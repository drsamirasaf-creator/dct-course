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Schedules" sheetId="3" state="visible" r:id="rId5"/>
    <sheet name="Frontier" sheetId="4" state="visible" r:id="rId6"/>
    <sheet name="Reserve" sheetId="5" state="visible" r:id="rId7"/>
    <sheet name="Grid" sheetId="6" state="visible" r:id="rId8"/>
    <sheet name="Plans" sheetId="7" state="visible" r:id="rId9"/>
    <sheet name="Choose" sheetId="8" state="visible" r:id="rId10"/>
    <sheet name="Table12_3" sheetId="9" state="visible" r:id="rId11"/>
    <sheet name="Computing" sheetId="10" state="visible" r:id="rId12"/>
    <sheet name="Uncertainty" sheetId="11" state="visible" r:id="rId13"/>
    <sheet name="Reference_Values" sheetId="12" state="visible" r:id="rId14"/>
    <sheet name="Checks" sheetId="13" state="visible" r:id="rId15"/>
  </sheets>
  <definedNames>
    <definedName function="false" hidden="false" name="Beta_y" vbProcedure="false">Declarations!$B$14</definedName>
    <definedName function="false" hidden="false" name="Bound_S" vbProcedure="false">Frontier!$B$51</definedName>
    <definedName function="false" hidden="false" name="Ceiling_e" vbProcedure="false">Declarations!$B$6</definedName>
    <definedName function="false" hidden="false" name="ChA_1" vbProcedure="false">Choose!$B$32</definedName>
    <definedName function="false" hidden="false" name="ChA_2" vbProcedure="false">Choose!$B$33</definedName>
    <definedName function="false" hidden="false" name="ChA_3" vbProcedure="false">Choose!$B$34</definedName>
    <definedName function="false" hidden="false" name="ChB_1" vbProcedure="false">Choose!$C$32</definedName>
    <definedName function="false" hidden="false" name="ChB_2" vbProcedure="false">Choose!$C$33</definedName>
    <definedName function="false" hidden="false" name="ChB_3" vbProcedure="false">Choose!$C$34</definedName>
    <definedName function="false" hidden="false" name="Cost_round" vbProcedure="false">Declarations!$B$9</definedName>
    <definedName function="false" hidden="false" name="Cx_1" vbProcedure="false">Choose!$B$66</definedName>
    <definedName function="false" hidden="false" name="Cx_2" vbProcedure="false">Choose!$B$67</definedName>
    <definedName function="false" hidden="false" name="Cx_3" vbProcedure="false">Choose!$B$68</definedName>
    <definedName function="false" hidden="false" name="End_q" vbProcedure="false">Declarations!$B$12</definedName>
    <definedName function="false" hidden="false" name="E_zero" vbProcedure="false">Declarations!$B$5</definedName>
    <definedName function="false" hidden="false" name="Floor_q" vbProcedure="false">Declarations!$B$10</definedName>
    <definedName function="false" hidden="false" name="Goal_b" vbProcedure="false">Declarations!$B$22</definedName>
    <definedName function="false" hidden="false" name="Goal_P" vbProcedure="false">Declarations!$B$20</definedName>
    <definedName function="false" hidden="false" name="Goal_S" vbProcedure="false">Declarations!$B$21</definedName>
    <definedName function="false" hidden="false" name="Half_gap" vbProcedure="false">Declarations!$B$7</definedName>
    <definedName function="false" hidden="false" name="Hurdle_r" vbProcedure="false">Declarations!$B$13</definedName>
    <definedName function="false" hidden="false" name="Ideal_B" vbProcedure="false">Choose!$D$5</definedName>
    <definedName function="false" hidden="false" name="Ideal_P" vbProcedure="false">Choose!$B$5</definedName>
    <definedName function="false" hidden="false" name="Ideal_S" vbProcedure="false">Choose!$C$5</definedName>
    <definedName function="false" hidden="false" name="Pl_b" vbProcedure="false">Plans!$C$6:$C$1062</definedName>
    <definedName function="false" hidden="false" name="Pl_board" vbProcedure="false">Plans!$L$6:$L$1062</definedName>
    <definedName function="false" hidden="false" name="Pl_B_0" vbProcedure="false">Plans!$G$6:$G$1062</definedName>
    <definedName function="false" hidden="false" name="Pl_cert" vbProcedure="false">Plans!$AH$6:$AH$1062</definedName>
    <definedName function="false" hidden="false" name="Pl_certA" vbProcedure="false">Plans!$AG$6:$AG$1062</definedName>
    <definedName function="false" hidden="false" name="Pl_certW" vbProcedure="false">Plans!$AB$6:$AB$1062</definedName>
    <definedName function="false" hidden="false" name="Pl_chA" vbProcedure="false">Plans!$AL$6:$AL$1062</definedName>
    <definedName function="false" hidden="false" name="Pl_chB" vbProcedure="false">Plans!$AM$6:$AM$1062</definedName>
    <definedName function="false" hidden="false" name="Pl_chX" vbProcedure="false">Plans!$AN$6:$AN$1062</definedName>
    <definedName function="false" hidden="false" name="Pl_dB" vbProcedure="false">Plans!$AK$6:$AK$1062</definedName>
    <definedName function="false" hidden="false" name="Pl_dP" vbProcedure="false">Plans!$AI$6:$AI$1062</definedName>
    <definedName function="false" hidden="false" name="Pl_dS" vbProcedure="false">Plans!$AJ$6:$AJ$1062</definedName>
    <definedName function="false" hidden="false" name="Pl_eff" vbProcedure="false">Plans!$J$6:$J$1062</definedName>
    <definedName function="false" hidden="false" name="Pl_idx" vbProcedure="false">Plans!$H$6:$H$1062</definedName>
    <definedName function="false" hidden="false" name="Pl_k" vbProcedure="false">Plans!$A$6:$A$1062</definedName>
    <definedName function="false" hidden="false" name="Pl_label" vbProcedure="false">Plans!$I$6:$I$1062</definedName>
    <definedName function="false" hidden="false" name="Pl_n" vbProcedure="false">Plans!$B$6:$B$1062</definedName>
    <definedName function="false" hidden="false" name="Pl_P" vbProcedure="false">Plans!$E$6:$E$1062</definedName>
    <definedName function="false" hidden="false" name="Pl_S" vbProcedure="false">Plans!$F$6:$F$1062</definedName>
    <definedName function="false" hidden="false" name="Pl_sup" vbProcedure="false">Plans!$M$6:$M$1062</definedName>
    <definedName function="false" hidden="false" name="Pre_q" vbProcedure="false">Declarations!$B$11</definedName>
    <definedName function="false" hidden="false" name="Q_zero" vbProcedure="false">Declarations!$B$4</definedName>
    <definedName function="false" hidden="false" name="Ref_B" vbProcedure="false">Choose!$B$65</definedName>
    <definedName function="false" hidden="false" name="Ref_P" vbProcedure="false">Choose!$B$63</definedName>
    <definedName function="false" hidden="false" name="Ref_S" vbProcedure="false">Choose!$B$64</definedName>
    <definedName function="false" hidden="false" name="Res_b" vbProcedure="false">Declarations!$B$17</definedName>
    <definedName function="false" hidden="false" name="Rho" vbProcedure="false">Declarations!$B$23</definedName>
    <definedName function="false" hidden="false" name="Sch_bmax" vbProcedure="false">Schedules!$AC$8:$AC$71</definedName>
    <definedName function="false" hidden="false" name="Sch_board" vbProcedure="false">Schedules!$AO$8:$AO$71</definedName>
    <definedName function="false" hidden="false" name="Sch_dom" vbProcedure="false">Schedules!$AM$8:$AM$71</definedName>
    <definedName function="false" hidden="false" name="Sch_feas" vbProcedure="false">Schedules!$AD$8:$AD$71</definedName>
    <definedName function="false" hidden="false" name="Sch_feasb" vbProcedure="false">Schedules!$AX$8:$AX$71</definedName>
    <definedName function="false" hidden="false" name="Sch_idx" vbProcedure="false">Schedules!$A$8:$A$71</definedName>
    <definedName function="false" hidden="false" name="Sch_label" vbProcedure="false">Schedules!$B$8:$B$71</definedName>
    <definedName function="false" hidden="false" name="Sch_meet" vbProcedure="false">Schedules!$BH$8:$BH$71</definedName>
    <definedName function="false" hidden="false" name="Sch_n" vbProcedure="false">Schedules!$I$8:$I$71</definedName>
    <definedName function="false" hidden="false" name="Sch_P0" vbProcedure="false">Schedules!$AK$8:$AK$71</definedName>
    <definedName function="false" hidden="false" name="Sch_p1" vbProcedure="false">Schedules!$AE$8:$AE$71</definedName>
    <definedName function="false" hidden="false" name="Sch_p2" vbProcedure="false">Schedules!$AF$8:$AF$71</definedName>
    <definedName function="false" hidden="false" name="Sch_p3" vbProcedure="false">Schedules!$AG$8:$AG$71</definedName>
    <definedName function="false" hidden="false" name="Sch_p4" vbProcedure="false">Schedules!$AH$8:$AH$71</definedName>
    <definedName function="false" hidden="false" name="Sch_p5" vbProcedure="false">Schedules!$AI$8:$AI$71</definedName>
    <definedName function="false" hidden="false" name="Sch_p6" vbProcedure="false">Schedules!$AJ$8:$AJ$71</definedName>
    <definedName function="false" hidden="false" name="Sch_Pgoal" vbProcedure="false">Schedules!$BG$8:$BG$71</definedName>
    <definedName function="false" hidden="false" name="Sch_price" vbProcedure="false">Schedules!$BF$8:$BF$71</definedName>
    <definedName function="false" hidden="false" name="Sch_s1" vbProcedure="false">Schedules!$P$8:$P$71</definedName>
    <definedName function="false" hidden="false" name="Sch_s2" vbProcedure="false">Schedules!$Q$8:$Q$71</definedName>
    <definedName function="false" hidden="false" name="Sch_s3" vbProcedure="false">Schedules!$R$8:$R$71</definedName>
    <definedName function="false" hidden="false" name="Sch_s4" vbProcedure="false">Schedules!$S$8:$S$71</definedName>
    <definedName function="false" hidden="false" name="Sch_s5" vbProcedure="false">Schedules!$T$8:$T$71</definedName>
    <definedName function="false" hidden="false" name="Sch_S6" vbProcedure="false">Schedules!$AL$8:$AL$71</definedName>
    <definedName function="false" hidden="false" name="Sch_s6_0" vbProcedure="false">Schedules!$U$8:$U$71</definedName>
    <definedName function="false" hidden="false" name="Sch_try" vbProcedure="false">Schedules!$AP$8:$AP$71</definedName>
    <definedName function="false" hidden="false" name="Sch_z1" vbProcedure="false">Schedules!$C$8:$C$71</definedName>
    <definedName function="false" hidden="false" name="Sch_z2" vbProcedure="false">Schedules!$D$8:$D$71</definedName>
    <definedName function="false" hidden="false" name="Sch_z3" vbProcedure="false">Schedules!$E$8:$E$71</definedName>
    <definedName function="false" hidden="false" name="Sch_z4" vbProcedure="false">Schedules!$F$8:$F$71</definedName>
    <definedName function="false" hidden="false" name="Sch_z5" vbProcedure="false">Schedules!$G$8:$G$71</definedName>
    <definedName function="false" hidden="false" name="Sch_z6" vbProcedure="false">Schedules!$H$8:$H$71</definedName>
    <definedName function="false" hidden="false" name="Span_B" vbProcedure="false">Choose!$D$7</definedName>
    <definedName function="false" hidden="false" name="Span_P" vbProcedure="false">Choose!$B$7</definedName>
    <definedName function="false" hidden="false" name="Span_S" vbProcedure="false">Choose!$C$7</definedName>
    <definedName function="false" hidden="false" name="Val_pt" vbProcedure="false">Declarations!$B$8</definedName>
    <definedName function="false" hidden="false" name="W_board" vbProcedure="false">Declarations!$B$15</definedName>
    <definedName function="false" hidden="false" name="W_try" vbProcedure="false">Declarations!$B$18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<sst xmlns="http://schemas.openxmlformats.org/spreadsheetml/2006/main" count="1182" uniqueCount="780">
  <si>
    <t xml:space="preserve">DCT Laboratory — Vol II, Ch 12: Multi-Objective Enterprise Optimization</t>
  </si>
  <si>
    <t xml:space="preserve">Seed 26212 · Companion to DCT_V2_Ch12_Lab.ipynb and AXIOM Lab 2.12 (module AXIOM-12). Money in $ million.</t>
  </si>
  <si>
    <t xml:space="preserve">Worked Example 12.1, Whose Objective Runs the Automation Program?, with the book's declarations: Chapter 5's automation program and the three owners' objectives (the CFO's present value of the payouts, the COO's run-rate savings in year 6, the treasury's reserve on every cash commitment). Deterministic: no random draw enters the book's numbers.</t>
  </si>
  <si>
    <t xml:space="preserve">Declarations: the program, the board's commitments and rate, and the reserve, price and goals to explore.</t>
  </si>
  <si>
    <t xml:space="preserve">Schedules: all 64 schedules with Chapter 5's war chest raised by the reserve, their best payouts, dominance, the board value, and the war chest recomputed at any reserve with the reserve's price (Steps 1-2).</t>
  </si>
  <si>
    <t xml:space="preserve">Frontier: the best schedule with each number of rounds, the five efficient plans, the prices between them, the board's weighted sum and a price to explore; the ideal point; bounds on all objectives but one (Step 3).</t>
  </si>
  <si>
    <t xml:space="preserve">Reserve: the reserve's price, the largest reserve each schedule keeps, and the three-round trade-off surface with its two jumps (Step 4).</t>
  </si>
  <si>
    <t xml:space="preserve">Grid and Plans: the best payouts for every number of rounds and reserve on the $1 million grid, the 992 plans and the 740 efficient ones; the engine's support test for each, with its certificate checked by formulas.</t>
  </si>
  <si>
    <t xml:space="preserve">Choose: the ideal and nadir points, the Chebyshev choices, any efficient plan reached by its own weights, the owners' own bests, and goal programming with and without a second stage (Step 5). Table12_3: Table 12.3.</t>
  </si>
  <si>
    <t xml:space="preserve">Computing: Section 12.4's counts and hypervolume, and the lab's own weight sweep and evolutionary search (seed 26212). Uncertainty: Chapter 9's cost-chance frontier as the book prints it and the price of the appetite (Section 12.5).</t>
  </si>
  <si>
    <t xml:space="preserve">Engine values (green) are what needs a linear program per plan, or the notebook's searches; everything else is a formula.</t>
  </si>
  <si>
    <t xml:space="preserve">Reference_Values and Checks: the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</si>
  <si>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</si>
  <si>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</si>
  <si>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</si>
  <si>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</si>
  <si>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</si>
  <si>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12.1, Step 1; Online Appendix Remark 12.B.1). Money in $ million.</t>
  </si>
  <si>
    <t xml:space="preserve">Quantity</t>
  </si>
  <si>
    <t xml:space="preserve">Value</t>
  </si>
  <si>
    <t xml:space="preserve">Source</t>
  </si>
  <si>
    <t xml:space="preserve">Today's cash, q_0</t>
  </si>
  <si>
    <t xml:space="preserve">Chapter 5's program (Volume I, Worked Example 6.1)</t>
  </si>
  <si>
    <t xml:space="preserve">Today's efficiency, e_0 (points)</t>
  </si>
  <si>
    <t xml:space="preserve">Efficiency ceiling (points)</t>
  </si>
  <si>
    <t xml:space="preserve">A round halves the remaining gap to 85</t>
  </si>
  <si>
    <t xml:space="preserve">Share of the gap a round closes</t>
  </si>
  <si>
    <t xml:space="preserve">Savings per point above 71, a year</t>
  </si>
  <si>
    <t xml:space="preserve">S_k = 10 (e_k - 71)</t>
  </si>
  <si>
    <t xml:space="preserve">Cost of a round</t>
  </si>
  <si>
    <t xml:space="preserve">Floor on cash at every year end</t>
  </si>
  <si>
    <t xml:space="preserve">The board's commitments</t>
  </si>
  <si>
    <t xml:space="preserve">Cash a round needs before it starts</t>
  </si>
  <si>
    <t xml:space="preserve">End condition: cash at the end of year 6</t>
  </si>
  <si>
    <t xml:space="preserve">Hurdle rate r (a year)</t>
  </si>
  <si>
    <t xml:space="preserve">Payouts discounted at 10 percent; cash earns nothing</t>
  </si>
  <si>
    <t xml:space="preserve">Discount factor, beta = 1/(1 + r)</t>
  </si>
  <si>
    <t xml:space="preserve">Also the reserve's price: $0.909 of payouts per dollar (Step 4)</t>
  </si>
  <si>
    <t xml:space="preserve">Chapter 5's price of savings, beta^6 / r</t>
  </si>
  <si>
    <t xml:space="preserve">$5.645 of payouts today per dollar a year of year-6 savings (Section 12.2)</t>
  </si>
  <si>
    <t xml:space="preserve">Reserve to explore, b (above 0)</t>
  </si>
  <si>
    <t xml:space="preserve">Schedules: the war chest recomputed at this reserve (Section 12.1's example: a $50 million reserve)</t>
  </si>
  <si>
    <t xml:space="preserve">Price of savings to explore, w</t>
  </si>
  <si>
    <t xml:space="preserve">Frontier: the plan a weighted sum picks at this price; try 3, 5.645, 10, 20, 40</t>
  </si>
  <si>
    <t xml:space="preserve">Goal: payouts of at least</t>
  </si>
  <si>
    <t xml:space="preserve">Worked Example 12.1, Step 5</t>
  </si>
  <si>
    <t xml:space="preserve">Goal: savings of at least, a year</t>
  </si>
  <si>
    <t xml:space="preserve">Goal: a reserve of</t>
  </si>
  <si>
    <t xml:space="preserve">Augmentation of the Chebyshev program, rho</t>
  </si>
  <si>
    <t xml:space="preserve">Online Appendix Example 12.B.2</t>
  </si>
  <si>
    <t xml:space="preserve">Dynamics: e_k = e_(k-1) + z_k (85 - e_(k-1))/2; S_k = 10 (e_k - 71); q_k = q_(k-1) - 120 z_k + S_k - p_k, p_k &gt;= 0. Commitments, each kept with the reserve b to spare: q_k &gt;= 350 + b every year; q_(k-1) &gt;= 470 + b before a round in year k; q_6 &gt;= 470 + b.</t>
  </si>
  <si>
    <t xml:space="preserve">The three owners' objectives (new declarations): the CFO's present value of the payouts at 10 percent; the COO's run-rate savings in year 6, S_6 = 140 - 140/2^n for n rounds; the treasury's reserve b.</t>
  </si>
  <si>
    <t xml:space="preserve">Chapter 5's board value is the weighted sum: payouts + (beta^6 / r) x savings. No plan keeps a reserve above $150 million: before the first round, or at the end without one, the cash is at most $620 million against $470 million plus the reserve.</t>
  </si>
  <si>
    <t xml:space="preserve">All 64 schedules of rounds, each with its best payouts: Chapter 5's war chest raised by the reserve (Worked Example 12.1, Steps 1-2; Online Appendix Remark 12.B.1; AXIOM Lab 2.12, step 1)</t>
  </si>
  <si>
    <t xml:space="preserve">Each row is a schedule (z_k = 1: a round in year k; # is z_1...z_6 read as a binary number). Its best payouts pay out, every year end, everything above the war chest R_k: R_6 = 470 + b; R_(k-1) = max(R_k + 120 z_k - S_k, (470 + b) z_k, 350 + b), with no floor term for R_0.</t>
  </si>
  <si>
    <t xml:space="preserve">The schedule keeps every commitment while 620 &gt;= R_0, so the largest reserve it keeps is 620 - R_0 at b = 0. Then p_1 = 620 - 120 z_1 + S_1 - R_1 and p_k = R_(k-1) - 120 z_k + S_k - R_k: the reserve raises every R_k by b, so only p_1 falls, by b. The notebook checks the war chest against the linear program for all 9,664 pairs.</t>
  </si>
  <si>
    <t xml:space="preserve">Right-hand block: the war chest recomputed from scratch at the reserve on Declarations (Res_b), and the reserve's price, (PV at 0 - PV at b) / b, for every schedule that keeps it.</t>
  </si>
  <si>
    <t xml:space="preserve">Discount factor</t>
  </si>
  <si>
    <t xml:space="preserve">#</t>
  </si>
  <si>
    <t xml:space="preserve">Rounds (years)</t>
  </si>
  <si>
    <t xml:space="preserve">z1</t>
  </si>
  <si>
    <t xml:space="preserve">z2</t>
  </si>
  <si>
    <t xml:space="preserve">z3</t>
  </si>
  <si>
    <t xml:space="preserve">z4</t>
  </si>
  <si>
    <t xml:space="preserve">z5</t>
  </si>
  <si>
    <t xml:space="preserve">z6</t>
  </si>
  <si>
    <t xml:space="preserve">Rounds n</t>
  </si>
  <si>
    <t xml:space="preserve">e1</t>
  </si>
  <si>
    <t xml:space="preserve">e2</t>
  </si>
  <si>
    <t xml:space="preserve">e3</t>
  </si>
  <si>
    <t xml:space="preserve">e4</t>
  </si>
  <si>
    <t xml:space="preserve">e5</t>
  </si>
  <si>
    <t xml:space="preserve">e6</t>
  </si>
  <si>
    <t xml:space="preserve">S1</t>
  </si>
  <si>
    <t xml:space="preserve">S2</t>
  </si>
  <si>
    <t xml:space="preserve">S3</t>
  </si>
  <si>
    <t xml:space="preserve">S4</t>
  </si>
  <si>
    <t xml:space="preserve">S5</t>
  </si>
  <si>
    <t xml:space="preserve">S6</t>
  </si>
  <si>
    <t xml:space="preserve">R0</t>
  </si>
  <si>
    <t xml:space="preserve">R1</t>
  </si>
  <si>
    <t xml:space="preserve">R2</t>
  </si>
  <si>
    <t xml:space="preserve">R3</t>
  </si>
  <si>
    <t xml:space="preserve">R4</t>
  </si>
  <si>
    <t xml:space="preserve">R5</t>
  </si>
  <si>
    <t xml:space="preserve">R6</t>
  </si>
  <si>
    <t xml:space="preserve">Largest reserve it keeps</t>
  </si>
  <si>
    <t xml:space="preserve">Keeps every commitment, no reserve</t>
  </si>
  <si>
    <t xml:space="preserve">p1</t>
  </si>
  <si>
    <t xml:space="preserve">p2</t>
  </si>
  <si>
    <t xml:space="preserve">p3</t>
  </si>
  <si>
    <t xml:space="preserve">p4</t>
  </si>
  <si>
    <t xml:space="preserve">p5</t>
  </si>
  <si>
    <t xml:space="preserve">p6</t>
  </si>
  <si>
    <t xml:space="preserve">Payouts, PV (CFO)</t>
  </si>
  <si>
    <t xml:space="preserve">Savings, year 6 (COO)</t>
  </si>
  <si>
    <t xml:space="preserve">Dominated (payouts, savings)</t>
  </si>
  <si>
    <t xml:space="preserve">Efficient</t>
  </si>
  <si>
    <t xml:space="preserve">Board value (Chapter 5)</t>
  </si>
  <si>
    <t xml:space="preserve">Weighted sum at the price to explore</t>
  </si>
  <si>
    <t xml:space="preserve">R0 at Res_b</t>
  </si>
  <si>
    <t xml:space="preserve">R1 at Res_b</t>
  </si>
  <si>
    <t xml:space="preserve">R2 at Res_b</t>
  </si>
  <si>
    <t xml:space="preserve">R3 at Res_b</t>
  </si>
  <si>
    <t xml:space="preserve">R4 at Res_b</t>
  </si>
  <si>
    <t xml:space="preserve">R5 at Res_b</t>
  </si>
  <si>
    <t xml:space="preserve">R6 at Res_b</t>
  </si>
  <si>
    <t xml:space="preserve">Keeps every commitment at Res_b</t>
  </si>
  <si>
    <t xml:space="preserve">p1 at Res_b</t>
  </si>
  <si>
    <t xml:space="preserve">p2 at Res_b</t>
  </si>
  <si>
    <t xml:space="preserve">p3 at Res_b</t>
  </si>
  <si>
    <t xml:space="preserve">p4 at Res_b</t>
  </si>
  <si>
    <t xml:space="preserve">p5 at Res_b</t>
  </si>
  <si>
    <t xml:space="preserve">p6 at Res_b</t>
  </si>
  <si>
    <t xml:space="preserve">Payouts, PV, at Res_b</t>
  </si>
  <si>
    <t xml:space="preserve">Reserve's price: (PV at 0 - PV at Res_b) / Res_b</t>
  </si>
  <si>
    <t xml:space="preserve">Payouts, PV, at the goal reserve</t>
  </si>
  <si>
    <t xml:space="preserve">Meets every goal</t>
  </si>
  <si>
    <t xml:space="preserve">none</t>
  </si>
  <si>
    <t xml:space="preserve">6</t>
  </si>
  <si>
    <t xml:space="preserve">5</t>
  </si>
  <si>
    <t xml:space="preserve">5, 6</t>
  </si>
  <si>
    <t xml:space="preserve">4</t>
  </si>
  <si>
    <t xml:space="preserve">4, 6</t>
  </si>
  <si>
    <t xml:space="preserve">4, 5</t>
  </si>
  <si>
    <t xml:space="preserve">4–6</t>
  </si>
  <si>
    <t xml:space="preserve">3</t>
  </si>
  <si>
    <t xml:space="preserve">3, 6</t>
  </si>
  <si>
    <t xml:space="preserve">3, 5</t>
  </si>
  <si>
    <t xml:space="preserve">3, 5, 6</t>
  </si>
  <si>
    <t xml:space="preserve">3, 4</t>
  </si>
  <si>
    <t xml:space="preserve">3, 4, 6</t>
  </si>
  <si>
    <t xml:space="preserve">3–5</t>
  </si>
  <si>
    <t xml:space="preserve">3–6</t>
  </si>
  <si>
    <t xml:space="preserve">2</t>
  </si>
  <si>
    <t xml:space="preserve">2, 6</t>
  </si>
  <si>
    <t xml:space="preserve">2, 5</t>
  </si>
  <si>
    <t xml:space="preserve">2, 5, 6</t>
  </si>
  <si>
    <t xml:space="preserve">2, 4</t>
  </si>
  <si>
    <t xml:space="preserve">2, 4, 6</t>
  </si>
  <si>
    <t xml:space="preserve">2, 4, 5</t>
  </si>
  <si>
    <t xml:space="preserve">2, 4–6</t>
  </si>
  <si>
    <t xml:space="preserve">2, 3</t>
  </si>
  <si>
    <t xml:space="preserve">2, 3, 6</t>
  </si>
  <si>
    <t xml:space="preserve">2, 3, 5</t>
  </si>
  <si>
    <t xml:space="preserve">2, 3, 5, 6</t>
  </si>
  <si>
    <t xml:space="preserve">2–4</t>
  </si>
  <si>
    <t xml:space="preserve">2–4, 6</t>
  </si>
  <si>
    <t xml:space="preserve">2–5</t>
  </si>
  <si>
    <t xml:space="preserve">2–6</t>
  </si>
  <si>
    <t xml:space="preserve">1</t>
  </si>
  <si>
    <t xml:space="preserve">1, 6</t>
  </si>
  <si>
    <t xml:space="preserve">1, 5</t>
  </si>
  <si>
    <t xml:space="preserve">1, 5, 6</t>
  </si>
  <si>
    <t xml:space="preserve">1, 4</t>
  </si>
  <si>
    <t xml:space="preserve">1, 4, 6</t>
  </si>
  <si>
    <t xml:space="preserve">1, 4, 5</t>
  </si>
  <si>
    <t xml:space="preserve">1, 4–6</t>
  </si>
  <si>
    <t xml:space="preserve">1, 3</t>
  </si>
  <si>
    <t xml:space="preserve">1, 3, 6</t>
  </si>
  <si>
    <t xml:space="preserve">1, 3, 5</t>
  </si>
  <si>
    <t xml:space="preserve">1, 3, 5, 6</t>
  </si>
  <si>
    <t xml:space="preserve">1, 3, 4</t>
  </si>
  <si>
    <t xml:space="preserve">1, 3, 4, 6</t>
  </si>
  <si>
    <t xml:space="preserve">1, 3–5</t>
  </si>
  <si>
    <t xml:space="preserve">1, 3–6</t>
  </si>
  <si>
    <t xml:space="preserve">1, 2</t>
  </si>
  <si>
    <t xml:space="preserve">1, 2, 6</t>
  </si>
  <si>
    <t xml:space="preserve">1, 2, 5</t>
  </si>
  <si>
    <t xml:space="preserve">1, 2, 5, 6</t>
  </si>
  <si>
    <t xml:space="preserve">1, 2, 4</t>
  </si>
  <si>
    <t xml:space="preserve">1, 2, 4, 6</t>
  </si>
  <si>
    <t xml:space="preserve">1, 2, 4, 5</t>
  </si>
  <si>
    <t xml:space="preserve">1, 2, 4–6</t>
  </si>
  <si>
    <t xml:space="preserve">1–3</t>
  </si>
  <si>
    <t xml:space="preserve">1–3, 6</t>
  </si>
  <si>
    <t xml:space="preserve">1–3, 5</t>
  </si>
  <si>
    <t xml:space="preserve">1–3, 5, 6</t>
  </si>
  <si>
    <t xml:space="preserve">1–4</t>
  </si>
  <si>
    <t xml:space="preserve">1–4, 6</t>
  </si>
  <si>
    <t xml:space="preserve">1–5</t>
  </si>
  <si>
    <t xml:space="preserve">1–6</t>
  </si>
  <si>
    <t xml:space="preserve">The frontier first: dominated and efficient schedules, their prices, and the board's weighted sum (Theorems 12.1 and 12.2; Worked Example 12.1, Steps 2-3; Figure 12.1; AXIOM Lab 2.12, steps 1-2)</t>
  </si>
  <si>
    <t xml:space="preserve">No reserve. A schedule is dominated when another pays at least as much and saves at least as much, and more of one. Savings depend only on the number of rounds, so only the best schedule with each number can be efficient.</t>
  </si>
  <si>
    <t xml:space="preserve">Schedules that keep every commitment, no reserve</t>
  </si>
  <si>
    <t xml:space="preserve">All 64 (Step 2)</t>
  </si>
  <si>
    <t xml:space="preserve">Dominated</t>
  </si>
  <si>
    <t xml:space="preserve">59</t>
  </si>
  <si>
    <t xml:space="preserve">Five: the best with two to six rounds</t>
  </si>
  <si>
    <t xml:space="preserve">Best payouts (PV)</t>
  </si>
  <si>
    <t xml:space="preserve">Its schedule #</t>
  </si>
  <si>
    <t xml:space="preserve">Savings, year 6</t>
  </si>
  <si>
    <t xml:space="preserve">Efficient?</t>
  </si>
  <si>
    <t xml:space="preserve">Board value</t>
  </si>
  <si>
    <t xml:space="preserve">Three rounds: year-end cash, years 1 to 6</t>
  </si>
  <si>
    <t xml:space="preserve">Three rounds: paid out in all</t>
  </si>
  <si>
    <t xml:space="preserve">$455 million (Worked Example 12.1)</t>
  </si>
  <si>
    <t xml:space="preserve">One round is dominated by two (1 = yes)</t>
  </si>
  <si>
    <t xml:space="preserve">Two rounds pay more and save more</t>
  </si>
  <si>
    <t xml:space="preserve">From (rounds)</t>
  </si>
  <si>
    <t xml:space="preserve">To (rounds)</t>
  </si>
  <si>
    <t xml:space="preserve">Payouts given up</t>
  </si>
  <si>
    <t xml:space="preserve">Savings gained, a year</t>
  </si>
  <si>
    <t xml:space="preserve">Price: payouts per dollar a year</t>
  </si>
  <si>
    <t xml:space="preserve">The prices rise along the frontier (1 = yes)</t>
  </si>
  <si>
    <t xml:space="preserve">So with no reserve every efficient plan wins some weighted sum</t>
  </si>
  <si>
    <t xml:space="preserve">Rounds</t>
  </si>
  <si>
    <t xml:space="preserve">Wins a weighted sum for prices from</t>
  </si>
  <si>
    <t xml:space="preserve">to</t>
  </si>
  <si>
    <t xml:space="preserve">and above</t>
  </si>
  <si>
    <t xml:space="preserve">Chapter 5's price of savings, w</t>
  </si>
  <si>
    <t xml:space="preserve">$5.645 (Section 12.2)</t>
  </si>
  <si>
    <t xml:space="preserve">The board's value of its best plan</t>
  </si>
  <si>
    <t xml:space="preserve">$1,021.93 million (Section 12.1)</t>
  </si>
  <si>
    <t xml:space="preserve">Three rounds, in years 1-3</t>
  </si>
  <si>
    <t xml:space="preserve">Payouts (PV)</t>
  </si>
  <si>
    <t xml:space="preserve">A price to explore (Declarations)</t>
  </si>
  <si>
    <t xml:space="preserve">Change it on Declarations</t>
  </si>
  <si>
    <t xml:space="preserve">The best weighted sum at that price</t>
  </si>
  <si>
    <t xml:space="preserve">Below 3.07 two rounds; to 7.95 three; to 16.93 four; to 36.68 five; above, six</t>
  </si>
  <si>
    <t xml:space="preserve">Ideal point: payouts</t>
  </si>
  <si>
    <t xml:space="preserve">$384.17 million</t>
  </si>
  <si>
    <t xml:space="preserve">Ideal point: savings</t>
  </si>
  <si>
    <t xml:space="preserve">$137.81 million a year</t>
  </si>
  <si>
    <t xml:space="preserve">Some schedule attains it (1 = yes)</t>
  </si>
  <si>
    <t xml:space="preserve">0: out of reach (Theorem 12.1(iii))</t>
  </si>
  <si>
    <t xml:space="preserve">A bound on savings (Theorem 12.1(ii))</t>
  </si>
  <si>
    <t xml:space="preserve">Section 12.1: savings of $122.5 million a year</t>
  </si>
  <si>
    <t xml:space="preserve">A bound on the reserve</t>
  </si>
  <si>
    <t xml:space="preserve">... and a $50 million reserve</t>
  </si>
  <si>
    <t xml:space="preserve">Most payouts with savings at least the bound, no reserve</t>
  </si>
  <si>
    <t xml:space="preserve">330.45: three rounds, the only answer, hence efficient</t>
  </si>
  <si>
    <t xml:space="preserve">... and a reserve at least its bound</t>
  </si>
  <si>
    <t xml:space="preserve">285.00 (Online Appendix 12.B.2)</t>
  </si>
  <si>
    <t xml:space="preserve">Bound the reserve: its price, the largest reserve each schedule keeps, and where the rounds move (Theorem 12.2(iv); Worked Example 12.1, Step 4; Figure 12.2; AXIOM Lab 2.12, step 3)</t>
  </si>
  <si>
    <t xml:space="preserve">The reserve raises every term of the war chest by b, so the war chest rises by b in every year and only the year-1 payout falls, by b: a year-1 payout held back until the end, worth beta = $0.909 per dollar.</t>
  </si>
  <si>
    <t xml:space="preserve">The reserve's price, beta</t>
  </si>
  <si>
    <t xml:space="preserve">Step 4: $0.909 of payouts for each dollar</t>
  </si>
  <si>
    <t xml:space="preserve">The reserve to explore (Declarations)</t>
  </si>
  <si>
    <t xml:space="preserve">Schedules that keep every commitment at that reserve</t>
  </si>
  <si>
    <t xml:space="preserve">Price from the war chest recomputed at that reserve: smallest</t>
  </si>
  <si>
    <t xml:space="preserve">Every schedule: (PV at 0 - PV at b) / b</t>
  </si>
  <si>
    <t xml:space="preserve">  largest</t>
  </si>
  <si>
    <t xml:space="preserve">The same price whatever the schedule</t>
  </si>
  <si>
    <t xml:space="preserve">  largest gap from beta</t>
  </si>
  <si>
    <t xml:space="preserve">Schedules keeping at most $85 million</t>
  </si>
  <si>
    <t xml:space="preserve">Rounds in years 1-3, for instance</t>
  </si>
  <si>
    <t xml:space="preserve">Schedules keeping at most $100 million</t>
  </si>
  <si>
    <t xml:space="preserve">Rounds in years 1 and 2 but not 3, for instance</t>
  </si>
  <si>
    <t xml:space="preserve">Schedules keeping up to $150 million</t>
  </si>
  <si>
    <t xml:space="preserve">A single round in year 1, or rounds in years 1, 3 and 4, for instance</t>
  </si>
  <si>
    <t xml:space="preserve">Cash before a year-2 round, after a year-1 round</t>
  </si>
  <si>
    <t xml:space="preserve">620 - 120 + 70 = 570 (Online Appendix 12.B.2)</t>
  </si>
  <si>
    <t xml:space="preserve">  rounds in years 1 and 2 need a reserve of at most</t>
  </si>
  <si>
    <t xml:space="preserve">$100 million</t>
  </si>
  <si>
    <t xml:space="preserve">Cash before a year-3 round, after rounds in years 1 and 2</t>
  </si>
  <si>
    <t xml:space="preserve">570 - 120 + 105 = 555</t>
  </si>
  <si>
    <t xml:space="preserve">  rounds in years 1-3 need a reserve of at most</t>
  </si>
  <si>
    <t xml:space="preserve">$85 million</t>
  </si>
  <si>
    <t xml:space="preserve">The largest reserve any plan keeps</t>
  </si>
  <si>
    <t xml:space="preserve">$150 million</t>
  </si>
  <si>
    <t xml:space="preserve">Payout programs on the $1 million grid: 64 schedules x 151 reserves</t>
  </si>
  <si>
    <t xml:space="preserve">9,664 (Section 12.4)</t>
  </si>
  <si>
    <t xml:space="preserve">  that keep every commitment</t>
  </si>
  <si>
    <t xml:space="preserve">7,824 (Online Appendix Remark 12.B.1)</t>
  </si>
  <si>
    <t xml:space="preserve">The trade-off surface: the most payouts with savings of at least the bound on Frontier ($122.5 million a year: three rounds) and a reserve of b</t>
  </si>
  <si>
    <t xml:space="preserve">Reserve b</t>
  </si>
  <si>
    <t xml:space="preserve">Most payouts</t>
  </si>
  <si>
    <t xml:space="preserve">Rounds move (1 = yes)</t>
  </si>
  <si>
    <t xml:space="preserve">Fall from b - 1</t>
  </si>
  <si>
    <t xml:space="preserve">Fall beyond the price</t>
  </si>
  <si>
    <t xml:space="preserve">First reserve where the rounds move</t>
  </si>
  <si>
    <t xml:space="preserve">86: years 1, 2, 4</t>
  </si>
  <si>
    <t xml:space="preserve">Second</t>
  </si>
  <si>
    <t xml:space="preserve">101: years 1, 3, 4</t>
  </si>
  <si>
    <t xml:space="preserve">Moves in all</t>
  </si>
  <si>
    <t xml:space="preserve">Drop beyond the price at the first</t>
  </si>
  <si>
    <t xml:space="preserve">$4.02 million</t>
  </si>
  <si>
    <t xml:space="preserve">Drop beyond the price at the second</t>
  </si>
  <si>
    <t xml:space="preserve">$24.38 million</t>
  </si>
  <si>
    <t xml:space="preserve">Largest |fall - price| where the rounds stay</t>
  </si>
  <si>
    <t xml:space="preserve">Smooth: the surface falls at the multiplier (Theorem 12.2(iv))</t>
  </si>
  <si>
    <t xml:space="preserve">Reserve</t>
  </si>
  <si>
    <t xml:space="preserve">The best payouts for every number of rounds and every reserve on a $1 million grid (Online Appendix Remark 12.B.1; Figure 12.2)</t>
  </si>
  <si>
    <t xml:space="preserve">Payouts: the most any schedule with n rounds pays while keeping the reserve, its present value at b = 0 less beta x b (the shift checked on Schedules). Schedule #: the first in binary order among the best. Efficient: no plan with more rounds pays as much at the same reserve; savings rise with the rounds, and payouts fall with the reserve, so these are the only plans that could dominate it.</t>
  </si>
  <si>
    <t xml:space="preserve">Payouts (PV) with n rounds</t>
  </si>
  <si>
    <t xml:space="preserve">Keeps every commitment</t>
  </si>
  <si>
    <t xml:space="preserve">Schedule #</t>
  </si>
  <si>
    <t xml:space="preserve">Plans</t>
  </si>
  <si>
    <t xml:space="preserve">992 plans: the best for their number of rounds and reserve (six rounds stop at $85 million)</t>
  </si>
  <si>
    <t xml:space="preserve">740 efficient (Online Appendix Example 12.B.2)</t>
  </si>
  <si>
    <t xml:space="preserve">The three-objective frontier: every (rounds, reserve) pair, its efficiency, the engine's support test with its certificate, and the Chebyshev values (Theorems 12.2(iii) and 12.3; Worked Example 12.1, Steps 4-5)</t>
  </si>
  <si>
    <t xml:space="preserve">Supported: some weights, each at least 0.001 of their sum, on the objectives scaled by their ranges, make the plan the best weighted sum (engine: one linear program per efficient plan). Certificate, checked by formulas: the weights, for a supported plan; for a plan in a dent, an average of at most three efficient plans that is better in every objective, which rules out every choice of nonnegative weights (Theorem 12.2(iii)).</t>
  </si>
  <si>
    <t xml:space="preserve">Chebyshev: shortfalls from the ideal point as shares of the ideal-nadir range, weighted; the value is the largest plus rho times their sum (Choose holds the weights).</t>
  </si>
  <si>
    <t xml:space="preserve">k</t>
  </si>
  <si>
    <t xml:space="preserve">Feasible</t>
  </si>
  <si>
    <t xml:space="preserve">Payouts if efficient, else 0</t>
  </si>
  <si>
    <t xml:space="preserve">Supported (engine)</t>
  </si>
  <si>
    <t xml:space="preserve">Weight w1 (engine)</t>
  </si>
  <si>
    <t xml:space="preserve">w2 (engine)</t>
  </si>
  <si>
    <t xml:space="preserve">w3 (engine)</t>
  </si>
  <si>
    <t xml:space="preserve">Average: plan 1 rounds (engine)</t>
  </si>
  <si>
    <t xml:space="preserve">plan 1 reserve</t>
  </si>
  <si>
    <t xml:space="preserve">plan 1 share</t>
  </si>
  <si>
    <t xml:space="preserve">plan 2 rounds</t>
  </si>
  <si>
    <t xml:space="preserve">plan 2 reserve</t>
  </si>
  <si>
    <t xml:space="preserve">plan 2 share</t>
  </si>
  <si>
    <t xml:space="preserve">plan 3 rounds</t>
  </si>
  <si>
    <t xml:space="preserve">plan 3 reserve</t>
  </si>
  <si>
    <t xml:space="preserve">plan 3 share</t>
  </si>
  <si>
    <t xml:space="preserve">Its weighted value at its weights</t>
  </si>
  <si>
    <t xml:space="preserve">Best weighted value of any efficient plan</t>
  </si>
  <si>
    <t xml:space="preserve">Best at its weights (1 = yes)</t>
  </si>
  <si>
    <t xml:space="preserve">Average's payouts</t>
  </si>
  <si>
    <t xml:space="preserve">Average's savings</t>
  </si>
  <si>
    <t xml:space="preserve">Average's reserve</t>
  </si>
  <si>
    <t xml:space="preserve">Average's least margin (share of range)</t>
  </si>
  <si>
    <t xml:space="preserve">Beaten in every objective (1 = yes)</t>
  </si>
  <si>
    <t xml:space="preserve">Certified (1 = yes)</t>
  </si>
  <si>
    <t xml:space="preserve">Shortfall: payouts</t>
  </si>
  <si>
    <t xml:space="preserve">Shortfall: savings</t>
  </si>
  <si>
    <t xml:space="preserve">Shortfall: reserve</t>
  </si>
  <si>
    <t xml:space="preserve">Chebyshev value, weights A</t>
  </si>
  <si>
    <t xml:space="preserve">Chebyshev value, weights B</t>
  </si>
  <si>
    <t xml:space="preserve">Chebyshev value, the explorer's weights</t>
  </si>
  <si>
    <t xml:space="preserve">Choice second: the ideal and nadir points, Chebyshev choices, every efficient plan reached, the owners' own bests and goal programming (Theorem 12.3; Proposition 12.1; Worked Example 12.1, Step 5; AXIOM Lab 2.12, step 4)</t>
  </si>
  <si>
    <t xml:space="preserve">Ideal: each objective's best over the efficient plans; nadir: each one's worst. Plans holds the shortfalls and the Chebyshev values; the choice is the least value, the first in order of rounds, then reserve.</t>
  </si>
  <si>
    <t xml:space="preserve">Ideal point</t>
  </si>
  <si>
    <t xml:space="preserve">Nadir point</t>
  </si>
  <si>
    <t xml:space="preserve">Range: ideal less nadir</t>
  </si>
  <si>
    <t xml:space="preserve">The nadir's payouts: the plan's row k</t>
  </si>
  <si>
    <t xml:space="preserve">Five rounds in years 1, 3-6 with a $150 million reserve (Online Appendix 12.B.2)</t>
  </si>
  <si>
    <t xml:space="preserve">  rounds (years); reserve</t>
  </si>
  <si>
    <t xml:space="preserve">Plans: the best for their rounds and reserve</t>
  </si>
  <si>
    <t xml:space="preserve">992</t>
  </si>
  <si>
    <t xml:space="preserve">740</t>
  </si>
  <si>
    <t xml:space="preserve">Supported (engine's support program)</t>
  </si>
  <si>
    <t xml:space="preserve">453</t>
  </si>
  <si>
    <t xml:space="preserve">In dents</t>
  </si>
  <si>
    <t xml:space="preserve">287: no weighted sum with positive weights picks them</t>
  </si>
  <si>
    <t xml:space="preserve">Certified: supported plans best at their weights</t>
  </si>
  <si>
    <t xml:space="preserve">Certified: plans in dents beaten in every objective by an average</t>
  </si>
  <si>
    <t xml:space="preserve">So not even nonnegative weights reach them</t>
  </si>
  <si>
    <t xml:space="preserve">Every efficient plan certified (1 = yes)</t>
  </si>
  <si>
    <t xml:space="preserve">Supported</t>
  </si>
  <si>
    <t xml:space="preserve">Smallest reserve in a dent</t>
  </si>
  <si>
    <t xml:space="preserve">Largest</t>
  </si>
  <si>
    <t xml:space="preserve">Every plan in a dent keeps a reserve from</t>
  </si>
  <si>
    <t xml:space="preserve">$86 million</t>
  </si>
  <si>
    <t xml:space="preserve">  to</t>
  </si>
  <si>
    <t xml:space="preserve">$149 million (Step 4)</t>
  </si>
  <si>
    <t xml:space="preserve">Augmented Chebyshev choice (reference: the ideal point)</t>
  </si>
  <si>
    <t xml:space="preserve">Weights A: equal</t>
  </si>
  <si>
    <t xml:space="preserve">Weights B: the CFO's doubled</t>
  </si>
  <si>
    <t xml:space="preserve">Weight on payouts (CFO)</t>
  </si>
  <si>
    <t xml:space="preserve">Weight on savings (COO)</t>
  </si>
  <si>
    <t xml:space="preserve">Weight on the reserve (treasury)</t>
  </si>
  <si>
    <t xml:space="preserve">Least augmented value</t>
  </si>
  <si>
    <t xml:space="preserve">Its row k</t>
  </si>
  <si>
    <t xml:space="preserve">Equal weights: years 1, 2, 4 with a $92 million reserve, $242.80 million, in a dent; the CFO's weight doubled: years 1, 2 with $96 million, $296.90 million (Worked Example 12.1, Step 5).</t>
  </si>
  <si>
    <t xml:space="preserve">Weighted shortfall: payouts</t>
  </si>
  <si>
    <t xml:space="preserve">Weighted shortfall: savings</t>
  </si>
  <si>
    <t xml:space="preserve">Weighted shortfall: reserve</t>
  </si>
  <si>
    <t xml:space="preserve">Supported (engine; 0: in a dent)</t>
  </si>
  <si>
    <t xml:space="preserve">Its certificate holds (1 = yes)</t>
  </si>
  <si>
    <t xml:space="preserve">Payout in year 1</t>
  </si>
  <si>
    <t xml:space="preserve">Payout in year 2</t>
  </si>
  <si>
    <t xml:space="preserve">Payout in year 3</t>
  </si>
  <si>
    <t xml:space="preserve">Payout in year 4</t>
  </si>
  <si>
    <t xml:space="preserve">Payout in year 5</t>
  </si>
  <si>
    <t xml:space="preserve">Payout in year 6</t>
  </si>
  <si>
    <t xml:space="preserve">Theorem 12.3(iii): any efficient plan is the Chebyshev choice for weights w_j = range_j / (r_j - f_j), with the reference r above the ideal</t>
  </si>
  <si>
    <t xml:space="preserve">Rounds of the plan to reach (change it)</t>
  </si>
  <si>
    <t xml:space="preserve">Years 1, 2, 4 with a $92 million reserve: in a dent</t>
  </si>
  <si>
    <t xml:space="preserve">Its reserve (change it)</t>
  </si>
  <si>
    <t xml:space="preserve">Reference above the ideal, share of each range</t>
  </si>
  <si>
    <t xml:space="preserve">The plan's row k</t>
  </si>
  <si>
    <t xml:space="preserve">  efficient (1 = yes)</t>
  </si>
  <si>
    <t xml:space="preserve">Reference: payouts</t>
  </si>
  <si>
    <t xml:space="preserve">Reference: savings</t>
  </si>
  <si>
    <t xml:space="preserve">Reference: reserve</t>
  </si>
  <si>
    <t xml:space="preserve">Weight on payouts</t>
  </si>
  <si>
    <t xml:space="preserve">Weight on savings</t>
  </si>
  <si>
    <t xml:space="preserve">Weight on the reserve</t>
  </si>
  <si>
    <t xml:space="preserve">Least Chebyshev value with these weights</t>
  </si>
  <si>
    <t xml:space="preserve">1: the plan's own</t>
  </si>
  <si>
    <t xml:space="preserve">Plans attaining it</t>
  </si>
  <si>
    <t xml:space="preserve">Only one</t>
  </si>
  <si>
    <t xml:space="preserve">The chosen plan's row k</t>
  </si>
  <si>
    <t xml:space="preserve">Reached: the only choice for its weights (1 = yes)</t>
  </si>
  <si>
    <t xml:space="preserve">Each owner's own best: own objective first, then the others</t>
  </si>
  <si>
    <t xml:space="preserve">CFO's best</t>
  </si>
  <si>
    <t xml:space="preserve">COO's best</t>
  </si>
  <si>
    <t xml:space="preserve">Treasury's best</t>
  </si>
  <si>
    <t xml:space="preserve">Own objective, best value</t>
  </si>
  <si>
    <t xml:space="preserve">Then the next</t>
  </si>
  <si>
    <t xml:space="preserve">Then the last</t>
  </si>
  <si>
    <t xml:space="preserve">Row k</t>
  </si>
  <si>
    <t xml:space="preserve">The board's weighted sum on the three-objective frontier: value</t>
  </si>
  <si>
    <t xml:space="preserve">$1,021.93 million: three rounds, no reserve</t>
  </si>
  <si>
    <t xml:space="preserve">  its row k</t>
  </si>
  <si>
    <t xml:space="preserve">Goals: payouts</t>
  </si>
  <si>
    <t xml:space="preserve">  savings</t>
  </si>
  <si>
    <t xml:space="preserve">  reserve</t>
  </si>
  <si>
    <t xml:space="preserve">Schedules that meet every goal</t>
  </si>
  <si>
    <t xml:space="preserve">Three: years 1, 2, 5; 1, 2, 4; 1-3</t>
  </si>
  <si>
    <t xml:space="preserve">The solver's first answer: the first in binary order</t>
  </si>
  <si>
    <t xml:space="preserve">Goals that can all be met do not choose (Proposition 12.1(ii))</t>
  </si>
  <si>
    <t xml:space="preserve">  rounds (years)</t>
  </si>
  <si>
    <t xml:space="preserve">Years 1, 2, 5</t>
  </si>
  <si>
    <t xml:space="preserve">  payouts available at the goal reserve</t>
  </si>
  <si>
    <t xml:space="preserve">300.05</t>
  </si>
  <si>
    <t xml:space="preserve">  payouts it pays: just the goal</t>
  </si>
  <si>
    <t xml:space="preserve">300.00: the shortfalls do not reward paying more</t>
  </si>
  <si>
    <t xml:space="preserve">  board value</t>
  </si>
  <si>
    <t xml:space="preserve">991.48</t>
  </si>
  <si>
    <t xml:space="preserve">Second stage: the most payouts among plans meeting every goal</t>
  </si>
  <si>
    <t xml:space="preserve">307.72</t>
  </si>
  <si>
    <t xml:space="preserve">  its schedule #</t>
  </si>
  <si>
    <t xml:space="preserve">Years 1-3</t>
  </si>
  <si>
    <t xml:space="preserve">999.21</t>
  </si>
  <si>
    <t xml:space="preserve">Left unpaid by the first answer</t>
  </si>
  <si>
    <t xml:space="preserve">$7.72 million (LOS Guidance 12.4)</t>
  </si>
  <si>
    <t xml:space="preserve">The first answer is dominated (1 = yes)</t>
  </si>
  <si>
    <t xml:space="preserve">Same savings and reserve, less payouts</t>
  </si>
  <si>
    <t xml:space="preserve">Table 12.3: plans by owner and by method of choice (Worked Example 12.1; Figure 12.3)</t>
  </si>
  <si>
    <t xml:space="preserve">Reserve: the amount by which every cash commitment is kept; payouts at their present value at 10 percent; savings: run-rate savings in year 6; board value: payouts plus savings at Chapter 5's price, $5.645 ($ million; savings in $ million a year).</t>
  </si>
  <si>
    <t xml:space="preserve">Plan</t>
  </si>
  <si>
    <t xml:space="preserve">Payouts</t>
  </si>
  <si>
    <t xml:space="preserve">Savings</t>
  </si>
  <si>
    <t xml:space="preserve">Chebyshev, equal weights</t>
  </si>
  <si>
    <t xml:space="preserve">Chebyshev, CFO twice</t>
  </si>
  <si>
    <t xml:space="preserve">Goals, first answer</t>
  </si>
  <si>
    <t xml:space="preserve">Goals, second stage</t>
  </si>
  <si>
    <t xml:space="preserve">Figure 12.3: board value axis, from</t>
  </si>
  <si>
    <t xml:space="preserve">629.44, the treasury's best</t>
  </si>
  <si>
    <t xml:space="preserve">1,021.93, the board's weighted sum</t>
  </si>
  <si>
    <t xml:space="preserve">Computing frontiers: the work, hypervolume, and what weights and an evolutionary archive find (Proposition 12.2; Table 12.2; Section 12.4)</t>
  </si>
  <si>
    <t xml:space="preserve">Engine (green): the hypervolume's best sets, tried over every set of one to three of the 64 schedules; the weight sweep and the evolutionary search, drawn with the lab's seed 26212 (the lab's own illustration, not the book's).</t>
  </si>
  <si>
    <t xml:space="preserve">Payout programs, 64 schedules x 151 reserves</t>
  </si>
  <si>
    <t xml:space="preserve">Section 12.4: 9,664</t>
  </si>
  <si>
    <t xml:space="preserve">7,824</t>
  </si>
  <si>
    <t xml:space="preserve">Support programs: one for each efficient plan</t>
  </si>
  <si>
    <t xml:space="preserve">Hypervolume with no reserve: the area of (payouts, savings) that a set of schedules dominates above the reference point (0, 0), below the nadir (Proposition 12.2(ii))</t>
  </si>
  <si>
    <t xml:space="preserve">The five efficient schedules, savings rising</t>
  </si>
  <si>
    <t xml:space="preserve">Width of savings</t>
  </si>
  <si>
    <t xml:space="preserve">Area</t>
  </si>
  <si>
    <t xml:space="preserve">Hypervolume of the five (payouts fall as savings rise)</t>
  </si>
  <si>
    <t xml:space="preserve">  payouts fall along them (1 = yes)</t>
  </si>
  <si>
    <t xml:space="preserve">Best set of m schedules (engine)</t>
  </si>
  <si>
    <t xml:space="preserve">Schedule # (engine), savings rising</t>
  </si>
  <si>
    <t xml:space="preserve">Hypervolume (formula)</t>
  </si>
  <si>
    <t xml:space="preserve">All efficient (1 = yes)</t>
  </si>
  <si>
    <t xml:space="preserve">Engine's hypervolume</t>
  </si>
  <si>
    <t xml:space="preserve">Formula: savings rising, each schedule adds its payouts times the savings it adds; this is the area when payouts fall as savings rise, as they do along efficient schedules.</t>
  </si>
  <si>
    <t xml:space="preserve">Random positive weights, each at least 0.001 of their sum (engine, seed 26212)</t>
  </si>
  <si>
    <t xml:space="preserve">Proposition 12.2(iii)</t>
  </si>
  <si>
    <t xml:space="preserve">  different plans they return (engine)</t>
  </si>
  <si>
    <t xml:space="preserve">All supported; none in a dent</t>
  </si>
  <si>
    <t xml:space="preserve">  of the supported plans</t>
  </si>
  <si>
    <t xml:space="preserve">Most lie inside stretches where payouts fall at the reserve's price: weights pick their ends</t>
  </si>
  <si>
    <t xml:space="preserve">Evolutionary search: each plan proposed with chance (engine)</t>
  </si>
  <si>
    <t xml:space="preserve">Proposition 12.2(iv): an unbounded archive</t>
  </si>
  <si>
    <t xml:space="preserve">  generation from which the archive equals the efficient set (engine)</t>
  </si>
  <si>
    <t xml:space="preserve">An archive bounded below 740 plans never could</t>
  </si>
  <si>
    <t xml:space="preserve">Add uncertainty: Chapter 9's appetite as a bound on a cost-chance frontier (Proposition 12.3; Section 12.5; Figure 10.3; AXIOM Lab 2.12, step 5)</t>
  </si>
  <si>
    <t xml:space="preserve">Declared values, as the book prints them (Online Appendix Example 10.B.2: Chapter 9's cheapest committed packages on its 100,000 paths, seed 8; not re-simulated here). The price of the appetite is the slope of its least cost.</t>
  </si>
  <si>
    <t xml:space="preserve">Line fees over the program, per $ of line</t>
  </si>
  <si>
    <t xml:space="preserve">Chapter 9's levers</t>
  </si>
  <si>
    <t xml:space="preserve">A quarter of committed delay</t>
  </si>
  <si>
    <t xml:space="preserve">Chapter 11's records' family: cheapest package keeping 5%</t>
  </si>
  <si>
    <t xml:space="preserve">Worked Example 11.1</t>
  </si>
  <si>
    <t xml:space="preserve">Appetite (%)</t>
  </si>
  <si>
    <t xml:space="preserve">Line ($m)</t>
  </si>
  <si>
    <t xml:space="preserve">Delay (quarters)</t>
  </si>
  <si>
    <t xml:space="preserve">Least cost ($m)</t>
  </si>
  <si>
    <t xml:space="preserve">Fees + delay cost</t>
  </si>
  <si>
    <t xml:space="preserve">|declared - recomputed|</t>
  </si>
  <si>
    <t xml:space="preserve">Price: cost per point of appetite</t>
  </si>
  <si>
    <t xml:space="preserve">Declared costs agree with the levers within the delays' rounding (1 = yes)</t>
  </si>
  <si>
    <t xml:space="preserve">Delays printed to three decimals</t>
  </si>
  <si>
    <t xml:space="preserve">A point of appetite from 4% to 5%</t>
  </si>
  <si>
    <t xml:space="preserve">About $1.9 million (LOS Guidance 12.5)</t>
  </si>
  <si>
    <t xml:space="preserve">  from 5% to 6%</t>
  </si>
  <si>
    <t xml:space="preserve">About $1.6 million (Section 12.5)</t>
  </si>
  <si>
    <t xml:space="preserve">The least cost never rises with the appetite (1 = yes)</t>
  </si>
  <si>
    <t xml:space="preserve">Proposition 12.3(i)</t>
  </si>
  <si>
    <t xml:space="preserve">The records' family above one law at 5%</t>
  </si>
  <si>
    <t xml:space="preserve">Proposition 12.3(ii): a family never lowers the cost; Chapter 11's price of ambiguity, $13.56 million</t>
  </si>
  <si>
    <t xml:space="preserve">Online Appendix 12.B's dent: a line z in [0, 2] costs z; the need is 1 or 2 with chances 0.3 and 0.7</t>
  </si>
  <si>
    <t xml:space="preserve">  the line z = 1: cost</t>
  </si>
  <si>
    <t xml:space="preserve">  its chance of a need above the line</t>
  </si>
  <si>
    <t xml:space="preserve">The need is 2 with chance 0.7</t>
  </si>
  <si>
    <t xml:space="preserve">  the average 0.55 x (0, 1) + 0.45 x (2, 0): cost</t>
  </si>
  <si>
    <t xml:space="preserve">  its chance</t>
  </si>
  <si>
    <t xml:space="preserve">  better in both (1 = yes): z = 1 is efficient, yet no weighted sum picks it</t>
  </si>
  <si>
    <t xml:space="preserve">Proposition 12.3(iii): the chance can have dents</t>
  </si>
  <si>
    <t xml:space="preserve">Checkpoint</t>
  </si>
  <si>
    <t xml:space="preserve">Engine value</t>
  </si>
  <si>
    <t xml:space="preserve">Meaning (where in the book)</t>
  </si>
  <si>
    <t xml:space="preserve">Payout programs that keep every commitment</t>
  </si>
  <si>
    <t xml:space="preserve">Online Appendix Remark 12.B.1: 7,824</t>
  </si>
  <si>
    <t xml:space="preserve">Savings depend only on the rounds: 140 - 140/2^n</t>
  </si>
  <si>
    <t xml:space="preserve">Online Appendix Remark 12.B.1</t>
  </si>
  <si>
    <t xml:space="preserve">Chapter 5's price of savings</t>
  </si>
  <si>
    <t xml:space="preserve">Section 12.2: 5.645; Online Appendix: 5.6447</t>
  </si>
  <si>
    <t xml:space="preserve">Schedules keeping every commitment, no reserve</t>
  </si>
  <si>
    <t xml:space="preserve">Step 2: all 64</t>
  </si>
  <si>
    <t xml:space="preserve">Dominated schedules</t>
  </si>
  <si>
    <t xml:space="preserve">Step 2: 59</t>
  </si>
  <si>
    <t xml:space="preserve">Efficient schedules</t>
  </si>
  <si>
    <t xml:space="preserve">Step 2: five</t>
  </si>
  <si>
    <t xml:space="preserve">No rounds: payout in year 1</t>
  </si>
  <si>
    <t xml:space="preserve">Online Appendix 12.B.2: 150</t>
  </si>
  <si>
    <t xml:space="preserve">Best payouts, no rounds</t>
  </si>
  <si>
    <t xml:space="preserve">Best payouts, one round</t>
  </si>
  <si>
    <t xml:space="preserve">Savings, one round</t>
  </si>
  <si>
    <t xml:space="preserve">S_6 = 140 - 140/2^n</t>
  </si>
  <si>
    <t xml:space="preserve">Best payouts, two rounds</t>
  </si>
  <si>
    <t xml:space="preserve">Savings, two rounds</t>
  </si>
  <si>
    <t xml:space="preserve">Best payouts, three rounds</t>
  </si>
  <si>
    <t xml:space="preserve">Savings, three rounds</t>
  </si>
  <si>
    <t xml:space="preserve">Best payouts, four rounds</t>
  </si>
  <si>
    <t xml:space="preserve">Savings, four rounds</t>
  </si>
  <si>
    <t xml:space="preserve">Best payouts, five rounds</t>
  </si>
  <si>
    <t xml:space="preserve">Savings, five rounds</t>
  </si>
  <si>
    <t xml:space="preserve">Best payouts, six rounds</t>
  </si>
  <si>
    <t xml:space="preserve">Savings, six rounds</t>
  </si>
  <si>
    <t xml:space="preserve">Three rounds: payout in year 1</t>
  </si>
  <si>
    <t xml:space="preserve">Online Appendix 12.B.2: 85, 0, 122.5 ...</t>
  </si>
  <si>
    <t xml:space="preserve">Three rounds: payout in year 2</t>
  </si>
  <si>
    <t xml:space="preserve">Three rounds: payout in year 3</t>
  </si>
  <si>
    <t xml:space="preserve">Three rounds: payout in year 4</t>
  </si>
  <si>
    <t xml:space="preserve">Three rounds: payout in year 5</t>
  </si>
  <si>
    <t xml:space="preserve">Three rounds: payout in year 6</t>
  </si>
  <si>
    <t xml:space="preserve">Three rounds: cash at the end of year 1</t>
  </si>
  <si>
    <t xml:space="preserve">485, 470, 350, 350, 350, 470</t>
  </si>
  <si>
    <t xml:space="preserve">Three rounds: cash at the end of year 2</t>
  </si>
  <si>
    <t xml:space="preserve">Three rounds: cash at the end of year 3</t>
  </si>
  <si>
    <t xml:space="preserve">Three rounds: cash at the end of year 4</t>
  </si>
  <si>
    <t xml:space="preserve">Three rounds: cash at the end of year 5</t>
  </si>
  <si>
    <t xml:space="preserve">Three rounds: cash at the end of year 6</t>
  </si>
  <si>
    <t xml:space="preserve">Three rounds: paid in all</t>
  </si>
  <si>
    <t xml:space="preserve">Worked Example 12.1: $455 million</t>
  </si>
  <si>
    <t xml:space="preserve">One round is dominated by two</t>
  </si>
  <si>
    <t xml:space="preserve">Step 2</t>
  </si>
  <si>
    <t xml:space="preserve">Ideal point, two objectives: payouts</t>
  </si>
  <si>
    <t xml:space="preserve">Step 2: 384.17</t>
  </si>
  <si>
    <t xml:space="preserve">Ideal point, two objectives: savings</t>
  </si>
  <si>
    <t xml:space="preserve">Step 2: 137.81</t>
  </si>
  <si>
    <t xml:space="preserve">The ideal point is out of reach</t>
  </si>
  <si>
    <t xml:space="preserve">Theorem 12.1(iii)</t>
  </si>
  <si>
    <t xml:space="preserve">Bound on savings of 122.5: payouts</t>
  </si>
  <si>
    <t xml:space="preserve">Theorem 12.1(ii): 330.45, three rounds</t>
  </si>
  <si>
    <t xml:space="preserve">Bound on savings of 122.5 and a reserve of 50: payouts</t>
  </si>
  <si>
    <t xml:space="preserve">Online Appendix 12.B.2: 285.00</t>
  </si>
  <si>
    <t xml:space="preserve">2 to 3 rounds: payouts given up</t>
  </si>
  <si>
    <t xml:space="preserve">Online Appendix 12.B.2</t>
  </si>
  <si>
    <t xml:space="preserve">2 to 3 rounds: savings gained</t>
  </si>
  <si>
    <t xml:space="preserve">2 to 3 rounds: price of savings</t>
  </si>
  <si>
    <t xml:space="preserve">Step 3: 3.07, 7.95, 16.93, 36.68</t>
  </si>
  <si>
    <t xml:space="preserve">3 to 4 rounds: payouts given up</t>
  </si>
  <si>
    <t xml:space="preserve">3 to 4 rounds: savings gained</t>
  </si>
  <si>
    <t xml:space="preserve">3 to 4 rounds: price of savings</t>
  </si>
  <si>
    <t xml:space="preserve">4 to 5 rounds: payouts given up</t>
  </si>
  <si>
    <t xml:space="preserve">4 to 5 rounds: savings gained</t>
  </si>
  <si>
    <t xml:space="preserve">4 to 5 rounds: price of savings</t>
  </si>
  <si>
    <t xml:space="preserve">5 to 6 rounds: payouts given up</t>
  </si>
  <si>
    <t xml:space="preserve">5 to 6 rounds: savings gained</t>
  </si>
  <si>
    <t xml:space="preserve">5 to 6 rounds: price of savings</t>
  </si>
  <si>
    <t xml:space="preserve">The prices rise along the frontier</t>
  </si>
  <si>
    <t xml:space="preserve">Figure 12.1(b)</t>
  </si>
  <si>
    <t xml:space="preserve">Board value, two rounds</t>
  </si>
  <si>
    <t xml:space="preserve">Board value, three rounds</t>
  </si>
  <si>
    <t xml:space="preserve">Board value, four rounds</t>
  </si>
  <si>
    <t xml:space="preserve">Board value, five rounds</t>
  </si>
  <si>
    <t xml:space="preserve">Board value, six rounds</t>
  </si>
  <si>
    <t xml:space="preserve">The board's weighted sum: rounds</t>
  </si>
  <si>
    <t xml:space="preserve">Step 3: three rounds</t>
  </si>
  <si>
    <t xml:space="preserve">The reserve's price, recomputed war chests: smallest</t>
  </si>
  <si>
    <t xml:space="preserve">Step 4: $0.909 for every schedule</t>
  </si>
  <si>
    <t xml:space="preserve">The reserve's price, recomputed war chests: largest</t>
  </si>
  <si>
    <t xml:space="preserve">Online Appendix 12.B.2: 0.9091</t>
  </si>
  <si>
    <t xml:space="preserve">Step 4</t>
  </si>
  <si>
    <t xml:space="preserve">Online Appendix 12.B.2: 570</t>
  </si>
  <si>
    <t xml:space="preserve">Rounds in years 1 and 2 need a reserve of at most</t>
  </si>
  <si>
    <t xml:space="preserve">Step 4: $100 million</t>
  </si>
  <si>
    <t xml:space="preserve">555</t>
  </si>
  <si>
    <t xml:space="preserve">Rounds in years 1-3 need a reserve of at most</t>
  </si>
  <si>
    <t xml:space="preserve">Step 4: $85 million</t>
  </si>
  <si>
    <t xml:space="preserve">No plan keeps a reserve above</t>
  </si>
  <si>
    <t xml:space="preserve">Online Appendix Remark 12.B.1: $150 million</t>
  </si>
  <si>
    <t xml:space="preserve">Three rounds: the first move</t>
  </si>
  <si>
    <t xml:space="preserve">86</t>
  </si>
  <si>
    <t xml:space="preserve">Three rounds: the second move</t>
  </si>
  <si>
    <t xml:space="preserve">101</t>
  </si>
  <si>
    <t xml:space="preserve">Three rounds at a reserve of 25</t>
  </si>
  <si>
    <t xml:space="preserve">Three rounds at a reserve of 50</t>
  </si>
  <si>
    <t xml:space="preserve">Three rounds at a reserve of 85</t>
  </si>
  <si>
    <t xml:space="preserve">Three rounds at a reserve of 86</t>
  </si>
  <si>
    <t xml:space="preserve">Three rounds at a reserve of 90</t>
  </si>
  <si>
    <t xml:space="preserve">Three rounds at a reserve of 100</t>
  </si>
  <si>
    <t xml:space="preserve">Three rounds at a reserve of 101</t>
  </si>
  <si>
    <t xml:space="preserve">Three rounds at a reserve of 120</t>
  </si>
  <si>
    <t xml:space="preserve">Three rounds at a reserve of 150</t>
  </si>
  <si>
    <t xml:space="preserve">Drop beyond the price at 86</t>
  </si>
  <si>
    <t xml:space="preserve">Step 4: 4.02</t>
  </si>
  <si>
    <t xml:space="preserve">Drop beyond the price at 101</t>
  </si>
  <si>
    <t xml:space="preserve">Step 4: 24.38</t>
  </si>
  <si>
    <t xml:space="preserve">Plans best for their rounds and reserve</t>
  </si>
  <si>
    <t xml:space="preserve">Online Appendix 12.B.2: 992</t>
  </si>
  <si>
    <t xml:space="preserve">Efficient plans, three objectives</t>
  </si>
  <si>
    <t xml:space="preserve">Step 4: 740</t>
  </si>
  <si>
    <t xml:space="preserve">Supported plans (engine), each certified</t>
  </si>
  <si>
    <t xml:space="preserve">Online Appendix 12.B.2: 453</t>
  </si>
  <si>
    <t xml:space="preserve">Plans in dents, each certified</t>
  </si>
  <si>
    <t xml:space="preserve">Step 4: 287</t>
  </si>
  <si>
    <t xml:space="preserve">Certificates: every supported plan best at its weights</t>
  </si>
  <si>
    <t xml:space="preserve">Theorem 12.2(i)</t>
  </si>
  <si>
    <t xml:space="preserve">Certificates: every plan in a dent beaten by an average</t>
  </si>
  <si>
    <t xml:space="preserve">Theorem 12.2(iii)</t>
  </si>
  <si>
    <t xml:space="preserve">Dents, one round: plans</t>
  </si>
  <si>
    <t xml:space="preserve">Dents, one round: smallest reserve</t>
  </si>
  <si>
    <t xml:space="preserve">Dents, one round: largest reserve</t>
  </si>
  <si>
    <t xml:space="preserve">Dents, two rounds: plans</t>
  </si>
  <si>
    <t xml:space="preserve">Dents, two rounds: smallest reserve</t>
  </si>
  <si>
    <t xml:space="preserve">Dents, two rounds: largest reserve</t>
  </si>
  <si>
    <t xml:space="preserve">Dents, three rounds: plans</t>
  </si>
  <si>
    <t xml:space="preserve">Dents, three rounds: smallest reserve</t>
  </si>
  <si>
    <t xml:space="preserve">Dents, three rounds: largest reserve</t>
  </si>
  <si>
    <t xml:space="preserve">Dents, four rounds: plans</t>
  </si>
  <si>
    <t xml:space="preserve">Dents, four rounds: smallest reserve</t>
  </si>
  <si>
    <t xml:space="preserve">Dents, four rounds: largest reserve</t>
  </si>
  <si>
    <t xml:space="preserve">Dents, five rounds: plans</t>
  </si>
  <si>
    <t xml:space="preserve">Dents, five rounds: smallest reserve</t>
  </si>
  <si>
    <t xml:space="preserve">Dents, five rounds: largest reserve</t>
  </si>
  <si>
    <t xml:space="preserve">Dents, six rounds: none</t>
  </si>
  <si>
    <t xml:space="preserve">Dents: smallest reserve</t>
  </si>
  <si>
    <t xml:space="preserve">Step 4: $86 million</t>
  </si>
  <si>
    <t xml:space="preserve">Dents: largest reserve</t>
  </si>
  <si>
    <t xml:space="preserve">$149 million</t>
  </si>
  <si>
    <t xml:space="preserve">Step 5: (384.17, 137.81, 150)</t>
  </si>
  <si>
    <t xml:space="preserve">Nadir point: payouts</t>
  </si>
  <si>
    <t xml:space="preserve">Step 5: (22.06, 70, 0)</t>
  </si>
  <si>
    <t xml:space="preserve">Nadir point: savings</t>
  </si>
  <si>
    <t xml:space="preserve">Ideal point: reserve</t>
  </si>
  <si>
    <t xml:space="preserve">Nadir point: reserve</t>
  </si>
  <si>
    <t xml:space="preserve">Equal weights: rounds in years 1, 2, 4</t>
  </si>
  <si>
    <t xml:space="preserve">Step 5</t>
  </si>
  <si>
    <t xml:space="preserve">Equal weights: reserve</t>
  </si>
  <si>
    <t xml:space="preserve">$92 million</t>
  </si>
  <si>
    <t xml:space="preserve">Equal weights: payouts</t>
  </si>
  <si>
    <t xml:space="preserve">$242.80 million</t>
  </si>
  <si>
    <t xml:space="preserve">Equal weights: savings</t>
  </si>
  <si>
    <t xml:space="preserve">$122.5 million</t>
  </si>
  <si>
    <t xml:space="preserve">Equal weights: payout in year 1</t>
  </si>
  <si>
    <t xml:space="preserve">Online Appendix 12.B.2: 8, 90, 0, ...</t>
  </si>
  <si>
    <t xml:space="preserve">Equal weights: payout in year 2</t>
  </si>
  <si>
    <t xml:space="preserve">Equal weights: payout in year 3</t>
  </si>
  <si>
    <t xml:space="preserve">Equal weights: payout in year 4</t>
  </si>
  <si>
    <t xml:space="preserve">Equal weights: payout in year 5</t>
  </si>
  <si>
    <t xml:space="preserve">Equal weights: payout in year 6</t>
  </si>
  <si>
    <t xml:space="preserve">Equal weights: shortfall, payouts</t>
  </si>
  <si>
    <t xml:space="preserve">0.390, 0.226, 0.387</t>
  </si>
  <si>
    <t xml:space="preserve">Equal weights: shortfall, savings</t>
  </si>
  <si>
    <t xml:space="preserve">Equal weights: shortfall, reserve</t>
  </si>
  <si>
    <t xml:space="preserve">Equal weights: in a dent</t>
  </si>
  <si>
    <t xml:space="preserve">Theorem 12.3(iii): no prices reach it</t>
  </si>
  <si>
    <t xml:space="preserve">Equal weights: board value</t>
  </si>
  <si>
    <t xml:space="preserve">Table 12.3: 934.28</t>
  </si>
  <si>
    <t xml:space="preserve">CFO twice: rounds in years 1, 2</t>
  </si>
  <si>
    <t xml:space="preserve">CFO twice: reserve</t>
  </si>
  <si>
    <t xml:space="preserve">$96 million</t>
  </si>
  <si>
    <t xml:space="preserve">CFO twice: payouts</t>
  </si>
  <si>
    <t xml:space="preserve">$296.90 million</t>
  </si>
  <si>
    <t xml:space="preserve">CFO twice: savings</t>
  </si>
  <si>
    <t xml:space="preserve">CFO twice: payout in year 1</t>
  </si>
  <si>
    <t xml:space="preserve">Online Appendix 12.B.2: 4, 105, 105, 105, 90, 0</t>
  </si>
  <si>
    <t xml:space="preserve">CFO twice: payout in year 2</t>
  </si>
  <si>
    <t xml:space="preserve">CFO twice: payout in year 3</t>
  </si>
  <si>
    <t xml:space="preserve">CFO twice: payout in year 4</t>
  </si>
  <si>
    <t xml:space="preserve">CFO twice: payout in year 5</t>
  </si>
  <si>
    <t xml:space="preserve">CFO twice: payout in year 6</t>
  </si>
  <si>
    <t xml:space="preserve">CFO twice: weighted shortfall, payouts</t>
  </si>
  <si>
    <t xml:space="preserve">0.482, 0.484, 0.360</t>
  </si>
  <si>
    <t xml:space="preserve">CFO twice: weighted shortfall, savings</t>
  </si>
  <si>
    <t xml:space="preserve">CFO twice: weighted shortfall, reserve</t>
  </si>
  <si>
    <t xml:space="preserve">CFO twice: supported</t>
  </si>
  <si>
    <t xml:space="preserve">CFO twice: board value</t>
  </si>
  <si>
    <t xml:space="preserve">Table 12.3: 889.60</t>
  </si>
  <si>
    <t xml:space="preserve">Theorem 12.3(iii): years 1, 2, 4 with $92m, reached by its own weights</t>
  </si>
  <si>
    <t xml:space="preserve">The notebook checks all 740 efficient plans</t>
  </si>
  <si>
    <t xml:space="preserve">CFO's best: years 1, 2</t>
  </si>
  <si>
    <t xml:space="preserve">Table 12.3</t>
  </si>
  <si>
    <t xml:space="preserve">COO's best: all six</t>
  </si>
  <si>
    <t xml:space="preserve">Treasury's best: year 1</t>
  </si>
  <si>
    <t xml:space="preserve">Treasury's best: payout in year 1</t>
  </si>
  <si>
    <t xml:space="preserve">70, 70, 70, 70, 20, 0</t>
  </si>
  <si>
    <t xml:space="preserve">Treasury's best: payout in year 2</t>
  </si>
  <si>
    <t xml:space="preserve">Treasury's best: payout in year 3</t>
  </si>
  <si>
    <t xml:space="preserve">Treasury's best: payout in year 4</t>
  </si>
  <si>
    <t xml:space="preserve">Treasury's best: payout in year 5</t>
  </si>
  <si>
    <t xml:space="preserve">Treasury's best: payout in year 6</t>
  </si>
  <si>
    <t xml:space="preserve">The board's weighted sum, three objectives</t>
  </si>
  <si>
    <t xml:space="preserve">1,021.93: three rounds, no reserve</t>
  </si>
  <si>
    <t xml:space="preserve">Goals: first answer, years 1, 2, 5</t>
  </si>
  <si>
    <t xml:space="preserve">Goals: first answer pays</t>
  </si>
  <si>
    <t xml:space="preserve">$300.00 million</t>
  </si>
  <si>
    <t xml:space="preserve">Goals: first answer, available</t>
  </si>
  <si>
    <t xml:space="preserve">Online Appendix 12.B.2: 300.05</t>
  </si>
  <si>
    <t xml:space="preserve">Goals: the first answer is dominated</t>
  </si>
  <si>
    <t xml:space="preserve">Proposition 12.1(ii)</t>
  </si>
  <si>
    <t xml:space="preserve">Goals: second stage, years 1-3</t>
  </si>
  <si>
    <t xml:space="preserve">Goals: second stage pays</t>
  </si>
  <si>
    <t xml:space="preserve">$307.72 million</t>
  </si>
  <si>
    <t xml:space="preserve">Goals: left unpaid</t>
  </si>
  <si>
    <t xml:space="preserve">LOS Guidance 12.4: $7.72 million</t>
  </si>
  <si>
    <t xml:space="preserve">Table 12.3, CFO's best: reserve</t>
  </si>
  <si>
    <t xml:space="preserve">Table 12.3, CFO's best: payouts</t>
  </si>
  <si>
    <t xml:space="preserve">Table 12.3, CFO's best: savings</t>
  </si>
  <si>
    <t xml:space="preserve">Table 12.3, CFO's best: board value</t>
  </si>
  <si>
    <t xml:space="preserve">Table 12.3, COO's best: reserve</t>
  </si>
  <si>
    <t xml:space="preserve">Table 12.3, COO's best: payouts</t>
  </si>
  <si>
    <t xml:space="preserve">Table 12.3, COO's best: savings</t>
  </si>
  <si>
    <t xml:space="preserve">Table 12.3, COO's best: board value</t>
  </si>
  <si>
    <t xml:space="preserve">Table 12.3, Treasury's best: reserve</t>
  </si>
  <si>
    <t xml:space="preserve">Table 12.3, Treasury's best: payouts</t>
  </si>
  <si>
    <t xml:space="preserve">Table 12.3, Treasury's best: savings</t>
  </si>
  <si>
    <t xml:space="preserve">Table 12.3, Treasury's best: board value</t>
  </si>
  <si>
    <t xml:space="preserve">Table 12.3, Board value (Chapter 5): reserve</t>
  </si>
  <si>
    <t xml:space="preserve">Table 12.3, Board value (Chapter 5): payouts</t>
  </si>
  <si>
    <t xml:space="preserve">Table 12.3, Board value (Chapter 5): savings</t>
  </si>
  <si>
    <t xml:space="preserve">Table 12.3, Board value (Chapter 5): board value</t>
  </si>
  <si>
    <t xml:space="preserve">Table 12.3, Chebyshev, equal weights: reserve</t>
  </si>
  <si>
    <t xml:space="preserve">Table 12.3, Chebyshev, equal weights: payouts</t>
  </si>
  <si>
    <t xml:space="preserve">Table 12.3, Chebyshev, equal weights: savings</t>
  </si>
  <si>
    <t xml:space="preserve">Table 12.3, Chebyshev, equal weights: board value</t>
  </si>
  <si>
    <t xml:space="preserve">Table 12.3, Chebyshev, CFO twice: reserve</t>
  </si>
  <si>
    <t xml:space="preserve">Table 12.3, Chebyshev, CFO twice: payouts</t>
  </si>
  <si>
    <t xml:space="preserve">Table 12.3, Chebyshev, CFO twice: savings</t>
  </si>
  <si>
    <t xml:space="preserve">Table 12.3, Chebyshev, CFO twice: board value</t>
  </si>
  <si>
    <t xml:space="preserve">Table 12.3, Goals, first answer: reserve</t>
  </si>
  <si>
    <t xml:space="preserve">Table 12.3, Goals, first answer: payouts</t>
  </si>
  <si>
    <t xml:space="preserve">Table 12.3, Goals, first answer: savings</t>
  </si>
  <si>
    <t xml:space="preserve">Table 12.3, Goals, first answer: board value</t>
  </si>
  <si>
    <t xml:space="preserve">Table 12.3, Goals, second stage: reserve</t>
  </si>
  <si>
    <t xml:space="preserve">Table 12.3, Goals, second stage: payouts</t>
  </si>
  <si>
    <t xml:space="preserve">Table 12.3, Goals, second stage: savings</t>
  </si>
  <si>
    <t xml:space="preserve">Table 12.3, Goals, second stage: board value</t>
  </si>
  <si>
    <t xml:space="preserve">Figure 12.3: board value from</t>
  </si>
  <si>
    <t xml:space="preserve">629.44</t>
  </si>
  <si>
    <t xml:space="preserve">Figure 12.3: board value to</t>
  </si>
  <si>
    <t xml:space="preserve">1,021.93</t>
  </si>
  <si>
    <t xml:space="preserve">Hypervolume of the five efficient schedules</t>
  </si>
  <si>
    <t xml:space="preserve">Proposition 12.2(ii); reference point (0, 0)</t>
  </si>
  <si>
    <t xml:space="preserve">Hypervolume of the best set of 1</t>
  </si>
  <si>
    <t xml:space="preserve">Engine: every set of the 64 tried</t>
  </si>
  <si>
    <t xml:space="preserve">The best set of 1: all efficient</t>
  </si>
  <si>
    <t xml:space="preserve">Proposition 12.2(ii)</t>
  </si>
  <si>
    <t xml:space="preserve">Hypervolume of the best set of 2</t>
  </si>
  <si>
    <t xml:space="preserve">The best set of 2: all efficient</t>
  </si>
  <si>
    <t xml:space="preserve">Hypervolume of the best set of 3</t>
  </si>
  <si>
    <t xml:space="preserve">The best set of 3: all efficient</t>
  </si>
  <si>
    <t xml:space="preserve">Chapter 9's frontier: a point of appetite, 4% to 5%</t>
  </si>
  <si>
    <t xml:space="preserve">About $1.9 million</t>
  </si>
  <si>
    <t xml:space="preserve">Chapter 9's frontier: a point of appetite, 5% to 6%</t>
  </si>
  <si>
    <t xml:space="preserve">About $1.6 million</t>
  </si>
  <si>
    <t xml:space="preserve">The least cost never rises with the appetite</t>
  </si>
  <si>
    <t xml:space="preserve">Declared costs agree with 3% of the line plus $8m a quarter</t>
  </si>
  <si>
    <t xml:space="preserve">Online Appendix Example 10.B.2</t>
  </si>
  <si>
    <t xml:space="preserve">$13.56 million</t>
  </si>
  <si>
    <t xml:space="preserve">Online Appendix 12.B's dent: the average's cost</t>
  </si>
  <si>
    <t xml:space="preserve">0.9</t>
  </si>
  <si>
    <t xml:space="preserve">Online Appendix 12.B's dent: the average's chance</t>
  </si>
  <si>
    <t xml:space="preserve">0.55</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</si>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</sst>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1">
    <numFmt numFmtId="164" formatCode="General"/>
    <numFmt numFmtId="165" formatCode="0.00"/>
    <numFmt numFmtId="166" formatCode="0.00%"/>
    <numFmt numFmtId="167" formatCode="0.000000"/>
    <numFmt numFmtId="168" formatCode="0.0000"/>
    <numFmt numFmtId="169" formatCode="0"/>
    <numFmt numFmtId="170" formatCode="#,##0.00"/>
    <numFmt numFmtId="171" formatCode="0.0E+00"/>
    <numFmt numFmtId="172" formatCode="#,##0"/>
    <numFmt numFmtId="173" formatCode="0.000"/>
    <numFmt numFmtId="174" formatCode="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s>
  <fills count="5">
    <fill>
      <patternFill patternType="none"/>
    </fill>
    <fill>
      <patternFill patternType="gray125"/>
    </fill>
    <fill>
      <patternFill patternType="solid">
        <fgColor rgb="FFFFF3D6"/>
        <bgColor rgb="FFE8F0EC"/>
      </patternFill>
    </fill>
    <fill>
      <patternFill patternType="solid">
        <fgColor rgb="FFE8F0EC"/>
        <bgColor rgb="FFFFF3D6"/>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74" fontId="7" fillId="2" borderId="0" xfId="0" applyFont="true" applyBorder="false" applyAlignment="false" applyProtection="false">
      <alignment horizontal="general" vertical="bottom" textRotation="0" wrapText="false" indent="0" shrinkToFit="false"/>
      <protection locked="true" hidden="false"/>
    </xf>
    <xf numFmtId="173" fontId="7" fillId="2" borderId="0" xfId="0" applyFont="true" applyBorder="false" applyAlignment="false" applyProtection="false">
      <alignment horizontal="general" vertical="bottom" textRotation="0" wrapText="false" indent="0" shrinkToFit="false"/>
      <protection locked="true" hidden="false"/>
    </xf>
    <xf numFmtId="171"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35.05" hidden="false" customHeight="false" outlineLevel="0" collapsed="false">
      <c r="B4" s="3" t="s">
        <v>2</v>
      </c>
    </row>
    <row r="5" customFormat="false" ht="15" hidden="false" customHeight="false" outlineLevel="0" collapsed="false">
      <c r="B5" s="3" t="s">
        <v>3</v>
      </c>
    </row>
    <row r="6" customFormat="false" ht="23.85" hidden="false" customHeight="false" outlineLevel="0" collapsed="false">
      <c r="B6" s="3" t="s">
        <v>4</v>
      </c>
    </row>
    <row r="7" customFormat="false" ht="23.85" hidden="false" customHeight="false" outlineLevel="0" collapsed="false">
      <c r="B7" s="3" t="s">
        <v>5</v>
      </c>
    </row>
    <row r="8" customFormat="false" ht="15" hidden="false" customHeight="false" outlineLevel="0" collapsed="false">
      <c r="B8" s="3" t="s">
        <v>6</v>
      </c>
    </row>
    <row r="9" customFormat="false" ht="23.85" hidden="false" customHeight="false" outlineLevel="0" collapsed="false">
      <c r="B9" s="3" t="s">
        <v>7</v>
      </c>
    </row>
    <row r="10" customFormat="false" ht="23.85" hidden="false" customHeight="false" outlineLevel="0" collapsed="false">
      <c r="B10" s="3" t="s">
        <v>8</v>
      </c>
    </row>
    <row r="11" customFormat="false" ht="23.85" hidden="false" customHeight="false" outlineLevel="0" collapsed="false">
      <c r="B11" s="3" t="s">
        <v>9</v>
      </c>
    </row>
    <row r="12" customFormat="false" ht="15" hidden="false" customHeight="false" outlineLevel="0" collapsed="false">
      <c r="B12" s="3" t="s">
        <v>10</v>
      </c>
    </row>
    <row r="13" customFormat="false" ht="15" hidden="false" customHeight="false" outlineLevel="0" collapsed="false">
      <c r="B13" s="3" t="s">
        <v>11</v>
      </c>
    </row>
    <row r="15" customFormat="false" ht="15" hidden="false" customHeight="false" outlineLevel="0" collapsed="false">
      <c r="B15" s="4" t="s">
        <v>12</v>
      </c>
    </row>
    <row r="16" customFormat="false" ht="15" hidden="false" customHeight="false" outlineLevel="0" collapsed="false">
      <c r="B16" s="5" t="s">
        <v>13</v>
      </c>
    </row>
    <row r="17" customFormat="false" ht="15" hidden="false" customHeight="false" outlineLevel="0" collapsed="false">
      <c r="B17" s="2" t="s">
        <v>14</v>
      </c>
    </row>
    <row r="18" customFormat="false" ht="15" hidden="false" customHeight="false" outlineLevel="0" collapsed="false">
      <c r="B18" s="6" t="s">
        <v>15</v>
      </c>
    </row>
    <row r="19" customFormat="false" ht="15" hidden="false" customHeight="false" outlineLevel="0" collapsed="false">
      <c r="B19" s="7"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96"/>
  </cols>
  <sheetData>
    <row r="1" customFormat="false" ht="15" hidden="false" customHeight="false" outlineLevel="0" collapsed="false">
      <c r="A1" s="1" t="s">
        <v>17</v>
      </c>
    </row>
    <row r="3" customFormat="false" ht="15" hidden="false" customHeight="false" outlineLevel="0" collapsed="false">
      <c r="A3" s="8" t="s">
        <v>18</v>
      </c>
      <c r="B3" s="8" t="s">
        <v>19</v>
      </c>
      <c r="C3" s="8" t="s">
        <v>20</v>
      </c>
    </row>
    <row r="4" customFormat="false" ht="15" hidden="false" customHeight="false" outlineLevel="0" collapsed="false">
      <c r="A4" s="2" t="s">
        <v>21</v>
      </c>
      <c r="B4" s="9" t="n">
        <v>620</v>
      </c>
      <c r="C4" s="10" t="s">
        <v>22</v>
      </c>
    </row>
    <row r="5" customFormat="false" ht="15" hidden="false" customHeight="false" outlineLevel="0" collapsed="false">
      <c r="A5" s="2" t="s">
        <v>23</v>
      </c>
      <c r="B5" s="9" t="n">
        <v>71</v>
      </c>
      <c r="C5" s="10"/>
    </row>
    <row r="6" customFormat="false" ht="15" hidden="false" customHeight="false" outlineLevel="0" collapsed="false">
      <c r="A6" s="2" t="s">
        <v>24</v>
      </c>
      <c r="B6" s="9" t="n">
        <v>85</v>
      </c>
      <c r="C6" s="10" t="s">
        <v>25</v>
      </c>
    </row>
    <row r="7" customFormat="false" ht="15" hidden="false" customHeight="false" outlineLevel="0" collapsed="false">
      <c r="A7" s="2" t="s">
        <v>26</v>
      </c>
      <c r="B7" s="9" t="n">
        <v>0.5</v>
      </c>
      <c r="C7" s="10"/>
    </row>
    <row r="8" customFormat="false" ht="15" hidden="false" customHeight="false" outlineLevel="0" collapsed="false">
      <c r="A8" s="2" t="s">
        <v>27</v>
      </c>
      <c r="B8" s="9" t="n">
        <v>10</v>
      </c>
      <c r="C8" s="10" t="s">
        <v>28</v>
      </c>
    </row>
    <row r="9" customFormat="false" ht="15" hidden="false" customHeight="false" outlineLevel="0" collapsed="false">
      <c r="A9" s="2" t="s">
        <v>29</v>
      </c>
      <c r="B9" s="9" t="n">
        <v>120</v>
      </c>
      <c r="C9" s="10"/>
    </row>
    <row r="10" customFormat="false" ht="15" hidden="false" customHeight="false" outlineLevel="0" collapsed="false">
      <c r="A10" s="2" t="s">
        <v>30</v>
      </c>
      <c r="B10" s="9" t="n">
        <v>350</v>
      </c>
      <c r="C10" s="10" t="s">
        <v>31</v>
      </c>
    </row>
    <row r="11" customFormat="false" ht="15" hidden="false" customHeight="false" outlineLevel="0" collapsed="false">
      <c r="A11" s="2" t="s">
        <v>32</v>
      </c>
      <c r="B11" s="9" t="n">
        <v>470</v>
      </c>
      <c r="C11" s="10"/>
    </row>
    <row r="12" customFormat="false" ht="15" hidden="false" customHeight="false" outlineLevel="0" collapsed="false">
      <c r="A12" s="2" t="s">
        <v>33</v>
      </c>
      <c r="B12" s="9" t="n">
        <v>470</v>
      </c>
      <c r="C12" s="10"/>
    </row>
    <row r="13" customFormat="false" ht="15" hidden="false" customHeight="false" outlineLevel="0" collapsed="false">
      <c r="A13" s="2" t="s">
        <v>34</v>
      </c>
      <c r="B13" s="11" t="n">
        <v>0.1</v>
      </c>
      <c r="C13" s="10" t="s">
        <v>35</v>
      </c>
    </row>
    <row r="14" customFormat="false" ht="15" hidden="false" customHeight="false" outlineLevel="0" collapsed="false">
      <c r="A14" s="2" t="s">
        <v>36</v>
      </c>
      <c r="B14" s="12" t="n">
        <f aca="false">1/(1+Hurdle_r)</f>
        <v>0.909090909090909</v>
      </c>
      <c r="C14" s="10" t="s">
        <v>37</v>
      </c>
    </row>
    <row r="15" customFormat="false" ht="15" hidden="false" customHeight="false" outlineLevel="0" collapsed="false">
      <c r="A15" s="2" t="s">
        <v>38</v>
      </c>
      <c r="B15" s="13" t="n">
        <f aca="false">Beta_y^6/Hurdle_r</f>
        <v>5.64473930053777</v>
      </c>
      <c r="C15" s="10" t="s">
        <v>39</v>
      </c>
    </row>
    <row r="17" customFormat="false" ht="15" hidden="false" customHeight="false" outlineLevel="0" collapsed="false">
      <c r="A17" s="2" t="s">
        <v>40</v>
      </c>
      <c r="B17" s="9" t="n">
        <v>50</v>
      </c>
      <c r="C17" s="10" t="s">
        <v>41</v>
      </c>
    </row>
    <row r="18" customFormat="false" ht="15" hidden="false" customHeight="false" outlineLevel="0" collapsed="false">
      <c r="A18" s="2" t="s">
        <v>42</v>
      </c>
      <c r="B18" s="9" t="n">
        <v>10</v>
      </c>
      <c r="C18" s="10" t="s">
        <v>43</v>
      </c>
    </row>
    <row r="20" customFormat="false" ht="15" hidden="false" customHeight="false" outlineLevel="0" collapsed="false">
      <c r="A20" s="2" t="s">
        <v>44</v>
      </c>
      <c r="B20" s="9" t="n">
        <v>300</v>
      </c>
      <c r="C20" s="10" t="s">
        <v>45</v>
      </c>
    </row>
    <row r="21" customFormat="false" ht="15" hidden="false" customHeight="false" outlineLevel="0" collapsed="false">
      <c r="A21" s="2" t="s">
        <v>46</v>
      </c>
      <c r="B21" s="9" t="n">
        <v>122.5</v>
      </c>
      <c r="C21" s="10"/>
    </row>
    <row r="22" customFormat="false" ht="15" hidden="false" customHeight="false" outlineLevel="0" collapsed="false">
      <c r="A22" s="2" t="s">
        <v>47</v>
      </c>
      <c r="B22" s="9" t="n">
        <v>25</v>
      </c>
      <c r="C22" s="10"/>
    </row>
    <row r="23" customFormat="false" ht="15" hidden="false" customHeight="false" outlineLevel="0" collapsed="false">
      <c r="A23" s="2" t="s">
        <v>48</v>
      </c>
      <c r="B23" s="14" t="n">
        <v>0.0001</v>
      </c>
      <c r="C23" s="10" t="s">
        <v>49</v>
      </c>
    </row>
    <row r="25" customFormat="false" ht="15" hidden="false" customHeight="false" outlineLevel="0" collapsed="false">
      <c r="A25" s="10" t="s">
        <v>50</v>
      </c>
    </row>
    <row r="26" customFormat="false" ht="15" hidden="false" customHeight="false" outlineLevel="0" collapsed="false">
      <c r="A26" s="10" t="s">
        <v>51</v>
      </c>
    </row>
    <row r="27" customFormat="false" ht="15" hidden="false" customHeight="false" outlineLevel="0" collapsed="false">
      <c r="A27" s="10"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9" min="3" style="0" width="5"/>
    <col collapsed="false" customWidth="true" hidden="false" outlineLevel="0" max="28" min="10" style="0" width="9"/>
    <col collapsed="false" customWidth="true" hidden="false" outlineLevel="0" max="30" min="29" style="0" width="11"/>
    <col collapsed="false" customWidth="true" hidden="false" outlineLevel="0" max="36" min="31" style="0" width="9"/>
    <col collapsed="false" customWidth="true" hidden="false" outlineLevel="0" max="37" min="37" style="0" width="12"/>
    <col collapsed="false" customWidth="true" hidden="false" outlineLevel="0" max="39" min="38" style="0" width="11"/>
    <col collapsed="false" customWidth="true" hidden="false" outlineLevel="0" max="40" min="40" style="0" width="9"/>
    <col collapsed="false" customWidth="true" hidden="false" outlineLevel="0" max="41" min="41" style="0" width="12"/>
    <col collapsed="false" customWidth="true" hidden="false" outlineLevel="0" max="42" min="42" style="0" width="13"/>
    <col collapsed="false" customWidth="true" hidden="false" outlineLevel="0" max="56" min="43" style="0" width="9"/>
    <col collapsed="false" customWidth="true" hidden="false" outlineLevel="0" max="57" min="57" style="0" width="12"/>
    <col collapsed="false" customWidth="true" hidden="false" outlineLevel="0" max="58" min="58" style="0" width="14"/>
    <col collapsed="false" customWidth="true" hidden="false" outlineLevel="0" max="59" min="59" style="0" width="13"/>
    <col collapsed="false" customWidth="true" hidden="false" outlineLevel="0" max="60" min="60" style="0" width="10"/>
  </cols>
  <sheetData>
    <row r="1" customFormat="false" ht="15" hidden="false" customHeight="false" outlineLevel="0" collapsed="false">
      <c r="A1" s="1" t="s">
        <v>53</v>
      </c>
    </row>
    <row r="2" customFormat="false" ht="15" hidden="false" customHeight="false" outlineLevel="0" collapsed="false">
      <c r="A2" s="10" t="s">
        <v>54</v>
      </c>
    </row>
    <row r="3" customFormat="false" ht="15" hidden="false" customHeight="false" outlineLevel="0" collapsed="false">
      <c r="A3" s="10" t="s">
        <v>55</v>
      </c>
    </row>
    <row r="4" customFormat="false" ht="15" hidden="false" customHeight="false" outlineLevel="0" collapsed="false">
      <c r="A4" s="10" t="s">
        <v>56</v>
      </c>
    </row>
    <row r="6" customFormat="false" ht="15" hidden="false" customHeight="false" outlineLevel="0" collapsed="false">
      <c r="AD6" s="10" t="s">
        <v>57</v>
      </c>
      <c r="AE6" s="13" t="n">
        <f aca="false">Beta_y^1</f>
        <v>0.909090909090909</v>
      </c>
      <c r="AF6" s="13" t="n">
        <f aca="false">Beta_y^2</f>
        <v>0.826446280991735</v>
      </c>
      <c r="AG6" s="13" t="n">
        <f aca="false">Beta_y^3</f>
        <v>0.751314800901578</v>
      </c>
      <c r="AH6" s="13" t="n">
        <f aca="false">Beta_y^4</f>
        <v>0.683013455365071</v>
      </c>
      <c r="AI6" s="13" t="n">
        <f aca="false">Beta_y^5</f>
        <v>0.620921323059155</v>
      </c>
      <c r="AJ6" s="13" t="n">
        <f aca="false">Beta_y^6</f>
        <v>0.564473930053777</v>
      </c>
      <c r="AY6" s="13" t="n">
        <f aca="false">Beta_y^1</f>
        <v>0.909090909090909</v>
      </c>
      <c r="AZ6" s="13" t="n">
        <f aca="false">Beta_y^2</f>
        <v>0.826446280991735</v>
      </c>
      <c r="BA6" s="13" t="n">
        <f aca="false">Beta_y^3</f>
        <v>0.751314800901578</v>
      </c>
      <c r="BB6" s="13" t="n">
        <f aca="false">Beta_y^4</f>
        <v>0.683013455365071</v>
      </c>
      <c r="BC6" s="13" t="n">
        <f aca="false">Beta_y^5</f>
        <v>0.620921323059155</v>
      </c>
      <c r="BD6" s="13" t="n">
        <f aca="false">Beta_y^6</f>
        <v>0.564473930053777</v>
      </c>
    </row>
    <row r="7" customFormat="false" ht="57.45" hidden="false" customHeight="false" outlineLevel="0" collapsed="false">
      <c r="A7" s="8" t="s">
        <v>58</v>
      </c>
      <c r="B7" s="8" t="s">
        <v>59</v>
      </c>
      <c r="C7" s="8" t="s">
        <v>60</v>
      </c>
      <c r="D7" s="8" t="s">
        <v>61</v>
      </c>
      <c r="E7" s="8" t="s">
        <v>62</v>
      </c>
      <c r="F7" s="8" t="s">
        <v>63</v>
      </c>
      <c r="G7" s="8" t="s">
        <v>64</v>
      </c>
      <c r="H7" s="8" t="s">
        <v>65</v>
      </c>
      <c r="I7" s="8" t="s">
        <v>66</v>
      </c>
      <c r="J7" s="8" t="s">
        <v>67</v>
      </c>
      <c r="K7" s="8" t="s">
        <v>68</v>
      </c>
      <c r="L7" s="8" t="s">
        <v>69</v>
      </c>
      <c r="M7" s="8" t="s">
        <v>70</v>
      </c>
      <c r="N7" s="8" t="s">
        <v>71</v>
      </c>
      <c r="O7" s="8" t="s">
        <v>72</v>
      </c>
      <c r="P7" s="8" t="s">
        <v>73</v>
      </c>
      <c r="Q7" s="8" t="s">
        <v>74</v>
      </c>
      <c r="R7" s="8" t="s">
        <v>75</v>
      </c>
      <c r="S7" s="8" t="s">
        <v>76</v>
      </c>
      <c r="T7" s="8" t="s">
        <v>77</v>
      </c>
      <c r="U7" s="8" t="s">
        <v>78</v>
      </c>
      <c r="V7" s="8" t="s">
        <v>79</v>
      </c>
      <c r="W7" s="8" t="s">
        <v>80</v>
      </c>
      <c r="X7" s="8" t="s">
        <v>81</v>
      </c>
      <c r="Y7" s="8" t="s">
        <v>82</v>
      </c>
      <c r="Z7" s="8" t="s">
        <v>83</v>
      </c>
      <c r="AA7" s="8" t="s">
        <v>84</v>
      </c>
      <c r="AB7" s="8" t="s">
        <v>85</v>
      </c>
      <c r="AC7" s="8" t="s">
        <v>86</v>
      </c>
      <c r="AD7" s="8" t="s">
        <v>87</v>
      </c>
      <c r="AE7" s="8" t="s">
        <v>88</v>
      </c>
      <c r="AF7" s="8" t="s">
        <v>89</v>
      </c>
      <c r="AG7" s="8" t="s">
        <v>90</v>
      </c>
      <c r="AH7" s="8" t="s">
        <v>91</v>
      </c>
      <c r="AI7" s="8" t="s">
        <v>92</v>
      </c>
      <c r="AJ7" s="8" t="s">
        <v>93</v>
      </c>
      <c r="AK7" s="8" t="s">
        <v>94</v>
      </c>
      <c r="AL7" s="8" t="s">
        <v>95</v>
      </c>
      <c r="AM7" s="8" t="s">
        <v>96</v>
      </c>
      <c r="AN7" s="8" t="s">
        <v>97</v>
      </c>
      <c r="AO7" s="8" t="s">
        <v>98</v>
      </c>
      <c r="AP7" s="8" t="s">
        <v>99</v>
      </c>
      <c r="AQ7" s="8" t="s">
        <v>100</v>
      </c>
      <c r="AR7" s="8" t="s">
        <v>101</v>
      </c>
      <c r="AS7" s="8" t="s">
        <v>102</v>
      </c>
      <c r="AT7" s="8" t="s">
        <v>103</v>
      </c>
      <c r="AU7" s="8" t="s">
        <v>104</v>
      </c>
      <c r="AV7" s="8" t="s">
        <v>105</v>
      </c>
      <c r="AW7" s="8" t="s">
        <v>106</v>
      </c>
      <c r="AX7" s="8" t="s">
        <v>107</v>
      </c>
      <c r="AY7" s="8" t="s">
        <v>108</v>
      </c>
      <c r="AZ7" s="8" t="s">
        <v>109</v>
      </c>
      <c r="BA7" s="8" t="s">
        <v>110</v>
      </c>
      <c r="BB7" s="8" t="s">
        <v>111</v>
      </c>
      <c r="BC7" s="8" t="s">
        <v>112</v>
      </c>
      <c r="BD7" s="8" t="s">
        <v>113</v>
      </c>
      <c r="BE7" s="8" t="s">
        <v>114</v>
      </c>
      <c r="BF7" s="8" t="s">
        <v>115</v>
      </c>
      <c r="BG7" s="8" t="s">
        <v>116</v>
      </c>
      <c r="BH7" s="8" t="s">
        <v>117</v>
      </c>
    </row>
    <row r="8" customFormat="false" ht="15" hidden="false" customHeight="false" outlineLevel="0" collapsed="false">
      <c r="A8" s="2" t="n">
        <v>0</v>
      </c>
      <c r="B8" s="2" t="s">
        <v>118</v>
      </c>
      <c r="C8" s="15" t="n">
        <f aca="false">MOD(INT($A8/32),2)</f>
        <v>0</v>
      </c>
      <c r="D8" s="15" t="n">
        <f aca="false">MOD(INT($A8/16),2)</f>
        <v>0</v>
      </c>
      <c r="E8" s="15" t="n">
        <f aca="false">MOD(INT($A8/8),2)</f>
        <v>0</v>
      </c>
      <c r="F8" s="15" t="n">
        <f aca="false">MOD(INT($A8/4),2)</f>
        <v>0</v>
      </c>
      <c r="G8" s="15" t="n">
        <f aca="false">MOD(INT($A8/2),2)</f>
        <v>0</v>
      </c>
      <c r="H8" s="15" t="n">
        <f aca="false">MOD(INT($A8/1),2)</f>
        <v>0</v>
      </c>
      <c r="I8" s="15" t="n">
        <f aca="false">SUM(C8:H8)</f>
        <v>0</v>
      </c>
      <c r="J8" s="13" t="n">
        <f aca="false">E_zero+C8*Half_gap*(Ceiling_e-E_zero)</f>
        <v>71</v>
      </c>
      <c r="K8" s="13" t="n">
        <f aca="false">J8+D8*Half_gap*(Ceiling_e-J8)</f>
        <v>71</v>
      </c>
      <c r="L8" s="13" t="n">
        <f aca="false">K8+E8*Half_gap*(Ceiling_e-K8)</f>
        <v>71</v>
      </c>
      <c r="M8" s="13" t="n">
        <f aca="false">L8+F8*Half_gap*(Ceiling_e-L8)</f>
        <v>71</v>
      </c>
      <c r="N8" s="13" t="n">
        <f aca="false">M8+G8*Half_gap*(Ceiling_e-M8)</f>
        <v>71</v>
      </c>
      <c r="O8" s="13" t="n">
        <f aca="false">N8+H8*Half_gap*(Ceiling_e-N8)</f>
        <v>71</v>
      </c>
      <c r="P8" s="13" t="n">
        <f aca="false">Val_pt*(J8-E_zero)</f>
        <v>0</v>
      </c>
      <c r="Q8" s="13" t="n">
        <f aca="false">Val_pt*(K8-E_zero)</f>
        <v>0</v>
      </c>
      <c r="R8" s="13" t="n">
        <f aca="false">Val_pt*(L8-E_zero)</f>
        <v>0</v>
      </c>
      <c r="S8" s="13" t="n">
        <f aca="false">Val_pt*(M8-E_zero)</f>
        <v>0</v>
      </c>
      <c r="T8" s="13" t="n">
        <f aca="false">Val_pt*(N8-E_zero)</f>
        <v>0</v>
      </c>
      <c r="U8" s="13" t="n">
        <f aca="false">Val_pt*(O8-E_zero)</f>
        <v>0</v>
      </c>
      <c r="V8" s="16" t="n">
        <f aca="false">MAX(W8+Cost_round*C8-P8,IF(C8=1,Pre_q,0))</f>
        <v>470</v>
      </c>
      <c r="W8" s="16" t="n">
        <f aca="false">MAX(X8+Cost_round*D8-Q8,IF(D8=1,Pre_q,0),Floor_q)</f>
        <v>470</v>
      </c>
      <c r="X8" s="16" t="n">
        <f aca="false">MAX(Y8+Cost_round*E8-R8,IF(E8=1,Pre_q,0),Floor_q)</f>
        <v>470</v>
      </c>
      <c r="Y8" s="16" t="n">
        <f aca="false">MAX(Z8+Cost_round*F8-S8,IF(F8=1,Pre_q,0),Floor_q)</f>
        <v>470</v>
      </c>
      <c r="Z8" s="16" t="n">
        <f aca="false">MAX(AA8+Cost_round*G8-T8,IF(G8=1,Pre_q,0),Floor_q)</f>
        <v>470</v>
      </c>
      <c r="AA8" s="16" t="n">
        <f aca="false">MAX(AB8+Cost_round*H8-U8,IF(H8=1,Pre_q,0),Floor_q)</f>
        <v>470</v>
      </c>
      <c r="AB8" s="16" t="n">
        <f aca="false">End_q</f>
        <v>470</v>
      </c>
      <c r="AC8" s="16" t="n">
        <f aca="false">Q_zero-V8</f>
        <v>150</v>
      </c>
      <c r="AD8" s="15" t="n">
        <f aca="false">IF(AC8&gt;=-0.000000001,1,0)</f>
        <v>1</v>
      </c>
      <c r="AE8" s="13" t="n">
        <f aca="false">IF($AD8=1,Q_zero-Cost_round*C8+P8-W8,"")</f>
        <v>150</v>
      </c>
      <c r="AF8" s="13" t="n">
        <f aca="false">IF($AD8=1,W8-Cost_round*D8+Q8-X8,"")</f>
        <v>0</v>
      </c>
      <c r="AG8" s="13" t="n">
        <f aca="false">IF($AD8=1,X8-Cost_round*E8+R8-Y8,"")</f>
        <v>0</v>
      </c>
      <c r="AH8" s="13" t="n">
        <f aca="false">IF($AD8=1,Y8-Cost_round*F8+S8-Z8,"")</f>
        <v>0</v>
      </c>
      <c r="AI8" s="13" t="n">
        <f aca="false">IF($AD8=1,Z8-Cost_round*G8+T8-AA8,"")</f>
        <v>0</v>
      </c>
      <c r="AJ8" s="13" t="n">
        <f aca="false">IF($AD8=1,AA8-Cost_round*H8+U8-AB8,"")</f>
        <v>0</v>
      </c>
      <c r="AK8" s="17" t="n">
        <f aca="false">IF($AD8=1,SUMPRODUCT(AE8:AJ8,$AE$6:$AJ$6),"")</f>
        <v>136.363636363636</v>
      </c>
      <c r="AL8" s="13" t="n">
        <f aca="false">U8</f>
        <v>0</v>
      </c>
      <c r="AM8" s="15" t="n">
        <f aca="false">IF(SUMPRODUCT(($AK$8:$AK$71&gt;=AK8-0.000000001)*($AL$8:$AL$71&gt;=AL8-0.000000001)*((($AK$8:$AK$71&gt;AK8+0.000000001)+($AL$8:$AL$71&gt;AL8+0.000000001))&gt;0))&gt;0,1,0)</f>
        <v>1</v>
      </c>
      <c r="AN8" s="15" t="n">
        <f aca="false">1-AM8</f>
        <v>0</v>
      </c>
      <c r="AO8" s="17" t="n">
        <f aca="false">AK8+W_board*AL8</f>
        <v>136.363636363636</v>
      </c>
      <c r="AP8" s="17" t="n">
        <f aca="false">AK8+W_try*AL8</f>
        <v>136.363636363636</v>
      </c>
      <c r="AQ8" s="16" t="n">
        <f aca="false">MAX(AR8+Cost_round*C8-P8,IF(C8=1,Pre_q+Res_b,0))</f>
        <v>520</v>
      </c>
      <c r="AR8" s="16" t="n">
        <f aca="false">MAX(AS8+Cost_round*D8-Q8,IF(D8=1,Pre_q+Res_b,0),Floor_q+Res_b)</f>
        <v>520</v>
      </c>
      <c r="AS8" s="16" t="n">
        <f aca="false">MAX(AT8+Cost_round*E8-R8,IF(E8=1,Pre_q+Res_b,0),Floor_q+Res_b)</f>
        <v>520</v>
      </c>
      <c r="AT8" s="16" t="n">
        <f aca="false">MAX(AU8+Cost_round*F8-S8,IF(F8=1,Pre_q+Res_b,0),Floor_q+Res_b)</f>
        <v>520</v>
      </c>
      <c r="AU8" s="16" t="n">
        <f aca="false">MAX(AV8+Cost_round*G8-T8,IF(G8=1,Pre_q+Res_b,0),Floor_q+Res_b)</f>
        <v>520</v>
      </c>
      <c r="AV8" s="16" t="n">
        <f aca="false">MAX(AW8+Cost_round*H8-U8,IF(H8=1,Pre_q+Res_b,0),Floor_q+Res_b)</f>
        <v>520</v>
      </c>
      <c r="AW8" s="16" t="n">
        <f aca="false">End_q+Res_b</f>
        <v>520</v>
      </c>
      <c r="AX8" s="15" t="n">
        <f aca="false">IF(Q_zero&gt;=AQ8-0.000000001,1,0)</f>
        <v>1</v>
      </c>
      <c r="AY8" s="13" t="n">
        <f aca="false">IF($AX8=1,Q_zero-Cost_round*C8+P8-AR8,"")</f>
        <v>100</v>
      </c>
      <c r="AZ8" s="13" t="n">
        <f aca="false">IF($AX8=1,AR8-Cost_round*D8+Q8-AS8,"")</f>
        <v>0</v>
      </c>
      <c r="BA8" s="13" t="n">
        <f aca="false">IF($AX8=1,AS8-Cost_round*E8+R8-AT8,"")</f>
        <v>0</v>
      </c>
      <c r="BB8" s="13" t="n">
        <f aca="false">IF($AX8=1,AT8-Cost_round*F8+S8-AU8,"")</f>
        <v>0</v>
      </c>
      <c r="BC8" s="13" t="n">
        <f aca="false">IF($AX8=1,AU8-Cost_round*G8+T8-AV8,"")</f>
        <v>0</v>
      </c>
      <c r="BD8" s="13" t="n">
        <f aca="false">IF($AX8=1,AV8-Cost_round*H8+U8-AW8,"")</f>
        <v>0</v>
      </c>
      <c r="BE8" s="17" t="n">
        <f aca="false">IF($AX8=1,SUMPRODUCT(AY8:BD8,$AY$6:$BD$6),"")</f>
        <v>90.9090909090909</v>
      </c>
      <c r="BF8" s="12" t="n">
        <f aca="false">IF(AND($AX8=1,Res_b&gt;0),(AK8-BE8)/Res_b,"")</f>
        <v>0.909090909090909</v>
      </c>
      <c r="BG8" s="17" t="n">
        <f aca="false">IF(AC8&gt;=Goal_b-0.000000001,AK8-Beta_y*Goal_b,"")</f>
        <v>113.636363636364</v>
      </c>
      <c r="BH8" s="15" t="n">
        <f aca="false">IF(AC8&gt;=Goal_b-0.000000001,IF(AND(AL8&gt;=Goal_S-0.000000001,BG8&gt;=Goal_P-0.000000001),1,0),0)</f>
        <v>0</v>
      </c>
    </row>
    <row r="9" customFormat="false" ht="15" hidden="false" customHeight="false" outlineLevel="0" collapsed="false">
      <c r="A9" s="2" t="n">
        <v>1</v>
      </c>
      <c r="B9" s="2" t="s">
        <v>119</v>
      </c>
      <c r="C9" s="15" t="n">
        <f aca="false">MOD(INT($A9/32),2)</f>
        <v>0</v>
      </c>
      <c r="D9" s="15" t="n">
        <f aca="false">MOD(INT($A9/16),2)</f>
        <v>0</v>
      </c>
      <c r="E9" s="15" t="n">
        <f aca="false">MOD(INT($A9/8),2)</f>
        <v>0</v>
      </c>
      <c r="F9" s="15" t="n">
        <f aca="false">MOD(INT($A9/4),2)</f>
        <v>0</v>
      </c>
      <c r="G9" s="15" t="n">
        <f aca="false">MOD(INT($A9/2),2)</f>
        <v>0</v>
      </c>
      <c r="H9" s="15" t="n">
        <f aca="false">MOD(INT($A9/1),2)</f>
        <v>1</v>
      </c>
      <c r="I9" s="15" t="n">
        <f aca="false">SUM(C9:H9)</f>
        <v>1</v>
      </c>
      <c r="J9" s="13" t="n">
        <f aca="false">E_zero+C9*Half_gap*(Ceiling_e-E_zero)</f>
        <v>71</v>
      </c>
      <c r="K9" s="13" t="n">
        <f aca="false">J9+D9*Half_gap*(Ceiling_e-J9)</f>
        <v>71</v>
      </c>
      <c r="L9" s="13" t="n">
        <f aca="false">K9+E9*Half_gap*(Ceiling_e-K9)</f>
        <v>71</v>
      </c>
      <c r="M9" s="13" t="n">
        <f aca="false">L9+F9*Half_gap*(Ceiling_e-L9)</f>
        <v>71</v>
      </c>
      <c r="N9" s="13" t="n">
        <f aca="false">M9+G9*Half_gap*(Ceiling_e-M9)</f>
        <v>71</v>
      </c>
      <c r="O9" s="13" t="n">
        <f aca="false">N9+H9*Half_gap*(Ceiling_e-N9)</f>
        <v>78</v>
      </c>
      <c r="P9" s="13" t="n">
        <f aca="false">Val_pt*(J9-E_zero)</f>
        <v>0</v>
      </c>
      <c r="Q9" s="13" t="n">
        <f aca="false">Val_pt*(K9-E_zero)</f>
        <v>0</v>
      </c>
      <c r="R9" s="13" t="n">
        <f aca="false">Val_pt*(L9-E_zero)</f>
        <v>0</v>
      </c>
      <c r="S9" s="13" t="n">
        <f aca="false">Val_pt*(M9-E_zero)</f>
        <v>0</v>
      </c>
      <c r="T9" s="13" t="n">
        <f aca="false">Val_pt*(N9-E_zero)</f>
        <v>0</v>
      </c>
      <c r="U9" s="13" t="n">
        <f aca="false">Val_pt*(O9-E_zero)</f>
        <v>70</v>
      </c>
      <c r="V9" s="16" t="n">
        <f aca="false">MAX(W9+Cost_round*C9-P9,IF(C9=1,Pre_q,0))</f>
        <v>520</v>
      </c>
      <c r="W9" s="16" t="n">
        <f aca="false">MAX(X9+Cost_round*D9-Q9,IF(D9=1,Pre_q,0),Floor_q)</f>
        <v>520</v>
      </c>
      <c r="X9" s="16" t="n">
        <f aca="false">MAX(Y9+Cost_round*E9-R9,IF(E9=1,Pre_q,0),Floor_q)</f>
        <v>520</v>
      </c>
      <c r="Y9" s="16" t="n">
        <f aca="false">MAX(Z9+Cost_round*F9-S9,IF(F9=1,Pre_q,0),Floor_q)</f>
        <v>520</v>
      </c>
      <c r="Z9" s="16" t="n">
        <f aca="false">MAX(AA9+Cost_round*G9-T9,IF(G9=1,Pre_q,0),Floor_q)</f>
        <v>520</v>
      </c>
      <c r="AA9" s="16" t="n">
        <f aca="false">MAX(AB9+Cost_round*H9-U9,IF(H9=1,Pre_q,0),Floor_q)</f>
        <v>520</v>
      </c>
      <c r="AB9" s="16" t="n">
        <f aca="false">End_q</f>
        <v>470</v>
      </c>
      <c r="AC9" s="16" t="n">
        <f aca="false">Q_zero-V9</f>
        <v>100</v>
      </c>
      <c r="AD9" s="15" t="n">
        <f aca="false">IF(AC9&gt;=-0.000000001,1,0)</f>
        <v>1</v>
      </c>
      <c r="AE9" s="13" t="n">
        <f aca="false">IF($AD9=1,Q_zero-Cost_round*C9+P9-W9,"")</f>
        <v>100</v>
      </c>
      <c r="AF9" s="13" t="n">
        <f aca="false">IF($AD9=1,W9-Cost_round*D9+Q9-X9,"")</f>
        <v>0</v>
      </c>
      <c r="AG9" s="13" t="n">
        <f aca="false">IF($AD9=1,X9-Cost_round*E9+R9-Y9,"")</f>
        <v>0</v>
      </c>
      <c r="AH9" s="13" t="n">
        <f aca="false">IF($AD9=1,Y9-Cost_round*F9+S9-Z9,"")</f>
        <v>0</v>
      </c>
      <c r="AI9" s="13" t="n">
        <f aca="false">IF($AD9=1,Z9-Cost_round*G9+T9-AA9,"")</f>
        <v>0</v>
      </c>
      <c r="AJ9" s="13" t="n">
        <f aca="false">IF($AD9=1,AA9-Cost_round*H9+U9-AB9,"")</f>
        <v>0</v>
      </c>
      <c r="AK9" s="17" t="n">
        <f aca="false">IF($AD9=1,SUMPRODUCT(AE9:AJ9,$AE$6:$AJ$6),"")</f>
        <v>90.9090909090909</v>
      </c>
      <c r="AL9" s="13" t="n">
        <f aca="false">U9</f>
        <v>70</v>
      </c>
      <c r="AM9" s="15" t="n">
        <f aca="false">IF(SUMPRODUCT(($AK$8:$AK$71&gt;=AK9-0.000000001)*($AL$8:$AL$71&gt;=AL9-0.000000001)*((($AK$8:$AK$71&gt;AK9+0.000000001)+($AL$8:$AL$71&gt;AL9+0.000000001))&gt;0))&gt;0,1,0)</f>
        <v>1</v>
      </c>
      <c r="AN9" s="15" t="n">
        <f aca="false">1-AM9</f>
        <v>0</v>
      </c>
      <c r="AO9" s="17" t="n">
        <f aca="false">AK9+W_board*AL9</f>
        <v>486.040841946735</v>
      </c>
      <c r="AP9" s="17" t="n">
        <f aca="false">AK9+W_try*AL9</f>
        <v>790.909090909091</v>
      </c>
      <c r="AQ9" s="16" t="n">
        <f aca="false">MAX(AR9+Cost_round*C9-P9,IF(C9=1,Pre_q+Res_b,0))</f>
        <v>570</v>
      </c>
      <c r="AR9" s="16" t="n">
        <f aca="false">MAX(AS9+Cost_round*D9-Q9,IF(D9=1,Pre_q+Res_b,0),Floor_q+Res_b)</f>
        <v>570</v>
      </c>
      <c r="AS9" s="16" t="n">
        <f aca="false">MAX(AT9+Cost_round*E9-R9,IF(E9=1,Pre_q+Res_b,0),Floor_q+Res_b)</f>
        <v>570</v>
      </c>
      <c r="AT9" s="16" t="n">
        <f aca="false">MAX(AU9+Cost_round*F9-S9,IF(F9=1,Pre_q+Res_b,0),Floor_q+Res_b)</f>
        <v>570</v>
      </c>
      <c r="AU9" s="16" t="n">
        <f aca="false">MAX(AV9+Cost_round*G9-T9,IF(G9=1,Pre_q+Res_b,0),Floor_q+Res_b)</f>
        <v>570</v>
      </c>
      <c r="AV9" s="16" t="n">
        <f aca="false">MAX(AW9+Cost_round*H9-U9,IF(H9=1,Pre_q+Res_b,0),Floor_q+Res_b)</f>
        <v>570</v>
      </c>
      <c r="AW9" s="16" t="n">
        <f aca="false">End_q+Res_b</f>
        <v>520</v>
      </c>
      <c r="AX9" s="15" t="n">
        <f aca="false">IF(Q_zero&gt;=AQ9-0.000000001,1,0)</f>
        <v>1</v>
      </c>
      <c r="AY9" s="13" t="n">
        <f aca="false">IF($AX9=1,Q_zero-Cost_round*C9+P9-AR9,"")</f>
        <v>50</v>
      </c>
      <c r="AZ9" s="13" t="n">
        <f aca="false">IF($AX9=1,AR9-Cost_round*D9+Q9-AS9,"")</f>
        <v>0</v>
      </c>
      <c r="BA9" s="13" t="n">
        <f aca="false">IF($AX9=1,AS9-Cost_round*E9+R9-AT9,"")</f>
        <v>0</v>
      </c>
      <c r="BB9" s="13" t="n">
        <f aca="false">IF($AX9=1,AT9-Cost_round*F9+S9-AU9,"")</f>
        <v>0</v>
      </c>
      <c r="BC9" s="13" t="n">
        <f aca="false">IF($AX9=1,AU9-Cost_round*G9+T9-AV9,"")</f>
        <v>0</v>
      </c>
      <c r="BD9" s="13" t="n">
        <f aca="false">IF($AX9=1,AV9-Cost_round*H9+U9-AW9,"")</f>
        <v>0</v>
      </c>
      <c r="BE9" s="17" t="n">
        <f aca="false">IF($AX9=1,SUMPRODUCT(AY9:BD9,$AY$6:$BD$6),"")</f>
        <v>45.4545454545455</v>
      </c>
      <c r="BF9" s="12" t="n">
        <f aca="false">IF(AND($AX9=1,Res_b&gt;0),(AK9-BE9)/Res_b,"")</f>
        <v>0.909090909090909</v>
      </c>
      <c r="BG9" s="17" t="n">
        <f aca="false">IF(AC9&gt;=Goal_b-0.000000001,AK9-Beta_y*Goal_b,"")</f>
        <v>68.1818181818182</v>
      </c>
      <c r="BH9" s="15" t="n">
        <f aca="false">IF(AC9&gt;=Goal_b-0.000000001,IF(AND(AL9&gt;=Goal_S-0.000000001,BG9&gt;=Goal_P-0.000000001),1,0),0)</f>
        <v>0</v>
      </c>
    </row>
    <row r="10" customFormat="false" ht="15" hidden="false" customHeight="false" outlineLevel="0" collapsed="false">
      <c r="A10" s="2" t="n">
        <v>2</v>
      </c>
      <c r="B10" s="2" t="s">
        <v>120</v>
      </c>
      <c r="C10" s="15" t="n">
        <f aca="false">MOD(INT($A10/32),2)</f>
        <v>0</v>
      </c>
      <c r="D10" s="15" t="n">
        <f aca="false">MOD(INT($A10/16),2)</f>
        <v>0</v>
      </c>
      <c r="E10" s="15" t="n">
        <f aca="false">MOD(INT($A10/8),2)</f>
        <v>0</v>
      </c>
      <c r="F10" s="15" t="n">
        <f aca="false">MOD(INT($A10/4),2)</f>
        <v>0</v>
      </c>
      <c r="G10" s="15" t="n">
        <f aca="false">MOD(INT($A10/2),2)</f>
        <v>1</v>
      </c>
      <c r="H10" s="15" t="n">
        <f aca="false">MOD(INT($A10/1),2)</f>
        <v>0</v>
      </c>
      <c r="I10" s="15" t="n">
        <f aca="false">SUM(C10:H10)</f>
        <v>1</v>
      </c>
      <c r="J10" s="13" t="n">
        <f aca="false">E_zero+C10*Half_gap*(Ceiling_e-E_zero)</f>
        <v>71</v>
      </c>
      <c r="K10" s="13" t="n">
        <f aca="false">J10+D10*Half_gap*(Ceiling_e-J10)</f>
        <v>71</v>
      </c>
      <c r="L10" s="13" t="n">
        <f aca="false">K10+E10*Half_gap*(Ceiling_e-K10)</f>
        <v>71</v>
      </c>
      <c r="M10" s="13" t="n">
        <f aca="false">L10+F10*Half_gap*(Ceiling_e-L10)</f>
        <v>71</v>
      </c>
      <c r="N10" s="13" t="n">
        <f aca="false">M10+G10*Half_gap*(Ceiling_e-M10)</f>
        <v>78</v>
      </c>
      <c r="O10" s="13" t="n">
        <f aca="false">N10+H10*Half_gap*(Ceiling_e-N10)</f>
        <v>78</v>
      </c>
      <c r="P10" s="13" t="n">
        <f aca="false">Val_pt*(J10-E_zero)</f>
        <v>0</v>
      </c>
      <c r="Q10" s="13" t="n">
        <f aca="false">Val_pt*(K10-E_zero)</f>
        <v>0</v>
      </c>
      <c r="R10" s="13" t="n">
        <f aca="false">Val_pt*(L10-E_zero)</f>
        <v>0</v>
      </c>
      <c r="S10" s="13" t="n">
        <f aca="false">Val_pt*(M10-E_zero)</f>
        <v>0</v>
      </c>
      <c r="T10" s="13" t="n">
        <f aca="false">Val_pt*(N10-E_zero)</f>
        <v>70</v>
      </c>
      <c r="U10" s="13" t="n">
        <f aca="false">Val_pt*(O10-E_zero)</f>
        <v>70</v>
      </c>
      <c r="V10" s="16" t="n">
        <f aca="false">MAX(W10+Cost_round*C10-P10,IF(C10=1,Pre_q,0))</f>
        <v>470</v>
      </c>
      <c r="W10" s="16" t="n">
        <f aca="false">MAX(X10+Cost_round*D10-Q10,IF(D10=1,Pre_q,0),Floor_q)</f>
        <v>470</v>
      </c>
      <c r="X10" s="16" t="n">
        <f aca="false">MAX(Y10+Cost_round*E10-R10,IF(E10=1,Pre_q,0),Floor_q)</f>
        <v>470</v>
      </c>
      <c r="Y10" s="16" t="n">
        <f aca="false">MAX(Z10+Cost_round*F10-S10,IF(F10=1,Pre_q,0),Floor_q)</f>
        <v>470</v>
      </c>
      <c r="Z10" s="16" t="n">
        <f aca="false">MAX(AA10+Cost_round*G10-T10,IF(G10=1,Pre_q,0),Floor_q)</f>
        <v>470</v>
      </c>
      <c r="AA10" s="16" t="n">
        <f aca="false">MAX(AB10+Cost_round*H10-U10,IF(H10=1,Pre_q,0),Floor_q)</f>
        <v>400</v>
      </c>
      <c r="AB10" s="16" t="n">
        <f aca="false">End_q</f>
        <v>470</v>
      </c>
      <c r="AC10" s="16" t="n">
        <f aca="false">Q_zero-V10</f>
        <v>150</v>
      </c>
      <c r="AD10" s="15" t="n">
        <f aca="false">IF(AC10&gt;=-0.000000001,1,0)</f>
        <v>1</v>
      </c>
      <c r="AE10" s="13" t="n">
        <f aca="false">IF($AD10=1,Q_zero-Cost_round*C10+P10-W10,"")</f>
        <v>150</v>
      </c>
      <c r="AF10" s="13" t="n">
        <f aca="false">IF($AD10=1,W10-Cost_round*D10+Q10-X10,"")</f>
        <v>0</v>
      </c>
      <c r="AG10" s="13" t="n">
        <f aca="false">IF($AD10=1,X10-Cost_round*E10+R10-Y10,"")</f>
        <v>0</v>
      </c>
      <c r="AH10" s="13" t="n">
        <f aca="false">IF($AD10=1,Y10-Cost_round*F10+S10-Z10,"")</f>
        <v>0</v>
      </c>
      <c r="AI10" s="13" t="n">
        <f aca="false">IF($AD10=1,Z10-Cost_round*G10+T10-AA10,"")</f>
        <v>20</v>
      </c>
      <c r="AJ10" s="13" t="n">
        <f aca="false">IF($AD10=1,AA10-Cost_round*H10+U10-AB10,"")</f>
        <v>0</v>
      </c>
      <c r="AK10" s="17" t="n">
        <f aca="false">IF($AD10=1,SUMPRODUCT(AE10:AJ10,$AE$6:$AJ$6),"")</f>
        <v>148.782062824819</v>
      </c>
      <c r="AL10" s="13" t="n">
        <f aca="false">U10</f>
        <v>70</v>
      </c>
      <c r="AM10" s="15" t="n">
        <f aca="false">IF(SUMPRODUCT(($AK$8:$AK$71&gt;=AK10-0.000000001)*($AL$8:$AL$71&gt;=AL10-0.000000001)*((($AK$8:$AK$71&gt;AK10+0.000000001)+($AL$8:$AL$71&gt;AL10+0.000000001))&gt;0))&gt;0,1,0)</f>
        <v>1</v>
      </c>
      <c r="AN10" s="15" t="n">
        <f aca="false">1-AM10</f>
        <v>0</v>
      </c>
      <c r="AO10" s="17" t="n">
        <f aca="false">AK10+W_board*AL10</f>
        <v>543.913813862464</v>
      </c>
      <c r="AP10" s="17" t="n">
        <f aca="false">AK10+W_try*AL10</f>
        <v>848.782062824819</v>
      </c>
      <c r="AQ10" s="16" t="n">
        <f aca="false">MAX(AR10+Cost_round*C10-P10,IF(C10=1,Pre_q+Res_b,0))</f>
        <v>520</v>
      </c>
      <c r="AR10" s="16" t="n">
        <f aca="false">MAX(AS10+Cost_round*D10-Q10,IF(D10=1,Pre_q+Res_b,0),Floor_q+Res_b)</f>
        <v>520</v>
      </c>
      <c r="AS10" s="16" t="n">
        <f aca="false">MAX(AT10+Cost_round*E10-R10,IF(E10=1,Pre_q+Res_b,0),Floor_q+Res_b)</f>
        <v>520</v>
      </c>
      <c r="AT10" s="16" t="n">
        <f aca="false">MAX(AU10+Cost_round*F10-S10,IF(F10=1,Pre_q+Res_b,0),Floor_q+Res_b)</f>
        <v>520</v>
      </c>
      <c r="AU10" s="16" t="n">
        <f aca="false">MAX(AV10+Cost_round*G10-T10,IF(G10=1,Pre_q+Res_b,0),Floor_q+Res_b)</f>
        <v>520</v>
      </c>
      <c r="AV10" s="16" t="n">
        <f aca="false">MAX(AW10+Cost_round*H10-U10,IF(H10=1,Pre_q+Res_b,0),Floor_q+Res_b)</f>
        <v>450</v>
      </c>
      <c r="AW10" s="16" t="n">
        <f aca="false">End_q+Res_b</f>
        <v>520</v>
      </c>
      <c r="AX10" s="15" t="n">
        <f aca="false">IF(Q_zero&gt;=AQ10-0.000000001,1,0)</f>
        <v>1</v>
      </c>
      <c r="AY10" s="13" t="n">
        <f aca="false">IF($AX10=1,Q_zero-Cost_round*C10+P10-AR10,"")</f>
        <v>100</v>
      </c>
      <c r="AZ10" s="13" t="n">
        <f aca="false">IF($AX10=1,AR10-Cost_round*D10+Q10-AS10,"")</f>
        <v>0</v>
      </c>
      <c r="BA10" s="13" t="n">
        <f aca="false">IF($AX10=1,AS10-Cost_round*E10+R10-AT10,"")</f>
        <v>0</v>
      </c>
      <c r="BB10" s="13" t="n">
        <f aca="false">IF($AX10=1,AT10-Cost_round*F10+S10-AU10,"")</f>
        <v>0</v>
      </c>
      <c r="BC10" s="13" t="n">
        <f aca="false">IF($AX10=1,AU10-Cost_round*G10+T10-AV10,"")</f>
        <v>20</v>
      </c>
      <c r="BD10" s="13" t="n">
        <f aca="false">IF($AX10=1,AV10-Cost_round*H10+U10-AW10,"")</f>
        <v>0</v>
      </c>
      <c r="BE10" s="17" t="n">
        <f aca="false">IF($AX10=1,SUMPRODUCT(AY10:BD10,$AY$6:$BD$6),"")</f>
        <v>103.327517370274</v>
      </c>
      <c r="BF10" s="12" t="n">
        <f aca="false">IF(AND($AX10=1,Res_b&gt;0),(AK10-BE10)/Res_b,"")</f>
        <v>0.909090909090909</v>
      </c>
      <c r="BG10" s="17" t="n">
        <f aca="false">IF(AC10&gt;=Goal_b-0.000000001,AK10-Beta_y*Goal_b,"")</f>
        <v>126.054790097547</v>
      </c>
      <c r="BH10" s="15" t="n">
        <f aca="false">IF(AC10&gt;=Goal_b-0.000000001,IF(AND(AL10&gt;=Goal_S-0.000000001,BG10&gt;=Goal_P-0.000000001),1,0),0)</f>
        <v>0</v>
      </c>
    </row>
    <row r="11" customFormat="false" ht="15" hidden="false" customHeight="false" outlineLevel="0" collapsed="false">
      <c r="A11" s="2" t="n">
        <v>3</v>
      </c>
      <c r="B11" s="2" t="s">
        <v>121</v>
      </c>
      <c r="C11" s="15" t="n">
        <f aca="false">MOD(INT($A11/32),2)</f>
        <v>0</v>
      </c>
      <c r="D11" s="15" t="n">
        <f aca="false">MOD(INT($A11/16),2)</f>
        <v>0</v>
      </c>
      <c r="E11" s="15" t="n">
        <f aca="false">MOD(INT($A11/8),2)</f>
        <v>0</v>
      </c>
      <c r="F11" s="15" t="n">
        <f aca="false">MOD(INT($A11/4),2)</f>
        <v>0</v>
      </c>
      <c r="G11" s="15" t="n">
        <f aca="false">MOD(INT($A11/2),2)</f>
        <v>1</v>
      </c>
      <c r="H11" s="15" t="n">
        <f aca="false">MOD(INT($A11/1),2)</f>
        <v>1</v>
      </c>
      <c r="I11" s="15" t="n">
        <f aca="false">SUM(C11:H11)</f>
        <v>2</v>
      </c>
      <c r="J11" s="13" t="n">
        <f aca="false">E_zero+C11*Half_gap*(Ceiling_e-E_zero)</f>
        <v>71</v>
      </c>
      <c r="K11" s="13" t="n">
        <f aca="false">J11+D11*Half_gap*(Ceiling_e-J11)</f>
        <v>71</v>
      </c>
      <c r="L11" s="13" t="n">
        <f aca="false">K11+E11*Half_gap*(Ceiling_e-K11)</f>
        <v>71</v>
      </c>
      <c r="M11" s="13" t="n">
        <f aca="false">L11+F11*Half_gap*(Ceiling_e-L11)</f>
        <v>71</v>
      </c>
      <c r="N11" s="13" t="n">
        <f aca="false">M11+G11*Half_gap*(Ceiling_e-M11)</f>
        <v>78</v>
      </c>
      <c r="O11" s="13" t="n">
        <f aca="false">N11+H11*Half_gap*(Ceiling_e-N11)</f>
        <v>81.5</v>
      </c>
      <c r="P11" s="13" t="n">
        <f aca="false">Val_pt*(J11-E_zero)</f>
        <v>0</v>
      </c>
      <c r="Q11" s="13" t="n">
        <f aca="false">Val_pt*(K11-E_zero)</f>
        <v>0</v>
      </c>
      <c r="R11" s="13" t="n">
        <f aca="false">Val_pt*(L11-E_zero)</f>
        <v>0</v>
      </c>
      <c r="S11" s="13" t="n">
        <f aca="false">Val_pt*(M11-E_zero)</f>
        <v>0</v>
      </c>
      <c r="T11" s="13" t="n">
        <f aca="false">Val_pt*(N11-E_zero)</f>
        <v>70</v>
      </c>
      <c r="U11" s="13" t="n">
        <f aca="false">Val_pt*(O11-E_zero)</f>
        <v>105</v>
      </c>
      <c r="V11" s="16" t="n">
        <f aca="false">MAX(W11+Cost_round*C11-P11,IF(C11=1,Pre_q,0))</f>
        <v>535</v>
      </c>
      <c r="W11" s="16" t="n">
        <f aca="false">MAX(X11+Cost_round*D11-Q11,IF(D11=1,Pre_q,0),Floor_q)</f>
        <v>535</v>
      </c>
      <c r="X11" s="16" t="n">
        <f aca="false">MAX(Y11+Cost_round*E11-R11,IF(E11=1,Pre_q,0),Floor_q)</f>
        <v>535</v>
      </c>
      <c r="Y11" s="16" t="n">
        <f aca="false">MAX(Z11+Cost_round*F11-S11,IF(F11=1,Pre_q,0),Floor_q)</f>
        <v>535</v>
      </c>
      <c r="Z11" s="16" t="n">
        <f aca="false">MAX(AA11+Cost_round*G11-T11,IF(G11=1,Pre_q,0),Floor_q)</f>
        <v>535</v>
      </c>
      <c r="AA11" s="16" t="n">
        <f aca="false">MAX(AB11+Cost_round*H11-U11,IF(H11=1,Pre_q,0),Floor_q)</f>
        <v>485</v>
      </c>
      <c r="AB11" s="16" t="n">
        <f aca="false">End_q</f>
        <v>470</v>
      </c>
      <c r="AC11" s="16" t="n">
        <f aca="false">Q_zero-V11</f>
        <v>85</v>
      </c>
      <c r="AD11" s="15" t="n">
        <f aca="false">IF(AC11&gt;=-0.000000001,1,0)</f>
        <v>1</v>
      </c>
      <c r="AE11" s="13" t="n">
        <f aca="false">IF($AD11=1,Q_zero-Cost_round*C11+P11-W11,"")</f>
        <v>85</v>
      </c>
      <c r="AF11" s="13" t="n">
        <f aca="false">IF($AD11=1,W11-Cost_round*D11+Q11-X11,"")</f>
        <v>0</v>
      </c>
      <c r="AG11" s="13" t="n">
        <f aca="false">IF($AD11=1,X11-Cost_round*E11+R11-Y11,"")</f>
        <v>0</v>
      </c>
      <c r="AH11" s="13" t="n">
        <f aca="false">IF($AD11=1,Y11-Cost_round*F11+S11-Z11,"")</f>
        <v>0</v>
      </c>
      <c r="AI11" s="13" t="n">
        <f aca="false">IF($AD11=1,Z11-Cost_round*G11+T11-AA11,"")</f>
        <v>0</v>
      </c>
      <c r="AJ11" s="13" t="n">
        <f aca="false">IF($AD11=1,AA11-Cost_round*H11+U11-AB11,"")</f>
        <v>0</v>
      </c>
      <c r="AK11" s="17" t="n">
        <f aca="false">IF($AD11=1,SUMPRODUCT(AE11:AJ11,$AE$6:$AJ$6),"")</f>
        <v>77.2727272727273</v>
      </c>
      <c r="AL11" s="13" t="n">
        <f aca="false">U11</f>
        <v>105</v>
      </c>
      <c r="AM11" s="15" t="n">
        <f aca="false">IF(SUMPRODUCT(($AK$8:$AK$71&gt;=AK11-0.000000001)*($AL$8:$AL$71&gt;=AL11-0.000000001)*((($AK$8:$AK$71&gt;AK11+0.000000001)+($AL$8:$AL$71&gt;AL11+0.000000001))&gt;0))&gt;0,1,0)</f>
        <v>1</v>
      </c>
      <c r="AN11" s="15" t="n">
        <f aca="false">1-AM11</f>
        <v>0</v>
      </c>
      <c r="AO11" s="17" t="n">
        <f aca="false">AK11+W_board*AL11</f>
        <v>669.970353829193</v>
      </c>
      <c r="AP11" s="17" t="n">
        <f aca="false">AK11+W_try*AL11</f>
        <v>1127.27272727273</v>
      </c>
      <c r="AQ11" s="16" t="n">
        <f aca="false">MAX(AR11+Cost_round*C11-P11,IF(C11=1,Pre_q+Res_b,0))</f>
        <v>585</v>
      </c>
      <c r="AR11" s="16" t="n">
        <f aca="false">MAX(AS11+Cost_round*D11-Q11,IF(D11=1,Pre_q+Res_b,0),Floor_q+Res_b)</f>
        <v>585</v>
      </c>
      <c r="AS11" s="16" t="n">
        <f aca="false">MAX(AT11+Cost_round*E11-R11,IF(E11=1,Pre_q+Res_b,0),Floor_q+Res_b)</f>
        <v>585</v>
      </c>
      <c r="AT11" s="16" t="n">
        <f aca="false">MAX(AU11+Cost_round*F11-S11,IF(F11=1,Pre_q+Res_b,0),Floor_q+Res_b)</f>
        <v>585</v>
      </c>
      <c r="AU11" s="16" t="n">
        <f aca="false">MAX(AV11+Cost_round*G11-T11,IF(G11=1,Pre_q+Res_b,0),Floor_q+Res_b)</f>
        <v>585</v>
      </c>
      <c r="AV11" s="16" t="n">
        <f aca="false">MAX(AW11+Cost_round*H11-U11,IF(H11=1,Pre_q+Res_b,0),Floor_q+Res_b)</f>
        <v>535</v>
      </c>
      <c r="AW11" s="16" t="n">
        <f aca="false">End_q+Res_b</f>
        <v>520</v>
      </c>
      <c r="AX11" s="15" t="n">
        <f aca="false">IF(Q_zero&gt;=AQ11-0.000000001,1,0)</f>
        <v>1</v>
      </c>
      <c r="AY11" s="13" t="n">
        <f aca="false">IF($AX11=1,Q_zero-Cost_round*C11+P11-AR11,"")</f>
        <v>35</v>
      </c>
      <c r="AZ11" s="13" t="n">
        <f aca="false">IF($AX11=1,AR11-Cost_round*D11+Q11-AS11,"")</f>
        <v>0</v>
      </c>
      <c r="BA11" s="13" t="n">
        <f aca="false">IF($AX11=1,AS11-Cost_round*E11+R11-AT11,"")</f>
        <v>0</v>
      </c>
      <c r="BB11" s="13" t="n">
        <f aca="false">IF($AX11=1,AT11-Cost_round*F11+S11-AU11,"")</f>
        <v>0</v>
      </c>
      <c r="BC11" s="13" t="n">
        <f aca="false">IF($AX11=1,AU11-Cost_round*G11+T11-AV11,"")</f>
        <v>0</v>
      </c>
      <c r="BD11" s="13" t="n">
        <f aca="false">IF($AX11=1,AV11-Cost_round*H11+U11-AW11,"")</f>
        <v>0</v>
      </c>
      <c r="BE11" s="17" t="n">
        <f aca="false">IF($AX11=1,SUMPRODUCT(AY11:BD11,$AY$6:$BD$6),"")</f>
        <v>31.8181818181818</v>
      </c>
      <c r="BF11" s="12" t="n">
        <f aca="false">IF(AND($AX11=1,Res_b&gt;0),(AK11-BE11)/Res_b,"")</f>
        <v>0.909090909090909</v>
      </c>
      <c r="BG11" s="17" t="n">
        <f aca="false">IF(AC11&gt;=Goal_b-0.000000001,AK11-Beta_y*Goal_b,"")</f>
        <v>54.5454545454545</v>
      </c>
      <c r="BH11" s="15" t="n">
        <f aca="false">IF(AC11&gt;=Goal_b-0.000000001,IF(AND(AL11&gt;=Goal_S-0.000000001,BG11&gt;=Goal_P-0.000000001),1,0),0)</f>
        <v>0</v>
      </c>
    </row>
    <row r="12" customFormat="false" ht="15" hidden="false" customHeight="false" outlineLevel="0" collapsed="false">
      <c r="A12" s="2" t="n">
        <v>4</v>
      </c>
      <c r="B12" s="2" t="s">
        <v>122</v>
      </c>
      <c r="C12" s="15" t="n">
        <f aca="false">MOD(INT($A12/32),2)</f>
        <v>0</v>
      </c>
      <c r="D12" s="15" t="n">
        <f aca="false">MOD(INT($A12/16),2)</f>
        <v>0</v>
      </c>
      <c r="E12" s="15" t="n">
        <f aca="false">MOD(INT($A12/8),2)</f>
        <v>0</v>
      </c>
      <c r="F12" s="15" t="n">
        <f aca="false">MOD(INT($A12/4),2)</f>
        <v>1</v>
      </c>
      <c r="G12" s="15" t="n">
        <f aca="false">MOD(INT($A12/2),2)</f>
        <v>0</v>
      </c>
      <c r="H12" s="15" t="n">
        <f aca="false">MOD(INT($A12/1),2)</f>
        <v>0</v>
      </c>
      <c r="I12" s="15" t="n">
        <f aca="false">SUM(C12:H12)</f>
        <v>1</v>
      </c>
      <c r="J12" s="13" t="n">
        <f aca="false">E_zero+C12*Half_gap*(Ceiling_e-E_zero)</f>
        <v>71</v>
      </c>
      <c r="K12" s="13" t="n">
        <f aca="false">J12+D12*Half_gap*(Ceiling_e-J12)</f>
        <v>71</v>
      </c>
      <c r="L12" s="13" t="n">
        <f aca="false">K12+E12*Half_gap*(Ceiling_e-K12)</f>
        <v>71</v>
      </c>
      <c r="M12" s="13" t="n">
        <f aca="false">L12+F12*Half_gap*(Ceiling_e-L12)</f>
        <v>78</v>
      </c>
      <c r="N12" s="13" t="n">
        <f aca="false">M12+G12*Half_gap*(Ceiling_e-M12)</f>
        <v>78</v>
      </c>
      <c r="O12" s="13" t="n">
        <f aca="false">N12+H12*Half_gap*(Ceiling_e-N12)</f>
        <v>78</v>
      </c>
      <c r="P12" s="13" t="n">
        <f aca="false">Val_pt*(J12-E_zero)</f>
        <v>0</v>
      </c>
      <c r="Q12" s="13" t="n">
        <f aca="false">Val_pt*(K12-E_zero)</f>
        <v>0</v>
      </c>
      <c r="R12" s="13" t="n">
        <f aca="false">Val_pt*(L12-E_zero)</f>
        <v>0</v>
      </c>
      <c r="S12" s="13" t="n">
        <f aca="false">Val_pt*(M12-E_zero)</f>
        <v>70</v>
      </c>
      <c r="T12" s="13" t="n">
        <f aca="false">Val_pt*(N12-E_zero)</f>
        <v>70</v>
      </c>
      <c r="U12" s="13" t="n">
        <f aca="false">Val_pt*(O12-E_zero)</f>
        <v>70</v>
      </c>
      <c r="V12" s="16" t="n">
        <f aca="false">MAX(W12+Cost_round*C12-P12,IF(C12=1,Pre_q,0))</f>
        <v>470</v>
      </c>
      <c r="W12" s="16" t="n">
        <f aca="false">MAX(X12+Cost_round*D12-Q12,IF(D12=1,Pre_q,0),Floor_q)</f>
        <v>470</v>
      </c>
      <c r="X12" s="16" t="n">
        <f aca="false">MAX(Y12+Cost_round*E12-R12,IF(E12=1,Pre_q,0),Floor_q)</f>
        <v>470</v>
      </c>
      <c r="Y12" s="16" t="n">
        <f aca="false">MAX(Z12+Cost_round*F12-S12,IF(F12=1,Pre_q,0),Floor_q)</f>
        <v>470</v>
      </c>
      <c r="Z12" s="16" t="n">
        <f aca="false">MAX(AA12+Cost_round*G12-T12,IF(G12=1,Pre_q,0),Floor_q)</f>
        <v>350</v>
      </c>
      <c r="AA12" s="16" t="n">
        <f aca="false">MAX(AB12+Cost_round*H12-U12,IF(H12=1,Pre_q,0),Floor_q)</f>
        <v>400</v>
      </c>
      <c r="AB12" s="16" t="n">
        <f aca="false">End_q</f>
        <v>470</v>
      </c>
      <c r="AC12" s="16" t="n">
        <f aca="false">Q_zero-V12</f>
        <v>150</v>
      </c>
      <c r="AD12" s="15" t="n">
        <f aca="false">IF(AC12&gt;=-0.000000001,1,0)</f>
        <v>1</v>
      </c>
      <c r="AE12" s="13" t="n">
        <f aca="false">IF($AD12=1,Q_zero-Cost_round*C12+P12-W12,"")</f>
        <v>150</v>
      </c>
      <c r="AF12" s="13" t="n">
        <f aca="false">IF($AD12=1,W12-Cost_round*D12+Q12-X12,"")</f>
        <v>0</v>
      </c>
      <c r="AG12" s="13" t="n">
        <f aca="false">IF($AD12=1,X12-Cost_round*E12+R12-Y12,"")</f>
        <v>0</v>
      </c>
      <c r="AH12" s="13" t="n">
        <f aca="false">IF($AD12=1,Y12-Cost_round*F12+S12-Z12,"")</f>
        <v>70</v>
      </c>
      <c r="AI12" s="13" t="n">
        <f aca="false">IF($AD12=1,Z12-Cost_round*G12+T12-AA12,"")</f>
        <v>20</v>
      </c>
      <c r="AJ12" s="13" t="n">
        <f aca="false">IF($AD12=1,AA12-Cost_round*H12+U12-AB12,"")</f>
        <v>0</v>
      </c>
      <c r="AK12" s="17" t="n">
        <f aca="false">IF($AD12=1,SUMPRODUCT(AE12:AJ12,$AE$6:$AJ$6),"")</f>
        <v>196.593004700374</v>
      </c>
      <c r="AL12" s="13" t="n">
        <f aca="false">U12</f>
        <v>70</v>
      </c>
      <c r="AM12" s="15" t="n">
        <f aca="false">IF(SUMPRODUCT(($AK$8:$AK$71&gt;=AK12-0.000000001)*($AL$8:$AL$71&gt;=AL12-0.000000001)*((($AK$8:$AK$71&gt;AK12+0.000000001)+($AL$8:$AL$71&gt;AL12+0.000000001))&gt;0))&gt;0,1,0)</f>
        <v>1</v>
      </c>
      <c r="AN12" s="15" t="n">
        <f aca="false">1-AM12</f>
        <v>0</v>
      </c>
      <c r="AO12" s="17" t="n">
        <f aca="false">AK12+W_board*AL12</f>
        <v>591.724755738019</v>
      </c>
      <c r="AP12" s="17" t="n">
        <f aca="false">AK12+W_try*AL12</f>
        <v>896.593004700374</v>
      </c>
      <c r="AQ12" s="16" t="n">
        <f aca="false">MAX(AR12+Cost_round*C12-P12,IF(C12=1,Pre_q+Res_b,0))</f>
        <v>520</v>
      </c>
      <c r="AR12" s="16" t="n">
        <f aca="false">MAX(AS12+Cost_round*D12-Q12,IF(D12=1,Pre_q+Res_b,0),Floor_q+Res_b)</f>
        <v>520</v>
      </c>
      <c r="AS12" s="16" t="n">
        <f aca="false">MAX(AT12+Cost_round*E12-R12,IF(E12=1,Pre_q+Res_b,0),Floor_q+Res_b)</f>
        <v>520</v>
      </c>
      <c r="AT12" s="16" t="n">
        <f aca="false">MAX(AU12+Cost_round*F12-S12,IF(F12=1,Pre_q+Res_b,0),Floor_q+Res_b)</f>
        <v>520</v>
      </c>
      <c r="AU12" s="16" t="n">
        <f aca="false">MAX(AV12+Cost_round*G12-T12,IF(G12=1,Pre_q+Res_b,0),Floor_q+Res_b)</f>
        <v>400</v>
      </c>
      <c r="AV12" s="16" t="n">
        <f aca="false">MAX(AW12+Cost_round*H12-U12,IF(H12=1,Pre_q+Res_b,0),Floor_q+Res_b)</f>
        <v>450</v>
      </c>
      <c r="AW12" s="16" t="n">
        <f aca="false">End_q+Res_b</f>
        <v>520</v>
      </c>
      <c r="AX12" s="15" t="n">
        <f aca="false">IF(Q_zero&gt;=AQ12-0.000000001,1,0)</f>
        <v>1</v>
      </c>
      <c r="AY12" s="13" t="n">
        <f aca="false">IF($AX12=1,Q_zero-Cost_round*C12+P12-AR12,"")</f>
        <v>100</v>
      </c>
      <c r="AZ12" s="13" t="n">
        <f aca="false">IF($AX12=1,AR12-Cost_round*D12+Q12-AS12,"")</f>
        <v>0</v>
      </c>
      <c r="BA12" s="13" t="n">
        <f aca="false">IF($AX12=1,AS12-Cost_round*E12+R12-AT12,"")</f>
        <v>0</v>
      </c>
      <c r="BB12" s="13" t="n">
        <f aca="false">IF($AX12=1,AT12-Cost_round*F12+S12-AU12,"")</f>
        <v>70</v>
      </c>
      <c r="BC12" s="13" t="n">
        <f aca="false">IF($AX12=1,AU12-Cost_round*G12+T12-AV12,"")</f>
        <v>20</v>
      </c>
      <c r="BD12" s="13" t="n">
        <f aca="false">IF($AX12=1,AV12-Cost_round*H12+U12-AW12,"")</f>
        <v>0</v>
      </c>
      <c r="BE12" s="17" t="n">
        <f aca="false">IF($AX12=1,SUMPRODUCT(AY12:BD12,$AY$6:$BD$6),"")</f>
        <v>151.138459245829</v>
      </c>
      <c r="BF12" s="12" t="n">
        <f aca="false">IF(AND($AX12=1,Res_b&gt;0),(AK12-BE12)/Res_b,"")</f>
        <v>0.909090909090909</v>
      </c>
      <c r="BG12" s="17" t="n">
        <f aca="false">IF(AC12&gt;=Goal_b-0.000000001,AK12-Beta_y*Goal_b,"")</f>
        <v>173.865731973102</v>
      </c>
      <c r="BH12" s="15" t="n">
        <f aca="false">IF(AC12&gt;=Goal_b-0.000000001,IF(AND(AL12&gt;=Goal_S-0.000000001,BG12&gt;=Goal_P-0.000000001),1,0),0)</f>
        <v>0</v>
      </c>
    </row>
    <row r="13" customFormat="false" ht="15" hidden="false" customHeight="false" outlineLevel="0" collapsed="false">
      <c r="A13" s="2" t="n">
        <v>5</v>
      </c>
      <c r="B13" s="2" t="s">
        <v>123</v>
      </c>
      <c r="C13" s="15" t="n">
        <f aca="false">MOD(INT($A13/32),2)</f>
        <v>0</v>
      </c>
      <c r="D13" s="15" t="n">
        <f aca="false">MOD(INT($A13/16),2)</f>
        <v>0</v>
      </c>
      <c r="E13" s="15" t="n">
        <f aca="false">MOD(INT($A13/8),2)</f>
        <v>0</v>
      </c>
      <c r="F13" s="15" t="n">
        <f aca="false">MOD(INT($A13/4),2)</f>
        <v>1</v>
      </c>
      <c r="G13" s="15" t="n">
        <f aca="false">MOD(INT($A13/2),2)</f>
        <v>0</v>
      </c>
      <c r="H13" s="15" t="n">
        <f aca="false">MOD(INT($A13/1),2)</f>
        <v>1</v>
      </c>
      <c r="I13" s="15" t="n">
        <f aca="false">SUM(C13:H13)</f>
        <v>2</v>
      </c>
      <c r="J13" s="13" t="n">
        <f aca="false">E_zero+C13*Half_gap*(Ceiling_e-E_zero)</f>
        <v>71</v>
      </c>
      <c r="K13" s="13" t="n">
        <f aca="false">J13+D13*Half_gap*(Ceiling_e-J13)</f>
        <v>71</v>
      </c>
      <c r="L13" s="13" t="n">
        <f aca="false">K13+E13*Half_gap*(Ceiling_e-K13)</f>
        <v>71</v>
      </c>
      <c r="M13" s="13" t="n">
        <f aca="false">L13+F13*Half_gap*(Ceiling_e-L13)</f>
        <v>78</v>
      </c>
      <c r="N13" s="13" t="n">
        <f aca="false">M13+G13*Half_gap*(Ceiling_e-M13)</f>
        <v>78</v>
      </c>
      <c r="O13" s="13" t="n">
        <f aca="false">N13+H13*Half_gap*(Ceiling_e-N13)</f>
        <v>81.5</v>
      </c>
      <c r="P13" s="13" t="n">
        <f aca="false">Val_pt*(J13-E_zero)</f>
        <v>0</v>
      </c>
      <c r="Q13" s="13" t="n">
        <f aca="false">Val_pt*(K13-E_zero)</f>
        <v>0</v>
      </c>
      <c r="R13" s="13" t="n">
        <f aca="false">Val_pt*(L13-E_zero)</f>
        <v>0</v>
      </c>
      <c r="S13" s="13" t="n">
        <f aca="false">Val_pt*(M13-E_zero)</f>
        <v>70</v>
      </c>
      <c r="T13" s="13" t="n">
        <f aca="false">Val_pt*(N13-E_zero)</f>
        <v>70</v>
      </c>
      <c r="U13" s="13" t="n">
        <f aca="false">Val_pt*(O13-E_zero)</f>
        <v>105</v>
      </c>
      <c r="V13" s="16" t="n">
        <f aca="false">MAX(W13+Cost_round*C13-P13,IF(C13=1,Pre_q,0))</f>
        <v>470</v>
      </c>
      <c r="W13" s="16" t="n">
        <f aca="false">MAX(X13+Cost_round*D13-Q13,IF(D13=1,Pre_q,0),Floor_q)</f>
        <v>470</v>
      </c>
      <c r="X13" s="16" t="n">
        <f aca="false">MAX(Y13+Cost_round*E13-R13,IF(E13=1,Pre_q,0),Floor_q)</f>
        <v>470</v>
      </c>
      <c r="Y13" s="16" t="n">
        <f aca="false">MAX(Z13+Cost_round*F13-S13,IF(F13=1,Pre_q,0),Floor_q)</f>
        <v>470</v>
      </c>
      <c r="Z13" s="16" t="n">
        <f aca="false">MAX(AA13+Cost_round*G13-T13,IF(G13=1,Pre_q,0),Floor_q)</f>
        <v>415</v>
      </c>
      <c r="AA13" s="16" t="n">
        <f aca="false">MAX(AB13+Cost_round*H13-U13,IF(H13=1,Pre_q,0),Floor_q)</f>
        <v>485</v>
      </c>
      <c r="AB13" s="16" t="n">
        <f aca="false">End_q</f>
        <v>470</v>
      </c>
      <c r="AC13" s="16" t="n">
        <f aca="false">Q_zero-V13</f>
        <v>150</v>
      </c>
      <c r="AD13" s="15" t="n">
        <f aca="false">IF(AC13&gt;=-0.000000001,1,0)</f>
        <v>1</v>
      </c>
      <c r="AE13" s="13" t="n">
        <f aca="false">IF($AD13=1,Q_zero-Cost_round*C13+P13-W13,"")</f>
        <v>150</v>
      </c>
      <c r="AF13" s="13" t="n">
        <f aca="false">IF($AD13=1,W13-Cost_round*D13+Q13-X13,"")</f>
        <v>0</v>
      </c>
      <c r="AG13" s="13" t="n">
        <f aca="false">IF($AD13=1,X13-Cost_round*E13+R13-Y13,"")</f>
        <v>0</v>
      </c>
      <c r="AH13" s="13" t="n">
        <f aca="false">IF($AD13=1,Y13-Cost_round*F13+S13-Z13,"")</f>
        <v>5</v>
      </c>
      <c r="AI13" s="13" t="n">
        <f aca="false">IF($AD13=1,Z13-Cost_round*G13+T13-AA13,"")</f>
        <v>0</v>
      </c>
      <c r="AJ13" s="13" t="n">
        <f aca="false">IF($AD13=1,AA13-Cost_round*H13+U13-AB13,"")</f>
        <v>0</v>
      </c>
      <c r="AK13" s="17" t="n">
        <f aca="false">IF($AD13=1,SUMPRODUCT(AE13:AJ13,$AE$6:$AJ$6),"")</f>
        <v>139.778703640462</v>
      </c>
      <c r="AL13" s="13" t="n">
        <f aca="false">U13</f>
        <v>105</v>
      </c>
      <c r="AM13" s="15" t="n">
        <f aca="false">IF(SUMPRODUCT(($AK$8:$AK$71&gt;=AK13-0.000000001)*($AL$8:$AL$71&gt;=AL13-0.000000001)*((($AK$8:$AK$71&gt;AK13+0.000000001)+($AL$8:$AL$71&gt;AL13+0.000000001))&gt;0))&gt;0,1,0)</f>
        <v>1</v>
      </c>
      <c r="AN13" s="15" t="n">
        <f aca="false">1-AM13</f>
        <v>0</v>
      </c>
      <c r="AO13" s="17" t="n">
        <f aca="false">AK13+W_board*AL13</f>
        <v>732.476330196928</v>
      </c>
      <c r="AP13" s="17" t="n">
        <f aca="false">AK13+W_try*AL13</f>
        <v>1189.77870364046</v>
      </c>
      <c r="AQ13" s="16" t="n">
        <f aca="false">MAX(AR13+Cost_round*C13-P13,IF(C13=1,Pre_q+Res_b,0))</f>
        <v>520</v>
      </c>
      <c r="AR13" s="16" t="n">
        <f aca="false">MAX(AS13+Cost_round*D13-Q13,IF(D13=1,Pre_q+Res_b,0),Floor_q+Res_b)</f>
        <v>520</v>
      </c>
      <c r="AS13" s="16" t="n">
        <f aca="false">MAX(AT13+Cost_round*E13-R13,IF(E13=1,Pre_q+Res_b,0),Floor_q+Res_b)</f>
        <v>520</v>
      </c>
      <c r="AT13" s="16" t="n">
        <f aca="false">MAX(AU13+Cost_round*F13-S13,IF(F13=1,Pre_q+Res_b,0),Floor_q+Res_b)</f>
        <v>520</v>
      </c>
      <c r="AU13" s="16" t="n">
        <f aca="false">MAX(AV13+Cost_round*G13-T13,IF(G13=1,Pre_q+Res_b,0),Floor_q+Res_b)</f>
        <v>465</v>
      </c>
      <c r="AV13" s="16" t="n">
        <f aca="false">MAX(AW13+Cost_round*H13-U13,IF(H13=1,Pre_q+Res_b,0),Floor_q+Res_b)</f>
        <v>535</v>
      </c>
      <c r="AW13" s="16" t="n">
        <f aca="false">End_q+Res_b</f>
        <v>520</v>
      </c>
      <c r="AX13" s="15" t="n">
        <f aca="false">IF(Q_zero&gt;=AQ13-0.000000001,1,0)</f>
        <v>1</v>
      </c>
      <c r="AY13" s="13" t="n">
        <f aca="false">IF($AX13=1,Q_zero-Cost_round*C13+P13-AR13,"")</f>
        <v>100</v>
      </c>
      <c r="AZ13" s="13" t="n">
        <f aca="false">IF($AX13=1,AR13-Cost_round*D13+Q13-AS13,"")</f>
        <v>0</v>
      </c>
      <c r="BA13" s="13" t="n">
        <f aca="false">IF($AX13=1,AS13-Cost_round*E13+R13-AT13,"")</f>
        <v>0</v>
      </c>
      <c r="BB13" s="13" t="n">
        <f aca="false">IF($AX13=1,AT13-Cost_round*F13+S13-AU13,"")</f>
        <v>5</v>
      </c>
      <c r="BC13" s="13" t="n">
        <f aca="false">IF($AX13=1,AU13-Cost_round*G13+T13-AV13,"")</f>
        <v>0</v>
      </c>
      <c r="BD13" s="13" t="n">
        <f aca="false">IF($AX13=1,AV13-Cost_round*H13+U13-AW13,"")</f>
        <v>0</v>
      </c>
      <c r="BE13" s="17" t="n">
        <f aca="false">IF($AX13=1,SUMPRODUCT(AY13:BD13,$AY$6:$BD$6),"")</f>
        <v>94.3241581859163</v>
      </c>
      <c r="BF13" s="12" t="n">
        <f aca="false">IF(AND($AX13=1,Res_b&gt;0),(AK13-BE13)/Res_b,"")</f>
        <v>0.909090909090909</v>
      </c>
      <c r="BG13" s="17" t="n">
        <f aca="false">IF(AC13&gt;=Goal_b-0.000000001,AK13-Beta_y*Goal_b,"")</f>
        <v>117.051430913189</v>
      </c>
      <c r="BH13" s="15" t="n">
        <f aca="false">IF(AC13&gt;=Goal_b-0.000000001,IF(AND(AL13&gt;=Goal_S-0.000000001,BG13&gt;=Goal_P-0.000000001),1,0),0)</f>
        <v>0</v>
      </c>
    </row>
    <row r="14" customFormat="false" ht="15" hidden="false" customHeight="false" outlineLevel="0" collapsed="false">
      <c r="A14" s="2" t="n">
        <v>6</v>
      </c>
      <c r="B14" s="2" t="s">
        <v>124</v>
      </c>
      <c r="C14" s="15" t="n">
        <f aca="false">MOD(INT($A14/32),2)</f>
        <v>0</v>
      </c>
      <c r="D14" s="15" t="n">
        <f aca="false">MOD(INT($A14/16),2)</f>
        <v>0</v>
      </c>
      <c r="E14" s="15" t="n">
        <f aca="false">MOD(INT($A14/8),2)</f>
        <v>0</v>
      </c>
      <c r="F14" s="15" t="n">
        <f aca="false">MOD(INT($A14/4),2)</f>
        <v>1</v>
      </c>
      <c r="G14" s="15" t="n">
        <f aca="false">MOD(INT($A14/2),2)</f>
        <v>1</v>
      </c>
      <c r="H14" s="15" t="n">
        <f aca="false">MOD(INT($A14/1),2)</f>
        <v>0</v>
      </c>
      <c r="I14" s="15" t="n">
        <f aca="false">SUM(C14:H14)</f>
        <v>2</v>
      </c>
      <c r="J14" s="13" t="n">
        <f aca="false">E_zero+C14*Half_gap*(Ceiling_e-E_zero)</f>
        <v>71</v>
      </c>
      <c r="K14" s="13" t="n">
        <f aca="false">J14+D14*Half_gap*(Ceiling_e-J14)</f>
        <v>71</v>
      </c>
      <c r="L14" s="13" t="n">
        <f aca="false">K14+E14*Half_gap*(Ceiling_e-K14)</f>
        <v>71</v>
      </c>
      <c r="M14" s="13" t="n">
        <f aca="false">L14+F14*Half_gap*(Ceiling_e-L14)</f>
        <v>78</v>
      </c>
      <c r="N14" s="13" t="n">
        <f aca="false">M14+G14*Half_gap*(Ceiling_e-M14)</f>
        <v>81.5</v>
      </c>
      <c r="O14" s="13" t="n">
        <f aca="false">N14+H14*Half_gap*(Ceiling_e-N14)</f>
        <v>81.5</v>
      </c>
      <c r="P14" s="13" t="n">
        <f aca="false">Val_pt*(J14-E_zero)</f>
        <v>0</v>
      </c>
      <c r="Q14" s="13" t="n">
        <f aca="false">Val_pt*(K14-E_zero)</f>
        <v>0</v>
      </c>
      <c r="R14" s="13" t="n">
        <f aca="false">Val_pt*(L14-E_zero)</f>
        <v>0</v>
      </c>
      <c r="S14" s="13" t="n">
        <f aca="false">Val_pt*(M14-E_zero)</f>
        <v>70</v>
      </c>
      <c r="T14" s="13" t="n">
        <f aca="false">Val_pt*(N14-E_zero)</f>
        <v>105</v>
      </c>
      <c r="U14" s="13" t="n">
        <f aca="false">Val_pt*(O14-E_zero)</f>
        <v>105</v>
      </c>
      <c r="V14" s="16" t="n">
        <f aca="false">MAX(W14+Cost_round*C14-P14,IF(C14=1,Pre_q,0))</f>
        <v>520</v>
      </c>
      <c r="W14" s="16" t="n">
        <f aca="false">MAX(X14+Cost_round*D14-Q14,IF(D14=1,Pre_q,0),Floor_q)</f>
        <v>520</v>
      </c>
      <c r="X14" s="16" t="n">
        <f aca="false">MAX(Y14+Cost_round*E14-R14,IF(E14=1,Pre_q,0),Floor_q)</f>
        <v>520</v>
      </c>
      <c r="Y14" s="16" t="n">
        <f aca="false">MAX(Z14+Cost_round*F14-S14,IF(F14=1,Pre_q,0),Floor_q)</f>
        <v>520</v>
      </c>
      <c r="Z14" s="16" t="n">
        <f aca="false">MAX(AA14+Cost_round*G14-T14,IF(G14=1,Pre_q,0),Floor_q)</f>
        <v>470</v>
      </c>
      <c r="AA14" s="16" t="n">
        <f aca="false">MAX(AB14+Cost_round*H14-U14,IF(H14=1,Pre_q,0),Floor_q)</f>
        <v>365</v>
      </c>
      <c r="AB14" s="16" t="n">
        <f aca="false">End_q</f>
        <v>470</v>
      </c>
      <c r="AC14" s="16" t="n">
        <f aca="false">Q_zero-V14</f>
        <v>100</v>
      </c>
      <c r="AD14" s="15" t="n">
        <f aca="false">IF(AC14&gt;=-0.000000001,1,0)</f>
        <v>1</v>
      </c>
      <c r="AE14" s="13" t="n">
        <f aca="false">IF($AD14=1,Q_zero-Cost_round*C14+P14-W14,"")</f>
        <v>100</v>
      </c>
      <c r="AF14" s="13" t="n">
        <f aca="false">IF($AD14=1,W14-Cost_round*D14+Q14-X14,"")</f>
        <v>0</v>
      </c>
      <c r="AG14" s="13" t="n">
        <f aca="false">IF($AD14=1,X14-Cost_round*E14+R14-Y14,"")</f>
        <v>0</v>
      </c>
      <c r="AH14" s="13" t="n">
        <f aca="false">IF($AD14=1,Y14-Cost_round*F14+S14-Z14,"")</f>
        <v>0</v>
      </c>
      <c r="AI14" s="13" t="n">
        <f aca="false">IF($AD14=1,Z14-Cost_round*G14+T14-AA14,"")</f>
        <v>90</v>
      </c>
      <c r="AJ14" s="13" t="n">
        <f aca="false">IF($AD14=1,AA14-Cost_round*H14+U14-AB14,"")</f>
        <v>0</v>
      </c>
      <c r="AK14" s="17" t="n">
        <f aca="false">IF($AD14=1,SUMPRODUCT(AE14:AJ14,$AE$6:$AJ$6),"")</f>
        <v>146.792009984415</v>
      </c>
      <c r="AL14" s="13" t="n">
        <f aca="false">U14</f>
        <v>105</v>
      </c>
      <c r="AM14" s="15" t="n">
        <f aca="false">IF(SUMPRODUCT(($AK$8:$AK$71&gt;=AK14-0.000000001)*($AL$8:$AL$71&gt;=AL14-0.000000001)*((($AK$8:$AK$71&gt;AK14+0.000000001)+($AL$8:$AL$71&gt;AL14+0.000000001))&gt;0))&gt;0,1,0)</f>
        <v>1</v>
      </c>
      <c r="AN14" s="15" t="n">
        <f aca="false">1-AM14</f>
        <v>0</v>
      </c>
      <c r="AO14" s="17" t="n">
        <f aca="false">AK14+W_board*AL14</f>
        <v>739.489636540881</v>
      </c>
      <c r="AP14" s="17" t="n">
        <f aca="false">AK14+W_try*AL14</f>
        <v>1196.79200998441</v>
      </c>
      <c r="AQ14" s="16" t="n">
        <f aca="false">MAX(AR14+Cost_round*C14-P14,IF(C14=1,Pre_q+Res_b,0))</f>
        <v>570</v>
      </c>
      <c r="AR14" s="16" t="n">
        <f aca="false">MAX(AS14+Cost_round*D14-Q14,IF(D14=1,Pre_q+Res_b,0),Floor_q+Res_b)</f>
        <v>570</v>
      </c>
      <c r="AS14" s="16" t="n">
        <f aca="false">MAX(AT14+Cost_round*E14-R14,IF(E14=1,Pre_q+Res_b,0),Floor_q+Res_b)</f>
        <v>570</v>
      </c>
      <c r="AT14" s="16" t="n">
        <f aca="false">MAX(AU14+Cost_round*F14-S14,IF(F14=1,Pre_q+Res_b,0),Floor_q+Res_b)</f>
        <v>570</v>
      </c>
      <c r="AU14" s="16" t="n">
        <f aca="false">MAX(AV14+Cost_round*G14-T14,IF(G14=1,Pre_q+Res_b,0),Floor_q+Res_b)</f>
        <v>520</v>
      </c>
      <c r="AV14" s="16" t="n">
        <f aca="false">MAX(AW14+Cost_round*H14-U14,IF(H14=1,Pre_q+Res_b,0),Floor_q+Res_b)</f>
        <v>415</v>
      </c>
      <c r="AW14" s="16" t="n">
        <f aca="false">End_q+Res_b</f>
        <v>520</v>
      </c>
      <c r="AX14" s="15" t="n">
        <f aca="false">IF(Q_zero&gt;=AQ14-0.000000001,1,0)</f>
        <v>1</v>
      </c>
      <c r="AY14" s="13" t="n">
        <f aca="false">IF($AX14=1,Q_zero-Cost_round*C14+P14-AR14,"")</f>
        <v>50</v>
      </c>
      <c r="AZ14" s="13" t="n">
        <f aca="false">IF($AX14=1,AR14-Cost_round*D14+Q14-AS14,"")</f>
        <v>0</v>
      </c>
      <c r="BA14" s="13" t="n">
        <f aca="false">IF($AX14=1,AS14-Cost_round*E14+R14-AT14,"")</f>
        <v>0</v>
      </c>
      <c r="BB14" s="13" t="n">
        <f aca="false">IF($AX14=1,AT14-Cost_round*F14+S14-AU14,"")</f>
        <v>0</v>
      </c>
      <c r="BC14" s="13" t="n">
        <f aca="false">IF($AX14=1,AU14-Cost_round*G14+T14-AV14,"")</f>
        <v>90</v>
      </c>
      <c r="BD14" s="13" t="n">
        <f aca="false">IF($AX14=1,AV14-Cost_round*H14+U14-AW14,"")</f>
        <v>0</v>
      </c>
      <c r="BE14" s="17" t="n">
        <f aca="false">IF($AX14=1,SUMPRODUCT(AY14:BD14,$AY$6:$BD$6),"")</f>
        <v>101.337464529869</v>
      </c>
      <c r="BF14" s="12" t="n">
        <f aca="false">IF(AND($AX14=1,Res_b&gt;0),(AK14-BE14)/Res_b,"")</f>
        <v>0.909090909090909</v>
      </c>
      <c r="BG14" s="17" t="n">
        <f aca="false">IF(AC14&gt;=Goal_b-0.000000001,AK14-Beta_y*Goal_b,"")</f>
        <v>124.064737257142</v>
      </c>
      <c r="BH14" s="15" t="n">
        <f aca="false">IF(AC14&gt;=Goal_b-0.000000001,IF(AND(AL14&gt;=Goal_S-0.000000001,BG14&gt;=Goal_P-0.000000001),1,0),0)</f>
        <v>0</v>
      </c>
    </row>
    <row r="15" customFormat="false" ht="15" hidden="false" customHeight="false" outlineLevel="0" collapsed="false">
      <c r="A15" s="2" t="n">
        <v>7</v>
      </c>
      <c r="B15" s="2" t="s">
        <v>125</v>
      </c>
      <c r="C15" s="15" t="n">
        <f aca="false">MOD(INT($A15/32),2)</f>
        <v>0</v>
      </c>
      <c r="D15" s="15" t="n">
        <f aca="false">MOD(INT($A15/16),2)</f>
        <v>0</v>
      </c>
      <c r="E15" s="15" t="n">
        <f aca="false">MOD(INT($A15/8),2)</f>
        <v>0</v>
      </c>
      <c r="F15" s="15" t="n">
        <f aca="false">MOD(INT($A15/4),2)</f>
        <v>1</v>
      </c>
      <c r="G15" s="15" t="n">
        <f aca="false">MOD(INT($A15/2),2)</f>
        <v>1</v>
      </c>
      <c r="H15" s="15" t="n">
        <f aca="false">MOD(INT($A15/1),2)</f>
        <v>1</v>
      </c>
      <c r="I15" s="15" t="n">
        <f aca="false">SUM(C15:H15)</f>
        <v>3</v>
      </c>
      <c r="J15" s="13" t="n">
        <f aca="false">E_zero+C15*Half_gap*(Ceiling_e-E_zero)</f>
        <v>71</v>
      </c>
      <c r="K15" s="13" t="n">
        <f aca="false">J15+D15*Half_gap*(Ceiling_e-J15)</f>
        <v>71</v>
      </c>
      <c r="L15" s="13" t="n">
        <f aca="false">K15+E15*Half_gap*(Ceiling_e-K15)</f>
        <v>71</v>
      </c>
      <c r="M15" s="13" t="n">
        <f aca="false">L15+F15*Half_gap*(Ceiling_e-L15)</f>
        <v>78</v>
      </c>
      <c r="N15" s="13" t="n">
        <f aca="false">M15+G15*Half_gap*(Ceiling_e-M15)</f>
        <v>81.5</v>
      </c>
      <c r="O15" s="13" t="n">
        <f aca="false">N15+H15*Half_gap*(Ceiling_e-N15)</f>
        <v>83.25</v>
      </c>
      <c r="P15" s="13" t="n">
        <f aca="false">Val_pt*(J15-E_zero)</f>
        <v>0</v>
      </c>
      <c r="Q15" s="13" t="n">
        <f aca="false">Val_pt*(K15-E_zero)</f>
        <v>0</v>
      </c>
      <c r="R15" s="13" t="n">
        <f aca="false">Val_pt*(L15-E_zero)</f>
        <v>0</v>
      </c>
      <c r="S15" s="13" t="n">
        <f aca="false">Val_pt*(M15-E_zero)</f>
        <v>70</v>
      </c>
      <c r="T15" s="13" t="n">
        <f aca="false">Val_pt*(N15-E_zero)</f>
        <v>105</v>
      </c>
      <c r="U15" s="13" t="n">
        <f aca="false">Val_pt*(O15-E_zero)</f>
        <v>122.5</v>
      </c>
      <c r="V15" s="16" t="n">
        <f aca="false">MAX(W15+Cost_round*C15-P15,IF(C15=1,Pre_q,0))</f>
        <v>535</v>
      </c>
      <c r="W15" s="16" t="n">
        <f aca="false">MAX(X15+Cost_round*D15-Q15,IF(D15=1,Pre_q,0),Floor_q)</f>
        <v>535</v>
      </c>
      <c r="X15" s="16" t="n">
        <f aca="false">MAX(Y15+Cost_round*E15-R15,IF(E15=1,Pre_q,0),Floor_q)</f>
        <v>535</v>
      </c>
      <c r="Y15" s="16" t="n">
        <f aca="false">MAX(Z15+Cost_round*F15-S15,IF(F15=1,Pre_q,0),Floor_q)</f>
        <v>535</v>
      </c>
      <c r="Z15" s="16" t="n">
        <f aca="false">MAX(AA15+Cost_round*G15-T15,IF(G15=1,Pre_q,0),Floor_q)</f>
        <v>485</v>
      </c>
      <c r="AA15" s="16" t="n">
        <f aca="false">MAX(AB15+Cost_round*H15-U15,IF(H15=1,Pre_q,0),Floor_q)</f>
        <v>470</v>
      </c>
      <c r="AB15" s="16" t="n">
        <f aca="false">End_q</f>
        <v>470</v>
      </c>
      <c r="AC15" s="16" t="n">
        <f aca="false">Q_zero-V15</f>
        <v>85</v>
      </c>
      <c r="AD15" s="15" t="n">
        <f aca="false">IF(AC15&gt;=-0.000000001,1,0)</f>
        <v>1</v>
      </c>
      <c r="AE15" s="13" t="n">
        <f aca="false">IF($AD15=1,Q_zero-Cost_round*C15+P15-W15,"")</f>
        <v>85</v>
      </c>
      <c r="AF15" s="13" t="n">
        <f aca="false">IF($AD15=1,W15-Cost_round*D15+Q15-X15,"")</f>
        <v>0</v>
      </c>
      <c r="AG15" s="13" t="n">
        <f aca="false">IF($AD15=1,X15-Cost_round*E15+R15-Y15,"")</f>
        <v>0</v>
      </c>
      <c r="AH15" s="13" t="n">
        <f aca="false">IF($AD15=1,Y15-Cost_round*F15+S15-Z15,"")</f>
        <v>0</v>
      </c>
      <c r="AI15" s="13" t="n">
        <f aca="false">IF($AD15=1,Z15-Cost_round*G15+T15-AA15,"")</f>
        <v>0</v>
      </c>
      <c r="AJ15" s="13" t="n">
        <f aca="false">IF($AD15=1,AA15-Cost_round*H15+U15-AB15,"")</f>
        <v>2.5</v>
      </c>
      <c r="AK15" s="17" t="n">
        <f aca="false">IF($AD15=1,SUMPRODUCT(AE15:AJ15,$AE$6:$AJ$6),"")</f>
        <v>78.6839120978617</v>
      </c>
      <c r="AL15" s="13" t="n">
        <f aca="false">U15</f>
        <v>122.5</v>
      </c>
      <c r="AM15" s="15" t="n">
        <f aca="false">IF(SUMPRODUCT(($AK$8:$AK$71&gt;=AK15-0.000000001)*($AL$8:$AL$71&gt;=AL15-0.000000001)*((($AK$8:$AK$71&gt;AK15+0.000000001)+($AL$8:$AL$71&gt;AL15+0.000000001))&gt;0))&gt;0,1,0)</f>
        <v>1</v>
      </c>
      <c r="AN15" s="15" t="n">
        <f aca="false">1-AM15</f>
        <v>0</v>
      </c>
      <c r="AO15" s="17" t="n">
        <f aca="false">AK15+W_board*AL15</f>
        <v>770.164476413739</v>
      </c>
      <c r="AP15" s="17" t="n">
        <f aca="false">AK15+W_try*AL15</f>
        <v>1303.68391209786</v>
      </c>
      <c r="AQ15" s="16" t="n">
        <f aca="false">MAX(AR15+Cost_round*C15-P15,IF(C15=1,Pre_q+Res_b,0))</f>
        <v>585</v>
      </c>
      <c r="AR15" s="16" t="n">
        <f aca="false">MAX(AS15+Cost_round*D15-Q15,IF(D15=1,Pre_q+Res_b,0),Floor_q+Res_b)</f>
        <v>585</v>
      </c>
      <c r="AS15" s="16" t="n">
        <f aca="false">MAX(AT15+Cost_round*E15-R15,IF(E15=1,Pre_q+Res_b,0),Floor_q+Res_b)</f>
        <v>585</v>
      </c>
      <c r="AT15" s="16" t="n">
        <f aca="false">MAX(AU15+Cost_round*F15-S15,IF(F15=1,Pre_q+Res_b,0),Floor_q+Res_b)</f>
        <v>585</v>
      </c>
      <c r="AU15" s="16" t="n">
        <f aca="false">MAX(AV15+Cost_round*G15-T15,IF(G15=1,Pre_q+Res_b,0),Floor_q+Res_b)</f>
        <v>535</v>
      </c>
      <c r="AV15" s="16" t="n">
        <f aca="false">MAX(AW15+Cost_round*H15-U15,IF(H15=1,Pre_q+Res_b,0),Floor_q+Res_b)</f>
        <v>520</v>
      </c>
      <c r="AW15" s="16" t="n">
        <f aca="false">End_q+Res_b</f>
        <v>520</v>
      </c>
      <c r="AX15" s="15" t="n">
        <f aca="false">IF(Q_zero&gt;=AQ15-0.000000001,1,0)</f>
        <v>1</v>
      </c>
      <c r="AY15" s="13" t="n">
        <f aca="false">IF($AX15=1,Q_zero-Cost_round*C15+P15-AR15,"")</f>
        <v>35</v>
      </c>
      <c r="AZ15" s="13" t="n">
        <f aca="false">IF($AX15=1,AR15-Cost_round*D15+Q15-AS15,"")</f>
        <v>0</v>
      </c>
      <c r="BA15" s="13" t="n">
        <f aca="false">IF($AX15=1,AS15-Cost_round*E15+R15-AT15,"")</f>
        <v>0</v>
      </c>
      <c r="BB15" s="13" t="n">
        <f aca="false">IF($AX15=1,AT15-Cost_round*F15+S15-AU15,"")</f>
        <v>0</v>
      </c>
      <c r="BC15" s="13" t="n">
        <f aca="false">IF($AX15=1,AU15-Cost_round*G15+T15-AV15,"")</f>
        <v>0</v>
      </c>
      <c r="BD15" s="13" t="n">
        <f aca="false">IF($AX15=1,AV15-Cost_round*H15+U15-AW15,"")</f>
        <v>2.5</v>
      </c>
      <c r="BE15" s="17" t="n">
        <f aca="false">IF($AX15=1,SUMPRODUCT(AY15:BD15,$AY$6:$BD$6),"")</f>
        <v>33.2293666433163</v>
      </c>
      <c r="BF15" s="12" t="n">
        <f aca="false">IF(AND($AX15=1,Res_b&gt;0),(AK15-BE15)/Res_b,"")</f>
        <v>0.909090909090909</v>
      </c>
      <c r="BG15" s="17" t="n">
        <f aca="false">IF(AC15&gt;=Goal_b-0.000000001,AK15-Beta_y*Goal_b,"")</f>
        <v>55.956639370589</v>
      </c>
      <c r="BH15" s="15" t="n">
        <f aca="false">IF(AC15&gt;=Goal_b-0.000000001,IF(AND(AL15&gt;=Goal_S-0.000000001,BG15&gt;=Goal_P-0.000000001),1,0),0)</f>
        <v>0</v>
      </c>
    </row>
    <row r="16" customFormat="false" ht="15" hidden="false" customHeight="false" outlineLevel="0" collapsed="false">
      <c r="A16" s="2" t="n">
        <v>8</v>
      </c>
      <c r="B16" s="2" t="s">
        <v>126</v>
      </c>
      <c r="C16" s="15" t="n">
        <f aca="false">MOD(INT($A16/32),2)</f>
        <v>0</v>
      </c>
      <c r="D16" s="15" t="n">
        <f aca="false">MOD(INT($A16/16),2)</f>
        <v>0</v>
      </c>
      <c r="E16" s="15" t="n">
        <f aca="false">MOD(INT($A16/8),2)</f>
        <v>1</v>
      </c>
      <c r="F16" s="15" t="n">
        <f aca="false">MOD(INT($A16/4),2)</f>
        <v>0</v>
      </c>
      <c r="G16" s="15" t="n">
        <f aca="false">MOD(INT($A16/2),2)</f>
        <v>0</v>
      </c>
      <c r="H16" s="15" t="n">
        <f aca="false">MOD(INT($A16/1),2)</f>
        <v>0</v>
      </c>
      <c r="I16" s="15" t="n">
        <f aca="false">SUM(C16:H16)</f>
        <v>1</v>
      </c>
      <c r="J16" s="13" t="n">
        <f aca="false">E_zero+C16*Half_gap*(Ceiling_e-E_zero)</f>
        <v>71</v>
      </c>
      <c r="K16" s="13" t="n">
        <f aca="false">J16+D16*Half_gap*(Ceiling_e-J16)</f>
        <v>71</v>
      </c>
      <c r="L16" s="13" t="n">
        <f aca="false">K16+E16*Half_gap*(Ceiling_e-K16)</f>
        <v>78</v>
      </c>
      <c r="M16" s="13" t="n">
        <f aca="false">L16+F16*Half_gap*(Ceiling_e-L16)</f>
        <v>78</v>
      </c>
      <c r="N16" s="13" t="n">
        <f aca="false">M16+G16*Half_gap*(Ceiling_e-M16)</f>
        <v>78</v>
      </c>
      <c r="O16" s="13" t="n">
        <f aca="false">N16+H16*Half_gap*(Ceiling_e-N16)</f>
        <v>78</v>
      </c>
      <c r="P16" s="13" t="n">
        <f aca="false">Val_pt*(J16-E_zero)</f>
        <v>0</v>
      </c>
      <c r="Q16" s="13" t="n">
        <f aca="false">Val_pt*(K16-E_zero)</f>
        <v>0</v>
      </c>
      <c r="R16" s="13" t="n">
        <f aca="false">Val_pt*(L16-E_zero)</f>
        <v>70</v>
      </c>
      <c r="S16" s="13" t="n">
        <f aca="false">Val_pt*(M16-E_zero)</f>
        <v>70</v>
      </c>
      <c r="T16" s="13" t="n">
        <f aca="false">Val_pt*(N16-E_zero)</f>
        <v>70</v>
      </c>
      <c r="U16" s="13" t="n">
        <f aca="false">Val_pt*(O16-E_zero)</f>
        <v>70</v>
      </c>
      <c r="V16" s="16" t="n">
        <f aca="false">MAX(W16+Cost_round*C16-P16,IF(C16=1,Pre_q,0))</f>
        <v>470</v>
      </c>
      <c r="W16" s="16" t="n">
        <f aca="false">MAX(X16+Cost_round*D16-Q16,IF(D16=1,Pre_q,0),Floor_q)</f>
        <v>470</v>
      </c>
      <c r="X16" s="16" t="n">
        <f aca="false">MAX(Y16+Cost_round*E16-R16,IF(E16=1,Pre_q,0),Floor_q)</f>
        <v>470</v>
      </c>
      <c r="Y16" s="16" t="n">
        <f aca="false">MAX(Z16+Cost_round*F16-S16,IF(F16=1,Pre_q,0),Floor_q)</f>
        <v>350</v>
      </c>
      <c r="Z16" s="16" t="n">
        <f aca="false">MAX(AA16+Cost_round*G16-T16,IF(G16=1,Pre_q,0),Floor_q)</f>
        <v>350</v>
      </c>
      <c r="AA16" s="16" t="n">
        <f aca="false">MAX(AB16+Cost_round*H16-U16,IF(H16=1,Pre_q,0),Floor_q)</f>
        <v>400</v>
      </c>
      <c r="AB16" s="16" t="n">
        <f aca="false">End_q</f>
        <v>470</v>
      </c>
      <c r="AC16" s="16" t="n">
        <f aca="false">Q_zero-V16</f>
        <v>150</v>
      </c>
      <c r="AD16" s="15" t="n">
        <f aca="false">IF(AC16&gt;=-0.000000001,1,0)</f>
        <v>1</v>
      </c>
      <c r="AE16" s="13" t="n">
        <f aca="false">IF($AD16=1,Q_zero-Cost_round*C16+P16-W16,"")</f>
        <v>150</v>
      </c>
      <c r="AF16" s="13" t="n">
        <f aca="false">IF($AD16=1,W16-Cost_round*D16+Q16-X16,"")</f>
        <v>0</v>
      </c>
      <c r="AG16" s="13" t="n">
        <f aca="false">IF($AD16=1,X16-Cost_round*E16+R16-Y16,"")</f>
        <v>70</v>
      </c>
      <c r="AH16" s="13" t="n">
        <f aca="false">IF($AD16=1,Y16-Cost_round*F16+S16-Z16,"")</f>
        <v>70</v>
      </c>
      <c r="AI16" s="13" t="n">
        <f aca="false">IF($AD16=1,Z16-Cost_round*G16+T16-AA16,"")</f>
        <v>20</v>
      </c>
      <c r="AJ16" s="13" t="n">
        <f aca="false">IF($AD16=1,AA16-Cost_round*H16+U16-AB16,"")</f>
        <v>0</v>
      </c>
      <c r="AK16" s="17" t="n">
        <f aca="false">IF($AD16=1,SUMPRODUCT(AE16:AJ16,$AE$6:$AJ$6),"")</f>
        <v>249.185040763485</v>
      </c>
      <c r="AL16" s="13" t="n">
        <f aca="false">U16</f>
        <v>70</v>
      </c>
      <c r="AM16" s="15" t="n">
        <f aca="false">IF(SUMPRODUCT(($AK$8:$AK$71&gt;=AK16-0.000000001)*($AL$8:$AL$71&gt;=AL16-0.000000001)*((($AK$8:$AK$71&gt;AK16+0.000000001)+($AL$8:$AL$71&gt;AL16+0.000000001))&gt;0))&gt;0,1,0)</f>
        <v>1</v>
      </c>
      <c r="AN16" s="15" t="n">
        <f aca="false">1-AM16</f>
        <v>0</v>
      </c>
      <c r="AO16" s="17" t="n">
        <f aca="false">AK16+W_board*AL16</f>
        <v>644.316791801129</v>
      </c>
      <c r="AP16" s="17" t="n">
        <f aca="false">AK16+W_try*AL16</f>
        <v>949.185040763485</v>
      </c>
      <c r="AQ16" s="16" t="n">
        <f aca="false">MAX(AR16+Cost_round*C16-P16,IF(C16=1,Pre_q+Res_b,0))</f>
        <v>520</v>
      </c>
      <c r="AR16" s="16" t="n">
        <f aca="false">MAX(AS16+Cost_round*D16-Q16,IF(D16=1,Pre_q+Res_b,0),Floor_q+Res_b)</f>
        <v>520</v>
      </c>
      <c r="AS16" s="16" t="n">
        <f aca="false">MAX(AT16+Cost_round*E16-R16,IF(E16=1,Pre_q+Res_b,0),Floor_q+Res_b)</f>
        <v>520</v>
      </c>
      <c r="AT16" s="16" t="n">
        <f aca="false">MAX(AU16+Cost_round*F16-S16,IF(F16=1,Pre_q+Res_b,0),Floor_q+Res_b)</f>
        <v>400</v>
      </c>
      <c r="AU16" s="16" t="n">
        <f aca="false">MAX(AV16+Cost_round*G16-T16,IF(G16=1,Pre_q+Res_b,0),Floor_q+Res_b)</f>
        <v>400</v>
      </c>
      <c r="AV16" s="16" t="n">
        <f aca="false">MAX(AW16+Cost_round*H16-U16,IF(H16=1,Pre_q+Res_b,0),Floor_q+Res_b)</f>
        <v>450</v>
      </c>
      <c r="AW16" s="16" t="n">
        <f aca="false">End_q+Res_b</f>
        <v>520</v>
      </c>
      <c r="AX16" s="15" t="n">
        <f aca="false">IF(Q_zero&gt;=AQ16-0.000000001,1,0)</f>
        <v>1</v>
      </c>
      <c r="AY16" s="13" t="n">
        <f aca="false">IF($AX16=1,Q_zero-Cost_round*C16+P16-AR16,"")</f>
        <v>100</v>
      </c>
      <c r="AZ16" s="13" t="n">
        <f aca="false">IF($AX16=1,AR16-Cost_round*D16+Q16-AS16,"")</f>
        <v>0</v>
      </c>
      <c r="BA16" s="13" t="n">
        <f aca="false">IF($AX16=1,AS16-Cost_round*E16+R16-AT16,"")</f>
        <v>70</v>
      </c>
      <c r="BB16" s="13" t="n">
        <f aca="false">IF($AX16=1,AT16-Cost_round*F16+S16-AU16,"")</f>
        <v>70</v>
      </c>
      <c r="BC16" s="13" t="n">
        <f aca="false">IF($AX16=1,AU16-Cost_round*G16+T16-AV16,"")</f>
        <v>20</v>
      </c>
      <c r="BD16" s="13" t="n">
        <f aca="false">IF($AX16=1,AV16-Cost_round*H16+U16-AW16,"")</f>
        <v>0</v>
      </c>
      <c r="BE16" s="17" t="n">
        <f aca="false">IF($AX16=1,SUMPRODUCT(AY16:BD16,$AY$6:$BD$6),"")</f>
        <v>203.730495308939</v>
      </c>
      <c r="BF16" s="12" t="n">
        <f aca="false">IF(AND($AX16=1,Res_b&gt;0),(AK16-BE16)/Res_b,"")</f>
        <v>0.909090909090909</v>
      </c>
      <c r="BG16" s="17" t="n">
        <f aca="false">IF(AC16&gt;=Goal_b-0.000000001,AK16-Beta_y*Goal_b,"")</f>
        <v>226.457768036212</v>
      </c>
      <c r="BH16" s="15" t="n">
        <f aca="false">IF(AC16&gt;=Goal_b-0.000000001,IF(AND(AL16&gt;=Goal_S-0.000000001,BG16&gt;=Goal_P-0.000000001),1,0),0)</f>
        <v>0</v>
      </c>
    </row>
    <row r="17" customFormat="false" ht="15" hidden="false" customHeight="false" outlineLevel="0" collapsed="false">
      <c r="A17" s="2" t="n">
        <v>9</v>
      </c>
      <c r="B17" s="2" t="s">
        <v>127</v>
      </c>
      <c r="C17" s="15" t="n">
        <f aca="false">MOD(INT($A17/32),2)</f>
        <v>0</v>
      </c>
      <c r="D17" s="15" t="n">
        <f aca="false">MOD(INT($A17/16),2)</f>
        <v>0</v>
      </c>
      <c r="E17" s="15" t="n">
        <f aca="false">MOD(INT($A17/8),2)</f>
        <v>1</v>
      </c>
      <c r="F17" s="15" t="n">
        <f aca="false">MOD(INT($A17/4),2)</f>
        <v>0</v>
      </c>
      <c r="G17" s="15" t="n">
        <f aca="false">MOD(INT($A17/2),2)</f>
        <v>0</v>
      </c>
      <c r="H17" s="15" t="n">
        <f aca="false">MOD(INT($A17/1),2)</f>
        <v>1</v>
      </c>
      <c r="I17" s="15" t="n">
        <f aca="false">SUM(C17:H17)</f>
        <v>2</v>
      </c>
      <c r="J17" s="13" t="n">
        <f aca="false">E_zero+C17*Half_gap*(Ceiling_e-E_zero)</f>
        <v>71</v>
      </c>
      <c r="K17" s="13" t="n">
        <f aca="false">J17+D17*Half_gap*(Ceiling_e-J17)</f>
        <v>71</v>
      </c>
      <c r="L17" s="13" t="n">
        <f aca="false">K17+E17*Half_gap*(Ceiling_e-K17)</f>
        <v>78</v>
      </c>
      <c r="M17" s="13" t="n">
        <f aca="false">L17+F17*Half_gap*(Ceiling_e-L17)</f>
        <v>78</v>
      </c>
      <c r="N17" s="13" t="n">
        <f aca="false">M17+G17*Half_gap*(Ceiling_e-M17)</f>
        <v>78</v>
      </c>
      <c r="O17" s="13" t="n">
        <f aca="false">N17+H17*Half_gap*(Ceiling_e-N17)</f>
        <v>81.5</v>
      </c>
      <c r="P17" s="13" t="n">
        <f aca="false">Val_pt*(J17-E_zero)</f>
        <v>0</v>
      </c>
      <c r="Q17" s="13" t="n">
        <f aca="false">Val_pt*(K17-E_zero)</f>
        <v>0</v>
      </c>
      <c r="R17" s="13" t="n">
        <f aca="false">Val_pt*(L17-E_zero)</f>
        <v>70</v>
      </c>
      <c r="S17" s="13" t="n">
        <f aca="false">Val_pt*(M17-E_zero)</f>
        <v>70</v>
      </c>
      <c r="T17" s="13" t="n">
        <f aca="false">Val_pt*(N17-E_zero)</f>
        <v>70</v>
      </c>
      <c r="U17" s="13" t="n">
        <f aca="false">Val_pt*(O17-E_zero)</f>
        <v>105</v>
      </c>
      <c r="V17" s="16" t="n">
        <f aca="false">MAX(W17+Cost_round*C17-P17,IF(C17=1,Pre_q,0))</f>
        <v>470</v>
      </c>
      <c r="W17" s="16" t="n">
        <f aca="false">MAX(X17+Cost_round*D17-Q17,IF(D17=1,Pre_q,0),Floor_q)</f>
        <v>470</v>
      </c>
      <c r="X17" s="16" t="n">
        <f aca="false">MAX(Y17+Cost_round*E17-R17,IF(E17=1,Pre_q,0),Floor_q)</f>
        <v>470</v>
      </c>
      <c r="Y17" s="16" t="n">
        <f aca="false">MAX(Z17+Cost_round*F17-S17,IF(F17=1,Pre_q,0),Floor_q)</f>
        <v>350</v>
      </c>
      <c r="Z17" s="16" t="n">
        <f aca="false">MAX(AA17+Cost_round*G17-T17,IF(G17=1,Pre_q,0),Floor_q)</f>
        <v>415</v>
      </c>
      <c r="AA17" s="16" t="n">
        <f aca="false">MAX(AB17+Cost_round*H17-U17,IF(H17=1,Pre_q,0),Floor_q)</f>
        <v>485</v>
      </c>
      <c r="AB17" s="16" t="n">
        <f aca="false">End_q</f>
        <v>470</v>
      </c>
      <c r="AC17" s="16" t="n">
        <f aca="false">Q_zero-V17</f>
        <v>150</v>
      </c>
      <c r="AD17" s="15" t="n">
        <f aca="false">IF(AC17&gt;=-0.000000001,1,0)</f>
        <v>1</v>
      </c>
      <c r="AE17" s="13" t="n">
        <f aca="false">IF($AD17=1,Q_zero-Cost_round*C17+P17-W17,"")</f>
        <v>150</v>
      </c>
      <c r="AF17" s="13" t="n">
        <f aca="false">IF($AD17=1,W17-Cost_round*D17+Q17-X17,"")</f>
        <v>0</v>
      </c>
      <c r="AG17" s="13" t="n">
        <f aca="false">IF($AD17=1,X17-Cost_round*E17+R17-Y17,"")</f>
        <v>70</v>
      </c>
      <c r="AH17" s="13" t="n">
        <f aca="false">IF($AD17=1,Y17-Cost_round*F17+S17-Z17,"")</f>
        <v>5</v>
      </c>
      <c r="AI17" s="13" t="n">
        <f aca="false">IF($AD17=1,Z17-Cost_round*G17+T17-AA17,"")</f>
        <v>0</v>
      </c>
      <c r="AJ17" s="13" t="n">
        <f aca="false">IF($AD17=1,AA17-Cost_round*H17+U17-AB17,"")</f>
        <v>0</v>
      </c>
      <c r="AK17" s="17" t="n">
        <f aca="false">IF($AD17=1,SUMPRODUCT(AE17:AJ17,$AE$6:$AJ$6),"")</f>
        <v>192.370739703572</v>
      </c>
      <c r="AL17" s="13" t="n">
        <f aca="false">U17</f>
        <v>105</v>
      </c>
      <c r="AM17" s="15" t="n">
        <f aca="false">IF(SUMPRODUCT(($AK$8:$AK$71&gt;=AK17-0.000000001)*($AL$8:$AL$71&gt;=AL17-0.000000001)*((($AK$8:$AK$71&gt;AK17+0.000000001)+($AL$8:$AL$71&gt;AL17+0.000000001))&gt;0))&gt;0,1,0)</f>
        <v>1</v>
      </c>
      <c r="AN17" s="15" t="n">
        <f aca="false">1-AM17</f>
        <v>0</v>
      </c>
      <c r="AO17" s="17" t="n">
        <f aca="false">AK17+W_board*AL17</f>
        <v>785.068366260038</v>
      </c>
      <c r="AP17" s="17" t="n">
        <f aca="false">AK17+W_try*AL17</f>
        <v>1242.37073970357</v>
      </c>
      <c r="AQ17" s="16" t="n">
        <f aca="false">MAX(AR17+Cost_round*C17-P17,IF(C17=1,Pre_q+Res_b,0))</f>
        <v>520</v>
      </c>
      <c r="AR17" s="16" t="n">
        <f aca="false">MAX(AS17+Cost_round*D17-Q17,IF(D17=1,Pre_q+Res_b,0),Floor_q+Res_b)</f>
        <v>520</v>
      </c>
      <c r="AS17" s="16" t="n">
        <f aca="false">MAX(AT17+Cost_round*E17-R17,IF(E17=1,Pre_q+Res_b,0),Floor_q+Res_b)</f>
        <v>520</v>
      </c>
      <c r="AT17" s="16" t="n">
        <f aca="false">MAX(AU17+Cost_round*F17-S17,IF(F17=1,Pre_q+Res_b,0),Floor_q+Res_b)</f>
        <v>400</v>
      </c>
      <c r="AU17" s="16" t="n">
        <f aca="false">MAX(AV17+Cost_round*G17-T17,IF(G17=1,Pre_q+Res_b,0),Floor_q+Res_b)</f>
        <v>465</v>
      </c>
      <c r="AV17" s="16" t="n">
        <f aca="false">MAX(AW17+Cost_round*H17-U17,IF(H17=1,Pre_q+Res_b,0),Floor_q+Res_b)</f>
        <v>535</v>
      </c>
      <c r="AW17" s="16" t="n">
        <f aca="false">End_q+Res_b</f>
        <v>520</v>
      </c>
      <c r="AX17" s="15" t="n">
        <f aca="false">IF(Q_zero&gt;=AQ17-0.000000001,1,0)</f>
        <v>1</v>
      </c>
      <c r="AY17" s="13" t="n">
        <f aca="false">IF($AX17=1,Q_zero-Cost_round*C17+P17-AR17,"")</f>
        <v>100</v>
      </c>
      <c r="AZ17" s="13" t="n">
        <f aca="false">IF($AX17=1,AR17-Cost_round*D17+Q17-AS17,"")</f>
        <v>0</v>
      </c>
      <c r="BA17" s="13" t="n">
        <f aca="false">IF($AX17=1,AS17-Cost_round*E17+R17-AT17,"")</f>
        <v>70</v>
      </c>
      <c r="BB17" s="13" t="n">
        <f aca="false">IF($AX17=1,AT17-Cost_round*F17+S17-AU17,"")</f>
        <v>5</v>
      </c>
      <c r="BC17" s="13" t="n">
        <f aca="false">IF($AX17=1,AU17-Cost_round*G17+T17-AV17,"")</f>
        <v>0</v>
      </c>
      <c r="BD17" s="13" t="n">
        <f aca="false">IF($AX17=1,AV17-Cost_round*H17+U17-AW17,"")</f>
        <v>0</v>
      </c>
      <c r="BE17" s="17" t="n">
        <f aca="false">IF($AX17=1,SUMPRODUCT(AY17:BD17,$AY$6:$BD$6),"")</f>
        <v>146.916194249027</v>
      </c>
      <c r="BF17" s="12" t="n">
        <f aca="false">IF(AND($AX17=1,Res_b&gt;0),(AK17-BE17)/Res_b,"")</f>
        <v>0.909090909090909</v>
      </c>
      <c r="BG17" s="17" t="n">
        <f aca="false">IF(AC17&gt;=Goal_b-0.000000001,AK17-Beta_y*Goal_b,"")</f>
        <v>169.643466976299</v>
      </c>
      <c r="BH17" s="15" t="n">
        <f aca="false">IF(AC17&gt;=Goal_b-0.000000001,IF(AND(AL17&gt;=Goal_S-0.000000001,BG17&gt;=Goal_P-0.000000001),1,0),0)</f>
        <v>0</v>
      </c>
    </row>
    <row r="18" customFormat="false" ht="15" hidden="false" customHeight="false" outlineLevel="0" collapsed="false">
      <c r="A18" s="2" t="n">
        <v>10</v>
      </c>
      <c r="B18" s="2" t="s">
        <v>128</v>
      </c>
      <c r="C18" s="15" t="n">
        <f aca="false">MOD(INT($A18/32),2)</f>
        <v>0</v>
      </c>
      <c r="D18" s="15" t="n">
        <f aca="false">MOD(INT($A18/16),2)</f>
        <v>0</v>
      </c>
      <c r="E18" s="15" t="n">
        <f aca="false">MOD(INT($A18/8),2)</f>
        <v>1</v>
      </c>
      <c r="F18" s="15" t="n">
        <f aca="false">MOD(INT($A18/4),2)</f>
        <v>0</v>
      </c>
      <c r="G18" s="15" t="n">
        <f aca="false">MOD(INT($A18/2),2)</f>
        <v>1</v>
      </c>
      <c r="H18" s="15" t="n">
        <f aca="false">MOD(INT($A18/1),2)</f>
        <v>0</v>
      </c>
      <c r="I18" s="15" t="n">
        <f aca="false">SUM(C18:H18)</f>
        <v>2</v>
      </c>
      <c r="J18" s="13" t="n">
        <f aca="false">E_zero+C18*Half_gap*(Ceiling_e-E_zero)</f>
        <v>71</v>
      </c>
      <c r="K18" s="13" t="n">
        <f aca="false">J18+D18*Half_gap*(Ceiling_e-J18)</f>
        <v>71</v>
      </c>
      <c r="L18" s="13" t="n">
        <f aca="false">K18+E18*Half_gap*(Ceiling_e-K18)</f>
        <v>78</v>
      </c>
      <c r="M18" s="13" t="n">
        <f aca="false">L18+F18*Half_gap*(Ceiling_e-L18)</f>
        <v>78</v>
      </c>
      <c r="N18" s="13" t="n">
        <f aca="false">M18+G18*Half_gap*(Ceiling_e-M18)</f>
        <v>81.5</v>
      </c>
      <c r="O18" s="13" t="n">
        <f aca="false">N18+H18*Half_gap*(Ceiling_e-N18)</f>
        <v>81.5</v>
      </c>
      <c r="P18" s="13" t="n">
        <f aca="false">Val_pt*(J18-E_zero)</f>
        <v>0</v>
      </c>
      <c r="Q18" s="13" t="n">
        <f aca="false">Val_pt*(K18-E_zero)</f>
        <v>0</v>
      </c>
      <c r="R18" s="13" t="n">
        <f aca="false">Val_pt*(L18-E_zero)</f>
        <v>70</v>
      </c>
      <c r="S18" s="13" t="n">
        <f aca="false">Val_pt*(M18-E_zero)</f>
        <v>70</v>
      </c>
      <c r="T18" s="13" t="n">
        <f aca="false">Val_pt*(N18-E_zero)</f>
        <v>105</v>
      </c>
      <c r="U18" s="13" t="n">
        <f aca="false">Val_pt*(O18-E_zero)</f>
        <v>105</v>
      </c>
      <c r="V18" s="16" t="n">
        <f aca="false">MAX(W18+Cost_round*C18-P18,IF(C18=1,Pre_q,0))</f>
        <v>470</v>
      </c>
      <c r="W18" s="16" t="n">
        <f aca="false">MAX(X18+Cost_round*D18-Q18,IF(D18=1,Pre_q,0),Floor_q)</f>
        <v>470</v>
      </c>
      <c r="X18" s="16" t="n">
        <f aca="false">MAX(Y18+Cost_round*E18-R18,IF(E18=1,Pre_q,0),Floor_q)</f>
        <v>470</v>
      </c>
      <c r="Y18" s="16" t="n">
        <f aca="false">MAX(Z18+Cost_round*F18-S18,IF(F18=1,Pre_q,0),Floor_q)</f>
        <v>400</v>
      </c>
      <c r="Z18" s="16" t="n">
        <f aca="false">MAX(AA18+Cost_round*G18-T18,IF(G18=1,Pre_q,0),Floor_q)</f>
        <v>470</v>
      </c>
      <c r="AA18" s="16" t="n">
        <f aca="false">MAX(AB18+Cost_round*H18-U18,IF(H18=1,Pre_q,0),Floor_q)</f>
        <v>365</v>
      </c>
      <c r="AB18" s="16" t="n">
        <f aca="false">End_q</f>
        <v>470</v>
      </c>
      <c r="AC18" s="16" t="n">
        <f aca="false">Q_zero-V18</f>
        <v>150</v>
      </c>
      <c r="AD18" s="15" t="n">
        <f aca="false">IF(AC18&gt;=-0.000000001,1,0)</f>
        <v>1</v>
      </c>
      <c r="AE18" s="13" t="n">
        <f aca="false">IF($AD18=1,Q_zero-Cost_round*C18+P18-W18,"")</f>
        <v>150</v>
      </c>
      <c r="AF18" s="13" t="n">
        <f aca="false">IF($AD18=1,W18-Cost_round*D18+Q18-X18,"")</f>
        <v>0</v>
      </c>
      <c r="AG18" s="13" t="n">
        <f aca="false">IF($AD18=1,X18-Cost_round*E18+R18-Y18,"")</f>
        <v>20</v>
      </c>
      <c r="AH18" s="13" t="n">
        <f aca="false">IF($AD18=1,Y18-Cost_round*F18+S18-Z18,"")</f>
        <v>0</v>
      </c>
      <c r="AI18" s="13" t="n">
        <f aca="false">IF($AD18=1,Z18-Cost_round*G18+T18-AA18,"")</f>
        <v>90</v>
      </c>
      <c r="AJ18" s="13" t="n">
        <f aca="false">IF($AD18=1,AA18-Cost_round*H18+U18-AB18,"")</f>
        <v>0</v>
      </c>
      <c r="AK18" s="17" t="n">
        <f aca="false">IF($AD18=1,SUMPRODUCT(AE18:AJ18,$AE$6:$AJ$6),"")</f>
        <v>207.272851456992</v>
      </c>
      <c r="AL18" s="13" t="n">
        <f aca="false">U18</f>
        <v>105</v>
      </c>
      <c r="AM18" s="15" t="n">
        <f aca="false">IF(SUMPRODUCT(($AK$8:$AK$71&gt;=AK18-0.000000001)*($AL$8:$AL$71&gt;=AL18-0.000000001)*((($AK$8:$AK$71&gt;AK18+0.000000001)+($AL$8:$AL$71&gt;AL18+0.000000001))&gt;0))&gt;0,1,0)</f>
        <v>1</v>
      </c>
      <c r="AN18" s="15" t="n">
        <f aca="false">1-AM18</f>
        <v>0</v>
      </c>
      <c r="AO18" s="17" t="n">
        <f aca="false">AK18+W_board*AL18</f>
        <v>799.970478013458</v>
      </c>
      <c r="AP18" s="17" t="n">
        <f aca="false">AK18+W_try*AL18</f>
        <v>1257.27285145699</v>
      </c>
      <c r="AQ18" s="16" t="n">
        <f aca="false">MAX(AR18+Cost_round*C18-P18,IF(C18=1,Pre_q+Res_b,0))</f>
        <v>520</v>
      </c>
      <c r="AR18" s="16" t="n">
        <f aca="false">MAX(AS18+Cost_round*D18-Q18,IF(D18=1,Pre_q+Res_b,0),Floor_q+Res_b)</f>
        <v>520</v>
      </c>
      <c r="AS18" s="16" t="n">
        <f aca="false">MAX(AT18+Cost_round*E18-R18,IF(E18=1,Pre_q+Res_b,0),Floor_q+Res_b)</f>
        <v>520</v>
      </c>
      <c r="AT18" s="16" t="n">
        <f aca="false">MAX(AU18+Cost_round*F18-S18,IF(F18=1,Pre_q+Res_b,0),Floor_q+Res_b)</f>
        <v>450</v>
      </c>
      <c r="AU18" s="16" t="n">
        <f aca="false">MAX(AV18+Cost_round*G18-T18,IF(G18=1,Pre_q+Res_b,0),Floor_q+Res_b)</f>
        <v>520</v>
      </c>
      <c r="AV18" s="16" t="n">
        <f aca="false">MAX(AW18+Cost_round*H18-U18,IF(H18=1,Pre_q+Res_b,0),Floor_q+Res_b)</f>
        <v>415</v>
      </c>
      <c r="AW18" s="16" t="n">
        <f aca="false">End_q+Res_b</f>
        <v>520</v>
      </c>
      <c r="AX18" s="15" t="n">
        <f aca="false">IF(Q_zero&gt;=AQ18-0.000000001,1,0)</f>
        <v>1</v>
      </c>
      <c r="AY18" s="13" t="n">
        <f aca="false">IF($AX18=1,Q_zero-Cost_round*C18+P18-AR18,"")</f>
        <v>100</v>
      </c>
      <c r="AZ18" s="13" t="n">
        <f aca="false">IF($AX18=1,AR18-Cost_round*D18+Q18-AS18,"")</f>
        <v>0</v>
      </c>
      <c r="BA18" s="13" t="n">
        <f aca="false">IF($AX18=1,AS18-Cost_round*E18+R18-AT18,"")</f>
        <v>20</v>
      </c>
      <c r="BB18" s="13" t="n">
        <f aca="false">IF($AX18=1,AT18-Cost_round*F18+S18-AU18,"")</f>
        <v>0</v>
      </c>
      <c r="BC18" s="13" t="n">
        <f aca="false">IF($AX18=1,AU18-Cost_round*G18+T18-AV18,"")</f>
        <v>90</v>
      </c>
      <c r="BD18" s="13" t="n">
        <f aca="false">IF($AX18=1,AV18-Cost_round*H18+U18-AW18,"")</f>
        <v>0</v>
      </c>
      <c r="BE18" s="17" t="n">
        <f aca="false">IF($AX18=1,SUMPRODUCT(AY18:BD18,$AY$6:$BD$6),"")</f>
        <v>161.818306002446</v>
      </c>
      <c r="BF18" s="12" t="n">
        <f aca="false">IF(AND($AX18=1,Res_b&gt;0),(AK18-BE18)/Res_b,"")</f>
        <v>0.909090909090909</v>
      </c>
      <c r="BG18" s="17" t="n">
        <f aca="false">IF(AC18&gt;=Goal_b-0.000000001,AK18-Beta_y*Goal_b,"")</f>
        <v>184.545578729719</v>
      </c>
      <c r="BH18" s="15" t="n">
        <f aca="false">IF(AC18&gt;=Goal_b-0.000000001,IF(AND(AL18&gt;=Goal_S-0.000000001,BG18&gt;=Goal_P-0.000000001),1,0),0)</f>
        <v>0</v>
      </c>
    </row>
    <row r="19" customFormat="false" ht="15" hidden="false" customHeight="false" outlineLevel="0" collapsed="false">
      <c r="A19" s="2" t="n">
        <v>11</v>
      </c>
      <c r="B19" s="2" t="s">
        <v>129</v>
      </c>
      <c r="C19" s="15" t="n">
        <f aca="false">MOD(INT($A19/32),2)</f>
        <v>0</v>
      </c>
      <c r="D19" s="15" t="n">
        <f aca="false">MOD(INT($A19/16),2)</f>
        <v>0</v>
      </c>
      <c r="E19" s="15" t="n">
        <f aca="false">MOD(INT($A19/8),2)</f>
        <v>1</v>
      </c>
      <c r="F19" s="15" t="n">
        <f aca="false">MOD(INT($A19/4),2)</f>
        <v>0</v>
      </c>
      <c r="G19" s="15" t="n">
        <f aca="false">MOD(INT($A19/2),2)</f>
        <v>1</v>
      </c>
      <c r="H19" s="15" t="n">
        <f aca="false">MOD(INT($A19/1),2)</f>
        <v>1</v>
      </c>
      <c r="I19" s="15" t="n">
        <f aca="false">SUM(C19:H19)</f>
        <v>3</v>
      </c>
      <c r="J19" s="13" t="n">
        <f aca="false">E_zero+C19*Half_gap*(Ceiling_e-E_zero)</f>
        <v>71</v>
      </c>
      <c r="K19" s="13" t="n">
        <f aca="false">J19+D19*Half_gap*(Ceiling_e-J19)</f>
        <v>71</v>
      </c>
      <c r="L19" s="13" t="n">
        <f aca="false">K19+E19*Half_gap*(Ceiling_e-K19)</f>
        <v>78</v>
      </c>
      <c r="M19" s="13" t="n">
        <f aca="false">L19+F19*Half_gap*(Ceiling_e-L19)</f>
        <v>78</v>
      </c>
      <c r="N19" s="13" t="n">
        <f aca="false">M19+G19*Half_gap*(Ceiling_e-M19)</f>
        <v>81.5</v>
      </c>
      <c r="O19" s="13" t="n">
        <f aca="false">N19+H19*Half_gap*(Ceiling_e-N19)</f>
        <v>83.25</v>
      </c>
      <c r="P19" s="13" t="n">
        <f aca="false">Val_pt*(J19-E_zero)</f>
        <v>0</v>
      </c>
      <c r="Q19" s="13" t="n">
        <f aca="false">Val_pt*(K19-E_zero)</f>
        <v>0</v>
      </c>
      <c r="R19" s="13" t="n">
        <f aca="false">Val_pt*(L19-E_zero)</f>
        <v>70</v>
      </c>
      <c r="S19" s="13" t="n">
        <f aca="false">Val_pt*(M19-E_zero)</f>
        <v>70</v>
      </c>
      <c r="T19" s="13" t="n">
        <f aca="false">Val_pt*(N19-E_zero)</f>
        <v>105</v>
      </c>
      <c r="U19" s="13" t="n">
        <f aca="false">Val_pt*(O19-E_zero)</f>
        <v>122.5</v>
      </c>
      <c r="V19" s="16" t="n">
        <f aca="false">MAX(W19+Cost_round*C19-P19,IF(C19=1,Pre_q,0))</f>
        <v>470</v>
      </c>
      <c r="W19" s="16" t="n">
        <f aca="false">MAX(X19+Cost_round*D19-Q19,IF(D19=1,Pre_q,0),Floor_q)</f>
        <v>470</v>
      </c>
      <c r="X19" s="16" t="n">
        <f aca="false">MAX(Y19+Cost_round*E19-R19,IF(E19=1,Pre_q,0),Floor_q)</f>
        <v>470</v>
      </c>
      <c r="Y19" s="16" t="n">
        <f aca="false">MAX(Z19+Cost_round*F19-S19,IF(F19=1,Pre_q,0),Floor_q)</f>
        <v>415</v>
      </c>
      <c r="Z19" s="16" t="n">
        <f aca="false">MAX(AA19+Cost_round*G19-T19,IF(G19=1,Pre_q,0),Floor_q)</f>
        <v>485</v>
      </c>
      <c r="AA19" s="16" t="n">
        <f aca="false">MAX(AB19+Cost_round*H19-U19,IF(H19=1,Pre_q,0),Floor_q)</f>
        <v>470</v>
      </c>
      <c r="AB19" s="16" t="n">
        <f aca="false">End_q</f>
        <v>470</v>
      </c>
      <c r="AC19" s="16" t="n">
        <f aca="false">Q_zero-V19</f>
        <v>150</v>
      </c>
      <c r="AD19" s="15" t="n">
        <f aca="false">IF(AC19&gt;=-0.000000001,1,0)</f>
        <v>1</v>
      </c>
      <c r="AE19" s="13" t="n">
        <f aca="false">IF($AD19=1,Q_zero-Cost_round*C19+P19-W19,"")</f>
        <v>150</v>
      </c>
      <c r="AF19" s="13" t="n">
        <f aca="false">IF($AD19=1,W19-Cost_round*D19+Q19-X19,"")</f>
        <v>0</v>
      </c>
      <c r="AG19" s="13" t="n">
        <f aca="false">IF($AD19=1,X19-Cost_round*E19+R19-Y19,"")</f>
        <v>5</v>
      </c>
      <c r="AH19" s="13" t="n">
        <f aca="false">IF($AD19=1,Y19-Cost_round*F19+S19-Z19,"")</f>
        <v>0</v>
      </c>
      <c r="AI19" s="13" t="n">
        <f aca="false">IF($AD19=1,Z19-Cost_round*G19+T19-AA19,"")</f>
        <v>0</v>
      </c>
      <c r="AJ19" s="13" t="n">
        <f aca="false">IF($AD19=1,AA19-Cost_round*H19+U19-AB19,"")</f>
        <v>2.5</v>
      </c>
      <c r="AK19" s="17" t="n">
        <f aca="false">IF($AD19=1,SUMPRODUCT(AE19:AJ19,$AE$6:$AJ$6),"")</f>
        <v>141.531395193279</v>
      </c>
      <c r="AL19" s="13" t="n">
        <f aca="false">U19</f>
        <v>122.5</v>
      </c>
      <c r="AM19" s="15" t="n">
        <f aca="false">IF(SUMPRODUCT(($AK$8:$AK$71&gt;=AK19-0.000000001)*($AL$8:$AL$71&gt;=AL19-0.000000001)*((($AK$8:$AK$71&gt;AK19+0.000000001)+($AL$8:$AL$71&gt;AL19+0.000000001))&gt;0))&gt;0,1,0)</f>
        <v>1</v>
      </c>
      <c r="AN19" s="15" t="n">
        <f aca="false">1-AM19</f>
        <v>0</v>
      </c>
      <c r="AO19" s="17" t="n">
        <f aca="false">AK19+W_board*AL19</f>
        <v>833.011959509156</v>
      </c>
      <c r="AP19" s="17" t="n">
        <f aca="false">AK19+W_try*AL19</f>
        <v>1366.53139519328</v>
      </c>
      <c r="AQ19" s="16" t="n">
        <f aca="false">MAX(AR19+Cost_round*C19-P19,IF(C19=1,Pre_q+Res_b,0))</f>
        <v>520</v>
      </c>
      <c r="AR19" s="16" t="n">
        <f aca="false">MAX(AS19+Cost_round*D19-Q19,IF(D19=1,Pre_q+Res_b,0),Floor_q+Res_b)</f>
        <v>520</v>
      </c>
      <c r="AS19" s="16" t="n">
        <f aca="false">MAX(AT19+Cost_round*E19-R19,IF(E19=1,Pre_q+Res_b,0),Floor_q+Res_b)</f>
        <v>520</v>
      </c>
      <c r="AT19" s="16" t="n">
        <f aca="false">MAX(AU19+Cost_round*F19-S19,IF(F19=1,Pre_q+Res_b,0),Floor_q+Res_b)</f>
        <v>465</v>
      </c>
      <c r="AU19" s="16" t="n">
        <f aca="false">MAX(AV19+Cost_round*G19-T19,IF(G19=1,Pre_q+Res_b,0),Floor_q+Res_b)</f>
        <v>535</v>
      </c>
      <c r="AV19" s="16" t="n">
        <f aca="false">MAX(AW19+Cost_round*H19-U19,IF(H19=1,Pre_q+Res_b,0),Floor_q+Res_b)</f>
        <v>520</v>
      </c>
      <c r="AW19" s="16" t="n">
        <f aca="false">End_q+Res_b</f>
        <v>520</v>
      </c>
      <c r="AX19" s="15" t="n">
        <f aca="false">IF(Q_zero&gt;=AQ19-0.000000001,1,0)</f>
        <v>1</v>
      </c>
      <c r="AY19" s="13" t="n">
        <f aca="false">IF($AX19=1,Q_zero-Cost_round*C19+P19-AR19,"")</f>
        <v>100</v>
      </c>
      <c r="AZ19" s="13" t="n">
        <f aca="false">IF($AX19=1,AR19-Cost_round*D19+Q19-AS19,"")</f>
        <v>0</v>
      </c>
      <c r="BA19" s="13" t="n">
        <f aca="false">IF($AX19=1,AS19-Cost_round*E19+R19-AT19,"")</f>
        <v>5</v>
      </c>
      <c r="BB19" s="13" t="n">
        <f aca="false">IF($AX19=1,AT19-Cost_round*F19+S19-AU19,"")</f>
        <v>0</v>
      </c>
      <c r="BC19" s="13" t="n">
        <f aca="false">IF($AX19=1,AU19-Cost_round*G19+T19-AV19,"")</f>
        <v>0</v>
      </c>
      <c r="BD19" s="13" t="n">
        <f aca="false">IF($AX19=1,AV19-Cost_round*H19+U19-AW19,"")</f>
        <v>2.5</v>
      </c>
      <c r="BE19" s="17" t="n">
        <f aca="false">IF($AX19=1,SUMPRODUCT(AY19:BD19,$AY$6:$BD$6),"")</f>
        <v>96.0768497387332</v>
      </c>
      <c r="BF19" s="12" t="n">
        <f aca="false">IF(AND($AX19=1,Res_b&gt;0),(AK19-BE19)/Res_b,"")</f>
        <v>0.909090909090909</v>
      </c>
      <c r="BG19" s="17" t="n">
        <f aca="false">IF(AC19&gt;=Goal_b-0.000000001,AK19-Beta_y*Goal_b,"")</f>
        <v>118.804122466006</v>
      </c>
      <c r="BH19" s="15" t="n">
        <f aca="false">IF(AC19&gt;=Goal_b-0.000000001,IF(AND(AL19&gt;=Goal_S-0.000000001,BG19&gt;=Goal_P-0.000000001),1,0),0)</f>
        <v>0</v>
      </c>
    </row>
    <row r="20" customFormat="false" ht="15" hidden="false" customHeight="false" outlineLevel="0" collapsed="false">
      <c r="A20" s="2" t="n">
        <v>12</v>
      </c>
      <c r="B20" s="2" t="s">
        <v>130</v>
      </c>
      <c r="C20" s="15" t="n">
        <f aca="false">MOD(INT($A20/32),2)</f>
        <v>0</v>
      </c>
      <c r="D20" s="15" t="n">
        <f aca="false">MOD(INT($A20/16),2)</f>
        <v>0</v>
      </c>
      <c r="E20" s="15" t="n">
        <f aca="false">MOD(INT($A20/8),2)</f>
        <v>1</v>
      </c>
      <c r="F20" s="15" t="n">
        <f aca="false">MOD(INT($A20/4),2)</f>
        <v>1</v>
      </c>
      <c r="G20" s="15" t="n">
        <f aca="false">MOD(INT($A20/2),2)</f>
        <v>0</v>
      </c>
      <c r="H20" s="15" t="n">
        <f aca="false">MOD(INT($A20/1),2)</f>
        <v>0</v>
      </c>
      <c r="I20" s="15" t="n">
        <f aca="false">SUM(C20:H20)</f>
        <v>2</v>
      </c>
      <c r="J20" s="13" t="n">
        <f aca="false">E_zero+C20*Half_gap*(Ceiling_e-E_zero)</f>
        <v>71</v>
      </c>
      <c r="K20" s="13" t="n">
        <f aca="false">J20+D20*Half_gap*(Ceiling_e-J20)</f>
        <v>71</v>
      </c>
      <c r="L20" s="13" t="n">
        <f aca="false">K20+E20*Half_gap*(Ceiling_e-K20)</f>
        <v>78</v>
      </c>
      <c r="M20" s="13" t="n">
        <f aca="false">L20+F20*Half_gap*(Ceiling_e-L20)</f>
        <v>81.5</v>
      </c>
      <c r="N20" s="13" t="n">
        <f aca="false">M20+G20*Half_gap*(Ceiling_e-M20)</f>
        <v>81.5</v>
      </c>
      <c r="O20" s="13" t="n">
        <f aca="false">N20+H20*Half_gap*(Ceiling_e-N20)</f>
        <v>81.5</v>
      </c>
      <c r="P20" s="13" t="n">
        <f aca="false">Val_pt*(J20-E_zero)</f>
        <v>0</v>
      </c>
      <c r="Q20" s="13" t="n">
        <f aca="false">Val_pt*(K20-E_zero)</f>
        <v>0</v>
      </c>
      <c r="R20" s="13" t="n">
        <f aca="false">Val_pt*(L20-E_zero)</f>
        <v>70</v>
      </c>
      <c r="S20" s="13" t="n">
        <f aca="false">Val_pt*(M20-E_zero)</f>
        <v>105</v>
      </c>
      <c r="T20" s="13" t="n">
        <f aca="false">Val_pt*(N20-E_zero)</f>
        <v>105</v>
      </c>
      <c r="U20" s="13" t="n">
        <f aca="false">Val_pt*(O20-E_zero)</f>
        <v>105</v>
      </c>
      <c r="V20" s="16" t="n">
        <f aca="false">MAX(W20+Cost_round*C20-P20,IF(C20=1,Pre_q,0))</f>
        <v>520</v>
      </c>
      <c r="W20" s="16" t="n">
        <f aca="false">MAX(X20+Cost_round*D20-Q20,IF(D20=1,Pre_q,0),Floor_q)</f>
        <v>520</v>
      </c>
      <c r="X20" s="16" t="n">
        <f aca="false">MAX(Y20+Cost_round*E20-R20,IF(E20=1,Pre_q,0),Floor_q)</f>
        <v>520</v>
      </c>
      <c r="Y20" s="16" t="n">
        <f aca="false">MAX(Z20+Cost_round*F20-S20,IF(F20=1,Pre_q,0),Floor_q)</f>
        <v>470</v>
      </c>
      <c r="Z20" s="16" t="n">
        <f aca="false">MAX(AA20+Cost_round*G20-T20,IF(G20=1,Pre_q,0),Floor_q)</f>
        <v>350</v>
      </c>
      <c r="AA20" s="16" t="n">
        <f aca="false">MAX(AB20+Cost_round*H20-U20,IF(H20=1,Pre_q,0),Floor_q)</f>
        <v>365</v>
      </c>
      <c r="AB20" s="16" t="n">
        <f aca="false">End_q</f>
        <v>470</v>
      </c>
      <c r="AC20" s="16" t="n">
        <f aca="false">Q_zero-V20</f>
        <v>100</v>
      </c>
      <c r="AD20" s="15" t="n">
        <f aca="false">IF(AC20&gt;=-0.000000001,1,0)</f>
        <v>1</v>
      </c>
      <c r="AE20" s="13" t="n">
        <f aca="false">IF($AD20=1,Q_zero-Cost_round*C20+P20-W20,"")</f>
        <v>100</v>
      </c>
      <c r="AF20" s="13" t="n">
        <f aca="false">IF($AD20=1,W20-Cost_round*D20+Q20-X20,"")</f>
        <v>0</v>
      </c>
      <c r="AG20" s="13" t="n">
        <f aca="false">IF($AD20=1,X20-Cost_round*E20+R20-Y20,"")</f>
        <v>0</v>
      </c>
      <c r="AH20" s="13" t="n">
        <f aca="false">IF($AD20=1,Y20-Cost_round*F20+S20-Z20,"")</f>
        <v>105</v>
      </c>
      <c r="AI20" s="13" t="n">
        <f aca="false">IF($AD20=1,Z20-Cost_round*G20+T20-AA20,"")</f>
        <v>90</v>
      </c>
      <c r="AJ20" s="13" t="n">
        <f aca="false">IF($AD20=1,AA20-Cost_round*H20+U20-AB20,"")</f>
        <v>0</v>
      </c>
      <c r="AK20" s="17" t="n">
        <f aca="false">IF($AD20=1,SUMPRODUCT(AE20:AJ20,$AE$6:$AJ$6),"")</f>
        <v>218.508422797747</v>
      </c>
      <c r="AL20" s="13" t="n">
        <f aca="false">U20</f>
        <v>105</v>
      </c>
      <c r="AM20" s="15" t="n">
        <f aca="false">IF(SUMPRODUCT(($AK$8:$AK$71&gt;=AK20-0.000000001)*($AL$8:$AL$71&gt;=AL20-0.000000001)*((($AK$8:$AK$71&gt;AK20+0.000000001)+($AL$8:$AL$71&gt;AL20+0.000000001))&gt;0))&gt;0,1,0)</f>
        <v>1</v>
      </c>
      <c r="AN20" s="15" t="n">
        <f aca="false">1-AM20</f>
        <v>0</v>
      </c>
      <c r="AO20" s="17" t="n">
        <f aca="false">AK20+W_board*AL20</f>
        <v>811.206049354213</v>
      </c>
      <c r="AP20" s="17" t="n">
        <f aca="false">AK20+W_try*AL20</f>
        <v>1268.50842279775</v>
      </c>
      <c r="AQ20" s="16" t="n">
        <f aca="false">MAX(AR20+Cost_round*C20-P20,IF(C20=1,Pre_q+Res_b,0))</f>
        <v>570</v>
      </c>
      <c r="AR20" s="16" t="n">
        <f aca="false">MAX(AS20+Cost_round*D20-Q20,IF(D20=1,Pre_q+Res_b,0),Floor_q+Res_b)</f>
        <v>570</v>
      </c>
      <c r="AS20" s="16" t="n">
        <f aca="false">MAX(AT20+Cost_round*E20-R20,IF(E20=1,Pre_q+Res_b,0),Floor_q+Res_b)</f>
        <v>570</v>
      </c>
      <c r="AT20" s="16" t="n">
        <f aca="false">MAX(AU20+Cost_round*F20-S20,IF(F20=1,Pre_q+Res_b,0),Floor_q+Res_b)</f>
        <v>520</v>
      </c>
      <c r="AU20" s="16" t="n">
        <f aca="false">MAX(AV20+Cost_round*G20-T20,IF(G20=1,Pre_q+Res_b,0),Floor_q+Res_b)</f>
        <v>400</v>
      </c>
      <c r="AV20" s="16" t="n">
        <f aca="false">MAX(AW20+Cost_round*H20-U20,IF(H20=1,Pre_q+Res_b,0),Floor_q+Res_b)</f>
        <v>415</v>
      </c>
      <c r="AW20" s="16" t="n">
        <f aca="false">End_q+Res_b</f>
        <v>520</v>
      </c>
      <c r="AX20" s="15" t="n">
        <f aca="false">IF(Q_zero&gt;=AQ20-0.000000001,1,0)</f>
        <v>1</v>
      </c>
      <c r="AY20" s="13" t="n">
        <f aca="false">IF($AX20=1,Q_zero-Cost_round*C20+P20-AR20,"")</f>
        <v>50</v>
      </c>
      <c r="AZ20" s="13" t="n">
        <f aca="false">IF($AX20=1,AR20-Cost_round*D20+Q20-AS20,"")</f>
        <v>0</v>
      </c>
      <c r="BA20" s="13" t="n">
        <f aca="false">IF($AX20=1,AS20-Cost_round*E20+R20-AT20,"")</f>
        <v>0</v>
      </c>
      <c r="BB20" s="13" t="n">
        <f aca="false">IF($AX20=1,AT20-Cost_round*F20+S20-AU20,"")</f>
        <v>105</v>
      </c>
      <c r="BC20" s="13" t="n">
        <f aca="false">IF($AX20=1,AU20-Cost_round*G20+T20-AV20,"")</f>
        <v>90</v>
      </c>
      <c r="BD20" s="13" t="n">
        <f aca="false">IF($AX20=1,AV20-Cost_round*H20+U20-AW20,"")</f>
        <v>0</v>
      </c>
      <c r="BE20" s="17" t="n">
        <f aca="false">IF($AX20=1,SUMPRODUCT(AY20:BD20,$AY$6:$BD$6),"")</f>
        <v>173.053877343202</v>
      </c>
      <c r="BF20" s="12" t="n">
        <f aca="false">IF(AND($AX20=1,Res_b&gt;0),(AK20-BE20)/Res_b,"")</f>
        <v>0.909090909090909</v>
      </c>
      <c r="BG20" s="17" t="n">
        <f aca="false">IF(AC20&gt;=Goal_b-0.000000001,AK20-Beta_y*Goal_b,"")</f>
        <v>195.781150070475</v>
      </c>
      <c r="BH20" s="15" t="n">
        <f aca="false">IF(AC20&gt;=Goal_b-0.000000001,IF(AND(AL20&gt;=Goal_S-0.000000001,BG20&gt;=Goal_P-0.000000001),1,0),0)</f>
        <v>0</v>
      </c>
    </row>
    <row r="21" customFormat="false" ht="15" hidden="false" customHeight="false" outlineLevel="0" collapsed="false">
      <c r="A21" s="2" t="n">
        <v>13</v>
      </c>
      <c r="B21" s="2" t="s">
        <v>131</v>
      </c>
      <c r="C21" s="15" t="n">
        <f aca="false">MOD(INT($A21/32),2)</f>
        <v>0</v>
      </c>
      <c r="D21" s="15" t="n">
        <f aca="false">MOD(INT($A21/16),2)</f>
        <v>0</v>
      </c>
      <c r="E21" s="15" t="n">
        <f aca="false">MOD(INT($A21/8),2)</f>
        <v>1</v>
      </c>
      <c r="F21" s="15" t="n">
        <f aca="false">MOD(INT($A21/4),2)</f>
        <v>1</v>
      </c>
      <c r="G21" s="15" t="n">
        <f aca="false">MOD(INT($A21/2),2)</f>
        <v>0</v>
      </c>
      <c r="H21" s="15" t="n">
        <f aca="false">MOD(INT($A21/1),2)</f>
        <v>1</v>
      </c>
      <c r="I21" s="15" t="n">
        <f aca="false">SUM(C21:H21)</f>
        <v>3</v>
      </c>
      <c r="J21" s="13" t="n">
        <f aca="false">E_zero+C21*Half_gap*(Ceiling_e-E_zero)</f>
        <v>71</v>
      </c>
      <c r="K21" s="13" t="n">
        <f aca="false">J21+D21*Half_gap*(Ceiling_e-J21)</f>
        <v>71</v>
      </c>
      <c r="L21" s="13" t="n">
        <f aca="false">K21+E21*Half_gap*(Ceiling_e-K21)</f>
        <v>78</v>
      </c>
      <c r="M21" s="13" t="n">
        <f aca="false">L21+F21*Half_gap*(Ceiling_e-L21)</f>
        <v>81.5</v>
      </c>
      <c r="N21" s="13" t="n">
        <f aca="false">M21+G21*Half_gap*(Ceiling_e-M21)</f>
        <v>81.5</v>
      </c>
      <c r="O21" s="13" t="n">
        <f aca="false">N21+H21*Half_gap*(Ceiling_e-N21)</f>
        <v>83.25</v>
      </c>
      <c r="P21" s="13" t="n">
        <f aca="false">Val_pt*(J21-E_zero)</f>
        <v>0</v>
      </c>
      <c r="Q21" s="13" t="n">
        <f aca="false">Val_pt*(K21-E_zero)</f>
        <v>0</v>
      </c>
      <c r="R21" s="13" t="n">
        <f aca="false">Val_pt*(L21-E_zero)</f>
        <v>70</v>
      </c>
      <c r="S21" s="13" t="n">
        <f aca="false">Val_pt*(M21-E_zero)</f>
        <v>105</v>
      </c>
      <c r="T21" s="13" t="n">
        <f aca="false">Val_pt*(N21-E_zero)</f>
        <v>105</v>
      </c>
      <c r="U21" s="13" t="n">
        <f aca="false">Val_pt*(O21-E_zero)</f>
        <v>122.5</v>
      </c>
      <c r="V21" s="16" t="n">
        <f aca="false">MAX(W21+Cost_round*C21-P21,IF(C21=1,Pre_q,0))</f>
        <v>520</v>
      </c>
      <c r="W21" s="16" t="n">
        <f aca="false">MAX(X21+Cost_round*D21-Q21,IF(D21=1,Pre_q,0),Floor_q)</f>
        <v>520</v>
      </c>
      <c r="X21" s="16" t="n">
        <f aca="false">MAX(Y21+Cost_round*E21-R21,IF(E21=1,Pre_q,0),Floor_q)</f>
        <v>520</v>
      </c>
      <c r="Y21" s="16" t="n">
        <f aca="false">MAX(Z21+Cost_round*F21-S21,IF(F21=1,Pre_q,0),Floor_q)</f>
        <v>470</v>
      </c>
      <c r="Z21" s="16" t="n">
        <f aca="false">MAX(AA21+Cost_round*G21-T21,IF(G21=1,Pre_q,0),Floor_q)</f>
        <v>365</v>
      </c>
      <c r="AA21" s="16" t="n">
        <f aca="false">MAX(AB21+Cost_round*H21-U21,IF(H21=1,Pre_q,0),Floor_q)</f>
        <v>470</v>
      </c>
      <c r="AB21" s="16" t="n">
        <f aca="false">End_q</f>
        <v>470</v>
      </c>
      <c r="AC21" s="16" t="n">
        <f aca="false">Q_zero-V21</f>
        <v>100</v>
      </c>
      <c r="AD21" s="15" t="n">
        <f aca="false">IF(AC21&gt;=-0.000000001,1,0)</f>
        <v>1</v>
      </c>
      <c r="AE21" s="13" t="n">
        <f aca="false">IF($AD21=1,Q_zero-Cost_round*C21+P21-W21,"")</f>
        <v>100</v>
      </c>
      <c r="AF21" s="13" t="n">
        <f aca="false">IF($AD21=1,W21-Cost_round*D21+Q21-X21,"")</f>
        <v>0</v>
      </c>
      <c r="AG21" s="13" t="n">
        <f aca="false">IF($AD21=1,X21-Cost_round*E21+R21-Y21,"")</f>
        <v>0</v>
      </c>
      <c r="AH21" s="13" t="n">
        <f aca="false">IF($AD21=1,Y21-Cost_round*F21+S21-Z21,"")</f>
        <v>90</v>
      </c>
      <c r="AI21" s="13" t="n">
        <f aca="false">IF($AD21=1,Z21-Cost_round*G21+T21-AA21,"")</f>
        <v>0</v>
      </c>
      <c r="AJ21" s="13" t="n">
        <f aca="false">IF($AD21=1,AA21-Cost_round*H21+U21-AB21,"")</f>
        <v>2.5</v>
      </c>
      <c r="AK21" s="17" t="n">
        <f aca="false">IF($AD21=1,SUMPRODUCT(AE21:AJ21,$AE$6:$AJ$6),"")</f>
        <v>153.791486717082</v>
      </c>
      <c r="AL21" s="13" t="n">
        <f aca="false">U21</f>
        <v>122.5</v>
      </c>
      <c r="AM21" s="15" t="n">
        <f aca="false">IF(SUMPRODUCT(($AK$8:$AK$71&gt;=AK21-0.000000001)*($AL$8:$AL$71&gt;=AL21-0.000000001)*((($AK$8:$AK$71&gt;AK21+0.000000001)+($AL$8:$AL$71&gt;AL21+0.000000001))&gt;0))&gt;0,1,0)</f>
        <v>1</v>
      </c>
      <c r="AN21" s="15" t="n">
        <f aca="false">1-AM21</f>
        <v>0</v>
      </c>
      <c r="AO21" s="17" t="n">
        <f aca="false">AK21+W_board*AL21</f>
        <v>845.272051032959</v>
      </c>
      <c r="AP21" s="17" t="n">
        <f aca="false">AK21+W_try*AL21</f>
        <v>1378.79148671708</v>
      </c>
      <c r="AQ21" s="16" t="n">
        <f aca="false">MAX(AR21+Cost_round*C21-P21,IF(C21=1,Pre_q+Res_b,0))</f>
        <v>570</v>
      </c>
      <c r="AR21" s="16" t="n">
        <f aca="false">MAX(AS21+Cost_round*D21-Q21,IF(D21=1,Pre_q+Res_b,0),Floor_q+Res_b)</f>
        <v>570</v>
      </c>
      <c r="AS21" s="16" t="n">
        <f aca="false">MAX(AT21+Cost_round*E21-R21,IF(E21=1,Pre_q+Res_b,0),Floor_q+Res_b)</f>
        <v>570</v>
      </c>
      <c r="AT21" s="16" t="n">
        <f aca="false">MAX(AU21+Cost_round*F21-S21,IF(F21=1,Pre_q+Res_b,0),Floor_q+Res_b)</f>
        <v>520</v>
      </c>
      <c r="AU21" s="16" t="n">
        <f aca="false">MAX(AV21+Cost_round*G21-T21,IF(G21=1,Pre_q+Res_b,0),Floor_q+Res_b)</f>
        <v>415</v>
      </c>
      <c r="AV21" s="16" t="n">
        <f aca="false">MAX(AW21+Cost_round*H21-U21,IF(H21=1,Pre_q+Res_b,0),Floor_q+Res_b)</f>
        <v>520</v>
      </c>
      <c r="AW21" s="16" t="n">
        <f aca="false">End_q+Res_b</f>
        <v>520</v>
      </c>
      <c r="AX21" s="15" t="n">
        <f aca="false">IF(Q_zero&gt;=AQ21-0.000000001,1,0)</f>
        <v>1</v>
      </c>
      <c r="AY21" s="13" t="n">
        <f aca="false">IF($AX21=1,Q_zero-Cost_round*C21+P21-AR21,"")</f>
        <v>50</v>
      </c>
      <c r="AZ21" s="13" t="n">
        <f aca="false">IF($AX21=1,AR21-Cost_round*D21+Q21-AS21,"")</f>
        <v>0</v>
      </c>
      <c r="BA21" s="13" t="n">
        <f aca="false">IF($AX21=1,AS21-Cost_round*E21+R21-AT21,"")</f>
        <v>0</v>
      </c>
      <c r="BB21" s="13" t="n">
        <f aca="false">IF($AX21=1,AT21-Cost_round*F21+S21-AU21,"")</f>
        <v>90</v>
      </c>
      <c r="BC21" s="13" t="n">
        <f aca="false">IF($AX21=1,AU21-Cost_round*G21+T21-AV21,"")</f>
        <v>0</v>
      </c>
      <c r="BD21" s="13" t="n">
        <f aca="false">IF($AX21=1,AV21-Cost_round*H21+U21-AW21,"")</f>
        <v>2.5</v>
      </c>
      <c r="BE21" s="17" t="n">
        <f aca="false">IF($AX21=1,SUMPRODUCT(AY21:BD21,$AY$6:$BD$6),"")</f>
        <v>108.336941262536</v>
      </c>
      <c r="BF21" s="12" t="n">
        <f aca="false">IF(AND($AX21=1,Res_b&gt;0),(AK21-BE21)/Res_b,"")</f>
        <v>0.909090909090909</v>
      </c>
      <c r="BG21" s="17" t="n">
        <f aca="false">IF(AC21&gt;=Goal_b-0.000000001,AK21-Beta_y*Goal_b,"")</f>
        <v>131.064213989809</v>
      </c>
      <c r="BH21" s="15" t="n">
        <f aca="false">IF(AC21&gt;=Goal_b-0.000000001,IF(AND(AL21&gt;=Goal_S-0.000000001,BG21&gt;=Goal_P-0.000000001),1,0),0)</f>
        <v>0</v>
      </c>
    </row>
    <row r="22" customFormat="false" ht="15" hidden="false" customHeight="false" outlineLevel="0" collapsed="false">
      <c r="A22" s="2" t="n">
        <v>14</v>
      </c>
      <c r="B22" s="2" t="s">
        <v>132</v>
      </c>
      <c r="C22" s="15" t="n">
        <f aca="false">MOD(INT($A22/32),2)</f>
        <v>0</v>
      </c>
      <c r="D22" s="15" t="n">
        <f aca="false">MOD(INT($A22/16),2)</f>
        <v>0</v>
      </c>
      <c r="E22" s="15" t="n">
        <f aca="false">MOD(INT($A22/8),2)</f>
        <v>1</v>
      </c>
      <c r="F22" s="15" t="n">
        <f aca="false">MOD(INT($A22/4),2)</f>
        <v>1</v>
      </c>
      <c r="G22" s="15" t="n">
        <f aca="false">MOD(INT($A22/2),2)</f>
        <v>1</v>
      </c>
      <c r="H22" s="15" t="n">
        <f aca="false">MOD(INT($A22/1),2)</f>
        <v>0</v>
      </c>
      <c r="I22" s="15" t="n">
        <f aca="false">SUM(C22:H22)</f>
        <v>3</v>
      </c>
      <c r="J22" s="13" t="n">
        <f aca="false">E_zero+C22*Half_gap*(Ceiling_e-E_zero)</f>
        <v>71</v>
      </c>
      <c r="K22" s="13" t="n">
        <f aca="false">J22+D22*Half_gap*(Ceiling_e-J22)</f>
        <v>71</v>
      </c>
      <c r="L22" s="13" t="n">
        <f aca="false">K22+E22*Half_gap*(Ceiling_e-K22)</f>
        <v>78</v>
      </c>
      <c r="M22" s="13" t="n">
        <f aca="false">L22+F22*Half_gap*(Ceiling_e-L22)</f>
        <v>81.5</v>
      </c>
      <c r="N22" s="13" t="n">
        <f aca="false">M22+G22*Half_gap*(Ceiling_e-M22)</f>
        <v>83.25</v>
      </c>
      <c r="O22" s="13" t="n">
        <f aca="false">N22+H22*Half_gap*(Ceiling_e-N22)</f>
        <v>83.25</v>
      </c>
      <c r="P22" s="13" t="n">
        <f aca="false">Val_pt*(J22-E_zero)</f>
        <v>0</v>
      </c>
      <c r="Q22" s="13" t="n">
        <f aca="false">Val_pt*(K22-E_zero)</f>
        <v>0</v>
      </c>
      <c r="R22" s="13" t="n">
        <f aca="false">Val_pt*(L22-E_zero)</f>
        <v>70</v>
      </c>
      <c r="S22" s="13" t="n">
        <f aca="false">Val_pt*(M22-E_zero)</f>
        <v>105</v>
      </c>
      <c r="T22" s="13" t="n">
        <f aca="false">Val_pt*(N22-E_zero)</f>
        <v>122.5</v>
      </c>
      <c r="U22" s="13" t="n">
        <f aca="false">Val_pt*(O22-E_zero)</f>
        <v>122.5</v>
      </c>
      <c r="V22" s="16" t="n">
        <f aca="false">MAX(W22+Cost_round*C22-P22,IF(C22=1,Pre_q,0))</f>
        <v>535</v>
      </c>
      <c r="W22" s="16" t="n">
        <f aca="false">MAX(X22+Cost_round*D22-Q22,IF(D22=1,Pre_q,0),Floor_q)</f>
        <v>535</v>
      </c>
      <c r="X22" s="16" t="n">
        <f aca="false">MAX(Y22+Cost_round*E22-R22,IF(E22=1,Pre_q,0),Floor_q)</f>
        <v>535</v>
      </c>
      <c r="Y22" s="16" t="n">
        <f aca="false">MAX(Z22+Cost_round*F22-S22,IF(F22=1,Pre_q,0),Floor_q)</f>
        <v>485</v>
      </c>
      <c r="Z22" s="16" t="n">
        <f aca="false">MAX(AA22+Cost_round*G22-T22,IF(G22=1,Pre_q,0),Floor_q)</f>
        <v>470</v>
      </c>
      <c r="AA22" s="16" t="n">
        <f aca="false">MAX(AB22+Cost_round*H22-U22,IF(H22=1,Pre_q,0),Floor_q)</f>
        <v>350</v>
      </c>
      <c r="AB22" s="16" t="n">
        <f aca="false">End_q</f>
        <v>470</v>
      </c>
      <c r="AC22" s="16" t="n">
        <f aca="false">Q_zero-V22</f>
        <v>85</v>
      </c>
      <c r="AD22" s="15" t="n">
        <f aca="false">IF(AC22&gt;=-0.000000001,1,0)</f>
        <v>1</v>
      </c>
      <c r="AE22" s="13" t="n">
        <f aca="false">IF($AD22=1,Q_zero-Cost_round*C22+P22-W22,"")</f>
        <v>85</v>
      </c>
      <c r="AF22" s="13" t="n">
        <f aca="false">IF($AD22=1,W22-Cost_round*D22+Q22-X22,"")</f>
        <v>0</v>
      </c>
      <c r="AG22" s="13" t="n">
        <f aca="false">IF($AD22=1,X22-Cost_round*E22+R22-Y22,"")</f>
        <v>0</v>
      </c>
      <c r="AH22" s="13" t="n">
        <f aca="false">IF($AD22=1,Y22-Cost_round*F22+S22-Z22,"")</f>
        <v>0</v>
      </c>
      <c r="AI22" s="13" t="n">
        <f aca="false">IF($AD22=1,Z22-Cost_round*G22+T22-AA22,"")</f>
        <v>122.5</v>
      </c>
      <c r="AJ22" s="13" t="n">
        <f aca="false">IF($AD22=1,AA22-Cost_round*H22+U22-AB22,"")</f>
        <v>2.5</v>
      </c>
      <c r="AK22" s="17" t="n">
        <f aca="false">IF($AD22=1,SUMPRODUCT(AE22:AJ22,$AE$6:$AJ$6),"")</f>
        <v>154.746774172608</v>
      </c>
      <c r="AL22" s="13" t="n">
        <f aca="false">U22</f>
        <v>122.5</v>
      </c>
      <c r="AM22" s="15" t="n">
        <f aca="false">IF(SUMPRODUCT(($AK$8:$AK$71&gt;=AK22-0.000000001)*($AL$8:$AL$71&gt;=AL22-0.000000001)*((($AK$8:$AK$71&gt;AK22+0.000000001)+($AL$8:$AL$71&gt;AL22+0.000000001))&gt;0))&gt;0,1,0)</f>
        <v>1</v>
      </c>
      <c r="AN22" s="15" t="n">
        <f aca="false">1-AM22</f>
        <v>0</v>
      </c>
      <c r="AO22" s="17" t="n">
        <f aca="false">AK22+W_board*AL22</f>
        <v>846.227338488485</v>
      </c>
      <c r="AP22" s="17" t="n">
        <f aca="false">AK22+W_try*AL22</f>
        <v>1379.74677417261</v>
      </c>
      <c r="AQ22" s="16" t="n">
        <f aca="false">MAX(AR22+Cost_round*C22-P22,IF(C22=1,Pre_q+Res_b,0))</f>
        <v>585</v>
      </c>
      <c r="AR22" s="16" t="n">
        <f aca="false">MAX(AS22+Cost_round*D22-Q22,IF(D22=1,Pre_q+Res_b,0),Floor_q+Res_b)</f>
        <v>585</v>
      </c>
      <c r="AS22" s="16" t="n">
        <f aca="false">MAX(AT22+Cost_round*E22-R22,IF(E22=1,Pre_q+Res_b,0),Floor_q+Res_b)</f>
        <v>585</v>
      </c>
      <c r="AT22" s="16" t="n">
        <f aca="false">MAX(AU22+Cost_round*F22-S22,IF(F22=1,Pre_q+Res_b,0),Floor_q+Res_b)</f>
        <v>535</v>
      </c>
      <c r="AU22" s="16" t="n">
        <f aca="false">MAX(AV22+Cost_round*G22-T22,IF(G22=1,Pre_q+Res_b,0),Floor_q+Res_b)</f>
        <v>520</v>
      </c>
      <c r="AV22" s="16" t="n">
        <f aca="false">MAX(AW22+Cost_round*H22-U22,IF(H22=1,Pre_q+Res_b,0),Floor_q+Res_b)</f>
        <v>400</v>
      </c>
      <c r="AW22" s="16" t="n">
        <f aca="false">End_q+Res_b</f>
        <v>520</v>
      </c>
      <c r="AX22" s="15" t="n">
        <f aca="false">IF(Q_zero&gt;=AQ22-0.000000001,1,0)</f>
        <v>1</v>
      </c>
      <c r="AY22" s="13" t="n">
        <f aca="false">IF($AX22=1,Q_zero-Cost_round*C22+P22-AR22,"")</f>
        <v>35</v>
      </c>
      <c r="AZ22" s="13" t="n">
        <f aca="false">IF($AX22=1,AR22-Cost_round*D22+Q22-AS22,"")</f>
        <v>0</v>
      </c>
      <c r="BA22" s="13" t="n">
        <f aca="false">IF($AX22=1,AS22-Cost_round*E22+R22-AT22,"")</f>
        <v>0</v>
      </c>
      <c r="BB22" s="13" t="n">
        <f aca="false">IF($AX22=1,AT22-Cost_round*F22+S22-AU22,"")</f>
        <v>0</v>
      </c>
      <c r="BC22" s="13" t="n">
        <f aca="false">IF($AX22=1,AU22-Cost_round*G22+T22-AV22,"")</f>
        <v>122.5</v>
      </c>
      <c r="BD22" s="13" t="n">
        <f aca="false">IF($AX22=1,AV22-Cost_round*H22+U22-AW22,"")</f>
        <v>2.5</v>
      </c>
      <c r="BE22" s="17" t="n">
        <f aca="false">IF($AX22=1,SUMPRODUCT(AY22:BD22,$AY$6:$BD$6),"")</f>
        <v>109.292228718063</v>
      </c>
      <c r="BF22" s="12" t="n">
        <f aca="false">IF(AND($AX22=1,Res_b&gt;0),(AK22-BE22)/Res_b,"")</f>
        <v>0.909090909090909</v>
      </c>
      <c r="BG22" s="17" t="n">
        <f aca="false">IF(AC22&gt;=Goal_b-0.000000001,AK22-Beta_y*Goal_b,"")</f>
        <v>132.019501445336</v>
      </c>
      <c r="BH22" s="15" t="n">
        <f aca="false">IF(AC22&gt;=Goal_b-0.000000001,IF(AND(AL22&gt;=Goal_S-0.000000001,BG22&gt;=Goal_P-0.000000001),1,0),0)</f>
        <v>0</v>
      </c>
    </row>
    <row r="23" customFormat="false" ht="15" hidden="false" customHeight="false" outlineLevel="0" collapsed="false">
      <c r="A23" s="2" t="n">
        <v>15</v>
      </c>
      <c r="B23" s="2" t="s">
        <v>133</v>
      </c>
      <c r="C23" s="15" t="n">
        <f aca="false">MOD(INT($A23/32),2)</f>
        <v>0</v>
      </c>
      <c r="D23" s="15" t="n">
        <f aca="false">MOD(INT($A23/16),2)</f>
        <v>0</v>
      </c>
      <c r="E23" s="15" t="n">
        <f aca="false">MOD(INT($A23/8),2)</f>
        <v>1</v>
      </c>
      <c r="F23" s="15" t="n">
        <f aca="false">MOD(INT($A23/4),2)</f>
        <v>1</v>
      </c>
      <c r="G23" s="15" t="n">
        <f aca="false">MOD(INT($A23/2),2)</f>
        <v>1</v>
      </c>
      <c r="H23" s="15" t="n">
        <f aca="false">MOD(INT($A23/1),2)</f>
        <v>1</v>
      </c>
      <c r="I23" s="15" t="n">
        <f aca="false">SUM(C23:H23)</f>
        <v>4</v>
      </c>
      <c r="J23" s="13" t="n">
        <f aca="false">E_zero+C23*Half_gap*(Ceiling_e-E_zero)</f>
        <v>71</v>
      </c>
      <c r="K23" s="13" t="n">
        <f aca="false">J23+D23*Half_gap*(Ceiling_e-J23)</f>
        <v>71</v>
      </c>
      <c r="L23" s="13" t="n">
        <f aca="false">K23+E23*Half_gap*(Ceiling_e-K23)</f>
        <v>78</v>
      </c>
      <c r="M23" s="13" t="n">
        <f aca="false">L23+F23*Half_gap*(Ceiling_e-L23)</f>
        <v>81.5</v>
      </c>
      <c r="N23" s="13" t="n">
        <f aca="false">M23+G23*Half_gap*(Ceiling_e-M23)</f>
        <v>83.25</v>
      </c>
      <c r="O23" s="13" t="n">
        <f aca="false">N23+H23*Half_gap*(Ceiling_e-N23)</f>
        <v>84.125</v>
      </c>
      <c r="P23" s="13" t="n">
        <f aca="false">Val_pt*(J23-E_zero)</f>
        <v>0</v>
      </c>
      <c r="Q23" s="13" t="n">
        <f aca="false">Val_pt*(K23-E_zero)</f>
        <v>0</v>
      </c>
      <c r="R23" s="13" t="n">
        <f aca="false">Val_pt*(L23-E_zero)</f>
        <v>70</v>
      </c>
      <c r="S23" s="13" t="n">
        <f aca="false">Val_pt*(M23-E_zero)</f>
        <v>105</v>
      </c>
      <c r="T23" s="13" t="n">
        <f aca="false">Val_pt*(N23-E_zero)</f>
        <v>122.5</v>
      </c>
      <c r="U23" s="13" t="n">
        <f aca="false">Val_pt*(O23-E_zero)</f>
        <v>131.25</v>
      </c>
      <c r="V23" s="16" t="n">
        <f aca="false">MAX(W23+Cost_round*C23-P23,IF(C23=1,Pre_q,0))</f>
        <v>535</v>
      </c>
      <c r="W23" s="16" t="n">
        <f aca="false">MAX(X23+Cost_round*D23-Q23,IF(D23=1,Pre_q,0),Floor_q)</f>
        <v>535</v>
      </c>
      <c r="X23" s="16" t="n">
        <f aca="false">MAX(Y23+Cost_round*E23-R23,IF(E23=1,Pre_q,0),Floor_q)</f>
        <v>535</v>
      </c>
      <c r="Y23" s="16" t="n">
        <f aca="false">MAX(Z23+Cost_round*F23-S23,IF(F23=1,Pre_q,0),Floor_q)</f>
        <v>485</v>
      </c>
      <c r="Z23" s="16" t="n">
        <f aca="false">MAX(AA23+Cost_round*G23-T23,IF(G23=1,Pre_q,0),Floor_q)</f>
        <v>470</v>
      </c>
      <c r="AA23" s="16" t="n">
        <f aca="false">MAX(AB23+Cost_round*H23-U23,IF(H23=1,Pre_q,0),Floor_q)</f>
        <v>470</v>
      </c>
      <c r="AB23" s="16" t="n">
        <f aca="false">End_q</f>
        <v>470</v>
      </c>
      <c r="AC23" s="16" t="n">
        <f aca="false">Q_zero-V23</f>
        <v>85</v>
      </c>
      <c r="AD23" s="15" t="n">
        <f aca="false">IF(AC23&gt;=-0.000000001,1,0)</f>
        <v>1</v>
      </c>
      <c r="AE23" s="13" t="n">
        <f aca="false">IF($AD23=1,Q_zero-Cost_round*C23+P23-W23,"")</f>
        <v>85</v>
      </c>
      <c r="AF23" s="13" t="n">
        <f aca="false">IF($AD23=1,W23-Cost_round*D23+Q23-X23,"")</f>
        <v>0</v>
      </c>
      <c r="AG23" s="13" t="n">
        <f aca="false">IF($AD23=1,X23-Cost_round*E23+R23-Y23,"")</f>
        <v>0</v>
      </c>
      <c r="AH23" s="13" t="n">
        <f aca="false">IF($AD23=1,Y23-Cost_round*F23+S23-Z23,"")</f>
        <v>0</v>
      </c>
      <c r="AI23" s="13" t="n">
        <f aca="false">IF($AD23=1,Z23-Cost_round*G23+T23-AA23,"")</f>
        <v>2.5</v>
      </c>
      <c r="AJ23" s="13" t="n">
        <f aca="false">IF($AD23=1,AA23-Cost_round*H23+U23-AB23,"")</f>
        <v>11.25</v>
      </c>
      <c r="AK23" s="17" t="n">
        <f aca="false">IF($AD23=1,SUMPRODUCT(AE23:AJ23,$AE$6:$AJ$6),"")</f>
        <v>85.1753622934802</v>
      </c>
      <c r="AL23" s="13" t="n">
        <f aca="false">U23</f>
        <v>131.25</v>
      </c>
      <c r="AM23" s="15" t="n">
        <f aca="false">IF(SUMPRODUCT(($AK$8:$AK$71&gt;=AK23-0.000000001)*($AL$8:$AL$71&gt;=AL23-0.000000001)*((($AK$8:$AK$71&gt;AK23+0.000000001)+($AL$8:$AL$71&gt;AL23+0.000000001))&gt;0))&gt;0,1,0)</f>
        <v>1</v>
      </c>
      <c r="AN23" s="15" t="n">
        <f aca="false">1-AM23</f>
        <v>0</v>
      </c>
      <c r="AO23" s="17" t="n">
        <f aca="false">AK23+W_board*AL23</f>
        <v>826.047395489063</v>
      </c>
      <c r="AP23" s="17" t="n">
        <f aca="false">AK23+W_try*AL23</f>
        <v>1397.67536229348</v>
      </c>
      <c r="AQ23" s="16" t="n">
        <f aca="false">MAX(AR23+Cost_round*C23-P23,IF(C23=1,Pre_q+Res_b,0))</f>
        <v>585</v>
      </c>
      <c r="AR23" s="16" t="n">
        <f aca="false">MAX(AS23+Cost_round*D23-Q23,IF(D23=1,Pre_q+Res_b,0),Floor_q+Res_b)</f>
        <v>585</v>
      </c>
      <c r="AS23" s="16" t="n">
        <f aca="false">MAX(AT23+Cost_round*E23-R23,IF(E23=1,Pre_q+Res_b,0),Floor_q+Res_b)</f>
        <v>585</v>
      </c>
      <c r="AT23" s="16" t="n">
        <f aca="false">MAX(AU23+Cost_round*F23-S23,IF(F23=1,Pre_q+Res_b,0),Floor_q+Res_b)</f>
        <v>535</v>
      </c>
      <c r="AU23" s="16" t="n">
        <f aca="false">MAX(AV23+Cost_round*G23-T23,IF(G23=1,Pre_q+Res_b,0),Floor_q+Res_b)</f>
        <v>520</v>
      </c>
      <c r="AV23" s="16" t="n">
        <f aca="false">MAX(AW23+Cost_round*H23-U23,IF(H23=1,Pre_q+Res_b,0),Floor_q+Res_b)</f>
        <v>520</v>
      </c>
      <c r="AW23" s="16" t="n">
        <f aca="false">End_q+Res_b</f>
        <v>520</v>
      </c>
      <c r="AX23" s="15" t="n">
        <f aca="false">IF(Q_zero&gt;=AQ23-0.000000001,1,0)</f>
        <v>1</v>
      </c>
      <c r="AY23" s="13" t="n">
        <f aca="false">IF($AX23=1,Q_zero-Cost_round*C23+P23-AR23,"")</f>
        <v>35</v>
      </c>
      <c r="AZ23" s="13" t="n">
        <f aca="false">IF($AX23=1,AR23-Cost_round*D23+Q23-AS23,"")</f>
        <v>0</v>
      </c>
      <c r="BA23" s="13" t="n">
        <f aca="false">IF($AX23=1,AS23-Cost_round*E23+R23-AT23,"")</f>
        <v>0</v>
      </c>
      <c r="BB23" s="13" t="n">
        <f aca="false">IF($AX23=1,AT23-Cost_round*F23+S23-AU23,"")</f>
        <v>0</v>
      </c>
      <c r="BC23" s="13" t="n">
        <f aca="false">IF($AX23=1,AU23-Cost_round*G23+T23-AV23,"")</f>
        <v>2.5</v>
      </c>
      <c r="BD23" s="13" t="n">
        <f aca="false">IF($AX23=1,AV23-Cost_round*H23+U23-AW23,"")</f>
        <v>11.25</v>
      </c>
      <c r="BE23" s="17" t="n">
        <f aca="false">IF($AX23=1,SUMPRODUCT(AY23:BD23,$AY$6:$BD$6),"")</f>
        <v>39.7208168389347</v>
      </c>
      <c r="BF23" s="12" t="n">
        <f aca="false">IF(AND($AX23=1,Res_b&gt;0),(AK23-BE23)/Res_b,"")</f>
        <v>0.909090909090909</v>
      </c>
      <c r="BG23" s="17" t="n">
        <f aca="false">IF(AC23&gt;=Goal_b-0.000000001,AK23-Beta_y*Goal_b,"")</f>
        <v>62.4480895662074</v>
      </c>
      <c r="BH23" s="15" t="n">
        <f aca="false">IF(AC23&gt;=Goal_b-0.000000001,IF(AND(AL23&gt;=Goal_S-0.000000001,BG23&gt;=Goal_P-0.000000001),1,0),0)</f>
        <v>0</v>
      </c>
    </row>
    <row r="24" customFormat="false" ht="15" hidden="false" customHeight="false" outlineLevel="0" collapsed="false">
      <c r="A24" s="2" t="n">
        <v>16</v>
      </c>
      <c r="B24" s="2" t="s">
        <v>134</v>
      </c>
      <c r="C24" s="15" t="n">
        <f aca="false">MOD(INT($A24/32),2)</f>
        <v>0</v>
      </c>
      <c r="D24" s="15" t="n">
        <f aca="false">MOD(INT($A24/16),2)</f>
        <v>1</v>
      </c>
      <c r="E24" s="15" t="n">
        <f aca="false">MOD(INT($A24/8),2)</f>
        <v>0</v>
      </c>
      <c r="F24" s="15" t="n">
        <f aca="false">MOD(INT($A24/4),2)</f>
        <v>0</v>
      </c>
      <c r="G24" s="15" t="n">
        <f aca="false">MOD(INT($A24/2),2)</f>
        <v>0</v>
      </c>
      <c r="H24" s="15" t="n">
        <f aca="false">MOD(INT($A24/1),2)</f>
        <v>0</v>
      </c>
      <c r="I24" s="15" t="n">
        <f aca="false">SUM(C24:H24)</f>
        <v>1</v>
      </c>
      <c r="J24" s="13" t="n">
        <f aca="false">E_zero+C24*Half_gap*(Ceiling_e-E_zero)</f>
        <v>71</v>
      </c>
      <c r="K24" s="13" t="n">
        <f aca="false">J24+D24*Half_gap*(Ceiling_e-J24)</f>
        <v>78</v>
      </c>
      <c r="L24" s="13" t="n">
        <f aca="false">K24+E24*Half_gap*(Ceiling_e-K24)</f>
        <v>78</v>
      </c>
      <c r="M24" s="13" t="n">
        <f aca="false">L24+F24*Half_gap*(Ceiling_e-L24)</f>
        <v>78</v>
      </c>
      <c r="N24" s="13" t="n">
        <f aca="false">M24+G24*Half_gap*(Ceiling_e-M24)</f>
        <v>78</v>
      </c>
      <c r="O24" s="13" t="n">
        <f aca="false">N24+H24*Half_gap*(Ceiling_e-N24)</f>
        <v>78</v>
      </c>
      <c r="P24" s="13" t="n">
        <f aca="false">Val_pt*(J24-E_zero)</f>
        <v>0</v>
      </c>
      <c r="Q24" s="13" t="n">
        <f aca="false">Val_pt*(K24-E_zero)</f>
        <v>70</v>
      </c>
      <c r="R24" s="13" t="n">
        <f aca="false">Val_pt*(L24-E_zero)</f>
        <v>70</v>
      </c>
      <c r="S24" s="13" t="n">
        <f aca="false">Val_pt*(M24-E_zero)</f>
        <v>70</v>
      </c>
      <c r="T24" s="13" t="n">
        <f aca="false">Val_pt*(N24-E_zero)</f>
        <v>70</v>
      </c>
      <c r="U24" s="13" t="n">
        <f aca="false">Val_pt*(O24-E_zero)</f>
        <v>70</v>
      </c>
      <c r="V24" s="16" t="n">
        <f aca="false">MAX(W24+Cost_round*C24-P24,IF(C24=1,Pre_q,0))</f>
        <v>470</v>
      </c>
      <c r="W24" s="16" t="n">
        <f aca="false">MAX(X24+Cost_round*D24-Q24,IF(D24=1,Pre_q,0),Floor_q)</f>
        <v>470</v>
      </c>
      <c r="X24" s="16" t="n">
        <f aca="false">MAX(Y24+Cost_round*E24-R24,IF(E24=1,Pre_q,0),Floor_q)</f>
        <v>350</v>
      </c>
      <c r="Y24" s="16" t="n">
        <f aca="false">MAX(Z24+Cost_round*F24-S24,IF(F24=1,Pre_q,0),Floor_q)</f>
        <v>350</v>
      </c>
      <c r="Z24" s="16" t="n">
        <f aca="false">MAX(AA24+Cost_round*G24-T24,IF(G24=1,Pre_q,0),Floor_q)</f>
        <v>350</v>
      </c>
      <c r="AA24" s="16" t="n">
        <f aca="false">MAX(AB24+Cost_round*H24-U24,IF(H24=1,Pre_q,0),Floor_q)</f>
        <v>400</v>
      </c>
      <c r="AB24" s="16" t="n">
        <f aca="false">End_q</f>
        <v>470</v>
      </c>
      <c r="AC24" s="16" t="n">
        <f aca="false">Q_zero-V24</f>
        <v>150</v>
      </c>
      <c r="AD24" s="15" t="n">
        <f aca="false">IF(AC24&gt;=-0.000000001,1,0)</f>
        <v>1</v>
      </c>
      <c r="AE24" s="13" t="n">
        <f aca="false">IF($AD24=1,Q_zero-Cost_round*C24+P24-W24,"")</f>
        <v>150</v>
      </c>
      <c r="AF24" s="13" t="n">
        <f aca="false">IF($AD24=1,W24-Cost_round*D24+Q24-X24,"")</f>
        <v>70</v>
      </c>
      <c r="AG24" s="13" t="n">
        <f aca="false">IF($AD24=1,X24-Cost_round*E24+R24-Y24,"")</f>
        <v>70</v>
      </c>
      <c r="AH24" s="13" t="n">
        <f aca="false">IF($AD24=1,Y24-Cost_round*F24+S24-Z24,"")</f>
        <v>70</v>
      </c>
      <c r="AI24" s="13" t="n">
        <f aca="false">IF($AD24=1,Z24-Cost_round*G24+T24-AA24,"")</f>
        <v>20</v>
      </c>
      <c r="AJ24" s="13" t="n">
        <f aca="false">IF($AD24=1,AA24-Cost_round*H24+U24-AB24,"")</f>
        <v>0</v>
      </c>
      <c r="AK24" s="17" t="n">
        <f aca="false">IF($AD24=1,SUMPRODUCT(AE24:AJ24,$AE$6:$AJ$6),"")</f>
        <v>307.036280432906</v>
      </c>
      <c r="AL24" s="13" t="n">
        <f aca="false">U24</f>
        <v>70</v>
      </c>
      <c r="AM24" s="15" t="n">
        <f aca="false">IF(SUMPRODUCT(($AK$8:$AK$71&gt;=AK24-0.000000001)*($AL$8:$AL$71&gt;=AL24-0.000000001)*((($AK$8:$AK$71&gt;AK24+0.000000001)+($AL$8:$AL$71&gt;AL24+0.000000001))&gt;0))&gt;0,1,0)</f>
        <v>1</v>
      </c>
      <c r="AN24" s="15" t="n">
        <f aca="false">1-AM24</f>
        <v>0</v>
      </c>
      <c r="AO24" s="17" t="n">
        <f aca="false">AK24+W_board*AL24</f>
        <v>702.16803147055</v>
      </c>
      <c r="AP24" s="17" t="n">
        <f aca="false">AK24+W_try*AL24</f>
        <v>1007.03628043291</v>
      </c>
      <c r="AQ24" s="16" t="n">
        <f aca="false">MAX(AR24+Cost_round*C24-P24,IF(C24=1,Pre_q+Res_b,0))</f>
        <v>520</v>
      </c>
      <c r="AR24" s="16" t="n">
        <f aca="false">MAX(AS24+Cost_round*D24-Q24,IF(D24=1,Pre_q+Res_b,0),Floor_q+Res_b)</f>
        <v>520</v>
      </c>
      <c r="AS24" s="16" t="n">
        <f aca="false">MAX(AT24+Cost_round*E24-R24,IF(E24=1,Pre_q+Res_b,0),Floor_q+Res_b)</f>
        <v>400</v>
      </c>
      <c r="AT24" s="16" t="n">
        <f aca="false">MAX(AU24+Cost_round*F24-S24,IF(F24=1,Pre_q+Res_b,0),Floor_q+Res_b)</f>
        <v>400</v>
      </c>
      <c r="AU24" s="16" t="n">
        <f aca="false">MAX(AV24+Cost_round*G24-T24,IF(G24=1,Pre_q+Res_b,0),Floor_q+Res_b)</f>
        <v>400</v>
      </c>
      <c r="AV24" s="16" t="n">
        <f aca="false">MAX(AW24+Cost_round*H24-U24,IF(H24=1,Pre_q+Res_b,0),Floor_q+Res_b)</f>
        <v>450</v>
      </c>
      <c r="AW24" s="16" t="n">
        <f aca="false">End_q+Res_b</f>
        <v>520</v>
      </c>
      <c r="AX24" s="15" t="n">
        <f aca="false">IF(Q_zero&gt;=AQ24-0.000000001,1,0)</f>
        <v>1</v>
      </c>
      <c r="AY24" s="13" t="n">
        <f aca="false">IF($AX24=1,Q_zero-Cost_round*C24+P24-AR24,"")</f>
        <v>100</v>
      </c>
      <c r="AZ24" s="13" t="n">
        <f aca="false">IF($AX24=1,AR24-Cost_round*D24+Q24-AS24,"")</f>
        <v>70</v>
      </c>
      <c r="BA24" s="13" t="n">
        <f aca="false">IF($AX24=1,AS24-Cost_round*E24+R24-AT24,"")</f>
        <v>70</v>
      </c>
      <c r="BB24" s="13" t="n">
        <f aca="false">IF($AX24=1,AT24-Cost_round*F24+S24-AU24,"")</f>
        <v>70</v>
      </c>
      <c r="BC24" s="13" t="n">
        <f aca="false">IF($AX24=1,AU24-Cost_round*G24+T24-AV24,"")</f>
        <v>20</v>
      </c>
      <c r="BD24" s="13" t="n">
        <f aca="false">IF($AX24=1,AV24-Cost_round*H24+U24-AW24,"")</f>
        <v>0</v>
      </c>
      <c r="BE24" s="17" t="n">
        <f aca="false">IF($AX24=1,SUMPRODUCT(AY24:BD24,$AY$6:$BD$6),"")</f>
        <v>261.581734978361</v>
      </c>
      <c r="BF24" s="12" t="n">
        <f aca="false">IF(AND($AX24=1,Res_b&gt;0),(AK24-BE24)/Res_b,"")</f>
        <v>0.909090909090909</v>
      </c>
      <c r="BG24" s="17" t="n">
        <f aca="false">IF(AC24&gt;=Goal_b-0.000000001,AK24-Beta_y*Goal_b,"")</f>
        <v>284.309007705634</v>
      </c>
      <c r="BH24" s="15" t="n">
        <f aca="false">IF(AC24&gt;=Goal_b-0.000000001,IF(AND(AL24&gt;=Goal_S-0.000000001,BG24&gt;=Goal_P-0.000000001),1,0),0)</f>
        <v>0</v>
      </c>
    </row>
    <row r="25" customFormat="false" ht="15" hidden="false" customHeight="false" outlineLevel="0" collapsed="false">
      <c r="A25" s="2" t="n">
        <v>17</v>
      </c>
      <c r="B25" s="2" t="s">
        <v>135</v>
      </c>
      <c r="C25" s="15" t="n">
        <f aca="false">MOD(INT($A25/32),2)</f>
        <v>0</v>
      </c>
      <c r="D25" s="15" t="n">
        <f aca="false">MOD(INT($A25/16),2)</f>
        <v>1</v>
      </c>
      <c r="E25" s="15" t="n">
        <f aca="false">MOD(INT($A25/8),2)</f>
        <v>0</v>
      </c>
      <c r="F25" s="15" t="n">
        <f aca="false">MOD(INT($A25/4),2)</f>
        <v>0</v>
      </c>
      <c r="G25" s="15" t="n">
        <f aca="false">MOD(INT($A25/2),2)</f>
        <v>0</v>
      </c>
      <c r="H25" s="15" t="n">
        <f aca="false">MOD(INT($A25/1),2)</f>
        <v>1</v>
      </c>
      <c r="I25" s="15" t="n">
        <f aca="false">SUM(C25:H25)</f>
        <v>2</v>
      </c>
      <c r="J25" s="13" t="n">
        <f aca="false">E_zero+C25*Half_gap*(Ceiling_e-E_zero)</f>
        <v>71</v>
      </c>
      <c r="K25" s="13" t="n">
        <f aca="false">J25+D25*Half_gap*(Ceiling_e-J25)</f>
        <v>78</v>
      </c>
      <c r="L25" s="13" t="n">
        <f aca="false">K25+E25*Half_gap*(Ceiling_e-K25)</f>
        <v>78</v>
      </c>
      <c r="M25" s="13" t="n">
        <f aca="false">L25+F25*Half_gap*(Ceiling_e-L25)</f>
        <v>78</v>
      </c>
      <c r="N25" s="13" t="n">
        <f aca="false">M25+G25*Half_gap*(Ceiling_e-M25)</f>
        <v>78</v>
      </c>
      <c r="O25" s="13" t="n">
        <f aca="false">N25+H25*Half_gap*(Ceiling_e-N25)</f>
        <v>81.5</v>
      </c>
      <c r="P25" s="13" t="n">
        <f aca="false">Val_pt*(J25-E_zero)</f>
        <v>0</v>
      </c>
      <c r="Q25" s="13" t="n">
        <f aca="false">Val_pt*(K25-E_zero)</f>
        <v>70</v>
      </c>
      <c r="R25" s="13" t="n">
        <f aca="false">Val_pt*(L25-E_zero)</f>
        <v>70</v>
      </c>
      <c r="S25" s="13" t="n">
        <f aca="false">Val_pt*(M25-E_zero)</f>
        <v>70</v>
      </c>
      <c r="T25" s="13" t="n">
        <f aca="false">Val_pt*(N25-E_zero)</f>
        <v>70</v>
      </c>
      <c r="U25" s="13" t="n">
        <f aca="false">Val_pt*(O25-E_zero)</f>
        <v>105</v>
      </c>
      <c r="V25" s="16" t="n">
        <f aca="false">MAX(W25+Cost_round*C25-P25,IF(C25=1,Pre_q,0))</f>
        <v>470</v>
      </c>
      <c r="W25" s="16" t="n">
        <f aca="false">MAX(X25+Cost_round*D25-Q25,IF(D25=1,Pre_q,0),Floor_q)</f>
        <v>470</v>
      </c>
      <c r="X25" s="16" t="n">
        <f aca="false">MAX(Y25+Cost_round*E25-R25,IF(E25=1,Pre_q,0),Floor_q)</f>
        <v>350</v>
      </c>
      <c r="Y25" s="16" t="n">
        <f aca="false">MAX(Z25+Cost_round*F25-S25,IF(F25=1,Pre_q,0),Floor_q)</f>
        <v>350</v>
      </c>
      <c r="Z25" s="16" t="n">
        <f aca="false">MAX(AA25+Cost_round*G25-T25,IF(G25=1,Pre_q,0),Floor_q)</f>
        <v>415</v>
      </c>
      <c r="AA25" s="16" t="n">
        <f aca="false">MAX(AB25+Cost_round*H25-U25,IF(H25=1,Pre_q,0),Floor_q)</f>
        <v>485</v>
      </c>
      <c r="AB25" s="16" t="n">
        <f aca="false">End_q</f>
        <v>470</v>
      </c>
      <c r="AC25" s="16" t="n">
        <f aca="false">Q_zero-V25</f>
        <v>150</v>
      </c>
      <c r="AD25" s="15" t="n">
        <f aca="false">IF(AC25&gt;=-0.000000001,1,0)</f>
        <v>1</v>
      </c>
      <c r="AE25" s="13" t="n">
        <f aca="false">IF($AD25=1,Q_zero-Cost_round*C25+P25-W25,"")</f>
        <v>150</v>
      </c>
      <c r="AF25" s="13" t="n">
        <f aca="false">IF($AD25=1,W25-Cost_round*D25+Q25-X25,"")</f>
        <v>70</v>
      </c>
      <c r="AG25" s="13" t="n">
        <f aca="false">IF($AD25=1,X25-Cost_round*E25+R25-Y25,"")</f>
        <v>70</v>
      </c>
      <c r="AH25" s="13" t="n">
        <f aca="false">IF($AD25=1,Y25-Cost_round*F25+S25-Z25,"")</f>
        <v>5</v>
      </c>
      <c r="AI25" s="13" t="n">
        <f aca="false">IF($AD25=1,Z25-Cost_round*G25+T25-AA25,"")</f>
        <v>0</v>
      </c>
      <c r="AJ25" s="13" t="n">
        <f aca="false">IF($AD25=1,AA25-Cost_round*H25+U25-AB25,"")</f>
        <v>0</v>
      </c>
      <c r="AK25" s="17" t="n">
        <f aca="false">IF($AD25=1,SUMPRODUCT(AE25:AJ25,$AE$6:$AJ$6),"")</f>
        <v>250.221979372994</v>
      </c>
      <c r="AL25" s="13" t="n">
        <f aca="false">U25</f>
        <v>105</v>
      </c>
      <c r="AM25" s="15" t="n">
        <f aca="false">IF(SUMPRODUCT(($AK$8:$AK$71&gt;=AK25-0.000000001)*($AL$8:$AL$71&gt;=AL25-0.000000001)*((($AK$8:$AK$71&gt;AK25+0.000000001)+($AL$8:$AL$71&gt;AL25+0.000000001))&gt;0))&gt;0,1,0)</f>
        <v>1</v>
      </c>
      <c r="AN25" s="15" t="n">
        <f aca="false">1-AM25</f>
        <v>0</v>
      </c>
      <c r="AO25" s="17" t="n">
        <f aca="false">AK25+W_board*AL25</f>
        <v>842.91960592946</v>
      </c>
      <c r="AP25" s="17" t="n">
        <f aca="false">AK25+W_try*AL25</f>
        <v>1300.22197937299</v>
      </c>
      <c r="AQ25" s="16" t="n">
        <f aca="false">MAX(AR25+Cost_round*C25-P25,IF(C25=1,Pre_q+Res_b,0))</f>
        <v>520</v>
      </c>
      <c r="AR25" s="16" t="n">
        <f aca="false">MAX(AS25+Cost_round*D25-Q25,IF(D25=1,Pre_q+Res_b,0),Floor_q+Res_b)</f>
        <v>520</v>
      </c>
      <c r="AS25" s="16" t="n">
        <f aca="false">MAX(AT25+Cost_round*E25-R25,IF(E25=1,Pre_q+Res_b,0),Floor_q+Res_b)</f>
        <v>400</v>
      </c>
      <c r="AT25" s="16" t="n">
        <f aca="false">MAX(AU25+Cost_round*F25-S25,IF(F25=1,Pre_q+Res_b,0),Floor_q+Res_b)</f>
        <v>400</v>
      </c>
      <c r="AU25" s="16" t="n">
        <f aca="false">MAX(AV25+Cost_round*G25-T25,IF(G25=1,Pre_q+Res_b,0),Floor_q+Res_b)</f>
        <v>465</v>
      </c>
      <c r="AV25" s="16" t="n">
        <f aca="false">MAX(AW25+Cost_round*H25-U25,IF(H25=1,Pre_q+Res_b,0),Floor_q+Res_b)</f>
        <v>535</v>
      </c>
      <c r="AW25" s="16" t="n">
        <f aca="false">End_q+Res_b</f>
        <v>520</v>
      </c>
      <c r="AX25" s="15" t="n">
        <f aca="false">IF(Q_zero&gt;=AQ25-0.000000001,1,0)</f>
        <v>1</v>
      </c>
      <c r="AY25" s="13" t="n">
        <f aca="false">IF($AX25=1,Q_zero-Cost_round*C25+P25-AR25,"")</f>
        <v>100</v>
      </c>
      <c r="AZ25" s="13" t="n">
        <f aca="false">IF($AX25=1,AR25-Cost_round*D25+Q25-AS25,"")</f>
        <v>70</v>
      </c>
      <c r="BA25" s="13" t="n">
        <f aca="false">IF($AX25=1,AS25-Cost_round*E25+R25-AT25,"")</f>
        <v>70</v>
      </c>
      <c r="BB25" s="13" t="n">
        <f aca="false">IF($AX25=1,AT25-Cost_round*F25+S25-AU25,"")</f>
        <v>5</v>
      </c>
      <c r="BC25" s="13" t="n">
        <f aca="false">IF($AX25=1,AU25-Cost_round*G25+T25-AV25,"")</f>
        <v>0</v>
      </c>
      <c r="BD25" s="13" t="n">
        <f aca="false">IF($AX25=1,AV25-Cost_round*H25+U25-AW25,"")</f>
        <v>0</v>
      </c>
      <c r="BE25" s="17" t="n">
        <f aca="false">IF($AX25=1,SUMPRODUCT(AY25:BD25,$AY$6:$BD$6),"")</f>
        <v>204.767433918448</v>
      </c>
      <c r="BF25" s="12" t="n">
        <f aca="false">IF(AND($AX25=1,Res_b&gt;0),(AK25-BE25)/Res_b,"")</f>
        <v>0.909090909090909</v>
      </c>
      <c r="BG25" s="17" t="n">
        <f aca="false">IF(AC25&gt;=Goal_b-0.000000001,AK25-Beta_y*Goal_b,"")</f>
        <v>227.494706645721</v>
      </c>
      <c r="BH25" s="15" t="n">
        <f aca="false">IF(AC25&gt;=Goal_b-0.000000001,IF(AND(AL25&gt;=Goal_S-0.000000001,BG25&gt;=Goal_P-0.000000001),1,0),0)</f>
        <v>0</v>
      </c>
    </row>
    <row r="26" customFormat="false" ht="15" hidden="false" customHeight="false" outlineLevel="0" collapsed="false">
      <c r="A26" s="2" t="n">
        <v>18</v>
      </c>
      <c r="B26" s="2" t="s">
        <v>136</v>
      </c>
      <c r="C26" s="15" t="n">
        <f aca="false">MOD(INT($A26/32),2)</f>
        <v>0</v>
      </c>
      <c r="D26" s="15" t="n">
        <f aca="false">MOD(INT($A26/16),2)</f>
        <v>1</v>
      </c>
      <c r="E26" s="15" t="n">
        <f aca="false">MOD(INT($A26/8),2)</f>
        <v>0</v>
      </c>
      <c r="F26" s="15" t="n">
        <f aca="false">MOD(INT($A26/4),2)</f>
        <v>0</v>
      </c>
      <c r="G26" s="15" t="n">
        <f aca="false">MOD(INT($A26/2),2)</f>
        <v>1</v>
      </c>
      <c r="H26" s="15" t="n">
        <f aca="false">MOD(INT($A26/1),2)</f>
        <v>0</v>
      </c>
      <c r="I26" s="15" t="n">
        <f aca="false">SUM(C26:H26)</f>
        <v>2</v>
      </c>
      <c r="J26" s="13" t="n">
        <f aca="false">E_zero+C26*Half_gap*(Ceiling_e-E_zero)</f>
        <v>71</v>
      </c>
      <c r="K26" s="13" t="n">
        <f aca="false">J26+D26*Half_gap*(Ceiling_e-J26)</f>
        <v>78</v>
      </c>
      <c r="L26" s="13" t="n">
        <f aca="false">K26+E26*Half_gap*(Ceiling_e-K26)</f>
        <v>78</v>
      </c>
      <c r="M26" s="13" t="n">
        <f aca="false">L26+F26*Half_gap*(Ceiling_e-L26)</f>
        <v>78</v>
      </c>
      <c r="N26" s="13" t="n">
        <f aca="false">M26+G26*Half_gap*(Ceiling_e-M26)</f>
        <v>81.5</v>
      </c>
      <c r="O26" s="13" t="n">
        <f aca="false">N26+H26*Half_gap*(Ceiling_e-N26)</f>
        <v>81.5</v>
      </c>
      <c r="P26" s="13" t="n">
        <f aca="false">Val_pt*(J26-E_zero)</f>
        <v>0</v>
      </c>
      <c r="Q26" s="13" t="n">
        <f aca="false">Val_pt*(K26-E_zero)</f>
        <v>70</v>
      </c>
      <c r="R26" s="13" t="n">
        <f aca="false">Val_pt*(L26-E_zero)</f>
        <v>70</v>
      </c>
      <c r="S26" s="13" t="n">
        <f aca="false">Val_pt*(M26-E_zero)</f>
        <v>70</v>
      </c>
      <c r="T26" s="13" t="n">
        <f aca="false">Val_pt*(N26-E_zero)</f>
        <v>105</v>
      </c>
      <c r="U26" s="13" t="n">
        <f aca="false">Val_pt*(O26-E_zero)</f>
        <v>105</v>
      </c>
      <c r="V26" s="16" t="n">
        <f aca="false">MAX(W26+Cost_round*C26-P26,IF(C26=1,Pre_q,0))</f>
        <v>470</v>
      </c>
      <c r="W26" s="16" t="n">
        <f aca="false">MAX(X26+Cost_round*D26-Q26,IF(D26=1,Pre_q,0),Floor_q)</f>
        <v>470</v>
      </c>
      <c r="X26" s="16" t="n">
        <f aca="false">MAX(Y26+Cost_round*E26-R26,IF(E26=1,Pre_q,0),Floor_q)</f>
        <v>350</v>
      </c>
      <c r="Y26" s="16" t="n">
        <f aca="false">MAX(Z26+Cost_round*F26-S26,IF(F26=1,Pre_q,0),Floor_q)</f>
        <v>400</v>
      </c>
      <c r="Z26" s="16" t="n">
        <f aca="false">MAX(AA26+Cost_round*G26-T26,IF(G26=1,Pre_q,0),Floor_q)</f>
        <v>470</v>
      </c>
      <c r="AA26" s="16" t="n">
        <f aca="false">MAX(AB26+Cost_round*H26-U26,IF(H26=1,Pre_q,0),Floor_q)</f>
        <v>365</v>
      </c>
      <c r="AB26" s="16" t="n">
        <f aca="false">End_q</f>
        <v>470</v>
      </c>
      <c r="AC26" s="16" t="n">
        <f aca="false">Q_zero-V26</f>
        <v>150</v>
      </c>
      <c r="AD26" s="15" t="n">
        <f aca="false">IF(AC26&gt;=-0.000000001,1,0)</f>
        <v>1</v>
      </c>
      <c r="AE26" s="13" t="n">
        <f aca="false">IF($AD26=1,Q_zero-Cost_round*C26+P26-W26,"")</f>
        <v>150</v>
      </c>
      <c r="AF26" s="13" t="n">
        <f aca="false">IF($AD26=1,W26-Cost_round*D26+Q26-X26,"")</f>
        <v>70</v>
      </c>
      <c r="AG26" s="13" t="n">
        <f aca="false">IF($AD26=1,X26-Cost_round*E26+R26-Y26,"")</f>
        <v>20</v>
      </c>
      <c r="AH26" s="13" t="n">
        <f aca="false">IF($AD26=1,Y26-Cost_round*F26+S26-Z26,"")</f>
        <v>0</v>
      </c>
      <c r="AI26" s="13" t="n">
        <f aca="false">IF($AD26=1,Z26-Cost_round*G26+T26-AA26,"")</f>
        <v>90</v>
      </c>
      <c r="AJ26" s="13" t="n">
        <f aca="false">IF($AD26=1,AA26-Cost_round*H26+U26-AB26,"")</f>
        <v>0</v>
      </c>
      <c r="AK26" s="17" t="n">
        <f aca="false">IF($AD26=1,SUMPRODUCT(AE26:AJ26,$AE$6:$AJ$6),"")</f>
        <v>265.124091126413</v>
      </c>
      <c r="AL26" s="13" t="n">
        <f aca="false">U26</f>
        <v>105</v>
      </c>
      <c r="AM26" s="15" t="n">
        <f aca="false">IF(SUMPRODUCT(($AK$8:$AK$71&gt;=AK26-0.000000001)*($AL$8:$AL$71&gt;=AL26-0.000000001)*((($AK$8:$AK$71&gt;AK26+0.000000001)+($AL$8:$AL$71&gt;AL26+0.000000001))&gt;0))&gt;0,1,0)</f>
        <v>1</v>
      </c>
      <c r="AN26" s="15" t="n">
        <f aca="false">1-AM26</f>
        <v>0</v>
      </c>
      <c r="AO26" s="17" t="n">
        <f aca="false">AK26+W_board*AL26</f>
        <v>857.82171768288</v>
      </c>
      <c r="AP26" s="17" t="n">
        <f aca="false">AK26+W_try*AL26</f>
        <v>1315.12409112641</v>
      </c>
      <c r="AQ26" s="16" t="n">
        <f aca="false">MAX(AR26+Cost_round*C26-P26,IF(C26=1,Pre_q+Res_b,0))</f>
        <v>520</v>
      </c>
      <c r="AR26" s="16" t="n">
        <f aca="false">MAX(AS26+Cost_round*D26-Q26,IF(D26=1,Pre_q+Res_b,0),Floor_q+Res_b)</f>
        <v>520</v>
      </c>
      <c r="AS26" s="16" t="n">
        <f aca="false">MAX(AT26+Cost_round*E26-R26,IF(E26=1,Pre_q+Res_b,0),Floor_q+Res_b)</f>
        <v>400</v>
      </c>
      <c r="AT26" s="16" t="n">
        <f aca="false">MAX(AU26+Cost_round*F26-S26,IF(F26=1,Pre_q+Res_b,0),Floor_q+Res_b)</f>
        <v>450</v>
      </c>
      <c r="AU26" s="16" t="n">
        <f aca="false">MAX(AV26+Cost_round*G26-T26,IF(G26=1,Pre_q+Res_b,0),Floor_q+Res_b)</f>
        <v>520</v>
      </c>
      <c r="AV26" s="16" t="n">
        <f aca="false">MAX(AW26+Cost_round*H26-U26,IF(H26=1,Pre_q+Res_b,0),Floor_q+Res_b)</f>
        <v>415</v>
      </c>
      <c r="AW26" s="16" t="n">
        <f aca="false">End_q+Res_b</f>
        <v>520</v>
      </c>
      <c r="AX26" s="15" t="n">
        <f aca="false">IF(Q_zero&gt;=AQ26-0.000000001,1,0)</f>
        <v>1</v>
      </c>
      <c r="AY26" s="13" t="n">
        <f aca="false">IF($AX26=1,Q_zero-Cost_round*C26+P26-AR26,"")</f>
        <v>100</v>
      </c>
      <c r="AZ26" s="13" t="n">
        <f aca="false">IF($AX26=1,AR26-Cost_round*D26+Q26-AS26,"")</f>
        <v>70</v>
      </c>
      <c r="BA26" s="13" t="n">
        <f aca="false">IF($AX26=1,AS26-Cost_round*E26+R26-AT26,"")</f>
        <v>20</v>
      </c>
      <c r="BB26" s="13" t="n">
        <f aca="false">IF($AX26=1,AT26-Cost_round*F26+S26-AU26,"")</f>
        <v>0</v>
      </c>
      <c r="BC26" s="13" t="n">
        <f aca="false">IF($AX26=1,AU26-Cost_round*G26+T26-AV26,"")</f>
        <v>90</v>
      </c>
      <c r="BD26" s="13" t="n">
        <f aca="false">IF($AX26=1,AV26-Cost_round*H26+U26-AW26,"")</f>
        <v>0</v>
      </c>
      <c r="BE26" s="17" t="n">
        <f aca="false">IF($AX26=1,SUMPRODUCT(AY26:BD26,$AY$6:$BD$6),"")</f>
        <v>219.669545671868</v>
      </c>
      <c r="BF26" s="12" t="n">
        <f aca="false">IF(AND($AX26=1,Res_b&gt;0),(AK26-BE26)/Res_b,"")</f>
        <v>0.909090909090909</v>
      </c>
      <c r="BG26" s="17" t="n">
        <f aca="false">IF(AC26&gt;=Goal_b-0.000000001,AK26-Beta_y*Goal_b,"")</f>
        <v>242.396818399141</v>
      </c>
      <c r="BH26" s="15" t="n">
        <f aca="false">IF(AC26&gt;=Goal_b-0.000000001,IF(AND(AL26&gt;=Goal_S-0.000000001,BG26&gt;=Goal_P-0.000000001),1,0),0)</f>
        <v>0</v>
      </c>
    </row>
    <row r="27" customFormat="false" ht="15" hidden="false" customHeight="false" outlineLevel="0" collapsed="false">
      <c r="A27" s="2" t="n">
        <v>19</v>
      </c>
      <c r="B27" s="2" t="s">
        <v>137</v>
      </c>
      <c r="C27" s="15" t="n">
        <f aca="false">MOD(INT($A27/32),2)</f>
        <v>0</v>
      </c>
      <c r="D27" s="15" t="n">
        <f aca="false">MOD(INT($A27/16),2)</f>
        <v>1</v>
      </c>
      <c r="E27" s="15" t="n">
        <f aca="false">MOD(INT($A27/8),2)</f>
        <v>0</v>
      </c>
      <c r="F27" s="15" t="n">
        <f aca="false">MOD(INT($A27/4),2)</f>
        <v>0</v>
      </c>
      <c r="G27" s="15" t="n">
        <f aca="false">MOD(INT($A27/2),2)</f>
        <v>1</v>
      </c>
      <c r="H27" s="15" t="n">
        <f aca="false">MOD(INT($A27/1),2)</f>
        <v>1</v>
      </c>
      <c r="I27" s="15" t="n">
        <f aca="false">SUM(C27:H27)</f>
        <v>3</v>
      </c>
      <c r="J27" s="13" t="n">
        <f aca="false">E_zero+C27*Half_gap*(Ceiling_e-E_zero)</f>
        <v>71</v>
      </c>
      <c r="K27" s="13" t="n">
        <f aca="false">J27+D27*Half_gap*(Ceiling_e-J27)</f>
        <v>78</v>
      </c>
      <c r="L27" s="13" t="n">
        <f aca="false">K27+E27*Half_gap*(Ceiling_e-K27)</f>
        <v>78</v>
      </c>
      <c r="M27" s="13" t="n">
        <f aca="false">L27+F27*Half_gap*(Ceiling_e-L27)</f>
        <v>78</v>
      </c>
      <c r="N27" s="13" t="n">
        <f aca="false">M27+G27*Half_gap*(Ceiling_e-M27)</f>
        <v>81.5</v>
      </c>
      <c r="O27" s="13" t="n">
        <f aca="false">N27+H27*Half_gap*(Ceiling_e-N27)</f>
        <v>83.25</v>
      </c>
      <c r="P27" s="13" t="n">
        <f aca="false">Val_pt*(J27-E_zero)</f>
        <v>0</v>
      </c>
      <c r="Q27" s="13" t="n">
        <f aca="false">Val_pt*(K27-E_zero)</f>
        <v>70</v>
      </c>
      <c r="R27" s="13" t="n">
        <f aca="false">Val_pt*(L27-E_zero)</f>
        <v>70</v>
      </c>
      <c r="S27" s="13" t="n">
        <f aca="false">Val_pt*(M27-E_zero)</f>
        <v>70</v>
      </c>
      <c r="T27" s="13" t="n">
        <f aca="false">Val_pt*(N27-E_zero)</f>
        <v>105</v>
      </c>
      <c r="U27" s="13" t="n">
        <f aca="false">Val_pt*(O27-E_zero)</f>
        <v>122.5</v>
      </c>
      <c r="V27" s="16" t="n">
        <f aca="false">MAX(W27+Cost_round*C27-P27,IF(C27=1,Pre_q,0))</f>
        <v>470</v>
      </c>
      <c r="W27" s="16" t="n">
        <f aca="false">MAX(X27+Cost_round*D27-Q27,IF(D27=1,Pre_q,0),Floor_q)</f>
        <v>470</v>
      </c>
      <c r="X27" s="16" t="n">
        <f aca="false">MAX(Y27+Cost_round*E27-R27,IF(E27=1,Pre_q,0),Floor_q)</f>
        <v>350</v>
      </c>
      <c r="Y27" s="16" t="n">
        <f aca="false">MAX(Z27+Cost_round*F27-S27,IF(F27=1,Pre_q,0),Floor_q)</f>
        <v>415</v>
      </c>
      <c r="Z27" s="16" t="n">
        <f aca="false">MAX(AA27+Cost_round*G27-T27,IF(G27=1,Pre_q,0),Floor_q)</f>
        <v>485</v>
      </c>
      <c r="AA27" s="16" t="n">
        <f aca="false">MAX(AB27+Cost_round*H27-U27,IF(H27=1,Pre_q,0),Floor_q)</f>
        <v>470</v>
      </c>
      <c r="AB27" s="16" t="n">
        <f aca="false">End_q</f>
        <v>470</v>
      </c>
      <c r="AC27" s="16" t="n">
        <f aca="false">Q_zero-V27</f>
        <v>150</v>
      </c>
      <c r="AD27" s="15" t="n">
        <f aca="false">IF(AC27&gt;=-0.000000001,1,0)</f>
        <v>1</v>
      </c>
      <c r="AE27" s="13" t="n">
        <f aca="false">IF($AD27=1,Q_zero-Cost_round*C27+P27-W27,"")</f>
        <v>150</v>
      </c>
      <c r="AF27" s="13" t="n">
        <f aca="false">IF($AD27=1,W27-Cost_round*D27+Q27-X27,"")</f>
        <v>70</v>
      </c>
      <c r="AG27" s="13" t="n">
        <f aca="false">IF($AD27=1,X27-Cost_round*E27+R27-Y27,"")</f>
        <v>5</v>
      </c>
      <c r="AH27" s="13" t="n">
        <f aca="false">IF($AD27=1,Y27-Cost_round*F27+S27-Z27,"")</f>
        <v>0</v>
      </c>
      <c r="AI27" s="13" t="n">
        <f aca="false">IF($AD27=1,Z27-Cost_round*G27+T27-AA27,"")</f>
        <v>0</v>
      </c>
      <c r="AJ27" s="13" t="n">
        <f aca="false">IF($AD27=1,AA27-Cost_round*H27+U27-AB27,"")</f>
        <v>2.5</v>
      </c>
      <c r="AK27" s="17" t="n">
        <f aca="false">IF($AD27=1,SUMPRODUCT(AE27:AJ27,$AE$6:$AJ$6),"")</f>
        <v>199.3826348627</v>
      </c>
      <c r="AL27" s="13" t="n">
        <f aca="false">U27</f>
        <v>122.5</v>
      </c>
      <c r="AM27" s="15" t="n">
        <f aca="false">IF(SUMPRODUCT(($AK$8:$AK$71&gt;=AK27-0.000000001)*($AL$8:$AL$71&gt;=AL27-0.000000001)*((($AK$8:$AK$71&gt;AK27+0.000000001)+($AL$8:$AL$71&gt;AL27+0.000000001))&gt;0))&gt;0,1,0)</f>
        <v>1</v>
      </c>
      <c r="AN27" s="15" t="n">
        <f aca="false">1-AM27</f>
        <v>0</v>
      </c>
      <c r="AO27" s="17" t="n">
        <f aca="false">AK27+W_board*AL27</f>
        <v>890.863199178577</v>
      </c>
      <c r="AP27" s="17" t="n">
        <f aca="false">AK27+W_try*AL27</f>
        <v>1424.3826348627</v>
      </c>
      <c r="AQ27" s="16" t="n">
        <f aca="false">MAX(AR27+Cost_round*C27-P27,IF(C27=1,Pre_q+Res_b,0))</f>
        <v>520</v>
      </c>
      <c r="AR27" s="16" t="n">
        <f aca="false">MAX(AS27+Cost_round*D27-Q27,IF(D27=1,Pre_q+Res_b,0),Floor_q+Res_b)</f>
        <v>520</v>
      </c>
      <c r="AS27" s="16" t="n">
        <f aca="false">MAX(AT27+Cost_round*E27-R27,IF(E27=1,Pre_q+Res_b,0),Floor_q+Res_b)</f>
        <v>400</v>
      </c>
      <c r="AT27" s="16" t="n">
        <f aca="false">MAX(AU27+Cost_round*F27-S27,IF(F27=1,Pre_q+Res_b,0),Floor_q+Res_b)</f>
        <v>465</v>
      </c>
      <c r="AU27" s="16" t="n">
        <f aca="false">MAX(AV27+Cost_round*G27-T27,IF(G27=1,Pre_q+Res_b,0),Floor_q+Res_b)</f>
        <v>535</v>
      </c>
      <c r="AV27" s="16" t="n">
        <f aca="false">MAX(AW27+Cost_round*H27-U27,IF(H27=1,Pre_q+Res_b,0),Floor_q+Res_b)</f>
        <v>520</v>
      </c>
      <c r="AW27" s="16" t="n">
        <f aca="false">End_q+Res_b</f>
        <v>520</v>
      </c>
      <c r="AX27" s="15" t="n">
        <f aca="false">IF(Q_zero&gt;=AQ27-0.000000001,1,0)</f>
        <v>1</v>
      </c>
      <c r="AY27" s="13" t="n">
        <f aca="false">IF($AX27=1,Q_zero-Cost_round*C27+P27-AR27,"")</f>
        <v>100</v>
      </c>
      <c r="AZ27" s="13" t="n">
        <f aca="false">IF($AX27=1,AR27-Cost_round*D27+Q27-AS27,"")</f>
        <v>70</v>
      </c>
      <c r="BA27" s="13" t="n">
        <f aca="false">IF($AX27=1,AS27-Cost_round*E27+R27-AT27,"")</f>
        <v>5</v>
      </c>
      <c r="BB27" s="13" t="n">
        <f aca="false">IF($AX27=1,AT27-Cost_round*F27+S27-AU27,"")</f>
        <v>0</v>
      </c>
      <c r="BC27" s="13" t="n">
        <f aca="false">IF($AX27=1,AU27-Cost_round*G27+T27-AV27,"")</f>
        <v>0</v>
      </c>
      <c r="BD27" s="13" t="n">
        <f aca="false">IF($AX27=1,AV27-Cost_round*H27+U27-AW27,"")</f>
        <v>2.5</v>
      </c>
      <c r="BE27" s="17" t="n">
        <f aca="false">IF($AX27=1,SUMPRODUCT(AY27:BD27,$AY$6:$BD$6),"")</f>
        <v>153.928089408155</v>
      </c>
      <c r="BF27" s="12" t="n">
        <f aca="false">IF(AND($AX27=1,Res_b&gt;0),(AK27-BE27)/Res_b,"")</f>
        <v>0.909090909090909</v>
      </c>
      <c r="BG27" s="17" t="n">
        <f aca="false">IF(AC27&gt;=Goal_b-0.000000001,AK27-Beta_y*Goal_b,"")</f>
        <v>176.655362135427</v>
      </c>
      <c r="BH27" s="15" t="n">
        <f aca="false">IF(AC27&gt;=Goal_b-0.000000001,IF(AND(AL27&gt;=Goal_S-0.000000001,BG27&gt;=Goal_P-0.000000001),1,0),0)</f>
        <v>0</v>
      </c>
    </row>
    <row r="28" customFormat="false" ht="15" hidden="false" customHeight="false" outlineLevel="0" collapsed="false">
      <c r="A28" s="2" t="n">
        <v>20</v>
      </c>
      <c r="B28" s="2" t="s">
        <v>138</v>
      </c>
      <c r="C28" s="15" t="n">
        <f aca="false">MOD(INT($A28/32),2)</f>
        <v>0</v>
      </c>
      <c r="D28" s="15" t="n">
        <f aca="false">MOD(INT($A28/16),2)</f>
        <v>1</v>
      </c>
      <c r="E28" s="15" t="n">
        <f aca="false">MOD(INT($A28/8),2)</f>
        <v>0</v>
      </c>
      <c r="F28" s="15" t="n">
        <f aca="false">MOD(INT($A28/4),2)</f>
        <v>1</v>
      </c>
      <c r="G28" s="15" t="n">
        <f aca="false">MOD(INT($A28/2),2)</f>
        <v>0</v>
      </c>
      <c r="H28" s="15" t="n">
        <f aca="false">MOD(INT($A28/1),2)</f>
        <v>0</v>
      </c>
      <c r="I28" s="15" t="n">
        <f aca="false">SUM(C28:H28)</f>
        <v>2</v>
      </c>
      <c r="J28" s="13" t="n">
        <f aca="false">E_zero+C28*Half_gap*(Ceiling_e-E_zero)</f>
        <v>71</v>
      </c>
      <c r="K28" s="13" t="n">
        <f aca="false">J28+D28*Half_gap*(Ceiling_e-J28)</f>
        <v>78</v>
      </c>
      <c r="L28" s="13" t="n">
        <f aca="false">K28+E28*Half_gap*(Ceiling_e-K28)</f>
        <v>78</v>
      </c>
      <c r="M28" s="13" t="n">
        <f aca="false">L28+F28*Half_gap*(Ceiling_e-L28)</f>
        <v>81.5</v>
      </c>
      <c r="N28" s="13" t="n">
        <f aca="false">M28+G28*Half_gap*(Ceiling_e-M28)</f>
        <v>81.5</v>
      </c>
      <c r="O28" s="13" t="n">
        <f aca="false">N28+H28*Half_gap*(Ceiling_e-N28)</f>
        <v>81.5</v>
      </c>
      <c r="P28" s="13" t="n">
        <f aca="false">Val_pt*(J28-E_zero)</f>
        <v>0</v>
      </c>
      <c r="Q28" s="13" t="n">
        <f aca="false">Val_pt*(K28-E_zero)</f>
        <v>70</v>
      </c>
      <c r="R28" s="13" t="n">
        <f aca="false">Val_pt*(L28-E_zero)</f>
        <v>70</v>
      </c>
      <c r="S28" s="13" t="n">
        <f aca="false">Val_pt*(M28-E_zero)</f>
        <v>105</v>
      </c>
      <c r="T28" s="13" t="n">
        <f aca="false">Val_pt*(N28-E_zero)</f>
        <v>105</v>
      </c>
      <c r="U28" s="13" t="n">
        <f aca="false">Val_pt*(O28-E_zero)</f>
        <v>105</v>
      </c>
      <c r="V28" s="16" t="n">
        <f aca="false">MAX(W28+Cost_round*C28-P28,IF(C28=1,Pre_q,0))</f>
        <v>470</v>
      </c>
      <c r="W28" s="16" t="n">
        <f aca="false">MAX(X28+Cost_round*D28-Q28,IF(D28=1,Pre_q,0),Floor_q)</f>
        <v>470</v>
      </c>
      <c r="X28" s="16" t="n">
        <f aca="false">MAX(Y28+Cost_round*E28-R28,IF(E28=1,Pre_q,0),Floor_q)</f>
        <v>400</v>
      </c>
      <c r="Y28" s="16" t="n">
        <f aca="false">MAX(Z28+Cost_round*F28-S28,IF(F28=1,Pre_q,0),Floor_q)</f>
        <v>470</v>
      </c>
      <c r="Z28" s="16" t="n">
        <f aca="false">MAX(AA28+Cost_round*G28-T28,IF(G28=1,Pre_q,0),Floor_q)</f>
        <v>350</v>
      </c>
      <c r="AA28" s="16" t="n">
        <f aca="false">MAX(AB28+Cost_round*H28-U28,IF(H28=1,Pre_q,0),Floor_q)</f>
        <v>365</v>
      </c>
      <c r="AB28" s="16" t="n">
        <f aca="false">End_q</f>
        <v>470</v>
      </c>
      <c r="AC28" s="16" t="n">
        <f aca="false">Q_zero-V28</f>
        <v>150</v>
      </c>
      <c r="AD28" s="15" t="n">
        <f aca="false">IF(AC28&gt;=-0.000000001,1,0)</f>
        <v>1</v>
      </c>
      <c r="AE28" s="13" t="n">
        <f aca="false">IF($AD28=1,Q_zero-Cost_round*C28+P28-W28,"")</f>
        <v>150</v>
      </c>
      <c r="AF28" s="13" t="n">
        <f aca="false">IF($AD28=1,W28-Cost_round*D28+Q28-X28,"")</f>
        <v>20</v>
      </c>
      <c r="AG28" s="13" t="n">
        <f aca="false">IF($AD28=1,X28-Cost_round*E28+R28-Y28,"")</f>
        <v>0</v>
      </c>
      <c r="AH28" s="13" t="n">
        <f aca="false">IF($AD28=1,Y28-Cost_round*F28+S28-Z28,"")</f>
        <v>105</v>
      </c>
      <c r="AI28" s="13" t="n">
        <f aca="false">IF($AD28=1,Z28-Cost_round*G28+T28-AA28,"")</f>
        <v>90</v>
      </c>
      <c r="AJ28" s="13" t="n">
        <f aca="false">IF($AD28=1,AA28-Cost_round*H28+U28-AB28,"")</f>
        <v>0</v>
      </c>
      <c r="AK28" s="17" t="n">
        <f aca="false">IF($AD28=1,SUMPRODUCT(AE28:AJ28,$AE$6:$AJ$6),"")</f>
        <v>280.491893872127</v>
      </c>
      <c r="AL28" s="13" t="n">
        <f aca="false">U28</f>
        <v>105</v>
      </c>
      <c r="AM28" s="15" t="n">
        <f aca="false">IF(SUMPRODUCT(($AK$8:$AK$71&gt;=AK28-0.000000001)*($AL$8:$AL$71&gt;=AL28-0.000000001)*((($AK$8:$AK$71&gt;AK28+0.000000001)+($AL$8:$AL$71&gt;AL28+0.000000001))&gt;0))&gt;0,1,0)</f>
        <v>1</v>
      </c>
      <c r="AN28" s="15" t="n">
        <f aca="false">1-AM28</f>
        <v>0</v>
      </c>
      <c r="AO28" s="17" t="n">
        <f aca="false">AK28+W_board*AL28</f>
        <v>873.189520428594</v>
      </c>
      <c r="AP28" s="17" t="n">
        <f aca="false">AK28+W_try*AL28</f>
        <v>1330.49189387213</v>
      </c>
      <c r="AQ28" s="16" t="n">
        <f aca="false">MAX(AR28+Cost_round*C28-P28,IF(C28=1,Pre_q+Res_b,0))</f>
        <v>520</v>
      </c>
      <c r="AR28" s="16" t="n">
        <f aca="false">MAX(AS28+Cost_round*D28-Q28,IF(D28=1,Pre_q+Res_b,0),Floor_q+Res_b)</f>
        <v>520</v>
      </c>
      <c r="AS28" s="16" t="n">
        <f aca="false">MAX(AT28+Cost_round*E28-R28,IF(E28=1,Pre_q+Res_b,0),Floor_q+Res_b)</f>
        <v>450</v>
      </c>
      <c r="AT28" s="16" t="n">
        <f aca="false">MAX(AU28+Cost_round*F28-S28,IF(F28=1,Pre_q+Res_b,0),Floor_q+Res_b)</f>
        <v>520</v>
      </c>
      <c r="AU28" s="16" t="n">
        <f aca="false">MAX(AV28+Cost_round*G28-T28,IF(G28=1,Pre_q+Res_b,0),Floor_q+Res_b)</f>
        <v>400</v>
      </c>
      <c r="AV28" s="16" t="n">
        <f aca="false">MAX(AW28+Cost_round*H28-U28,IF(H28=1,Pre_q+Res_b,0),Floor_q+Res_b)</f>
        <v>415</v>
      </c>
      <c r="AW28" s="16" t="n">
        <f aca="false">End_q+Res_b</f>
        <v>520</v>
      </c>
      <c r="AX28" s="15" t="n">
        <f aca="false">IF(Q_zero&gt;=AQ28-0.000000001,1,0)</f>
        <v>1</v>
      </c>
      <c r="AY28" s="13" t="n">
        <f aca="false">IF($AX28=1,Q_zero-Cost_round*C28+P28-AR28,"")</f>
        <v>100</v>
      </c>
      <c r="AZ28" s="13" t="n">
        <f aca="false">IF($AX28=1,AR28-Cost_round*D28+Q28-AS28,"")</f>
        <v>20</v>
      </c>
      <c r="BA28" s="13" t="n">
        <f aca="false">IF($AX28=1,AS28-Cost_round*E28+R28-AT28,"")</f>
        <v>0</v>
      </c>
      <c r="BB28" s="13" t="n">
        <f aca="false">IF($AX28=1,AT28-Cost_round*F28+S28-AU28,"")</f>
        <v>105</v>
      </c>
      <c r="BC28" s="13" t="n">
        <f aca="false">IF($AX28=1,AU28-Cost_round*G28+T28-AV28,"")</f>
        <v>90</v>
      </c>
      <c r="BD28" s="13" t="n">
        <f aca="false">IF($AX28=1,AV28-Cost_round*H28+U28-AW28,"")</f>
        <v>0</v>
      </c>
      <c r="BE28" s="17" t="n">
        <f aca="false">IF($AX28=1,SUMPRODUCT(AY28:BD28,$AY$6:$BD$6),"")</f>
        <v>235.037348417582</v>
      </c>
      <c r="BF28" s="12" t="n">
        <f aca="false">IF(AND($AX28=1,Res_b&gt;0),(AK28-BE28)/Res_b,"")</f>
        <v>0.909090909090909</v>
      </c>
      <c r="BG28" s="17" t="n">
        <f aca="false">IF(AC28&gt;=Goal_b-0.000000001,AK28-Beta_y*Goal_b,"")</f>
        <v>257.764621144855</v>
      </c>
      <c r="BH28" s="15" t="n">
        <f aca="false">IF(AC28&gt;=Goal_b-0.000000001,IF(AND(AL28&gt;=Goal_S-0.000000001,BG28&gt;=Goal_P-0.000000001),1,0),0)</f>
        <v>0</v>
      </c>
    </row>
    <row r="29" customFormat="false" ht="15" hidden="false" customHeight="false" outlineLevel="0" collapsed="false">
      <c r="A29" s="2" t="n">
        <v>21</v>
      </c>
      <c r="B29" s="2" t="s">
        <v>139</v>
      </c>
      <c r="C29" s="15" t="n">
        <f aca="false">MOD(INT($A29/32),2)</f>
        <v>0</v>
      </c>
      <c r="D29" s="15" t="n">
        <f aca="false">MOD(INT($A29/16),2)</f>
        <v>1</v>
      </c>
      <c r="E29" s="15" t="n">
        <f aca="false">MOD(INT($A29/8),2)</f>
        <v>0</v>
      </c>
      <c r="F29" s="15" t="n">
        <f aca="false">MOD(INT($A29/4),2)</f>
        <v>1</v>
      </c>
      <c r="G29" s="15" t="n">
        <f aca="false">MOD(INT($A29/2),2)</f>
        <v>0</v>
      </c>
      <c r="H29" s="15" t="n">
        <f aca="false">MOD(INT($A29/1),2)</f>
        <v>1</v>
      </c>
      <c r="I29" s="15" t="n">
        <f aca="false">SUM(C29:H29)</f>
        <v>3</v>
      </c>
      <c r="J29" s="13" t="n">
        <f aca="false">E_zero+C29*Half_gap*(Ceiling_e-E_zero)</f>
        <v>71</v>
      </c>
      <c r="K29" s="13" t="n">
        <f aca="false">J29+D29*Half_gap*(Ceiling_e-J29)</f>
        <v>78</v>
      </c>
      <c r="L29" s="13" t="n">
        <f aca="false">K29+E29*Half_gap*(Ceiling_e-K29)</f>
        <v>78</v>
      </c>
      <c r="M29" s="13" t="n">
        <f aca="false">L29+F29*Half_gap*(Ceiling_e-L29)</f>
        <v>81.5</v>
      </c>
      <c r="N29" s="13" t="n">
        <f aca="false">M29+G29*Half_gap*(Ceiling_e-M29)</f>
        <v>81.5</v>
      </c>
      <c r="O29" s="13" t="n">
        <f aca="false">N29+H29*Half_gap*(Ceiling_e-N29)</f>
        <v>83.25</v>
      </c>
      <c r="P29" s="13" t="n">
        <f aca="false">Val_pt*(J29-E_zero)</f>
        <v>0</v>
      </c>
      <c r="Q29" s="13" t="n">
        <f aca="false">Val_pt*(K29-E_zero)</f>
        <v>70</v>
      </c>
      <c r="R29" s="13" t="n">
        <f aca="false">Val_pt*(L29-E_zero)</f>
        <v>70</v>
      </c>
      <c r="S29" s="13" t="n">
        <f aca="false">Val_pt*(M29-E_zero)</f>
        <v>105</v>
      </c>
      <c r="T29" s="13" t="n">
        <f aca="false">Val_pt*(N29-E_zero)</f>
        <v>105</v>
      </c>
      <c r="U29" s="13" t="n">
        <f aca="false">Val_pt*(O29-E_zero)</f>
        <v>122.5</v>
      </c>
      <c r="V29" s="16" t="n">
        <f aca="false">MAX(W29+Cost_round*C29-P29,IF(C29=1,Pre_q,0))</f>
        <v>470</v>
      </c>
      <c r="W29" s="16" t="n">
        <f aca="false">MAX(X29+Cost_round*D29-Q29,IF(D29=1,Pre_q,0),Floor_q)</f>
        <v>470</v>
      </c>
      <c r="X29" s="16" t="n">
        <f aca="false">MAX(Y29+Cost_round*E29-R29,IF(E29=1,Pre_q,0),Floor_q)</f>
        <v>400</v>
      </c>
      <c r="Y29" s="16" t="n">
        <f aca="false">MAX(Z29+Cost_round*F29-S29,IF(F29=1,Pre_q,0),Floor_q)</f>
        <v>470</v>
      </c>
      <c r="Z29" s="16" t="n">
        <f aca="false">MAX(AA29+Cost_round*G29-T29,IF(G29=1,Pre_q,0),Floor_q)</f>
        <v>365</v>
      </c>
      <c r="AA29" s="16" t="n">
        <f aca="false">MAX(AB29+Cost_round*H29-U29,IF(H29=1,Pre_q,0),Floor_q)</f>
        <v>470</v>
      </c>
      <c r="AB29" s="16" t="n">
        <f aca="false">End_q</f>
        <v>470</v>
      </c>
      <c r="AC29" s="16" t="n">
        <f aca="false">Q_zero-V29</f>
        <v>150</v>
      </c>
      <c r="AD29" s="15" t="n">
        <f aca="false">IF(AC29&gt;=-0.000000001,1,0)</f>
        <v>1</v>
      </c>
      <c r="AE29" s="13" t="n">
        <f aca="false">IF($AD29=1,Q_zero-Cost_round*C29+P29-W29,"")</f>
        <v>150</v>
      </c>
      <c r="AF29" s="13" t="n">
        <f aca="false">IF($AD29=1,W29-Cost_round*D29+Q29-X29,"")</f>
        <v>20</v>
      </c>
      <c r="AG29" s="13" t="n">
        <f aca="false">IF($AD29=1,X29-Cost_round*E29+R29-Y29,"")</f>
        <v>0</v>
      </c>
      <c r="AH29" s="13" t="n">
        <f aca="false">IF($AD29=1,Y29-Cost_round*F29+S29-Z29,"")</f>
        <v>90</v>
      </c>
      <c r="AI29" s="13" t="n">
        <f aca="false">IF($AD29=1,Z29-Cost_round*G29+T29-AA29,"")</f>
        <v>0</v>
      </c>
      <c r="AJ29" s="13" t="n">
        <f aca="false">IF($AD29=1,AA29-Cost_round*H29+U29-AB29,"")</f>
        <v>2.5</v>
      </c>
      <c r="AK29" s="17" t="n">
        <f aca="false">IF($AD29=1,SUMPRODUCT(AE29:AJ29,$AE$6:$AJ$6),"")</f>
        <v>215.774957791462</v>
      </c>
      <c r="AL29" s="13" t="n">
        <f aca="false">U29</f>
        <v>122.5</v>
      </c>
      <c r="AM29" s="15" t="n">
        <f aca="false">IF(SUMPRODUCT(($AK$8:$AK$71&gt;=AK29-0.000000001)*($AL$8:$AL$71&gt;=AL29-0.000000001)*((($AK$8:$AK$71&gt;AK29+0.000000001)+($AL$8:$AL$71&gt;AL29+0.000000001))&gt;0))&gt;0,1,0)</f>
        <v>1</v>
      </c>
      <c r="AN29" s="15" t="n">
        <f aca="false">1-AM29</f>
        <v>0</v>
      </c>
      <c r="AO29" s="17" t="n">
        <f aca="false">AK29+W_board*AL29</f>
        <v>907.255522107339</v>
      </c>
      <c r="AP29" s="17" t="n">
        <f aca="false">AK29+W_try*AL29</f>
        <v>1440.77495779146</v>
      </c>
      <c r="AQ29" s="16" t="n">
        <f aca="false">MAX(AR29+Cost_round*C29-P29,IF(C29=1,Pre_q+Res_b,0))</f>
        <v>520</v>
      </c>
      <c r="AR29" s="16" t="n">
        <f aca="false">MAX(AS29+Cost_round*D29-Q29,IF(D29=1,Pre_q+Res_b,0),Floor_q+Res_b)</f>
        <v>520</v>
      </c>
      <c r="AS29" s="16" t="n">
        <f aca="false">MAX(AT29+Cost_round*E29-R29,IF(E29=1,Pre_q+Res_b,0),Floor_q+Res_b)</f>
        <v>450</v>
      </c>
      <c r="AT29" s="16" t="n">
        <f aca="false">MAX(AU29+Cost_round*F29-S29,IF(F29=1,Pre_q+Res_b,0),Floor_q+Res_b)</f>
        <v>520</v>
      </c>
      <c r="AU29" s="16" t="n">
        <f aca="false">MAX(AV29+Cost_round*G29-T29,IF(G29=1,Pre_q+Res_b,0),Floor_q+Res_b)</f>
        <v>415</v>
      </c>
      <c r="AV29" s="16" t="n">
        <f aca="false">MAX(AW29+Cost_round*H29-U29,IF(H29=1,Pre_q+Res_b,0),Floor_q+Res_b)</f>
        <v>520</v>
      </c>
      <c r="AW29" s="16" t="n">
        <f aca="false">End_q+Res_b</f>
        <v>520</v>
      </c>
      <c r="AX29" s="15" t="n">
        <f aca="false">IF(Q_zero&gt;=AQ29-0.000000001,1,0)</f>
        <v>1</v>
      </c>
      <c r="AY29" s="13" t="n">
        <f aca="false">IF($AX29=1,Q_zero-Cost_round*C29+P29-AR29,"")</f>
        <v>100</v>
      </c>
      <c r="AZ29" s="13" t="n">
        <f aca="false">IF($AX29=1,AR29-Cost_round*D29+Q29-AS29,"")</f>
        <v>20</v>
      </c>
      <c r="BA29" s="13" t="n">
        <f aca="false">IF($AX29=1,AS29-Cost_round*E29+R29-AT29,"")</f>
        <v>0</v>
      </c>
      <c r="BB29" s="13" t="n">
        <f aca="false">IF($AX29=1,AT29-Cost_round*F29+S29-AU29,"")</f>
        <v>90</v>
      </c>
      <c r="BC29" s="13" t="n">
        <f aca="false">IF($AX29=1,AU29-Cost_round*G29+T29-AV29,"")</f>
        <v>0</v>
      </c>
      <c r="BD29" s="13" t="n">
        <f aca="false">IF($AX29=1,AV29-Cost_round*H29+U29-AW29,"")</f>
        <v>2.5</v>
      </c>
      <c r="BE29" s="17" t="n">
        <f aca="false">IF($AX29=1,SUMPRODUCT(AY29:BD29,$AY$6:$BD$6),"")</f>
        <v>170.320412336916</v>
      </c>
      <c r="BF29" s="12" t="n">
        <f aca="false">IF(AND($AX29=1,Res_b&gt;0),(AK29-BE29)/Res_b,"")</f>
        <v>0.909090909090909</v>
      </c>
      <c r="BG29" s="17" t="n">
        <f aca="false">IF(AC29&gt;=Goal_b-0.000000001,AK29-Beta_y*Goal_b,"")</f>
        <v>193.047685064189</v>
      </c>
      <c r="BH29" s="15" t="n">
        <f aca="false">IF(AC29&gt;=Goal_b-0.000000001,IF(AND(AL29&gt;=Goal_S-0.000000001,BG29&gt;=Goal_P-0.000000001),1,0),0)</f>
        <v>0</v>
      </c>
    </row>
    <row r="30" customFormat="false" ht="15" hidden="false" customHeight="false" outlineLevel="0" collapsed="false">
      <c r="A30" s="2" t="n">
        <v>22</v>
      </c>
      <c r="B30" s="2" t="s">
        <v>140</v>
      </c>
      <c r="C30" s="15" t="n">
        <f aca="false">MOD(INT($A30/32),2)</f>
        <v>0</v>
      </c>
      <c r="D30" s="15" t="n">
        <f aca="false">MOD(INT($A30/16),2)</f>
        <v>1</v>
      </c>
      <c r="E30" s="15" t="n">
        <f aca="false">MOD(INT($A30/8),2)</f>
        <v>0</v>
      </c>
      <c r="F30" s="15" t="n">
        <f aca="false">MOD(INT($A30/4),2)</f>
        <v>1</v>
      </c>
      <c r="G30" s="15" t="n">
        <f aca="false">MOD(INT($A30/2),2)</f>
        <v>1</v>
      </c>
      <c r="H30" s="15" t="n">
        <f aca="false">MOD(INT($A30/1),2)</f>
        <v>0</v>
      </c>
      <c r="I30" s="15" t="n">
        <f aca="false">SUM(C30:H30)</f>
        <v>3</v>
      </c>
      <c r="J30" s="13" t="n">
        <f aca="false">E_zero+C30*Half_gap*(Ceiling_e-E_zero)</f>
        <v>71</v>
      </c>
      <c r="K30" s="13" t="n">
        <f aca="false">J30+D30*Half_gap*(Ceiling_e-J30)</f>
        <v>78</v>
      </c>
      <c r="L30" s="13" t="n">
        <f aca="false">K30+E30*Half_gap*(Ceiling_e-K30)</f>
        <v>78</v>
      </c>
      <c r="M30" s="13" t="n">
        <f aca="false">L30+F30*Half_gap*(Ceiling_e-L30)</f>
        <v>81.5</v>
      </c>
      <c r="N30" s="13" t="n">
        <f aca="false">M30+G30*Half_gap*(Ceiling_e-M30)</f>
        <v>83.25</v>
      </c>
      <c r="O30" s="13" t="n">
        <f aca="false">N30+H30*Half_gap*(Ceiling_e-N30)</f>
        <v>83.25</v>
      </c>
      <c r="P30" s="13" t="n">
        <f aca="false">Val_pt*(J30-E_zero)</f>
        <v>0</v>
      </c>
      <c r="Q30" s="13" t="n">
        <f aca="false">Val_pt*(K30-E_zero)</f>
        <v>70</v>
      </c>
      <c r="R30" s="13" t="n">
        <f aca="false">Val_pt*(L30-E_zero)</f>
        <v>70</v>
      </c>
      <c r="S30" s="13" t="n">
        <f aca="false">Val_pt*(M30-E_zero)</f>
        <v>105</v>
      </c>
      <c r="T30" s="13" t="n">
        <f aca="false">Val_pt*(N30-E_zero)</f>
        <v>122.5</v>
      </c>
      <c r="U30" s="13" t="n">
        <f aca="false">Val_pt*(O30-E_zero)</f>
        <v>122.5</v>
      </c>
      <c r="V30" s="16" t="n">
        <f aca="false">MAX(W30+Cost_round*C30-P30,IF(C30=1,Pre_q,0))</f>
        <v>470</v>
      </c>
      <c r="W30" s="16" t="n">
        <f aca="false">MAX(X30+Cost_round*D30-Q30,IF(D30=1,Pre_q,0),Floor_q)</f>
        <v>470</v>
      </c>
      <c r="X30" s="16" t="n">
        <f aca="false">MAX(Y30+Cost_round*E30-R30,IF(E30=1,Pre_q,0),Floor_q)</f>
        <v>415</v>
      </c>
      <c r="Y30" s="16" t="n">
        <f aca="false">MAX(Z30+Cost_round*F30-S30,IF(F30=1,Pre_q,0),Floor_q)</f>
        <v>485</v>
      </c>
      <c r="Z30" s="16" t="n">
        <f aca="false">MAX(AA30+Cost_round*G30-T30,IF(G30=1,Pre_q,0),Floor_q)</f>
        <v>470</v>
      </c>
      <c r="AA30" s="16" t="n">
        <f aca="false">MAX(AB30+Cost_round*H30-U30,IF(H30=1,Pre_q,0),Floor_q)</f>
        <v>350</v>
      </c>
      <c r="AB30" s="16" t="n">
        <f aca="false">End_q</f>
        <v>470</v>
      </c>
      <c r="AC30" s="16" t="n">
        <f aca="false">Q_zero-V30</f>
        <v>150</v>
      </c>
      <c r="AD30" s="15" t="n">
        <f aca="false">IF(AC30&gt;=-0.000000001,1,0)</f>
        <v>1</v>
      </c>
      <c r="AE30" s="13" t="n">
        <f aca="false">IF($AD30=1,Q_zero-Cost_round*C30+P30-W30,"")</f>
        <v>150</v>
      </c>
      <c r="AF30" s="13" t="n">
        <f aca="false">IF($AD30=1,W30-Cost_round*D30+Q30-X30,"")</f>
        <v>5</v>
      </c>
      <c r="AG30" s="13" t="n">
        <f aca="false">IF($AD30=1,X30-Cost_round*E30+R30-Y30,"")</f>
        <v>0</v>
      </c>
      <c r="AH30" s="13" t="n">
        <f aca="false">IF($AD30=1,Y30-Cost_round*F30+S30-Z30,"")</f>
        <v>0</v>
      </c>
      <c r="AI30" s="13" t="n">
        <f aca="false">IF($AD30=1,Z30-Cost_round*G30+T30-AA30,"")</f>
        <v>122.5</v>
      </c>
      <c r="AJ30" s="13" t="n">
        <f aca="false">IF($AD30=1,AA30-Cost_round*H30+U30-AB30,"")</f>
        <v>2.5</v>
      </c>
      <c r="AK30" s="17" t="n">
        <f aca="false">IF($AD30=1,SUMPRODUCT(AE30:AJ30,$AE$6:$AJ$6),"")</f>
        <v>217.969914668476</v>
      </c>
      <c r="AL30" s="13" t="n">
        <f aca="false">U30</f>
        <v>122.5</v>
      </c>
      <c r="AM30" s="15" t="n">
        <f aca="false">IF(SUMPRODUCT(($AK$8:$AK$71&gt;=AK30-0.000000001)*($AL$8:$AL$71&gt;=AL30-0.000000001)*((($AK$8:$AK$71&gt;AK30+0.000000001)+($AL$8:$AL$71&gt;AL30+0.000000001))&gt;0))&gt;0,1,0)</f>
        <v>1</v>
      </c>
      <c r="AN30" s="15" t="n">
        <f aca="false">1-AM30</f>
        <v>0</v>
      </c>
      <c r="AO30" s="17" t="n">
        <f aca="false">AK30+W_board*AL30</f>
        <v>909.450478984353</v>
      </c>
      <c r="AP30" s="17" t="n">
        <f aca="false">AK30+W_try*AL30</f>
        <v>1442.96991466848</v>
      </c>
      <c r="AQ30" s="16" t="n">
        <f aca="false">MAX(AR30+Cost_round*C30-P30,IF(C30=1,Pre_q+Res_b,0))</f>
        <v>520</v>
      </c>
      <c r="AR30" s="16" t="n">
        <f aca="false">MAX(AS30+Cost_round*D30-Q30,IF(D30=1,Pre_q+Res_b,0),Floor_q+Res_b)</f>
        <v>520</v>
      </c>
      <c r="AS30" s="16" t="n">
        <f aca="false">MAX(AT30+Cost_round*E30-R30,IF(E30=1,Pre_q+Res_b,0),Floor_q+Res_b)</f>
        <v>465</v>
      </c>
      <c r="AT30" s="16" t="n">
        <f aca="false">MAX(AU30+Cost_round*F30-S30,IF(F30=1,Pre_q+Res_b,0),Floor_q+Res_b)</f>
        <v>535</v>
      </c>
      <c r="AU30" s="16" t="n">
        <f aca="false">MAX(AV30+Cost_round*G30-T30,IF(G30=1,Pre_q+Res_b,0),Floor_q+Res_b)</f>
        <v>520</v>
      </c>
      <c r="AV30" s="16" t="n">
        <f aca="false">MAX(AW30+Cost_round*H30-U30,IF(H30=1,Pre_q+Res_b,0),Floor_q+Res_b)</f>
        <v>400</v>
      </c>
      <c r="AW30" s="16" t="n">
        <f aca="false">End_q+Res_b</f>
        <v>520</v>
      </c>
      <c r="AX30" s="15" t="n">
        <f aca="false">IF(Q_zero&gt;=AQ30-0.000000001,1,0)</f>
        <v>1</v>
      </c>
      <c r="AY30" s="13" t="n">
        <f aca="false">IF($AX30=1,Q_zero-Cost_round*C30+P30-AR30,"")</f>
        <v>100</v>
      </c>
      <c r="AZ30" s="13" t="n">
        <f aca="false">IF($AX30=1,AR30-Cost_round*D30+Q30-AS30,"")</f>
        <v>5</v>
      </c>
      <c r="BA30" s="13" t="n">
        <f aca="false">IF($AX30=1,AS30-Cost_round*E30+R30-AT30,"")</f>
        <v>0</v>
      </c>
      <c r="BB30" s="13" t="n">
        <f aca="false">IF($AX30=1,AT30-Cost_round*F30+S30-AU30,"")</f>
        <v>0</v>
      </c>
      <c r="BC30" s="13" t="n">
        <f aca="false">IF($AX30=1,AU30-Cost_round*G30+T30-AV30,"")</f>
        <v>122.5</v>
      </c>
      <c r="BD30" s="13" t="n">
        <f aca="false">IF($AX30=1,AV30-Cost_round*H30+U30-AW30,"")</f>
        <v>2.5</v>
      </c>
      <c r="BE30" s="17" t="n">
        <f aca="false">IF($AX30=1,SUMPRODUCT(AY30:BD30,$AY$6:$BD$6),"")</f>
        <v>172.515369213931</v>
      </c>
      <c r="BF30" s="12" t="n">
        <f aca="false">IF(AND($AX30=1,Res_b&gt;0),(AK30-BE30)/Res_b,"")</f>
        <v>0.909090909090909</v>
      </c>
      <c r="BG30" s="17" t="n">
        <f aca="false">IF(AC30&gt;=Goal_b-0.000000001,AK30-Beta_y*Goal_b,"")</f>
        <v>195.242641941203</v>
      </c>
      <c r="BH30" s="15" t="n">
        <f aca="false">IF(AC30&gt;=Goal_b-0.000000001,IF(AND(AL30&gt;=Goal_S-0.000000001,BG30&gt;=Goal_P-0.000000001),1,0),0)</f>
        <v>0</v>
      </c>
    </row>
    <row r="31" customFormat="false" ht="15" hidden="false" customHeight="false" outlineLevel="0" collapsed="false">
      <c r="A31" s="2" t="n">
        <v>23</v>
      </c>
      <c r="B31" s="2" t="s">
        <v>141</v>
      </c>
      <c r="C31" s="15" t="n">
        <f aca="false">MOD(INT($A31/32),2)</f>
        <v>0</v>
      </c>
      <c r="D31" s="15" t="n">
        <f aca="false">MOD(INT($A31/16),2)</f>
        <v>1</v>
      </c>
      <c r="E31" s="15" t="n">
        <f aca="false">MOD(INT($A31/8),2)</f>
        <v>0</v>
      </c>
      <c r="F31" s="15" t="n">
        <f aca="false">MOD(INT($A31/4),2)</f>
        <v>1</v>
      </c>
      <c r="G31" s="15" t="n">
        <f aca="false">MOD(INT($A31/2),2)</f>
        <v>1</v>
      </c>
      <c r="H31" s="15" t="n">
        <f aca="false">MOD(INT($A31/1),2)</f>
        <v>1</v>
      </c>
      <c r="I31" s="15" t="n">
        <f aca="false">SUM(C31:H31)</f>
        <v>4</v>
      </c>
      <c r="J31" s="13" t="n">
        <f aca="false">E_zero+C31*Half_gap*(Ceiling_e-E_zero)</f>
        <v>71</v>
      </c>
      <c r="K31" s="13" t="n">
        <f aca="false">J31+D31*Half_gap*(Ceiling_e-J31)</f>
        <v>78</v>
      </c>
      <c r="L31" s="13" t="n">
        <f aca="false">K31+E31*Half_gap*(Ceiling_e-K31)</f>
        <v>78</v>
      </c>
      <c r="M31" s="13" t="n">
        <f aca="false">L31+F31*Half_gap*(Ceiling_e-L31)</f>
        <v>81.5</v>
      </c>
      <c r="N31" s="13" t="n">
        <f aca="false">M31+G31*Half_gap*(Ceiling_e-M31)</f>
        <v>83.25</v>
      </c>
      <c r="O31" s="13" t="n">
        <f aca="false">N31+H31*Half_gap*(Ceiling_e-N31)</f>
        <v>84.125</v>
      </c>
      <c r="P31" s="13" t="n">
        <f aca="false">Val_pt*(J31-E_zero)</f>
        <v>0</v>
      </c>
      <c r="Q31" s="13" t="n">
        <f aca="false">Val_pt*(K31-E_zero)</f>
        <v>70</v>
      </c>
      <c r="R31" s="13" t="n">
        <f aca="false">Val_pt*(L31-E_zero)</f>
        <v>70</v>
      </c>
      <c r="S31" s="13" t="n">
        <f aca="false">Val_pt*(M31-E_zero)</f>
        <v>105</v>
      </c>
      <c r="T31" s="13" t="n">
        <f aca="false">Val_pt*(N31-E_zero)</f>
        <v>122.5</v>
      </c>
      <c r="U31" s="13" t="n">
        <f aca="false">Val_pt*(O31-E_zero)</f>
        <v>131.25</v>
      </c>
      <c r="V31" s="16" t="n">
        <f aca="false">MAX(W31+Cost_round*C31-P31,IF(C31=1,Pre_q,0))</f>
        <v>470</v>
      </c>
      <c r="W31" s="16" t="n">
        <f aca="false">MAX(X31+Cost_round*D31-Q31,IF(D31=1,Pre_q,0),Floor_q)</f>
        <v>470</v>
      </c>
      <c r="X31" s="16" t="n">
        <f aca="false">MAX(Y31+Cost_round*E31-R31,IF(E31=1,Pre_q,0),Floor_q)</f>
        <v>415</v>
      </c>
      <c r="Y31" s="16" t="n">
        <f aca="false">MAX(Z31+Cost_round*F31-S31,IF(F31=1,Pre_q,0),Floor_q)</f>
        <v>485</v>
      </c>
      <c r="Z31" s="16" t="n">
        <f aca="false">MAX(AA31+Cost_round*G31-T31,IF(G31=1,Pre_q,0),Floor_q)</f>
        <v>470</v>
      </c>
      <c r="AA31" s="16" t="n">
        <f aca="false">MAX(AB31+Cost_round*H31-U31,IF(H31=1,Pre_q,0),Floor_q)</f>
        <v>470</v>
      </c>
      <c r="AB31" s="16" t="n">
        <f aca="false">End_q</f>
        <v>470</v>
      </c>
      <c r="AC31" s="16" t="n">
        <f aca="false">Q_zero-V31</f>
        <v>150</v>
      </c>
      <c r="AD31" s="15" t="n">
        <f aca="false">IF(AC31&gt;=-0.000000001,1,0)</f>
        <v>1</v>
      </c>
      <c r="AE31" s="13" t="n">
        <f aca="false">IF($AD31=1,Q_zero-Cost_round*C31+P31-W31,"")</f>
        <v>150</v>
      </c>
      <c r="AF31" s="13" t="n">
        <f aca="false">IF($AD31=1,W31-Cost_round*D31+Q31-X31,"")</f>
        <v>5</v>
      </c>
      <c r="AG31" s="13" t="n">
        <f aca="false">IF($AD31=1,X31-Cost_round*E31+R31-Y31,"")</f>
        <v>0</v>
      </c>
      <c r="AH31" s="13" t="n">
        <f aca="false">IF($AD31=1,Y31-Cost_round*F31+S31-Z31,"")</f>
        <v>0</v>
      </c>
      <c r="AI31" s="13" t="n">
        <f aca="false">IF($AD31=1,Z31-Cost_round*G31+T31-AA31,"")</f>
        <v>2.5</v>
      </c>
      <c r="AJ31" s="13" t="n">
        <f aca="false">IF($AD31=1,AA31-Cost_round*H31+U31-AB31,"")</f>
        <v>11.25</v>
      </c>
      <c r="AK31" s="17" t="n">
        <f aca="false">IF($AD31=1,SUMPRODUCT(AE31:AJ31,$AE$6:$AJ$6),"")</f>
        <v>148.398502789348</v>
      </c>
      <c r="AL31" s="13" t="n">
        <f aca="false">U31</f>
        <v>131.25</v>
      </c>
      <c r="AM31" s="15" t="n">
        <f aca="false">IF(SUMPRODUCT(($AK$8:$AK$71&gt;=AK31-0.000000001)*($AL$8:$AL$71&gt;=AL31-0.000000001)*((($AK$8:$AK$71&gt;AK31+0.000000001)+($AL$8:$AL$71&gt;AL31+0.000000001))&gt;0))&gt;0,1,0)</f>
        <v>1</v>
      </c>
      <c r="AN31" s="15" t="n">
        <f aca="false">1-AM31</f>
        <v>0</v>
      </c>
      <c r="AO31" s="17" t="n">
        <f aca="false">AK31+W_board*AL31</f>
        <v>889.270535984931</v>
      </c>
      <c r="AP31" s="17" t="n">
        <f aca="false">AK31+W_try*AL31</f>
        <v>1460.89850278935</v>
      </c>
      <c r="AQ31" s="16" t="n">
        <f aca="false">MAX(AR31+Cost_round*C31-P31,IF(C31=1,Pre_q+Res_b,0))</f>
        <v>520</v>
      </c>
      <c r="AR31" s="16" t="n">
        <f aca="false">MAX(AS31+Cost_round*D31-Q31,IF(D31=1,Pre_q+Res_b,0),Floor_q+Res_b)</f>
        <v>520</v>
      </c>
      <c r="AS31" s="16" t="n">
        <f aca="false">MAX(AT31+Cost_round*E31-R31,IF(E31=1,Pre_q+Res_b,0),Floor_q+Res_b)</f>
        <v>465</v>
      </c>
      <c r="AT31" s="16" t="n">
        <f aca="false">MAX(AU31+Cost_round*F31-S31,IF(F31=1,Pre_q+Res_b,0),Floor_q+Res_b)</f>
        <v>535</v>
      </c>
      <c r="AU31" s="16" t="n">
        <f aca="false">MAX(AV31+Cost_round*G31-T31,IF(G31=1,Pre_q+Res_b,0),Floor_q+Res_b)</f>
        <v>520</v>
      </c>
      <c r="AV31" s="16" t="n">
        <f aca="false">MAX(AW31+Cost_round*H31-U31,IF(H31=1,Pre_q+Res_b,0),Floor_q+Res_b)</f>
        <v>520</v>
      </c>
      <c r="AW31" s="16" t="n">
        <f aca="false">End_q+Res_b</f>
        <v>520</v>
      </c>
      <c r="AX31" s="15" t="n">
        <f aca="false">IF(Q_zero&gt;=AQ31-0.000000001,1,0)</f>
        <v>1</v>
      </c>
      <c r="AY31" s="13" t="n">
        <f aca="false">IF($AX31=1,Q_zero-Cost_round*C31+P31-AR31,"")</f>
        <v>100</v>
      </c>
      <c r="AZ31" s="13" t="n">
        <f aca="false">IF($AX31=1,AR31-Cost_round*D31+Q31-AS31,"")</f>
        <v>5</v>
      </c>
      <c r="BA31" s="13" t="n">
        <f aca="false">IF($AX31=1,AS31-Cost_round*E31+R31-AT31,"")</f>
        <v>0</v>
      </c>
      <c r="BB31" s="13" t="n">
        <f aca="false">IF($AX31=1,AT31-Cost_round*F31+S31-AU31,"")</f>
        <v>0</v>
      </c>
      <c r="BC31" s="13" t="n">
        <f aca="false">IF($AX31=1,AU31-Cost_round*G31+T31-AV31,"")</f>
        <v>2.5</v>
      </c>
      <c r="BD31" s="13" t="n">
        <f aca="false">IF($AX31=1,AV31-Cost_round*H31+U31-AW31,"")</f>
        <v>11.25</v>
      </c>
      <c r="BE31" s="17" t="n">
        <f aca="false">IF($AX31=1,SUMPRODUCT(AY31:BD31,$AY$6:$BD$6),"")</f>
        <v>102.943957334802</v>
      </c>
      <c r="BF31" s="12" t="n">
        <f aca="false">IF(AND($AX31=1,Res_b&gt;0),(AK31-BE31)/Res_b,"")</f>
        <v>0.909090909090909</v>
      </c>
      <c r="BG31" s="17" t="n">
        <f aca="false">IF(AC31&gt;=Goal_b-0.000000001,AK31-Beta_y*Goal_b,"")</f>
        <v>125.671230062075</v>
      </c>
      <c r="BH31" s="15" t="n">
        <f aca="false">IF(AC31&gt;=Goal_b-0.000000001,IF(AND(AL31&gt;=Goal_S-0.000000001,BG31&gt;=Goal_P-0.000000001),1,0),0)</f>
        <v>0</v>
      </c>
    </row>
    <row r="32" customFormat="false" ht="15" hidden="false" customHeight="false" outlineLevel="0" collapsed="false">
      <c r="A32" s="2" t="n">
        <v>24</v>
      </c>
      <c r="B32" s="2" t="s">
        <v>142</v>
      </c>
      <c r="C32" s="15" t="n">
        <f aca="false">MOD(INT($A32/32),2)</f>
        <v>0</v>
      </c>
      <c r="D32" s="15" t="n">
        <f aca="false">MOD(INT($A32/16),2)</f>
        <v>1</v>
      </c>
      <c r="E32" s="15" t="n">
        <f aca="false">MOD(INT($A32/8),2)</f>
        <v>1</v>
      </c>
      <c r="F32" s="15" t="n">
        <f aca="false">MOD(INT($A32/4),2)</f>
        <v>0</v>
      </c>
      <c r="G32" s="15" t="n">
        <f aca="false">MOD(INT($A32/2),2)</f>
        <v>0</v>
      </c>
      <c r="H32" s="15" t="n">
        <f aca="false">MOD(INT($A32/1),2)</f>
        <v>0</v>
      </c>
      <c r="I32" s="15" t="n">
        <f aca="false">SUM(C32:H32)</f>
        <v>2</v>
      </c>
      <c r="J32" s="13" t="n">
        <f aca="false">E_zero+C32*Half_gap*(Ceiling_e-E_zero)</f>
        <v>71</v>
      </c>
      <c r="K32" s="13" t="n">
        <f aca="false">J32+D32*Half_gap*(Ceiling_e-J32)</f>
        <v>78</v>
      </c>
      <c r="L32" s="13" t="n">
        <f aca="false">K32+E32*Half_gap*(Ceiling_e-K32)</f>
        <v>81.5</v>
      </c>
      <c r="M32" s="13" t="n">
        <f aca="false">L32+F32*Half_gap*(Ceiling_e-L32)</f>
        <v>81.5</v>
      </c>
      <c r="N32" s="13" t="n">
        <f aca="false">M32+G32*Half_gap*(Ceiling_e-M32)</f>
        <v>81.5</v>
      </c>
      <c r="O32" s="13" t="n">
        <f aca="false">N32+H32*Half_gap*(Ceiling_e-N32)</f>
        <v>81.5</v>
      </c>
      <c r="P32" s="13" t="n">
        <f aca="false">Val_pt*(J32-E_zero)</f>
        <v>0</v>
      </c>
      <c r="Q32" s="13" t="n">
        <f aca="false">Val_pt*(K32-E_zero)</f>
        <v>70</v>
      </c>
      <c r="R32" s="13" t="n">
        <f aca="false">Val_pt*(L32-E_zero)</f>
        <v>105</v>
      </c>
      <c r="S32" s="13" t="n">
        <f aca="false">Val_pt*(M32-E_zero)</f>
        <v>105</v>
      </c>
      <c r="T32" s="13" t="n">
        <f aca="false">Val_pt*(N32-E_zero)</f>
        <v>105</v>
      </c>
      <c r="U32" s="13" t="n">
        <f aca="false">Val_pt*(O32-E_zero)</f>
        <v>105</v>
      </c>
      <c r="V32" s="16" t="n">
        <f aca="false">MAX(W32+Cost_round*C32-P32,IF(C32=1,Pre_q,0))</f>
        <v>520</v>
      </c>
      <c r="W32" s="16" t="n">
        <f aca="false">MAX(X32+Cost_round*D32-Q32,IF(D32=1,Pre_q,0),Floor_q)</f>
        <v>520</v>
      </c>
      <c r="X32" s="16" t="n">
        <f aca="false">MAX(Y32+Cost_round*E32-R32,IF(E32=1,Pre_q,0),Floor_q)</f>
        <v>470</v>
      </c>
      <c r="Y32" s="16" t="n">
        <f aca="false">MAX(Z32+Cost_round*F32-S32,IF(F32=1,Pre_q,0),Floor_q)</f>
        <v>350</v>
      </c>
      <c r="Z32" s="16" t="n">
        <f aca="false">MAX(AA32+Cost_round*G32-T32,IF(G32=1,Pre_q,0),Floor_q)</f>
        <v>350</v>
      </c>
      <c r="AA32" s="16" t="n">
        <f aca="false">MAX(AB32+Cost_round*H32-U32,IF(H32=1,Pre_q,0),Floor_q)</f>
        <v>365</v>
      </c>
      <c r="AB32" s="16" t="n">
        <f aca="false">End_q</f>
        <v>470</v>
      </c>
      <c r="AC32" s="16" t="n">
        <f aca="false">Q_zero-V32</f>
        <v>100</v>
      </c>
      <c r="AD32" s="15" t="n">
        <f aca="false">IF(AC32&gt;=-0.000000001,1,0)</f>
        <v>1</v>
      </c>
      <c r="AE32" s="13" t="n">
        <f aca="false">IF($AD32=1,Q_zero-Cost_round*C32+P32-W32,"")</f>
        <v>100</v>
      </c>
      <c r="AF32" s="13" t="n">
        <f aca="false">IF($AD32=1,W32-Cost_round*D32+Q32-X32,"")</f>
        <v>0</v>
      </c>
      <c r="AG32" s="13" t="n">
        <f aca="false">IF($AD32=1,X32-Cost_round*E32+R32-Y32,"")</f>
        <v>105</v>
      </c>
      <c r="AH32" s="13" t="n">
        <f aca="false">IF($AD32=1,Y32-Cost_round*F32+S32-Z32,"")</f>
        <v>105</v>
      </c>
      <c r="AI32" s="13" t="n">
        <f aca="false">IF($AD32=1,Z32-Cost_round*G32+T32-AA32,"")</f>
        <v>90</v>
      </c>
      <c r="AJ32" s="13" t="n">
        <f aca="false">IF($AD32=1,AA32-Cost_round*H32+U32-AB32,"")</f>
        <v>0</v>
      </c>
      <c r="AK32" s="17" t="n">
        <f aca="false">IF($AD32=1,SUMPRODUCT(AE32:AJ32,$AE$6:$AJ$6),"")</f>
        <v>297.396476892413</v>
      </c>
      <c r="AL32" s="13" t="n">
        <f aca="false">U32</f>
        <v>105</v>
      </c>
      <c r="AM32" s="15" t="n">
        <f aca="false">IF(SUMPRODUCT(($AK$8:$AK$71&gt;=AK32-0.000000001)*($AL$8:$AL$71&gt;=AL32-0.000000001)*((($AK$8:$AK$71&gt;AK32+0.000000001)+($AL$8:$AL$71&gt;AL32+0.000000001))&gt;0))&gt;0,1,0)</f>
        <v>1</v>
      </c>
      <c r="AN32" s="15" t="n">
        <f aca="false">1-AM32</f>
        <v>0</v>
      </c>
      <c r="AO32" s="17" t="n">
        <f aca="false">AK32+W_board*AL32</f>
        <v>890.094103448879</v>
      </c>
      <c r="AP32" s="17" t="n">
        <f aca="false">AK32+W_try*AL32</f>
        <v>1347.39647689241</v>
      </c>
      <c r="AQ32" s="16" t="n">
        <f aca="false">MAX(AR32+Cost_round*C32-P32,IF(C32=1,Pre_q+Res_b,0))</f>
        <v>570</v>
      </c>
      <c r="AR32" s="16" t="n">
        <f aca="false">MAX(AS32+Cost_round*D32-Q32,IF(D32=1,Pre_q+Res_b,0),Floor_q+Res_b)</f>
        <v>570</v>
      </c>
      <c r="AS32" s="16" t="n">
        <f aca="false">MAX(AT32+Cost_round*E32-R32,IF(E32=1,Pre_q+Res_b,0),Floor_q+Res_b)</f>
        <v>520</v>
      </c>
      <c r="AT32" s="16" t="n">
        <f aca="false">MAX(AU32+Cost_round*F32-S32,IF(F32=1,Pre_q+Res_b,0),Floor_q+Res_b)</f>
        <v>400</v>
      </c>
      <c r="AU32" s="16" t="n">
        <f aca="false">MAX(AV32+Cost_round*G32-T32,IF(G32=1,Pre_q+Res_b,0),Floor_q+Res_b)</f>
        <v>400</v>
      </c>
      <c r="AV32" s="16" t="n">
        <f aca="false">MAX(AW32+Cost_round*H32-U32,IF(H32=1,Pre_q+Res_b,0),Floor_q+Res_b)</f>
        <v>415</v>
      </c>
      <c r="AW32" s="16" t="n">
        <f aca="false">End_q+Res_b</f>
        <v>520</v>
      </c>
      <c r="AX32" s="15" t="n">
        <f aca="false">IF(Q_zero&gt;=AQ32-0.000000001,1,0)</f>
        <v>1</v>
      </c>
      <c r="AY32" s="13" t="n">
        <f aca="false">IF($AX32=1,Q_zero-Cost_round*C32+P32-AR32,"")</f>
        <v>50</v>
      </c>
      <c r="AZ32" s="13" t="n">
        <f aca="false">IF($AX32=1,AR32-Cost_round*D32+Q32-AS32,"")</f>
        <v>0</v>
      </c>
      <c r="BA32" s="13" t="n">
        <f aca="false">IF($AX32=1,AS32-Cost_round*E32+R32-AT32,"")</f>
        <v>105</v>
      </c>
      <c r="BB32" s="13" t="n">
        <f aca="false">IF($AX32=1,AT32-Cost_round*F32+S32-AU32,"")</f>
        <v>105</v>
      </c>
      <c r="BC32" s="13" t="n">
        <f aca="false">IF($AX32=1,AU32-Cost_round*G32+T32-AV32,"")</f>
        <v>90</v>
      </c>
      <c r="BD32" s="13" t="n">
        <f aca="false">IF($AX32=1,AV32-Cost_round*H32+U32-AW32,"")</f>
        <v>0</v>
      </c>
      <c r="BE32" s="17" t="n">
        <f aca="false">IF($AX32=1,SUMPRODUCT(AY32:BD32,$AY$6:$BD$6),"")</f>
        <v>251.941931437867</v>
      </c>
      <c r="BF32" s="12" t="n">
        <f aca="false">IF(AND($AX32=1,Res_b&gt;0),(AK32-BE32)/Res_b,"")</f>
        <v>0.909090909090909</v>
      </c>
      <c r="BG32" s="17" t="n">
        <f aca="false">IF(AC32&gt;=Goal_b-0.000000001,AK32-Beta_y*Goal_b,"")</f>
        <v>274.66920416514</v>
      </c>
      <c r="BH32" s="15" t="n">
        <f aca="false">IF(AC32&gt;=Goal_b-0.000000001,IF(AND(AL32&gt;=Goal_S-0.000000001,BG32&gt;=Goal_P-0.000000001),1,0),0)</f>
        <v>0</v>
      </c>
    </row>
    <row r="33" customFormat="false" ht="15" hidden="false" customHeight="false" outlineLevel="0" collapsed="false">
      <c r="A33" s="2" t="n">
        <v>25</v>
      </c>
      <c r="B33" s="2" t="s">
        <v>143</v>
      </c>
      <c r="C33" s="15" t="n">
        <f aca="false">MOD(INT($A33/32),2)</f>
        <v>0</v>
      </c>
      <c r="D33" s="15" t="n">
        <f aca="false">MOD(INT($A33/16),2)</f>
        <v>1</v>
      </c>
      <c r="E33" s="15" t="n">
        <f aca="false">MOD(INT($A33/8),2)</f>
        <v>1</v>
      </c>
      <c r="F33" s="15" t="n">
        <f aca="false">MOD(INT($A33/4),2)</f>
        <v>0</v>
      </c>
      <c r="G33" s="15" t="n">
        <f aca="false">MOD(INT($A33/2),2)</f>
        <v>0</v>
      </c>
      <c r="H33" s="15" t="n">
        <f aca="false">MOD(INT($A33/1),2)</f>
        <v>1</v>
      </c>
      <c r="I33" s="15" t="n">
        <f aca="false">SUM(C33:H33)</f>
        <v>3</v>
      </c>
      <c r="J33" s="13" t="n">
        <f aca="false">E_zero+C33*Half_gap*(Ceiling_e-E_zero)</f>
        <v>71</v>
      </c>
      <c r="K33" s="13" t="n">
        <f aca="false">J33+D33*Half_gap*(Ceiling_e-J33)</f>
        <v>78</v>
      </c>
      <c r="L33" s="13" t="n">
        <f aca="false">K33+E33*Half_gap*(Ceiling_e-K33)</f>
        <v>81.5</v>
      </c>
      <c r="M33" s="13" t="n">
        <f aca="false">L33+F33*Half_gap*(Ceiling_e-L33)</f>
        <v>81.5</v>
      </c>
      <c r="N33" s="13" t="n">
        <f aca="false">M33+G33*Half_gap*(Ceiling_e-M33)</f>
        <v>81.5</v>
      </c>
      <c r="O33" s="13" t="n">
        <f aca="false">N33+H33*Half_gap*(Ceiling_e-N33)</f>
        <v>83.25</v>
      </c>
      <c r="P33" s="13" t="n">
        <f aca="false">Val_pt*(J33-E_zero)</f>
        <v>0</v>
      </c>
      <c r="Q33" s="13" t="n">
        <f aca="false">Val_pt*(K33-E_zero)</f>
        <v>70</v>
      </c>
      <c r="R33" s="13" t="n">
        <f aca="false">Val_pt*(L33-E_zero)</f>
        <v>105</v>
      </c>
      <c r="S33" s="13" t="n">
        <f aca="false">Val_pt*(M33-E_zero)</f>
        <v>105</v>
      </c>
      <c r="T33" s="13" t="n">
        <f aca="false">Val_pt*(N33-E_zero)</f>
        <v>105</v>
      </c>
      <c r="U33" s="13" t="n">
        <f aca="false">Val_pt*(O33-E_zero)</f>
        <v>122.5</v>
      </c>
      <c r="V33" s="16" t="n">
        <f aca="false">MAX(W33+Cost_round*C33-P33,IF(C33=1,Pre_q,0))</f>
        <v>520</v>
      </c>
      <c r="W33" s="16" t="n">
        <f aca="false">MAX(X33+Cost_round*D33-Q33,IF(D33=1,Pre_q,0),Floor_q)</f>
        <v>520</v>
      </c>
      <c r="X33" s="16" t="n">
        <f aca="false">MAX(Y33+Cost_round*E33-R33,IF(E33=1,Pre_q,0),Floor_q)</f>
        <v>470</v>
      </c>
      <c r="Y33" s="16" t="n">
        <f aca="false">MAX(Z33+Cost_round*F33-S33,IF(F33=1,Pre_q,0),Floor_q)</f>
        <v>350</v>
      </c>
      <c r="Z33" s="16" t="n">
        <f aca="false">MAX(AA33+Cost_round*G33-T33,IF(G33=1,Pre_q,0),Floor_q)</f>
        <v>365</v>
      </c>
      <c r="AA33" s="16" t="n">
        <f aca="false">MAX(AB33+Cost_round*H33-U33,IF(H33=1,Pre_q,0),Floor_q)</f>
        <v>470</v>
      </c>
      <c r="AB33" s="16" t="n">
        <f aca="false">End_q</f>
        <v>470</v>
      </c>
      <c r="AC33" s="16" t="n">
        <f aca="false">Q_zero-V33</f>
        <v>100</v>
      </c>
      <c r="AD33" s="15" t="n">
        <f aca="false">IF(AC33&gt;=-0.000000001,1,0)</f>
        <v>1</v>
      </c>
      <c r="AE33" s="13" t="n">
        <f aca="false">IF($AD33=1,Q_zero-Cost_round*C33+P33-W33,"")</f>
        <v>100</v>
      </c>
      <c r="AF33" s="13" t="n">
        <f aca="false">IF($AD33=1,W33-Cost_round*D33+Q33-X33,"")</f>
        <v>0</v>
      </c>
      <c r="AG33" s="13" t="n">
        <f aca="false">IF($AD33=1,X33-Cost_round*E33+R33-Y33,"")</f>
        <v>105</v>
      </c>
      <c r="AH33" s="13" t="n">
        <f aca="false">IF($AD33=1,Y33-Cost_round*F33+S33-Z33,"")</f>
        <v>90</v>
      </c>
      <c r="AI33" s="13" t="n">
        <f aca="false">IF($AD33=1,Z33-Cost_round*G33+T33-AA33,"")</f>
        <v>0</v>
      </c>
      <c r="AJ33" s="13" t="n">
        <f aca="false">IF($AD33=1,AA33-Cost_round*H33+U33-AB33,"")</f>
        <v>2.5</v>
      </c>
      <c r="AK33" s="17" t="n">
        <f aca="false">IF($AD33=1,SUMPRODUCT(AE33:AJ33,$AE$6:$AJ$6),"")</f>
        <v>232.679540811747</v>
      </c>
      <c r="AL33" s="13" t="n">
        <f aca="false">U33</f>
        <v>122.5</v>
      </c>
      <c r="AM33" s="15" t="n">
        <f aca="false">IF(SUMPRODUCT(($AK$8:$AK$71&gt;=AK33-0.000000001)*($AL$8:$AL$71&gt;=AL33-0.000000001)*((($AK$8:$AK$71&gt;AK33+0.000000001)+($AL$8:$AL$71&gt;AL33+0.000000001))&gt;0))&gt;0,1,0)</f>
        <v>1</v>
      </c>
      <c r="AN33" s="15" t="n">
        <f aca="false">1-AM33</f>
        <v>0</v>
      </c>
      <c r="AO33" s="17" t="n">
        <f aca="false">AK33+W_board*AL33</f>
        <v>924.160105127625</v>
      </c>
      <c r="AP33" s="17" t="n">
        <f aca="false">AK33+W_try*AL33</f>
        <v>1457.67954081175</v>
      </c>
      <c r="AQ33" s="16" t="n">
        <f aca="false">MAX(AR33+Cost_round*C33-P33,IF(C33=1,Pre_q+Res_b,0))</f>
        <v>570</v>
      </c>
      <c r="AR33" s="16" t="n">
        <f aca="false">MAX(AS33+Cost_round*D33-Q33,IF(D33=1,Pre_q+Res_b,0),Floor_q+Res_b)</f>
        <v>570</v>
      </c>
      <c r="AS33" s="16" t="n">
        <f aca="false">MAX(AT33+Cost_round*E33-R33,IF(E33=1,Pre_q+Res_b,0),Floor_q+Res_b)</f>
        <v>520</v>
      </c>
      <c r="AT33" s="16" t="n">
        <f aca="false">MAX(AU33+Cost_round*F33-S33,IF(F33=1,Pre_q+Res_b,0),Floor_q+Res_b)</f>
        <v>400</v>
      </c>
      <c r="AU33" s="16" t="n">
        <f aca="false">MAX(AV33+Cost_round*G33-T33,IF(G33=1,Pre_q+Res_b,0),Floor_q+Res_b)</f>
        <v>415</v>
      </c>
      <c r="AV33" s="16" t="n">
        <f aca="false">MAX(AW33+Cost_round*H33-U33,IF(H33=1,Pre_q+Res_b,0),Floor_q+Res_b)</f>
        <v>520</v>
      </c>
      <c r="AW33" s="16" t="n">
        <f aca="false">End_q+Res_b</f>
        <v>520</v>
      </c>
      <c r="AX33" s="15" t="n">
        <f aca="false">IF(Q_zero&gt;=AQ33-0.000000001,1,0)</f>
        <v>1</v>
      </c>
      <c r="AY33" s="13" t="n">
        <f aca="false">IF($AX33=1,Q_zero-Cost_round*C33+P33-AR33,"")</f>
        <v>50</v>
      </c>
      <c r="AZ33" s="13" t="n">
        <f aca="false">IF($AX33=1,AR33-Cost_round*D33+Q33-AS33,"")</f>
        <v>0</v>
      </c>
      <c r="BA33" s="13" t="n">
        <f aca="false">IF($AX33=1,AS33-Cost_round*E33+R33-AT33,"")</f>
        <v>105</v>
      </c>
      <c r="BB33" s="13" t="n">
        <f aca="false">IF($AX33=1,AT33-Cost_round*F33+S33-AU33,"")</f>
        <v>90</v>
      </c>
      <c r="BC33" s="13" t="n">
        <f aca="false">IF($AX33=1,AU33-Cost_round*G33+T33-AV33,"")</f>
        <v>0</v>
      </c>
      <c r="BD33" s="13" t="n">
        <f aca="false">IF($AX33=1,AV33-Cost_round*H33+U33-AW33,"")</f>
        <v>2.5</v>
      </c>
      <c r="BE33" s="17" t="n">
        <f aca="false">IF($AX33=1,SUMPRODUCT(AY33:BD33,$AY$6:$BD$6),"")</f>
        <v>187.224995357202</v>
      </c>
      <c r="BF33" s="12" t="n">
        <f aca="false">IF(AND($AX33=1,Res_b&gt;0),(AK33-BE33)/Res_b,"")</f>
        <v>0.909090909090909</v>
      </c>
      <c r="BG33" s="17" t="n">
        <f aca="false">IF(AC33&gt;=Goal_b-0.000000001,AK33-Beta_y*Goal_b,"")</f>
        <v>209.952268084475</v>
      </c>
      <c r="BH33" s="15" t="n">
        <f aca="false">IF(AC33&gt;=Goal_b-0.000000001,IF(AND(AL33&gt;=Goal_S-0.000000001,BG33&gt;=Goal_P-0.000000001),1,0),0)</f>
        <v>0</v>
      </c>
    </row>
    <row r="34" customFormat="false" ht="15" hidden="false" customHeight="false" outlineLevel="0" collapsed="false">
      <c r="A34" s="2" t="n">
        <v>26</v>
      </c>
      <c r="B34" s="2" t="s">
        <v>144</v>
      </c>
      <c r="C34" s="15" t="n">
        <f aca="false">MOD(INT($A34/32),2)</f>
        <v>0</v>
      </c>
      <c r="D34" s="15" t="n">
        <f aca="false">MOD(INT($A34/16),2)</f>
        <v>1</v>
      </c>
      <c r="E34" s="15" t="n">
        <f aca="false">MOD(INT($A34/8),2)</f>
        <v>1</v>
      </c>
      <c r="F34" s="15" t="n">
        <f aca="false">MOD(INT($A34/4),2)</f>
        <v>0</v>
      </c>
      <c r="G34" s="15" t="n">
        <f aca="false">MOD(INT($A34/2),2)</f>
        <v>1</v>
      </c>
      <c r="H34" s="15" t="n">
        <f aca="false">MOD(INT($A34/1),2)</f>
        <v>0</v>
      </c>
      <c r="I34" s="15" t="n">
        <f aca="false">SUM(C34:H34)</f>
        <v>3</v>
      </c>
      <c r="J34" s="13" t="n">
        <f aca="false">E_zero+C34*Half_gap*(Ceiling_e-E_zero)</f>
        <v>71</v>
      </c>
      <c r="K34" s="13" t="n">
        <f aca="false">J34+D34*Half_gap*(Ceiling_e-J34)</f>
        <v>78</v>
      </c>
      <c r="L34" s="13" t="n">
        <f aca="false">K34+E34*Half_gap*(Ceiling_e-K34)</f>
        <v>81.5</v>
      </c>
      <c r="M34" s="13" t="n">
        <f aca="false">L34+F34*Half_gap*(Ceiling_e-L34)</f>
        <v>81.5</v>
      </c>
      <c r="N34" s="13" t="n">
        <f aca="false">M34+G34*Half_gap*(Ceiling_e-M34)</f>
        <v>83.25</v>
      </c>
      <c r="O34" s="13" t="n">
        <f aca="false">N34+H34*Half_gap*(Ceiling_e-N34)</f>
        <v>83.25</v>
      </c>
      <c r="P34" s="13" t="n">
        <f aca="false">Val_pt*(J34-E_zero)</f>
        <v>0</v>
      </c>
      <c r="Q34" s="13" t="n">
        <f aca="false">Val_pt*(K34-E_zero)</f>
        <v>70</v>
      </c>
      <c r="R34" s="13" t="n">
        <f aca="false">Val_pt*(L34-E_zero)</f>
        <v>105</v>
      </c>
      <c r="S34" s="13" t="n">
        <f aca="false">Val_pt*(M34-E_zero)</f>
        <v>105</v>
      </c>
      <c r="T34" s="13" t="n">
        <f aca="false">Val_pt*(N34-E_zero)</f>
        <v>122.5</v>
      </c>
      <c r="U34" s="13" t="n">
        <f aca="false">Val_pt*(O34-E_zero)</f>
        <v>122.5</v>
      </c>
      <c r="V34" s="16" t="n">
        <f aca="false">MAX(W34+Cost_round*C34-P34,IF(C34=1,Pre_q,0))</f>
        <v>520</v>
      </c>
      <c r="W34" s="16" t="n">
        <f aca="false">MAX(X34+Cost_round*D34-Q34,IF(D34=1,Pre_q,0),Floor_q)</f>
        <v>520</v>
      </c>
      <c r="X34" s="16" t="n">
        <f aca="false">MAX(Y34+Cost_round*E34-R34,IF(E34=1,Pre_q,0),Floor_q)</f>
        <v>470</v>
      </c>
      <c r="Y34" s="16" t="n">
        <f aca="false">MAX(Z34+Cost_round*F34-S34,IF(F34=1,Pre_q,0),Floor_q)</f>
        <v>365</v>
      </c>
      <c r="Z34" s="16" t="n">
        <f aca="false">MAX(AA34+Cost_round*G34-T34,IF(G34=1,Pre_q,0),Floor_q)</f>
        <v>470</v>
      </c>
      <c r="AA34" s="16" t="n">
        <f aca="false">MAX(AB34+Cost_round*H34-U34,IF(H34=1,Pre_q,0),Floor_q)</f>
        <v>350</v>
      </c>
      <c r="AB34" s="16" t="n">
        <f aca="false">End_q</f>
        <v>470</v>
      </c>
      <c r="AC34" s="16" t="n">
        <f aca="false">Q_zero-V34</f>
        <v>100</v>
      </c>
      <c r="AD34" s="15" t="n">
        <f aca="false">IF(AC34&gt;=-0.000000001,1,0)</f>
        <v>1</v>
      </c>
      <c r="AE34" s="13" t="n">
        <f aca="false">IF($AD34=1,Q_zero-Cost_round*C34+P34-W34,"")</f>
        <v>100</v>
      </c>
      <c r="AF34" s="13" t="n">
        <f aca="false">IF($AD34=1,W34-Cost_round*D34+Q34-X34,"")</f>
        <v>0</v>
      </c>
      <c r="AG34" s="13" t="n">
        <f aca="false">IF($AD34=1,X34-Cost_round*E34+R34-Y34,"")</f>
        <v>90</v>
      </c>
      <c r="AH34" s="13" t="n">
        <f aca="false">IF($AD34=1,Y34-Cost_round*F34+S34-Z34,"")</f>
        <v>0</v>
      </c>
      <c r="AI34" s="13" t="n">
        <f aca="false">IF($AD34=1,Z34-Cost_round*G34+T34-AA34,"")</f>
        <v>122.5</v>
      </c>
      <c r="AJ34" s="13" t="n">
        <f aca="false">IF($AD34=1,AA34-Cost_round*H34+U34-AB34,"")</f>
        <v>2.5</v>
      </c>
      <c r="AK34" s="17" t="n">
        <f aca="false">IF($AD34=1,SUMPRODUCT(AE34:AJ34,$AE$6:$AJ$6),"")</f>
        <v>236.001469890114</v>
      </c>
      <c r="AL34" s="13" t="n">
        <f aca="false">U34</f>
        <v>122.5</v>
      </c>
      <c r="AM34" s="15" t="n">
        <f aca="false">IF(SUMPRODUCT(($AK$8:$AK$71&gt;=AK34-0.000000001)*($AL$8:$AL$71&gt;=AL34-0.000000001)*((($AK$8:$AK$71&gt;AK34+0.000000001)+($AL$8:$AL$71&gt;AL34+0.000000001))&gt;0))&gt;0,1,0)</f>
        <v>1</v>
      </c>
      <c r="AN34" s="15" t="n">
        <f aca="false">1-AM34</f>
        <v>0</v>
      </c>
      <c r="AO34" s="17" t="n">
        <f aca="false">AK34+W_board*AL34</f>
        <v>927.482034205991</v>
      </c>
      <c r="AP34" s="17" t="n">
        <f aca="false">AK34+W_try*AL34</f>
        <v>1461.00146989011</v>
      </c>
      <c r="AQ34" s="16" t="n">
        <f aca="false">MAX(AR34+Cost_round*C34-P34,IF(C34=1,Pre_q+Res_b,0))</f>
        <v>570</v>
      </c>
      <c r="AR34" s="16" t="n">
        <f aca="false">MAX(AS34+Cost_round*D34-Q34,IF(D34=1,Pre_q+Res_b,0),Floor_q+Res_b)</f>
        <v>570</v>
      </c>
      <c r="AS34" s="16" t="n">
        <f aca="false">MAX(AT34+Cost_round*E34-R34,IF(E34=1,Pre_q+Res_b,0),Floor_q+Res_b)</f>
        <v>520</v>
      </c>
      <c r="AT34" s="16" t="n">
        <f aca="false">MAX(AU34+Cost_round*F34-S34,IF(F34=1,Pre_q+Res_b,0),Floor_q+Res_b)</f>
        <v>415</v>
      </c>
      <c r="AU34" s="16" t="n">
        <f aca="false">MAX(AV34+Cost_round*G34-T34,IF(G34=1,Pre_q+Res_b,0),Floor_q+Res_b)</f>
        <v>520</v>
      </c>
      <c r="AV34" s="16" t="n">
        <f aca="false">MAX(AW34+Cost_round*H34-U34,IF(H34=1,Pre_q+Res_b,0),Floor_q+Res_b)</f>
        <v>400</v>
      </c>
      <c r="AW34" s="16" t="n">
        <f aca="false">End_q+Res_b</f>
        <v>520</v>
      </c>
      <c r="AX34" s="15" t="n">
        <f aca="false">IF(Q_zero&gt;=AQ34-0.000000001,1,0)</f>
        <v>1</v>
      </c>
      <c r="AY34" s="13" t="n">
        <f aca="false">IF($AX34=1,Q_zero-Cost_round*C34+P34-AR34,"")</f>
        <v>50</v>
      </c>
      <c r="AZ34" s="13" t="n">
        <f aca="false">IF($AX34=1,AR34-Cost_round*D34+Q34-AS34,"")</f>
        <v>0</v>
      </c>
      <c r="BA34" s="13" t="n">
        <f aca="false">IF($AX34=1,AS34-Cost_round*E34+R34-AT34,"")</f>
        <v>90</v>
      </c>
      <c r="BB34" s="13" t="n">
        <f aca="false">IF($AX34=1,AT34-Cost_round*F34+S34-AU34,"")</f>
        <v>0</v>
      </c>
      <c r="BC34" s="13" t="n">
        <f aca="false">IF($AX34=1,AU34-Cost_round*G34+T34-AV34,"")</f>
        <v>122.5</v>
      </c>
      <c r="BD34" s="13" t="n">
        <f aca="false">IF($AX34=1,AV34-Cost_round*H34+U34-AW34,"")</f>
        <v>2.5</v>
      </c>
      <c r="BE34" s="17" t="n">
        <f aca="false">IF($AX34=1,SUMPRODUCT(AY34:BD34,$AY$6:$BD$6),"")</f>
        <v>190.546924435568</v>
      </c>
      <c r="BF34" s="12" t="n">
        <f aca="false">IF(AND($AX34=1,Res_b&gt;0),(AK34-BE34)/Res_b,"")</f>
        <v>0.909090909090909</v>
      </c>
      <c r="BG34" s="17" t="n">
        <f aca="false">IF(AC34&gt;=Goal_b-0.000000001,AK34-Beta_y*Goal_b,"")</f>
        <v>213.274197162841</v>
      </c>
      <c r="BH34" s="15" t="n">
        <f aca="false">IF(AC34&gt;=Goal_b-0.000000001,IF(AND(AL34&gt;=Goal_S-0.000000001,BG34&gt;=Goal_P-0.000000001),1,0),0)</f>
        <v>0</v>
      </c>
    </row>
    <row r="35" customFormat="false" ht="15" hidden="false" customHeight="false" outlineLevel="0" collapsed="false">
      <c r="A35" s="2" t="n">
        <v>27</v>
      </c>
      <c r="B35" s="2" t="s">
        <v>145</v>
      </c>
      <c r="C35" s="15" t="n">
        <f aca="false">MOD(INT($A35/32),2)</f>
        <v>0</v>
      </c>
      <c r="D35" s="15" t="n">
        <f aca="false">MOD(INT($A35/16),2)</f>
        <v>1</v>
      </c>
      <c r="E35" s="15" t="n">
        <f aca="false">MOD(INT($A35/8),2)</f>
        <v>1</v>
      </c>
      <c r="F35" s="15" t="n">
        <f aca="false">MOD(INT($A35/4),2)</f>
        <v>0</v>
      </c>
      <c r="G35" s="15" t="n">
        <f aca="false">MOD(INT($A35/2),2)</f>
        <v>1</v>
      </c>
      <c r="H35" s="15" t="n">
        <f aca="false">MOD(INT($A35/1),2)</f>
        <v>1</v>
      </c>
      <c r="I35" s="15" t="n">
        <f aca="false">SUM(C35:H35)</f>
        <v>4</v>
      </c>
      <c r="J35" s="13" t="n">
        <f aca="false">E_zero+C35*Half_gap*(Ceiling_e-E_zero)</f>
        <v>71</v>
      </c>
      <c r="K35" s="13" t="n">
        <f aca="false">J35+D35*Half_gap*(Ceiling_e-J35)</f>
        <v>78</v>
      </c>
      <c r="L35" s="13" t="n">
        <f aca="false">K35+E35*Half_gap*(Ceiling_e-K35)</f>
        <v>81.5</v>
      </c>
      <c r="M35" s="13" t="n">
        <f aca="false">L35+F35*Half_gap*(Ceiling_e-L35)</f>
        <v>81.5</v>
      </c>
      <c r="N35" s="13" t="n">
        <f aca="false">M35+G35*Half_gap*(Ceiling_e-M35)</f>
        <v>83.25</v>
      </c>
      <c r="O35" s="13" t="n">
        <f aca="false">N35+H35*Half_gap*(Ceiling_e-N35)</f>
        <v>84.125</v>
      </c>
      <c r="P35" s="13" t="n">
        <f aca="false">Val_pt*(J35-E_zero)</f>
        <v>0</v>
      </c>
      <c r="Q35" s="13" t="n">
        <f aca="false">Val_pt*(K35-E_zero)</f>
        <v>70</v>
      </c>
      <c r="R35" s="13" t="n">
        <f aca="false">Val_pt*(L35-E_zero)</f>
        <v>105</v>
      </c>
      <c r="S35" s="13" t="n">
        <f aca="false">Val_pt*(M35-E_zero)</f>
        <v>105</v>
      </c>
      <c r="T35" s="13" t="n">
        <f aca="false">Val_pt*(N35-E_zero)</f>
        <v>122.5</v>
      </c>
      <c r="U35" s="13" t="n">
        <f aca="false">Val_pt*(O35-E_zero)</f>
        <v>131.25</v>
      </c>
      <c r="V35" s="16" t="n">
        <f aca="false">MAX(W35+Cost_round*C35-P35,IF(C35=1,Pre_q,0))</f>
        <v>520</v>
      </c>
      <c r="W35" s="16" t="n">
        <f aca="false">MAX(X35+Cost_round*D35-Q35,IF(D35=1,Pre_q,0),Floor_q)</f>
        <v>520</v>
      </c>
      <c r="X35" s="16" t="n">
        <f aca="false">MAX(Y35+Cost_round*E35-R35,IF(E35=1,Pre_q,0),Floor_q)</f>
        <v>470</v>
      </c>
      <c r="Y35" s="16" t="n">
        <f aca="false">MAX(Z35+Cost_round*F35-S35,IF(F35=1,Pre_q,0),Floor_q)</f>
        <v>365</v>
      </c>
      <c r="Z35" s="16" t="n">
        <f aca="false">MAX(AA35+Cost_round*G35-T35,IF(G35=1,Pre_q,0),Floor_q)</f>
        <v>470</v>
      </c>
      <c r="AA35" s="16" t="n">
        <f aca="false">MAX(AB35+Cost_round*H35-U35,IF(H35=1,Pre_q,0),Floor_q)</f>
        <v>470</v>
      </c>
      <c r="AB35" s="16" t="n">
        <f aca="false">End_q</f>
        <v>470</v>
      </c>
      <c r="AC35" s="16" t="n">
        <f aca="false">Q_zero-V35</f>
        <v>100</v>
      </c>
      <c r="AD35" s="15" t="n">
        <f aca="false">IF(AC35&gt;=-0.000000001,1,0)</f>
        <v>1</v>
      </c>
      <c r="AE35" s="13" t="n">
        <f aca="false">IF($AD35=1,Q_zero-Cost_round*C35+P35-W35,"")</f>
        <v>100</v>
      </c>
      <c r="AF35" s="13" t="n">
        <f aca="false">IF($AD35=1,W35-Cost_round*D35+Q35-X35,"")</f>
        <v>0</v>
      </c>
      <c r="AG35" s="13" t="n">
        <f aca="false">IF($AD35=1,X35-Cost_round*E35+R35-Y35,"")</f>
        <v>90</v>
      </c>
      <c r="AH35" s="13" t="n">
        <f aca="false">IF($AD35=1,Y35-Cost_round*F35+S35-Z35,"")</f>
        <v>0</v>
      </c>
      <c r="AI35" s="13" t="n">
        <f aca="false">IF($AD35=1,Z35-Cost_round*G35+T35-AA35,"")</f>
        <v>2.5</v>
      </c>
      <c r="AJ35" s="13" t="n">
        <f aca="false">IF($AD35=1,AA35-Cost_round*H35+U35-AB35,"")</f>
        <v>11.25</v>
      </c>
      <c r="AK35" s="17" t="n">
        <f aca="false">IF($AD35=1,SUMPRODUCT(AE35:AJ35,$AE$6:$AJ$6),"")</f>
        <v>166.430058010986</v>
      </c>
      <c r="AL35" s="13" t="n">
        <f aca="false">U35</f>
        <v>131.25</v>
      </c>
      <c r="AM35" s="15" t="n">
        <f aca="false">IF(SUMPRODUCT(($AK$8:$AK$71&gt;=AK35-0.000000001)*($AL$8:$AL$71&gt;=AL35-0.000000001)*((($AK$8:$AK$71&gt;AK35+0.000000001)+($AL$8:$AL$71&gt;AL35+0.000000001))&gt;0))&gt;0,1,0)</f>
        <v>1</v>
      </c>
      <c r="AN35" s="15" t="n">
        <f aca="false">1-AM35</f>
        <v>0</v>
      </c>
      <c r="AO35" s="17" t="n">
        <f aca="false">AK35+W_board*AL35</f>
        <v>907.302091206569</v>
      </c>
      <c r="AP35" s="17" t="n">
        <f aca="false">AK35+W_try*AL35</f>
        <v>1478.93005801099</v>
      </c>
      <c r="AQ35" s="16" t="n">
        <f aca="false">MAX(AR35+Cost_round*C35-P35,IF(C35=1,Pre_q+Res_b,0))</f>
        <v>570</v>
      </c>
      <c r="AR35" s="16" t="n">
        <f aca="false">MAX(AS35+Cost_round*D35-Q35,IF(D35=1,Pre_q+Res_b,0),Floor_q+Res_b)</f>
        <v>570</v>
      </c>
      <c r="AS35" s="16" t="n">
        <f aca="false">MAX(AT35+Cost_round*E35-R35,IF(E35=1,Pre_q+Res_b,0),Floor_q+Res_b)</f>
        <v>520</v>
      </c>
      <c r="AT35" s="16" t="n">
        <f aca="false">MAX(AU35+Cost_round*F35-S35,IF(F35=1,Pre_q+Res_b,0),Floor_q+Res_b)</f>
        <v>415</v>
      </c>
      <c r="AU35" s="16" t="n">
        <f aca="false">MAX(AV35+Cost_round*G35-T35,IF(G35=1,Pre_q+Res_b,0),Floor_q+Res_b)</f>
        <v>520</v>
      </c>
      <c r="AV35" s="16" t="n">
        <f aca="false">MAX(AW35+Cost_round*H35-U35,IF(H35=1,Pre_q+Res_b,0),Floor_q+Res_b)</f>
        <v>520</v>
      </c>
      <c r="AW35" s="16" t="n">
        <f aca="false">End_q+Res_b</f>
        <v>520</v>
      </c>
      <c r="AX35" s="15" t="n">
        <f aca="false">IF(Q_zero&gt;=AQ35-0.000000001,1,0)</f>
        <v>1</v>
      </c>
      <c r="AY35" s="13" t="n">
        <f aca="false">IF($AX35=1,Q_zero-Cost_round*C35+P35-AR35,"")</f>
        <v>50</v>
      </c>
      <c r="AZ35" s="13" t="n">
        <f aca="false">IF($AX35=1,AR35-Cost_round*D35+Q35-AS35,"")</f>
        <v>0</v>
      </c>
      <c r="BA35" s="13" t="n">
        <f aca="false">IF($AX35=1,AS35-Cost_round*E35+R35-AT35,"")</f>
        <v>90</v>
      </c>
      <c r="BB35" s="13" t="n">
        <f aca="false">IF($AX35=1,AT35-Cost_round*F35+S35-AU35,"")</f>
        <v>0</v>
      </c>
      <c r="BC35" s="13" t="n">
        <f aca="false">IF($AX35=1,AU35-Cost_round*G35+T35-AV35,"")</f>
        <v>2.5</v>
      </c>
      <c r="BD35" s="13" t="n">
        <f aca="false">IF($AX35=1,AV35-Cost_round*H35+U35-AW35,"")</f>
        <v>11.25</v>
      </c>
      <c r="BE35" s="17" t="n">
        <f aca="false">IF($AX35=1,SUMPRODUCT(AY35:BD35,$AY$6:$BD$6),"")</f>
        <v>120.97551255644</v>
      </c>
      <c r="BF35" s="12" t="n">
        <f aca="false">IF(AND($AX35=1,Res_b&gt;0),(AK35-BE35)/Res_b,"")</f>
        <v>0.909090909090909</v>
      </c>
      <c r="BG35" s="17" t="n">
        <f aca="false">IF(AC35&gt;=Goal_b-0.000000001,AK35-Beta_y*Goal_b,"")</f>
        <v>143.702785283713</v>
      </c>
      <c r="BH35" s="15" t="n">
        <f aca="false">IF(AC35&gt;=Goal_b-0.000000001,IF(AND(AL35&gt;=Goal_S-0.000000001,BG35&gt;=Goal_P-0.000000001),1,0),0)</f>
        <v>0</v>
      </c>
    </row>
    <row r="36" customFormat="false" ht="15" hidden="false" customHeight="false" outlineLevel="0" collapsed="false">
      <c r="A36" s="2" t="n">
        <v>28</v>
      </c>
      <c r="B36" s="2" t="s">
        <v>146</v>
      </c>
      <c r="C36" s="15" t="n">
        <f aca="false">MOD(INT($A36/32),2)</f>
        <v>0</v>
      </c>
      <c r="D36" s="15" t="n">
        <f aca="false">MOD(INT($A36/16),2)</f>
        <v>1</v>
      </c>
      <c r="E36" s="15" t="n">
        <f aca="false">MOD(INT($A36/8),2)</f>
        <v>1</v>
      </c>
      <c r="F36" s="15" t="n">
        <f aca="false">MOD(INT($A36/4),2)</f>
        <v>1</v>
      </c>
      <c r="G36" s="15" t="n">
        <f aca="false">MOD(INT($A36/2),2)</f>
        <v>0</v>
      </c>
      <c r="H36" s="15" t="n">
        <f aca="false">MOD(INT($A36/1),2)</f>
        <v>0</v>
      </c>
      <c r="I36" s="15" t="n">
        <f aca="false">SUM(C36:H36)</f>
        <v>3</v>
      </c>
      <c r="J36" s="13" t="n">
        <f aca="false">E_zero+C36*Half_gap*(Ceiling_e-E_zero)</f>
        <v>71</v>
      </c>
      <c r="K36" s="13" t="n">
        <f aca="false">J36+D36*Half_gap*(Ceiling_e-J36)</f>
        <v>78</v>
      </c>
      <c r="L36" s="13" t="n">
        <f aca="false">K36+E36*Half_gap*(Ceiling_e-K36)</f>
        <v>81.5</v>
      </c>
      <c r="M36" s="13" t="n">
        <f aca="false">L36+F36*Half_gap*(Ceiling_e-L36)</f>
        <v>83.25</v>
      </c>
      <c r="N36" s="13" t="n">
        <f aca="false">M36+G36*Half_gap*(Ceiling_e-M36)</f>
        <v>83.25</v>
      </c>
      <c r="O36" s="13" t="n">
        <f aca="false">N36+H36*Half_gap*(Ceiling_e-N36)</f>
        <v>83.25</v>
      </c>
      <c r="P36" s="13" t="n">
        <f aca="false">Val_pt*(J36-E_zero)</f>
        <v>0</v>
      </c>
      <c r="Q36" s="13" t="n">
        <f aca="false">Val_pt*(K36-E_zero)</f>
        <v>70</v>
      </c>
      <c r="R36" s="13" t="n">
        <f aca="false">Val_pt*(L36-E_zero)</f>
        <v>105</v>
      </c>
      <c r="S36" s="13" t="n">
        <f aca="false">Val_pt*(M36-E_zero)</f>
        <v>122.5</v>
      </c>
      <c r="T36" s="13" t="n">
        <f aca="false">Val_pt*(N36-E_zero)</f>
        <v>122.5</v>
      </c>
      <c r="U36" s="13" t="n">
        <f aca="false">Val_pt*(O36-E_zero)</f>
        <v>122.5</v>
      </c>
      <c r="V36" s="16" t="n">
        <f aca="false">MAX(W36+Cost_round*C36-P36,IF(C36=1,Pre_q,0))</f>
        <v>535</v>
      </c>
      <c r="W36" s="16" t="n">
        <f aca="false">MAX(X36+Cost_round*D36-Q36,IF(D36=1,Pre_q,0),Floor_q)</f>
        <v>535</v>
      </c>
      <c r="X36" s="16" t="n">
        <f aca="false">MAX(Y36+Cost_round*E36-R36,IF(E36=1,Pre_q,0),Floor_q)</f>
        <v>485</v>
      </c>
      <c r="Y36" s="16" t="n">
        <f aca="false">MAX(Z36+Cost_round*F36-S36,IF(F36=1,Pre_q,0),Floor_q)</f>
        <v>470</v>
      </c>
      <c r="Z36" s="16" t="n">
        <f aca="false">MAX(AA36+Cost_round*G36-T36,IF(G36=1,Pre_q,0),Floor_q)</f>
        <v>350</v>
      </c>
      <c r="AA36" s="16" t="n">
        <f aca="false">MAX(AB36+Cost_round*H36-U36,IF(H36=1,Pre_q,0),Floor_q)</f>
        <v>350</v>
      </c>
      <c r="AB36" s="16" t="n">
        <f aca="false">End_q</f>
        <v>470</v>
      </c>
      <c r="AC36" s="16" t="n">
        <f aca="false">Q_zero-V36</f>
        <v>85</v>
      </c>
      <c r="AD36" s="15" t="n">
        <f aca="false">IF(AC36&gt;=-0.000000001,1,0)</f>
        <v>1</v>
      </c>
      <c r="AE36" s="13" t="n">
        <f aca="false">IF($AD36=1,Q_zero-Cost_round*C36+P36-W36,"")</f>
        <v>85</v>
      </c>
      <c r="AF36" s="13" t="n">
        <f aca="false">IF($AD36=1,W36-Cost_round*D36+Q36-X36,"")</f>
        <v>0</v>
      </c>
      <c r="AG36" s="13" t="n">
        <f aca="false">IF($AD36=1,X36-Cost_round*E36+R36-Y36,"")</f>
        <v>0</v>
      </c>
      <c r="AH36" s="13" t="n">
        <f aca="false">IF($AD36=1,Y36-Cost_round*F36+S36-Z36,"")</f>
        <v>122.5</v>
      </c>
      <c r="AI36" s="13" t="n">
        <f aca="false">IF($AD36=1,Z36-Cost_round*G36+T36-AA36,"")</f>
        <v>122.5</v>
      </c>
      <c r="AJ36" s="13" t="n">
        <f aca="false">IF($AD36=1,AA36-Cost_round*H36+U36-AB36,"")</f>
        <v>2.5</v>
      </c>
      <c r="AK36" s="17" t="n">
        <f aca="false">IF($AD36=1,SUMPRODUCT(AE36:AJ36,$AE$6:$AJ$6),"")</f>
        <v>238.415922454829</v>
      </c>
      <c r="AL36" s="13" t="n">
        <f aca="false">U36</f>
        <v>122.5</v>
      </c>
      <c r="AM36" s="15" t="n">
        <f aca="false">IF(SUMPRODUCT(($AK$8:$AK$71&gt;=AK36-0.000000001)*($AL$8:$AL$71&gt;=AL36-0.000000001)*((($AK$8:$AK$71&gt;AK36+0.000000001)+($AL$8:$AL$71&gt;AL36+0.000000001))&gt;0))&gt;0,1,0)</f>
        <v>1</v>
      </c>
      <c r="AN36" s="15" t="n">
        <f aca="false">1-AM36</f>
        <v>0</v>
      </c>
      <c r="AO36" s="17" t="n">
        <f aca="false">AK36+W_board*AL36</f>
        <v>929.896486770707</v>
      </c>
      <c r="AP36" s="17" t="n">
        <f aca="false">AK36+W_try*AL36</f>
        <v>1463.41592245483</v>
      </c>
      <c r="AQ36" s="16" t="n">
        <f aca="false">MAX(AR36+Cost_round*C36-P36,IF(C36=1,Pre_q+Res_b,0))</f>
        <v>585</v>
      </c>
      <c r="AR36" s="16" t="n">
        <f aca="false">MAX(AS36+Cost_round*D36-Q36,IF(D36=1,Pre_q+Res_b,0),Floor_q+Res_b)</f>
        <v>585</v>
      </c>
      <c r="AS36" s="16" t="n">
        <f aca="false">MAX(AT36+Cost_round*E36-R36,IF(E36=1,Pre_q+Res_b,0),Floor_q+Res_b)</f>
        <v>535</v>
      </c>
      <c r="AT36" s="16" t="n">
        <f aca="false">MAX(AU36+Cost_round*F36-S36,IF(F36=1,Pre_q+Res_b,0),Floor_q+Res_b)</f>
        <v>520</v>
      </c>
      <c r="AU36" s="16" t="n">
        <f aca="false">MAX(AV36+Cost_round*G36-T36,IF(G36=1,Pre_q+Res_b,0),Floor_q+Res_b)</f>
        <v>400</v>
      </c>
      <c r="AV36" s="16" t="n">
        <f aca="false">MAX(AW36+Cost_round*H36-U36,IF(H36=1,Pre_q+Res_b,0),Floor_q+Res_b)</f>
        <v>400</v>
      </c>
      <c r="AW36" s="16" t="n">
        <f aca="false">End_q+Res_b</f>
        <v>520</v>
      </c>
      <c r="AX36" s="15" t="n">
        <f aca="false">IF(Q_zero&gt;=AQ36-0.000000001,1,0)</f>
        <v>1</v>
      </c>
      <c r="AY36" s="13" t="n">
        <f aca="false">IF($AX36=1,Q_zero-Cost_round*C36+P36-AR36,"")</f>
        <v>35</v>
      </c>
      <c r="AZ36" s="13" t="n">
        <f aca="false">IF($AX36=1,AR36-Cost_round*D36+Q36-AS36,"")</f>
        <v>0</v>
      </c>
      <c r="BA36" s="13" t="n">
        <f aca="false">IF($AX36=1,AS36-Cost_round*E36+R36-AT36,"")</f>
        <v>0</v>
      </c>
      <c r="BB36" s="13" t="n">
        <f aca="false">IF($AX36=1,AT36-Cost_round*F36+S36-AU36,"")</f>
        <v>122.5</v>
      </c>
      <c r="BC36" s="13" t="n">
        <f aca="false">IF($AX36=1,AU36-Cost_round*G36+T36-AV36,"")</f>
        <v>122.5</v>
      </c>
      <c r="BD36" s="13" t="n">
        <f aca="false">IF($AX36=1,AV36-Cost_round*H36+U36-AW36,"")</f>
        <v>2.5</v>
      </c>
      <c r="BE36" s="17" t="n">
        <f aca="false">IF($AX36=1,SUMPRODUCT(AY36:BD36,$AY$6:$BD$6),"")</f>
        <v>192.961377000284</v>
      </c>
      <c r="BF36" s="12" t="n">
        <f aca="false">IF(AND($AX36=1,Res_b&gt;0),(AK36-BE36)/Res_b,"")</f>
        <v>0.909090909090909</v>
      </c>
      <c r="BG36" s="17" t="n">
        <f aca="false">IF(AC36&gt;=Goal_b-0.000000001,AK36-Beta_y*Goal_b,"")</f>
        <v>215.688649727557</v>
      </c>
      <c r="BH36" s="15" t="n">
        <f aca="false">IF(AC36&gt;=Goal_b-0.000000001,IF(AND(AL36&gt;=Goal_S-0.000000001,BG36&gt;=Goal_P-0.000000001),1,0),0)</f>
        <v>0</v>
      </c>
    </row>
    <row r="37" customFormat="false" ht="15" hidden="false" customHeight="false" outlineLevel="0" collapsed="false">
      <c r="A37" s="2" t="n">
        <v>29</v>
      </c>
      <c r="B37" s="2" t="s">
        <v>147</v>
      </c>
      <c r="C37" s="15" t="n">
        <f aca="false">MOD(INT($A37/32),2)</f>
        <v>0</v>
      </c>
      <c r="D37" s="15" t="n">
        <f aca="false">MOD(INT($A37/16),2)</f>
        <v>1</v>
      </c>
      <c r="E37" s="15" t="n">
        <f aca="false">MOD(INT($A37/8),2)</f>
        <v>1</v>
      </c>
      <c r="F37" s="15" t="n">
        <f aca="false">MOD(INT($A37/4),2)</f>
        <v>1</v>
      </c>
      <c r="G37" s="15" t="n">
        <f aca="false">MOD(INT($A37/2),2)</f>
        <v>0</v>
      </c>
      <c r="H37" s="15" t="n">
        <f aca="false">MOD(INT($A37/1),2)</f>
        <v>1</v>
      </c>
      <c r="I37" s="15" t="n">
        <f aca="false">SUM(C37:H37)</f>
        <v>4</v>
      </c>
      <c r="J37" s="13" t="n">
        <f aca="false">E_zero+C37*Half_gap*(Ceiling_e-E_zero)</f>
        <v>71</v>
      </c>
      <c r="K37" s="13" t="n">
        <f aca="false">J37+D37*Half_gap*(Ceiling_e-J37)</f>
        <v>78</v>
      </c>
      <c r="L37" s="13" t="n">
        <f aca="false">K37+E37*Half_gap*(Ceiling_e-K37)</f>
        <v>81.5</v>
      </c>
      <c r="M37" s="13" t="n">
        <f aca="false">L37+F37*Half_gap*(Ceiling_e-L37)</f>
        <v>83.25</v>
      </c>
      <c r="N37" s="13" t="n">
        <f aca="false">M37+G37*Half_gap*(Ceiling_e-M37)</f>
        <v>83.25</v>
      </c>
      <c r="O37" s="13" t="n">
        <f aca="false">N37+H37*Half_gap*(Ceiling_e-N37)</f>
        <v>84.125</v>
      </c>
      <c r="P37" s="13" t="n">
        <f aca="false">Val_pt*(J37-E_zero)</f>
        <v>0</v>
      </c>
      <c r="Q37" s="13" t="n">
        <f aca="false">Val_pt*(K37-E_zero)</f>
        <v>70</v>
      </c>
      <c r="R37" s="13" t="n">
        <f aca="false">Val_pt*(L37-E_zero)</f>
        <v>105</v>
      </c>
      <c r="S37" s="13" t="n">
        <f aca="false">Val_pt*(M37-E_zero)</f>
        <v>122.5</v>
      </c>
      <c r="T37" s="13" t="n">
        <f aca="false">Val_pt*(N37-E_zero)</f>
        <v>122.5</v>
      </c>
      <c r="U37" s="13" t="n">
        <f aca="false">Val_pt*(O37-E_zero)</f>
        <v>131.25</v>
      </c>
      <c r="V37" s="16" t="n">
        <f aca="false">MAX(W37+Cost_round*C37-P37,IF(C37=1,Pre_q,0))</f>
        <v>535</v>
      </c>
      <c r="W37" s="16" t="n">
        <f aca="false">MAX(X37+Cost_round*D37-Q37,IF(D37=1,Pre_q,0),Floor_q)</f>
        <v>535</v>
      </c>
      <c r="X37" s="16" t="n">
        <f aca="false">MAX(Y37+Cost_round*E37-R37,IF(E37=1,Pre_q,0),Floor_q)</f>
        <v>485</v>
      </c>
      <c r="Y37" s="16" t="n">
        <f aca="false">MAX(Z37+Cost_round*F37-S37,IF(F37=1,Pre_q,0),Floor_q)</f>
        <v>470</v>
      </c>
      <c r="Z37" s="16" t="n">
        <f aca="false">MAX(AA37+Cost_round*G37-T37,IF(G37=1,Pre_q,0),Floor_q)</f>
        <v>350</v>
      </c>
      <c r="AA37" s="16" t="n">
        <f aca="false">MAX(AB37+Cost_round*H37-U37,IF(H37=1,Pre_q,0),Floor_q)</f>
        <v>470</v>
      </c>
      <c r="AB37" s="16" t="n">
        <f aca="false">End_q</f>
        <v>470</v>
      </c>
      <c r="AC37" s="16" t="n">
        <f aca="false">Q_zero-V37</f>
        <v>85</v>
      </c>
      <c r="AD37" s="15" t="n">
        <f aca="false">IF(AC37&gt;=-0.000000001,1,0)</f>
        <v>1</v>
      </c>
      <c r="AE37" s="13" t="n">
        <f aca="false">IF($AD37=1,Q_zero-Cost_round*C37+P37-W37,"")</f>
        <v>85</v>
      </c>
      <c r="AF37" s="13" t="n">
        <f aca="false">IF($AD37=1,W37-Cost_round*D37+Q37-X37,"")</f>
        <v>0</v>
      </c>
      <c r="AG37" s="13" t="n">
        <f aca="false">IF($AD37=1,X37-Cost_round*E37+R37-Y37,"")</f>
        <v>0</v>
      </c>
      <c r="AH37" s="13" t="n">
        <f aca="false">IF($AD37=1,Y37-Cost_round*F37+S37-Z37,"")</f>
        <v>122.5</v>
      </c>
      <c r="AI37" s="13" t="n">
        <f aca="false">IF($AD37=1,Z37-Cost_round*G37+T37-AA37,"")</f>
        <v>2.5</v>
      </c>
      <c r="AJ37" s="13" t="n">
        <f aca="false">IF($AD37=1,AA37-Cost_round*H37+U37-AB37,"")</f>
        <v>11.25</v>
      </c>
      <c r="AK37" s="17" t="n">
        <f aca="false">IF($AD37=1,SUMPRODUCT(AE37:AJ37,$AE$6:$AJ$6),"")</f>
        <v>168.844510575701</v>
      </c>
      <c r="AL37" s="13" t="n">
        <f aca="false">U37</f>
        <v>131.25</v>
      </c>
      <c r="AM37" s="15" t="n">
        <f aca="false">IF(SUMPRODUCT(($AK$8:$AK$71&gt;=AK37-0.000000001)*($AL$8:$AL$71&gt;=AL37-0.000000001)*((($AK$8:$AK$71&gt;AK37+0.000000001)+($AL$8:$AL$71&gt;AL37+0.000000001))&gt;0))&gt;0,1,0)</f>
        <v>1</v>
      </c>
      <c r="AN37" s="15" t="n">
        <f aca="false">1-AM37</f>
        <v>0</v>
      </c>
      <c r="AO37" s="17" t="n">
        <f aca="false">AK37+W_board*AL37</f>
        <v>909.716543771284</v>
      </c>
      <c r="AP37" s="17" t="n">
        <f aca="false">AK37+W_try*AL37</f>
        <v>1481.3445105757</v>
      </c>
      <c r="AQ37" s="16" t="n">
        <f aca="false">MAX(AR37+Cost_round*C37-P37,IF(C37=1,Pre_q+Res_b,0))</f>
        <v>585</v>
      </c>
      <c r="AR37" s="16" t="n">
        <f aca="false">MAX(AS37+Cost_round*D37-Q37,IF(D37=1,Pre_q+Res_b,0),Floor_q+Res_b)</f>
        <v>585</v>
      </c>
      <c r="AS37" s="16" t="n">
        <f aca="false">MAX(AT37+Cost_round*E37-R37,IF(E37=1,Pre_q+Res_b,0),Floor_q+Res_b)</f>
        <v>535</v>
      </c>
      <c r="AT37" s="16" t="n">
        <f aca="false">MAX(AU37+Cost_round*F37-S37,IF(F37=1,Pre_q+Res_b,0),Floor_q+Res_b)</f>
        <v>520</v>
      </c>
      <c r="AU37" s="16" t="n">
        <f aca="false">MAX(AV37+Cost_round*G37-T37,IF(G37=1,Pre_q+Res_b,0),Floor_q+Res_b)</f>
        <v>400</v>
      </c>
      <c r="AV37" s="16" t="n">
        <f aca="false">MAX(AW37+Cost_round*H37-U37,IF(H37=1,Pre_q+Res_b,0),Floor_q+Res_b)</f>
        <v>520</v>
      </c>
      <c r="AW37" s="16" t="n">
        <f aca="false">End_q+Res_b</f>
        <v>520</v>
      </c>
      <c r="AX37" s="15" t="n">
        <f aca="false">IF(Q_zero&gt;=AQ37-0.000000001,1,0)</f>
        <v>1</v>
      </c>
      <c r="AY37" s="13" t="n">
        <f aca="false">IF($AX37=1,Q_zero-Cost_round*C37+P37-AR37,"")</f>
        <v>35</v>
      </c>
      <c r="AZ37" s="13" t="n">
        <f aca="false">IF($AX37=1,AR37-Cost_round*D37+Q37-AS37,"")</f>
        <v>0</v>
      </c>
      <c r="BA37" s="13" t="n">
        <f aca="false">IF($AX37=1,AS37-Cost_round*E37+R37-AT37,"")</f>
        <v>0</v>
      </c>
      <c r="BB37" s="13" t="n">
        <f aca="false">IF($AX37=1,AT37-Cost_round*F37+S37-AU37,"")</f>
        <v>122.5</v>
      </c>
      <c r="BC37" s="13" t="n">
        <f aca="false">IF($AX37=1,AU37-Cost_round*G37+T37-AV37,"")</f>
        <v>2.5</v>
      </c>
      <c r="BD37" s="13" t="n">
        <f aca="false">IF($AX37=1,AV37-Cost_round*H37+U37-AW37,"")</f>
        <v>11.25</v>
      </c>
      <c r="BE37" s="17" t="n">
        <f aca="false">IF($AX37=1,SUMPRODUCT(AY37:BD37,$AY$6:$BD$6),"")</f>
        <v>123.389965121156</v>
      </c>
      <c r="BF37" s="12" t="n">
        <f aca="false">IF(AND($AX37=1,Res_b&gt;0),(AK37-BE37)/Res_b,"")</f>
        <v>0.909090909090909</v>
      </c>
      <c r="BG37" s="17" t="n">
        <f aca="false">IF(AC37&gt;=Goal_b-0.000000001,AK37-Beta_y*Goal_b,"")</f>
        <v>146.117237848429</v>
      </c>
      <c r="BH37" s="15" t="n">
        <f aca="false">IF(AC37&gt;=Goal_b-0.000000001,IF(AND(AL37&gt;=Goal_S-0.000000001,BG37&gt;=Goal_P-0.000000001),1,0),0)</f>
        <v>0</v>
      </c>
    </row>
    <row r="38" customFormat="false" ht="15" hidden="false" customHeight="false" outlineLevel="0" collapsed="false">
      <c r="A38" s="2" t="n">
        <v>30</v>
      </c>
      <c r="B38" s="2" t="s">
        <v>148</v>
      </c>
      <c r="C38" s="15" t="n">
        <f aca="false">MOD(INT($A38/32),2)</f>
        <v>0</v>
      </c>
      <c r="D38" s="15" t="n">
        <f aca="false">MOD(INT($A38/16),2)</f>
        <v>1</v>
      </c>
      <c r="E38" s="15" t="n">
        <f aca="false">MOD(INT($A38/8),2)</f>
        <v>1</v>
      </c>
      <c r="F38" s="15" t="n">
        <f aca="false">MOD(INT($A38/4),2)</f>
        <v>1</v>
      </c>
      <c r="G38" s="15" t="n">
        <f aca="false">MOD(INT($A38/2),2)</f>
        <v>1</v>
      </c>
      <c r="H38" s="15" t="n">
        <f aca="false">MOD(INT($A38/1),2)</f>
        <v>0</v>
      </c>
      <c r="I38" s="15" t="n">
        <f aca="false">SUM(C38:H38)</f>
        <v>4</v>
      </c>
      <c r="J38" s="13" t="n">
        <f aca="false">E_zero+C38*Half_gap*(Ceiling_e-E_zero)</f>
        <v>71</v>
      </c>
      <c r="K38" s="13" t="n">
        <f aca="false">J38+D38*Half_gap*(Ceiling_e-J38)</f>
        <v>78</v>
      </c>
      <c r="L38" s="13" t="n">
        <f aca="false">K38+E38*Half_gap*(Ceiling_e-K38)</f>
        <v>81.5</v>
      </c>
      <c r="M38" s="13" t="n">
        <f aca="false">L38+F38*Half_gap*(Ceiling_e-L38)</f>
        <v>83.25</v>
      </c>
      <c r="N38" s="13" t="n">
        <f aca="false">M38+G38*Half_gap*(Ceiling_e-M38)</f>
        <v>84.125</v>
      </c>
      <c r="O38" s="13" t="n">
        <f aca="false">N38+H38*Half_gap*(Ceiling_e-N38)</f>
        <v>84.125</v>
      </c>
      <c r="P38" s="13" t="n">
        <f aca="false">Val_pt*(J38-E_zero)</f>
        <v>0</v>
      </c>
      <c r="Q38" s="13" t="n">
        <f aca="false">Val_pt*(K38-E_zero)</f>
        <v>70</v>
      </c>
      <c r="R38" s="13" t="n">
        <f aca="false">Val_pt*(L38-E_zero)</f>
        <v>105</v>
      </c>
      <c r="S38" s="13" t="n">
        <f aca="false">Val_pt*(M38-E_zero)</f>
        <v>122.5</v>
      </c>
      <c r="T38" s="13" t="n">
        <f aca="false">Val_pt*(N38-E_zero)</f>
        <v>131.25</v>
      </c>
      <c r="U38" s="13" t="n">
        <f aca="false">Val_pt*(O38-E_zero)</f>
        <v>131.25</v>
      </c>
      <c r="V38" s="16" t="n">
        <f aca="false">MAX(W38+Cost_round*C38-P38,IF(C38=1,Pre_q,0))</f>
        <v>535</v>
      </c>
      <c r="W38" s="16" t="n">
        <f aca="false">MAX(X38+Cost_round*D38-Q38,IF(D38=1,Pre_q,0),Floor_q)</f>
        <v>535</v>
      </c>
      <c r="X38" s="16" t="n">
        <f aca="false">MAX(Y38+Cost_round*E38-R38,IF(E38=1,Pre_q,0),Floor_q)</f>
        <v>485</v>
      </c>
      <c r="Y38" s="16" t="n">
        <f aca="false">MAX(Z38+Cost_round*F38-S38,IF(F38=1,Pre_q,0),Floor_q)</f>
        <v>470</v>
      </c>
      <c r="Z38" s="16" t="n">
        <f aca="false">MAX(AA38+Cost_round*G38-T38,IF(G38=1,Pre_q,0),Floor_q)</f>
        <v>470</v>
      </c>
      <c r="AA38" s="16" t="n">
        <f aca="false">MAX(AB38+Cost_round*H38-U38,IF(H38=1,Pre_q,0),Floor_q)</f>
        <v>350</v>
      </c>
      <c r="AB38" s="16" t="n">
        <f aca="false">End_q</f>
        <v>470</v>
      </c>
      <c r="AC38" s="16" t="n">
        <f aca="false">Q_zero-V38</f>
        <v>85</v>
      </c>
      <c r="AD38" s="15" t="n">
        <f aca="false">IF(AC38&gt;=-0.000000001,1,0)</f>
        <v>1</v>
      </c>
      <c r="AE38" s="13" t="n">
        <f aca="false">IF($AD38=1,Q_zero-Cost_round*C38+P38-W38,"")</f>
        <v>85</v>
      </c>
      <c r="AF38" s="13" t="n">
        <f aca="false">IF($AD38=1,W38-Cost_round*D38+Q38-X38,"")</f>
        <v>0</v>
      </c>
      <c r="AG38" s="13" t="n">
        <f aca="false">IF($AD38=1,X38-Cost_round*E38+R38-Y38,"")</f>
        <v>0</v>
      </c>
      <c r="AH38" s="13" t="n">
        <f aca="false">IF($AD38=1,Y38-Cost_round*F38+S38-Z38,"")</f>
        <v>2.5</v>
      </c>
      <c r="AI38" s="13" t="n">
        <f aca="false">IF($AD38=1,Z38-Cost_round*G38+T38-AA38,"")</f>
        <v>131.25</v>
      </c>
      <c r="AJ38" s="13" t="n">
        <f aca="false">IF($AD38=1,AA38-Cost_round*H38+U38-AB38,"")</f>
        <v>11.25</v>
      </c>
      <c r="AK38" s="17" t="n">
        <f aca="false">IF($AD38=1,SUMPRODUCT(AE38:AJ38,$AE$6:$AJ$6),"")</f>
        <v>166.826516275759</v>
      </c>
      <c r="AL38" s="13" t="n">
        <f aca="false">U38</f>
        <v>131.25</v>
      </c>
      <c r="AM38" s="15" t="n">
        <f aca="false">IF(SUMPRODUCT(($AK$8:$AK$71&gt;=AK38-0.000000001)*($AL$8:$AL$71&gt;=AL38-0.000000001)*((($AK$8:$AK$71&gt;AK38+0.000000001)+($AL$8:$AL$71&gt;AL38+0.000000001))&gt;0))&gt;0,1,0)</f>
        <v>1</v>
      </c>
      <c r="AN38" s="15" t="n">
        <f aca="false">1-AM38</f>
        <v>0</v>
      </c>
      <c r="AO38" s="17" t="n">
        <f aca="false">AK38+W_board*AL38</f>
        <v>907.698549471342</v>
      </c>
      <c r="AP38" s="17" t="n">
        <f aca="false">AK38+W_try*AL38</f>
        <v>1479.32651627576</v>
      </c>
      <c r="AQ38" s="16" t="n">
        <f aca="false">MAX(AR38+Cost_round*C38-P38,IF(C38=1,Pre_q+Res_b,0))</f>
        <v>585</v>
      </c>
      <c r="AR38" s="16" t="n">
        <f aca="false">MAX(AS38+Cost_round*D38-Q38,IF(D38=1,Pre_q+Res_b,0),Floor_q+Res_b)</f>
        <v>585</v>
      </c>
      <c r="AS38" s="16" t="n">
        <f aca="false">MAX(AT38+Cost_round*E38-R38,IF(E38=1,Pre_q+Res_b,0),Floor_q+Res_b)</f>
        <v>535</v>
      </c>
      <c r="AT38" s="16" t="n">
        <f aca="false">MAX(AU38+Cost_round*F38-S38,IF(F38=1,Pre_q+Res_b,0),Floor_q+Res_b)</f>
        <v>520</v>
      </c>
      <c r="AU38" s="16" t="n">
        <f aca="false">MAX(AV38+Cost_round*G38-T38,IF(G38=1,Pre_q+Res_b,0),Floor_q+Res_b)</f>
        <v>520</v>
      </c>
      <c r="AV38" s="16" t="n">
        <f aca="false">MAX(AW38+Cost_round*H38-U38,IF(H38=1,Pre_q+Res_b,0),Floor_q+Res_b)</f>
        <v>400</v>
      </c>
      <c r="AW38" s="16" t="n">
        <f aca="false">End_q+Res_b</f>
        <v>520</v>
      </c>
      <c r="AX38" s="15" t="n">
        <f aca="false">IF(Q_zero&gt;=AQ38-0.000000001,1,0)</f>
        <v>1</v>
      </c>
      <c r="AY38" s="13" t="n">
        <f aca="false">IF($AX38=1,Q_zero-Cost_round*C38+P38-AR38,"")</f>
        <v>35</v>
      </c>
      <c r="AZ38" s="13" t="n">
        <f aca="false">IF($AX38=1,AR38-Cost_round*D38+Q38-AS38,"")</f>
        <v>0</v>
      </c>
      <c r="BA38" s="13" t="n">
        <f aca="false">IF($AX38=1,AS38-Cost_round*E38+R38-AT38,"")</f>
        <v>0</v>
      </c>
      <c r="BB38" s="13" t="n">
        <f aca="false">IF($AX38=1,AT38-Cost_round*F38+S38-AU38,"")</f>
        <v>2.5</v>
      </c>
      <c r="BC38" s="13" t="n">
        <f aca="false">IF($AX38=1,AU38-Cost_round*G38+T38-AV38,"")</f>
        <v>131.25</v>
      </c>
      <c r="BD38" s="13" t="n">
        <f aca="false">IF($AX38=1,AV38-Cost_round*H38+U38-AW38,"")</f>
        <v>11.25</v>
      </c>
      <c r="BE38" s="17" t="n">
        <f aca="false">IF($AX38=1,SUMPRODUCT(AY38:BD38,$AY$6:$BD$6),"")</f>
        <v>121.371970821214</v>
      </c>
      <c r="BF38" s="12" t="n">
        <f aca="false">IF(AND($AX38=1,Res_b&gt;0),(AK38-BE38)/Res_b,"")</f>
        <v>0.909090909090909</v>
      </c>
      <c r="BG38" s="17" t="n">
        <f aca="false">IF(AC38&gt;=Goal_b-0.000000001,AK38-Beta_y*Goal_b,"")</f>
        <v>144.099243548486</v>
      </c>
      <c r="BH38" s="15" t="n">
        <f aca="false">IF(AC38&gt;=Goal_b-0.000000001,IF(AND(AL38&gt;=Goal_S-0.000000001,BG38&gt;=Goal_P-0.000000001),1,0),0)</f>
        <v>0</v>
      </c>
    </row>
    <row r="39" customFormat="false" ht="15" hidden="false" customHeight="false" outlineLevel="0" collapsed="false">
      <c r="A39" s="2" t="n">
        <v>31</v>
      </c>
      <c r="B39" s="2" t="s">
        <v>149</v>
      </c>
      <c r="C39" s="15" t="n">
        <f aca="false">MOD(INT($A39/32),2)</f>
        <v>0</v>
      </c>
      <c r="D39" s="15" t="n">
        <f aca="false">MOD(INT($A39/16),2)</f>
        <v>1</v>
      </c>
      <c r="E39" s="15" t="n">
        <f aca="false">MOD(INT($A39/8),2)</f>
        <v>1</v>
      </c>
      <c r="F39" s="15" t="n">
        <f aca="false">MOD(INT($A39/4),2)</f>
        <v>1</v>
      </c>
      <c r="G39" s="15" t="n">
        <f aca="false">MOD(INT($A39/2),2)</f>
        <v>1</v>
      </c>
      <c r="H39" s="15" t="n">
        <f aca="false">MOD(INT($A39/1),2)</f>
        <v>1</v>
      </c>
      <c r="I39" s="15" t="n">
        <f aca="false">SUM(C39:H39)</f>
        <v>5</v>
      </c>
      <c r="J39" s="13" t="n">
        <f aca="false">E_zero+C39*Half_gap*(Ceiling_e-E_zero)</f>
        <v>71</v>
      </c>
      <c r="K39" s="13" t="n">
        <f aca="false">J39+D39*Half_gap*(Ceiling_e-J39)</f>
        <v>78</v>
      </c>
      <c r="L39" s="13" t="n">
        <f aca="false">K39+E39*Half_gap*(Ceiling_e-K39)</f>
        <v>81.5</v>
      </c>
      <c r="M39" s="13" t="n">
        <f aca="false">L39+F39*Half_gap*(Ceiling_e-L39)</f>
        <v>83.25</v>
      </c>
      <c r="N39" s="13" t="n">
        <f aca="false">M39+G39*Half_gap*(Ceiling_e-M39)</f>
        <v>84.125</v>
      </c>
      <c r="O39" s="13" t="n">
        <f aca="false">N39+H39*Half_gap*(Ceiling_e-N39)</f>
        <v>84.5625</v>
      </c>
      <c r="P39" s="13" t="n">
        <f aca="false">Val_pt*(J39-E_zero)</f>
        <v>0</v>
      </c>
      <c r="Q39" s="13" t="n">
        <f aca="false">Val_pt*(K39-E_zero)</f>
        <v>70</v>
      </c>
      <c r="R39" s="13" t="n">
        <f aca="false">Val_pt*(L39-E_zero)</f>
        <v>105</v>
      </c>
      <c r="S39" s="13" t="n">
        <f aca="false">Val_pt*(M39-E_zero)</f>
        <v>122.5</v>
      </c>
      <c r="T39" s="13" t="n">
        <f aca="false">Val_pt*(N39-E_zero)</f>
        <v>131.25</v>
      </c>
      <c r="U39" s="13" t="n">
        <f aca="false">Val_pt*(O39-E_zero)</f>
        <v>135.625</v>
      </c>
      <c r="V39" s="16" t="n">
        <f aca="false">MAX(W39+Cost_round*C39-P39,IF(C39=1,Pre_q,0))</f>
        <v>535</v>
      </c>
      <c r="W39" s="16" t="n">
        <f aca="false">MAX(X39+Cost_round*D39-Q39,IF(D39=1,Pre_q,0),Floor_q)</f>
        <v>535</v>
      </c>
      <c r="X39" s="16" t="n">
        <f aca="false">MAX(Y39+Cost_round*E39-R39,IF(E39=1,Pre_q,0),Floor_q)</f>
        <v>485</v>
      </c>
      <c r="Y39" s="16" t="n">
        <f aca="false">MAX(Z39+Cost_round*F39-S39,IF(F39=1,Pre_q,0),Floor_q)</f>
        <v>470</v>
      </c>
      <c r="Z39" s="16" t="n">
        <f aca="false">MAX(AA39+Cost_round*G39-T39,IF(G39=1,Pre_q,0),Floor_q)</f>
        <v>470</v>
      </c>
      <c r="AA39" s="16" t="n">
        <f aca="false">MAX(AB39+Cost_round*H39-U39,IF(H39=1,Pre_q,0),Floor_q)</f>
        <v>470</v>
      </c>
      <c r="AB39" s="16" t="n">
        <f aca="false">End_q</f>
        <v>470</v>
      </c>
      <c r="AC39" s="16" t="n">
        <f aca="false">Q_zero-V39</f>
        <v>85</v>
      </c>
      <c r="AD39" s="15" t="n">
        <f aca="false">IF(AC39&gt;=-0.000000001,1,0)</f>
        <v>1</v>
      </c>
      <c r="AE39" s="13" t="n">
        <f aca="false">IF($AD39=1,Q_zero-Cost_round*C39+P39-W39,"")</f>
        <v>85</v>
      </c>
      <c r="AF39" s="13" t="n">
        <f aca="false">IF($AD39=1,W39-Cost_round*D39+Q39-X39,"")</f>
        <v>0</v>
      </c>
      <c r="AG39" s="13" t="n">
        <f aca="false">IF($AD39=1,X39-Cost_round*E39+R39-Y39,"")</f>
        <v>0</v>
      </c>
      <c r="AH39" s="13" t="n">
        <f aca="false">IF($AD39=1,Y39-Cost_round*F39+S39-Z39,"")</f>
        <v>2.5</v>
      </c>
      <c r="AI39" s="13" t="n">
        <f aca="false">IF($AD39=1,Z39-Cost_round*G39+T39-AA39,"")</f>
        <v>11.25</v>
      </c>
      <c r="AJ39" s="13" t="n">
        <f aca="false">IF($AD39=1,AA39-Cost_round*H39+U39-AB39,"")</f>
        <v>15.625</v>
      </c>
      <c r="AK39" s="17" t="n">
        <f aca="false">IF($AD39=1,SUMPRODUCT(AE39:AJ39,$AE$6:$AJ$6),"")</f>
        <v>94.7855309526457</v>
      </c>
      <c r="AL39" s="13" t="n">
        <f aca="false">U39</f>
        <v>135.625</v>
      </c>
      <c r="AM39" s="15" t="n">
        <f aca="false">IF(SUMPRODUCT(($AK$8:$AK$71&gt;=AK39-0.000000001)*($AL$8:$AL$71&gt;=AL39-0.000000001)*((($AK$8:$AK$71&gt;AK39+0.000000001)+($AL$8:$AL$71&gt;AL39+0.000000001))&gt;0))&gt;0,1,0)</f>
        <v>1</v>
      </c>
      <c r="AN39" s="15" t="n">
        <f aca="false">1-AM39</f>
        <v>0</v>
      </c>
      <c r="AO39" s="17" t="n">
        <f aca="false">AK39+W_board*AL39</f>
        <v>860.353298588081</v>
      </c>
      <c r="AP39" s="17" t="n">
        <f aca="false">AK39+W_try*AL39</f>
        <v>1451.03553095265</v>
      </c>
      <c r="AQ39" s="16" t="n">
        <f aca="false">MAX(AR39+Cost_round*C39-P39,IF(C39=1,Pre_q+Res_b,0))</f>
        <v>585</v>
      </c>
      <c r="AR39" s="16" t="n">
        <f aca="false">MAX(AS39+Cost_round*D39-Q39,IF(D39=1,Pre_q+Res_b,0),Floor_q+Res_b)</f>
        <v>585</v>
      </c>
      <c r="AS39" s="16" t="n">
        <f aca="false">MAX(AT39+Cost_round*E39-R39,IF(E39=1,Pre_q+Res_b,0),Floor_q+Res_b)</f>
        <v>535</v>
      </c>
      <c r="AT39" s="16" t="n">
        <f aca="false">MAX(AU39+Cost_round*F39-S39,IF(F39=1,Pre_q+Res_b,0),Floor_q+Res_b)</f>
        <v>520</v>
      </c>
      <c r="AU39" s="16" t="n">
        <f aca="false">MAX(AV39+Cost_round*G39-T39,IF(G39=1,Pre_q+Res_b,0),Floor_q+Res_b)</f>
        <v>520</v>
      </c>
      <c r="AV39" s="16" t="n">
        <f aca="false">MAX(AW39+Cost_round*H39-U39,IF(H39=1,Pre_q+Res_b,0),Floor_q+Res_b)</f>
        <v>520</v>
      </c>
      <c r="AW39" s="16" t="n">
        <f aca="false">End_q+Res_b</f>
        <v>520</v>
      </c>
      <c r="AX39" s="15" t="n">
        <f aca="false">IF(Q_zero&gt;=AQ39-0.000000001,1,0)</f>
        <v>1</v>
      </c>
      <c r="AY39" s="13" t="n">
        <f aca="false">IF($AX39=1,Q_zero-Cost_round*C39+P39-AR39,"")</f>
        <v>35</v>
      </c>
      <c r="AZ39" s="13" t="n">
        <f aca="false">IF($AX39=1,AR39-Cost_round*D39+Q39-AS39,"")</f>
        <v>0</v>
      </c>
      <c r="BA39" s="13" t="n">
        <f aca="false">IF($AX39=1,AS39-Cost_round*E39+R39-AT39,"")</f>
        <v>0</v>
      </c>
      <c r="BB39" s="13" t="n">
        <f aca="false">IF($AX39=1,AT39-Cost_round*F39+S39-AU39,"")</f>
        <v>2.5</v>
      </c>
      <c r="BC39" s="13" t="n">
        <f aca="false">IF($AX39=1,AU39-Cost_round*G39+T39-AV39,"")</f>
        <v>11.25</v>
      </c>
      <c r="BD39" s="13" t="n">
        <f aca="false">IF($AX39=1,AV39-Cost_round*H39+U39-AW39,"")</f>
        <v>15.625</v>
      </c>
      <c r="BE39" s="17" t="n">
        <f aca="false">IF($AX39=1,SUMPRODUCT(AY39:BD39,$AY$6:$BD$6),"")</f>
        <v>49.3309854981003</v>
      </c>
      <c r="BF39" s="12" t="n">
        <f aca="false">IF(AND($AX39=1,Res_b&gt;0),(AK39-BE39)/Res_b,"")</f>
        <v>0.909090909090909</v>
      </c>
      <c r="BG39" s="17" t="n">
        <f aca="false">IF(AC39&gt;=Goal_b-0.000000001,AK39-Beta_y*Goal_b,"")</f>
        <v>72.058258225373</v>
      </c>
      <c r="BH39" s="15" t="n">
        <f aca="false">IF(AC39&gt;=Goal_b-0.000000001,IF(AND(AL39&gt;=Goal_S-0.000000001,BG39&gt;=Goal_P-0.000000001),1,0),0)</f>
        <v>0</v>
      </c>
    </row>
    <row r="40" customFormat="false" ht="15" hidden="false" customHeight="false" outlineLevel="0" collapsed="false">
      <c r="A40" s="2" t="n">
        <v>32</v>
      </c>
      <c r="B40" s="2" t="s">
        <v>150</v>
      </c>
      <c r="C40" s="15" t="n">
        <f aca="false">MOD(INT($A40/32),2)</f>
        <v>1</v>
      </c>
      <c r="D40" s="15" t="n">
        <f aca="false">MOD(INT($A40/16),2)</f>
        <v>0</v>
      </c>
      <c r="E40" s="15" t="n">
        <f aca="false">MOD(INT($A40/8),2)</f>
        <v>0</v>
      </c>
      <c r="F40" s="15" t="n">
        <f aca="false">MOD(INT($A40/4),2)</f>
        <v>0</v>
      </c>
      <c r="G40" s="15" t="n">
        <f aca="false">MOD(INT($A40/2),2)</f>
        <v>0</v>
      </c>
      <c r="H40" s="15" t="n">
        <f aca="false">MOD(INT($A40/1),2)</f>
        <v>0</v>
      </c>
      <c r="I40" s="15" t="n">
        <f aca="false">SUM(C40:H40)</f>
        <v>1</v>
      </c>
      <c r="J40" s="13" t="n">
        <f aca="false">E_zero+C40*Half_gap*(Ceiling_e-E_zero)</f>
        <v>78</v>
      </c>
      <c r="K40" s="13" t="n">
        <f aca="false">J40+D40*Half_gap*(Ceiling_e-J40)</f>
        <v>78</v>
      </c>
      <c r="L40" s="13" t="n">
        <f aca="false">K40+E40*Half_gap*(Ceiling_e-K40)</f>
        <v>78</v>
      </c>
      <c r="M40" s="13" t="n">
        <f aca="false">L40+F40*Half_gap*(Ceiling_e-L40)</f>
        <v>78</v>
      </c>
      <c r="N40" s="13" t="n">
        <f aca="false">M40+G40*Half_gap*(Ceiling_e-M40)</f>
        <v>78</v>
      </c>
      <c r="O40" s="13" t="n">
        <f aca="false">N40+H40*Half_gap*(Ceiling_e-N40)</f>
        <v>78</v>
      </c>
      <c r="P40" s="13" t="n">
        <f aca="false">Val_pt*(J40-E_zero)</f>
        <v>70</v>
      </c>
      <c r="Q40" s="13" t="n">
        <f aca="false">Val_pt*(K40-E_zero)</f>
        <v>70</v>
      </c>
      <c r="R40" s="13" t="n">
        <f aca="false">Val_pt*(L40-E_zero)</f>
        <v>70</v>
      </c>
      <c r="S40" s="13" t="n">
        <f aca="false">Val_pt*(M40-E_zero)</f>
        <v>70</v>
      </c>
      <c r="T40" s="13" t="n">
        <f aca="false">Val_pt*(N40-E_zero)</f>
        <v>70</v>
      </c>
      <c r="U40" s="13" t="n">
        <f aca="false">Val_pt*(O40-E_zero)</f>
        <v>70</v>
      </c>
      <c r="V40" s="16" t="n">
        <f aca="false">MAX(W40+Cost_round*C40-P40,IF(C40=1,Pre_q,0))</f>
        <v>470</v>
      </c>
      <c r="W40" s="16" t="n">
        <f aca="false">MAX(X40+Cost_round*D40-Q40,IF(D40=1,Pre_q,0),Floor_q)</f>
        <v>350</v>
      </c>
      <c r="X40" s="16" t="n">
        <f aca="false">MAX(Y40+Cost_round*E40-R40,IF(E40=1,Pre_q,0),Floor_q)</f>
        <v>350</v>
      </c>
      <c r="Y40" s="16" t="n">
        <f aca="false">MAX(Z40+Cost_round*F40-S40,IF(F40=1,Pre_q,0),Floor_q)</f>
        <v>350</v>
      </c>
      <c r="Z40" s="16" t="n">
        <f aca="false">MAX(AA40+Cost_round*G40-T40,IF(G40=1,Pre_q,0),Floor_q)</f>
        <v>350</v>
      </c>
      <c r="AA40" s="16" t="n">
        <f aca="false">MAX(AB40+Cost_round*H40-U40,IF(H40=1,Pre_q,0),Floor_q)</f>
        <v>400</v>
      </c>
      <c r="AB40" s="16" t="n">
        <f aca="false">End_q</f>
        <v>470</v>
      </c>
      <c r="AC40" s="16" t="n">
        <f aca="false">Q_zero-V40</f>
        <v>150</v>
      </c>
      <c r="AD40" s="15" t="n">
        <f aca="false">IF(AC40&gt;=-0.000000001,1,0)</f>
        <v>1</v>
      </c>
      <c r="AE40" s="13" t="n">
        <f aca="false">IF($AD40=1,Q_zero-Cost_round*C40+P40-W40,"")</f>
        <v>220</v>
      </c>
      <c r="AF40" s="13" t="n">
        <f aca="false">IF($AD40=1,W40-Cost_round*D40+Q40-X40,"")</f>
        <v>70</v>
      </c>
      <c r="AG40" s="13" t="n">
        <f aca="false">IF($AD40=1,X40-Cost_round*E40+R40-Y40,"")</f>
        <v>70</v>
      </c>
      <c r="AH40" s="13" t="n">
        <f aca="false">IF($AD40=1,Y40-Cost_round*F40+S40-Z40,"")</f>
        <v>70</v>
      </c>
      <c r="AI40" s="13" t="n">
        <f aca="false">IF($AD40=1,Z40-Cost_round*G40+T40-AA40,"")</f>
        <v>20</v>
      </c>
      <c r="AJ40" s="13" t="n">
        <f aca="false">IF($AD40=1,AA40-Cost_round*H40+U40-AB40,"")</f>
        <v>0</v>
      </c>
      <c r="AK40" s="17" t="n">
        <f aca="false">IF($AD40=1,SUMPRODUCT(AE40:AJ40,$AE$6:$AJ$6),"")</f>
        <v>370.67264406927</v>
      </c>
      <c r="AL40" s="13" t="n">
        <f aca="false">U40</f>
        <v>70</v>
      </c>
      <c r="AM40" s="15" t="n">
        <f aca="false">IF(SUMPRODUCT(($AK$8:$AK$71&gt;=AK40-0.000000001)*($AL$8:$AL$71&gt;=AL40-0.000000001)*((($AK$8:$AK$71&gt;AK40+0.000000001)+($AL$8:$AL$71&gt;AL40+0.000000001))&gt;0))&gt;0,1,0)</f>
        <v>1</v>
      </c>
      <c r="AN40" s="15" t="n">
        <f aca="false">1-AM40</f>
        <v>0</v>
      </c>
      <c r="AO40" s="17" t="n">
        <f aca="false">AK40+W_board*AL40</f>
        <v>765.804395106914</v>
      </c>
      <c r="AP40" s="17" t="n">
        <f aca="false">AK40+W_try*AL40</f>
        <v>1070.67264406927</v>
      </c>
      <c r="AQ40" s="16" t="n">
        <f aca="false">MAX(AR40+Cost_round*C40-P40,IF(C40=1,Pre_q+Res_b,0))</f>
        <v>520</v>
      </c>
      <c r="AR40" s="16" t="n">
        <f aca="false">MAX(AS40+Cost_round*D40-Q40,IF(D40=1,Pre_q+Res_b,0),Floor_q+Res_b)</f>
        <v>400</v>
      </c>
      <c r="AS40" s="16" t="n">
        <f aca="false">MAX(AT40+Cost_round*E40-R40,IF(E40=1,Pre_q+Res_b,0),Floor_q+Res_b)</f>
        <v>400</v>
      </c>
      <c r="AT40" s="16" t="n">
        <f aca="false">MAX(AU40+Cost_round*F40-S40,IF(F40=1,Pre_q+Res_b,0),Floor_q+Res_b)</f>
        <v>400</v>
      </c>
      <c r="AU40" s="16" t="n">
        <f aca="false">MAX(AV40+Cost_round*G40-T40,IF(G40=1,Pre_q+Res_b,0),Floor_q+Res_b)</f>
        <v>400</v>
      </c>
      <c r="AV40" s="16" t="n">
        <f aca="false">MAX(AW40+Cost_round*H40-U40,IF(H40=1,Pre_q+Res_b,0),Floor_q+Res_b)</f>
        <v>450</v>
      </c>
      <c r="AW40" s="16" t="n">
        <f aca="false">End_q+Res_b</f>
        <v>520</v>
      </c>
      <c r="AX40" s="15" t="n">
        <f aca="false">IF(Q_zero&gt;=AQ40-0.000000001,1,0)</f>
        <v>1</v>
      </c>
      <c r="AY40" s="13" t="n">
        <f aca="false">IF($AX40=1,Q_zero-Cost_round*C40+P40-AR40,"")</f>
        <v>170</v>
      </c>
      <c r="AZ40" s="13" t="n">
        <f aca="false">IF($AX40=1,AR40-Cost_round*D40+Q40-AS40,"")</f>
        <v>70</v>
      </c>
      <c r="BA40" s="13" t="n">
        <f aca="false">IF($AX40=1,AS40-Cost_round*E40+R40-AT40,"")</f>
        <v>70</v>
      </c>
      <c r="BB40" s="13" t="n">
        <f aca="false">IF($AX40=1,AT40-Cost_round*F40+S40-AU40,"")</f>
        <v>70</v>
      </c>
      <c r="BC40" s="13" t="n">
        <f aca="false">IF($AX40=1,AU40-Cost_round*G40+T40-AV40,"")</f>
        <v>20</v>
      </c>
      <c r="BD40" s="13" t="n">
        <f aca="false">IF($AX40=1,AV40-Cost_round*H40+U40-AW40,"")</f>
        <v>0</v>
      </c>
      <c r="BE40" s="17" t="n">
        <f aca="false">IF($AX40=1,SUMPRODUCT(AY40:BD40,$AY$6:$BD$6),"")</f>
        <v>325.218098614725</v>
      </c>
      <c r="BF40" s="12" t="n">
        <f aca="false">IF(AND($AX40=1,Res_b&gt;0),(AK40-BE40)/Res_b,"")</f>
        <v>0.909090909090909</v>
      </c>
      <c r="BG40" s="17" t="n">
        <f aca="false">IF(AC40&gt;=Goal_b-0.000000001,AK40-Beta_y*Goal_b,"")</f>
        <v>347.945371341997</v>
      </c>
      <c r="BH40" s="15" t="n">
        <f aca="false">IF(AC40&gt;=Goal_b-0.000000001,IF(AND(AL40&gt;=Goal_S-0.000000001,BG40&gt;=Goal_P-0.000000001),1,0),0)</f>
        <v>0</v>
      </c>
    </row>
    <row r="41" customFormat="false" ht="15" hidden="false" customHeight="false" outlineLevel="0" collapsed="false">
      <c r="A41" s="2" t="n">
        <v>33</v>
      </c>
      <c r="B41" s="2" t="s">
        <v>151</v>
      </c>
      <c r="C41" s="15" t="n">
        <f aca="false">MOD(INT($A41/32),2)</f>
        <v>1</v>
      </c>
      <c r="D41" s="15" t="n">
        <f aca="false">MOD(INT($A41/16),2)</f>
        <v>0</v>
      </c>
      <c r="E41" s="15" t="n">
        <f aca="false">MOD(INT($A41/8),2)</f>
        <v>0</v>
      </c>
      <c r="F41" s="15" t="n">
        <f aca="false">MOD(INT($A41/4),2)</f>
        <v>0</v>
      </c>
      <c r="G41" s="15" t="n">
        <f aca="false">MOD(INT($A41/2),2)</f>
        <v>0</v>
      </c>
      <c r="H41" s="15" t="n">
        <f aca="false">MOD(INT($A41/1),2)</f>
        <v>1</v>
      </c>
      <c r="I41" s="15" t="n">
        <f aca="false">SUM(C41:H41)</f>
        <v>2</v>
      </c>
      <c r="J41" s="13" t="n">
        <f aca="false">E_zero+C41*Half_gap*(Ceiling_e-E_zero)</f>
        <v>78</v>
      </c>
      <c r="K41" s="13" t="n">
        <f aca="false">J41+D41*Half_gap*(Ceiling_e-J41)</f>
        <v>78</v>
      </c>
      <c r="L41" s="13" t="n">
        <f aca="false">K41+E41*Half_gap*(Ceiling_e-K41)</f>
        <v>78</v>
      </c>
      <c r="M41" s="13" t="n">
        <f aca="false">L41+F41*Half_gap*(Ceiling_e-L41)</f>
        <v>78</v>
      </c>
      <c r="N41" s="13" t="n">
        <f aca="false">M41+G41*Half_gap*(Ceiling_e-M41)</f>
        <v>78</v>
      </c>
      <c r="O41" s="13" t="n">
        <f aca="false">N41+H41*Half_gap*(Ceiling_e-N41)</f>
        <v>81.5</v>
      </c>
      <c r="P41" s="13" t="n">
        <f aca="false">Val_pt*(J41-E_zero)</f>
        <v>70</v>
      </c>
      <c r="Q41" s="13" t="n">
        <f aca="false">Val_pt*(K41-E_zero)</f>
        <v>70</v>
      </c>
      <c r="R41" s="13" t="n">
        <f aca="false">Val_pt*(L41-E_zero)</f>
        <v>70</v>
      </c>
      <c r="S41" s="13" t="n">
        <f aca="false">Val_pt*(M41-E_zero)</f>
        <v>70</v>
      </c>
      <c r="T41" s="13" t="n">
        <f aca="false">Val_pt*(N41-E_zero)</f>
        <v>70</v>
      </c>
      <c r="U41" s="13" t="n">
        <f aca="false">Val_pt*(O41-E_zero)</f>
        <v>105</v>
      </c>
      <c r="V41" s="16" t="n">
        <f aca="false">MAX(W41+Cost_round*C41-P41,IF(C41=1,Pre_q,0))</f>
        <v>470</v>
      </c>
      <c r="W41" s="16" t="n">
        <f aca="false">MAX(X41+Cost_round*D41-Q41,IF(D41=1,Pre_q,0),Floor_q)</f>
        <v>350</v>
      </c>
      <c r="X41" s="16" t="n">
        <f aca="false">MAX(Y41+Cost_round*E41-R41,IF(E41=1,Pre_q,0),Floor_q)</f>
        <v>350</v>
      </c>
      <c r="Y41" s="16" t="n">
        <f aca="false">MAX(Z41+Cost_round*F41-S41,IF(F41=1,Pre_q,0),Floor_q)</f>
        <v>350</v>
      </c>
      <c r="Z41" s="16" t="n">
        <f aca="false">MAX(AA41+Cost_round*G41-T41,IF(G41=1,Pre_q,0),Floor_q)</f>
        <v>415</v>
      </c>
      <c r="AA41" s="16" t="n">
        <f aca="false">MAX(AB41+Cost_round*H41-U41,IF(H41=1,Pre_q,0),Floor_q)</f>
        <v>485</v>
      </c>
      <c r="AB41" s="16" t="n">
        <f aca="false">End_q</f>
        <v>470</v>
      </c>
      <c r="AC41" s="16" t="n">
        <f aca="false">Q_zero-V41</f>
        <v>150</v>
      </c>
      <c r="AD41" s="15" t="n">
        <f aca="false">IF(AC41&gt;=-0.000000001,1,0)</f>
        <v>1</v>
      </c>
      <c r="AE41" s="13" t="n">
        <f aca="false">IF($AD41=1,Q_zero-Cost_round*C41+P41-W41,"")</f>
        <v>220</v>
      </c>
      <c r="AF41" s="13" t="n">
        <f aca="false">IF($AD41=1,W41-Cost_round*D41+Q41-X41,"")</f>
        <v>70</v>
      </c>
      <c r="AG41" s="13" t="n">
        <f aca="false">IF($AD41=1,X41-Cost_round*E41+R41-Y41,"")</f>
        <v>70</v>
      </c>
      <c r="AH41" s="13" t="n">
        <f aca="false">IF($AD41=1,Y41-Cost_round*F41+S41-Z41,"")</f>
        <v>5</v>
      </c>
      <c r="AI41" s="13" t="n">
        <f aca="false">IF($AD41=1,Z41-Cost_round*G41+T41-AA41,"")</f>
        <v>0</v>
      </c>
      <c r="AJ41" s="13" t="n">
        <f aca="false">IF($AD41=1,AA41-Cost_round*H41+U41-AB41,"")</f>
        <v>0</v>
      </c>
      <c r="AK41" s="17" t="n">
        <f aca="false">IF($AD41=1,SUMPRODUCT(AE41:AJ41,$AE$6:$AJ$6),"")</f>
        <v>313.858343009357</v>
      </c>
      <c r="AL41" s="13" t="n">
        <f aca="false">U41</f>
        <v>105</v>
      </c>
      <c r="AM41" s="15" t="n">
        <f aca="false">IF(SUMPRODUCT(($AK$8:$AK$71&gt;=AK41-0.000000001)*($AL$8:$AL$71&gt;=AL41-0.000000001)*((($AK$8:$AK$71&gt;AK41+0.000000001)+($AL$8:$AL$71&gt;AL41+0.000000001))&gt;0))&gt;0,1,0)</f>
        <v>1</v>
      </c>
      <c r="AN41" s="15" t="n">
        <f aca="false">1-AM41</f>
        <v>0</v>
      </c>
      <c r="AO41" s="17" t="n">
        <f aca="false">AK41+W_board*AL41</f>
        <v>906.555969565824</v>
      </c>
      <c r="AP41" s="17" t="n">
        <f aca="false">AK41+W_try*AL41</f>
        <v>1363.85834300936</v>
      </c>
      <c r="AQ41" s="16" t="n">
        <f aca="false">MAX(AR41+Cost_round*C41-P41,IF(C41=1,Pre_q+Res_b,0))</f>
        <v>520</v>
      </c>
      <c r="AR41" s="16" t="n">
        <f aca="false">MAX(AS41+Cost_round*D41-Q41,IF(D41=1,Pre_q+Res_b,0),Floor_q+Res_b)</f>
        <v>400</v>
      </c>
      <c r="AS41" s="16" t="n">
        <f aca="false">MAX(AT41+Cost_round*E41-R41,IF(E41=1,Pre_q+Res_b,0),Floor_q+Res_b)</f>
        <v>400</v>
      </c>
      <c r="AT41" s="16" t="n">
        <f aca="false">MAX(AU41+Cost_round*F41-S41,IF(F41=1,Pre_q+Res_b,0),Floor_q+Res_b)</f>
        <v>400</v>
      </c>
      <c r="AU41" s="16" t="n">
        <f aca="false">MAX(AV41+Cost_round*G41-T41,IF(G41=1,Pre_q+Res_b,0),Floor_q+Res_b)</f>
        <v>465</v>
      </c>
      <c r="AV41" s="16" t="n">
        <f aca="false">MAX(AW41+Cost_round*H41-U41,IF(H41=1,Pre_q+Res_b,0),Floor_q+Res_b)</f>
        <v>535</v>
      </c>
      <c r="AW41" s="16" t="n">
        <f aca="false">End_q+Res_b</f>
        <v>520</v>
      </c>
      <c r="AX41" s="15" t="n">
        <f aca="false">IF(Q_zero&gt;=AQ41-0.000000001,1,0)</f>
        <v>1</v>
      </c>
      <c r="AY41" s="13" t="n">
        <f aca="false">IF($AX41=1,Q_zero-Cost_round*C41+P41-AR41,"")</f>
        <v>170</v>
      </c>
      <c r="AZ41" s="13" t="n">
        <f aca="false">IF($AX41=1,AR41-Cost_round*D41+Q41-AS41,"")</f>
        <v>70</v>
      </c>
      <c r="BA41" s="13" t="n">
        <f aca="false">IF($AX41=1,AS41-Cost_round*E41+R41-AT41,"")</f>
        <v>70</v>
      </c>
      <c r="BB41" s="13" t="n">
        <f aca="false">IF($AX41=1,AT41-Cost_round*F41+S41-AU41,"")</f>
        <v>5</v>
      </c>
      <c r="BC41" s="13" t="n">
        <f aca="false">IF($AX41=1,AU41-Cost_round*G41+T41-AV41,"")</f>
        <v>0</v>
      </c>
      <c r="BD41" s="13" t="n">
        <f aca="false">IF($AX41=1,AV41-Cost_round*H41+U41-AW41,"")</f>
        <v>0</v>
      </c>
      <c r="BE41" s="17" t="n">
        <f aca="false">IF($AX41=1,SUMPRODUCT(AY41:BD41,$AY$6:$BD$6),"")</f>
        <v>268.403797554812</v>
      </c>
      <c r="BF41" s="12" t="n">
        <f aca="false">IF(AND($AX41=1,Res_b&gt;0),(AK41-BE41)/Res_b,"")</f>
        <v>0.90909090909091</v>
      </c>
      <c r="BG41" s="17" t="n">
        <f aca="false">IF(AC41&gt;=Goal_b-0.000000001,AK41-Beta_y*Goal_b,"")</f>
        <v>291.131070282085</v>
      </c>
      <c r="BH41" s="15" t="n">
        <f aca="false">IF(AC41&gt;=Goal_b-0.000000001,IF(AND(AL41&gt;=Goal_S-0.000000001,BG41&gt;=Goal_P-0.000000001),1,0),0)</f>
        <v>0</v>
      </c>
    </row>
    <row r="42" customFormat="false" ht="15" hidden="false" customHeight="false" outlineLevel="0" collapsed="false">
      <c r="A42" s="2" t="n">
        <v>34</v>
      </c>
      <c r="B42" s="2" t="s">
        <v>152</v>
      </c>
      <c r="C42" s="15" t="n">
        <f aca="false">MOD(INT($A42/32),2)</f>
        <v>1</v>
      </c>
      <c r="D42" s="15" t="n">
        <f aca="false">MOD(INT($A42/16),2)</f>
        <v>0</v>
      </c>
      <c r="E42" s="15" t="n">
        <f aca="false">MOD(INT($A42/8),2)</f>
        <v>0</v>
      </c>
      <c r="F42" s="15" t="n">
        <f aca="false">MOD(INT($A42/4),2)</f>
        <v>0</v>
      </c>
      <c r="G42" s="15" t="n">
        <f aca="false">MOD(INT($A42/2),2)</f>
        <v>1</v>
      </c>
      <c r="H42" s="15" t="n">
        <f aca="false">MOD(INT($A42/1),2)</f>
        <v>0</v>
      </c>
      <c r="I42" s="15" t="n">
        <f aca="false">SUM(C42:H42)</f>
        <v>2</v>
      </c>
      <c r="J42" s="13" t="n">
        <f aca="false">E_zero+C42*Half_gap*(Ceiling_e-E_zero)</f>
        <v>78</v>
      </c>
      <c r="K42" s="13" t="n">
        <f aca="false">J42+D42*Half_gap*(Ceiling_e-J42)</f>
        <v>78</v>
      </c>
      <c r="L42" s="13" t="n">
        <f aca="false">K42+E42*Half_gap*(Ceiling_e-K42)</f>
        <v>78</v>
      </c>
      <c r="M42" s="13" t="n">
        <f aca="false">L42+F42*Half_gap*(Ceiling_e-L42)</f>
        <v>78</v>
      </c>
      <c r="N42" s="13" t="n">
        <f aca="false">M42+G42*Half_gap*(Ceiling_e-M42)</f>
        <v>81.5</v>
      </c>
      <c r="O42" s="13" t="n">
        <f aca="false">N42+H42*Half_gap*(Ceiling_e-N42)</f>
        <v>81.5</v>
      </c>
      <c r="P42" s="13" t="n">
        <f aca="false">Val_pt*(J42-E_zero)</f>
        <v>70</v>
      </c>
      <c r="Q42" s="13" t="n">
        <f aca="false">Val_pt*(K42-E_zero)</f>
        <v>70</v>
      </c>
      <c r="R42" s="13" t="n">
        <f aca="false">Val_pt*(L42-E_zero)</f>
        <v>70</v>
      </c>
      <c r="S42" s="13" t="n">
        <f aca="false">Val_pt*(M42-E_zero)</f>
        <v>70</v>
      </c>
      <c r="T42" s="13" t="n">
        <f aca="false">Val_pt*(N42-E_zero)</f>
        <v>105</v>
      </c>
      <c r="U42" s="13" t="n">
        <f aca="false">Val_pt*(O42-E_zero)</f>
        <v>105</v>
      </c>
      <c r="V42" s="16" t="n">
        <f aca="false">MAX(W42+Cost_round*C42-P42,IF(C42=1,Pre_q,0))</f>
        <v>470</v>
      </c>
      <c r="W42" s="16" t="n">
        <f aca="false">MAX(X42+Cost_round*D42-Q42,IF(D42=1,Pre_q,0),Floor_q)</f>
        <v>350</v>
      </c>
      <c r="X42" s="16" t="n">
        <f aca="false">MAX(Y42+Cost_round*E42-R42,IF(E42=1,Pre_q,0),Floor_q)</f>
        <v>350</v>
      </c>
      <c r="Y42" s="16" t="n">
        <f aca="false">MAX(Z42+Cost_round*F42-S42,IF(F42=1,Pre_q,0),Floor_q)</f>
        <v>400</v>
      </c>
      <c r="Z42" s="16" t="n">
        <f aca="false">MAX(AA42+Cost_round*G42-T42,IF(G42=1,Pre_q,0),Floor_q)</f>
        <v>470</v>
      </c>
      <c r="AA42" s="16" t="n">
        <f aca="false">MAX(AB42+Cost_round*H42-U42,IF(H42=1,Pre_q,0),Floor_q)</f>
        <v>365</v>
      </c>
      <c r="AB42" s="16" t="n">
        <f aca="false">End_q</f>
        <v>470</v>
      </c>
      <c r="AC42" s="16" t="n">
        <f aca="false">Q_zero-V42</f>
        <v>150</v>
      </c>
      <c r="AD42" s="15" t="n">
        <f aca="false">IF(AC42&gt;=-0.000000001,1,0)</f>
        <v>1</v>
      </c>
      <c r="AE42" s="13" t="n">
        <f aca="false">IF($AD42=1,Q_zero-Cost_round*C42+P42-W42,"")</f>
        <v>220</v>
      </c>
      <c r="AF42" s="13" t="n">
        <f aca="false">IF($AD42=1,W42-Cost_round*D42+Q42-X42,"")</f>
        <v>70</v>
      </c>
      <c r="AG42" s="13" t="n">
        <f aca="false">IF($AD42=1,X42-Cost_round*E42+R42-Y42,"")</f>
        <v>20</v>
      </c>
      <c r="AH42" s="13" t="n">
        <f aca="false">IF($AD42=1,Y42-Cost_round*F42+S42-Z42,"")</f>
        <v>0</v>
      </c>
      <c r="AI42" s="13" t="n">
        <f aca="false">IF($AD42=1,Z42-Cost_round*G42+T42-AA42,"")</f>
        <v>90</v>
      </c>
      <c r="AJ42" s="13" t="n">
        <f aca="false">IF($AD42=1,AA42-Cost_round*H42+U42-AB42,"")</f>
        <v>0</v>
      </c>
      <c r="AK42" s="17" t="n">
        <f aca="false">IF($AD42=1,SUMPRODUCT(AE42:AJ42,$AE$6:$AJ$6),"")</f>
        <v>328.760454762777</v>
      </c>
      <c r="AL42" s="13" t="n">
        <f aca="false">U42</f>
        <v>105</v>
      </c>
      <c r="AM42" s="15" t="n">
        <f aca="false">IF(SUMPRODUCT(($AK$8:$AK$71&gt;=AK42-0.000000001)*($AL$8:$AL$71&gt;=AL42-0.000000001)*((($AK$8:$AK$71&gt;AK42+0.000000001)+($AL$8:$AL$71&gt;AL42+0.000000001))&gt;0))&gt;0,1,0)</f>
        <v>1</v>
      </c>
      <c r="AN42" s="15" t="n">
        <f aca="false">1-AM42</f>
        <v>0</v>
      </c>
      <c r="AO42" s="17" t="n">
        <f aca="false">AK42+W_board*AL42</f>
        <v>921.458081319243</v>
      </c>
      <c r="AP42" s="17" t="n">
        <f aca="false">AK42+W_try*AL42</f>
        <v>1378.76045476278</v>
      </c>
      <c r="AQ42" s="16" t="n">
        <f aca="false">MAX(AR42+Cost_round*C42-P42,IF(C42=1,Pre_q+Res_b,0))</f>
        <v>520</v>
      </c>
      <c r="AR42" s="16" t="n">
        <f aca="false">MAX(AS42+Cost_round*D42-Q42,IF(D42=1,Pre_q+Res_b,0),Floor_q+Res_b)</f>
        <v>400</v>
      </c>
      <c r="AS42" s="16" t="n">
        <f aca="false">MAX(AT42+Cost_round*E42-R42,IF(E42=1,Pre_q+Res_b,0),Floor_q+Res_b)</f>
        <v>400</v>
      </c>
      <c r="AT42" s="16" t="n">
        <f aca="false">MAX(AU42+Cost_round*F42-S42,IF(F42=1,Pre_q+Res_b,0),Floor_q+Res_b)</f>
        <v>450</v>
      </c>
      <c r="AU42" s="16" t="n">
        <f aca="false">MAX(AV42+Cost_round*G42-T42,IF(G42=1,Pre_q+Res_b,0),Floor_q+Res_b)</f>
        <v>520</v>
      </c>
      <c r="AV42" s="16" t="n">
        <f aca="false">MAX(AW42+Cost_round*H42-U42,IF(H42=1,Pre_q+Res_b,0),Floor_q+Res_b)</f>
        <v>415</v>
      </c>
      <c r="AW42" s="16" t="n">
        <f aca="false">End_q+Res_b</f>
        <v>520</v>
      </c>
      <c r="AX42" s="15" t="n">
        <f aca="false">IF(Q_zero&gt;=AQ42-0.000000001,1,0)</f>
        <v>1</v>
      </c>
      <c r="AY42" s="13" t="n">
        <f aca="false">IF($AX42=1,Q_zero-Cost_round*C42+P42-AR42,"")</f>
        <v>170</v>
      </c>
      <c r="AZ42" s="13" t="n">
        <f aca="false">IF($AX42=1,AR42-Cost_round*D42+Q42-AS42,"")</f>
        <v>70</v>
      </c>
      <c r="BA42" s="13" t="n">
        <f aca="false">IF($AX42=1,AS42-Cost_round*E42+R42-AT42,"")</f>
        <v>20</v>
      </c>
      <c r="BB42" s="13" t="n">
        <f aca="false">IF($AX42=1,AT42-Cost_round*F42+S42-AU42,"")</f>
        <v>0</v>
      </c>
      <c r="BC42" s="13" t="n">
        <f aca="false">IF($AX42=1,AU42-Cost_round*G42+T42-AV42,"")</f>
        <v>90</v>
      </c>
      <c r="BD42" s="13" t="n">
        <f aca="false">IF($AX42=1,AV42-Cost_round*H42+U42-AW42,"")</f>
        <v>0</v>
      </c>
      <c r="BE42" s="17" t="n">
        <f aca="false">IF($AX42=1,SUMPRODUCT(AY42:BD42,$AY$6:$BD$6),"")</f>
        <v>283.305909308232</v>
      </c>
      <c r="BF42" s="12" t="n">
        <f aca="false">IF(AND($AX42=1,Res_b&gt;0),(AK42-BE42)/Res_b,"")</f>
        <v>0.909090909090909</v>
      </c>
      <c r="BG42" s="17" t="n">
        <f aca="false">IF(AC42&gt;=Goal_b-0.000000001,AK42-Beta_y*Goal_b,"")</f>
        <v>306.033182035504</v>
      </c>
      <c r="BH42" s="15" t="n">
        <f aca="false">IF(AC42&gt;=Goal_b-0.000000001,IF(AND(AL42&gt;=Goal_S-0.000000001,BG42&gt;=Goal_P-0.000000001),1,0),0)</f>
        <v>0</v>
      </c>
    </row>
    <row r="43" customFormat="false" ht="15" hidden="false" customHeight="false" outlineLevel="0" collapsed="false">
      <c r="A43" s="2" t="n">
        <v>35</v>
      </c>
      <c r="B43" s="2" t="s">
        <v>153</v>
      </c>
      <c r="C43" s="15" t="n">
        <f aca="false">MOD(INT($A43/32),2)</f>
        <v>1</v>
      </c>
      <c r="D43" s="15" t="n">
        <f aca="false">MOD(INT($A43/16),2)</f>
        <v>0</v>
      </c>
      <c r="E43" s="15" t="n">
        <f aca="false">MOD(INT($A43/8),2)</f>
        <v>0</v>
      </c>
      <c r="F43" s="15" t="n">
        <f aca="false">MOD(INT($A43/4),2)</f>
        <v>0</v>
      </c>
      <c r="G43" s="15" t="n">
        <f aca="false">MOD(INT($A43/2),2)</f>
        <v>1</v>
      </c>
      <c r="H43" s="15" t="n">
        <f aca="false">MOD(INT($A43/1),2)</f>
        <v>1</v>
      </c>
      <c r="I43" s="15" t="n">
        <f aca="false">SUM(C43:H43)</f>
        <v>3</v>
      </c>
      <c r="J43" s="13" t="n">
        <f aca="false">E_zero+C43*Half_gap*(Ceiling_e-E_zero)</f>
        <v>78</v>
      </c>
      <c r="K43" s="13" t="n">
        <f aca="false">J43+D43*Half_gap*(Ceiling_e-J43)</f>
        <v>78</v>
      </c>
      <c r="L43" s="13" t="n">
        <f aca="false">K43+E43*Half_gap*(Ceiling_e-K43)</f>
        <v>78</v>
      </c>
      <c r="M43" s="13" t="n">
        <f aca="false">L43+F43*Half_gap*(Ceiling_e-L43)</f>
        <v>78</v>
      </c>
      <c r="N43" s="13" t="n">
        <f aca="false">M43+G43*Half_gap*(Ceiling_e-M43)</f>
        <v>81.5</v>
      </c>
      <c r="O43" s="13" t="n">
        <f aca="false">N43+H43*Half_gap*(Ceiling_e-N43)</f>
        <v>83.25</v>
      </c>
      <c r="P43" s="13" t="n">
        <f aca="false">Val_pt*(J43-E_zero)</f>
        <v>70</v>
      </c>
      <c r="Q43" s="13" t="n">
        <f aca="false">Val_pt*(K43-E_zero)</f>
        <v>70</v>
      </c>
      <c r="R43" s="13" t="n">
        <f aca="false">Val_pt*(L43-E_zero)</f>
        <v>70</v>
      </c>
      <c r="S43" s="13" t="n">
        <f aca="false">Val_pt*(M43-E_zero)</f>
        <v>70</v>
      </c>
      <c r="T43" s="13" t="n">
        <f aca="false">Val_pt*(N43-E_zero)</f>
        <v>105</v>
      </c>
      <c r="U43" s="13" t="n">
        <f aca="false">Val_pt*(O43-E_zero)</f>
        <v>122.5</v>
      </c>
      <c r="V43" s="16" t="n">
        <f aca="false">MAX(W43+Cost_round*C43-P43,IF(C43=1,Pre_q,0))</f>
        <v>470</v>
      </c>
      <c r="W43" s="16" t="n">
        <f aca="false">MAX(X43+Cost_round*D43-Q43,IF(D43=1,Pre_q,0),Floor_q)</f>
        <v>350</v>
      </c>
      <c r="X43" s="16" t="n">
        <f aca="false">MAX(Y43+Cost_round*E43-R43,IF(E43=1,Pre_q,0),Floor_q)</f>
        <v>350</v>
      </c>
      <c r="Y43" s="16" t="n">
        <f aca="false">MAX(Z43+Cost_round*F43-S43,IF(F43=1,Pre_q,0),Floor_q)</f>
        <v>415</v>
      </c>
      <c r="Z43" s="16" t="n">
        <f aca="false">MAX(AA43+Cost_round*G43-T43,IF(G43=1,Pre_q,0),Floor_q)</f>
        <v>485</v>
      </c>
      <c r="AA43" s="16" t="n">
        <f aca="false">MAX(AB43+Cost_round*H43-U43,IF(H43=1,Pre_q,0),Floor_q)</f>
        <v>470</v>
      </c>
      <c r="AB43" s="16" t="n">
        <f aca="false">End_q</f>
        <v>470</v>
      </c>
      <c r="AC43" s="16" t="n">
        <f aca="false">Q_zero-V43</f>
        <v>150</v>
      </c>
      <c r="AD43" s="15" t="n">
        <f aca="false">IF(AC43&gt;=-0.000000001,1,0)</f>
        <v>1</v>
      </c>
      <c r="AE43" s="13" t="n">
        <f aca="false">IF($AD43=1,Q_zero-Cost_round*C43+P43-W43,"")</f>
        <v>220</v>
      </c>
      <c r="AF43" s="13" t="n">
        <f aca="false">IF($AD43=1,W43-Cost_round*D43+Q43-X43,"")</f>
        <v>70</v>
      </c>
      <c r="AG43" s="13" t="n">
        <f aca="false">IF($AD43=1,X43-Cost_round*E43+R43-Y43,"")</f>
        <v>5</v>
      </c>
      <c r="AH43" s="13" t="n">
        <f aca="false">IF($AD43=1,Y43-Cost_round*F43+S43-Z43,"")</f>
        <v>0</v>
      </c>
      <c r="AI43" s="13" t="n">
        <f aca="false">IF($AD43=1,Z43-Cost_round*G43+T43-AA43,"")</f>
        <v>0</v>
      </c>
      <c r="AJ43" s="13" t="n">
        <f aca="false">IF($AD43=1,AA43-Cost_round*H43+U43-AB43,"")</f>
        <v>2.5</v>
      </c>
      <c r="AK43" s="17" t="n">
        <f aca="false">IF($AD43=1,SUMPRODUCT(AE43:AJ43,$AE$6:$AJ$6),"")</f>
        <v>263.018998499064</v>
      </c>
      <c r="AL43" s="13" t="n">
        <f aca="false">U43</f>
        <v>122.5</v>
      </c>
      <c r="AM43" s="15" t="n">
        <f aca="false">IF(SUMPRODUCT(($AK$8:$AK$71&gt;=AK43-0.000000001)*($AL$8:$AL$71&gt;=AL43-0.000000001)*((($AK$8:$AK$71&gt;AK43+0.000000001)+($AL$8:$AL$71&gt;AL43+0.000000001))&gt;0))&gt;0,1,0)</f>
        <v>1</v>
      </c>
      <c r="AN43" s="15" t="n">
        <f aca="false">1-AM43</f>
        <v>0</v>
      </c>
      <c r="AO43" s="17" t="n">
        <f aca="false">AK43+W_board*AL43</f>
        <v>954.499562814941</v>
      </c>
      <c r="AP43" s="17" t="n">
        <f aca="false">AK43+W_try*AL43</f>
        <v>1488.01899849906</v>
      </c>
      <c r="AQ43" s="16" t="n">
        <f aca="false">MAX(AR43+Cost_round*C43-P43,IF(C43=1,Pre_q+Res_b,0))</f>
        <v>520</v>
      </c>
      <c r="AR43" s="16" t="n">
        <f aca="false">MAX(AS43+Cost_round*D43-Q43,IF(D43=1,Pre_q+Res_b,0),Floor_q+Res_b)</f>
        <v>400</v>
      </c>
      <c r="AS43" s="16" t="n">
        <f aca="false">MAX(AT43+Cost_round*E43-R43,IF(E43=1,Pre_q+Res_b,0),Floor_q+Res_b)</f>
        <v>400</v>
      </c>
      <c r="AT43" s="16" t="n">
        <f aca="false">MAX(AU43+Cost_round*F43-S43,IF(F43=1,Pre_q+Res_b,0),Floor_q+Res_b)</f>
        <v>465</v>
      </c>
      <c r="AU43" s="16" t="n">
        <f aca="false">MAX(AV43+Cost_round*G43-T43,IF(G43=1,Pre_q+Res_b,0),Floor_q+Res_b)</f>
        <v>535</v>
      </c>
      <c r="AV43" s="16" t="n">
        <f aca="false">MAX(AW43+Cost_round*H43-U43,IF(H43=1,Pre_q+Res_b,0),Floor_q+Res_b)</f>
        <v>520</v>
      </c>
      <c r="AW43" s="16" t="n">
        <f aca="false">End_q+Res_b</f>
        <v>520</v>
      </c>
      <c r="AX43" s="15" t="n">
        <f aca="false">IF(Q_zero&gt;=AQ43-0.000000001,1,0)</f>
        <v>1</v>
      </c>
      <c r="AY43" s="13" t="n">
        <f aca="false">IF($AX43=1,Q_zero-Cost_round*C43+P43-AR43,"")</f>
        <v>170</v>
      </c>
      <c r="AZ43" s="13" t="n">
        <f aca="false">IF($AX43=1,AR43-Cost_round*D43+Q43-AS43,"")</f>
        <v>70</v>
      </c>
      <c r="BA43" s="13" t="n">
        <f aca="false">IF($AX43=1,AS43-Cost_round*E43+R43-AT43,"")</f>
        <v>5</v>
      </c>
      <c r="BB43" s="13" t="n">
        <f aca="false">IF($AX43=1,AT43-Cost_round*F43+S43-AU43,"")</f>
        <v>0</v>
      </c>
      <c r="BC43" s="13" t="n">
        <f aca="false">IF($AX43=1,AU43-Cost_round*G43+T43-AV43,"")</f>
        <v>0</v>
      </c>
      <c r="BD43" s="13" t="n">
        <f aca="false">IF($AX43=1,AV43-Cost_round*H43+U43-AW43,"")</f>
        <v>2.5</v>
      </c>
      <c r="BE43" s="17" t="n">
        <f aca="false">IF($AX43=1,SUMPRODUCT(AY43:BD43,$AY$6:$BD$6),"")</f>
        <v>217.564453044518</v>
      </c>
      <c r="BF43" s="12" t="n">
        <f aca="false">IF(AND($AX43=1,Res_b&gt;0),(AK43-BE43)/Res_b,"")</f>
        <v>0.909090909090909</v>
      </c>
      <c r="BG43" s="17" t="n">
        <f aca="false">IF(AC43&gt;=Goal_b-0.000000001,AK43-Beta_y*Goal_b,"")</f>
        <v>240.291725771791</v>
      </c>
      <c r="BH43" s="15" t="n">
        <f aca="false">IF(AC43&gt;=Goal_b-0.000000001,IF(AND(AL43&gt;=Goal_S-0.000000001,BG43&gt;=Goal_P-0.000000001),1,0),0)</f>
        <v>0</v>
      </c>
    </row>
    <row r="44" customFormat="false" ht="15" hidden="false" customHeight="false" outlineLevel="0" collapsed="false">
      <c r="A44" s="2" t="n">
        <v>36</v>
      </c>
      <c r="B44" s="2" t="s">
        <v>154</v>
      </c>
      <c r="C44" s="15" t="n">
        <f aca="false">MOD(INT($A44/32),2)</f>
        <v>1</v>
      </c>
      <c r="D44" s="15" t="n">
        <f aca="false">MOD(INT($A44/16),2)</f>
        <v>0</v>
      </c>
      <c r="E44" s="15" t="n">
        <f aca="false">MOD(INT($A44/8),2)</f>
        <v>0</v>
      </c>
      <c r="F44" s="15" t="n">
        <f aca="false">MOD(INT($A44/4),2)</f>
        <v>1</v>
      </c>
      <c r="G44" s="15" t="n">
        <f aca="false">MOD(INT($A44/2),2)</f>
        <v>0</v>
      </c>
      <c r="H44" s="15" t="n">
        <f aca="false">MOD(INT($A44/1),2)</f>
        <v>0</v>
      </c>
      <c r="I44" s="15" t="n">
        <f aca="false">SUM(C44:H44)</f>
        <v>2</v>
      </c>
      <c r="J44" s="13" t="n">
        <f aca="false">E_zero+C44*Half_gap*(Ceiling_e-E_zero)</f>
        <v>78</v>
      </c>
      <c r="K44" s="13" t="n">
        <f aca="false">J44+D44*Half_gap*(Ceiling_e-J44)</f>
        <v>78</v>
      </c>
      <c r="L44" s="13" t="n">
        <f aca="false">K44+E44*Half_gap*(Ceiling_e-K44)</f>
        <v>78</v>
      </c>
      <c r="M44" s="13" t="n">
        <f aca="false">L44+F44*Half_gap*(Ceiling_e-L44)</f>
        <v>81.5</v>
      </c>
      <c r="N44" s="13" t="n">
        <f aca="false">M44+G44*Half_gap*(Ceiling_e-M44)</f>
        <v>81.5</v>
      </c>
      <c r="O44" s="13" t="n">
        <f aca="false">N44+H44*Half_gap*(Ceiling_e-N44)</f>
        <v>81.5</v>
      </c>
      <c r="P44" s="13" t="n">
        <f aca="false">Val_pt*(J44-E_zero)</f>
        <v>70</v>
      </c>
      <c r="Q44" s="13" t="n">
        <f aca="false">Val_pt*(K44-E_zero)</f>
        <v>70</v>
      </c>
      <c r="R44" s="13" t="n">
        <f aca="false">Val_pt*(L44-E_zero)</f>
        <v>70</v>
      </c>
      <c r="S44" s="13" t="n">
        <f aca="false">Val_pt*(M44-E_zero)</f>
        <v>105</v>
      </c>
      <c r="T44" s="13" t="n">
        <f aca="false">Val_pt*(N44-E_zero)</f>
        <v>105</v>
      </c>
      <c r="U44" s="13" t="n">
        <f aca="false">Val_pt*(O44-E_zero)</f>
        <v>105</v>
      </c>
      <c r="V44" s="16" t="n">
        <f aca="false">MAX(W44+Cost_round*C44-P44,IF(C44=1,Pre_q,0))</f>
        <v>470</v>
      </c>
      <c r="W44" s="16" t="n">
        <f aca="false">MAX(X44+Cost_round*D44-Q44,IF(D44=1,Pre_q,0),Floor_q)</f>
        <v>350</v>
      </c>
      <c r="X44" s="16" t="n">
        <f aca="false">MAX(Y44+Cost_round*E44-R44,IF(E44=1,Pre_q,0),Floor_q)</f>
        <v>400</v>
      </c>
      <c r="Y44" s="16" t="n">
        <f aca="false">MAX(Z44+Cost_round*F44-S44,IF(F44=1,Pre_q,0),Floor_q)</f>
        <v>470</v>
      </c>
      <c r="Z44" s="16" t="n">
        <f aca="false">MAX(AA44+Cost_round*G44-T44,IF(G44=1,Pre_q,0),Floor_q)</f>
        <v>350</v>
      </c>
      <c r="AA44" s="16" t="n">
        <f aca="false">MAX(AB44+Cost_round*H44-U44,IF(H44=1,Pre_q,0),Floor_q)</f>
        <v>365</v>
      </c>
      <c r="AB44" s="16" t="n">
        <f aca="false">End_q</f>
        <v>470</v>
      </c>
      <c r="AC44" s="16" t="n">
        <f aca="false">Q_zero-V44</f>
        <v>150</v>
      </c>
      <c r="AD44" s="15" t="n">
        <f aca="false">IF(AC44&gt;=-0.000000001,1,0)</f>
        <v>1</v>
      </c>
      <c r="AE44" s="13" t="n">
        <f aca="false">IF($AD44=1,Q_zero-Cost_round*C44+P44-W44,"")</f>
        <v>220</v>
      </c>
      <c r="AF44" s="13" t="n">
        <f aca="false">IF($AD44=1,W44-Cost_round*D44+Q44-X44,"")</f>
        <v>20</v>
      </c>
      <c r="AG44" s="13" t="n">
        <f aca="false">IF($AD44=1,X44-Cost_round*E44+R44-Y44,"")</f>
        <v>0</v>
      </c>
      <c r="AH44" s="13" t="n">
        <f aca="false">IF($AD44=1,Y44-Cost_round*F44+S44-Z44,"")</f>
        <v>105</v>
      </c>
      <c r="AI44" s="13" t="n">
        <f aca="false">IF($AD44=1,Z44-Cost_round*G44+T44-AA44,"")</f>
        <v>90</v>
      </c>
      <c r="AJ44" s="13" t="n">
        <f aca="false">IF($AD44=1,AA44-Cost_round*H44+U44-AB44,"")</f>
        <v>0</v>
      </c>
      <c r="AK44" s="17" t="n">
        <f aca="false">IF($AD44=1,SUMPRODUCT(AE44:AJ44,$AE$6:$AJ$6),"")</f>
        <v>344.128257508491</v>
      </c>
      <c r="AL44" s="13" t="n">
        <f aca="false">U44</f>
        <v>105</v>
      </c>
      <c r="AM44" s="15" t="n">
        <f aca="false">IF(SUMPRODUCT(($AK$8:$AK$71&gt;=AK44-0.000000001)*($AL$8:$AL$71&gt;=AL44-0.000000001)*((($AK$8:$AK$71&gt;AK44+0.000000001)+($AL$8:$AL$71&gt;AL44+0.000000001))&gt;0))&gt;0,1,0)</f>
        <v>1</v>
      </c>
      <c r="AN44" s="15" t="n">
        <f aca="false">1-AM44</f>
        <v>0</v>
      </c>
      <c r="AO44" s="17" t="n">
        <f aca="false">AK44+W_board*AL44</f>
        <v>936.825884064957</v>
      </c>
      <c r="AP44" s="17" t="n">
        <f aca="false">AK44+W_try*AL44</f>
        <v>1394.12825750849</v>
      </c>
      <c r="AQ44" s="16" t="n">
        <f aca="false">MAX(AR44+Cost_round*C44-P44,IF(C44=1,Pre_q+Res_b,0))</f>
        <v>520</v>
      </c>
      <c r="AR44" s="16" t="n">
        <f aca="false">MAX(AS44+Cost_round*D44-Q44,IF(D44=1,Pre_q+Res_b,0),Floor_q+Res_b)</f>
        <v>400</v>
      </c>
      <c r="AS44" s="16" t="n">
        <f aca="false">MAX(AT44+Cost_round*E44-R44,IF(E44=1,Pre_q+Res_b,0),Floor_q+Res_b)</f>
        <v>450</v>
      </c>
      <c r="AT44" s="16" t="n">
        <f aca="false">MAX(AU44+Cost_round*F44-S44,IF(F44=1,Pre_q+Res_b,0),Floor_q+Res_b)</f>
        <v>520</v>
      </c>
      <c r="AU44" s="16" t="n">
        <f aca="false">MAX(AV44+Cost_round*G44-T44,IF(G44=1,Pre_q+Res_b,0),Floor_q+Res_b)</f>
        <v>400</v>
      </c>
      <c r="AV44" s="16" t="n">
        <f aca="false">MAX(AW44+Cost_round*H44-U44,IF(H44=1,Pre_q+Res_b,0),Floor_q+Res_b)</f>
        <v>415</v>
      </c>
      <c r="AW44" s="16" t="n">
        <f aca="false">End_q+Res_b</f>
        <v>520</v>
      </c>
      <c r="AX44" s="15" t="n">
        <f aca="false">IF(Q_zero&gt;=AQ44-0.000000001,1,0)</f>
        <v>1</v>
      </c>
      <c r="AY44" s="13" t="n">
        <f aca="false">IF($AX44=1,Q_zero-Cost_round*C44+P44-AR44,"")</f>
        <v>170</v>
      </c>
      <c r="AZ44" s="13" t="n">
        <f aca="false">IF($AX44=1,AR44-Cost_round*D44+Q44-AS44,"")</f>
        <v>20</v>
      </c>
      <c r="BA44" s="13" t="n">
        <f aca="false">IF($AX44=1,AS44-Cost_round*E44+R44-AT44,"")</f>
        <v>0</v>
      </c>
      <c r="BB44" s="13" t="n">
        <f aca="false">IF($AX44=1,AT44-Cost_round*F44+S44-AU44,"")</f>
        <v>105</v>
      </c>
      <c r="BC44" s="13" t="n">
        <f aca="false">IF($AX44=1,AU44-Cost_round*G44+T44-AV44,"")</f>
        <v>90</v>
      </c>
      <c r="BD44" s="13" t="n">
        <f aca="false">IF($AX44=1,AV44-Cost_round*H44+U44-AW44,"")</f>
        <v>0</v>
      </c>
      <c r="BE44" s="17" t="n">
        <f aca="false">IF($AX44=1,SUMPRODUCT(AY44:BD44,$AY$6:$BD$6),"")</f>
        <v>298.673712053946</v>
      </c>
      <c r="BF44" s="12" t="n">
        <f aca="false">IF(AND($AX44=1,Res_b&gt;0),(AK44-BE44)/Res_b,"")</f>
        <v>0.909090909090909</v>
      </c>
      <c r="BG44" s="17" t="n">
        <f aca="false">IF(AC44&gt;=Goal_b-0.000000001,AK44-Beta_y*Goal_b,"")</f>
        <v>321.400984781218</v>
      </c>
      <c r="BH44" s="15" t="n">
        <f aca="false">IF(AC44&gt;=Goal_b-0.000000001,IF(AND(AL44&gt;=Goal_S-0.000000001,BG44&gt;=Goal_P-0.000000001),1,0),0)</f>
        <v>0</v>
      </c>
    </row>
    <row r="45" customFormat="false" ht="15" hidden="false" customHeight="false" outlineLevel="0" collapsed="false">
      <c r="A45" s="2" t="n">
        <v>37</v>
      </c>
      <c r="B45" s="2" t="s">
        <v>155</v>
      </c>
      <c r="C45" s="15" t="n">
        <f aca="false">MOD(INT($A45/32),2)</f>
        <v>1</v>
      </c>
      <c r="D45" s="15" t="n">
        <f aca="false">MOD(INT($A45/16),2)</f>
        <v>0</v>
      </c>
      <c r="E45" s="15" t="n">
        <f aca="false">MOD(INT($A45/8),2)</f>
        <v>0</v>
      </c>
      <c r="F45" s="15" t="n">
        <f aca="false">MOD(INT($A45/4),2)</f>
        <v>1</v>
      </c>
      <c r="G45" s="15" t="n">
        <f aca="false">MOD(INT($A45/2),2)</f>
        <v>0</v>
      </c>
      <c r="H45" s="15" t="n">
        <f aca="false">MOD(INT($A45/1),2)</f>
        <v>1</v>
      </c>
      <c r="I45" s="15" t="n">
        <f aca="false">SUM(C45:H45)</f>
        <v>3</v>
      </c>
      <c r="J45" s="13" t="n">
        <f aca="false">E_zero+C45*Half_gap*(Ceiling_e-E_zero)</f>
        <v>78</v>
      </c>
      <c r="K45" s="13" t="n">
        <f aca="false">J45+D45*Half_gap*(Ceiling_e-J45)</f>
        <v>78</v>
      </c>
      <c r="L45" s="13" t="n">
        <f aca="false">K45+E45*Half_gap*(Ceiling_e-K45)</f>
        <v>78</v>
      </c>
      <c r="M45" s="13" t="n">
        <f aca="false">L45+F45*Half_gap*(Ceiling_e-L45)</f>
        <v>81.5</v>
      </c>
      <c r="N45" s="13" t="n">
        <f aca="false">M45+G45*Half_gap*(Ceiling_e-M45)</f>
        <v>81.5</v>
      </c>
      <c r="O45" s="13" t="n">
        <f aca="false">N45+H45*Half_gap*(Ceiling_e-N45)</f>
        <v>83.25</v>
      </c>
      <c r="P45" s="13" t="n">
        <f aca="false">Val_pt*(J45-E_zero)</f>
        <v>70</v>
      </c>
      <c r="Q45" s="13" t="n">
        <f aca="false">Val_pt*(K45-E_zero)</f>
        <v>70</v>
      </c>
      <c r="R45" s="13" t="n">
        <f aca="false">Val_pt*(L45-E_zero)</f>
        <v>70</v>
      </c>
      <c r="S45" s="13" t="n">
        <f aca="false">Val_pt*(M45-E_zero)</f>
        <v>105</v>
      </c>
      <c r="T45" s="13" t="n">
        <f aca="false">Val_pt*(N45-E_zero)</f>
        <v>105</v>
      </c>
      <c r="U45" s="13" t="n">
        <f aca="false">Val_pt*(O45-E_zero)</f>
        <v>122.5</v>
      </c>
      <c r="V45" s="16" t="n">
        <f aca="false">MAX(W45+Cost_round*C45-P45,IF(C45=1,Pre_q,0))</f>
        <v>470</v>
      </c>
      <c r="W45" s="16" t="n">
        <f aca="false">MAX(X45+Cost_round*D45-Q45,IF(D45=1,Pre_q,0),Floor_q)</f>
        <v>350</v>
      </c>
      <c r="X45" s="16" t="n">
        <f aca="false">MAX(Y45+Cost_round*E45-R45,IF(E45=1,Pre_q,0),Floor_q)</f>
        <v>400</v>
      </c>
      <c r="Y45" s="16" t="n">
        <f aca="false">MAX(Z45+Cost_round*F45-S45,IF(F45=1,Pre_q,0),Floor_q)</f>
        <v>470</v>
      </c>
      <c r="Z45" s="16" t="n">
        <f aca="false">MAX(AA45+Cost_round*G45-T45,IF(G45=1,Pre_q,0),Floor_q)</f>
        <v>365</v>
      </c>
      <c r="AA45" s="16" t="n">
        <f aca="false">MAX(AB45+Cost_round*H45-U45,IF(H45=1,Pre_q,0),Floor_q)</f>
        <v>470</v>
      </c>
      <c r="AB45" s="16" t="n">
        <f aca="false">End_q</f>
        <v>470</v>
      </c>
      <c r="AC45" s="16" t="n">
        <f aca="false">Q_zero-V45</f>
        <v>150</v>
      </c>
      <c r="AD45" s="15" t="n">
        <f aca="false">IF(AC45&gt;=-0.000000001,1,0)</f>
        <v>1</v>
      </c>
      <c r="AE45" s="13" t="n">
        <f aca="false">IF($AD45=1,Q_zero-Cost_round*C45+P45-W45,"")</f>
        <v>220</v>
      </c>
      <c r="AF45" s="13" t="n">
        <f aca="false">IF($AD45=1,W45-Cost_round*D45+Q45-X45,"")</f>
        <v>20</v>
      </c>
      <c r="AG45" s="13" t="n">
        <f aca="false">IF($AD45=1,X45-Cost_round*E45+R45-Y45,"")</f>
        <v>0</v>
      </c>
      <c r="AH45" s="13" t="n">
        <f aca="false">IF($AD45=1,Y45-Cost_round*F45+S45-Z45,"")</f>
        <v>90</v>
      </c>
      <c r="AI45" s="13" t="n">
        <f aca="false">IF($AD45=1,Z45-Cost_round*G45+T45-AA45,"")</f>
        <v>0</v>
      </c>
      <c r="AJ45" s="13" t="n">
        <f aca="false">IF($AD45=1,AA45-Cost_round*H45+U45-AB45,"")</f>
        <v>2.5</v>
      </c>
      <c r="AK45" s="17" t="n">
        <f aca="false">IF($AD45=1,SUMPRODUCT(AE45:AJ45,$AE$6:$AJ$6),"")</f>
        <v>279.411321427826</v>
      </c>
      <c r="AL45" s="13" t="n">
        <f aca="false">U45</f>
        <v>122.5</v>
      </c>
      <c r="AM45" s="15" t="n">
        <f aca="false">IF(SUMPRODUCT(($AK$8:$AK$71&gt;=AK45-0.000000001)*($AL$8:$AL$71&gt;=AL45-0.000000001)*((($AK$8:$AK$71&gt;AK45+0.000000001)+($AL$8:$AL$71&gt;AL45+0.000000001))&gt;0))&gt;0,1,0)</f>
        <v>1</v>
      </c>
      <c r="AN45" s="15" t="n">
        <f aca="false">1-AM45</f>
        <v>0</v>
      </c>
      <c r="AO45" s="17" t="n">
        <f aca="false">AK45+W_board*AL45</f>
        <v>970.891885743703</v>
      </c>
      <c r="AP45" s="17" t="n">
        <f aca="false">AK45+W_try*AL45</f>
        <v>1504.41132142783</v>
      </c>
      <c r="AQ45" s="16" t="n">
        <f aca="false">MAX(AR45+Cost_round*C45-P45,IF(C45=1,Pre_q+Res_b,0))</f>
        <v>520</v>
      </c>
      <c r="AR45" s="16" t="n">
        <f aca="false">MAX(AS45+Cost_round*D45-Q45,IF(D45=1,Pre_q+Res_b,0),Floor_q+Res_b)</f>
        <v>400</v>
      </c>
      <c r="AS45" s="16" t="n">
        <f aca="false">MAX(AT45+Cost_round*E45-R45,IF(E45=1,Pre_q+Res_b,0),Floor_q+Res_b)</f>
        <v>450</v>
      </c>
      <c r="AT45" s="16" t="n">
        <f aca="false">MAX(AU45+Cost_round*F45-S45,IF(F45=1,Pre_q+Res_b,0),Floor_q+Res_b)</f>
        <v>520</v>
      </c>
      <c r="AU45" s="16" t="n">
        <f aca="false">MAX(AV45+Cost_round*G45-T45,IF(G45=1,Pre_q+Res_b,0),Floor_q+Res_b)</f>
        <v>415</v>
      </c>
      <c r="AV45" s="16" t="n">
        <f aca="false">MAX(AW45+Cost_round*H45-U45,IF(H45=1,Pre_q+Res_b,0),Floor_q+Res_b)</f>
        <v>520</v>
      </c>
      <c r="AW45" s="16" t="n">
        <f aca="false">End_q+Res_b</f>
        <v>520</v>
      </c>
      <c r="AX45" s="15" t="n">
        <f aca="false">IF(Q_zero&gt;=AQ45-0.000000001,1,0)</f>
        <v>1</v>
      </c>
      <c r="AY45" s="13" t="n">
        <f aca="false">IF($AX45=1,Q_zero-Cost_round*C45+P45-AR45,"")</f>
        <v>170</v>
      </c>
      <c r="AZ45" s="13" t="n">
        <f aca="false">IF($AX45=1,AR45-Cost_round*D45+Q45-AS45,"")</f>
        <v>20</v>
      </c>
      <c r="BA45" s="13" t="n">
        <f aca="false">IF($AX45=1,AS45-Cost_round*E45+R45-AT45,"")</f>
        <v>0</v>
      </c>
      <c r="BB45" s="13" t="n">
        <f aca="false">IF($AX45=1,AT45-Cost_round*F45+S45-AU45,"")</f>
        <v>90</v>
      </c>
      <c r="BC45" s="13" t="n">
        <f aca="false">IF($AX45=1,AU45-Cost_round*G45+T45-AV45,"")</f>
        <v>0</v>
      </c>
      <c r="BD45" s="13" t="n">
        <f aca="false">IF($AX45=1,AV45-Cost_round*H45+U45-AW45,"")</f>
        <v>2.5</v>
      </c>
      <c r="BE45" s="17" t="n">
        <f aca="false">IF($AX45=1,SUMPRODUCT(AY45:BD45,$AY$6:$BD$6),"")</f>
        <v>233.95677597328</v>
      </c>
      <c r="BF45" s="12" t="n">
        <f aca="false">IF(AND($AX45=1,Res_b&gt;0),(AK45-BE45)/Res_b,"")</f>
        <v>0.909090909090909</v>
      </c>
      <c r="BG45" s="17" t="n">
        <f aca="false">IF(AC45&gt;=Goal_b-0.000000001,AK45-Beta_y*Goal_b,"")</f>
        <v>256.684048700553</v>
      </c>
      <c r="BH45" s="15" t="n">
        <f aca="false">IF(AC45&gt;=Goal_b-0.000000001,IF(AND(AL45&gt;=Goal_S-0.000000001,BG45&gt;=Goal_P-0.000000001),1,0),0)</f>
        <v>0</v>
      </c>
    </row>
    <row r="46" customFormat="false" ht="15" hidden="false" customHeight="false" outlineLevel="0" collapsed="false">
      <c r="A46" s="2" t="n">
        <v>38</v>
      </c>
      <c r="B46" s="2" t="s">
        <v>156</v>
      </c>
      <c r="C46" s="15" t="n">
        <f aca="false">MOD(INT($A46/32),2)</f>
        <v>1</v>
      </c>
      <c r="D46" s="15" t="n">
        <f aca="false">MOD(INT($A46/16),2)</f>
        <v>0</v>
      </c>
      <c r="E46" s="15" t="n">
        <f aca="false">MOD(INT($A46/8),2)</f>
        <v>0</v>
      </c>
      <c r="F46" s="15" t="n">
        <f aca="false">MOD(INT($A46/4),2)</f>
        <v>1</v>
      </c>
      <c r="G46" s="15" t="n">
        <f aca="false">MOD(INT($A46/2),2)</f>
        <v>1</v>
      </c>
      <c r="H46" s="15" t="n">
        <f aca="false">MOD(INT($A46/1),2)</f>
        <v>0</v>
      </c>
      <c r="I46" s="15" t="n">
        <f aca="false">SUM(C46:H46)</f>
        <v>3</v>
      </c>
      <c r="J46" s="13" t="n">
        <f aca="false">E_zero+C46*Half_gap*(Ceiling_e-E_zero)</f>
        <v>78</v>
      </c>
      <c r="K46" s="13" t="n">
        <f aca="false">J46+D46*Half_gap*(Ceiling_e-J46)</f>
        <v>78</v>
      </c>
      <c r="L46" s="13" t="n">
        <f aca="false">K46+E46*Half_gap*(Ceiling_e-K46)</f>
        <v>78</v>
      </c>
      <c r="M46" s="13" t="n">
        <f aca="false">L46+F46*Half_gap*(Ceiling_e-L46)</f>
        <v>81.5</v>
      </c>
      <c r="N46" s="13" t="n">
        <f aca="false">M46+G46*Half_gap*(Ceiling_e-M46)</f>
        <v>83.25</v>
      </c>
      <c r="O46" s="13" t="n">
        <f aca="false">N46+H46*Half_gap*(Ceiling_e-N46)</f>
        <v>83.25</v>
      </c>
      <c r="P46" s="13" t="n">
        <f aca="false">Val_pt*(J46-E_zero)</f>
        <v>70</v>
      </c>
      <c r="Q46" s="13" t="n">
        <f aca="false">Val_pt*(K46-E_zero)</f>
        <v>70</v>
      </c>
      <c r="R46" s="13" t="n">
        <f aca="false">Val_pt*(L46-E_zero)</f>
        <v>70</v>
      </c>
      <c r="S46" s="13" t="n">
        <f aca="false">Val_pt*(M46-E_zero)</f>
        <v>105</v>
      </c>
      <c r="T46" s="13" t="n">
        <f aca="false">Val_pt*(N46-E_zero)</f>
        <v>122.5</v>
      </c>
      <c r="U46" s="13" t="n">
        <f aca="false">Val_pt*(O46-E_zero)</f>
        <v>122.5</v>
      </c>
      <c r="V46" s="16" t="n">
        <f aca="false">MAX(W46+Cost_round*C46-P46,IF(C46=1,Pre_q,0))</f>
        <v>470</v>
      </c>
      <c r="W46" s="16" t="n">
        <f aca="false">MAX(X46+Cost_round*D46-Q46,IF(D46=1,Pre_q,0),Floor_q)</f>
        <v>350</v>
      </c>
      <c r="X46" s="16" t="n">
        <f aca="false">MAX(Y46+Cost_round*E46-R46,IF(E46=1,Pre_q,0),Floor_q)</f>
        <v>415</v>
      </c>
      <c r="Y46" s="16" t="n">
        <f aca="false">MAX(Z46+Cost_round*F46-S46,IF(F46=1,Pre_q,0),Floor_q)</f>
        <v>485</v>
      </c>
      <c r="Z46" s="16" t="n">
        <f aca="false">MAX(AA46+Cost_round*G46-T46,IF(G46=1,Pre_q,0),Floor_q)</f>
        <v>470</v>
      </c>
      <c r="AA46" s="16" t="n">
        <f aca="false">MAX(AB46+Cost_round*H46-U46,IF(H46=1,Pre_q,0),Floor_q)</f>
        <v>350</v>
      </c>
      <c r="AB46" s="16" t="n">
        <f aca="false">End_q</f>
        <v>470</v>
      </c>
      <c r="AC46" s="16" t="n">
        <f aca="false">Q_zero-V46</f>
        <v>150</v>
      </c>
      <c r="AD46" s="15" t="n">
        <f aca="false">IF(AC46&gt;=-0.000000001,1,0)</f>
        <v>1</v>
      </c>
      <c r="AE46" s="13" t="n">
        <f aca="false">IF($AD46=1,Q_zero-Cost_round*C46+P46-W46,"")</f>
        <v>220</v>
      </c>
      <c r="AF46" s="13" t="n">
        <f aca="false">IF($AD46=1,W46-Cost_round*D46+Q46-X46,"")</f>
        <v>5</v>
      </c>
      <c r="AG46" s="13" t="n">
        <f aca="false">IF($AD46=1,X46-Cost_round*E46+R46-Y46,"")</f>
        <v>0</v>
      </c>
      <c r="AH46" s="13" t="n">
        <f aca="false">IF($AD46=1,Y46-Cost_round*F46+S46-Z46,"")</f>
        <v>0</v>
      </c>
      <c r="AI46" s="13" t="n">
        <f aca="false">IF($AD46=1,Z46-Cost_round*G46+T46-AA46,"")</f>
        <v>122.5</v>
      </c>
      <c r="AJ46" s="13" t="n">
        <f aca="false">IF($AD46=1,AA46-Cost_round*H46+U46-AB46,"")</f>
        <v>2.5</v>
      </c>
      <c r="AK46" s="17" t="n">
        <f aca="false">IF($AD46=1,SUMPRODUCT(AE46:AJ46,$AE$6:$AJ$6),"")</f>
        <v>281.60627830484</v>
      </c>
      <c r="AL46" s="13" t="n">
        <f aca="false">U46</f>
        <v>122.5</v>
      </c>
      <c r="AM46" s="15" t="n">
        <f aca="false">IF(SUMPRODUCT(($AK$8:$AK$71&gt;=AK46-0.000000001)*($AL$8:$AL$71&gt;=AL46-0.000000001)*((($AK$8:$AK$71&gt;AK46+0.000000001)+($AL$8:$AL$71&gt;AL46+0.000000001))&gt;0))&gt;0,1,0)</f>
        <v>1</v>
      </c>
      <c r="AN46" s="15" t="n">
        <f aca="false">1-AM46</f>
        <v>0</v>
      </c>
      <c r="AO46" s="17" t="n">
        <f aca="false">AK46+W_board*AL46</f>
        <v>973.086842620717</v>
      </c>
      <c r="AP46" s="17" t="n">
        <f aca="false">AK46+W_try*AL46</f>
        <v>1506.60627830484</v>
      </c>
      <c r="AQ46" s="16" t="n">
        <f aca="false">MAX(AR46+Cost_round*C46-P46,IF(C46=1,Pre_q+Res_b,0))</f>
        <v>520</v>
      </c>
      <c r="AR46" s="16" t="n">
        <f aca="false">MAX(AS46+Cost_round*D46-Q46,IF(D46=1,Pre_q+Res_b,0),Floor_q+Res_b)</f>
        <v>400</v>
      </c>
      <c r="AS46" s="16" t="n">
        <f aca="false">MAX(AT46+Cost_round*E46-R46,IF(E46=1,Pre_q+Res_b,0),Floor_q+Res_b)</f>
        <v>465</v>
      </c>
      <c r="AT46" s="16" t="n">
        <f aca="false">MAX(AU46+Cost_round*F46-S46,IF(F46=1,Pre_q+Res_b,0),Floor_q+Res_b)</f>
        <v>535</v>
      </c>
      <c r="AU46" s="16" t="n">
        <f aca="false">MAX(AV46+Cost_round*G46-T46,IF(G46=1,Pre_q+Res_b,0),Floor_q+Res_b)</f>
        <v>520</v>
      </c>
      <c r="AV46" s="16" t="n">
        <f aca="false">MAX(AW46+Cost_round*H46-U46,IF(H46=1,Pre_q+Res_b,0),Floor_q+Res_b)</f>
        <v>400</v>
      </c>
      <c r="AW46" s="16" t="n">
        <f aca="false">End_q+Res_b</f>
        <v>520</v>
      </c>
      <c r="AX46" s="15" t="n">
        <f aca="false">IF(Q_zero&gt;=AQ46-0.000000001,1,0)</f>
        <v>1</v>
      </c>
      <c r="AY46" s="13" t="n">
        <f aca="false">IF($AX46=1,Q_zero-Cost_round*C46+P46-AR46,"")</f>
        <v>170</v>
      </c>
      <c r="AZ46" s="13" t="n">
        <f aca="false">IF($AX46=1,AR46-Cost_round*D46+Q46-AS46,"")</f>
        <v>5</v>
      </c>
      <c r="BA46" s="13" t="n">
        <f aca="false">IF($AX46=1,AS46-Cost_round*E46+R46-AT46,"")</f>
        <v>0</v>
      </c>
      <c r="BB46" s="13" t="n">
        <f aca="false">IF($AX46=1,AT46-Cost_round*F46+S46-AU46,"")</f>
        <v>0</v>
      </c>
      <c r="BC46" s="13" t="n">
        <f aca="false">IF($AX46=1,AU46-Cost_round*G46+T46-AV46,"")</f>
        <v>122.5</v>
      </c>
      <c r="BD46" s="13" t="n">
        <f aca="false">IF($AX46=1,AV46-Cost_round*H46+U46-AW46,"")</f>
        <v>2.5</v>
      </c>
      <c r="BE46" s="17" t="n">
        <f aca="false">IF($AX46=1,SUMPRODUCT(AY46:BD46,$AY$6:$BD$6),"")</f>
        <v>236.151732850294</v>
      </c>
      <c r="BF46" s="12" t="n">
        <f aca="false">IF(AND($AX46=1,Res_b&gt;0),(AK46-BE46)/Res_b,"")</f>
        <v>0.90909090909091</v>
      </c>
      <c r="BG46" s="17" t="n">
        <f aca="false">IF(AC46&gt;=Goal_b-0.000000001,AK46-Beta_y*Goal_b,"")</f>
        <v>258.879005577567</v>
      </c>
      <c r="BH46" s="15" t="n">
        <f aca="false">IF(AC46&gt;=Goal_b-0.000000001,IF(AND(AL46&gt;=Goal_S-0.000000001,BG46&gt;=Goal_P-0.000000001),1,0),0)</f>
        <v>0</v>
      </c>
    </row>
    <row r="47" customFormat="false" ht="15" hidden="false" customHeight="false" outlineLevel="0" collapsed="false">
      <c r="A47" s="2" t="n">
        <v>39</v>
      </c>
      <c r="B47" s="2" t="s">
        <v>157</v>
      </c>
      <c r="C47" s="15" t="n">
        <f aca="false">MOD(INT($A47/32),2)</f>
        <v>1</v>
      </c>
      <c r="D47" s="15" t="n">
        <f aca="false">MOD(INT($A47/16),2)</f>
        <v>0</v>
      </c>
      <c r="E47" s="15" t="n">
        <f aca="false">MOD(INT($A47/8),2)</f>
        <v>0</v>
      </c>
      <c r="F47" s="15" t="n">
        <f aca="false">MOD(INT($A47/4),2)</f>
        <v>1</v>
      </c>
      <c r="G47" s="15" t="n">
        <f aca="false">MOD(INT($A47/2),2)</f>
        <v>1</v>
      </c>
      <c r="H47" s="15" t="n">
        <f aca="false">MOD(INT($A47/1),2)</f>
        <v>1</v>
      </c>
      <c r="I47" s="15" t="n">
        <f aca="false">SUM(C47:H47)</f>
        <v>4</v>
      </c>
      <c r="J47" s="13" t="n">
        <f aca="false">E_zero+C47*Half_gap*(Ceiling_e-E_zero)</f>
        <v>78</v>
      </c>
      <c r="K47" s="13" t="n">
        <f aca="false">J47+D47*Half_gap*(Ceiling_e-J47)</f>
        <v>78</v>
      </c>
      <c r="L47" s="13" t="n">
        <f aca="false">K47+E47*Half_gap*(Ceiling_e-K47)</f>
        <v>78</v>
      </c>
      <c r="M47" s="13" t="n">
        <f aca="false">L47+F47*Half_gap*(Ceiling_e-L47)</f>
        <v>81.5</v>
      </c>
      <c r="N47" s="13" t="n">
        <f aca="false">M47+G47*Half_gap*(Ceiling_e-M47)</f>
        <v>83.25</v>
      </c>
      <c r="O47" s="13" t="n">
        <f aca="false">N47+H47*Half_gap*(Ceiling_e-N47)</f>
        <v>84.125</v>
      </c>
      <c r="P47" s="13" t="n">
        <f aca="false">Val_pt*(J47-E_zero)</f>
        <v>70</v>
      </c>
      <c r="Q47" s="13" t="n">
        <f aca="false">Val_pt*(K47-E_zero)</f>
        <v>70</v>
      </c>
      <c r="R47" s="13" t="n">
        <f aca="false">Val_pt*(L47-E_zero)</f>
        <v>70</v>
      </c>
      <c r="S47" s="13" t="n">
        <f aca="false">Val_pt*(M47-E_zero)</f>
        <v>105</v>
      </c>
      <c r="T47" s="13" t="n">
        <f aca="false">Val_pt*(N47-E_zero)</f>
        <v>122.5</v>
      </c>
      <c r="U47" s="13" t="n">
        <f aca="false">Val_pt*(O47-E_zero)</f>
        <v>131.25</v>
      </c>
      <c r="V47" s="16" t="n">
        <f aca="false">MAX(W47+Cost_round*C47-P47,IF(C47=1,Pre_q,0))</f>
        <v>470</v>
      </c>
      <c r="W47" s="16" t="n">
        <f aca="false">MAX(X47+Cost_round*D47-Q47,IF(D47=1,Pre_q,0),Floor_q)</f>
        <v>350</v>
      </c>
      <c r="X47" s="16" t="n">
        <f aca="false">MAX(Y47+Cost_round*E47-R47,IF(E47=1,Pre_q,0),Floor_q)</f>
        <v>415</v>
      </c>
      <c r="Y47" s="16" t="n">
        <f aca="false">MAX(Z47+Cost_round*F47-S47,IF(F47=1,Pre_q,0),Floor_q)</f>
        <v>485</v>
      </c>
      <c r="Z47" s="16" t="n">
        <f aca="false">MAX(AA47+Cost_round*G47-T47,IF(G47=1,Pre_q,0),Floor_q)</f>
        <v>470</v>
      </c>
      <c r="AA47" s="16" t="n">
        <f aca="false">MAX(AB47+Cost_round*H47-U47,IF(H47=1,Pre_q,0),Floor_q)</f>
        <v>470</v>
      </c>
      <c r="AB47" s="16" t="n">
        <f aca="false">End_q</f>
        <v>470</v>
      </c>
      <c r="AC47" s="16" t="n">
        <f aca="false">Q_zero-V47</f>
        <v>150</v>
      </c>
      <c r="AD47" s="15" t="n">
        <f aca="false">IF(AC47&gt;=-0.000000001,1,0)</f>
        <v>1</v>
      </c>
      <c r="AE47" s="13" t="n">
        <f aca="false">IF($AD47=1,Q_zero-Cost_round*C47+P47-W47,"")</f>
        <v>220</v>
      </c>
      <c r="AF47" s="13" t="n">
        <f aca="false">IF($AD47=1,W47-Cost_round*D47+Q47-X47,"")</f>
        <v>5</v>
      </c>
      <c r="AG47" s="13" t="n">
        <f aca="false">IF($AD47=1,X47-Cost_round*E47+R47-Y47,"")</f>
        <v>0</v>
      </c>
      <c r="AH47" s="13" t="n">
        <f aca="false">IF($AD47=1,Y47-Cost_round*F47+S47-Z47,"")</f>
        <v>0</v>
      </c>
      <c r="AI47" s="13" t="n">
        <f aca="false">IF($AD47=1,Z47-Cost_round*G47+T47-AA47,"")</f>
        <v>2.5</v>
      </c>
      <c r="AJ47" s="13" t="n">
        <f aca="false">IF($AD47=1,AA47-Cost_round*H47+U47-AB47,"")</f>
        <v>11.25</v>
      </c>
      <c r="AK47" s="17" t="n">
        <f aca="false">IF($AD47=1,SUMPRODUCT(AE47:AJ47,$AE$6:$AJ$6),"")</f>
        <v>212.034866425712</v>
      </c>
      <c r="AL47" s="13" t="n">
        <f aca="false">U47</f>
        <v>131.25</v>
      </c>
      <c r="AM47" s="15" t="n">
        <f aca="false">IF(SUMPRODUCT(($AK$8:$AK$71&gt;=AK47-0.000000001)*($AL$8:$AL$71&gt;=AL47-0.000000001)*((($AK$8:$AK$71&gt;AK47+0.000000001)+($AL$8:$AL$71&gt;AL47+0.000000001))&gt;0))&gt;0,1,0)</f>
        <v>1</v>
      </c>
      <c r="AN47" s="15" t="n">
        <f aca="false">1-AM47</f>
        <v>0</v>
      </c>
      <c r="AO47" s="17" t="n">
        <f aca="false">AK47+W_board*AL47</f>
        <v>952.906899621294</v>
      </c>
      <c r="AP47" s="17" t="n">
        <f aca="false">AK47+W_try*AL47</f>
        <v>1524.53486642571</v>
      </c>
      <c r="AQ47" s="16" t="n">
        <f aca="false">MAX(AR47+Cost_round*C47-P47,IF(C47=1,Pre_q+Res_b,0))</f>
        <v>520</v>
      </c>
      <c r="AR47" s="16" t="n">
        <f aca="false">MAX(AS47+Cost_round*D47-Q47,IF(D47=1,Pre_q+Res_b,0),Floor_q+Res_b)</f>
        <v>400</v>
      </c>
      <c r="AS47" s="16" t="n">
        <f aca="false">MAX(AT47+Cost_round*E47-R47,IF(E47=1,Pre_q+Res_b,0),Floor_q+Res_b)</f>
        <v>465</v>
      </c>
      <c r="AT47" s="16" t="n">
        <f aca="false">MAX(AU47+Cost_round*F47-S47,IF(F47=1,Pre_q+Res_b,0),Floor_q+Res_b)</f>
        <v>535</v>
      </c>
      <c r="AU47" s="16" t="n">
        <f aca="false">MAX(AV47+Cost_round*G47-T47,IF(G47=1,Pre_q+Res_b,0),Floor_q+Res_b)</f>
        <v>520</v>
      </c>
      <c r="AV47" s="16" t="n">
        <f aca="false">MAX(AW47+Cost_round*H47-U47,IF(H47=1,Pre_q+Res_b,0),Floor_q+Res_b)</f>
        <v>520</v>
      </c>
      <c r="AW47" s="16" t="n">
        <f aca="false">End_q+Res_b</f>
        <v>520</v>
      </c>
      <c r="AX47" s="15" t="n">
        <f aca="false">IF(Q_zero&gt;=AQ47-0.000000001,1,0)</f>
        <v>1</v>
      </c>
      <c r="AY47" s="13" t="n">
        <f aca="false">IF($AX47=1,Q_zero-Cost_round*C47+P47-AR47,"")</f>
        <v>170</v>
      </c>
      <c r="AZ47" s="13" t="n">
        <f aca="false">IF($AX47=1,AR47-Cost_round*D47+Q47-AS47,"")</f>
        <v>5</v>
      </c>
      <c r="BA47" s="13" t="n">
        <f aca="false">IF($AX47=1,AS47-Cost_round*E47+R47-AT47,"")</f>
        <v>0</v>
      </c>
      <c r="BB47" s="13" t="n">
        <f aca="false">IF($AX47=1,AT47-Cost_round*F47+S47-AU47,"")</f>
        <v>0</v>
      </c>
      <c r="BC47" s="13" t="n">
        <f aca="false">IF($AX47=1,AU47-Cost_round*G47+T47-AV47,"")</f>
        <v>2.5</v>
      </c>
      <c r="BD47" s="13" t="n">
        <f aca="false">IF($AX47=1,AV47-Cost_round*H47+U47-AW47,"")</f>
        <v>11.25</v>
      </c>
      <c r="BE47" s="17" t="n">
        <f aca="false">IF($AX47=1,SUMPRODUCT(AY47:BD47,$AY$6:$BD$6),"")</f>
        <v>166.580320971166</v>
      </c>
      <c r="BF47" s="12" t="n">
        <f aca="false">IF(AND($AX47=1,Res_b&gt;0),(AK47-BE47)/Res_b,"")</f>
        <v>0.909090909090909</v>
      </c>
      <c r="BG47" s="17" t="n">
        <f aca="false">IF(AC47&gt;=Goal_b-0.000000001,AK47-Beta_y*Goal_b,"")</f>
        <v>189.307593698439</v>
      </c>
      <c r="BH47" s="15" t="n">
        <f aca="false">IF(AC47&gt;=Goal_b-0.000000001,IF(AND(AL47&gt;=Goal_S-0.000000001,BG47&gt;=Goal_P-0.000000001),1,0),0)</f>
        <v>0</v>
      </c>
    </row>
    <row r="48" customFormat="false" ht="15" hidden="false" customHeight="false" outlineLevel="0" collapsed="false">
      <c r="A48" s="2" t="n">
        <v>40</v>
      </c>
      <c r="B48" s="2" t="s">
        <v>158</v>
      </c>
      <c r="C48" s="15" t="n">
        <f aca="false">MOD(INT($A48/32),2)</f>
        <v>1</v>
      </c>
      <c r="D48" s="15" t="n">
        <f aca="false">MOD(INT($A48/16),2)</f>
        <v>0</v>
      </c>
      <c r="E48" s="15" t="n">
        <f aca="false">MOD(INT($A48/8),2)</f>
        <v>1</v>
      </c>
      <c r="F48" s="15" t="n">
        <f aca="false">MOD(INT($A48/4),2)</f>
        <v>0</v>
      </c>
      <c r="G48" s="15" t="n">
        <f aca="false">MOD(INT($A48/2),2)</f>
        <v>0</v>
      </c>
      <c r="H48" s="15" t="n">
        <f aca="false">MOD(INT($A48/1),2)</f>
        <v>0</v>
      </c>
      <c r="I48" s="15" t="n">
        <f aca="false">SUM(C48:H48)</f>
        <v>2</v>
      </c>
      <c r="J48" s="13" t="n">
        <f aca="false">E_zero+C48*Half_gap*(Ceiling_e-E_zero)</f>
        <v>78</v>
      </c>
      <c r="K48" s="13" t="n">
        <f aca="false">J48+D48*Half_gap*(Ceiling_e-J48)</f>
        <v>78</v>
      </c>
      <c r="L48" s="13" t="n">
        <f aca="false">K48+E48*Half_gap*(Ceiling_e-K48)</f>
        <v>81.5</v>
      </c>
      <c r="M48" s="13" t="n">
        <f aca="false">L48+F48*Half_gap*(Ceiling_e-L48)</f>
        <v>81.5</v>
      </c>
      <c r="N48" s="13" t="n">
        <f aca="false">M48+G48*Half_gap*(Ceiling_e-M48)</f>
        <v>81.5</v>
      </c>
      <c r="O48" s="13" t="n">
        <f aca="false">N48+H48*Half_gap*(Ceiling_e-N48)</f>
        <v>81.5</v>
      </c>
      <c r="P48" s="13" t="n">
        <f aca="false">Val_pt*(J48-E_zero)</f>
        <v>70</v>
      </c>
      <c r="Q48" s="13" t="n">
        <f aca="false">Val_pt*(K48-E_zero)</f>
        <v>70</v>
      </c>
      <c r="R48" s="13" t="n">
        <f aca="false">Val_pt*(L48-E_zero)</f>
        <v>105</v>
      </c>
      <c r="S48" s="13" t="n">
        <f aca="false">Val_pt*(M48-E_zero)</f>
        <v>105</v>
      </c>
      <c r="T48" s="13" t="n">
        <f aca="false">Val_pt*(N48-E_zero)</f>
        <v>105</v>
      </c>
      <c r="U48" s="13" t="n">
        <f aca="false">Val_pt*(O48-E_zero)</f>
        <v>105</v>
      </c>
      <c r="V48" s="16" t="n">
        <f aca="false">MAX(W48+Cost_round*C48-P48,IF(C48=1,Pre_q,0))</f>
        <v>470</v>
      </c>
      <c r="W48" s="16" t="n">
        <f aca="false">MAX(X48+Cost_round*D48-Q48,IF(D48=1,Pre_q,0),Floor_q)</f>
        <v>400</v>
      </c>
      <c r="X48" s="16" t="n">
        <f aca="false">MAX(Y48+Cost_round*E48-R48,IF(E48=1,Pre_q,0),Floor_q)</f>
        <v>470</v>
      </c>
      <c r="Y48" s="16" t="n">
        <f aca="false">MAX(Z48+Cost_round*F48-S48,IF(F48=1,Pre_q,0),Floor_q)</f>
        <v>350</v>
      </c>
      <c r="Z48" s="16" t="n">
        <f aca="false">MAX(AA48+Cost_round*G48-T48,IF(G48=1,Pre_q,0),Floor_q)</f>
        <v>350</v>
      </c>
      <c r="AA48" s="16" t="n">
        <f aca="false">MAX(AB48+Cost_round*H48-U48,IF(H48=1,Pre_q,0),Floor_q)</f>
        <v>365</v>
      </c>
      <c r="AB48" s="16" t="n">
        <f aca="false">End_q</f>
        <v>470</v>
      </c>
      <c r="AC48" s="16" t="n">
        <f aca="false">Q_zero-V48</f>
        <v>150</v>
      </c>
      <c r="AD48" s="15" t="n">
        <f aca="false">IF(AC48&gt;=-0.000000001,1,0)</f>
        <v>1</v>
      </c>
      <c r="AE48" s="13" t="n">
        <f aca="false">IF($AD48=1,Q_zero-Cost_round*C48+P48-W48,"")</f>
        <v>170</v>
      </c>
      <c r="AF48" s="13" t="n">
        <f aca="false">IF($AD48=1,W48-Cost_round*D48+Q48-X48,"")</f>
        <v>0</v>
      </c>
      <c r="AG48" s="13" t="n">
        <f aca="false">IF($AD48=1,X48-Cost_round*E48+R48-Y48,"")</f>
        <v>105</v>
      </c>
      <c r="AH48" s="13" t="n">
        <f aca="false">IF($AD48=1,Y48-Cost_round*F48+S48-Z48,"")</f>
        <v>105</v>
      </c>
      <c r="AI48" s="13" t="n">
        <f aca="false">IF($AD48=1,Z48-Cost_round*G48+T48-AA48,"")</f>
        <v>90</v>
      </c>
      <c r="AJ48" s="13" t="n">
        <f aca="false">IF($AD48=1,AA48-Cost_round*H48+U48-AB48,"")</f>
        <v>0</v>
      </c>
      <c r="AK48" s="17" t="n">
        <f aca="false">IF($AD48=1,SUMPRODUCT(AE48:AJ48,$AE$6:$AJ$6),"")</f>
        <v>361.032840528777</v>
      </c>
      <c r="AL48" s="13" t="n">
        <f aca="false">U48</f>
        <v>105</v>
      </c>
      <c r="AM48" s="15" t="n">
        <f aca="false">IF(SUMPRODUCT(($AK$8:$AK$71&gt;=AK48-0.000000001)*($AL$8:$AL$71&gt;=AL48-0.000000001)*((($AK$8:$AK$71&gt;AK48+0.000000001)+($AL$8:$AL$71&gt;AL48+0.000000001))&gt;0))&gt;0,1,0)</f>
        <v>1</v>
      </c>
      <c r="AN48" s="15" t="n">
        <f aca="false">1-AM48</f>
        <v>0</v>
      </c>
      <c r="AO48" s="17" t="n">
        <f aca="false">AK48+W_board*AL48</f>
        <v>953.730467085243</v>
      </c>
      <c r="AP48" s="17" t="n">
        <f aca="false">AK48+W_try*AL48</f>
        <v>1411.03284052878</v>
      </c>
      <c r="AQ48" s="16" t="n">
        <f aca="false">MAX(AR48+Cost_round*C48-P48,IF(C48=1,Pre_q+Res_b,0))</f>
        <v>520</v>
      </c>
      <c r="AR48" s="16" t="n">
        <f aca="false">MAX(AS48+Cost_round*D48-Q48,IF(D48=1,Pre_q+Res_b,0),Floor_q+Res_b)</f>
        <v>450</v>
      </c>
      <c r="AS48" s="16" t="n">
        <f aca="false">MAX(AT48+Cost_round*E48-R48,IF(E48=1,Pre_q+Res_b,0),Floor_q+Res_b)</f>
        <v>520</v>
      </c>
      <c r="AT48" s="16" t="n">
        <f aca="false">MAX(AU48+Cost_round*F48-S48,IF(F48=1,Pre_q+Res_b,0),Floor_q+Res_b)</f>
        <v>400</v>
      </c>
      <c r="AU48" s="16" t="n">
        <f aca="false">MAX(AV48+Cost_round*G48-T48,IF(G48=1,Pre_q+Res_b,0),Floor_q+Res_b)</f>
        <v>400</v>
      </c>
      <c r="AV48" s="16" t="n">
        <f aca="false">MAX(AW48+Cost_round*H48-U48,IF(H48=1,Pre_q+Res_b,0),Floor_q+Res_b)</f>
        <v>415</v>
      </c>
      <c r="AW48" s="16" t="n">
        <f aca="false">End_q+Res_b</f>
        <v>520</v>
      </c>
      <c r="AX48" s="15" t="n">
        <f aca="false">IF(Q_zero&gt;=AQ48-0.000000001,1,0)</f>
        <v>1</v>
      </c>
      <c r="AY48" s="13" t="n">
        <f aca="false">IF($AX48=1,Q_zero-Cost_round*C48+P48-AR48,"")</f>
        <v>120</v>
      </c>
      <c r="AZ48" s="13" t="n">
        <f aca="false">IF($AX48=1,AR48-Cost_round*D48+Q48-AS48,"")</f>
        <v>0</v>
      </c>
      <c r="BA48" s="13" t="n">
        <f aca="false">IF($AX48=1,AS48-Cost_round*E48+R48-AT48,"")</f>
        <v>105</v>
      </c>
      <c r="BB48" s="13" t="n">
        <f aca="false">IF($AX48=1,AT48-Cost_round*F48+S48-AU48,"")</f>
        <v>105</v>
      </c>
      <c r="BC48" s="13" t="n">
        <f aca="false">IF($AX48=1,AU48-Cost_round*G48+T48-AV48,"")</f>
        <v>90</v>
      </c>
      <c r="BD48" s="13" t="n">
        <f aca="false">IF($AX48=1,AV48-Cost_round*H48+U48-AW48,"")</f>
        <v>0</v>
      </c>
      <c r="BE48" s="17" t="n">
        <f aca="false">IF($AX48=1,SUMPRODUCT(AY48:BD48,$AY$6:$BD$6),"")</f>
        <v>315.578295074231</v>
      </c>
      <c r="BF48" s="12" t="n">
        <f aca="false">IF(AND($AX48=1,Res_b&gt;0),(AK48-BE48)/Res_b,"")</f>
        <v>0.909090909090909</v>
      </c>
      <c r="BG48" s="17" t="n">
        <f aca="false">IF(AC48&gt;=Goal_b-0.000000001,AK48-Beta_y*Goal_b,"")</f>
        <v>338.305567801504</v>
      </c>
      <c r="BH48" s="15" t="n">
        <f aca="false">IF(AC48&gt;=Goal_b-0.000000001,IF(AND(AL48&gt;=Goal_S-0.000000001,BG48&gt;=Goal_P-0.000000001),1,0),0)</f>
        <v>0</v>
      </c>
    </row>
    <row r="49" customFormat="false" ht="15" hidden="false" customHeight="false" outlineLevel="0" collapsed="false">
      <c r="A49" s="2" t="n">
        <v>41</v>
      </c>
      <c r="B49" s="2" t="s">
        <v>159</v>
      </c>
      <c r="C49" s="15" t="n">
        <f aca="false">MOD(INT($A49/32),2)</f>
        <v>1</v>
      </c>
      <c r="D49" s="15" t="n">
        <f aca="false">MOD(INT($A49/16),2)</f>
        <v>0</v>
      </c>
      <c r="E49" s="15" t="n">
        <f aca="false">MOD(INT($A49/8),2)</f>
        <v>1</v>
      </c>
      <c r="F49" s="15" t="n">
        <f aca="false">MOD(INT($A49/4),2)</f>
        <v>0</v>
      </c>
      <c r="G49" s="15" t="n">
        <f aca="false">MOD(INT($A49/2),2)</f>
        <v>0</v>
      </c>
      <c r="H49" s="15" t="n">
        <f aca="false">MOD(INT($A49/1),2)</f>
        <v>1</v>
      </c>
      <c r="I49" s="15" t="n">
        <f aca="false">SUM(C49:H49)</f>
        <v>3</v>
      </c>
      <c r="J49" s="13" t="n">
        <f aca="false">E_zero+C49*Half_gap*(Ceiling_e-E_zero)</f>
        <v>78</v>
      </c>
      <c r="K49" s="13" t="n">
        <f aca="false">J49+D49*Half_gap*(Ceiling_e-J49)</f>
        <v>78</v>
      </c>
      <c r="L49" s="13" t="n">
        <f aca="false">K49+E49*Half_gap*(Ceiling_e-K49)</f>
        <v>81.5</v>
      </c>
      <c r="M49" s="13" t="n">
        <f aca="false">L49+F49*Half_gap*(Ceiling_e-L49)</f>
        <v>81.5</v>
      </c>
      <c r="N49" s="13" t="n">
        <f aca="false">M49+G49*Half_gap*(Ceiling_e-M49)</f>
        <v>81.5</v>
      </c>
      <c r="O49" s="13" t="n">
        <f aca="false">N49+H49*Half_gap*(Ceiling_e-N49)</f>
        <v>83.25</v>
      </c>
      <c r="P49" s="13" t="n">
        <f aca="false">Val_pt*(J49-E_zero)</f>
        <v>70</v>
      </c>
      <c r="Q49" s="13" t="n">
        <f aca="false">Val_pt*(K49-E_zero)</f>
        <v>70</v>
      </c>
      <c r="R49" s="13" t="n">
        <f aca="false">Val_pt*(L49-E_zero)</f>
        <v>105</v>
      </c>
      <c r="S49" s="13" t="n">
        <f aca="false">Val_pt*(M49-E_zero)</f>
        <v>105</v>
      </c>
      <c r="T49" s="13" t="n">
        <f aca="false">Val_pt*(N49-E_zero)</f>
        <v>105</v>
      </c>
      <c r="U49" s="13" t="n">
        <f aca="false">Val_pt*(O49-E_zero)</f>
        <v>122.5</v>
      </c>
      <c r="V49" s="16" t="n">
        <f aca="false">MAX(W49+Cost_round*C49-P49,IF(C49=1,Pre_q,0))</f>
        <v>470</v>
      </c>
      <c r="W49" s="16" t="n">
        <f aca="false">MAX(X49+Cost_round*D49-Q49,IF(D49=1,Pre_q,0),Floor_q)</f>
        <v>400</v>
      </c>
      <c r="X49" s="16" t="n">
        <f aca="false">MAX(Y49+Cost_round*E49-R49,IF(E49=1,Pre_q,0),Floor_q)</f>
        <v>470</v>
      </c>
      <c r="Y49" s="16" t="n">
        <f aca="false">MAX(Z49+Cost_round*F49-S49,IF(F49=1,Pre_q,0),Floor_q)</f>
        <v>350</v>
      </c>
      <c r="Z49" s="16" t="n">
        <f aca="false">MAX(AA49+Cost_round*G49-T49,IF(G49=1,Pre_q,0),Floor_q)</f>
        <v>365</v>
      </c>
      <c r="AA49" s="16" t="n">
        <f aca="false">MAX(AB49+Cost_round*H49-U49,IF(H49=1,Pre_q,0),Floor_q)</f>
        <v>470</v>
      </c>
      <c r="AB49" s="16" t="n">
        <f aca="false">End_q</f>
        <v>470</v>
      </c>
      <c r="AC49" s="16" t="n">
        <f aca="false">Q_zero-V49</f>
        <v>150</v>
      </c>
      <c r="AD49" s="15" t="n">
        <f aca="false">IF(AC49&gt;=-0.000000001,1,0)</f>
        <v>1</v>
      </c>
      <c r="AE49" s="13" t="n">
        <f aca="false">IF($AD49=1,Q_zero-Cost_round*C49+P49-W49,"")</f>
        <v>170</v>
      </c>
      <c r="AF49" s="13" t="n">
        <f aca="false">IF($AD49=1,W49-Cost_round*D49+Q49-X49,"")</f>
        <v>0</v>
      </c>
      <c r="AG49" s="13" t="n">
        <f aca="false">IF($AD49=1,X49-Cost_round*E49+R49-Y49,"")</f>
        <v>105</v>
      </c>
      <c r="AH49" s="13" t="n">
        <f aca="false">IF($AD49=1,Y49-Cost_round*F49+S49-Z49,"")</f>
        <v>90</v>
      </c>
      <c r="AI49" s="13" t="n">
        <f aca="false">IF($AD49=1,Z49-Cost_round*G49+T49-AA49,"")</f>
        <v>0</v>
      </c>
      <c r="AJ49" s="13" t="n">
        <f aca="false">IF($AD49=1,AA49-Cost_round*H49+U49-AB49,"")</f>
        <v>2.5</v>
      </c>
      <c r="AK49" s="17" t="n">
        <f aca="false">IF($AD49=1,SUMPRODUCT(AE49:AJ49,$AE$6:$AJ$6),"")</f>
        <v>296.315904448111</v>
      </c>
      <c r="AL49" s="13" t="n">
        <f aca="false">U49</f>
        <v>122.5</v>
      </c>
      <c r="AM49" s="15" t="n">
        <f aca="false">IF(SUMPRODUCT(($AK$8:$AK$71&gt;=AK49-0.000000001)*($AL$8:$AL$71&gt;=AL49-0.000000001)*((($AK$8:$AK$71&gt;AK49+0.000000001)+($AL$8:$AL$71&gt;AL49+0.000000001))&gt;0))&gt;0,1,0)</f>
        <v>1</v>
      </c>
      <c r="AN49" s="15" t="n">
        <f aca="false">1-AM49</f>
        <v>0</v>
      </c>
      <c r="AO49" s="17" t="n">
        <f aca="false">AK49+W_board*AL49</f>
        <v>987.796468763988</v>
      </c>
      <c r="AP49" s="17" t="n">
        <f aca="false">AK49+W_try*AL49</f>
        <v>1521.31590444811</v>
      </c>
      <c r="AQ49" s="16" t="n">
        <f aca="false">MAX(AR49+Cost_round*C49-P49,IF(C49=1,Pre_q+Res_b,0))</f>
        <v>520</v>
      </c>
      <c r="AR49" s="16" t="n">
        <f aca="false">MAX(AS49+Cost_round*D49-Q49,IF(D49=1,Pre_q+Res_b,0),Floor_q+Res_b)</f>
        <v>450</v>
      </c>
      <c r="AS49" s="16" t="n">
        <f aca="false">MAX(AT49+Cost_round*E49-R49,IF(E49=1,Pre_q+Res_b,0),Floor_q+Res_b)</f>
        <v>520</v>
      </c>
      <c r="AT49" s="16" t="n">
        <f aca="false">MAX(AU49+Cost_round*F49-S49,IF(F49=1,Pre_q+Res_b,0),Floor_q+Res_b)</f>
        <v>400</v>
      </c>
      <c r="AU49" s="16" t="n">
        <f aca="false">MAX(AV49+Cost_round*G49-T49,IF(G49=1,Pre_q+Res_b,0),Floor_q+Res_b)</f>
        <v>415</v>
      </c>
      <c r="AV49" s="16" t="n">
        <f aca="false">MAX(AW49+Cost_round*H49-U49,IF(H49=1,Pre_q+Res_b,0),Floor_q+Res_b)</f>
        <v>520</v>
      </c>
      <c r="AW49" s="16" t="n">
        <f aca="false">End_q+Res_b</f>
        <v>520</v>
      </c>
      <c r="AX49" s="15" t="n">
        <f aca="false">IF(Q_zero&gt;=AQ49-0.000000001,1,0)</f>
        <v>1</v>
      </c>
      <c r="AY49" s="13" t="n">
        <f aca="false">IF($AX49=1,Q_zero-Cost_round*C49+P49-AR49,"")</f>
        <v>120</v>
      </c>
      <c r="AZ49" s="13" t="n">
        <f aca="false">IF($AX49=1,AR49-Cost_round*D49+Q49-AS49,"")</f>
        <v>0</v>
      </c>
      <c r="BA49" s="13" t="n">
        <f aca="false">IF($AX49=1,AS49-Cost_round*E49+R49-AT49,"")</f>
        <v>105</v>
      </c>
      <c r="BB49" s="13" t="n">
        <f aca="false">IF($AX49=1,AT49-Cost_round*F49+S49-AU49,"")</f>
        <v>90</v>
      </c>
      <c r="BC49" s="13" t="n">
        <f aca="false">IF($AX49=1,AU49-Cost_round*G49+T49-AV49,"")</f>
        <v>0</v>
      </c>
      <c r="BD49" s="13" t="n">
        <f aca="false">IF($AX49=1,AV49-Cost_round*H49+U49-AW49,"")</f>
        <v>2.5</v>
      </c>
      <c r="BE49" s="17" t="n">
        <f aca="false">IF($AX49=1,SUMPRODUCT(AY49:BD49,$AY$6:$BD$6),"")</f>
        <v>250.861358993566</v>
      </c>
      <c r="BF49" s="12" t="n">
        <f aca="false">IF(AND($AX49=1,Res_b&gt;0),(AK49-BE49)/Res_b,"")</f>
        <v>0.909090909090909</v>
      </c>
      <c r="BG49" s="17" t="n">
        <f aca="false">IF(AC49&gt;=Goal_b-0.000000001,AK49-Beta_y*Goal_b,"")</f>
        <v>273.588631720838</v>
      </c>
      <c r="BH49" s="15" t="n">
        <f aca="false">IF(AC49&gt;=Goal_b-0.000000001,IF(AND(AL49&gt;=Goal_S-0.000000001,BG49&gt;=Goal_P-0.000000001),1,0),0)</f>
        <v>0</v>
      </c>
    </row>
    <row r="50" customFormat="false" ht="15" hidden="false" customHeight="false" outlineLevel="0" collapsed="false">
      <c r="A50" s="2" t="n">
        <v>42</v>
      </c>
      <c r="B50" s="2" t="s">
        <v>160</v>
      </c>
      <c r="C50" s="15" t="n">
        <f aca="false">MOD(INT($A50/32),2)</f>
        <v>1</v>
      </c>
      <c r="D50" s="15" t="n">
        <f aca="false">MOD(INT($A50/16),2)</f>
        <v>0</v>
      </c>
      <c r="E50" s="15" t="n">
        <f aca="false">MOD(INT($A50/8),2)</f>
        <v>1</v>
      </c>
      <c r="F50" s="15" t="n">
        <f aca="false">MOD(INT($A50/4),2)</f>
        <v>0</v>
      </c>
      <c r="G50" s="15" t="n">
        <f aca="false">MOD(INT($A50/2),2)</f>
        <v>1</v>
      </c>
      <c r="H50" s="15" t="n">
        <f aca="false">MOD(INT($A50/1),2)</f>
        <v>0</v>
      </c>
      <c r="I50" s="15" t="n">
        <f aca="false">SUM(C50:H50)</f>
        <v>3</v>
      </c>
      <c r="J50" s="13" t="n">
        <f aca="false">E_zero+C50*Half_gap*(Ceiling_e-E_zero)</f>
        <v>78</v>
      </c>
      <c r="K50" s="13" t="n">
        <f aca="false">J50+D50*Half_gap*(Ceiling_e-J50)</f>
        <v>78</v>
      </c>
      <c r="L50" s="13" t="n">
        <f aca="false">K50+E50*Half_gap*(Ceiling_e-K50)</f>
        <v>81.5</v>
      </c>
      <c r="M50" s="13" t="n">
        <f aca="false">L50+F50*Half_gap*(Ceiling_e-L50)</f>
        <v>81.5</v>
      </c>
      <c r="N50" s="13" t="n">
        <f aca="false">M50+G50*Half_gap*(Ceiling_e-M50)</f>
        <v>83.25</v>
      </c>
      <c r="O50" s="13" t="n">
        <f aca="false">N50+H50*Half_gap*(Ceiling_e-N50)</f>
        <v>83.25</v>
      </c>
      <c r="P50" s="13" t="n">
        <f aca="false">Val_pt*(J50-E_zero)</f>
        <v>70</v>
      </c>
      <c r="Q50" s="13" t="n">
        <f aca="false">Val_pt*(K50-E_zero)</f>
        <v>70</v>
      </c>
      <c r="R50" s="13" t="n">
        <f aca="false">Val_pt*(L50-E_zero)</f>
        <v>105</v>
      </c>
      <c r="S50" s="13" t="n">
        <f aca="false">Val_pt*(M50-E_zero)</f>
        <v>105</v>
      </c>
      <c r="T50" s="13" t="n">
        <f aca="false">Val_pt*(N50-E_zero)</f>
        <v>122.5</v>
      </c>
      <c r="U50" s="13" t="n">
        <f aca="false">Val_pt*(O50-E_zero)</f>
        <v>122.5</v>
      </c>
      <c r="V50" s="16" t="n">
        <f aca="false">MAX(W50+Cost_round*C50-P50,IF(C50=1,Pre_q,0))</f>
        <v>470</v>
      </c>
      <c r="W50" s="16" t="n">
        <f aca="false">MAX(X50+Cost_round*D50-Q50,IF(D50=1,Pre_q,0),Floor_q)</f>
        <v>400</v>
      </c>
      <c r="X50" s="16" t="n">
        <f aca="false">MAX(Y50+Cost_round*E50-R50,IF(E50=1,Pre_q,0),Floor_q)</f>
        <v>470</v>
      </c>
      <c r="Y50" s="16" t="n">
        <f aca="false">MAX(Z50+Cost_round*F50-S50,IF(F50=1,Pre_q,0),Floor_q)</f>
        <v>365</v>
      </c>
      <c r="Z50" s="16" t="n">
        <f aca="false">MAX(AA50+Cost_round*G50-T50,IF(G50=1,Pre_q,0),Floor_q)</f>
        <v>470</v>
      </c>
      <c r="AA50" s="16" t="n">
        <f aca="false">MAX(AB50+Cost_round*H50-U50,IF(H50=1,Pre_q,0),Floor_q)</f>
        <v>350</v>
      </c>
      <c r="AB50" s="16" t="n">
        <f aca="false">End_q</f>
        <v>470</v>
      </c>
      <c r="AC50" s="16" t="n">
        <f aca="false">Q_zero-V50</f>
        <v>150</v>
      </c>
      <c r="AD50" s="15" t="n">
        <f aca="false">IF(AC50&gt;=-0.000000001,1,0)</f>
        <v>1</v>
      </c>
      <c r="AE50" s="13" t="n">
        <f aca="false">IF($AD50=1,Q_zero-Cost_round*C50+P50-W50,"")</f>
        <v>170</v>
      </c>
      <c r="AF50" s="13" t="n">
        <f aca="false">IF($AD50=1,W50-Cost_round*D50+Q50-X50,"")</f>
        <v>0</v>
      </c>
      <c r="AG50" s="13" t="n">
        <f aca="false">IF($AD50=1,X50-Cost_round*E50+R50-Y50,"")</f>
        <v>90</v>
      </c>
      <c r="AH50" s="13" t="n">
        <f aca="false">IF($AD50=1,Y50-Cost_round*F50+S50-Z50,"")</f>
        <v>0</v>
      </c>
      <c r="AI50" s="13" t="n">
        <f aca="false">IF($AD50=1,Z50-Cost_round*G50+T50-AA50,"")</f>
        <v>122.5</v>
      </c>
      <c r="AJ50" s="13" t="n">
        <f aca="false">IF($AD50=1,AA50-Cost_round*H50+U50-AB50,"")</f>
        <v>2.5</v>
      </c>
      <c r="AK50" s="17" t="n">
        <f aca="false">IF($AD50=1,SUMPRODUCT(AE50:AJ50,$AE$6:$AJ$6),"")</f>
        <v>299.637833526477</v>
      </c>
      <c r="AL50" s="13" t="n">
        <f aca="false">U50</f>
        <v>122.5</v>
      </c>
      <c r="AM50" s="15" t="n">
        <f aca="false">IF(SUMPRODUCT(($AK$8:$AK$71&gt;=AK50-0.000000001)*($AL$8:$AL$71&gt;=AL50-0.000000001)*((($AK$8:$AK$71&gt;AK50+0.000000001)+($AL$8:$AL$71&gt;AL50+0.000000001))&gt;0))&gt;0,1,0)</f>
        <v>1</v>
      </c>
      <c r="AN50" s="15" t="n">
        <f aca="false">1-AM50</f>
        <v>0</v>
      </c>
      <c r="AO50" s="17" t="n">
        <f aca="false">AK50+W_board*AL50</f>
        <v>991.118397842355</v>
      </c>
      <c r="AP50" s="17" t="n">
        <f aca="false">AK50+W_try*AL50</f>
        <v>1524.63783352648</v>
      </c>
      <c r="AQ50" s="16" t="n">
        <f aca="false">MAX(AR50+Cost_round*C50-P50,IF(C50=1,Pre_q+Res_b,0))</f>
        <v>520</v>
      </c>
      <c r="AR50" s="16" t="n">
        <f aca="false">MAX(AS50+Cost_round*D50-Q50,IF(D50=1,Pre_q+Res_b,0),Floor_q+Res_b)</f>
        <v>450</v>
      </c>
      <c r="AS50" s="16" t="n">
        <f aca="false">MAX(AT50+Cost_round*E50-R50,IF(E50=1,Pre_q+Res_b,0),Floor_q+Res_b)</f>
        <v>520</v>
      </c>
      <c r="AT50" s="16" t="n">
        <f aca="false">MAX(AU50+Cost_round*F50-S50,IF(F50=1,Pre_q+Res_b,0),Floor_q+Res_b)</f>
        <v>415</v>
      </c>
      <c r="AU50" s="16" t="n">
        <f aca="false">MAX(AV50+Cost_round*G50-T50,IF(G50=1,Pre_q+Res_b,0),Floor_q+Res_b)</f>
        <v>520</v>
      </c>
      <c r="AV50" s="16" t="n">
        <f aca="false">MAX(AW50+Cost_round*H50-U50,IF(H50=1,Pre_q+Res_b,0),Floor_q+Res_b)</f>
        <v>400</v>
      </c>
      <c r="AW50" s="16" t="n">
        <f aca="false">End_q+Res_b</f>
        <v>520</v>
      </c>
      <c r="AX50" s="15" t="n">
        <f aca="false">IF(Q_zero&gt;=AQ50-0.000000001,1,0)</f>
        <v>1</v>
      </c>
      <c r="AY50" s="13" t="n">
        <f aca="false">IF($AX50=1,Q_zero-Cost_round*C50+P50-AR50,"")</f>
        <v>120</v>
      </c>
      <c r="AZ50" s="13" t="n">
        <f aca="false">IF($AX50=1,AR50-Cost_round*D50+Q50-AS50,"")</f>
        <v>0</v>
      </c>
      <c r="BA50" s="13" t="n">
        <f aca="false">IF($AX50=1,AS50-Cost_round*E50+R50-AT50,"")</f>
        <v>90</v>
      </c>
      <c r="BB50" s="13" t="n">
        <f aca="false">IF($AX50=1,AT50-Cost_round*F50+S50-AU50,"")</f>
        <v>0</v>
      </c>
      <c r="BC50" s="13" t="n">
        <f aca="false">IF($AX50=1,AU50-Cost_round*G50+T50-AV50,"")</f>
        <v>122.5</v>
      </c>
      <c r="BD50" s="13" t="n">
        <f aca="false">IF($AX50=1,AV50-Cost_round*H50+U50-AW50,"")</f>
        <v>2.5</v>
      </c>
      <c r="BE50" s="17" t="n">
        <f aca="false">IF($AX50=1,SUMPRODUCT(AY50:BD50,$AY$6:$BD$6),"")</f>
        <v>254.183288071932</v>
      </c>
      <c r="BF50" s="12" t="n">
        <f aca="false">IF(AND($AX50=1,Res_b&gt;0),(AK50-BE50)/Res_b,"")</f>
        <v>0.909090909090908</v>
      </c>
      <c r="BG50" s="17" t="n">
        <f aca="false">IF(AC50&gt;=Goal_b-0.000000001,AK50-Beta_y*Goal_b,"")</f>
        <v>276.910560799205</v>
      </c>
      <c r="BH50" s="15" t="n">
        <f aca="false">IF(AC50&gt;=Goal_b-0.000000001,IF(AND(AL50&gt;=Goal_S-0.000000001,BG50&gt;=Goal_P-0.000000001),1,0),0)</f>
        <v>0</v>
      </c>
    </row>
    <row r="51" customFormat="false" ht="15" hidden="false" customHeight="false" outlineLevel="0" collapsed="false">
      <c r="A51" s="2" t="n">
        <v>43</v>
      </c>
      <c r="B51" s="2" t="s">
        <v>161</v>
      </c>
      <c r="C51" s="15" t="n">
        <f aca="false">MOD(INT($A51/32),2)</f>
        <v>1</v>
      </c>
      <c r="D51" s="15" t="n">
        <f aca="false">MOD(INT($A51/16),2)</f>
        <v>0</v>
      </c>
      <c r="E51" s="15" t="n">
        <f aca="false">MOD(INT($A51/8),2)</f>
        <v>1</v>
      </c>
      <c r="F51" s="15" t="n">
        <f aca="false">MOD(INT($A51/4),2)</f>
        <v>0</v>
      </c>
      <c r="G51" s="15" t="n">
        <f aca="false">MOD(INT($A51/2),2)</f>
        <v>1</v>
      </c>
      <c r="H51" s="15" t="n">
        <f aca="false">MOD(INT($A51/1),2)</f>
        <v>1</v>
      </c>
      <c r="I51" s="15" t="n">
        <f aca="false">SUM(C51:H51)</f>
        <v>4</v>
      </c>
      <c r="J51" s="13" t="n">
        <f aca="false">E_zero+C51*Half_gap*(Ceiling_e-E_zero)</f>
        <v>78</v>
      </c>
      <c r="K51" s="13" t="n">
        <f aca="false">J51+D51*Half_gap*(Ceiling_e-J51)</f>
        <v>78</v>
      </c>
      <c r="L51" s="13" t="n">
        <f aca="false">K51+E51*Half_gap*(Ceiling_e-K51)</f>
        <v>81.5</v>
      </c>
      <c r="M51" s="13" t="n">
        <f aca="false">L51+F51*Half_gap*(Ceiling_e-L51)</f>
        <v>81.5</v>
      </c>
      <c r="N51" s="13" t="n">
        <f aca="false">M51+G51*Half_gap*(Ceiling_e-M51)</f>
        <v>83.25</v>
      </c>
      <c r="O51" s="13" t="n">
        <f aca="false">N51+H51*Half_gap*(Ceiling_e-N51)</f>
        <v>84.125</v>
      </c>
      <c r="P51" s="13" t="n">
        <f aca="false">Val_pt*(J51-E_zero)</f>
        <v>70</v>
      </c>
      <c r="Q51" s="13" t="n">
        <f aca="false">Val_pt*(K51-E_zero)</f>
        <v>70</v>
      </c>
      <c r="R51" s="13" t="n">
        <f aca="false">Val_pt*(L51-E_zero)</f>
        <v>105</v>
      </c>
      <c r="S51" s="13" t="n">
        <f aca="false">Val_pt*(M51-E_zero)</f>
        <v>105</v>
      </c>
      <c r="T51" s="13" t="n">
        <f aca="false">Val_pt*(N51-E_zero)</f>
        <v>122.5</v>
      </c>
      <c r="U51" s="13" t="n">
        <f aca="false">Val_pt*(O51-E_zero)</f>
        <v>131.25</v>
      </c>
      <c r="V51" s="16" t="n">
        <f aca="false">MAX(W51+Cost_round*C51-P51,IF(C51=1,Pre_q,0))</f>
        <v>470</v>
      </c>
      <c r="W51" s="16" t="n">
        <f aca="false">MAX(X51+Cost_round*D51-Q51,IF(D51=1,Pre_q,0),Floor_q)</f>
        <v>400</v>
      </c>
      <c r="X51" s="16" t="n">
        <f aca="false">MAX(Y51+Cost_round*E51-R51,IF(E51=1,Pre_q,0),Floor_q)</f>
        <v>470</v>
      </c>
      <c r="Y51" s="16" t="n">
        <f aca="false">MAX(Z51+Cost_round*F51-S51,IF(F51=1,Pre_q,0),Floor_q)</f>
        <v>365</v>
      </c>
      <c r="Z51" s="16" t="n">
        <f aca="false">MAX(AA51+Cost_round*G51-T51,IF(G51=1,Pre_q,0),Floor_q)</f>
        <v>470</v>
      </c>
      <c r="AA51" s="16" t="n">
        <f aca="false">MAX(AB51+Cost_round*H51-U51,IF(H51=1,Pre_q,0),Floor_q)</f>
        <v>470</v>
      </c>
      <c r="AB51" s="16" t="n">
        <f aca="false">End_q</f>
        <v>470</v>
      </c>
      <c r="AC51" s="16" t="n">
        <f aca="false">Q_zero-V51</f>
        <v>150</v>
      </c>
      <c r="AD51" s="15" t="n">
        <f aca="false">IF(AC51&gt;=-0.000000001,1,0)</f>
        <v>1</v>
      </c>
      <c r="AE51" s="13" t="n">
        <f aca="false">IF($AD51=1,Q_zero-Cost_round*C51+P51-W51,"")</f>
        <v>170</v>
      </c>
      <c r="AF51" s="13" t="n">
        <f aca="false">IF($AD51=1,W51-Cost_round*D51+Q51-X51,"")</f>
        <v>0</v>
      </c>
      <c r="AG51" s="13" t="n">
        <f aca="false">IF($AD51=1,X51-Cost_round*E51+R51-Y51,"")</f>
        <v>90</v>
      </c>
      <c r="AH51" s="13" t="n">
        <f aca="false">IF($AD51=1,Y51-Cost_round*F51+S51-Z51,"")</f>
        <v>0</v>
      </c>
      <c r="AI51" s="13" t="n">
        <f aca="false">IF($AD51=1,Z51-Cost_round*G51+T51-AA51,"")</f>
        <v>2.5</v>
      </c>
      <c r="AJ51" s="13" t="n">
        <f aca="false">IF($AD51=1,AA51-Cost_round*H51+U51-AB51,"")</f>
        <v>11.25</v>
      </c>
      <c r="AK51" s="17" t="n">
        <f aca="false">IF($AD51=1,SUMPRODUCT(AE51:AJ51,$AE$6:$AJ$6),"")</f>
        <v>230.066421647349</v>
      </c>
      <c r="AL51" s="13" t="n">
        <f aca="false">U51</f>
        <v>131.25</v>
      </c>
      <c r="AM51" s="15" t="n">
        <f aca="false">IF(SUMPRODUCT(($AK$8:$AK$71&gt;=AK51-0.000000001)*($AL$8:$AL$71&gt;=AL51-0.000000001)*((($AK$8:$AK$71&gt;AK51+0.000000001)+($AL$8:$AL$71&gt;AL51+0.000000001))&gt;0))&gt;0,1,0)</f>
        <v>1</v>
      </c>
      <c r="AN51" s="15" t="n">
        <f aca="false">1-AM51</f>
        <v>0</v>
      </c>
      <c r="AO51" s="17" t="n">
        <f aca="false">AK51+W_board*AL51</f>
        <v>970.938454842932</v>
      </c>
      <c r="AP51" s="17" t="n">
        <f aca="false">AK51+W_try*AL51</f>
        <v>1542.56642164735</v>
      </c>
      <c r="AQ51" s="16" t="n">
        <f aca="false">MAX(AR51+Cost_round*C51-P51,IF(C51=1,Pre_q+Res_b,0))</f>
        <v>520</v>
      </c>
      <c r="AR51" s="16" t="n">
        <f aca="false">MAX(AS51+Cost_round*D51-Q51,IF(D51=1,Pre_q+Res_b,0),Floor_q+Res_b)</f>
        <v>450</v>
      </c>
      <c r="AS51" s="16" t="n">
        <f aca="false">MAX(AT51+Cost_round*E51-R51,IF(E51=1,Pre_q+Res_b,0),Floor_q+Res_b)</f>
        <v>520</v>
      </c>
      <c r="AT51" s="16" t="n">
        <f aca="false">MAX(AU51+Cost_round*F51-S51,IF(F51=1,Pre_q+Res_b,0),Floor_q+Res_b)</f>
        <v>415</v>
      </c>
      <c r="AU51" s="16" t="n">
        <f aca="false">MAX(AV51+Cost_round*G51-T51,IF(G51=1,Pre_q+Res_b,0),Floor_q+Res_b)</f>
        <v>520</v>
      </c>
      <c r="AV51" s="16" t="n">
        <f aca="false">MAX(AW51+Cost_round*H51-U51,IF(H51=1,Pre_q+Res_b,0),Floor_q+Res_b)</f>
        <v>520</v>
      </c>
      <c r="AW51" s="16" t="n">
        <f aca="false">End_q+Res_b</f>
        <v>520</v>
      </c>
      <c r="AX51" s="15" t="n">
        <f aca="false">IF(Q_zero&gt;=AQ51-0.000000001,1,0)</f>
        <v>1</v>
      </c>
      <c r="AY51" s="13" t="n">
        <f aca="false">IF($AX51=1,Q_zero-Cost_round*C51+P51-AR51,"")</f>
        <v>120</v>
      </c>
      <c r="AZ51" s="13" t="n">
        <f aca="false">IF($AX51=1,AR51-Cost_round*D51+Q51-AS51,"")</f>
        <v>0</v>
      </c>
      <c r="BA51" s="13" t="n">
        <f aca="false">IF($AX51=1,AS51-Cost_round*E51+R51-AT51,"")</f>
        <v>90</v>
      </c>
      <c r="BB51" s="13" t="n">
        <f aca="false">IF($AX51=1,AT51-Cost_round*F51+S51-AU51,"")</f>
        <v>0</v>
      </c>
      <c r="BC51" s="13" t="n">
        <f aca="false">IF($AX51=1,AU51-Cost_round*G51+T51-AV51,"")</f>
        <v>2.5</v>
      </c>
      <c r="BD51" s="13" t="n">
        <f aca="false">IF($AX51=1,AV51-Cost_round*H51+U51-AW51,"")</f>
        <v>11.25</v>
      </c>
      <c r="BE51" s="17" t="n">
        <f aca="false">IF($AX51=1,SUMPRODUCT(AY51:BD51,$AY$6:$BD$6),"")</f>
        <v>184.611876192804</v>
      </c>
      <c r="BF51" s="12" t="n">
        <f aca="false">IF(AND($AX51=1,Res_b&gt;0),(AK51-BE51)/Res_b,"")</f>
        <v>0.909090909090909</v>
      </c>
      <c r="BG51" s="17" t="n">
        <f aca="false">IF(AC51&gt;=Goal_b-0.000000001,AK51-Beta_y*Goal_b,"")</f>
        <v>207.339148920077</v>
      </c>
      <c r="BH51" s="15" t="n">
        <f aca="false">IF(AC51&gt;=Goal_b-0.000000001,IF(AND(AL51&gt;=Goal_S-0.000000001,BG51&gt;=Goal_P-0.000000001),1,0),0)</f>
        <v>0</v>
      </c>
    </row>
    <row r="52" customFormat="false" ht="15" hidden="false" customHeight="false" outlineLevel="0" collapsed="false">
      <c r="A52" s="2" t="n">
        <v>44</v>
      </c>
      <c r="B52" s="2" t="s">
        <v>162</v>
      </c>
      <c r="C52" s="15" t="n">
        <f aca="false">MOD(INT($A52/32),2)</f>
        <v>1</v>
      </c>
      <c r="D52" s="15" t="n">
        <f aca="false">MOD(INT($A52/16),2)</f>
        <v>0</v>
      </c>
      <c r="E52" s="15" t="n">
        <f aca="false">MOD(INT($A52/8),2)</f>
        <v>1</v>
      </c>
      <c r="F52" s="15" t="n">
        <f aca="false">MOD(INT($A52/4),2)</f>
        <v>1</v>
      </c>
      <c r="G52" s="15" t="n">
        <f aca="false">MOD(INT($A52/2),2)</f>
        <v>0</v>
      </c>
      <c r="H52" s="15" t="n">
        <f aca="false">MOD(INT($A52/1),2)</f>
        <v>0</v>
      </c>
      <c r="I52" s="15" t="n">
        <f aca="false">SUM(C52:H52)</f>
        <v>3</v>
      </c>
      <c r="J52" s="13" t="n">
        <f aca="false">E_zero+C52*Half_gap*(Ceiling_e-E_zero)</f>
        <v>78</v>
      </c>
      <c r="K52" s="13" t="n">
        <f aca="false">J52+D52*Half_gap*(Ceiling_e-J52)</f>
        <v>78</v>
      </c>
      <c r="L52" s="13" t="n">
        <f aca="false">K52+E52*Half_gap*(Ceiling_e-K52)</f>
        <v>81.5</v>
      </c>
      <c r="M52" s="13" t="n">
        <f aca="false">L52+F52*Half_gap*(Ceiling_e-L52)</f>
        <v>83.25</v>
      </c>
      <c r="N52" s="13" t="n">
        <f aca="false">M52+G52*Half_gap*(Ceiling_e-M52)</f>
        <v>83.25</v>
      </c>
      <c r="O52" s="13" t="n">
        <f aca="false">N52+H52*Half_gap*(Ceiling_e-N52)</f>
        <v>83.25</v>
      </c>
      <c r="P52" s="13" t="n">
        <f aca="false">Val_pt*(J52-E_zero)</f>
        <v>70</v>
      </c>
      <c r="Q52" s="13" t="n">
        <f aca="false">Val_pt*(K52-E_zero)</f>
        <v>70</v>
      </c>
      <c r="R52" s="13" t="n">
        <f aca="false">Val_pt*(L52-E_zero)</f>
        <v>105</v>
      </c>
      <c r="S52" s="13" t="n">
        <f aca="false">Val_pt*(M52-E_zero)</f>
        <v>122.5</v>
      </c>
      <c r="T52" s="13" t="n">
        <f aca="false">Val_pt*(N52-E_zero)</f>
        <v>122.5</v>
      </c>
      <c r="U52" s="13" t="n">
        <f aca="false">Val_pt*(O52-E_zero)</f>
        <v>122.5</v>
      </c>
      <c r="V52" s="16" t="n">
        <f aca="false">MAX(W52+Cost_round*C52-P52,IF(C52=1,Pre_q,0))</f>
        <v>470</v>
      </c>
      <c r="W52" s="16" t="n">
        <f aca="false">MAX(X52+Cost_round*D52-Q52,IF(D52=1,Pre_q,0),Floor_q)</f>
        <v>415</v>
      </c>
      <c r="X52" s="16" t="n">
        <f aca="false">MAX(Y52+Cost_round*E52-R52,IF(E52=1,Pre_q,0),Floor_q)</f>
        <v>485</v>
      </c>
      <c r="Y52" s="16" t="n">
        <f aca="false">MAX(Z52+Cost_round*F52-S52,IF(F52=1,Pre_q,0),Floor_q)</f>
        <v>470</v>
      </c>
      <c r="Z52" s="16" t="n">
        <f aca="false">MAX(AA52+Cost_round*G52-T52,IF(G52=1,Pre_q,0),Floor_q)</f>
        <v>350</v>
      </c>
      <c r="AA52" s="16" t="n">
        <f aca="false">MAX(AB52+Cost_round*H52-U52,IF(H52=1,Pre_q,0),Floor_q)</f>
        <v>350</v>
      </c>
      <c r="AB52" s="16" t="n">
        <f aca="false">End_q</f>
        <v>470</v>
      </c>
      <c r="AC52" s="16" t="n">
        <f aca="false">Q_zero-V52</f>
        <v>150</v>
      </c>
      <c r="AD52" s="15" t="n">
        <f aca="false">IF(AC52&gt;=-0.000000001,1,0)</f>
        <v>1</v>
      </c>
      <c r="AE52" s="13" t="n">
        <f aca="false">IF($AD52=1,Q_zero-Cost_round*C52+P52-W52,"")</f>
        <v>155</v>
      </c>
      <c r="AF52" s="13" t="n">
        <f aca="false">IF($AD52=1,W52-Cost_round*D52+Q52-X52,"")</f>
        <v>0</v>
      </c>
      <c r="AG52" s="13" t="n">
        <f aca="false">IF($AD52=1,X52-Cost_round*E52+R52-Y52,"")</f>
        <v>0</v>
      </c>
      <c r="AH52" s="13" t="n">
        <f aca="false">IF($AD52=1,Y52-Cost_round*F52+S52-Z52,"")</f>
        <v>122.5</v>
      </c>
      <c r="AI52" s="13" t="n">
        <f aca="false">IF($AD52=1,Z52-Cost_round*G52+T52-AA52,"")</f>
        <v>122.5</v>
      </c>
      <c r="AJ52" s="13" t="n">
        <f aca="false">IF($AD52=1,AA52-Cost_round*H52+U52-AB52,"")</f>
        <v>2.5</v>
      </c>
      <c r="AK52" s="17" t="n">
        <f aca="false">IF($AD52=1,SUMPRODUCT(AE52:AJ52,$AE$6:$AJ$6),"")</f>
        <v>302.052286091193</v>
      </c>
      <c r="AL52" s="13" t="n">
        <f aca="false">U52</f>
        <v>122.5</v>
      </c>
      <c r="AM52" s="15" t="n">
        <f aca="false">IF(SUMPRODUCT(($AK$8:$AK$71&gt;=AK52-0.000000001)*($AL$8:$AL$71&gt;=AL52-0.000000001)*((($AK$8:$AK$71&gt;AK52+0.000000001)+($AL$8:$AL$71&gt;AL52+0.000000001))&gt;0))&gt;0,1,0)</f>
        <v>1</v>
      </c>
      <c r="AN52" s="15" t="n">
        <f aca="false">1-AM52</f>
        <v>0</v>
      </c>
      <c r="AO52" s="17" t="n">
        <f aca="false">AK52+W_board*AL52</f>
        <v>993.53285040707</v>
      </c>
      <c r="AP52" s="17" t="n">
        <f aca="false">AK52+W_try*AL52</f>
        <v>1527.05228609119</v>
      </c>
      <c r="AQ52" s="16" t="n">
        <f aca="false">MAX(AR52+Cost_round*C52-P52,IF(C52=1,Pre_q+Res_b,0))</f>
        <v>520</v>
      </c>
      <c r="AR52" s="16" t="n">
        <f aca="false">MAX(AS52+Cost_round*D52-Q52,IF(D52=1,Pre_q+Res_b,0),Floor_q+Res_b)</f>
        <v>465</v>
      </c>
      <c r="AS52" s="16" t="n">
        <f aca="false">MAX(AT52+Cost_round*E52-R52,IF(E52=1,Pre_q+Res_b,0),Floor_q+Res_b)</f>
        <v>535</v>
      </c>
      <c r="AT52" s="16" t="n">
        <f aca="false">MAX(AU52+Cost_round*F52-S52,IF(F52=1,Pre_q+Res_b,0),Floor_q+Res_b)</f>
        <v>520</v>
      </c>
      <c r="AU52" s="16" t="n">
        <f aca="false">MAX(AV52+Cost_round*G52-T52,IF(G52=1,Pre_q+Res_b,0),Floor_q+Res_b)</f>
        <v>400</v>
      </c>
      <c r="AV52" s="16" t="n">
        <f aca="false">MAX(AW52+Cost_round*H52-U52,IF(H52=1,Pre_q+Res_b,0),Floor_q+Res_b)</f>
        <v>400</v>
      </c>
      <c r="AW52" s="16" t="n">
        <f aca="false">End_q+Res_b</f>
        <v>520</v>
      </c>
      <c r="AX52" s="15" t="n">
        <f aca="false">IF(Q_zero&gt;=AQ52-0.000000001,1,0)</f>
        <v>1</v>
      </c>
      <c r="AY52" s="13" t="n">
        <f aca="false">IF($AX52=1,Q_zero-Cost_round*C52+P52-AR52,"")</f>
        <v>105</v>
      </c>
      <c r="AZ52" s="13" t="n">
        <f aca="false">IF($AX52=1,AR52-Cost_round*D52+Q52-AS52,"")</f>
        <v>0</v>
      </c>
      <c r="BA52" s="13" t="n">
        <f aca="false">IF($AX52=1,AS52-Cost_round*E52+R52-AT52,"")</f>
        <v>0</v>
      </c>
      <c r="BB52" s="13" t="n">
        <f aca="false">IF($AX52=1,AT52-Cost_round*F52+S52-AU52,"")</f>
        <v>122.5</v>
      </c>
      <c r="BC52" s="13" t="n">
        <f aca="false">IF($AX52=1,AU52-Cost_round*G52+T52-AV52,"")</f>
        <v>122.5</v>
      </c>
      <c r="BD52" s="13" t="n">
        <f aca="false">IF($AX52=1,AV52-Cost_round*H52+U52-AW52,"")</f>
        <v>2.5</v>
      </c>
      <c r="BE52" s="17" t="n">
        <f aca="false">IF($AX52=1,SUMPRODUCT(AY52:BD52,$AY$6:$BD$6),"")</f>
        <v>256.597740636648</v>
      </c>
      <c r="BF52" s="12" t="n">
        <f aca="false">IF(AND($AX52=1,Res_b&gt;0),(AK52-BE52)/Res_b,"")</f>
        <v>0.90909090909091</v>
      </c>
      <c r="BG52" s="17" t="n">
        <f aca="false">IF(AC52&gt;=Goal_b-0.000000001,AK52-Beta_y*Goal_b,"")</f>
        <v>279.32501336392</v>
      </c>
      <c r="BH52" s="15" t="n">
        <f aca="false">IF(AC52&gt;=Goal_b-0.000000001,IF(AND(AL52&gt;=Goal_S-0.000000001,BG52&gt;=Goal_P-0.000000001),1,0),0)</f>
        <v>0</v>
      </c>
    </row>
    <row r="53" customFormat="false" ht="15" hidden="false" customHeight="false" outlineLevel="0" collapsed="false">
      <c r="A53" s="2" t="n">
        <v>45</v>
      </c>
      <c r="B53" s="2" t="s">
        <v>163</v>
      </c>
      <c r="C53" s="15" t="n">
        <f aca="false">MOD(INT($A53/32),2)</f>
        <v>1</v>
      </c>
      <c r="D53" s="15" t="n">
        <f aca="false">MOD(INT($A53/16),2)</f>
        <v>0</v>
      </c>
      <c r="E53" s="15" t="n">
        <f aca="false">MOD(INT($A53/8),2)</f>
        <v>1</v>
      </c>
      <c r="F53" s="15" t="n">
        <f aca="false">MOD(INT($A53/4),2)</f>
        <v>1</v>
      </c>
      <c r="G53" s="15" t="n">
        <f aca="false">MOD(INT($A53/2),2)</f>
        <v>0</v>
      </c>
      <c r="H53" s="15" t="n">
        <f aca="false">MOD(INT($A53/1),2)</f>
        <v>1</v>
      </c>
      <c r="I53" s="15" t="n">
        <f aca="false">SUM(C53:H53)</f>
        <v>4</v>
      </c>
      <c r="J53" s="13" t="n">
        <f aca="false">E_zero+C53*Half_gap*(Ceiling_e-E_zero)</f>
        <v>78</v>
      </c>
      <c r="K53" s="13" t="n">
        <f aca="false">J53+D53*Half_gap*(Ceiling_e-J53)</f>
        <v>78</v>
      </c>
      <c r="L53" s="13" t="n">
        <f aca="false">K53+E53*Half_gap*(Ceiling_e-K53)</f>
        <v>81.5</v>
      </c>
      <c r="M53" s="13" t="n">
        <f aca="false">L53+F53*Half_gap*(Ceiling_e-L53)</f>
        <v>83.25</v>
      </c>
      <c r="N53" s="13" t="n">
        <f aca="false">M53+G53*Half_gap*(Ceiling_e-M53)</f>
        <v>83.25</v>
      </c>
      <c r="O53" s="13" t="n">
        <f aca="false">N53+H53*Half_gap*(Ceiling_e-N53)</f>
        <v>84.125</v>
      </c>
      <c r="P53" s="13" t="n">
        <f aca="false">Val_pt*(J53-E_zero)</f>
        <v>70</v>
      </c>
      <c r="Q53" s="13" t="n">
        <f aca="false">Val_pt*(K53-E_zero)</f>
        <v>70</v>
      </c>
      <c r="R53" s="13" t="n">
        <f aca="false">Val_pt*(L53-E_zero)</f>
        <v>105</v>
      </c>
      <c r="S53" s="13" t="n">
        <f aca="false">Val_pt*(M53-E_zero)</f>
        <v>122.5</v>
      </c>
      <c r="T53" s="13" t="n">
        <f aca="false">Val_pt*(N53-E_zero)</f>
        <v>122.5</v>
      </c>
      <c r="U53" s="13" t="n">
        <f aca="false">Val_pt*(O53-E_zero)</f>
        <v>131.25</v>
      </c>
      <c r="V53" s="16" t="n">
        <f aca="false">MAX(W53+Cost_round*C53-P53,IF(C53=1,Pre_q,0))</f>
        <v>470</v>
      </c>
      <c r="W53" s="16" t="n">
        <f aca="false">MAX(X53+Cost_round*D53-Q53,IF(D53=1,Pre_q,0),Floor_q)</f>
        <v>415</v>
      </c>
      <c r="X53" s="16" t="n">
        <f aca="false">MAX(Y53+Cost_round*E53-R53,IF(E53=1,Pre_q,0),Floor_q)</f>
        <v>485</v>
      </c>
      <c r="Y53" s="16" t="n">
        <f aca="false">MAX(Z53+Cost_round*F53-S53,IF(F53=1,Pre_q,0),Floor_q)</f>
        <v>470</v>
      </c>
      <c r="Z53" s="16" t="n">
        <f aca="false">MAX(AA53+Cost_round*G53-T53,IF(G53=1,Pre_q,0),Floor_q)</f>
        <v>350</v>
      </c>
      <c r="AA53" s="16" t="n">
        <f aca="false">MAX(AB53+Cost_round*H53-U53,IF(H53=1,Pre_q,0),Floor_q)</f>
        <v>470</v>
      </c>
      <c r="AB53" s="16" t="n">
        <f aca="false">End_q</f>
        <v>470</v>
      </c>
      <c r="AC53" s="16" t="n">
        <f aca="false">Q_zero-V53</f>
        <v>150</v>
      </c>
      <c r="AD53" s="15" t="n">
        <f aca="false">IF(AC53&gt;=-0.000000001,1,0)</f>
        <v>1</v>
      </c>
      <c r="AE53" s="13" t="n">
        <f aca="false">IF($AD53=1,Q_zero-Cost_round*C53+P53-W53,"")</f>
        <v>155</v>
      </c>
      <c r="AF53" s="13" t="n">
        <f aca="false">IF($AD53=1,W53-Cost_round*D53+Q53-X53,"")</f>
        <v>0</v>
      </c>
      <c r="AG53" s="13" t="n">
        <f aca="false">IF($AD53=1,X53-Cost_round*E53+R53-Y53,"")</f>
        <v>0</v>
      </c>
      <c r="AH53" s="13" t="n">
        <f aca="false">IF($AD53=1,Y53-Cost_round*F53+S53-Z53,"")</f>
        <v>122.5</v>
      </c>
      <c r="AI53" s="13" t="n">
        <f aca="false">IF($AD53=1,Z53-Cost_round*G53+T53-AA53,"")</f>
        <v>2.5</v>
      </c>
      <c r="AJ53" s="13" t="n">
        <f aca="false">IF($AD53=1,AA53-Cost_round*H53+U53-AB53,"")</f>
        <v>11.25</v>
      </c>
      <c r="AK53" s="17" t="n">
        <f aca="false">IF($AD53=1,SUMPRODUCT(AE53:AJ53,$AE$6:$AJ$6),"")</f>
        <v>232.480874212065</v>
      </c>
      <c r="AL53" s="13" t="n">
        <f aca="false">U53</f>
        <v>131.25</v>
      </c>
      <c r="AM53" s="15" t="n">
        <f aca="false">IF(SUMPRODUCT(($AK$8:$AK$71&gt;=AK53-0.000000001)*($AL$8:$AL$71&gt;=AL53-0.000000001)*((($AK$8:$AK$71&gt;AK53+0.000000001)+($AL$8:$AL$71&gt;AL53+0.000000001))&gt;0))&gt;0,1,0)</f>
        <v>1</v>
      </c>
      <c r="AN53" s="15" t="n">
        <f aca="false">1-AM53</f>
        <v>0</v>
      </c>
      <c r="AO53" s="17" t="n">
        <f aca="false">AK53+W_board*AL53</f>
        <v>973.352907407648</v>
      </c>
      <c r="AP53" s="17" t="n">
        <f aca="false">AK53+W_try*AL53</f>
        <v>1544.98087421207</v>
      </c>
      <c r="AQ53" s="16" t="n">
        <f aca="false">MAX(AR53+Cost_round*C53-P53,IF(C53=1,Pre_q+Res_b,0))</f>
        <v>520</v>
      </c>
      <c r="AR53" s="16" t="n">
        <f aca="false">MAX(AS53+Cost_round*D53-Q53,IF(D53=1,Pre_q+Res_b,0),Floor_q+Res_b)</f>
        <v>465</v>
      </c>
      <c r="AS53" s="16" t="n">
        <f aca="false">MAX(AT53+Cost_round*E53-R53,IF(E53=1,Pre_q+Res_b,0),Floor_q+Res_b)</f>
        <v>535</v>
      </c>
      <c r="AT53" s="16" t="n">
        <f aca="false">MAX(AU53+Cost_round*F53-S53,IF(F53=1,Pre_q+Res_b,0),Floor_q+Res_b)</f>
        <v>520</v>
      </c>
      <c r="AU53" s="16" t="n">
        <f aca="false">MAX(AV53+Cost_round*G53-T53,IF(G53=1,Pre_q+Res_b,0),Floor_q+Res_b)</f>
        <v>400</v>
      </c>
      <c r="AV53" s="16" t="n">
        <f aca="false">MAX(AW53+Cost_round*H53-U53,IF(H53=1,Pre_q+Res_b,0),Floor_q+Res_b)</f>
        <v>520</v>
      </c>
      <c r="AW53" s="16" t="n">
        <f aca="false">End_q+Res_b</f>
        <v>520</v>
      </c>
      <c r="AX53" s="15" t="n">
        <f aca="false">IF(Q_zero&gt;=AQ53-0.000000001,1,0)</f>
        <v>1</v>
      </c>
      <c r="AY53" s="13" t="n">
        <f aca="false">IF($AX53=1,Q_zero-Cost_round*C53+P53-AR53,"")</f>
        <v>105</v>
      </c>
      <c r="AZ53" s="13" t="n">
        <f aca="false">IF($AX53=1,AR53-Cost_round*D53+Q53-AS53,"")</f>
        <v>0</v>
      </c>
      <c r="BA53" s="13" t="n">
        <f aca="false">IF($AX53=1,AS53-Cost_round*E53+R53-AT53,"")</f>
        <v>0</v>
      </c>
      <c r="BB53" s="13" t="n">
        <f aca="false">IF($AX53=1,AT53-Cost_round*F53+S53-AU53,"")</f>
        <v>122.5</v>
      </c>
      <c r="BC53" s="13" t="n">
        <f aca="false">IF($AX53=1,AU53-Cost_round*G53+T53-AV53,"")</f>
        <v>2.5</v>
      </c>
      <c r="BD53" s="13" t="n">
        <f aca="false">IF($AX53=1,AV53-Cost_round*H53+U53-AW53,"")</f>
        <v>11.25</v>
      </c>
      <c r="BE53" s="17" t="n">
        <f aca="false">IF($AX53=1,SUMPRODUCT(AY53:BD53,$AY$6:$BD$6),"")</f>
        <v>187.02632875752</v>
      </c>
      <c r="BF53" s="12" t="n">
        <f aca="false">IF(AND($AX53=1,Res_b&gt;0),(AK53-BE53)/Res_b,"")</f>
        <v>0.909090909090909</v>
      </c>
      <c r="BG53" s="17" t="n">
        <f aca="false">IF(AC53&gt;=Goal_b-0.000000001,AK53-Beta_y*Goal_b,"")</f>
        <v>209.753601484792</v>
      </c>
      <c r="BH53" s="15" t="n">
        <f aca="false">IF(AC53&gt;=Goal_b-0.000000001,IF(AND(AL53&gt;=Goal_S-0.000000001,BG53&gt;=Goal_P-0.000000001),1,0),0)</f>
        <v>0</v>
      </c>
    </row>
    <row r="54" customFormat="false" ht="15" hidden="false" customHeight="false" outlineLevel="0" collapsed="false">
      <c r="A54" s="2" t="n">
        <v>46</v>
      </c>
      <c r="B54" s="2" t="s">
        <v>164</v>
      </c>
      <c r="C54" s="15" t="n">
        <f aca="false">MOD(INT($A54/32),2)</f>
        <v>1</v>
      </c>
      <c r="D54" s="15" t="n">
        <f aca="false">MOD(INT($A54/16),2)</f>
        <v>0</v>
      </c>
      <c r="E54" s="15" t="n">
        <f aca="false">MOD(INT($A54/8),2)</f>
        <v>1</v>
      </c>
      <c r="F54" s="15" t="n">
        <f aca="false">MOD(INT($A54/4),2)</f>
        <v>1</v>
      </c>
      <c r="G54" s="15" t="n">
        <f aca="false">MOD(INT($A54/2),2)</f>
        <v>1</v>
      </c>
      <c r="H54" s="15" t="n">
        <f aca="false">MOD(INT($A54/1),2)</f>
        <v>0</v>
      </c>
      <c r="I54" s="15" t="n">
        <f aca="false">SUM(C54:H54)</f>
        <v>4</v>
      </c>
      <c r="J54" s="13" t="n">
        <f aca="false">E_zero+C54*Half_gap*(Ceiling_e-E_zero)</f>
        <v>78</v>
      </c>
      <c r="K54" s="13" t="n">
        <f aca="false">J54+D54*Half_gap*(Ceiling_e-J54)</f>
        <v>78</v>
      </c>
      <c r="L54" s="13" t="n">
        <f aca="false">K54+E54*Half_gap*(Ceiling_e-K54)</f>
        <v>81.5</v>
      </c>
      <c r="M54" s="13" t="n">
        <f aca="false">L54+F54*Half_gap*(Ceiling_e-L54)</f>
        <v>83.25</v>
      </c>
      <c r="N54" s="13" t="n">
        <f aca="false">M54+G54*Half_gap*(Ceiling_e-M54)</f>
        <v>84.125</v>
      </c>
      <c r="O54" s="13" t="n">
        <f aca="false">N54+H54*Half_gap*(Ceiling_e-N54)</f>
        <v>84.125</v>
      </c>
      <c r="P54" s="13" t="n">
        <f aca="false">Val_pt*(J54-E_zero)</f>
        <v>70</v>
      </c>
      <c r="Q54" s="13" t="n">
        <f aca="false">Val_pt*(K54-E_zero)</f>
        <v>70</v>
      </c>
      <c r="R54" s="13" t="n">
        <f aca="false">Val_pt*(L54-E_zero)</f>
        <v>105</v>
      </c>
      <c r="S54" s="13" t="n">
        <f aca="false">Val_pt*(M54-E_zero)</f>
        <v>122.5</v>
      </c>
      <c r="T54" s="13" t="n">
        <f aca="false">Val_pt*(N54-E_zero)</f>
        <v>131.25</v>
      </c>
      <c r="U54" s="13" t="n">
        <f aca="false">Val_pt*(O54-E_zero)</f>
        <v>131.25</v>
      </c>
      <c r="V54" s="16" t="n">
        <f aca="false">MAX(W54+Cost_round*C54-P54,IF(C54=1,Pre_q,0))</f>
        <v>470</v>
      </c>
      <c r="W54" s="16" t="n">
        <f aca="false">MAX(X54+Cost_round*D54-Q54,IF(D54=1,Pre_q,0),Floor_q)</f>
        <v>415</v>
      </c>
      <c r="X54" s="16" t="n">
        <f aca="false">MAX(Y54+Cost_round*E54-R54,IF(E54=1,Pre_q,0),Floor_q)</f>
        <v>485</v>
      </c>
      <c r="Y54" s="16" t="n">
        <f aca="false">MAX(Z54+Cost_round*F54-S54,IF(F54=1,Pre_q,0),Floor_q)</f>
        <v>470</v>
      </c>
      <c r="Z54" s="16" t="n">
        <f aca="false">MAX(AA54+Cost_round*G54-T54,IF(G54=1,Pre_q,0),Floor_q)</f>
        <v>470</v>
      </c>
      <c r="AA54" s="16" t="n">
        <f aca="false">MAX(AB54+Cost_round*H54-U54,IF(H54=1,Pre_q,0),Floor_q)</f>
        <v>350</v>
      </c>
      <c r="AB54" s="16" t="n">
        <f aca="false">End_q</f>
        <v>470</v>
      </c>
      <c r="AC54" s="16" t="n">
        <f aca="false">Q_zero-V54</f>
        <v>150</v>
      </c>
      <c r="AD54" s="15" t="n">
        <f aca="false">IF(AC54&gt;=-0.000000001,1,0)</f>
        <v>1</v>
      </c>
      <c r="AE54" s="13" t="n">
        <f aca="false">IF($AD54=1,Q_zero-Cost_round*C54+P54-W54,"")</f>
        <v>155</v>
      </c>
      <c r="AF54" s="13" t="n">
        <f aca="false">IF($AD54=1,W54-Cost_round*D54+Q54-X54,"")</f>
        <v>0</v>
      </c>
      <c r="AG54" s="13" t="n">
        <f aca="false">IF($AD54=1,X54-Cost_round*E54+R54-Y54,"")</f>
        <v>0</v>
      </c>
      <c r="AH54" s="13" t="n">
        <f aca="false">IF($AD54=1,Y54-Cost_round*F54+S54-Z54,"")</f>
        <v>2.5</v>
      </c>
      <c r="AI54" s="13" t="n">
        <f aca="false">IF($AD54=1,Z54-Cost_round*G54+T54-AA54,"")</f>
        <v>131.25</v>
      </c>
      <c r="AJ54" s="13" t="n">
        <f aca="false">IF($AD54=1,AA54-Cost_round*H54+U54-AB54,"")</f>
        <v>11.25</v>
      </c>
      <c r="AK54" s="17" t="n">
        <f aca="false">IF($AD54=1,SUMPRODUCT(AE54:AJ54,$AE$6:$AJ$6),"")</f>
        <v>230.462879912123</v>
      </c>
      <c r="AL54" s="13" t="n">
        <f aca="false">U54</f>
        <v>131.25</v>
      </c>
      <c r="AM54" s="15" t="n">
        <f aca="false">IF(SUMPRODUCT(($AK$8:$AK$71&gt;=AK54-0.000000001)*($AL$8:$AL$71&gt;=AL54-0.000000001)*((($AK$8:$AK$71&gt;AK54+0.000000001)+($AL$8:$AL$71&gt;AL54+0.000000001))&gt;0))&gt;0,1,0)</f>
        <v>1</v>
      </c>
      <c r="AN54" s="15" t="n">
        <f aca="false">1-AM54</f>
        <v>0</v>
      </c>
      <c r="AO54" s="17" t="n">
        <f aca="false">AK54+W_board*AL54</f>
        <v>971.334913107706</v>
      </c>
      <c r="AP54" s="17" t="n">
        <f aca="false">AK54+W_try*AL54</f>
        <v>1542.96287991212</v>
      </c>
      <c r="AQ54" s="16" t="n">
        <f aca="false">MAX(AR54+Cost_round*C54-P54,IF(C54=1,Pre_q+Res_b,0))</f>
        <v>520</v>
      </c>
      <c r="AR54" s="16" t="n">
        <f aca="false">MAX(AS54+Cost_round*D54-Q54,IF(D54=1,Pre_q+Res_b,0),Floor_q+Res_b)</f>
        <v>465</v>
      </c>
      <c r="AS54" s="16" t="n">
        <f aca="false">MAX(AT54+Cost_round*E54-R54,IF(E54=1,Pre_q+Res_b,0),Floor_q+Res_b)</f>
        <v>535</v>
      </c>
      <c r="AT54" s="16" t="n">
        <f aca="false">MAX(AU54+Cost_round*F54-S54,IF(F54=1,Pre_q+Res_b,0),Floor_q+Res_b)</f>
        <v>520</v>
      </c>
      <c r="AU54" s="16" t="n">
        <f aca="false">MAX(AV54+Cost_round*G54-T54,IF(G54=1,Pre_q+Res_b,0),Floor_q+Res_b)</f>
        <v>520</v>
      </c>
      <c r="AV54" s="16" t="n">
        <f aca="false">MAX(AW54+Cost_round*H54-U54,IF(H54=1,Pre_q+Res_b,0),Floor_q+Res_b)</f>
        <v>400</v>
      </c>
      <c r="AW54" s="16" t="n">
        <f aca="false">End_q+Res_b</f>
        <v>520</v>
      </c>
      <c r="AX54" s="15" t="n">
        <f aca="false">IF(Q_zero&gt;=AQ54-0.000000001,1,0)</f>
        <v>1</v>
      </c>
      <c r="AY54" s="13" t="n">
        <f aca="false">IF($AX54=1,Q_zero-Cost_round*C54+P54-AR54,"")</f>
        <v>105</v>
      </c>
      <c r="AZ54" s="13" t="n">
        <f aca="false">IF($AX54=1,AR54-Cost_round*D54+Q54-AS54,"")</f>
        <v>0</v>
      </c>
      <c r="BA54" s="13" t="n">
        <f aca="false">IF($AX54=1,AS54-Cost_round*E54+R54-AT54,"")</f>
        <v>0</v>
      </c>
      <c r="BB54" s="13" t="n">
        <f aca="false">IF($AX54=1,AT54-Cost_round*F54+S54-AU54,"")</f>
        <v>2.5</v>
      </c>
      <c r="BC54" s="13" t="n">
        <f aca="false">IF($AX54=1,AU54-Cost_round*G54+T54-AV54,"")</f>
        <v>131.25</v>
      </c>
      <c r="BD54" s="13" t="n">
        <f aca="false">IF($AX54=1,AV54-Cost_round*H54+U54-AW54,"")</f>
        <v>11.25</v>
      </c>
      <c r="BE54" s="17" t="n">
        <f aca="false">IF($AX54=1,SUMPRODUCT(AY54:BD54,$AY$6:$BD$6),"")</f>
        <v>185.008334457577</v>
      </c>
      <c r="BF54" s="12" t="n">
        <f aca="false">IF(AND($AX54=1,Res_b&gt;0),(AK54-BE54)/Res_b,"")</f>
        <v>0.909090909090909</v>
      </c>
      <c r="BG54" s="17" t="n">
        <f aca="false">IF(AC54&gt;=Goal_b-0.000000001,AK54-Beta_y*Goal_b,"")</f>
        <v>207.73560718485</v>
      </c>
      <c r="BH54" s="15" t="n">
        <f aca="false">IF(AC54&gt;=Goal_b-0.000000001,IF(AND(AL54&gt;=Goal_S-0.000000001,BG54&gt;=Goal_P-0.000000001),1,0),0)</f>
        <v>0</v>
      </c>
    </row>
    <row r="55" customFormat="false" ht="15" hidden="false" customHeight="false" outlineLevel="0" collapsed="false">
      <c r="A55" s="2" t="n">
        <v>47</v>
      </c>
      <c r="B55" s="2" t="s">
        <v>165</v>
      </c>
      <c r="C55" s="15" t="n">
        <f aca="false">MOD(INT($A55/32),2)</f>
        <v>1</v>
      </c>
      <c r="D55" s="15" t="n">
        <f aca="false">MOD(INT($A55/16),2)</f>
        <v>0</v>
      </c>
      <c r="E55" s="15" t="n">
        <f aca="false">MOD(INT($A55/8),2)</f>
        <v>1</v>
      </c>
      <c r="F55" s="15" t="n">
        <f aca="false">MOD(INT($A55/4),2)</f>
        <v>1</v>
      </c>
      <c r="G55" s="15" t="n">
        <f aca="false">MOD(INT($A55/2),2)</f>
        <v>1</v>
      </c>
      <c r="H55" s="15" t="n">
        <f aca="false">MOD(INT($A55/1),2)</f>
        <v>1</v>
      </c>
      <c r="I55" s="15" t="n">
        <f aca="false">SUM(C55:H55)</f>
        <v>5</v>
      </c>
      <c r="J55" s="13" t="n">
        <f aca="false">E_zero+C55*Half_gap*(Ceiling_e-E_zero)</f>
        <v>78</v>
      </c>
      <c r="K55" s="13" t="n">
        <f aca="false">J55+D55*Half_gap*(Ceiling_e-J55)</f>
        <v>78</v>
      </c>
      <c r="L55" s="13" t="n">
        <f aca="false">K55+E55*Half_gap*(Ceiling_e-K55)</f>
        <v>81.5</v>
      </c>
      <c r="M55" s="13" t="n">
        <f aca="false">L55+F55*Half_gap*(Ceiling_e-L55)</f>
        <v>83.25</v>
      </c>
      <c r="N55" s="13" t="n">
        <f aca="false">M55+G55*Half_gap*(Ceiling_e-M55)</f>
        <v>84.125</v>
      </c>
      <c r="O55" s="13" t="n">
        <f aca="false">N55+H55*Half_gap*(Ceiling_e-N55)</f>
        <v>84.5625</v>
      </c>
      <c r="P55" s="13" t="n">
        <f aca="false">Val_pt*(J55-E_zero)</f>
        <v>70</v>
      </c>
      <c r="Q55" s="13" t="n">
        <f aca="false">Val_pt*(K55-E_zero)</f>
        <v>70</v>
      </c>
      <c r="R55" s="13" t="n">
        <f aca="false">Val_pt*(L55-E_zero)</f>
        <v>105</v>
      </c>
      <c r="S55" s="13" t="n">
        <f aca="false">Val_pt*(M55-E_zero)</f>
        <v>122.5</v>
      </c>
      <c r="T55" s="13" t="n">
        <f aca="false">Val_pt*(N55-E_zero)</f>
        <v>131.25</v>
      </c>
      <c r="U55" s="13" t="n">
        <f aca="false">Val_pt*(O55-E_zero)</f>
        <v>135.625</v>
      </c>
      <c r="V55" s="16" t="n">
        <f aca="false">MAX(W55+Cost_round*C55-P55,IF(C55=1,Pre_q,0))</f>
        <v>470</v>
      </c>
      <c r="W55" s="16" t="n">
        <f aca="false">MAX(X55+Cost_round*D55-Q55,IF(D55=1,Pre_q,0),Floor_q)</f>
        <v>415</v>
      </c>
      <c r="X55" s="16" t="n">
        <f aca="false">MAX(Y55+Cost_round*E55-R55,IF(E55=1,Pre_q,0),Floor_q)</f>
        <v>485</v>
      </c>
      <c r="Y55" s="16" t="n">
        <f aca="false">MAX(Z55+Cost_round*F55-S55,IF(F55=1,Pre_q,0),Floor_q)</f>
        <v>470</v>
      </c>
      <c r="Z55" s="16" t="n">
        <f aca="false">MAX(AA55+Cost_round*G55-T55,IF(G55=1,Pre_q,0),Floor_q)</f>
        <v>470</v>
      </c>
      <c r="AA55" s="16" t="n">
        <f aca="false">MAX(AB55+Cost_round*H55-U55,IF(H55=1,Pre_q,0),Floor_q)</f>
        <v>470</v>
      </c>
      <c r="AB55" s="16" t="n">
        <f aca="false">End_q</f>
        <v>470</v>
      </c>
      <c r="AC55" s="16" t="n">
        <f aca="false">Q_zero-V55</f>
        <v>150</v>
      </c>
      <c r="AD55" s="15" t="n">
        <f aca="false">IF(AC55&gt;=-0.000000001,1,0)</f>
        <v>1</v>
      </c>
      <c r="AE55" s="13" t="n">
        <f aca="false">IF($AD55=1,Q_zero-Cost_round*C55+P55-W55,"")</f>
        <v>155</v>
      </c>
      <c r="AF55" s="13" t="n">
        <f aca="false">IF($AD55=1,W55-Cost_round*D55+Q55-X55,"")</f>
        <v>0</v>
      </c>
      <c r="AG55" s="13" t="n">
        <f aca="false">IF($AD55=1,X55-Cost_round*E55+R55-Y55,"")</f>
        <v>0</v>
      </c>
      <c r="AH55" s="13" t="n">
        <f aca="false">IF($AD55=1,Y55-Cost_round*F55+S55-Z55,"")</f>
        <v>2.5</v>
      </c>
      <c r="AI55" s="13" t="n">
        <f aca="false">IF($AD55=1,Z55-Cost_round*G55+T55-AA55,"")</f>
        <v>11.25</v>
      </c>
      <c r="AJ55" s="13" t="n">
        <f aca="false">IF($AD55=1,AA55-Cost_round*H55+U55-AB55,"")</f>
        <v>15.625</v>
      </c>
      <c r="AK55" s="17" t="n">
        <f aca="false">IF($AD55=1,SUMPRODUCT(AE55:AJ55,$AE$6:$AJ$6),"")</f>
        <v>158.421894589009</v>
      </c>
      <c r="AL55" s="13" t="n">
        <f aca="false">U55</f>
        <v>135.625</v>
      </c>
      <c r="AM55" s="15" t="n">
        <f aca="false">IF(SUMPRODUCT(($AK$8:$AK$71&gt;=AK55-0.000000001)*($AL$8:$AL$71&gt;=AL55-0.000000001)*((($AK$8:$AK$71&gt;AK55+0.000000001)+($AL$8:$AL$71&gt;AL55+0.000000001))&gt;0))&gt;0,1,0)</f>
        <v>1</v>
      </c>
      <c r="AN55" s="15" t="n">
        <f aca="false">1-AM55</f>
        <v>0</v>
      </c>
      <c r="AO55" s="17" t="n">
        <f aca="false">AK55+W_board*AL55</f>
        <v>923.989662224445</v>
      </c>
      <c r="AP55" s="17" t="n">
        <f aca="false">AK55+W_try*AL55</f>
        <v>1514.67189458901</v>
      </c>
      <c r="AQ55" s="16" t="n">
        <f aca="false">MAX(AR55+Cost_round*C55-P55,IF(C55=1,Pre_q+Res_b,0))</f>
        <v>520</v>
      </c>
      <c r="AR55" s="16" t="n">
        <f aca="false">MAX(AS55+Cost_round*D55-Q55,IF(D55=1,Pre_q+Res_b,0),Floor_q+Res_b)</f>
        <v>465</v>
      </c>
      <c r="AS55" s="16" t="n">
        <f aca="false">MAX(AT55+Cost_round*E55-R55,IF(E55=1,Pre_q+Res_b,0),Floor_q+Res_b)</f>
        <v>535</v>
      </c>
      <c r="AT55" s="16" t="n">
        <f aca="false">MAX(AU55+Cost_round*F55-S55,IF(F55=1,Pre_q+Res_b,0),Floor_q+Res_b)</f>
        <v>520</v>
      </c>
      <c r="AU55" s="16" t="n">
        <f aca="false">MAX(AV55+Cost_round*G55-T55,IF(G55=1,Pre_q+Res_b,0),Floor_q+Res_b)</f>
        <v>520</v>
      </c>
      <c r="AV55" s="16" t="n">
        <f aca="false">MAX(AW55+Cost_round*H55-U55,IF(H55=1,Pre_q+Res_b,0),Floor_q+Res_b)</f>
        <v>520</v>
      </c>
      <c r="AW55" s="16" t="n">
        <f aca="false">End_q+Res_b</f>
        <v>520</v>
      </c>
      <c r="AX55" s="15" t="n">
        <f aca="false">IF(Q_zero&gt;=AQ55-0.000000001,1,0)</f>
        <v>1</v>
      </c>
      <c r="AY55" s="13" t="n">
        <f aca="false">IF($AX55=1,Q_zero-Cost_round*C55+P55-AR55,"")</f>
        <v>105</v>
      </c>
      <c r="AZ55" s="13" t="n">
        <f aca="false">IF($AX55=1,AR55-Cost_round*D55+Q55-AS55,"")</f>
        <v>0</v>
      </c>
      <c r="BA55" s="13" t="n">
        <f aca="false">IF($AX55=1,AS55-Cost_round*E55+R55-AT55,"")</f>
        <v>0</v>
      </c>
      <c r="BB55" s="13" t="n">
        <f aca="false">IF($AX55=1,AT55-Cost_round*F55+S55-AU55,"")</f>
        <v>2.5</v>
      </c>
      <c r="BC55" s="13" t="n">
        <f aca="false">IF($AX55=1,AU55-Cost_round*G55+T55-AV55,"")</f>
        <v>11.25</v>
      </c>
      <c r="BD55" s="13" t="n">
        <f aca="false">IF($AX55=1,AV55-Cost_round*H55+U55-AW55,"")</f>
        <v>15.625</v>
      </c>
      <c r="BE55" s="17" t="n">
        <f aca="false">IF($AX55=1,SUMPRODUCT(AY55:BD55,$AY$6:$BD$6),"")</f>
        <v>112.967349134464</v>
      </c>
      <c r="BF55" s="12" t="n">
        <f aca="false">IF(AND($AX55=1,Res_b&gt;0),(AK55-BE55)/Res_b,"")</f>
        <v>0.909090909090909</v>
      </c>
      <c r="BG55" s="17" t="n">
        <f aca="false">IF(AC55&gt;=Goal_b-0.000000001,AK55-Beta_y*Goal_b,"")</f>
        <v>135.694621861737</v>
      </c>
      <c r="BH55" s="15" t="n">
        <f aca="false">IF(AC55&gt;=Goal_b-0.000000001,IF(AND(AL55&gt;=Goal_S-0.000000001,BG55&gt;=Goal_P-0.000000001),1,0),0)</f>
        <v>0</v>
      </c>
    </row>
    <row r="56" customFormat="false" ht="15" hidden="false" customHeight="false" outlineLevel="0" collapsed="false">
      <c r="A56" s="2" t="n">
        <v>48</v>
      </c>
      <c r="B56" s="2" t="s">
        <v>166</v>
      </c>
      <c r="C56" s="15" t="n">
        <f aca="false">MOD(INT($A56/32),2)</f>
        <v>1</v>
      </c>
      <c r="D56" s="15" t="n">
        <f aca="false">MOD(INT($A56/16),2)</f>
        <v>1</v>
      </c>
      <c r="E56" s="15" t="n">
        <f aca="false">MOD(INT($A56/8),2)</f>
        <v>0</v>
      </c>
      <c r="F56" s="15" t="n">
        <f aca="false">MOD(INT($A56/4),2)</f>
        <v>0</v>
      </c>
      <c r="G56" s="15" t="n">
        <f aca="false">MOD(INT($A56/2),2)</f>
        <v>0</v>
      </c>
      <c r="H56" s="15" t="n">
        <f aca="false">MOD(INT($A56/1),2)</f>
        <v>0</v>
      </c>
      <c r="I56" s="15" t="n">
        <f aca="false">SUM(C56:H56)</f>
        <v>2</v>
      </c>
      <c r="J56" s="13" t="n">
        <f aca="false">E_zero+C56*Half_gap*(Ceiling_e-E_zero)</f>
        <v>78</v>
      </c>
      <c r="K56" s="13" t="n">
        <f aca="false">J56+D56*Half_gap*(Ceiling_e-J56)</f>
        <v>81.5</v>
      </c>
      <c r="L56" s="13" t="n">
        <f aca="false">K56+E56*Half_gap*(Ceiling_e-K56)</f>
        <v>81.5</v>
      </c>
      <c r="M56" s="13" t="n">
        <f aca="false">L56+F56*Half_gap*(Ceiling_e-L56)</f>
        <v>81.5</v>
      </c>
      <c r="N56" s="13" t="n">
        <f aca="false">M56+G56*Half_gap*(Ceiling_e-M56)</f>
        <v>81.5</v>
      </c>
      <c r="O56" s="13" t="n">
        <f aca="false">N56+H56*Half_gap*(Ceiling_e-N56)</f>
        <v>81.5</v>
      </c>
      <c r="P56" s="13" t="n">
        <f aca="false">Val_pt*(J56-E_zero)</f>
        <v>70</v>
      </c>
      <c r="Q56" s="13" t="n">
        <f aca="false">Val_pt*(K56-E_zero)</f>
        <v>105</v>
      </c>
      <c r="R56" s="13" t="n">
        <f aca="false">Val_pt*(L56-E_zero)</f>
        <v>105</v>
      </c>
      <c r="S56" s="13" t="n">
        <f aca="false">Val_pt*(M56-E_zero)</f>
        <v>105</v>
      </c>
      <c r="T56" s="13" t="n">
        <f aca="false">Val_pt*(N56-E_zero)</f>
        <v>105</v>
      </c>
      <c r="U56" s="13" t="n">
        <f aca="false">Val_pt*(O56-E_zero)</f>
        <v>105</v>
      </c>
      <c r="V56" s="16" t="n">
        <f aca="false">MAX(W56+Cost_round*C56-P56,IF(C56=1,Pre_q,0))</f>
        <v>520</v>
      </c>
      <c r="W56" s="16" t="n">
        <f aca="false">MAX(X56+Cost_round*D56-Q56,IF(D56=1,Pre_q,0),Floor_q)</f>
        <v>470</v>
      </c>
      <c r="X56" s="16" t="n">
        <f aca="false">MAX(Y56+Cost_round*E56-R56,IF(E56=1,Pre_q,0),Floor_q)</f>
        <v>350</v>
      </c>
      <c r="Y56" s="16" t="n">
        <f aca="false">MAX(Z56+Cost_round*F56-S56,IF(F56=1,Pre_q,0),Floor_q)</f>
        <v>350</v>
      </c>
      <c r="Z56" s="16" t="n">
        <f aca="false">MAX(AA56+Cost_round*G56-T56,IF(G56=1,Pre_q,0),Floor_q)</f>
        <v>350</v>
      </c>
      <c r="AA56" s="16" t="n">
        <f aca="false">MAX(AB56+Cost_round*H56-U56,IF(H56=1,Pre_q,0),Floor_q)</f>
        <v>365</v>
      </c>
      <c r="AB56" s="16" t="n">
        <f aca="false">End_q</f>
        <v>470</v>
      </c>
      <c r="AC56" s="16" t="n">
        <f aca="false">Q_zero-V56</f>
        <v>100</v>
      </c>
      <c r="AD56" s="15" t="n">
        <f aca="false">IF(AC56&gt;=-0.000000001,1,0)</f>
        <v>1</v>
      </c>
      <c r="AE56" s="13" t="n">
        <f aca="false">IF($AD56=1,Q_zero-Cost_round*C56+P56-W56,"")</f>
        <v>100</v>
      </c>
      <c r="AF56" s="13" t="n">
        <f aca="false">IF($AD56=1,W56-Cost_round*D56+Q56-X56,"")</f>
        <v>105</v>
      </c>
      <c r="AG56" s="13" t="n">
        <f aca="false">IF($AD56=1,X56-Cost_round*E56+R56-Y56,"")</f>
        <v>105</v>
      </c>
      <c r="AH56" s="13" t="n">
        <f aca="false">IF($AD56=1,Y56-Cost_round*F56+S56-Z56,"")</f>
        <v>105</v>
      </c>
      <c r="AI56" s="13" t="n">
        <f aca="false">IF($AD56=1,Z56-Cost_round*G56+T56-AA56,"")</f>
        <v>90</v>
      </c>
      <c r="AJ56" s="13" t="n">
        <f aca="false">IF($AD56=1,AA56-Cost_round*H56+U56-AB56,"")</f>
        <v>0</v>
      </c>
      <c r="AK56" s="17" t="n">
        <f aca="false">IF($AD56=1,SUMPRODUCT(AE56:AJ56,$AE$6:$AJ$6),"")</f>
        <v>384.173336396545</v>
      </c>
      <c r="AL56" s="13" t="n">
        <f aca="false">U56</f>
        <v>105</v>
      </c>
      <c r="AM56" s="15" t="n">
        <f aca="false">IF(SUMPRODUCT(($AK$8:$AK$71&gt;=AK56-0.000000001)*($AL$8:$AL$71&gt;=AL56-0.000000001)*((($AK$8:$AK$71&gt;AK56+0.000000001)+($AL$8:$AL$71&gt;AL56+0.000000001))&gt;0))&gt;0,1,0)</f>
        <v>0</v>
      </c>
      <c r="AN56" s="15" t="n">
        <f aca="false">1-AM56</f>
        <v>1</v>
      </c>
      <c r="AO56" s="17" t="n">
        <f aca="false">AK56+W_board*AL56</f>
        <v>976.870962953011</v>
      </c>
      <c r="AP56" s="17" t="n">
        <f aca="false">AK56+W_try*AL56</f>
        <v>1434.17333639655</v>
      </c>
      <c r="AQ56" s="16" t="n">
        <f aca="false">MAX(AR56+Cost_round*C56-P56,IF(C56=1,Pre_q+Res_b,0))</f>
        <v>570</v>
      </c>
      <c r="AR56" s="16" t="n">
        <f aca="false">MAX(AS56+Cost_round*D56-Q56,IF(D56=1,Pre_q+Res_b,0),Floor_q+Res_b)</f>
        <v>520</v>
      </c>
      <c r="AS56" s="16" t="n">
        <f aca="false">MAX(AT56+Cost_round*E56-R56,IF(E56=1,Pre_q+Res_b,0),Floor_q+Res_b)</f>
        <v>400</v>
      </c>
      <c r="AT56" s="16" t="n">
        <f aca="false">MAX(AU56+Cost_round*F56-S56,IF(F56=1,Pre_q+Res_b,0),Floor_q+Res_b)</f>
        <v>400</v>
      </c>
      <c r="AU56" s="16" t="n">
        <f aca="false">MAX(AV56+Cost_round*G56-T56,IF(G56=1,Pre_q+Res_b,0),Floor_q+Res_b)</f>
        <v>400</v>
      </c>
      <c r="AV56" s="16" t="n">
        <f aca="false">MAX(AW56+Cost_round*H56-U56,IF(H56=1,Pre_q+Res_b,0),Floor_q+Res_b)</f>
        <v>415</v>
      </c>
      <c r="AW56" s="16" t="n">
        <f aca="false">End_q+Res_b</f>
        <v>520</v>
      </c>
      <c r="AX56" s="15" t="n">
        <f aca="false">IF(Q_zero&gt;=AQ56-0.000000001,1,0)</f>
        <v>1</v>
      </c>
      <c r="AY56" s="13" t="n">
        <f aca="false">IF($AX56=1,Q_zero-Cost_round*C56+P56-AR56,"")</f>
        <v>50</v>
      </c>
      <c r="AZ56" s="13" t="n">
        <f aca="false">IF($AX56=1,AR56-Cost_round*D56+Q56-AS56,"")</f>
        <v>105</v>
      </c>
      <c r="BA56" s="13" t="n">
        <f aca="false">IF($AX56=1,AS56-Cost_round*E56+R56-AT56,"")</f>
        <v>105</v>
      </c>
      <c r="BB56" s="13" t="n">
        <f aca="false">IF($AX56=1,AT56-Cost_round*F56+S56-AU56,"")</f>
        <v>105</v>
      </c>
      <c r="BC56" s="13" t="n">
        <f aca="false">IF($AX56=1,AU56-Cost_round*G56+T56-AV56,"")</f>
        <v>90</v>
      </c>
      <c r="BD56" s="13" t="n">
        <f aca="false">IF($AX56=1,AV56-Cost_round*H56+U56-AW56,"")</f>
        <v>0</v>
      </c>
      <c r="BE56" s="17" t="n">
        <f aca="false">IF($AX56=1,SUMPRODUCT(AY56:BD56,$AY$6:$BD$6),"")</f>
        <v>338.718790942</v>
      </c>
      <c r="BF56" s="12" t="n">
        <f aca="false">IF(AND($AX56=1,Res_b&gt;0),(AK56-BE56)/Res_b,"")</f>
        <v>0.909090909090909</v>
      </c>
      <c r="BG56" s="17" t="n">
        <f aca="false">IF(AC56&gt;=Goal_b-0.000000001,AK56-Beta_y*Goal_b,"")</f>
        <v>361.446063669272</v>
      </c>
      <c r="BH56" s="15" t="n">
        <f aca="false">IF(AC56&gt;=Goal_b-0.000000001,IF(AND(AL56&gt;=Goal_S-0.000000001,BG56&gt;=Goal_P-0.000000001),1,0),0)</f>
        <v>0</v>
      </c>
    </row>
    <row r="57" customFormat="false" ht="15" hidden="false" customHeight="false" outlineLevel="0" collapsed="false">
      <c r="A57" s="2" t="n">
        <v>49</v>
      </c>
      <c r="B57" s="2" t="s">
        <v>167</v>
      </c>
      <c r="C57" s="15" t="n">
        <f aca="false">MOD(INT($A57/32),2)</f>
        <v>1</v>
      </c>
      <c r="D57" s="15" t="n">
        <f aca="false">MOD(INT($A57/16),2)</f>
        <v>1</v>
      </c>
      <c r="E57" s="15" t="n">
        <f aca="false">MOD(INT($A57/8),2)</f>
        <v>0</v>
      </c>
      <c r="F57" s="15" t="n">
        <f aca="false">MOD(INT($A57/4),2)</f>
        <v>0</v>
      </c>
      <c r="G57" s="15" t="n">
        <f aca="false">MOD(INT($A57/2),2)</f>
        <v>0</v>
      </c>
      <c r="H57" s="15" t="n">
        <f aca="false">MOD(INT($A57/1),2)</f>
        <v>1</v>
      </c>
      <c r="I57" s="15" t="n">
        <f aca="false">SUM(C57:H57)</f>
        <v>3</v>
      </c>
      <c r="J57" s="13" t="n">
        <f aca="false">E_zero+C57*Half_gap*(Ceiling_e-E_zero)</f>
        <v>78</v>
      </c>
      <c r="K57" s="13" t="n">
        <f aca="false">J57+D57*Half_gap*(Ceiling_e-J57)</f>
        <v>81.5</v>
      </c>
      <c r="L57" s="13" t="n">
        <f aca="false">K57+E57*Half_gap*(Ceiling_e-K57)</f>
        <v>81.5</v>
      </c>
      <c r="M57" s="13" t="n">
        <f aca="false">L57+F57*Half_gap*(Ceiling_e-L57)</f>
        <v>81.5</v>
      </c>
      <c r="N57" s="13" t="n">
        <f aca="false">M57+G57*Half_gap*(Ceiling_e-M57)</f>
        <v>81.5</v>
      </c>
      <c r="O57" s="13" t="n">
        <f aca="false">N57+H57*Half_gap*(Ceiling_e-N57)</f>
        <v>83.25</v>
      </c>
      <c r="P57" s="13" t="n">
        <f aca="false">Val_pt*(J57-E_zero)</f>
        <v>70</v>
      </c>
      <c r="Q57" s="13" t="n">
        <f aca="false">Val_pt*(K57-E_zero)</f>
        <v>105</v>
      </c>
      <c r="R57" s="13" t="n">
        <f aca="false">Val_pt*(L57-E_zero)</f>
        <v>105</v>
      </c>
      <c r="S57" s="13" t="n">
        <f aca="false">Val_pt*(M57-E_zero)</f>
        <v>105</v>
      </c>
      <c r="T57" s="13" t="n">
        <f aca="false">Val_pt*(N57-E_zero)</f>
        <v>105</v>
      </c>
      <c r="U57" s="13" t="n">
        <f aca="false">Val_pt*(O57-E_zero)</f>
        <v>122.5</v>
      </c>
      <c r="V57" s="16" t="n">
        <f aca="false">MAX(W57+Cost_round*C57-P57,IF(C57=1,Pre_q,0))</f>
        <v>520</v>
      </c>
      <c r="W57" s="16" t="n">
        <f aca="false">MAX(X57+Cost_round*D57-Q57,IF(D57=1,Pre_q,0),Floor_q)</f>
        <v>470</v>
      </c>
      <c r="X57" s="16" t="n">
        <f aca="false">MAX(Y57+Cost_round*E57-R57,IF(E57=1,Pre_q,0),Floor_q)</f>
        <v>350</v>
      </c>
      <c r="Y57" s="16" t="n">
        <f aca="false">MAX(Z57+Cost_round*F57-S57,IF(F57=1,Pre_q,0),Floor_q)</f>
        <v>350</v>
      </c>
      <c r="Z57" s="16" t="n">
        <f aca="false">MAX(AA57+Cost_round*G57-T57,IF(G57=1,Pre_q,0),Floor_q)</f>
        <v>365</v>
      </c>
      <c r="AA57" s="16" t="n">
        <f aca="false">MAX(AB57+Cost_round*H57-U57,IF(H57=1,Pre_q,0),Floor_q)</f>
        <v>470</v>
      </c>
      <c r="AB57" s="16" t="n">
        <f aca="false">End_q</f>
        <v>470</v>
      </c>
      <c r="AC57" s="16" t="n">
        <f aca="false">Q_zero-V57</f>
        <v>100</v>
      </c>
      <c r="AD57" s="15" t="n">
        <f aca="false">IF(AC57&gt;=-0.000000001,1,0)</f>
        <v>1</v>
      </c>
      <c r="AE57" s="13" t="n">
        <f aca="false">IF($AD57=1,Q_zero-Cost_round*C57+P57-W57,"")</f>
        <v>100</v>
      </c>
      <c r="AF57" s="13" t="n">
        <f aca="false">IF($AD57=1,W57-Cost_round*D57+Q57-X57,"")</f>
        <v>105</v>
      </c>
      <c r="AG57" s="13" t="n">
        <f aca="false">IF($AD57=1,X57-Cost_round*E57+R57-Y57,"")</f>
        <v>105</v>
      </c>
      <c r="AH57" s="13" t="n">
        <f aca="false">IF($AD57=1,Y57-Cost_round*F57+S57-Z57,"")</f>
        <v>90</v>
      </c>
      <c r="AI57" s="13" t="n">
        <f aca="false">IF($AD57=1,Z57-Cost_round*G57+T57-AA57,"")</f>
        <v>0</v>
      </c>
      <c r="AJ57" s="13" t="n">
        <f aca="false">IF($AD57=1,AA57-Cost_round*H57+U57-AB57,"")</f>
        <v>2.5</v>
      </c>
      <c r="AK57" s="17" t="n">
        <f aca="false">IF($AD57=1,SUMPRODUCT(AE57:AJ57,$AE$6:$AJ$6),"")</f>
        <v>319.45640031588</v>
      </c>
      <c r="AL57" s="13" t="n">
        <f aca="false">U57</f>
        <v>122.5</v>
      </c>
      <c r="AM57" s="15" t="n">
        <f aca="false">IF(SUMPRODUCT(($AK$8:$AK$71&gt;=AK57-0.000000001)*($AL$8:$AL$71&gt;=AL57-0.000000001)*((($AK$8:$AK$71&gt;AK57+0.000000001)+($AL$8:$AL$71&gt;AL57+0.000000001))&gt;0))&gt;0,1,0)</f>
        <v>1</v>
      </c>
      <c r="AN57" s="15" t="n">
        <f aca="false">1-AM57</f>
        <v>0</v>
      </c>
      <c r="AO57" s="17" t="n">
        <f aca="false">AK57+W_board*AL57</f>
        <v>1010.93696463176</v>
      </c>
      <c r="AP57" s="17" t="n">
        <f aca="false">AK57+W_try*AL57</f>
        <v>1544.45640031588</v>
      </c>
      <c r="AQ57" s="16" t="n">
        <f aca="false">MAX(AR57+Cost_round*C57-P57,IF(C57=1,Pre_q+Res_b,0))</f>
        <v>570</v>
      </c>
      <c r="AR57" s="16" t="n">
        <f aca="false">MAX(AS57+Cost_round*D57-Q57,IF(D57=1,Pre_q+Res_b,0),Floor_q+Res_b)</f>
        <v>520</v>
      </c>
      <c r="AS57" s="16" t="n">
        <f aca="false">MAX(AT57+Cost_round*E57-R57,IF(E57=1,Pre_q+Res_b,0),Floor_q+Res_b)</f>
        <v>400</v>
      </c>
      <c r="AT57" s="16" t="n">
        <f aca="false">MAX(AU57+Cost_round*F57-S57,IF(F57=1,Pre_q+Res_b,0),Floor_q+Res_b)</f>
        <v>400</v>
      </c>
      <c r="AU57" s="16" t="n">
        <f aca="false">MAX(AV57+Cost_round*G57-T57,IF(G57=1,Pre_q+Res_b,0),Floor_q+Res_b)</f>
        <v>415</v>
      </c>
      <c r="AV57" s="16" t="n">
        <f aca="false">MAX(AW57+Cost_round*H57-U57,IF(H57=1,Pre_q+Res_b,0),Floor_q+Res_b)</f>
        <v>520</v>
      </c>
      <c r="AW57" s="16" t="n">
        <f aca="false">End_q+Res_b</f>
        <v>520</v>
      </c>
      <c r="AX57" s="15" t="n">
        <f aca="false">IF(Q_zero&gt;=AQ57-0.000000001,1,0)</f>
        <v>1</v>
      </c>
      <c r="AY57" s="13" t="n">
        <f aca="false">IF($AX57=1,Q_zero-Cost_round*C57+P57-AR57,"")</f>
        <v>50</v>
      </c>
      <c r="AZ57" s="13" t="n">
        <f aca="false">IF($AX57=1,AR57-Cost_round*D57+Q57-AS57,"")</f>
        <v>105</v>
      </c>
      <c r="BA57" s="13" t="n">
        <f aca="false">IF($AX57=1,AS57-Cost_round*E57+R57-AT57,"")</f>
        <v>105</v>
      </c>
      <c r="BB57" s="13" t="n">
        <f aca="false">IF($AX57=1,AT57-Cost_round*F57+S57-AU57,"")</f>
        <v>90</v>
      </c>
      <c r="BC57" s="13" t="n">
        <f aca="false">IF($AX57=1,AU57-Cost_round*G57+T57-AV57,"")</f>
        <v>0</v>
      </c>
      <c r="BD57" s="13" t="n">
        <f aca="false">IF($AX57=1,AV57-Cost_round*H57+U57-AW57,"")</f>
        <v>2.5</v>
      </c>
      <c r="BE57" s="17" t="n">
        <f aca="false">IF($AX57=1,SUMPRODUCT(AY57:BD57,$AY$6:$BD$6),"")</f>
        <v>274.001854861334</v>
      </c>
      <c r="BF57" s="12" t="n">
        <f aca="false">IF(AND($AX57=1,Res_b&gt;0),(AK57-BE57)/Res_b,"")</f>
        <v>0.90909090909091</v>
      </c>
      <c r="BG57" s="17" t="n">
        <f aca="false">IF(AC57&gt;=Goal_b-0.000000001,AK57-Beta_y*Goal_b,"")</f>
        <v>296.729127588607</v>
      </c>
      <c r="BH57" s="15" t="n">
        <f aca="false">IF(AC57&gt;=Goal_b-0.000000001,IF(AND(AL57&gt;=Goal_S-0.000000001,BG57&gt;=Goal_P-0.000000001),1,0),0)</f>
        <v>0</v>
      </c>
    </row>
    <row r="58" customFormat="false" ht="15" hidden="false" customHeight="false" outlineLevel="0" collapsed="false">
      <c r="A58" s="2" t="n">
        <v>50</v>
      </c>
      <c r="B58" s="2" t="s">
        <v>168</v>
      </c>
      <c r="C58" s="15" t="n">
        <f aca="false">MOD(INT($A58/32),2)</f>
        <v>1</v>
      </c>
      <c r="D58" s="15" t="n">
        <f aca="false">MOD(INT($A58/16),2)</f>
        <v>1</v>
      </c>
      <c r="E58" s="15" t="n">
        <f aca="false">MOD(INT($A58/8),2)</f>
        <v>0</v>
      </c>
      <c r="F58" s="15" t="n">
        <f aca="false">MOD(INT($A58/4),2)</f>
        <v>0</v>
      </c>
      <c r="G58" s="15" t="n">
        <f aca="false">MOD(INT($A58/2),2)</f>
        <v>1</v>
      </c>
      <c r="H58" s="15" t="n">
        <f aca="false">MOD(INT($A58/1),2)</f>
        <v>0</v>
      </c>
      <c r="I58" s="15" t="n">
        <f aca="false">SUM(C58:H58)</f>
        <v>3</v>
      </c>
      <c r="J58" s="13" t="n">
        <f aca="false">E_zero+C58*Half_gap*(Ceiling_e-E_zero)</f>
        <v>78</v>
      </c>
      <c r="K58" s="13" t="n">
        <f aca="false">J58+D58*Half_gap*(Ceiling_e-J58)</f>
        <v>81.5</v>
      </c>
      <c r="L58" s="13" t="n">
        <f aca="false">K58+E58*Half_gap*(Ceiling_e-K58)</f>
        <v>81.5</v>
      </c>
      <c r="M58" s="13" t="n">
        <f aca="false">L58+F58*Half_gap*(Ceiling_e-L58)</f>
        <v>81.5</v>
      </c>
      <c r="N58" s="13" t="n">
        <f aca="false">M58+G58*Half_gap*(Ceiling_e-M58)</f>
        <v>83.25</v>
      </c>
      <c r="O58" s="13" t="n">
        <f aca="false">N58+H58*Half_gap*(Ceiling_e-N58)</f>
        <v>83.25</v>
      </c>
      <c r="P58" s="13" t="n">
        <f aca="false">Val_pt*(J58-E_zero)</f>
        <v>70</v>
      </c>
      <c r="Q58" s="13" t="n">
        <f aca="false">Val_pt*(K58-E_zero)</f>
        <v>105</v>
      </c>
      <c r="R58" s="13" t="n">
        <f aca="false">Val_pt*(L58-E_zero)</f>
        <v>105</v>
      </c>
      <c r="S58" s="13" t="n">
        <f aca="false">Val_pt*(M58-E_zero)</f>
        <v>105</v>
      </c>
      <c r="T58" s="13" t="n">
        <f aca="false">Val_pt*(N58-E_zero)</f>
        <v>122.5</v>
      </c>
      <c r="U58" s="13" t="n">
        <f aca="false">Val_pt*(O58-E_zero)</f>
        <v>122.5</v>
      </c>
      <c r="V58" s="16" t="n">
        <f aca="false">MAX(W58+Cost_round*C58-P58,IF(C58=1,Pre_q,0))</f>
        <v>520</v>
      </c>
      <c r="W58" s="16" t="n">
        <f aca="false">MAX(X58+Cost_round*D58-Q58,IF(D58=1,Pre_q,0),Floor_q)</f>
        <v>470</v>
      </c>
      <c r="X58" s="16" t="n">
        <f aca="false">MAX(Y58+Cost_round*E58-R58,IF(E58=1,Pre_q,0),Floor_q)</f>
        <v>350</v>
      </c>
      <c r="Y58" s="16" t="n">
        <f aca="false">MAX(Z58+Cost_round*F58-S58,IF(F58=1,Pre_q,0),Floor_q)</f>
        <v>365</v>
      </c>
      <c r="Z58" s="16" t="n">
        <f aca="false">MAX(AA58+Cost_round*G58-T58,IF(G58=1,Pre_q,0),Floor_q)</f>
        <v>470</v>
      </c>
      <c r="AA58" s="16" t="n">
        <f aca="false">MAX(AB58+Cost_round*H58-U58,IF(H58=1,Pre_q,0),Floor_q)</f>
        <v>350</v>
      </c>
      <c r="AB58" s="16" t="n">
        <f aca="false">End_q</f>
        <v>470</v>
      </c>
      <c r="AC58" s="16" t="n">
        <f aca="false">Q_zero-V58</f>
        <v>100</v>
      </c>
      <c r="AD58" s="15" t="n">
        <f aca="false">IF(AC58&gt;=-0.000000001,1,0)</f>
        <v>1</v>
      </c>
      <c r="AE58" s="13" t="n">
        <f aca="false">IF($AD58=1,Q_zero-Cost_round*C58+P58-W58,"")</f>
        <v>100</v>
      </c>
      <c r="AF58" s="13" t="n">
        <f aca="false">IF($AD58=1,W58-Cost_round*D58+Q58-X58,"")</f>
        <v>105</v>
      </c>
      <c r="AG58" s="13" t="n">
        <f aca="false">IF($AD58=1,X58-Cost_round*E58+R58-Y58,"")</f>
        <v>90</v>
      </c>
      <c r="AH58" s="13" t="n">
        <f aca="false">IF($AD58=1,Y58-Cost_round*F58+S58-Z58,"")</f>
        <v>0</v>
      </c>
      <c r="AI58" s="13" t="n">
        <f aca="false">IF($AD58=1,Z58-Cost_round*G58+T58-AA58,"")</f>
        <v>122.5</v>
      </c>
      <c r="AJ58" s="13" t="n">
        <f aca="false">IF($AD58=1,AA58-Cost_round*H58+U58-AB58,"")</f>
        <v>2.5</v>
      </c>
      <c r="AK58" s="17" t="n">
        <f aca="false">IF($AD58=1,SUMPRODUCT(AE58:AJ58,$AE$6:$AJ$6),"")</f>
        <v>322.778329394246</v>
      </c>
      <c r="AL58" s="13" t="n">
        <f aca="false">U58</f>
        <v>122.5</v>
      </c>
      <c r="AM58" s="15" t="n">
        <f aca="false">IF(SUMPRODUCT(($AK$8:$AK$71&gt;=AK58-0.000000001)*($AL$8:$AL$71&gt;=AL58-0.000000001)*((($AK$8:$AK$71&gt;AK58+0.000000001)+($AL$8:$AL$71&gt;AL58+0.000000001))&gt;0))&gt;0,1,0)</f>
        <v>1</v>
      </c>
      <c r="AN58" s="15" t="n">
        <f aca="false">1-AM58</f>
        <v>0</v>
      </c>
      <c r="AO58" s="17" t="n">
        <f aca="false">AK58+W_board*AL58</f>
        <v>1014.25889371012</v>
      </c>
      <c r="AP58" s="17" t="n">
        <f aca="false">AK58+W_try*AL58</f>
        <v>1547.77832939425</v>
      </c>
      <c r="AQ58" s="16" t="n">
        <f aca="false">MAX(AR58+Cost_round*C58-P58,IF(C58=1,Pre_q+Res_b,0))</f>
        <v>570</v>
      </c>
      <c r="AR58" s="16" t="n">
        <f aca="false">MAX(AS58+Cost_round*D58-Q58,IF(D58=1,Pre_q+Res_b,0),Floor_q+Res_b)</f>
        <v>520</v>
      </c>
      <c r="AS58" s="16" t="n">
        <f aca="false">MAX(AT58+Cost_round*E58-R58,IF(E58=1,Pre_q+Res_b,0),Floor_q+Res_b)</f>
        <v>400</v>
      </c>
      <c r="AT58" s="16" t="n">
        <f aca="false">MAX(AU58+Cost_round*F58-S58,IF(F58=1,Pre_q+Res_b,0),Floor_q+Res_b)</f>
        <v>415</v>
      </c>
      <c r="AU58" s="16" t="n">
        <f aca="false">MAX(AV58+Cost_round*G58-T58,IF(G58=1,Pre_q+Res_b,0),Floor_q+Res_b)</f>
        <v>520</v>
      </c>
      <c r="AV58" s="16" t="n">
        <f aca="false">MAX(AW58+Cost_round*H58-U58,IF(H58=1,Pre_q+Res_b,0),Floor_q+Res_b)</f>
        <v>400</v>
      </c>
      <c r="AW58" s="16" t="n">
        <f aca="false">End_q+Res_b</f>
        <v>520</v>
      </c>
      <c r="AX58" s="15" t="n">
        <f aca="false">IF(Q_zero&gt;=AQ58-0.000000001,1,0)</f>
        <v>1</v>
      </c>
      <c r="AY58" s="13" t="n">
        <f aca="false">IF($AX58=1,Q_zero-Cost_round*C58+P58-AR58,"")</f>
        <v>50</v>
      </c>
      <c r="AZ58" s="13" t="n">
        <f aca="false">IF($AX58=1,AR58-Cost_round*D58+Q58-AS58,"")</f>
        <v>105</v>
      </c>
      <c r="BA58" s="13" t="n">
        <f aca="false">IF($AX58=1,AS58-Cost_round*E58+R58-AT58,"")</f>
        <v>90</v>
      </c>
      <c r="BB58" s="13" t="n">
        <f aca="false">IF($AX58=1,AT58-Cost_round*F58+S58-AU58,"")</f>
        <v>0</v>
      </c>
      <c r="BC58" s="13" t="n">
        <f aca="false">IF($AX58=1,AU58-Cost_round*G58+T58-AV58,"")</f>
        <v>122.5</v>
      </c>
      <c r="BD58" s="13" t="n">
        <f aca="false">IF($AX58=1,AV58-Cost_round*H58+U58-AW58,"")</f>
        <v>2.5</v>
      </c>
      <c r="BE58" s="17" t="n">
        <f aca="false">IF($AX58=1,SUMPRODUCT(AY58:BD58,$AY$6:$BD$6),"")</f>
        <v>277.323783939701</v>
      </c>
      <c r="BF58" s="12" t="n">
        <f aca="false">IF(AND($AX58=1,Res_b&gt;0),(AK58-BE58)/Res_b,"")</f>
        <v>0.909090909090909</v>
      </c>
      <c r="BG58" s="17" t="n">
        <f aca="false">IF(AC58&gt;=Goal_b-0.000000001,AK58-Beta_y*Goal_b,"")</f>
        <v>300.051056666973</v>
      </c>
      <c r="BH58" s="15" t="n">
        <f aca="false">IF(AC58&gt;=Goal_b-0.000000001,IF(AND(AL58&gt;=Goal_S-0.000000001,BG58&gt;=Goal_P-0.000000001),1,0),0)</f>
        <v>1</v>
      </c>
    </row>
    <row r="59" customFormat="false" ht="15" hidden="false" customHeight="false" outlineLevel="0" collapsed="false">
      <c r="A59" s="2" t="n">
        <v>51</v>
      </c>
      <c r="B59" s="2" t="s">
        <v>169</v>
      </c>
      <c r="C59" s="15" t="n">
        <f aca="false">MOD(INT($A59/32),2)</f>
        <v>1</v>
      </c>
      <c r="D59" s="15" t="n">
        <f aca="false">MOD(INT($A59/16),2)</f>
        <v>1</v>
      </c>
      <c r="E59" s="15" t="n">
        <f aca="false">MOD(INT($A59/8),2)</f>
        <v>0</v>
      </c>
      <c r="F59" s="15" t="n">
        <f aca="false">MOD(INT($A59/4),2)</f>
        <v>0</v>
      </c>
      <c r="G59" s="15" t="n">
        <f aca="false">MOD(INT($A59/2),2)</f>
        <v>1</v>
      </c>
      <c r="H59" s="15" t="n">
        <f aca="false">MOD(INT($A59/1),2)</f>
        <v>1</v>
      </c>
      <c r="I59" s="15" t="n">
        <f aca="false">SUM(C59:H59)</f>
        <v>4</v>
      </c>
      <c r="J59" s="13" t="n">
        <f aca="false">E_zero+C59*Half_gap*(Ceiling_e-E_zero)</f>
        <v>78</v>
      </c>
      <c r="K59" s="13" t="n">
        <f aca="false">J59+D59*Half_gap*(Ceiling_e-J59)</f>
        <v>81.5</v>
      </c>
      <c r="L59" s="13" t="n">
        <f aca="false">K59+E59*Half_gap*(Ceiling_e-K59)</f>
        <v>81.5</v>
      </c>
      <c r="M59" s="13" t="n">
        <f aca="false">L59+F59*Half_gap*(Ceiling_e-L59)</f>
        <v>81.5</v>
      </c>
      <c r="N59" s="13" t="n">
        <f aca="false">M59+G59*Half_gap*(Ceiling_e-M59)</f>
        <v>83.25</v>
      </c>
      <c r="O59" s="13" t="n">
        <f aca="false">N59+H59*Half_gap*(Ceiling_e-N59)</f>
        <v>84.125</v>
      </c>
      <c r="P59" s="13" t="n">
        <f aca="false">Val_pt*(J59-E_zero)</f>
        <v>70</v>
      </c>
      <c r="Q59" s="13" t="n">
        <f aca="false">Val_pt*(K59-E_zero)</f>
        <v>105</v>
      </c>
      <c r="R59" s="13" t="n">
        <f aca="false">Val_pt*(L59-E_zero)</f>
        <v>105</v>
      </c>
      <c r="S59" s="13" t="n">
        <f aca="false">Val_pt*(M59-E_zero)</f>
        <v>105</v>
      </c>
      <c r="T59" s="13" t="n">
        <f aca="false">Val_pt*(N59-E_zero)</f>
        <v>122.5</v>
      </c>
      <c r="U59" s="13" t="n">
        <f aca="false">Val_pt*(O59-E_zero)</f>
        <v>131.25</v>
      </c>
      <c r="V59" s="16" t="n">
        <f aca="false">MAX(W59+Cost_round*C59-P59,IF(C59=1,Pre_q,0))</f>
        <v>520</v>
      </c>
      <c r="W59" s="16" t="n">
        <f aca="false">MAX(X59+Cost_round*D59-Q59,IF(D59=1,Pre_q,0),Floor_q)</f>
        <v>470</v>
      </c>
      <c r="X59" s="16" t="n">
        <f aca="false">MAX(Y59+Cost_round*E59-R59,IF(E59=1,Pre_q,0),Floor_q)</f>
        <v>350</v>
      </c>
      <c r="Y59" s="16" t="n">
        <f aca="false">MAX(Z59+Cost_round*F59-S59,IF(F59=1,Pre_q,0),Floor_q)</f>
        <v>365</v>
      </c>
      <c r="Z59" s="16" t="n">
        <f aca="false">MAX(AA59+Cost_round*G59-T59,IF(G59=1,Pre_q,0),Floor_q)</f>
        <v>470</v>
      </c>
      <c r="AA59" s="16" t="n">
        <f aca="false">MAX(AB59+Cost_round*H59-U59,IF(H59=1,Pre_q,0),Floor_q)</f>
        <v>470</v>
      </c>
      <c r="AB59" s="16" t="n">
        <f aca="false">End_q</f>
        <v>470</v>
      </c>
      <c r="AC59" s="16" t="n">
        <f aca="false">Q_zero-V59</f>
        <v>100</v>
      </c>
      <c r="AD59" s="15" t="n">
        <f aca="false">IF(AC59&gt;=-0.000000001,1,0)</f>
        <v>1</v>
      </c>
      <c r="AE59" s="13" t="n">
        <f aca="false">IF($AD59=1,Q_zero-Cost_round*C59+P59-W59,"")</f>
        <v>100</v>
      </c>
      <c r="AF59" s="13" t="n">
        <f aca="false">IF($AD59=1,W59-Cost_round*D59+Q59-X59,"")</f>
        <v>105</v>
      </c>
      <c r="AG59" s="13" t="n">
        <f aca="false">IF($AD59=1,X59-Cost_round*E59+R59-Y59,"")</f>
        <v>90</v>
      </c>
      <c r="AH59" s="13" t="n">
        <f aca="false">IF($AD59=1,Y59-Cost_round*F59+S59-Z59,"")</f>
        <v>0</v>
      </c>
      <c r="AI59" s="13" t="n">
        <f aca="false">IF($AD59=1,Z59-Cost_round*G59+T59-AA59,"")</f>
        <v>2.5</v>
      </c>
      <c r="AJ59" s="13" t="n">
        <f aca="false">IF($AD59=1,AA59-Cost_round*H59+U59-AB59,"")</f>
        <v>11.25</v>
      </c>
      <c r="AK59" s="17" t="n">
        <f aca="false">IF($AD59=1,SUMPRODUCT(AE59:AJ59,$AE$6:$AJ$6),"")</f>
        <v>253.206917515118</v>
      </c>
      <c r="AL59" s="13" t="n">
        <f aca="false">U59</f>
        <v>131.25</v>
      </c>
      <c r="AM59" s="15" t="n">
        <f aca="false">IF(SUMPRODUCT(($AK$8:$AK$71&gt;=AK59-0.000000001)*($AL$8:$AL$71&gt;=AL59-0.000000001)*((($AK$8:$AK$71&gt;AK59+0.000000001)+($AL$8:$AL$71&gt;AL59+0.000000001))&gt;0))&gt;0,1,0)</f>
        <v>1</v>
      </c>
      <c r="AN59" s="15" t="n">
        <f aca="false">1-AM59</f>
        <v>0</v>
      </c>
      <c r="AO59" s="17" t="n">
        <f aca="false">AK59+W_board*AL59</f>
        <v>994.078950710701</v>
      </c>
      <c r="AP59" s="17" t="n">
        <f aca="false">AK59+W_try*AL59</f>
        <v>1565.70691751512</v>
      </c>
      <c r="AQ59" s="16" t="n">
        <f aca="false">MAX(AR59+Cost_round*C59-P59,IF(C59=1,Pre_q+Res_b,0))</f>
        <v>570</v>
      </c>
      <c r="AR59" s="16" t="n">
        <f aca="false">MAX(AS59+Cost_round*D59-Q59,IF(D59=1,Pre_q+Res_b,0),Floor_q+Res_b)</f>
        <v>520</v>
      </c>
      <c r="AS59" s="16" t="n">
        <f aca="false">MAX(AT59+Cost_round*E59-R59,IF(E59=1,Pre_q+Res_b,0),Floor_q+Res_b)</f>
        <v>400</v>
      </c>
      <c r="AT59" s="16" t="n">
        <f aca="false">MAX(AU59+Cost_round*F59-S59,IF(F59=1,Pre_q+Res_b,0),Floor_q+Res_b)</f>
        <v>415</v>
      </c>
      <c r="AU59" s="16" t="n">
        <f aca="false">MAX(AV59+Cost_round*G59-T59,IF(G59=1,Pre_q+Res_b,0),Floor_q+Res_b)</f>
        <v>520</v>
      </c>
      <c r="AV59" s="16" t="n">
        <f aca="false">MAX(AW59+Cost_round*H59-U59,IF(H59=1,Pre_q+Res_b,0),Floor_q+Res_b)</f>
        <v>520</v>
      </c>
      <c r="AW59" s="16" t="n">
        <f aca="false">End_q+Res_b</f>
        <v>520</v>
      </c>
      <c r="AX59" s="15" t="n">
        <f aca="false">IF(Q_zero&gt;=AQ59-0.000000001,1,0)</f>
        <v>1</v>
      </c>
      <c r="AY59" s="13" t="n">
        <f aca="false">IF($AX59=1,Q_zero-Cost_round*C59+P59-AR59,"")</f>
        <v>50</v>
      </c>
      <c r="AZ59" s="13" t="n">
        <f aca="false">IF($AX59=1,AR59-Cost_round*D59+Q59-AS59,"")</f>
        <v>105</v>
      </c>
      <c r="BA59" s="13" t="n">
        <f aca="false">IF($AX59=1,AS59-Cost_round*E59+R59-AT59,"")</f>
        <v>90</v>
      </c>
      <c r="BB59" s="13" t="n">
        <f aca="false">IF($AX59=1,AT59-Cost_round*F59+S59-AU59,"")</f>
        <v>0</v>
      </c>
      <c r="BC59" s="13" t="n">
        <f aca="false">IF($AX59=1,AU59-Cost_round*G59+T59-AV59,"")</f>
        <v>2.5</v>
      </c>
      <c r="BD59" s="13" t="n">
        <f aca="false">IF($AX59=1,AV59-Cost_round*H59+U59-AW59,"")</f>
        <v>11.25</v>
      </c>
      <c r="BE59" s="17" t="n">
        <f aca="false">IF($AX59=1,SUMPRODUCT(AY59:BD59,$AY$6:$BD$6),"")</f>
        <v>207.752372060573</v>
      </c>
      <c r="BF59" s="12" t="n">
        <f aca="false">IF(AND($AX59=1,Res_b&gt;0),(AK59-BE59)/Res_b,"")</f>
        <v>0.909090909090909</v>
      </c>
      <c r="BG59" s="17" t="n">
        <f aca="false">IF(AC59&gt;=Goal_b-0.000000001,AK59-Beta_y*Goal_b,"")</f>
        <v>230.479644787845</v>
      </c>
      <c r="BH59" s="15" t="n">
        <f aca="false">IF(AC59&gt;=Goal_b-0.000000001,IF(AND(AL59&gt;=Goal_S-0.000000001,BG59&gt;=Goal_P-0.000000001),1,0),0)</f>
        <v>0</v>
      </c>
    </row>
    <row r="60" customFormat="false" ht="15" hidden="false" customHeight="false" outlineLevel="0" collapsed="false">
      <c r="A60" s="2" t="n">
        <v>52</v>
      </c>
      <c r="B60" s="2" t="s">
        <v>170</v>
      </c>
      <c r="C60" s="15" t="n">
        <f aca="false">MOD(INT($A60/32),2)</f>
        <v>1</v>
      </c>
      <c r="D60" s="15" t="n">
        <f aca="false">MOD(INT($A60/16),2)</f>
        <v>1</v>
      </c>
      <c r="E60" s="15" t="n">
        <f aca="false">MOD(INT($A60/8),2)</f>
        <v>0</v>
      </c>
      <c r="F60" s="15" t="n">
        <f aca="false">MOD(INT($A60/4),2)</f>
        <v>1</v>
      </c>
      <c r="G60" s="15" t="n">
        <f aca="false">MOD(INT($A60/2),2)</f>
        <v>0</v>
      </c>
      <c r="H60" s="15" t="n">
        <f aca="false">MOD(INT($A60/1),2)</f>
        <v>0</v>
      </c>
      <c r="I60" s="15" t="n">
        <f aca="false">SUM(C60:H60)</f>
        <v>3</v>
      </c>
      <c r="J60" s="13" t="n">
        <f aca="false">E_zero+C60*Half_gap*(Ceiling_e-E_zero)</f>
        <v>78</v>
      </c>
      <c r="K60" s="13" t="n">
        <f aca="false">J60+D60*Half_gap*(Ceiling_e-J60)</f>
        <v>81.5</v>
      </c>
      <c r="L60" s="13" t="n">
        <f aca="false">K60+E60*Half_gap*(Ceiling_e-K60)</f>
        <v>81.5</v>
      </c>
      <c r="M60" s="13" t="n">
        <f aca="false">L60+F60*Half_gap*(Ceiling_e-L60)</f>
        <v>83.25</v>
      </c>
      <c r="N60" s="13" t="n">
        <f aca="false">M60+G60*Half_gap*(Ceiling_e-M60)</f>
        <v>83.25</v>
      </c>
      <c r="O60" s="13" t="n">
        <f aca="false">N60+H60*Half_gap*(Ceiling_e-N60)</f>
        <v>83.25</v>
      </c>
      <c r="P60" s="13" t="n">
        <f aca="false">Val_pt*(J60-E_zero)</f>
        <v>70</v>
      </c>
      <c r="Q60" s="13" t="n">
        <f aca="false">Val_pt*(K60-E_zero)</f>
        <v>105</v>
      </c>
      <c r="R60" s="13" t="n">
        <f aca="false">Val_pt*(L60-E_zero)</f>
        <v>105</v>
      </c>
      <c r="S60" s="13" t="n">
        <f aca="false">Val_pt*(M60-E_zero)</f>
        <v>122.5</v>
      </c>
      <c r="T60" s="13" t="n">
        <f aca="false">Val_pt*(N60-E_zero)</f>
        <v>122.5</v>
      </c>
      <c r="U60" s="13" t="n">
        <f aca="false">Val_pt*(O60-E_zero)</f>
        <v>122.5</v>
      </c>
      <c r="V60" s="16" t="n">
        <f aca="false">MAX(W60+Cost_round*C60-P60,IF(C60=1,Pre_q,0))</f>
        <v>520</v>
      </c>
      <c r="W60" s="16" t="n">
        <f aca="false">MAX(X60+Cost_round*D60-Q60,IF(D60=1,Pre_q,0),Floor_q)</f>
        <v>470</v>
      </c>
      <c r="X60" s="16" t="n">
        <f aca="false">MAX(Y60+Cost_round*E60-R60,IF(E60=1,Pre_q,0),Floor_q)</f>
        <v>365</v>
      </c>
      <c r="Y60" s="16" t="n">
        <f aca="false">MAX(Z60+Cost_round*F60-S60,IF(F60=1,Pre_q,0),Floor_q)</f>
        <v>470</v>
      </c>
      <c r="Z60" s="16" t="n">
        <f aca="false">MAX(AA60+Cost_round*G60-T60,IF(G60=1,Pre_q,0),Floor_q)</f>
        <v>350</v>
      </c>
      <c r="AA60" s="16" t="n">
        <f aca="false">MAX(AB60+Cost_round*H60-U60,IF(H60=1,Pre_q,0),Floor_q)</f>
        <v>350</v>
      </c>
      <c r="AB60" s="16" t="n">
        <f aca="false">End_q</f>
        <v>470</v>
      </c>
      <c r="AC60" s="16" t="n">
        <f aca="false">Q_zero-V60</f>
        <v>100</v>
      </c>
      <c r="AD60" s="15" t="n">
        <f aca="false">IF(AC60&gt;=-0.000000001,1,0)</f>
        <v>1</v>
      </c>
      <c r="AE60" s="13" t="n">
        <f aca="false">IF($AD60=1,Q_zero-Cost_round*C60+P60-W60,"")</f>
        <v>100</v>
      </c>
      <c r="AF60" s="13" t="n">
        <f aca="false">IF($AD60=1,W60-Cost_round*D60+Q60-X60,"")</f>
        <v>90</v>
      </c>
      <c r="AG60" s="13" t="n">
        <f aca="false">IF($AD60=1,X60-Cost_round*E60+R60-Y60,"")</f>
        <v>0</v>
      </c>
      <c r="AH60" s="13" t="n">
        <f aca="false">IF($AD60=1,Y60-Cost_round*F60+S60-Z60,"")</f>
        <v>122.5</v>
      </c>
      <c r="AI60" s="13" t="n">
        <f aca="false">IF($AD60=1,Z60-Cost_round*G60+T60-AA60,"")</f>
        <v>122.5</v>
      </c>
      <c r="AJ60" s="13" t="n">
        <f aca="false">IF($AD60=1,AA60-Cost_round*H60+U60-AB60,"")</f>
        <v>2.5</v>
      </c>
      <c r="AK60" s="17" t="n">
        <f aca="false">IF($AD60=1,SUMPRODUCT(AE60:AJ60,$AE$6:$AJ$6),"")</f>
        <v>326.432451380449</v>
      </c>
      <c r="AL60" s="13" t="n">
        <f aca="false">U60</f>
        <v>122.5</v>
      </c>
      <c r="AM60" s="15" t="n">
        <f aca="false">IF(SUMPRODUCT(($AK$8:$AK$71&gt;=AK60-0.000000001)*($AL$8:$AL$71&gt;=AL60-0.000000001)*((($AK$8:$AK$71&gt;AK60+0.000000001)+($AL$8:$AL$71&gt;AL60+0.000000001))&gt;0))&gt;0,1,0)</f>
        <v>1</v>
      </c>
      <c r="AN60" s="15" t="n">
        <f aca="false">1-AM60</f>
        <v>0</v>
      </c>
      <c r="AO60" s="17" t="n">
        <f aca="false">AK60+W_board*AL60</f>
        <v>1017.91301569633</v>
      </c>
      <c r="AP60" s="17" t="n">
        <f aca="false">AK60+W_try*AL60</f>
        <v>1551.43245138045</v>
      </c>
      <c r="AQ60" s="16" t="n">
        <f aca="false">MAX(AR60+Cost_round*C60-P60,IF(C60=1,Pre_q+Res_b,0))</f>
        <v>570</v>
      </c>
      <c r="AR60" s="16" t="n">
        <f aca="false">MAX(AS60+Cost_round*D60-Q60,IF(D60=1,Pre_q+Res_b,0),Floor_q+Res_b)</f>
        <v>520</v>
      </c>
      <c r="AS60" s="16" t="n">
        <f aca="false">MAX(AT60+Cost_round*E60-R60,IF(E60=1,Pre_q+Res_b,0),Floor_q+Res_b)</f>
        <v>415</v>
      </c>
      <c r="AT60" s="16" t="n">
        <f aca="false">MAX(AU60+Cost_round*F60-S60,IF(F60=1,Pre_q+Res_b,0),Floor_q+Res_b)</f>
        <v>520</v>
      </c>
      <c r="AU60" s="16" t="n">
        <f aca="false">MAX(AV60+Cost_round*G60-T60,IF(G60=1,Pre_q+Res_b,0),Floor_q+Res_b)</f>
        <v>400</v>
      </c>
      <c r="AV60" s="16" t="n">
        <f aca="false">MAX(AW60+Cost_round*H60-U60,IF(H60=1,Pre_q+Res_b,0),Floor_q+Res_b)</f>
        <v>400</v>
      </c>
      <c r="AW60" s="16" t="n">
        <f aca="false">End_q+Res_b</f>
        <v>520</v>
      </c>
      <c r="AX60" s="15" t="n">
        <f aca="false">IF(Q_zero&gt;=AQ60-0.000000001,1,0)</f>
        <v>1</v>
      </c>
      <c r="AY60" s="13" t="n">
        <f aca="false">IF($AX60=1,Q_zero-Cost_round*C60+P60-AR60,"")</f>
        <v>50</v>
      </c>
      <c r="AZ60" s="13" t="n">
        <f aca="false">IF($AX60=1,AR60-Cost_round*D60+Q60-AS60,"")</f>
        <v>90</v>
      </c>
      <c r="BA60" s="13" t="n">
        <f aca="false">IF($AX60=1,AS60-Cost_round*E60+R60-AT60,"")</f>
        <v>0</v>
      </c>
      <c r="BB60" s="13" t="n">
        <f aca="false">IF($AX60=1,AT60-Cost_round*F60+S60-AU60,"")</f>
        <v>122.5</v>
      </c>
      <c r="BC60" s="13" t="n">
        <f aca="false">IF($AX60=1,AU60-Cost_round*G60+T60-AV60,"")</f>
        <v>122.5</v>
      </c>
      <c r="BD60" s="13" t="n">
        <f aca="false">IF($AX60=1,AV60-Cost_round*H60+U60-AW60,"")</f>
        <v>2.5</v>
      </c>
      <c r="BE60" s="17" t="n">
        <f aca="false">IF($AX60=1,SUMPRODUCT(AY60:BD60,$AY$6:$BD$6),"")</f>
        <v>280.977905925904</v>
      </c>
      <c r="BF60" s="12" t="n">
        <f aca="false">IF(AND($AX60=1,Res_b&gt;0),(AK60-BE60)/Res_b,"")</f>
        <v>0.90909090909091</v>
      </c>
      <c r="BG60" s="17" t="n">
        <f aca="false">IF(AC60&gt;=Goal_b-0.000000001,AK60-Beta_y*Goal_b,"")</f>
        <v>303.705178653176</v>
      </c>
      <c r="BH60" s="15" t="n">
        <f aca="false">IF(AC60&gt;=Goal_b-0.000000001,IF(AND(AL60&gt;=Goal_S-0.000000001,BG60&gt;=Goal_P-0.000000001),1,0),0)</f>
        <v>1</v>
      </c>
    </row>
    <row r="61" customFormat="false" ht="15" hidden="false" customHeight="false" outlineLevel="0" collapsed="false">
      <c r="A61" s="2" t="n">
        <v>53</v>
      </c>
      <c r="B61" s="2" t="s">
        <v>171</v>
      </c>
      <c r="C61" s="15" t="n">
        <f aca="false">MOD(INT($A61/32),2)</f>
        <v>1</v>
      </c>
      <c r="D61" s="15" t="n">
        <f aca="false">MOD(INT($A61/16),2)</f>
        <v>1</v>
      </c>
      <c r="E61" s="15" t="n">
        <f aca="false">MOD(INT($A61/8),2)</f>
        <v>0</v>
      </c>
      <c r="F61" s="15" t="n">
        <f aca="false">MOD(INT($A61/4),2)</f>
        <v>1</v>
      </c>
      <c r="G61" s="15" t="n">
        <f aca="false">MOD(INT($A61/2),2)</f>
        <v>0</v>
      </c>
      <c r="H61" s="15" t="n">
        <f aca="false">MOD(INT($A61/1),2)</f>
        <v>1</v>
      </c>
      <c r="I61" s="15" t="n">
        <f aca="false">SUM(C61:H61)</f>
        <v>4</v>
      </c>
      <c r="J61" s="13" t="n">
        <f aca="false">E_zero+C61*Half_gap*(Ceiling_e-E_zero)</f>
        <v>78</v>
      </c>
      <c r="K61" s="13" t="n">
        <f aca="false">J61+D61*Half_gap*(Ceiling_e-J61)</f>
        <v>81.5</v>
      </c>
      <c r="L61" s="13" t="n">
        <f aca="false">K61+E61*Half_gap*(Ceiling_e-K61)</f>
        <v>81.5</v>
      </c>
      <c r="M61" s="13" t="n">
        <f aca="false">L61+F61*Half_gap*(Ceiling_e-L61)</f>
        <v>83.25</v>
      </c>
      <c r="N61" s="13" t="n">
        <f aca="false">M61+G61*Half_gap*(Ceiling_e-M61)</f>
        <v>83.25</v>
      </c>
      <c r="O61" s="13" t="n">
        <f aca="false">N61+H61*Half_gap*(Ceiling_e-N61)</f>
        <v>84.125</v>
      </c>
      <c r="P61" s="13" t="n">
        <f aca="false">Val_pt*(J61-E_zero)</f>
        <v>70</v>
      </c>
      <c r="Q61" s="13" t="n">
        <f aca="false">Val_pt*(K61-E_zero)</f>
        <v>105</v>
      </c>
      <c r="R61" s="13" t="n">
        <f aca="false">Val_pt*(L61-E_zero)</f>
        <v>105</v>
      </c>
      <c r="S61" s="13" t="n">
        <f aca="false">Val_pt*(M61-E_zero)</f>
        <v>122.5</v>
      </c>
      <c r="T61" s="13" t="n">
        <f aca="false">Val_pt*(N61-E_zero)</f>
        <v>122.5</v>
      </c>
      <c r="U61" s="13" t="n">
        <f aca="false">Val_pt*(O61-E_zero)</f>
        <v>131.25</v>
      </c>
      <c r="V61" s="16" t="n">
        <f aca="false">MAX(W61+Cost_round*C61-P61,IF(C61=1,Pre_q,0))</f>
        <v>520</v>
      </c>
      <c r="W61" s="16" t="n">
        <f aca="false">MAX(X61+Cost_round*D61-Q61,IF(D61=1,Pre_q,0),Floor_q)</f>
        <v>470</v>
      </c>
      <c r="X61" s="16" t="n">
        <f aca="false">MAX(Y61+Cost_round*E61-R61,IF(E61=1,Pre_q,0),Floor_q)</f>
        <v>365</v>
      </c>
      <c r="Y61" s="16" t="n">
        <f aca="false">MAX(Z61+Cost_round*F61-S61,IF(F61=1,Pre_q,0),Floor_q)</f>
        <v>470</v>
      </c>
      <c r="Z61" s="16" t="n">
        <f aca="false">MAX(AA61+Cost_round*G61-T61,IF(G61=1,Pre_q,0),Floor_q)</f>
        <v>350</v>
      </c>
      <c r="AA61" s="16" t="n">
        <f aca="false">MAX(AB61+Cost_round*H61-U61,IF(H61=1,Pre_q,0),Floor_q)</f>
        <v>470</v>
      </c>
      <c r="AB61" s="16" t="n">
        <f aca="false">End_q</f>
        <v>470</v>
      </c>
      <c r="AC61" s="16" t="n">
        <f aca="false">Q_zero-V61</f>
        <v>100</v>
      </c>
      <c r="AD61" s="15" t="n">
        <f aca="false">IF(AC61&gt;=-0.000000001,1,0)</f>
        <v>1</v>
      </c>
      <c r="AE61" s="13" t="n">
        <f aca="false">IF($AD61=1,Q_zero-Cost_round*C61+P61-W61,"")</f>
        <v>100</v>
      </c>
      <c r="AF61" s="13" t="n">
        <f aca="false">IF($AD61=1,W61-Cost_round*D61+Q61-X61,"")</f>
        <v>90</v>
      </c>
      <c r="AG61" s="13" t="n">
        <f aca="false">IF($AD61=1,X61-Cost_round*E61+R61-Y61,"")</f>
        <v>0</v>
      </c>
      <c r="AH61" s="13" t="n">
        <f aca="false">IF($AD61=1,Y61-Cost_round*F61+S61-Z61,"")</f>
        <v>122.5</v>
      </c>
      <c r="AI61" s="13" t="n">
        <f aca="false">IF($AD61=1,Z61-Cost_round*G61+T61-AA61,"")</f>
        <v>2.5</v>
      </c>
      <c r="AJ61" s="13" t="n">
        <f aca="false">IF($AD61=1,AA61-Cost_round*H61+U61-AB61,"")</f>
        <v>11.25</v>
      </c>
      <c r="AK61" s="17" t="n">
        <f aca="false">IF($AD61=1,SUMPRODUCT(AE61:AJ61,$AE$6:$AJ$6),"")</f>
        <v>256.861039501321</v>
      </c>
      <c r="AL61" s="13" t="n">
        <f aca="false">U61</f>
        <v>131.25</v>
      </c>
      <c r="AM61" s="15" t="n">
        <f aca="false">IF(SUMPRODUCT(($AK$8:$AK$71&gt;=AK61-0.000000001)*($AL$8:$AL$71&gt;=AL61-0.000000001)*((($AK$8:$AK$71&gt;AK61+0.000000001)+($AL$8:$AL$71&gt;AL61+0.000000001))&gt;0))&gt;0,1,0)</f>
        <v>1</v>
      </c>
      <c r="AN61" s="15" t="n">
        <f aca="false">1-AM61</f>
        <v>0</v>
      </c>
      <c r="AO61" s="17" t="n">
        <f aca="false">AK61+W_board*AL61</f>
        <v>997.733072696904</v>
      </c>
      <c r="AP61" s="17" t="n">
        <f aca="false">AK61+W_try*AL61</f>
        <v>1569.36103950132</v>
      </c>
      <c r="AQ61" s="16" t="n">
        <f aca="false">MAX(AR61+Cost_round*C61-P61,IF(C61=1,Pre_q+Res_b,0))</f>
        <v>570</v>
      </c>
      <c r="AR61" s="16" t="n">
        <f aca="false">MAX(AS61+Cost_round*D61-Q61,IF(D61=1,Pre_q+Res_b,0),Floor_q+Res_b)</f>
        <v>520</v>
      </c>
      <c r="AS61" s="16" t="n">
        <f aca="false">MAX(AT61+Cost_round*E61-R61,IF(E61=1,Pre_q+Res_b,0),Floor_q+Res_b)</f>
        <v>415</v>
      </c>
      <c r="AT61" s="16" t="n">
        <f aca="false">MAX(AU61+Cost_round*F61-S61,IF(F61=1,Pre_q+Res_b,0),Floor_q+Res_b)</f>
        <v>520</v>
      </c>
      <c r="AU61" s="16" t="n">
        <f aca="false">MAX(AV61+Cost_round*G61-T61,IF(G61=1,Pre_q+Res_b,0),Floor_q+Res_b)</f>
        <v>400</v>
      </c>
      <c r="AV61" s="16" t="n">
        <f aca="false">MAX(AW61+Cost_round*H61-U61,IF(H61=1,Pre_q+Res_b,0),Floor_q+Res_b)</f>
        <v>520</v>
      </c>
      <c r="AW61" s="16" t="n">
        <f aca="false">End_q+Res_b</f>
        <v>520</v>
      </c>
      <c r="AX61" s="15" t="n">
        <f aca="false">IF(Q_zero&gt;=AQ61-0.000000001,1,0)</f>
        <v>1</v>
      </c>
      <c r="AY61" s="13" t="n">
        <f aca="false">IF($AX61=1,Q_zero-Cost_round*C61+P61-AR61,"")</f>
        <v>50</v>
      </c>
      <c r="AZ61" s="13" t="n">
        <f aca="false">IF($AX61=1,AR61-Cost_round*D61+Q61-AS61,"")</f>
        <v>90</v>
      </c>
      <c r="BA61" s="13" t="n">
        <f aca="false">IF($AX61=1,AS61-Cost_round*E61+R61-AT61,"")</f>
        <v>0</v>
      </c>
      <c r="BB61" s="13" t="n">
        <f aca="false">IF($AX61=1,AT61-Cost_round*F61+S61-AU61,"")</f>
        <v>122.5</v>
      </c>
      <c r="BC61" s="13" t="n">
        <f aca="false">IF($AX61=1,AU61-Cost_round*G61+T61-AV61,"")</f>
        <v>2.5</v>
      </c>
      <c r="BD61" s="13" t="n">
        <f aca="false">IF($AX61=1,AV61-Cost_round*H61+U61-AW61,"")</f>
        <v>11.25</v>
      </c>
      <c r="BE61" s="17" t="n">
        <f aca="false">IF($AX61=1,SUMPRODUCT(AY61:BD61,$AY$6:$BD$6),"")</f>
        <v>211.406494046776</v>
      </c>
      <c r="BF61" s="12" t="n">
        <f aca="false">IF(AND($AX61=1,Res_b&gt;0),(AK61-BE61)/Res_b,"")</f>
        <v>0.909090909090909</v>
      </c>
      <c r="BG61" s="17" t="n">
        <f aca="false">IF(AC61&gt;=Goal_b-0.000000001,AK61-Beta_y*Goal_b,"")</f>
        <v>234.133766774048</v>
      </c>
      <c r="BH61" s="15" t="n">
        <f aca="false">IF(AC61&gt;=Goal_b-0.000000001,IF(AND(AL61&gt;=Goal_S-0.000000001,BG61&gt;=Goal_P-0.000000001),1,0),0)</f>
        <v>0</v>
      </c>
    </row>
    <row r="62" customFormat="false" ht="15" hidden="false" customHeight="false" outlineLevel="0" collapsed="false">
      <c r="A62" s="2" t="n">
        <v>54</v>
      </c>
      <c r="B62" s="2" t="s">
        <v>172</v>
      </c>
      <c r="C62" s="15" t="n">
        <f aca="false">MOD(INT($A62/32),2)</f>
        <v>1</v>
      </c>
      <c r="D62" s="15" t="n">
        <f aca="false">MOD(INT($A62/16),2)</f>
        <v>1</v>
      </c>
      <c r="E62" s="15" t="n">
        <f aca="false">MOD(INT($A62/8),2)</f>
        <v>0</v>
      </c>
      <c r="F62" s="15" t="n">
        <f aca="false">MOD(INT($A62/4),2)</f>
        <v>1</v>
      </c>
      <c r="G62" s="15" t="n">
        <f aca="false">MOD(INT($A62/2),2)</f>
        <v>1</v>
      </c>
      <c r="H62" s="15" t="n">
        <f aca="false">MOD(INT($A62/1),2)</f>
        <v>0</v>
      </c>
      <c r="I62" s="15" t="n">
        <f aca="false">SUM(C62:H62)</f>
        <v>4</v>
      </c>
      <c r="J62" s="13" t="n">
        <f aca="false">E_zero+C62*Half_gap*(Ceiling_e-E_zero)</f>
        <v>78</v>
      </c>
      <c r="K62" s="13" t="n">
        <f aca="false">J62+D62*Half_gap*(Ceiling_e-J62)</f>
        <v>81.5</v>
      </c>
      <c r="L62" s="13" t="n">
        <f aca="false">K62+E62*Half_gap*(Ceiling_e-K62)</f>
        <v>81.5</v>
      </c>
      <c r="M62" s="13" t="n">
        <f aca="false">L62+F62*Half_gap*(Ceiling_e-L62)</f>
        <v>83.25</v>
      </c>
      <c r="N62" s="13" t="n">
        <f aca="false">M62+G62*Half_gap*(Ceiling_e-M62)</f>
        <v>84.125</v>
      </c>
      <c r="O62" s="13" t="n">
        <f aca="false">N62+H62*Half_gap*(Ceiling_e-N62)</f>
        <v>84.125</v>
      </c>
      <c r="P62" s="13" t="n">
        <f aca="false">Val_pt*(J62-E_zero)</f>
        <v>70</v>
      </c>
      <c r="Q62" s="13" t="n">
        <f aca="false">Val_pt*(K62-E_zero)</f>
        <v>105</v>
      </c>
      <c r="R62" s="13" t="n">
        <f aca="false">Val_pt*(L62-E_zero)</f>
        <v>105</v>
      </c>
      <c r="S62" s="13" t="n">
        <f aca="false">Val_pt*(M62-E_zero)</f>
        <v>122.5</v>
      </c>
      <c r="T62" s="13" t="n">
        <f aca="false">Val_pt*(N62-E_zero)</f>
        <v>131.25</v>
      </c>
      <c r="U62" s="13" t="n">
        <f aca="false">Val_pt*(O62-E_zero)</f>
        <v>131.25</v>
      </c>
      <c r="V62" s="16" t="n">
        <f aca="false">MAX(W62+Cost_round*C62-P62,IF(C62=1,Pre_q,0))</f>
        <v>520</v>
      </c>
      <c r="W62" s="16" t="n">
        <f aca="false">MAX(X62+Cost_round*D62-Q62,IF(D62=1,Pre_q,0),Floor_q)</f>
        <v>470</v>
      </c>
      <c r="X62" s="16" t="n">
        <f aca="false">MAX(Y62+Cost_round*E62-R62,IF(E62=1,Pre_q,0),Floor_q)</f>
        <v>365</v>
      </c>
      <c r="Y62" s="16" t="n">
        <f aca="false">MAX(Z62+Cost_round*F62-S62,IF(F62=1,Pre_q,0),Floor_q)</f>
        <v>470</v>
      </c>
      <c r="Z62" s="16" t="n">
        <f aca="false">MAX(AA62+Cost_round*G62-T62,IF(G62=1,Pre_q,0),Floor_q)</f>
        <v>470</v>
      </c>
      <c r="AA62" s="16" t="n">
        <f aca="false">MAX(AB62+Cost_round*H62-U62,IF(H62=1,Pre_q,0),Floor_q)</f>
        <v>350</v>
      </c>
      <c r="AB62" s="16" t="n">
        <f aca="false">End_q</f>
        <v>470</v>
      </c>
      <c r="AC62" s="16" t="n">
        <f aca="false">Q_zero-V62</f>
        <v>100</v>
      </c>
      <c r="AD62" s="15" t="n">
        <f aca="false">IF(AC62&gt;=-0.000000001,1,0)</f>
        <v>1</v>
      </c>
      <c r="AE62" s="13" t="n">
        <f aca="false">IF($AD62=1,Q_zero-Cost_round*C62+P62-W62,"")</f>
        <v>100</v>
      </c>
      <c r="AF62" s="13" t="n">
        <f aca="false">IF($AD62=1,W62-Cost_round*D62+Q62-X62,"")</f>
        <v>90</v>
      </c>
      <c r="AG62" s="13" t="n">
        <f aca="false">IF($AD62=1,X62-Cost_round*E62+R62-Y62,"")</f>
        <v>0</v>
      </c>
      <c r="AH62" s="13" t="n">
        <f aca="false">IF($AD62=1,Y62-Cost_round*F62+S62-Z62,"")</f>
        <v>2.5</v>
      </c>
      <c r="AI62" s="13" t="n">
        <f aca="false">IF($AD62=1,Z62-Cost_round*G62+T62-AA62,"")</f>
        <v>131.25</v>
      </c>
      <c r="AJ62" s="13" t="n">
        <f aca="false">IF($AD62=1,AA62-Cost_round*H62+U62-AB62,"")</f>
        <v>11.25</v>
      </c>
      <c r="AK62" s="17" t="n">
        <f aca="false">IF($AD62=1,SUMPRODUCT(AE62:AJ62,$AE$6:$AJ$6),"")</f>
        <v>254.843045201379</v>
      </c>
      <c r="AL62" s="13" t="n">
        <f aca="false">U62</f>
        <v>131.25</v>
      </c>
      <c r="AM62" s="15" t="n">
        <f aca="false">IF(SUMPRODUCT(($AK$8:$AK$71&gt;=AK62-0.000000001)*($AL$8:$AL$71&gt;=AL62-0.000000001)*((($AK$8:$AK$71&gt;AK62+0.000000001)+($AL$8:$AL$71&gt;AL62+0.000000001))&gt;0))&gt;0,1,0)</f>
        <v>1</v>
      </c>
      <c r="AN62" s="15" t="n">
        <f aca="false">1-AM62</f>
        <v>0</v>
      </c>
      <c r="AO62" s="17" t="n">
        <f aca="false">AK62+W_board*AL62</f>
        <v>995.715078396962</v>
      </c>
      <c r="AP62" s="17" t="n">
        <f aca="false">AK62+W_try*AL62</f>
        <v>1567.34304520138</v>
      </c>
      <c r="AQ62" s="16" t="n">
        <f aca="false">MAX(AR62+Cost_round*C62-P62,IF(C62=1,Pre_q+Res_b,0))</f>
        <v>570</v>
      </c>
      <c r="AR62" s="16" t="n">
        <f aca="false">MAX(AS62+Cost_round*D62-Q62,IF(D62=1,Pre_q+Res_b,0),Floor_q+Res_b)</f>
        <v>520</v>
      </c>
      <c r="AS62" s="16" t="n">
        <f aca="false">MAX(AT62+Cost_round*E62-R62,IF(E62=1,Pre_q+Res_b,0),Floor_q+Res_b)</f>
        <v>415</v>
      </c>
      <c r="AT62" s="16" t="n">
        <f aca="false">MAX(AU62+Cost_round*F62-S62,IF(F62=1,Pre_q+Res_b,0),Floor_q+Res_b)</f>
        <v>520</v>
      </c>
      <c r="AU62" s="16" t="n">
        <f aca="false">MAX(AV62+Cost_round*G62-T62,IF(G62=1,Pre_q+Res_b,0),Floor_q+Res_b)</f>
        <v>520</v>
      </c>
      <c r="AV62" s="16" t="n">
        <f aca="false">MAX(AW62+Cost_round*H62-U62,IF(H62=1,Pre_q+Res_b,0),Floor_q+Res_b)</f>
        <v>400</v>
      </c>
      <c r="AW62" s="16" t="n">
        <f aca="false">End_q+Res_b</f>
        <v>520</v>
      </c>
      <c r="AX62" s="15" t="n">
        <f aca="false">IF(Q_zero&gt;=AQ62-0.000000001,1,0)</f>
        <v>1</v>
      </c>
      <c r="AY62" s="13" t="n">
        <f aca="false">IF($AX62=1,Q_zero-Cost_round*C62+P62-AR62,"")</f>
        <v>50</v>
      </c>
      <c r="AZ62" s="13" t="n">
        <f aca="false">IF($AX62=1,AR62-Cost_round*D62+Q62-AS62,"")</f>
        <v>90</v>
      </c>
      <c r="BA62" s="13" t="n">
        <f aca="false">IF($AX62=1,AS62-Cost_round*E62+R62-AT62,"")</f>
        <v>0</v>
      </c>
      <c r="BB62" s="13" t="n">
        <f aca="false">IF($AX62=1,AT62-Cost_round*F62+S62-AU62,"")</f>
        <v>2.5</v>
      </c>
      <c r="BC62" s="13" t="n">
        <f aca="false">IF($AX62=1,AU62-Cost_round*G62+T62-AV62,"")</f>
        <v>131.25</v>
      </c>
      <c r="BD62" s="13" t="n">
        <f aca="false">IF($AX62=1,AV62-Cost_round*H62+U62-AW62,"")</f>
        <v>11.25</v>
      </c>
      <c r="BE62" s="17" t="n">
        <f aca="false">IF($AX62=1,SUMPRODUCT(AY62:BD62,$AY$6:$BD$6),"")</f>
        <v>209.388499746833</v>
      </c>
      <c r="BF62" s="12" t="n">
        <f aca="false">IF(AND($AX62=1,Res_b&gt;0),(AK62-BE62)/Res_b,"")</f>
        <v>0.909090909090909</v>
      </c>
      <c r="BG62" s="17" t="n">
        <f aca="false">IF(AC62&gt;=Goal_b-0.000000001,AK62-Beta_y*Goal_b,"")</f>
        <v>232.115772474106</v>
      </c>
      <c r="BH62" s="15" t="n">
        <f aca="false">IF(AC62&gt;=Goal_b-0.000000001,IF(AND(AL62&gt;=Goal_S-0.000000001,BG62&gt;=Goal_P-0.000000001),1,0),0)</f>
        <v>0</v>
      </c>
    </row>
    <row r="63" customFormat="false" ht="15" hidden="false" customHeight="false" outlineLevel="0" collapsed="false">
      <c r="A63" s="2" t="n">
        <v>55</v>
      </c>
      <c r="B63" s="2" t="s">
        <v>173</v>
      </c>
      <c r="C63" s="15" t="n">
        <f aca="false">MOD(INT($A63/32),2)</f>
        <v>1</v>
      </c>
      <c r="D63" s="15" t="n">
        <f aca="false">MOD(INT($A63/16),2)</f>
        <v>1</v>
      </c>
      <c r="E63" s="15" t="n">
        <f aca="false">MOD(INT($A63/8),2)</f>
        <v>0</v>
      </c>
      <c r="F63" s="15" t="n">
        <f aca="false">MOD(INT($A63/4),2)</f>
        <v>1</v>
      </c>
      <c r="G63" s="15" t="n">
        <f aca="false">MOD(INT($A63/2),2)</f>
        <v>1</v>
      </c>
      <c r="H63" s="15" t="n">
        <f aca="false">MOD(INT($A63/1),2)</f>
        <v>1</v>
      </c>
      <c r="I63" s="15" t="n">
        <f aca="false">SUM(C63:H63)</f>
        <v>5</v>
      </c>
      <c r="J63" s="13" t="n">
        <f aca="false">E_zero+C63*Half_gap*(Ceiling_e-E_zero)</f>
        <v>78</v>
      </c>
      <c r="K63" s="13" t="n">
        <f aca="false">J63+D63*Half_gap*(Ceiling_e-J63)</f>
        <v>81.5</v>
      </c>
      <c r="L63" s="13" t="n">
        <f aca="false">K63+E63*Half_gap*(Ceiling_e-K63)</f>
        <v>81.5</v>
      </c>
      <c r="M63" s="13" t="n">
        <f aca="false">L63+F63*Half_gap*(Ceiling_e-L63)</f>
        <v>83.25</v>
      </c>
      <c r="N63" s="13" t="n">
        <f aca="false">M63+G63*Half_gap*(Ceiling_e-M63)</f>
        <v>84.125</v>
      </c>
      <c r="O63" s="13" t="n">
        <f aca="false">N63+H63*Half_gap*(Ceiling_e-N63)</f>
        <v>84.5625</v>
      </c>
      <c r="P63" s="13" t="n">
        <f aca="false">Val_pt*(J63-E_zero)</f>
        <v>70</v>
      </c>
      <c r="Q63" s="13" t="n">
        <f aca="false">Val_pt*(K63-E_zero)</f>
        <v>105</v>
      </c>
      <c r="R63" s="13" t="n">
        <f aca="false">Val_pt*(L63-E_zero)</f>
        <v>105</v>
      </c>
      <c r="S63" s="13" t="n">
        <f aca="false">Val_pt*(M63-E_zero)</f>
        <v>122.5</v>
      </c>
      <c r="T63" s="13" t="n">
        <f aca="false">Val_pt*(N63-E_zero)</f>
        <v>131.25</v>
      </c>
      <c r="U63" s="13" t="n">
        <f aca="false">Val_pt*(O63-E_zero)</f>
        <v>135.625</v>
      </c>
      <c r="V63" s="16" t="n">
        <f aca="false">MAX(W63+Cost_round*C63-P63,IF(C63=1,Pre_q,0))</f>
        <v>520</v>
      </c>
      <c r="W63" s="16" t="n">
        <f aca="false">MAX(X63+Cost_round*D63-Q63,IF(D63=1,Pre_q,0),Floor_q)</f>
        <v>470</v>
      </c>
      <c r="X63" s="16" t="n">
        <f aca="false">MAX(Y63+Cost_round*E63-R63,IF(E63=1,Pre_q,0),Floor_q)</f>
        <v>365</v>
      </c>
      <c r="Y63" s="16" t="n">
        <f aca="false">MAX(Z63+Cost_round*F63-S63,IF(F63=1,Pre_q,0),Floor_q)</f>
        <v>470</v>
      </c>
      <c r="Z63" s="16" t="n">
        <f aca="false">MAX(AA63+Cost_round*G63-T63,IF(G63=1,Pre_q,0),Floor_q)</f>
        <v>470</v>
      </c>
      <c r="AA63" s="16" t="n">
        <f aca="false">MAX(AB63+Cost_round*H63-U63,IF(H63=1,Pre_q,0),Floor_q)</f>
        <v>470</v>
      </c>
      <c r="AB63" s="16" t="n">
        <f aca="false">End_q</f>
        <v>470</v>
      </c>
      <c r="AC63" s="16" t="n">
        <f aca="false">Q_zero-V63</f>
        <v>100</v>
      </c>
      <c r="AD63" s="15" t="n">
        <f aca="false">IF(AC63&gt;=-0.000000001,1,0)</f>
        <v>1</v>
      </c>
      <c r="AE63" s="13" t="n">
        <f aca="false">IF($AD63=1,Q_zero-Cost_round*C63+P63-W63,"")</f>
        <v>100</v>
      </c>
      <c r="AF63" s="13" t="n">
        <f aca="false">IF($AD63=1,W63-Cost_round*D63+Q63-X63,"")</f>
        <v>90</v>
      </c>
      <c r="AG63" s="13" t="n">
        <f aca="false">IF($AD63=1,X63-Cost_round*E63+R63-Y63,"")</f>
        <v>0</v>
      </c>
      <c r="AH63" s="13" t="n">
        <f aca="false">IF($AD63=1,Y63-Cost_round*F63+S63-Z63,"")</f>
        <v>2.5</v>
      </c>
      <c r="AI63" s="13" t="n">
        <f aca="false">IF($AD63=1,Z63-Cost_round*G63+T63-AA63,"")</f>
        <v>11.25</v>
      </c>
      <c r="AJ63" s="13" t="n">
        <f aca="false">IF($AD63=1,AA63-Cost_round*H63+U63-AB63,"")</f>
        <v>15.625</v>
      </c>
      <c r="AK63" s="17" t="n">
        <f aca="false">IF($AD63=1,SUMPRODUCT(AE63:AJ63,$AE$6:$AJ$6),"")</f>
        <v>182.802059878266</v>
      </c>
      <c r="AL63" s="13" t="n">
        <f aca="false">U63</f>
        <v>135.625</v>
      </c>
      <c r="AM63" s="15" t="n">
        <f aca="false">IF(SUMPRODUCT(($AK$8:$AK$71&gt;=AK63-0.000000001)*($AL$8:$AL$71&gt;=AL63-0.000000001)*((($AK$8:$AK$71&gt;AK63+0.000000001)+($AL$8:$AL$71&gt;AL63+0.000000001))&gt;0))&gt;0,1,0)</f>
        <v>1</v>
      </c>
      <c r="AN63" s="15" t="n">
        <f aca="false">1-AM63</f>
        <v>0</v>
      </c>
      <c r="AO63" s="17" t="n">
        <f aca="false">AK63+W_board*AL63</f>
        <v>948.369827513701</v>
      </c>
      <c r="AP63" s="17" t="n">
        <f aca="false">AK63+W_try*AL63</f>
        <v>1539.05205987827</v>
      </c>
      <c r="AQ63" s="16" t="n">
        <f aca="false">MAX(AR63+Cost_round*C63-P63,IF(C63=1,Pre_q+Res_b,0))</f>
        <v>570</v>
      </c>
      <c r="AR63" s="16" t="n">
        <f aca="false">MAX(AS63+Cost_round*D63-Q63,IF(D63=1,Pre_q+Res_b,0),Floor_q+Res_b)</f>
        <v>520</v>
      </c>
      <c r="AS63" s="16" t="n">
        <f aca="false">MAX(AT63+Cost_round*E63-R63,IF(E63=1,Pre_q+Res_b,0),Floor_q+Res_b)</f>
        <v>415</v>
      </c>
      <c r="AT63" s="16" t="n">
        <f aca="false">MAX(AU63+Cost_round*F63-S63,IF(F63=1,Pre_q+Res_b,0),Floor_q+Res_b)</f>
        <v>520</v>
      </c>
      <c r="AU63" s="16" t="n">
        <f aca="false">MAX(AV63+Cost_round*G63-T63,IF(G63=1,Pre_q+Res_b,0),Floor_q+Res_b)</f>
        <v>520</v>
      </c>
      <c r="AV63" s="16" t="n">
        <f aca="false">MAX(AW63+Cost_round*H63-U63,IF(H63=1,Pre_q+Res_b,0),Floor_q+Res_b)</f>
        <v>520</v>
      </c>
      <c r="AW63" s="16" t="n">
        <f aca="false">End_q+Res_b</f>
        <v>520</v>
      </c>
      <c r="AX63" s="15" t="n">
        <f aca="false">IF(Q_zero&gt;=AQ63-0.000000001,1,0)</f>
        <v>1</v>
      </c>
      <c r="AY63" s="13" t="n">
        <f aca="false">IF($AX63=1,Q_zero-Cost_round*C63+P63-AR63,"")</f>
        <v>50</v>
      </c>
      <c r="AZ63" s="13" t="n">
        <f aca="false">IF($AX63=1,AR63-Cost_round*D63+Q63-AS63,"")</f>
        <v>90</v>
      </c>
      <c r="BA63" s="13" t="n">
        <f aca="false">IF($AX63=1,AS63-Cost_round*E63+R63-AT63,"")</f>
        <v>0</v>
      </c>
      <c r="BB63" s="13" t="n">
        <f aca="false">IF($AX63=1,AT63-Cost_round*F63+S63-AU63,"")</f>
        <v>2.5</v>
      </c>
      <c r="BC63" s="13" t="n">
        <f aca="false">IF($AX63=1,AU63-Cost_round*G63+T63-AV63,"")</f>
        <v>11.25</v>
      </c>
      <c r="BD63" s="13" t="n">
        <f aca="false">IF($AX63=1,AV63-Cost_round*H63+U63-AW63,"")</f>
        <v>15.625</v>
      </c>
      <c r="BE63" s="17" t="n">
        <f aca="false">IF($AX63=1,SUMPRODUCT(AY63:BD63,$AY$6:$BD$6),"")</f>
        <v>137.34751442372</v>
      </c>
      <c r="BF63" s="12" t="n">
        <f aca="false">IF(AND($AX63=1,Res_b&gt;0),(AK63-BE63)/Res_b,"")</f>
        <v>0.909090909090909</v>
      </c>
      <c r="BG63" s="17" t="n">
        <f aca="false">IF(AC63&gt;=Goal_b-0.000000001,AK63-Beta_y*Goal_b,"")</f>
        <v>160.074787150993</v>
      </c>
      <c r="BH63" s="15" t="n">
        <f aca="false">IF(AC63&gt;=Goal_b-0.000000001,IF(AND(AL63&gt;=Goal_S-0.000000001,BG63&gt;=Goal_P-0.000000001),1,0),0)</f>
        <v>0</v>
      </c>
    </row>
    <row r="64" customFormat="false" ht="15" hidden="false" customHeight="false" outlineLevel="0" collapsed="false">
      <c r="A64" s="2" t="n">
        <v>56</v>
      </c>
      <c r="B64" s="2" t="s">
        <v>174</v>
      </c>
      <c r="C64" s="15" t="n">
        <f aca="false">MOD(INT($A64/32),2)</f>
        <v>1</v>
      </c>
      <c r="D64" s="15" t="n">
        <f aca="false">MOD(INT($A64/16),2)</f>
        <v>1</v>
      </c>
      <c r="E64" s="15" t="n">
        <f aca="false">MOD(INT($A64/8),2)</f>
        <v>1</v>
      </c>
      <c r="F64" s="15" t="n">
        <f aca="false">MOD(INT($A64/4),2)</f>
        <v>0</v>
      </c>
      <c r="G64" s="15" t="n">
        <f aca="false">MOD(INT($A64/2),2)</f>
        <v>0</v>
      </c>
      <c r="H64" s="15" t="n">
        <f aca="false">MOD(INT($A64/1),2)</f>
        <v>0</v>
      </c>
      <c r="I64" s="15" t="n">
        <f aca="false">SUM(C64:H64)</f>
        <v>3</v>
      </c>
      <c r="J64" s="13" t="n">
        <f aca="false">E_zero+C64*Half_gap*(Ceiling_e-E_zero)</f>
        <v>78</v>
      </c>
      <c r="K64" s="13" t="n">
        <f aca="false">J64+D64*Half_gap*(Ceiling_e-J64)</f>
        <v>81.5</v>
      </c>
      <c r="L64" s="13" t="n">
        <f aca="false">K64+E64*Half_gap*(Ceiling_e-K64)</f>
        <v>83.25</v>
      </c>
      <c r="M64" s="13" t="n">
        <f aca="false">L64+F64*Half_gap*(Ceiling_e-L64)</f>
        <v>83.25</v>
      </c>
      <c r="N64" s="13" t="n">
        <f aca="false">M64+G64*Half_gap*(Ceiling_e-M64)</f>
        <v>83.25</v>
      </c>
      <c r="O64" s="13" t="n">
        <f aca="false">N64+H64*Half_gap*(Ceiling_e-N64)</f>
        <v>83.25</v>
      </c>
      <c r="P64" s="13" t="n">
        <f aca="false">Val_pt*(J64-E_zero)</f>
        <v>70</v>
      </c>
      <c r="Q64" s="13" t="n">
        <f aca="false">Val_pt*(K64-E_zero)</f>
        <v>105</v>
      </c>
      <c r="R64" s="13" t="n">
        <f aca="false">Val_pt*(L64-E_zero)</f>
        <v>122.5</v>
      </c>
      <c r="S64" s="13" t="n">
        <f aca="false">Val_pt*(M64-E_zero)</f>
        <v>122.5</v>
      </c>
      <c r="T64" s="13" t="n">
        <f aca="false">Val_pt*(N64-E_zero)</f>
        <v>122.5</v>
      </c>
      <c r="U64" s="13" t="n">
        <f aca="false">Val_pt*(O64-E_zero)</f>
        <v>122.5</v>
      </c>
      <c r="V64" s="16" t="n">
        <f aca="false">MAX(W64+Cost_round*C64-P64,IF(C64=1,Pre_q,0))</f>
        <v>535</v>
      </c>
      <c r="W64" s="16" t="n">
        <f aca="false">MAX(X64+Cost_round*D64-Q64,IF(D64=1,Pre_q,0),Floor_q)</f>
        <v>485</v>
      </c>
      <c r="X64" s="16" t="n">
        <f aca="false">MAX(Y64+Cost_round*E64-R64,IF(E64=1,Pre_q,0),Floor_q)</f>
        <v>470</v>
      </c>
      <c r="Y64" s="16" t="n">
        <f aca="false">MAX(Z64+Cost_round*F64-S64,IF(F64=1,Pre_q,0),Floor_q)</f>
        <v>350</v>
      </c>
      <c r="Z64" s="16" t="n">
        <f aca="false">MAX(AA64+Cost_round*G64-T64,IF(G64=1,Pre_q,0),Floor_q)</f>
        <v>350</v>
      </c>
      <c r="AA64" s="16" t="n">
        <f aca="false">MAX(AB64+Cost_round*H64-U64,IF(H64=1,Pre_q,0),Floor_q)</f>
        <v>350</v>
      </c>
      <c r="AB64" s="16" t="n">
        <f aca="false">End_q</f>
        <v>470</v>
      </c>
      <c r="AC64" s="16" t="n">
        <f aca="false">Q_zero-V64</f>
        <v>85</v>
      </c>
      <c r="AD64" s="15" t="n">
        <f aca="false">IF(AC64&gt;=-0.000000001,1,0)</f>
        <v>1</v>
      </c>
      <c r="AE64" s="13" t="n">
        <f aca="false">IF($AD64=1,Q_zero-Cost_round*C64+P64-W64,"")</f>
        <v>85</v>
      </c>
      <c r="AF64" s="13" t="n">
        <f aca="false">IF($AD64=1,W64-Cost_round*D64+Q64-X64,"")</f>
        <v>0</v>
      </c>
      <c r="AG64" s="13" t="n">
        <f aca="false">IF($AD64=1,X64-Cost_round*E64+R64-Y64,"")</f>
        <v>122.5</v>
      </c>
      <c r="AH64" s="13" t="n">
        <f aca="false">IF($AD64=1,Y64-Cost_round*F64+S64-Z64,"")</f>
        <v>122.5</v>
      </c>
      <c r="AI64" s="13" t="n">
        <f aca="false">IF($AD64=1,Z64-Cost_round*G64+T64-AA64,"")</f>
        <v>122.5</v>
      </c>
      <c r="AJ64" s="13" t="n">
        <f aca="false">IF($AD64=1,AA64-Cost_round*H64+U64-AB64,"")</f>
        <v>2.5</v>
      </c>
      <c r="AK64" s="17" t="n">
        <f aca="false">IF($AD64=1,SUMPRODUCT(AE64:AJ64,$AE$6:$AJ$6),"")</f>
        <v>330.451985565273</v>
      </c>
      <c r="AL64" s="13" t="n">
        <f aca="false">U64</f>
        <v>122.5</v>
      </c>
      <c r="AM64" s="15" t="n">
        <f aca="false">IF(SUMPRODUCT(($AK$8:$AK$71&gt;=AK64-0.000000001)*($AL$8:$AL$71&gt;=AL64-0.000000001)*((($AK$8:$AK$71&gt;AK64+0.000000001)+($AL$8:$AL$71&gt;AL64+0.000000001))&gt;0))&gt;0,1,0)</f>
        <v>0</v>
      </c>
      <c r="AN64" s="15" t="n">
        <f aca="false">1-AM64</f>
        <v>1</v>
      </c>
      <c r="AO64" s="17" t="n">
        <f aca="false">AK64+W_board*AL64</f>
        <v>1021.93254988115</v>
      </c>
      <c r="AP64" s="17" t="n">
        <f aca="false">AK64+W_try*AL64</f>
        <v>1555.45198556527</v>
      </c>
      <c r="AQ64" s="16" t="n">
        <f aca="false">MAX(AR64+Cost_round*C64-P64,IF(C64=1,Pre_q+Res_b,0))</f>
        <v>585</v>
      </c>
      <c r="AR64" s="16" t="n">
        <f aca="false">MAX(AS64+Cost_round*D64-Q64,IF(D64=1,Pre_q+Res_b,0),Floor_q+Res_b)</f>
        <v>535</v>
      </c>
      <c r="AS64" s="16" t="n">
        <f aca="false">MAX(AT64+Cost_round*E64-R64,IF(E64=1,Pre_q+Res_b,0),Floor_q+Res_b)</f>
        <v>520</v>
      </c>
      <c r="AT64" s="16" t="n">
        <f aca="false">MAX(AU64+Cost_round*F64-S64,IF(F64=1,Pre_q+Res_b,0),Floor_q+Res_b)</f>
        <v>400</v>
      </c>
      <c r="AU64" s="16" t="n">
        <f aca="false">MAX(AV64+Cost_round*G64-T64,IF(G64=1,Pre_q+Res_b,0),Floor_q+Res_b)</f>
        <v>400</v>
      </c>
      <c r="AV64" s="16" t="n">
        <f aca="false">MAX(AW64+Cost_round*H64-U64,IF(H64=1,Pre_q+Res_b,0),Floor_q+Res_b)</f>
        <v>400</v>
      </c>
      <c r="AW64" s="16" t="n">
        <f aca="false">End_q+Res_b</f>
        <v>520</v>
      </c>
      <c r="AX64" s="15" t="n">
        <f aca="false">IF(Q_zero&gt;=AQ64-0.000000001,1,0)</f>
        <v>1</v>
      </c>
      <c r="AY64" s="13" t="n">
        <f aca="false">IF($AX64=1,Q_zero-Cost_round*C64+P64-AR64,"")</f>
        <v>35</v>
      </c>
      <c r="AZ64" s="13" t="n">
        <f aca="false">IF($AX64=1,AR64-Cost_round*D64+Q64-AS64,"")</f>
        <v>0</v>
      </c>
      <c r="BA64" s="13" t="n">
        <f aca="false">IF($AX64=1,AS64-Cost_round*E64+R64-AT64,"")</f>
        <v>122.5</v>
      </c>
      <c r="BB64" s="13" t="n">
        <f aca="false">IF($AX64=1,AT64-Cost_round*F64+S64-AU64,"")</f>
        <v>122.5</v>
      </c>
      <c r="BC64" s="13" t="n">
        <f aca="false">IF($AX64=1,AU64-Cost_round*G64+T64-AV64,"")</f>
        <v>122.5</v>
      </c>
      <c r="BD64" s="13" t="n">
        <f aca="false">IF($AX64=1,AV64-Cost_round*H64+U64-AW64,"")</f>
        <v>2.5</v>
      </c>
      <c r="BE64" s="17" t="n">
        <f aca="false">IF($AX64=1,SUMPRODUCT(AY64:BD64,$AY$6:$BD$6),"")</f>
        <v>284.997440110727</v>
      </c>
      <c r="BF64" s="12" t="n">
        <f aca="false">IF(AND($AX64=1,Res_b&gt;0),(AK64-BE64)/Res_b,"")</f>
        <v>0.90909090909091</v>
      </c>
      <c r="BG64" s="17" t="n">
        <f aca="false">IF(AC64&gt;=Goal_b-0.000000001,AK64-Beta_y*Goal_b,"")</f>
        <v>307.724712838</v>
      </c>
      <c r="BH64" s="15" t="n">
        <f aca="false">IF(AC64&gt;=Goal_b-0.000000001,IF(AND(AL64&gt;=Goal_S-0.000000001,BG64&gt;=Goal_P-0.000000001),1,0),0)</f>
        <v>1</v>
      </c>
    </row>
    <row r="65" customFormat="false" ht="15" hidden="false" customHeight="false" outlineLevel="0" collapsed="false">
      <c r="A65" s="2" t="n">
        <v>57</v>
      </c>
      <c r="B65" s="2" t="s">
        <v>175</v>
      </c>
      <c r="C65" s="15" t="n">
        <f aca="false">MOD(INT($A65/32),2)</f>
        <v>1</v>
      </c>
      <c r="D65" s="15" t="n">
        <f aca="false">MOD(INT($A65/16),2)</f>
        <v>1</v>
      </c>
      <c r="E65" s="15" t="n">
        <f aca="false">MOD(INT($A65/8),2)</f>
        <v>1</v>
      </c>
      <c r="F65" s="15" t="n">
        <f aca="false">MOD(INT($A65/4),2)</f>
        <v>0</v>
      </c>
      <c r="G65" s="15" t="n">
        <f aca="false">MOD(INT($A65/2),2)</f>
        <v>0</v>
      </c>
      <c r="H65" s="15" t="n">
        <f aca="false">MOD(INT($A65/1),2)</f>
        <v>1</v>
      </c>
      <c r="I65" s="15" t="n">
        <f aca="false">SUM(C65:H65)</f>
        <v>4</v>
      </c>
      <c r="J65" s="13" t="n">
        <f aca="false">E_zero+C65*Half_gap*(Ceiling_e-E_zero)</f>
        <v>78</v>
      </c>
      <c r="K65" s="13" t="n">
        <f aca="false">J65+D65*Half_gap*(Ceiling_e-J65)</f>
        <v>81.5</v>
      </c>
      <c r="L65" s="13" t="n">
        <f aca="false">K65+E65*Half_gap*(Ceiling_e-K65)</f>
        <v>83.25</v>
      </c>
      <c r="M65" s="13" t="n">
        <f aca="false">L65+F65*Half_gap*(Ceiling_e-L65)</f>
        <v>83.25</v>
      </c>
      <c r="N65" s="13" t="n">
        <f aca="false">M65+G65*Half_gap*(Ceiling_e-M65)</f>
        <v>83.25</v>
      </c>
      <c r="O65" s="13" t="n">
        <f aca="false">N65+H65*Half_gap*(Ceiling_e-N65)</f>
        <v>84.125</v>
      </c>
      <c r="P65" s="13" t="n">
        <f aca="false">Val_pt*(J65-E_zero)</f>
        <v>70</v>
      </c>
      <c r="Q65" s="13" t="n">
        <f aca="false">Val_pt*(K65-E_zero)</f>
        <v>105</v>
      </c>
      <c r="R65" s="13" t="n">
        <f aca="false">Val_pt*(L65-E_zero)</f>
        <v>122.5</v>
      </c>
      <c r="S65" s="13" t="n">
        <f aca="false">Val_pt*(M65-E_zero)</f>
        <v>122.5</v>
      </c>
      <c r="T65" s="13" t="n">
        <f aca="false">Val_pt*(N65-E_zero)</f>
        <v>122.5</v>
      </c>
      <c r="U65" s="13" t="n">
        <f aca="false">Val_pt*(O65-E_zero)</f>
        <v>131.25</v>
      </c>
      <c r="V65" s="16" t="n">
        <f aca="false">MAX(W65+Cost_round*C65-P65,IF(C65=1,Pre_q,0))</f>
        <v>535</v>
      </c>
      <c r="W65" s="16" t="n">
        <f aca="false">MAX(X65+Cost_round*D65-Q65,IF(D65=1,Pre_q,0),Floor_q)</f>
        <v>485</v>
      </c>
      <c r="X65" s="16" t="n">
        <f aca="false">MAX(Y65+Cost_round*E65-R65,IF(E65=1,Pre_q,0),Floor_q)</f>
        <v>470</v>
      </c>
      <c r="Y65" s="16" t="n">
        <f aca="false">MAX(Z65+Cost_round*F65-S65,IF(F65=1,Pre_q,0),Floor_q)</f>
        <v>350</v>
      </c>
      <c r="Z65" s="16" t="n">
        <f aca="false">MAX(AA65+Cost_round*G65-T65,IF(G65=1,Pre_q,0),Floor_q)</f>
        <v>350</v>
      </c>
      <c r="AA65" s="16" t="n">
        <f aca="false">MAX(AB65+Cost_round*H65-U65,IF(H65=1,Pre_q,0),Floor_q)</f>
        <v>470</v>
      </c>
      <c r="AB65" s="16" t="n">
        <f aca="false">End_q</f>
        <v>470</v>
      </c>
      <c r="AC65" s="16" t="n">
        <f aca="false">Q_zero-V65</f>
        <v>85</v>
      </c>
      <c r="AD65" s="15" t="n">
        <f aca="false">IF(AC65&gt;=-0.000000001,1,0)</f>
        <v>1</v>
      </c>
      <c r="AE65" s="13" t="n">
        <f aca="false">IF($AD65=1,Q_zero-Cost_round*C65+P65-W65,"")</f>
        <v>85</v>
      </c>
      <c r="AF65" s="13" t="n">
        <f aca="false">IF($AD65=1,W65-Cost_round*D65+Q65-X65,"")</f>
        <v>0</v>
      </c>
      <c r="AG65" s="13" t="n">
        <f aca="false">IF($AD65=1,X65-Cost_round*E65+R65-Y65,"")</f>
        <v>122.5</v>
      </c>
      <c r="AH65" s="13" t="n">
        <f aca="false">IF($AD65=1,Y65-Cost_round*F65+S65-Z65,"")</f>
        <v>122.5</v>
      </c>
      <c r="AI65" s="13" t="n">
        <f aca="false">IF($AD65=1,Z65-Cost_round*G65+T65-AA65,"")</f>
        <v>2.5</v>
      </c>
      <c r="AJ65" s="13" t="n">
        <f aca="false">IF($AD65=1,AA65-Cost_round*H65+U65-AB65,"")</f>
        <v>11.25</v>
      </c>
      <c r="AK65" s="17" t="n">
        <f aca="false">IF($AD65=1,SUMPRODUCT(AE65:AJ65,$AE$6:$AJ$6),"")</f>
        <v>260.880573686145</v>
      </c>
      <c r="AL65" s="13" t="n">
        <f aca="false">U65</f>
        <v>131.25</v>
      </c>
      <c r="AM65" s="15" t="n">
        <f aca="false">IF(SUMPRODUCT(($AK$8:$AK$71&gt;=AK65-0.000000001)*($AL$8:$AL$71&gt;=AL65-0.000000001)*((($AK$8:$AK$71&gt;AK65+0.000000001)+($AL$8:$AL$71&gt;AL65+0.000000001))&gt;0))&gt;0,1,0)</f>
        <v>0</v>
      </c>
      <c r="AN65" s="15" t="n">
        <f aca="false">1-AM65</f>
        <v>1</v>
      </c>
      <c r="AO65" s="17" t="n">
        <f aca="false">AK65+W_board*AL65</f>
        <v>1001.75260688173</v>
      </c>
      <c r="AP65" s="17" t="n">
        <f aca="false">AK65+W_try*AL65</f>
        <v>1573.38057368614</v>
      </c>
      <c r="AQ65" s="16" t="n">
        <f aca="false">MAX(AR65+Cost_round*C65-P65,IF(C65=1,Pre_q+Res_b,0))</f>
        <v>585</v>
      </c>
      <c r="AR65" s="16" t="n">
        <f aca="false">MAX(AS65+Cost_round*D65-Q65,IF(D65=1,Pre_q+Res_b,0),Floor_q+Res_b)</f>
        <v>535</v>
      </c>
      <c r="AS65" s="16" t="n">
        <f aca="false">MAX(AT65+Cost_round*E65-R65,IF(E65=1,Pre_q+Res_b,0),Floor_q+Res_b)</f>
        <v>520</v>
      </c>
      <c r="AT65" s="16" t="n">
        <f aca="false">MAX(AU65+Cost_round*F65-S65,IF(F65=1,Pre_q+Res_b,0),Floor_q+Res_b)</f>
        <v>400</v>
      </c>
      <c r="AU65" s="16" t="n">
        <f aca="false">MAX(AV65+Cost_round*G65-T65,IF(G65=1,Pre_q+Res_b,0),Floor_q+Res_b)</f>
        <v>400</v>
      </c>
      <c r="AV65" s="16" t="n">
        <f aca="false">MAX(AW65+Cost_round*H65-U65,IF(H65=1,Pre_q+Res_b,0),Floor_q+Res_b)</f>
        <v>520</v>
      </c>
      <c r="AW65" s="16" t="n">
        <f aca="false">End_q+Res_b</f>
        <v>520</v>
      </c>
      <c r="AX65" s="15" t="n">
        <f aca="false">IF(Q_zero&gt;=AQ65-0.000000001,1,0)</f>
        <v>1</v>
      </c>
      <c r="AY65" s="13" t="n">
        <f aca="false">IF($AX65=1,Q_zero-Cost_round*C65+P65-AR65,"")</f>
        <v>35</v>
      </c>
      <c r="AZ65" s="13" t="n">
        <f aca="false">IF($AX65=1,AR65-Cost_round*D65+Q65-AS65,"")</f>
        <v>0</v>
      </c>
      <c r="BA65" s="13" t="n">
        <f aca="false">IF($AX65=1,AS65-Cost_round*E65+R65-AT65,"")</f>
        <v>122.5</v>
      </c>
      <c r="BB65" s="13" t="n">
        <f aca="false">IF($AX65=1,AT65-Cost_round*F65+S65-AU65,"")</f>
        <v>122.5</v>
      </c>
      <c r="BC65" s="13" t="n">
        <f aca="false">IF($AX65=1,AU65-Cost_round*G65+T65-AV65,"")</f>
        <v>2.5</v>
      </c>
      <c r="BD65" s="13" t="n">
        <f aca="false">IF($AX65=1,AV65-Cost_round*H65+U65-AW65,"")</f>
        <v>11.25</v>
      </c>
      <c r="BE65" s="17" t="n">
        <f aca="false">IF($AX65=1,SUMPRODUCT(AY65:BD65,$AY$6:$BD$6),"")</f>
        <v>215.426028231599</v>
      </c>
      <c r="BF65" s="12" t="n">
        <f aca="false">IF(AND($AX65=1,Res_b&gt;0),(AK65-BE65)/Res_b,"")</f>
        <v>0.909090909090909</v>
      </c>
      <c r="BG65" s="17" t="n">
        <f aca="false">IF(AC65&gt;=Goal_b-0.000000001,AK65-Beta_y*Goal_b,"")</f>
        <v>238.153300958872</v>
      </c>
      <c r="BH65" s="15" t="n">
        <f aca="false">IF(AC65&gt;=Goal_b-0.000000001,IF(AND(AL65&gt;=Goal_S-0.000000001,BG65&gt;=Goal_P-0.000000001),1,0),0)</f>
        <v>0</v>
      </c>
    </row>
    <row r="66" customFormat="false" ht="15" hidden="false" customHeight="false" outlineLevel="0" collapsed="false">
      <c r="A66" s="2" t="n">
        <v>58</v>
      </c>
      <c r="B66" s="2" t="s">
        <v>176</v>
      </c>
      <c r="C66" s="15" t="n">
        <f aca="false">MOD(INT($A66/32),2)</f>
        <v>1</v>
      </c>
      <c r="D66" s="15" t="n">
        <f aca="false">MOD(INT($A66/16),2)</f>
        <v>1</v>
      </c>
      <c r="E66" s="15" t="n">
        <f aca="false">MOD(INT($A66/8),2)</f>
        <v>1</v>
      </c>
      <c r="F66" s="15" t="n">
        <f aca="false">MOD(INT($A66/4),2)</f>
        <v>0</v>
      </c>
      <c r="G66" s="15" t="n">
        <f aca="false">MOD(INT($A66/2),2)</f>
        <v>1</v>
      </c>
      <c r="H66" s="15" t="n">
        <f aca="false">MOD(INT($A66/1),2)</f>
        <v>0</v>
      </c>
      <c r="I66" s="15" t="n">
        <f aca="false">SUM(C66:H66)</f>
        <v>4</v>
      </c>
      <c r="J66" s="13" t="n">
        <f aca="false">E_zero+C66*Half_gap*(Ceiling_e-E_zero)</f>
        <v>78</v>
      </c>
      <c r="K66" s="13" t="n">
        <f aca="false">J66+D66*Half_gap*(Ceiling_e-J66)</f>
        <v>81.5</v>
      </c>
      <c r="L66" s="13" t="n">
        <f aca="false">K66+E66*Half_gap*(Ceiling_e-K66)</f>
        <v>83.25</v>
      </c>
      <c r="M66" s="13" t="n">
        <f aca="false">L66+F66*Half_gap*(Ceiling_e-L66)</f>
        <v>83.25</v>
      </c>
      <c r="N66" s="13" t="n">
        <f aca="false">M66+G66*Half_gap*(Ceiling_e-M66)</f>
        <v>84.125</v>
      </c>
      <c r="O66" s="13" t="n">
        <f aca="false">N66+H66*Half_gap*(Ceiling_e-N66)</f>
        <v>84.125</v>
      </c>
      <c r="P66" s="13" t="n">
        <f aca="false">Val_pt*(J66-E_zero)</f>
        <v>70</v>
      </c>
      <c r="Q66" s="13" t="n">
        <f aca="false">Val_pt*(K66-E_zero)</f>
        <v>105</v>
      </c>
      <c r="R66" s="13" t="n">
        <f aca="false">Val_pt*(L66-E_zero)</f>
        <v>122.5</v>
      </c>
      <c r="S66" s="13" t="n">
        <f aca="false">Val_pt*(M66-E_zero)</f>
        <v>122.5</v>
      </c>
      <c r="T66" s="13" t="n">
        <f aca="false">Val_pt*(N66-E_zero)</f>
        <v>131.25</v>
      </c>
      <c r="U66" s="13" t="n">
        <f aca="false">Val_pt*(O66-E_zero)</f>
        <v>131.25</v>
      </c>
      <c r="V66" s="16" t="n">
        <f aca="false">MAX(W66+Cost_round*C66-P66,IF(C66=1,Pre_q,0))</f>
        <v>535</v>
      </c>
      <c r="W66" s="16" t="n">
        <f aca="false">MAX(X66+Cost_round*D66-Q66,IF(D66=1,Pre_q,0),Floor_q)</f>
        <v>485</v>
      </c>
      <c r="X66" s="16" t="n">
        <f aca="false">MAX(Y66+Cost_round*E66-R66,IF(E66=1,Pre_q,0),Floor_q)</f>
        <v>470</v>
      </c>
      <c r="Y66" s="16" t="n">
        <f aca="false">MAX(Z66+Cost_round*F66-S66,IF(F66=1,Pre_q,0),Floor_q)</f>
        <v>350</v>
      </c>
      <c r="Z66" s="16" t="n">
        <f aca="false">MAX(AA66+Cost_round*G66-T66,IF(G66=1,Pre_q,0),Floor_q)</f>
        <v>470</v>
      </c>
      <c r="AA66" s="16" t="n">
        <f aca="false">MAX(AB66+Cost_round*H66-U66,IF(H66=1,Pre_q,0),Floor_q)</f>
        <v>350</v>
      </c>
      <c r="AB66" s="16" t="n">
        <f aca="false">End_q</f>
        <v>470</v>
      </c>
      <c r="AC66" s="16" t="n">
        <f aca="false">Q_zero-V66</f>
        <v>85</v>
      </c>
      <c r="AD66" s="15" t="n">
        <f aca="false">IF(AC66&gt;=-0.000000001,1,0)</f>
        <v>1</v>
      </c>
      <c r="AE66" s="13" t="n">
        <f aca="false">IF($AD66=1,Q_zero-Cost_round*C66+P66-W66,"")</f>
        <v>85</v>
      </c>
      <c r="AF66" s="13" t="n">
        <f aca="false">IF($AD66=1,W66-Cost_round*D66+Q66-X66,"")</f>
        <v>0</v>
      </c>
      <c r="AG66" s="13" t="n">
        <f aca="false">IF($AD66=1,X66-Cost_round*E66+R66-Y66,"")</f>
        <v>122.5</v>
      </c>
      <c r="AH66" s="13" t="n">
        <f aca="false">IF($AD66=1,Y66-Cost_round*F66+S66-Z66,"")</f>
        <v>2.5</v>
      </c>
      <c r="AI66" s="13" t="n">
        <f aca="false">IF($AD66=1,Z66-Cost_round*G66+T66-AA66,"")</f>
        <v>131.25</v>
      </c>
      <c r="AJ66" s="13" t="n">
        <f aca="false">IF($AD66=1,AA66-Cost_round*H66+U66-AB66,"")</f>
        <v>11.25</v>
      </c>
      <c r="AK66" s="17" t="n">
        <f aca="false">IF($AD66=1,SUMPRODUCT(AE66:AJ66,$AE$6:$AJ$6),"")</f>
        <v>258.862579386202</v>
      </c>
      <c r="AL66" s="13" t="n">
        <f aca="false">U66</f>
        <v>131.25</v>
      </c>
      <c r="AM66" s="15" t="n">
        <f aca="false">IF(SUMPRODUCT(($AK$8:$AK$71&gt;=AK66-0.000000001)*($AL$8:$AL$71&gt;=AL66-0.000000001)*((($AK$8:$AK$71&gt;AK66+0.000000001)+($AL$8:$AL$71&gt;AL66+0.000000001))&gt;0))&gt;0,1,0)</f>
        <v>1</v>
      </c>
      <c r="AN66" s="15" t="n">
        <f aca="false">1-AM66</f>
        <v>0</v>
      </c>
      <c r="AO66" s="17" t="n">
        <f aca="false">AK66+W_board*AL66</f>
        <v>999.734612581785</v>
      </c>
      <c r="AP66" s="17" t="n">
        <f aca="false">AK66+W_try*AL66</f>
        <v>1571.3625793862</v>
      </c>
      <c r="AQ66" s="16" t="n">
        <f aca="false">MAX(AR66+Cost_round*C66-P66,IF(C66=1,Pre_q+Res_b,0))</f>
        <v>585</v>
      </c>
      <c r="AR66" s="16" t="n">
        <f aca="false">MAX(AS66+Cost_round*D66-Q66,IF(D66=1,Pre_q+Res_b,0),Floor_q+Res_b)</f>
        <v>535</v>
      </c>
      <c r="AS66" s="16" t="n">
        <f aca="false">MAX(AT66+Cost_round*E66-R66,IF(E66=1,Pre_q+Res_b,0),Floor_q+Res_b)</f>
        <v>520</v>
      </c>
      <c r="AT66" s="16" t="n">
        <f aca="false">MAX(AU66+Cost_round*F66-S66,IF(F66=1,Pre_q+Res_b,0),Floor_q+Res_b)</f>
        <v>400</v>
      </c>
      <c r="AU66" s="16" t="n">
        <f aca="false">MAX(AV66+Cost_round*G66-T66,IF(G66=1,Pre_q+Res_b,0),Floor_q+Res_b)</f>
        <v>520</v>
      </c>
      <c r="AV66" s="16" t="n">
        <f aca="false">MAX(AW66+Cost_round*H66-U66,IF(H66=1,Pre_q+Res_b,0),Floor_q+Res_b)</f>
        <v>400</v>
      </c>
      <c r="AW66" s="16" t="n">
        <f aca="false">End_q+Res_b</f>
        <v>520</v>
      </c>
      <c r="AX66" s="15" t="n">
        <f aca="false">IF(Q_zero&gt;=AQ66-0.000000001,1,0)</f>
        <v>1</v>
      </c>
      <c r="AY66" s="13" t="n">
        <f aca="false">IF($AX66=1,Q_zero-Cost_round*C66+P66-AR66,"")</f>
        <v>35</v>
      </c>
      <c r="AZ66" s="13" t="n">
        <f aca="false">IF($AX66=1,AR66-Cost_round*D66+Q66-AS66,"")</f>
        <v>0</v>
      </c>
      <c r="BA66" s="13" t="n">
        <f aca="false">IF($AX66=1,AS66-Cost_round*E66+R66-AT66,"")</f>
        <v>122.5</v>
      </c>
      <c r="BB66" s="13" t="n">
        <f aca="false">IF($AX66=1,AT66-Cost_round*F66+S66-AU66,"")</f>
        <v>2.5</v>
      </c>
      <c r="BC66" s="13" t="n">
        <f aca="false">IF($AX66=1,AU66-Cost_round*G66+T66-AV66,"")</f>
        <v>131.25</v>
      </c>
      <c r="BD66" s="13" t="n">
        <f aca="false">IF($AX66=1,AV66-Cost_round*H66+U66-AW66,"")</f>
        <v>11.25</v>
      </c>
      <c r="BE66" s="17" t="n">
        <f aca="false">IF($AX66=1,SUMPRODUCT(AY66:BD66,$AY$6:$BD$6),"")</f>
        <v>213.408033931657</v>
      </c>
      <c r="BF66" s="12" t="n">
        <f aca="false">IF(AND($AX66=1,Res_b&gt;0),(AK66-BE66)/Res_b,"")</f>
        <v>0.909090909090909</v>
      </c>
      <c r="BG66" s="17" t="n">
        <f aca="false">IF(AC66&gt;=Goal_b-0.000000001,AK66-Beta_y*Goal_b,"")</f>
        <v>236.13530665893</v>
      </c>
      <c r="BH66" s="15" t="n">
        <f aca="false">IF(AC66&gt;=Goal_b-0.000000001,IF(AND(AL66&gt;=Goal_S-0.000000001,BG66&gt;=Goal_P-0.000000001),1,0),0)</f>
        <v>0</v>
      </c>
    </row>
    <row r="67" customFormat="false" ht="15" hidden="false" customHeight="false" outlineLevel="0" collapsed="false">
      <c r="A67" s="2" t="n">
        <v>59</v>
      </c>
      <c r="B67" s="2" t="s">
        <v>177</v>
      </c>
      <c r="C67" s="15" t="n">
        <f aca="false">MOD(INT($A67/32),2)</f>
        <v>1</v>
      </c>
      <c r="D67" s="15" t="n">
        <f aca="false">MOD(INT($A67/16),2)</f>
        <v>1</v>
      </c>
      <c r="E67" s="15" t="n">
        <f aca="false">MOD(INT($A67/8),2)</f>
        <v>1</v>
      </c>
      <c r="F67" s="15" t="n">
        <f aca="false">MOD(INT($A67/4),2)</f>
        <v>0</v>
      </c>
      <c r="G67" s="15" t="n">
        <f aca="false">MOD(INT($A67/2),2)</f>
        <v>1</v>
      </c>
      <c r="H67" s="15" t="n">
        <f aca="false">MOD(INT($A67/1),2)</f>
        <v>1</v>
      </c>
      <c r="I67" s="15" t="n">
        <f aca="false">SUM(C67:H67)</f>
        <v>5</v>
      </c>
      <c r="J67" s="13" t="n">
        <f aca="false">E_zero+C67*Half_gap*(Ceiling_e-E_zero)</f>
        <v>78</v>
      </c>
      <c r="K67" s="13" t="n">
        <f aca="false">J67+D67*Half_gap*(Ceiling_e-J67)</f>
        <v>81.5</v>
      </c>
      <c r="L67" s="13" t="n">
        <f aca="false">K67+E67*Half_gap*(Ceiling_e-K67)</f>
        <v>83.25</v>
      </c>
      <c r="M67" s="13" t="n">
        <f aca="false">L67+F67*Half_gap*(Ceiling_e-L67)</f>
        <v>83.25</v>
      </c>
      <c r="N67" s="13" t="n">
        <f aca="false">M67+G67*Half_gap*(Ceiling_e-M67)</f>
        <v>84.125</v>
      </c>
      <c r="O67" s="13" t="n">
        <f aca="false">N67+H67*Half_gap*(Ceiling_e-N67)</f>
        <v>84.5625</v>
      </c>
      <c r="P67" s="13" t="n">
        <f aca="false">Val_pt*(J67-E_zero)</f>
        <v>70</v>
      </c>
      <c r="Q67" s="13" t="n">
        <f aca="false">Val_pt*(K67-E_zero)</f>
        <v>105</v>
      </c>
      <c r="R67" s="13" t="n">
        <f aca="false">Val_pt*(L67-E_zero)</f>
        <v>122.5</v>
      </c>
      <c r="S67" s="13" t="n">
        <f aca="false">Val_pt*(M67-E_zero)</f>
        <v>122.5</v>
      </c>
      <c r="T67" s="13" t="n">
        <f aca="false">Val_pt*(N67-E_zero)</f>
        <v>131.25</v>
      </c>
      <c r="U67" s="13" t="n">
        <f aca="false">Val_pt*(O67-E_zero)</f>
        <v>135.625</v>
      </c>
      <c r="V67" s="16" t="n">
        <f aca="false">MAX(W67+Cost_round*C67-P67,IF(C67=1,Pre_q,0))</f>
        <v>535</v>
      </c>
      <c r="W67" s="16" t="n">
        <f aca="false">MAX(X67+Cost_round*D67-Q67,IF(D67=1,Pre_q,0),Floor_q)</f>
        <v>485</v>
      </c>
      <c r="X67" s="16" t="n">
        <f aca="false">MAX(Y67+Cost_round*E67-R67,IF(E67=1,Pre_q,0),Floor_q)</f>
        <v>470</v>
      </c>
      <c r="Y67" s="16" t="n">
        <f aca="false">MAX(Z67+Cost_round*F67-S67,IF(F67=1,Pre_q,0),Floor_q)</f>
        <v>350</v>
      </c>
      <c r="Z67" s="16" t="n">
        <f aca="false">MAX(AA67+Cost_round*G67-T67,IF(G67=1,Pre_q,0),Floor_q)</f>
        <v>470</v>
      </c>
      <c r="AA67" s="16" t="n">
        <f aca="false">MAX(AB67+Cost_round*H67-U67,IF(H67=1,Pre_q,0),Floor_q)</f>
        <v>470</v>
      </c>
      <c r="AB67" s="16" t="n">
        <f aca="false">End_q</f>
        <v>470</v>
      </c>
      <c r="AC67" s="16" t="n">
        <f aca="false">Q_zero-V67</f>
        <v>85</v>
      </c>
      <c r="AD67" s="15" t="n">
        <f aca="false">IF(AC67&gt;=-0.000000001,1,0)</f>
        <v>1</v>
      </c>
      <c r="AE67" s="13" t="n">
        <f aca="false">IF($AD67=1,Q_zero-Cost_round*C67+P67-W67,"")</f>
        <v>85</v>
      </c>
      <c r="AF67" s="13" t="n">
        <f aca="false">IF($AD67=1,W67-Cost_round*D67+Q67-X67,"")</f>
        <v>0</v>
      </c>
      <c r="AG67" s="13" t="n">
        <f aca="false">IF($AD67=1,X67-Cost_round*E67+R67-Y67,"")</f>
        <v>122.5</v>
      </c>
      <c r="AH67" s="13" t="n">
        <f aca="false">IF($AD67=1,Y67-Cost_round*F67+S67-Z67,"")</f>
        <v>2.5</v>
      </c>
      <c r="AI67" s="13" t="n">
        <f aca="false">IF($AD67=1,Z67-Cost_round*G67+T67-AA67,"")</f>
        <v>11.25</v>
      </c>
      <c r="AJ67" s="13" t="n">
        <f aca="false">IF($AD67=1,AA67-Cost_round*H67+U67-AB67,"")</f>
        <v>15.625</v>
      </c>
      <c r="AK67" s="17" t="n">
        <f aca="false">IF($AD67=1,SUMPRODUCT(AE67:AJ67,$AE$6:$AJ$6),"")</f>
        <v>186.821594063089</v>
      </c>
      <c r="AL67" s="13" t="n">
        <f aca="false">U67</f>
        <v>135.625</v>
      </c>
      <c r="AM67" s="15" t="n">
        <f aca="false">IF(SUMPRODUCT(($AK$8:$AK$71&gt;=AK67-0.000000001)*($AL$8:$AL$71&gt;=AL67-0.000000001)*((($AK$8:$AK$71&gt;AK67+0.000000001)+($AL$8:$AL$71&gt;AL67+0.000000001))&gt;0))&gt;0,1,0)</f>
        <v>0</v>
      </c>
      <c r="AN67" s="15" t="n">
        <f aca="false">1-AM67</f>
        <v>1</v>
      </c>
      <c r="AO67" s="17" t="n">
        <f aca="false">AK67+W_board*AL67</f>
        <v>952.389361698525</v>
      </c>
      <c r="AP67" s="17" t="n">
        <f aca="false">AK67+W_try*AL67</f>
        <v>1543.07159406309</v>
      </c>
      <c r="AQ67" s="16" t="n">
        <f aca="false">MAX(AR67+Cost_round*C67-P67,IF(C67=1,Pre_q+Res_b,0))</f>
        <v>585</v>
      </c>
      <c r="AR67" s="16" t="n">
        <f aca="false">MAX(AS67+Cost_round*D67-Q67,IF(D67=1,Pre_q+Res_b,0),Floor_q+Res_b)</f>
        <v>535</v>
      </c>
      <c r="AS67" s="16" t="n">
        <f aca="false">MAX(AT67+Cost_round*E67-R67,IF(E67=1,Pre_q+Res_b,0),Floor_q+Res_b)</f>
        <v>520</v>
      </c>
      <c r="AT67" s="16" t="n">
        <f aca="false">MAX(AU67+Cost_round*F67-S67,IF(F67=1,Pre_q+Res_b,0),Floor_q+Res_b)</f>
        <v>400</v>
      </c>
      <c r="AU67" s="16" t="n">
        <f aca="false">MAX(AV67+Cost_round*G67-T67,IF(G67=1,Pre_q+Res_b,0),Floor_q+Res_b)</f>
        <v>520</v>
      </c>
      <c r="AV67" s="16" t="n">
        <f aca="false">MAX(AW67+Cost_round*H67-U67,IF(H67=1,Pre_q+Res_b,0),Floor_q+Res_b)</f>
        <v>520</v>
      </c>
      <c r="AW67" s="16" t="n">
        <f aca="false">End_q+Res_b</f>
        <v>520</v>
      </c>
      <c r="AX67" s="15" t="n">
        <f aca="false">IF(Q_zero&gt;=AQ67-0.000000001,1,0)</f>
        <v>1</v>
      </c>
      <c r="AY67" s="13" t="n">
        <f aca="false">IF($AX67=1,Q_zero-Cost_round*C67+P67-AR67,"")</f>
        <v>35</v>
      </c>
      <c r="AZ67" s="13" t="n">
        <f aca="false">IF($AX67=1,AR67-Cost_round*D67+Q67-AS67,"")</f>
        <v>0</v>
      </c>
      <c r="BA67" s="13" t="n">
        <f aca="false">IF($AX67=1,AS67-Cost_round*E67+R67-AT67,"")</f>
        <v>122.5</v>
      </c>
      <c r="BB67" s="13" t="n">
        <f aca="false">IF($AX67=1,AT67-Cost_round*F67+S67-AU67,"")</f>
        <v>2.5</v>
      </c>
      <c r="BC67" s="13" t="n">
        <f aca="false">IF($AX67=1,AU67-Cost_round*G67+T67-AV67,"")</f>
        <v>11.25</v>
      </c>
      <c r="BD67" s="13" t="n">
        <f aca="false">IF($AX67=1,AV67-Cost_round*H67+U67-AW67,"")</f>
        <v>15.625</v>
      </c>
      <c r="BE67" s="17" t="n">
        <f aca="false">IF($AX67=1,SUMPRODUCT(AY67:BD67,$AY$6:$BD$6),"")</f>
        <v>141.367048608544</v>
      </c>
      <c r="BF67" s="12" t="n">
        <f aca="false">IF(AND($AX67=1,Res_b&gt;0),(AK67-BE67)/Res_b,"")</f>
        <v>0.909090909090909</v>
      </c>
      <c r="BG67" s="17" t="n">
        <f aca="false">IF(AC67&gt;=Goal_b-0.000000001,AK67-Beta_y*Goal_b,"")</f>
        <v>164.094321335816</v>
      </c>
      <c r="BH67" s="15" t="n">
        <f aca="false">IF(AC67&gt;=Goal_b-0.000000001,IF(AND(AL67&gt;=Goal_S-0.000000001,BG67&gt;=Goal_P-0.000000001),1,0),0)</f>
        <v>0</v>
      </c>
    </row>
    <row r="68" customFormat="false" ht="15" hidden="false" customHeight="false" outlineLevel="0" collapsed="false">
      <c r="A68" s="2" t="n">
        <v>60</v>
      </c>
      <c r="B68" s="2" t="s">
        <v>178</v>
      </c>
      <c r="C68" s="15" t="n">
        <f aca="false">MOD(INT($A68/32),2)</f>
        <v>1</v>
      </c>
      <c r="D68" s="15" t="n">
        <f aca="false">MOD(INT($A68/16),2)</f>
        <v>1</v>
      </c>
      <c r="E68" s="15" t="n">
        <f aca="false">MOD(INT($A68/8),2)</f>
        <v>1</v>
      </c>
      <c r="F68" s="15" t="n">
        <f aca="false">MOD(INT($A68/4),2)</f>
        <v>1</v>
      </c>
      <c r="G68" s="15" t="n">
        <f aca="false">MOD(INT($A68/2),2)</f>
        <v>0</v>
      </c>
      <c r="H68" s="15" t="n">
        <f aca="false">MOD(INT($A68/1),2)</f>
        <v>0</v>
      </c>
      <c r="I68" s="15" t="n">
        <f aca="false">SUM(C68:H68)</f>
        <v>4</v>
      </c>
      <c r="J68" s="13" t="n">
        <f aca="false">E_zero+C68*Half_gap*(Ceiling_e-E_zero)</f>
        <v>78</v>
      </c>
      <c r="K68" s="13" t="n">
        <f aca="false">J68+D68*Half_gap*(Ceiling_e-J68)</f>
        <v>81.5</v>
      </c>
      <c r="L68" s="13" t="n">
        <f aca="false">K68+E68*Half_gap*(Ceiling_e-K68)</f>
        <v>83.25</v>
      </c>
      <c r="M68" s="13" t="n">
        <f aca="false">L68+F68*Half_gap*(Ceiling_e-L68)</f>
        <v>84.125</v>
      </c>
      <c r="N68" s="13" t="n">
        <f aca="false">M68+G68*Half_gap*(Ceiling_e-M68)</f>
        <v>84.125</v>
      </c>
      <c r="O68" s="13" t="n">
        <f aca="false">N68+H68*Half_gap*(Ceiling_e-N68)</f>
        <v>84.125</v>
      </c>
      <c r="P68" s="13" t="n">
        <f aca="false">Val_pt*(J68-E_zero)</f>
        <v>70</v>
      </c>
      <c r="Q68" s="13" t="n">
        <f aca="false">Val_pt*(K68-E_zero)</f>
        <v>105</v>
      </c>
      <c r="R68" s="13" t="n">
        <f aca="false">Val_pt*(L68-E_zero)</f>
        <v>122.5</v>
      </c>
      <c r="S68" s="13" t="n">
        <f aca="false">Val_pt*(M68-E_zero)</f>
        <v>131.25</v>
      </c>
      <c r="T68" s="13" t="n">
        <f aca="false">Val_pt*(N68-E_zero)</f>
        <v>131.25</v>
      </c>
      <c r="U68" s="13" t="n">
        <f aca="false">Val_pt*(O68-E_zero)</f>
        <v>131.25</v>
      </c>
      <c r="V68" s="16" t="n">
        <f aca="false">MAX(W68+Cost_round*C68-P68,IF(C68=1,Pre_q,0))</f>
        <v>535</v>
      </c>
      <c r="W68" s="16" t="n">
        <f aca="false">MAX(X68+Cost_round*D68-Q68,IF(D68=1,Pre_q,0),Floor_q)</f>
        <v>485</v>
      </c>
      <c r="X68" s="16" t="n">
        <f aca="false">MAX(Y68+Cost_round*E68-R68,IF(E68=1,Pre_q,0),Floor_q)</f>
        <v>470</v>
      </c>
      <c r="Y68" s="16" t="n">
        <f aca="false">MAX(Z68+Cost_round*F68-S68,IF(F68=1,Pre_q,0),Floor_q)</f>
        <v>470</v>
      </c>
      <c r="Z68" s="16" t="n">
        <f aca="false">MAX(AA68+Cost_round*G68-T68,IF(G68=1,Pre_q,0),Floor_q)</f>
        <v>350</v>
      </c>
      <c r="AA68" s="16" t="n">
        <f aca="false">MAX(AB68+Cost_round*H68-U68,IF(H68=1,Pre_q,0),Floor_q)</f>
        <v>350</v>
      </c>
      <c r="AB68" s="16" t="n">
        <f aca="false">End_q</f>
        <v>470</v>
      </c>
      <c r="AC68" s="16" t="n">
        <f aca="false">Q_zero-V68</f>
        <v>85</v>
      </c>
      <c r="AD68" s="15" t="n">
        <f aca="false">IF(AC68&gt;=-0.000000001,1,0)</f>
        <v>1</v>
      </c>
      <c r="AE68" s="13" t="n">
        <f aca="false">IF($AD68=1,Q_zero-Cost_round*C68+P68-W68,"")</f>
        <v>85</v>
      </c>
      <c r="AF68" s="13" t="n">
        <f aca="false">IF($AD68=1,W68-Cost_round*D68+Q68-X68,"")</f>
        <v>0</v>
      </c>
      <c r="AG68" s="13" t="n">
        <f aca="false">IF($AD68=1,X68-Cost_round*E68+R68-Y68,"")</f>
        <v>2.5</v>
      </c>
      <c r="AH68" s="13" t="n">
        <f aca="false">IF($AD68=1,Y68-Cost_round*F68+S68-Z68,"")</f>
        <v>131.25</v>
      </c>
      <c r="AI68" s="13" t="n">
        <f aca="false">IF($AD68=1,Z68-Cost_round*G68+T68-AA68,"")</f>
        <v>131.25</v>
      </c>
      <c r="AJ68" s="13" t="n">
        <f aca="false">IF($AD68=1,AA68-Cost_round*H68+U68-AB68,"")</f>
        <v>11.25</v>
      </c>
      <c r="AK68" s="17" t="n">
        <f aca="false">IF($AD68=1,SUMPRODUCT(AE68:AJ68,$AE$6:$AJ$6),"")</f>
        <v>256.642785656266</v>
      </c>
      <c r="AL68" s="13" t="n">
        <f aca="false">U68</f>
        <v>131.25</v>
      </c>
      <c r="AM68" s="15" t="n">
        <f aca="false">IF(SUMPRODUCT(($AK$8:$AK$71&gt;=AK68-0.000000001)*($AL$8:$AL$71&gt;=AL68-0.000000001)*((($AK$8:$AK$71&gt;AK68+0.000000001)+($AL$8:$AL$71&gt;AL68+0.000000001))&gt;0))&gt;0,1,0)</f>
        <v>1</v>
      </c>
      <c r="AN68" s="15" t="n">
        <f aca="false">1-AM68</f>
        <v>0</v>
      </c>
      <c r="AO68" s="17" t="n">
        <f aca="false">AK68+W_board*AL68</f>
        <v>997.514818851849</v>
      </c>
      <c r="AP68" s="17" t="n">
        <f aca="false">AK68+W_try*AL68</f>
        <v>1569.14278565627</v>
      </c>
      <c r="AQ68" s="16" t="n">
        <f aca="false">MAX(AR68+Cost_round*C68-P68,IF(C68=1,Pre_q+Res_b,0))</f>
        <v>585</v>
      </c>
      <c r="AR68" s="16" t="n">
        <f aca="false">MAX(AS68+Cost_round*D68-Q68,IF(D68=1,Pre_q+Res_b,0),Floor_q+Res_b)</f>
        <v>535</v>
      </c>
      <c r="AS68" s="16" t="n">
        <f aca="false">MAX(AT68+Cost_round*E68-R68,IF(E68=1,Pre_q+Res_b,0),Floor_q+Res_b)</f>
        <v>520</v>
      </c>
      <c r="AT68" s="16" t="n">
        <f aca="false">MAX(AU68+Cost_round*F68-S68,IF(F68=1,Pre_q+Res_b,0),Floor_q+Res_b)</f>
        <v>520</v>
      </c>
      <c r="AU68" s="16" t="n">
        <f aca="false">MAX(AV68+Cost_round*G68-T68,IF(G68=1,Pre_q+Res_b,0),Floor_q+Res_b)</f>
        <v>400</v>
      </c>
      <c r="AV68" s="16" t="n">
        <f aca="false">MAX(AW68+Cost_round*H68-U68,IF(H68=1,Pre_q+Res_b,0),Floor_q+Res_b)</f>
        <v>400</v>
      </c>
      <c r="AW68" s="16" t="n">
        <f aca="false">End_q+Res_b</f>
        <v>520</v>
      </c>
      <c r="AX68" s="15" t="n">
        <f aca="false">IF(Q_zero&gt;=AQ68-0.000000001,1,0)</f>
        <v>1</v>
      </c>
      <c r="AY68" s="13" t="n">
        <f aca="false">IF($AX68=1,Q_zero-Cost_round*C68+P68-AR68,"")</f>
        <v>35</v>
      </c>
      <c r="AZ68" s="13" t="n">
        <f aca="false">IF($AX68=1,AR68-Cost_round*D68+Q68-AS68,"")</f>
        <v>0</v>
      </c>
      <c r="BA68" s="13" t="n">
        <f aca="false">IF($AX68=1,AS68-Cost_round*E68+R68-AT68,"")</f>
        <v>2.5</v>
      </c>
      <c r="BB68" s="13" t="n">
        <f aca="false">IF($AX68=1,AT68-Cost_round*F68+S68-AU68,"")</f>
        <v>131.25</v>
      </c>
      <c r="BC68" s="13" t="n">
        <f aca="false">IF($AX68=1,AU68-Cost_round*G68+T68-AV68,"")</f>
        <v>131.25</v>
      </c>
      <c r="BD68" s="13" t="n">
        <f aca="false">IF($AX68=1,AV68-Cost_round*H68+U68-AW68,"")</f>
        <v>11.25</v>
      </c>
      <c r="BE68" s="17" t="n">
        <f aca="false">IF($AX68=1,SUMPRODUCT(AY68:BD68,$AY$6:$BD$6),"")</f>
        <v>211.18824020172</v>
      </c>
      <c r="BF68" s="12" t="n">
        <f aca="false">IF(AND($AX68=1,Res_b&gt;0),(AK68-BE68)/Res_b,"")</f>
        <v>0.909090909090909</v>
      </c>
      <c r="BG68" s="17" t="n">
        <f aca="false">IF(AC68&gt;=Goal_b-0.000000001,AK68-Beta_y*Goal_b,"")</f>
        <v>233.915512928993</v>
      </c>
      <c r="BH68" s="15" t="n">
        <f aca="false">IF(AC68&gt;=Goal_b-0.000000001,IF(AND(AL68&gt;=Goal_S-0.000000001,BG68&gt;=Goal_P-0.000000001),1,0),0)</f>
        <v>0</v>
      </c>
    </row>
    <row r="69" customFormat="false" ht="15" hidden="false" customHeight="false" outlineLevel="0" collapsed="false">
      <c r="A69" s="2" t="n">
        <v>61</v>
      </c>
      <c r="B69" s="2" t="s">
        <v>179</v>
      </c>
      <c r="C69" s="15" t="n">
        <f aca="false">MOD(INT($A69/32),2)</f>
        <v>1</v>
      </c>
      <c r="D69" s="15" t="n">
        <f aca="false">MOD(INT($A69/16),2)</f>
        <v>1</v>
      </c>
      <c r="E69" s="15" t="n">
        <f aca="false">MOD(INT($A69/8),2)</f>
        <v>1</v>
      </c>
      <c r="F69" s="15" t="n">
        <f aca="false">MOD(INT($A69/4),2)</f>
        <v>1</v>
      </c>
      <c r="G69" s="15" t="n">
        <f aca="false">MOD(INT($A69/2),2)</f>
        <v>0</v>
      </c>
      <c r="H69" s="15" t="n">
        <f aca="false">MOD(INT($A69/1),2)</f>
        <v>1</v>
      </c>
      <c r="I69" s="15" t="n">
        <f aca="false">SUM(C69:H69)</f>
        <v>5</v>
      </c>
      <c r="J69" s="13" t="n">
        <f aca="false">E_zero+C69*Half_gap*(Ceiling_e-E_zero)</f>
        <v>78</v>
      </c>
      <c r="K69" s="13" t="n">
        <f aca="false">J69+D69*Half_gap*(Ceiling_e-J69)</f>
        <v>81.5</v>
      </c>
      <c r="L69" s="13" t="n">
        <f aca="false">K69+E69*Half_gap*(Ceiling_e-K69)</f>
        <v>83.25</v>
      </c>
      <c r="M69" s="13" t="n">
        <f aca="false">L69+F69*Half_gap*(Ceiling_e-L69)</f>
        <v>84.125</v>
      </c>
      <c r="N69" s="13" t="n">
        <f aca="false">M69+G69*Half_gap*(Ceiling_e-M69)</f>
        <v>84.125</v>
      </c>
      <c r="O69" s="13" t="n">
        <f aca="false">N69+H69*Half_gap*(Ceiling_e-N69)</f>
        <v>84.5625</v>
      </c>
      <c r="P69" s="13" t="n">
        <f aca="false">Val_pt*(J69-E_zero)</f>
        <v>70</v>
      </c>
      <c r="Q69" s="13" t="n">
        <f aca="false">Val_pt*(K69-E_zero)</f>
        <v>105</v>
      </c>
      <c r="R69" s="13" t="n">
        <f aca="false">Val_pt*(L69-E_zero)</f>
        <v>122.5</v>
      </c>
      <c r="S69" s="13" t="n">
        <f aca="false">Val_pt*(M69-E_zero)</f>
        <v>131.25</v>
      </c>
      <c r="T69" s="13" t="n">
        <f aca="false">Val_pt*(N69-E_zero)</f>
        <v>131.25</v>
      </c>
      <c r="U69" s="13" t="n">
        <f aca="false">Val_pt*(O69-E_zero)</f>
        <v>135.625</v>
      </c>
      <c r="V69" s="16" t="n">
        <f aca="false">MAX(W69+Cost_round*C69-P69,IF(C69=1,Pre_q,0))</f>
        <v>535</v>
      </c>
      <c r="W69" s="16" t="n">
        <f aca="false">MAX(X69+Cost_round*D69-Q69,IF(D69=1,Pre_q,0),Floor_q)</f>
        <v>485</v>
      </c>
      <c r="X69" s="16" t="n">
        <f aca="false">MAX(Y69+Cost_round*E69-R69,IF(E69=1,Pre_q,0),Floor_q)</f>
        <v>470</v>
      </c>
      <c r="Y69" s="16" t="n">
        <f aca="false">MAX(Z69+Cost_round*F69-S69,IF(F69=1,Pre_q,0),Floor_q)</f>
        <v>470</v>
      </c>
      <c r="Z69" s="16" t="n">
        <f aca="false">MAX(AA69+Cost_round*G69-T69,IF(G69=1,Pre_q,0),Floor_q)</f>
        <v>350</v>
      </c>
      <c r="AA69" s="16" t="n">
        <f aca="false">MAX(AB69+Cost_round*H69-U69,IF(H69=1,Pre_q,0),Floor_q)</f>
        <v>470</v>
      </c>
      <c r="AB69" s="16" t="n">
        <f aca="false">End_q</f>
        <v>470</v>
      </c>
      <c r="AC69" s="16" t="n">
        <f aca="false">Q_zero-V69</f>
        <v>85</v>
      </c>
      <c r="AD69" s="15" t="n">
        <f aca="false">IF(AC69&gt;=-0.000000001,1,0)</f>
        <v>1</v>
      </c>
      <c r="AE69" s="13" t="n">
        <f aca="false">IF($AD69=1,Q_zero-Cost_round*C69+P69-W69,"")</f>
        <v>85</v>
      </c>
      <c r="AF69" s="13" t="n">
        <f aca="false">IF($AD69=1,W69-Cost_round*D69+Q69-X69,"")</f>
        <v>0</v>
      </c>
      <c r="AG69" s="13" t="n">
        <f aca="false">IF($AD69=1,X69-Cost_round*E69+R69-Y69,"")</f>
        <v>2.5</v>
      </c>
      <c r="AH69" s="13" t="n">
        <f aca="false">IF($AD69=1,Y69-Cost_round*F69+S69-Z69,"")</f>
        <v>131.25</v>
      </c>
      <c r="AI69" s="13" t="n">
        <f aca="false">IF($AD69=1,Z69-Cost_round*G69+T69-AA69,"")</f>
        <v>11.25</v>
      </c>
      <c r="AJ69" s="13" t="n">
        <f aca="false">IF($AD69=1,AA69-Cost_round*H69+U69-AB69,"")</f>
        <v>15.625</v>
      </c>
      <c r="AK69" s="17" t="n">
        <f aca="false">IF($AD69=1,SUMPRODUCT(AE69:AJ69,$AE$6:$AJ$6),"")</f>
        <v>184.601800333153</v>
      </c>
      <c r="AL69" s="13" t="n">
        <f aca="false">U69</f>
        <v>135.625</v>
      </c>
      <c r="AM69" s="15" t="n">
        <f aca="false">IF(SUMPRODUCT(($AK$8:$AK$71&gt;=AK69-0.000000001)*($AL$8:$AL$71&gt;=AL69-0.000000001)*((($AK$8:$AK$71&gt;AK69+0.000000001)+($AL$8:$AL$71&gt;AL69+0.000000001))&gt;0))&gt;0,1,0)</f>
        <v>1</v>
      </c>
      <c r="AN69" s="15" t="n">
        <f aca="false">1-AM69</f>
        <v>0</v>
      </c>
      <c r="AO69" s="17" t="n">
        <f aca="false">AK69+W_board*AL69</f>
        <v>950.169567968588</v>
      </c>
      <c r="AP69" s="17" t="n">
        <f aca="false">AK69+W_try*AL69</f>
        <v>1540.85180033315</v>
      </c>
      <c r="AQ69" s="16" t="n">
        <f aca="false">MAX(AR69+Cost_round*C69-P69,IF(C69=1,Pre_q+Res_b,0))</f>
        <v>585</v>
      </c>
      <c r="AR69" s="16" t="n">
        <f aca="false">MAX(AS69+Cost_round*D69-Q69,IF(D69=1,Pre_q+Res_b,0),Floor_q+Res_b)</f>
        <v>535</v>
      </c>
      <c r="AS69" s="16" t="n">
        <f aca="false">MAX(AT69+Cost_round*E69-R69,IF(E69=1,Pre_q+Res_b,0),Floor_q+Res_b)</f>
        <v>520</v>
      </c>
      <c r="AT69" s="16" t="n">
        <f aca="false">MAX(AU69+Cost_round*F69-S69,IF(F69=1,Pre_q+Res_b,0),Floor_q+Res_b)</f>
        <v>520</v>
      </c>
      <c r="AU69" s="16" t="n">
        <f aca="false">MAX(AV69+Cost_round*G69-T69,IF(G69=1,Pre_q+Res_b,0),Floor_q+Res_b)</f>
        <v>400</v>
      </c>
      <c r="AV69" s="16" t="n">
        <f aca="false">MAX(AW69+Cost_round*H69-U69,IF(H69=1,Pre_q+Res_b,0),Floor_q+Res_b)</f>
        <v>520</v>
      </c>
      <c r="AW69" s="16" t="n">
        <f aca="false">End_q+Res_b</f>
        <v>520</v>
      </c>
      <c r="AX69" s="15" t="n">
        <f aca="false">IF(Q_zero&gt;=AQ69-0.000000001,1,0)</f>
        <v>1</v>
      </c>
      <c r="AY69" s="13" t="n">
        <f aca="false">IF($AX69=1,Q_zero-Cost_round*C69+P69-AR69,"")</f>
        <v>35</v>
      </c>
      <c r="AZ69" s="13" t="n">
        <f aca="false">IF($AX69=1,AR69-Cost_round*D69+Q69-AS69,"")</f>
        <v>0</v>
      </c>
      <c r="BA69" s="13" t="n">
        <f aca="false">IF($AX69=1,AS69-Cost_round*E69+R69-AT69,"")</f>
        <v>2.5</v>
      </c>
      <c r="BB69" s="13" t="n">
        <f aca="false">IF($AX69=1,AT69-Cost_round*F69+S69-AU69,"")</f>
        <v>131.25</v>
      </c>
      <c r="BC69" s="13" t="n">
        <f aca="false">IF($AX69=1,AU69-Cost_round*G69+T69-AV69,"")</f>
        <v>11.25</v>
      </c>
      <c r="BD69" s="13" t="n">
        <f aca="false">IF($AX69=1,AV69-Cost_round*H69+U69-AW69,"")</f>
        <v>15.625</v>
      </c>
      <c r="BE69" s="17" t="n">
        <f aca="false">IF($AX69=1,SUMPRODUCT(AY69:BD69,$AY$6:$BD$6),"")</f>
        <v>139.147254878607</v>
      </c>
      <c r="BF69" s="12" t="n">
        <f aca="false">IF(AND($AX69=1,Res_b&gt;0),(AK69-BE69)/Res_b,"")</f>
        <v>0.909090909090909</v>
      </c>
      <c r="BG69" s="17" t="n">
        <f aca="false">IF(AC69&gt;=Goal_b-0.000000001,AK69-Beta_y*Goal_b,"")</f>
        <v>161.87452760588</v>
      </c>
      <c r="BH69" s="15" t="n">
        <f aca="false">IF(AC69&gt;=Goal_b-0.000000001,IF(AND(AL69&gt;=Goal_S-0.000000001,BG69&gt;=Goal_P-0.000000001),1,0),0)</f>
        <v>0</v>
      </c>
    </row>
    <row r="70" customFormat="false" ht="15" hidden="false" customHeight="false" outlineLevel="0" collapsed="false">
      <c r="A70" s="2" t="n">
        <v>62</v>
      </c>
      <c r="B70" s="2" t="s">
        <v>180</v>
      </c>
      <c r="C70" s="15" t="n">
        <f aca="false">MOD(INT($A70/32),2)</f>
        <v>1</v>
      </c>
      <c r="D70" s="15" t="n">
        <f aca="false">MOD(INT($A70/16),2)</f>
        <v>1</v>
      </c>
      <c r="E70" s="15" t="n">
        <f aca="false">MOD(INT($A70/8),2)</f>
        <v>1</v>
      </c>
      <c r="F70" s="15" t="n">
        <f aca="false">MOD(INT($A70/4),2)</f>
        <v>1</v>
      </c>
      <c r="G70" s="15" t="n">
        <f aca="false">MOD(INT($A70/2),2)</f>
        <v>1</v>
      </c>
      <c r="H70" s="15" t="n">
        <f aca="false">MOD(INT($A70/1),2)</f>
        <v>0</v>
      </c>
      <c r="I70" s="15" t="n">
        <f aca="false">SUM(C70:H70)</f>
        <v>5</v>
      </c>
      <c r="J70" s="13" t="n">
        <f aca="false">E_zero+C70*Half_gap*(Ceiling_e-E_zero)</f>
        <v>78</v>
      </c>
      <c r="K70" s="13" t="n">
        <f aca="false">J70+D70*Half_gap*(Ceiling_e-J70)</f>
        <v>81.5</v>
      </c>
      <c r="L70" s="13" t="n">
        <f aca="false">K70+E70*Half_gap*(Ceiling_e-K70)</f>
        <v>83.25</v>
      </c>
      <c r="M70" s="13" t="n">
        <f aca="false">L70+F70*Half_gap*(Ceiling_e-L70)</f>
        <v>84.125</v>
      </c>
      <c r="N70" s="13" t="n">
        <f aca="false">M70+G70*Half_gap*(Ceiling_e-M70)</f>
        <v>84.5625</v>
      </c>
      <c r="O70" s="13" t="n">
        <f aca="false">N70+H70*Half_gap*(Ceiling_e-N70)</f>
        <v>84.5625</v>
      </c>
      <c r="P70" s="13" t="n">
        <f aca="false">Val_pt*(J70-E_zero)</f>
        <v>70</v>
      </c>
      <c r="Q70" s="13" t="n">
        <f aca="false">Val_pt*(K70-E_zero)</f>
        <v>105</v>
      </c>
      <c r="R70" s="13" t="n">
        <f aca="false">Val_pt*(L70-E_zero)</f>
        <v>122.5</v>
      </c>
      <c r="S70" s="13" t="n">
        <f aca="false">Val_pt*(M70-E_zero)</f>
        <v>131.25</v>
      </c>
      <c r="T70" s="13" t="n">
        <f aca="false">Val_pt*(N70-E_zero)</f>
        <v>135.625</v>
      </c>
      <c r="U70" s="13" t="n">
        <f aca="false">Val_pt*(O70-E_zero)</f>
        <v>135.625</v>
      </c>
      <c r="V70" s="16" t="n">
        <f aca="false">MAX(W70+Cost_round*C70-P70,IF(C70=1,Pre_q,0))</f>
        <v>535</v>
      </c>
      <c r="W70" s="16" t="n">
        <f aca="false">MAX(X70+Cost_round*D70-Q70,IF(D70=1,Pre_q,0),Floor_q)</f>
        <v>485</v>
      </c>
      <c r="X70" s="16" t="n">
        <f aca="false">MAX(Y70+Cost_round*E70-R70,IF(E70=1,Pre_q,0),Floor_q)</f>
        <v>470</v>
      </c>
      <c r="Y70" s="16" t="n">
        <f aca="false">MAX(Z70+Cost_round*F70-S70,IF(F70=1,Pre_q,0),Floor_q)</f>
        <v>470</v>
      </c>
      <c r="Z70" s="16" t="n">
        <f aca="false">MAX(AA70+Cost_round*G70-T70,IF(G70=1,Pre_q,0),Floor_q)</f>
        <v>470</v>
      </c>
      <c r="AA70" s="16" t="n">
        <f aca="false">MAX(AB70+Cost_round*H70-U70,IF(H70=1,Pre_q,0),Floor_q)</f>
        <v>350</v>
      </c>
      <c r="AB70" s="16" t="n">
        <f aca="false">End_q</f>
        <v>470</v>
      </c>
      <c r="AC70" s="16" t="n">
        <f aca="false">Q_zero-V70</f>
        <v>85</v>
      </c>
      <c r="AD70" s="15" t="n">
        <f aca="false">IF(AC70&gt;=-0.000000001,1,0)</f>
        <v>1</v>
      </c>
      <c r="AE70" s="13" t="n">
        <f aca="false">IF($AD70=1,Q_zero-Cost_round*C70+P70-W70,"")</f>
        <v>85</v>
      </c>
      <c r="AF70" s="13" t="n">
        <f aca="false">IF($AD70=1,W70-Cost_round*D70+Q70-X70,"")</f>
        <v>0</v>
      </c>
      <c r="AG70" s="13" t="n">
        <f aca="false">IF($AD70=1,X70-Cost_round*E70+R70-Y70,"")</f>
        <v>2.5</v>
      </c>
      <c r="AH70" s="13" t="n">
        <f aca="false">IF($AD70=1,Y70-Cost_round*F70+S70-Z70,"")</f>
        <v>11.25</v>
      </c>
      <c r="AI70" s="13" t="n">
        <f aca="false">IF($AD70=1,Z70-Cost_round*G70+T70-AA70,"")</f>
        <v>135.625</v>
      </c>
      <c r="AJ70" s="13" t="n">
        <f aca="false">IF($AD70=1,AA70-Cost_round*H70+U70-AB70,"")</f>
        <v>15.625</v>
      </c>
      <c r="AK70" s="17" t="n">
        <f aca="false">IF($AD70=1,SUMPRODUCT(AE70:AJ70,$AE$6:$AJ$6),"")</f>
        <v>179.867275244826</v>
      </c>
      <c r="AL70" s="13" t="n">
        <f aca="false">U70</f>
        <v>135.625</v>
      </c>
      <c r="AM70" s="15" t="n">
        <f aca="false">IF(SUMPRODUCT(($AK$8:$AK$71&gt;=AK70-0.000000001)*($AL$8:$AL$71&gt;=AL70-0.000000001)*((($AK$8:$AK$71&gt;AK70+0.000000001)+($AL$8:$AL$71&gt;AL70+0.000000001))&gt;0))&gt;0,1,0)</f>
        <v>1</v>
      </c>
      <c r="AN70" s="15" t="n">
        <f aca="false">1-AM70</f>
        <v>0</v>
      </c>
      <c r="AO70" s="17" t="n">
        <f aca="false">AK70+W_board*AL70</f>
        <v>945.435042880262</v>
      </c>
      <c r="AP70" s="17" t="n">
        <f aca="false">AK70+W_try*AL70</f>
        <v>1536.11727524483</v>
      </c>
      <c r="AQ70" s="16" t="n">
        <f aca="false">MAX(AR70+Cost_round*C70-P70,IF(C70=1,Pre_q+Res_b,0))</f>
        <v>585</v>
      </c>
      <c r="AR70" s="16" t="n">
        <f aca="false">MAX(AS70+Cost_round*D70-Q70,IF(D70=1,Pre_q+Res_b,0),Floor_q+Res_b)</f>
        <v>535</v>
      </c>
      <c r="AS70" s="16" t="n">
        <f aca="false">MAX(AT70+Cost_round*E70-R70,IF(E70=1,Pre_q+Res_b,0),Floor_q+Res_b)</f>
        <v>520</v>
      </c>
      <c r="AT70" s="16" t="n">
        <f aca="false">MAX(AU70+Cost_round*F70-S70,IF(F70=1,Pre_q+Res_b,0),Floor_q+Res_b)</f>
        <v>520</v>
      </c>
      <c r="AU70" s="16" t="n">
        <f aca="false">MAX(AV70+Cost_round*G70-T70,IF(G70=1,Pre_q+Res_b,0),Floor_q+Res_b)</f>
        <v>520</v>
      </c>
      <c r="AV70" s="16" t="n">
        <f aca="false">MAX(AW70+Cost_round*H70-U70,IF(H70=1,Pre_q+Res_b,0),Floor_q+Res_b)</f>
        <v>400</v>
      </c>
      <c r="AW70" s="16" t="n">
        <f aca="false">End_q+Res_b</f>
        <v>520</v>
      </c>
      <c r="AX70" s="15" t="n">
        <f aca="false">IF(Q_zero&gt;=AQ70-0.000000001,1,0)</f>
        <v>1</v>
      </c>
      <c r="AY70" s="13" t="n">
        <f aca="false">IF($AX70=1,Q_zero-Cost_round*C70+P70-AR70,"")</f>
        <v>35</v>
      </c>
      <c r="AZ70" s="13" t="n">
        <f aca="false">IF($AX70=1,AR70-Cost_round*D70+Q70-AS70,"")</f>
        <v>0</v>
      </c>
      <c r="BA70" s="13" t="n">
        <f aca="false">IF($AX70=1,AS70-Cost_round*E70+R70-AT70,"")</f>
        <v>2.5</v>
      </c>
      <c r="BB70" s="13" t="n">
        <f aca="false">IF($AX70=1,AT70-Cost_round*F70+S70-AU70,"")</f>
        <v>11.25</v>
      </c>
      <c r="BC70" s="13" t="n">
        <f aca="false">IF($AX70=1,AU70-Cost_round*G70+T70-AV70,"")</f>
        <v>135.625</v>
      </c>
      <c r="BD70" s="13" t="n">
        <f aca="false">IF($AX70=1,AV70-Cost_round*H70+U70-AW70,"")</f>
        <v>15.625</v>
      </c>
      <c r="BE70" s="17" t="n">
        <f aca="false">IF($AX70=1,SUMPRODUCT(AY70:BD70,$AY$6:$BD$6),"")</f>
        <v>134.412729790281</v>
      </c>
      <c r="BF70" s="12" t="n">
        <f aca="false">IF(AND($AX70=1,Res_b&gt;0),(AK70-BE70)/Res_b,"")</f>
        <v>0.909090909090909</v>
      </c>
      <c r="BG70" s="17" t="n">
        <f aca="false">IF(AC70&gt;=Goal_b-0.000000001,AK70-Beta_y*Goal_b,"")</f>
        <v>157.140002517554</v>
      </c>
      <c r="BH70" s="15" t="n">
        <f aca="false">IF(AC70&gt;=Goal_b-0.000000001,IF(AND(AL70&gt;=Goal_S-0.000000001,BG70&gt;=Goal_P-0.000000001),1,0),0)</f>
        <v>0</v>
      </c>
    </row>
    <row r="71" customFormat="false" ht="15" hidden="false" customHeight="false" outlineLevel="0" collapsed="false">
      <c r="A71" s="2" t="n">
        <v>63</v>
      </c>
      <c r="B71" s="2" t="s">
        <v>181</v>
      </c>
      <c r="C71" s="15" t="n">
        <f aca="false">MOD(INT($A71/32),2)</f>
        <v>1</v>
      </c>
      <c r="D71" s="15" t="n">
        <f aca="false">MOD(INT($A71/16),2)</f>
        <v>1</v>
      </c>
      <c r="E71" s="15" t="n">
        <f aca="false">MOD(INT($A71/8),2)</f>
        <v>1</v>
      </c>
      <c r="F71" s="15" t="n">
        <f aca="false">MOD(INT($A71/4),2)</f>
        <v>1</v>
      </c>
      <c r="G71" s="15" t="n">
        <f aca="false">MOD(INT($A71/2),2)</f>
        <v>1</v>
      </c>
      <c r="H71" s="15" t="n">
        <f aca="false">MOD(INT($A71/1),2)</f>
        <v>1</v>
      </c>
      <c r="I71" s="15" t="n">
        <f aca="false">SUM(C71:H71)</f>
        <v>6</v>
      </c>
      <c r="J71" s="13" t="n">
        <f aca="false">E_zero+C71*Half_gap*(Ceiling_e-E_zero)</f>
        <v>78</v>
      </c>
      <c r="K71" s="13" t="n">
        <f aca="false">J71+D71*Half_gap*(Ceiling_e-J71)</f>
        <v>81.5</v>
      </c>
      <c r="L71" s="13" t="n">
        <f aca="false">K71+E71*Half_gap*(Ceiling_e-K71)</f>
        <v>83.25</v>
      </c>
      <c r="M71" s="13" t="n">
        <f aca="false">L71+F71*Half_gap*(Ceiling_e-L71)</f>
        <v>84.125</v>
      </c>
      <c r="N71" s="13" t="n">
        <f aca="false">M71+G71*Half_gap*(Ceiling_e-M71)</f>
        <v>84.5625</v>
      </c>
      <c r="O71" s="13" t="n">
        <f aca="false">N71+H71*Half_gap*(Ceiling_e-N71)</f>
        <v>84.78125</v>
      </c>
      <c r="P71" s="13" t="n">
        <f aca="false">Val_pt*(J71-E_zero)</f>
        <v>70</v>
      </c>
      <c r="Q71" s="13" t="n">
        <f aca="false">Val_pt*(K71-E_zero)</f>
        <v>105</v>
      </c>
      <c r="R71" s="13" t="n">
        <f aca="false">Val_pt*(L71-E_zero)</f>
        <v>122.5</v>
      </c>
      <c r="S71" s="13" t="n">
        <f aca="false">Val_pt*(M71-E_zero)</f>
        <v>131.25</v>
      </c>
      <c r="T71" s="13" t="n">
        <f aca="false">Val_pt*(N71-E_zero)</f>
        <v>135.625</v>
      </c>
      <c r="U71" s="13" t="n">
        <f aca="false">Val_pt*(O71-E_zero)</f>
        <v>137.8125</v>
      </c>
      <c r="V71" s="16" t="n">
        <f aca="false">MAX(W71+Cost_round*C71-P71,IF(C71=1,Pre_q,0))</f>
        <v>535</v>
      </c>
      <c r="W71" s="16" t="n">
        <f aca="false">MAX(X71+Cost_round*D71-Q71,IF(D71=1,Pre_q,0),Floor_q)</f>
        <v>485</v>
      </c>
      <c r="X71" s="16" t="n">
        <f aca="false">MAX(Y71+Cost_round*E71-R71,IF(E71=1,Pre_q,0),Floor_q)</f>
        <v>470</v>
      </c>
      <c r="Y71" s="16" t="n">
        <f aca="false">MAX(Z71+Cost_round*F71-S71,IF(F71=1,Pre_q,0),Floor_q)</f>
        <v>470</v>
      </c>
      <c r="Z71" s="16" t="n">
        <f aca="false">MAX(AA71+Cost_round*G71-T71,IF(G71=1,Pre_q,0),Floor_q)</f>
        <v>470</v>
      </c>
      <c r="AA71" s="16" t="n">
        <f aca="false">MAX(AB71+Cost_round*H71-U71,IF(H71=1,Pre_q,0),Floor_q)</f>
        <v>470</v>
      </c>
      <c r="AB71" s="16" t="n">
        <f aca="false">End_q</f>
        <v>470</v>
      </c>
      <c r="AC71" s="16" t="n">
        <f aca="false">Q_zero-V71</f>
        <v>85</v>
      </c>
      <c r="AD71" s="15" t="n">
        <f aca="false">IF(AC71&gt;=-0.000000001,1,0)</f>
        <v>1</v>
      </c>
      <c r="AE71" s="13" t="n">
        <f aca="false">IF($AD71=1,Q_zero-Cost_round*C71+P71-W71,"")</f>
        <v>85</v>
      </c>
      <c r="AF71" s="13" t="n">
        <f aca="false">IF($AD71=1,W71-Cost_round*D71+Q71-X71,"")</f>
        <v>0</v>
      </c>
      <c r="AG71" s="13" t="n">
        <f aca="false">IF($AD71=1,X71-Cost_round*E71+R71-Y71,"")</f>
        <v>2.5</v>
      </c>
      <c r="AH71" s="13" t="n">
        <f aca="false">IF($AD71=1,Y71-Cost_round*F71+S71-Z71,"")</f>
        <v>11.25</v>
      </c>
      <c r="AI71" s="13" t="n">
        <f aca="false">IF($AD71=1,Z71-Cost_round*G71+T71-AA71,"")</f>
        <v>15.625</v>
      </c>
      <c r="AJ71" s="13" t="n">
        <f aca="false">IF($AD71=1,AA71-Cost_round*H71+U71-AB71,"")</f>
        <v>17.8125</v>
      </c>
      <c r="AK71" s="17" t="n">
        <f aca="false">IF($AD71=1,SUMPRODUCT(AE71:AJ71,$AE$6:$AJ$6),"")</f>
        <v>106.59150319972</v>
      </c>
      <c r="AL71" s="13" t="n">
        <f aca="false">U71</f>
        <v>137.8125</v>
      </c>
      <c r="AM71" s="15" t="n">
        <f aca="false">IF(SUMPRODUCT(($AK$8:$AK$71&gt;=AK71-0.000000001)*($AL$8:$AL$71&gt;=AL71-0.000000001)*((($AK$8:$AK$71&gt;AK71+0.000000001)+($AL$8:$AL$71&gt;AL71+0.000000001))&gt;0))&gt;0,1,0)</f>
        <v>0</v>
      </c>
      <c r="AN71" s="15" t="n">
        <f aca="false">1-AM71</f>
        <v>1</v>
      </c>
      <c r="AO71" s="17" t="n">
        <f aca="false">AK71+W_board*AL71</f>
        <v>884.507138055082</v>
      </c>
      <c r="AP71" s="17" t="n">
        <f aca="false">AK71+W_try*AL71</f>
        <v>1484.71650319972</v>
      </c>
      <c r="AQ71" s="16" t="n">
        <f aca="false">MAX(AR71+Cost_round*C71-P71,IF(C71=1,Pre_q+Res_b,0))</f>
        <v>585</v>
      </c>
      <c r="AR71" s="16" t="n">
        <f aca="false">MAX(AS71+Cost_round*D71-Q71,IF(D71=1,Pre_q+Res_b,0),Floor_q+Res_b)</f>
        <v>535</v>
      </c>
      <c r="AS71" s="16" t="n">
        <f aca="false">MAX(AT71+Cost_round*E71-R71,IF(E71=1,Pre_q+Res_b,0),Floor_q+Res_b)</f>
        <v>520</v>
      </c>
      <c r="AT71" s="16" t="n">
        <f aca="false">MAX(AU71+Cost_round*F71-S71,IF(F71=1,Pre_q+Res_b,0),Floor_q+Res_b)</f>
        <v>520</v>
      </c>
      <c r="AU71" s="16" t="n">
        <f aca="false">MAX(AV71+Cost_round*G71-T71,IF(G71=1,Pre_q+Res_b,0),Floor_q+Res_b)</f>
        <v>520</v>
      </c>
      <c r="AV71" s="16" t="n">
        <f aca="false">MAX(AW71+Cost_round*H71-U71,IF(H71=1,Pre_q+Res_b,0),Floor_q+Res_b)</f>
        <v>520</v>
      </c>
      <c r="AW71" s="16" t="n">
        <f aca="false">End_q+Res_b</f>
        <v>520</v>
      </c>
      <c r="AX71" s="15" t="n">
        <f aca="false">IF(Q_zero&gt;=AQ71-0.000000001,1,0)</f>
        <v>1</v>
      </c>
      <c r="AY71" s="13" t="n">
        <f aca="false">IF($AX71=1,Q_zero-Cost_round*C71+P71-AR71,"")</f>
        <v>35</v>
      </c>
      <c r="AZ71" s="13" t="n">
        <f aca="false">IF($AX71=1,AR71-Cost_round*D71+Q71-AS71,"")</f>
        <v>0</v>
      </c>
      <c r="BA71" s="13" t="n">
        <f aca="false">IF($AX71=1,AS71-Cost_round*E71+R71-AT71,"")</f>
        <v>2.5</v>
      </c>
      <c r="BB71" s="13" t="n">
        <f aca="false">IF($AX71=1,AT71-Cost_round*F71+S71-AU71,"")</f>
        <v>11.25</v>
      </c>
      <c r="BC71" s="13" t="n">
        <f aca="false">IF($AX71=1,AU71-Cost_round*G71+T71-AV71,"")</f>
        <v>15.625</v>
      </c>
      <c r="BD71" s="13" t="n">
        <f aca="false">IF($AX71=1,AV71-Cost_round*H71+U71-AW71,"")</f>
        <v>17.8125</v>
      </c>
      <c r="BE71" s="17" t="n">
        <f aca="false">IF($AX71=1,SUMPRODUCT(AY71:BD71,$AY$6:$BD$6),"")</f>
        <v>61.136957745175</v>
      </c>
      <c r="BF71" s="12" t="n">
        <f aca="false">IF(AND($AX71=1,Res_b&gt;0),(AK71-BE71)/Res_b,"")</f>
        <v>0.909090909090909</v>
      </c>
      <c r="BG71" s="17" t="n">
        <f aca="false">IF(AC71&gt;=Goal_b-0.000000001,AK71-Beta_y*Goal_b,"")</f>
        <v>83.8642304724477</v>
      </c>
      <c r="BH71" s="15" t="n">
        <f aca="false">IF(AC71&gt;=Goal_b-0.000000001,IF(AND(AL71&gt;=Goal_S-0.000000001,BG71&gt;=Goal_P-0.000000001),1,0),0)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6"/>
    <col collapsed="false" customWidth="true" hidden="false" outlineLevel="0" max="3" min="3" style="0" width="46"/>
    <col collapsed="false" customWidth="true" hidden="false" outlineLevel="0" max="5" min="4" style="0" width="14"/>
    <col collapsed="false" customWidth="true" hidden="false" outlineLevel="0" max="6" min="6" style="0" width="12"/>
    <col collapsed="false" customWidth="true" hidden="false" outlineLevel="0" max="7" min="7" style="0" width="13"/>
    <col collapsed="false" customWidth="true" hidden="false" outlineLevel="0" max="13" min="8" style="0" width="9"/>
  </cols>
  <sheetData>
    <row r="1" customFormat="false" ht="15" hidden="false" customHeight="false" outlineLevel="0" collapsed="false">
      <c r="A1" s="1" t="s">
        <v>182</v>
      </c>
    </row>
    <row r="2" customFormat="false" ht="15" hidden="false" customHeight="false" outlineLevel="0" collapsed="false">
      <c r="A2" s="10" t="s">
        <v>183</v>
      </c>
    </row>
    <row r="4" customFormat="false" ht="15" hidden="false" customHeight="false" outlineLevel="0" collapsed="false">
      <c r="A4" s="2" t="s">
        <v>184</v>
      </c>
      <c r="B4" s="15" t="n">
        <f aca="false">SUM(Sch_feas)</f>
        <v>64</v>
      </c>
      <c r="C4" s="10" t="s">
        <v>185</v>
      </c>
    </row>
    <row r="5" customFormat="false" ht="15" hidden="false" customHeight="false" outlineLevel="0" collapsed="false">
      <c r="A5" s="2" t="s">
        <v>186</v>
      </c>
      <c r="B5" s="15" t="n">
        <f aca="false">SUM(Sch_dom)</f>
        <v>59</v>
      </c>
      <c r="C5" s="10" t="s">
        <v>187</v>
      </c>
    </row>
    <row r="6" customFormat="false" ht="15" hidden="false" customHeight="false" outlineLevel="0" collapsed="false">
      <c r="A6" s="2" t="s">
        <v>97</v>
      </c>
      <c r="B6" s="15" t="n">
        <f aca="false">COUNTIFS(Sch_dom,0,Sch_feas,1)</f>
        <v>5</v>
      </c>
      <c r="C6" s="10" t="s">
        <v>188</v>
      </c>
    </row>
    <row r="8" customFormat="false" ht="15" hidden="false" customHeight="false" outlineLevel="0" collapsed="false">
      <c r="A8" s="8" t="s">
        <v>66</v>
      </c>
      <c r="B8" s="8" t="s">
        <v>189</v>
      </c>
      <c r="C8" s="8" t="s">
        <v>190</v>
      </c>
      <c r="D8" s="8" t="s">
        <v>59</v>
      </c>
      <c r="E8" s="8" t="s">
        <v>191</v>
      </c>
      <c r="F8" s="8" t="s">
        <v>192</v>
      </c>
      <c r="G8" s="8" t="s">
        <v>193</v>
      </c>
      <c r="H8" s="8" t="s">
        <v>88</v>
      </c>
      <c r="I8" s="8" t="s">
        <v>89</v>
      </c>
      <c r="J8" s="8" t="s">
        <v>90</v>
      </c>
      <c r="K8" s="8" t="s">
        <v>91</v>
      </c>
      <c r="L8" s="8" t="s">
        <v>92</v>
      </c>
      <c r="M8" s="8" t="s">
        <v>93</v>
      </c>
    </row>
    <row r="9" customFormat="false" ht="15" hidden="false" customHeight="false" outlineLevel="0" collapsed="false">
      <c r="A9" s="15" t="n">
        <v>0</v>
      </c>
      <c r="B9" s="17" t="n">
        <f aca="false">_xlfn.MAXIFS(Sch_P0,Sch_n,A9)</f>
        <v>136.363636363636</v>
      </c>
      <c r="C9" s="15" t="n">
        <f aca="false">_xlfn.MINIFS(Sch_idx,Sch_n,A9,Sch_P0,"&gt;="&amp;(B9-0.000000001))</f>
        <v>0</v>
      </c>
      <c r="D9" s="2" t="str">
        <f aca="false">INDEX(Sch_label,C9+1)</f>
        <v>none</v>
      </c>
      <c r="E9" s="13" t="n">
        <f aca="false">INDEX(Sch_S6,C9+1)</f>
        <v>0</v>
      </c>
      <c r="F9" s="2" t="str">
        <f aca="false">IF(INDEX(Sch_dom,C9+1)=1,"dominated","efficient")</f>
        <v>dominated</v>
      </c>
      <c r="G9" s="17" t="n">
        <f aca="false">B9+W_board*E9</f>
        <v>136.363636363636</v>
      </c>
      <c r="H9" s="13" t="n">
        <f aca="false">INDEX(Sch_p1,$C9+1)</f>
        <v>150</v>
      </c>
      <c r="I9" s="13" t="n">
        <f aca="false">INDEX(Sch_p2,$C9+1)</f>
        <v>0</v>
      </c>
      <c r="J9" s="13" t="n">
        <f aca="false">INDEX(Sch_p3,$C9+1)</f>
        <v>0</v>
      </c>
      <c r="K9" s="13" t="n">
        <f aca="false">INDEX(Sch_p4,$C9+1)</f>
        <v>0</v>
      </c>
      <c r="L9" s="13" t="n">
        <f aca="false">INDEX(Sch_p5,$C9+1)</f>
        <v>0</v>
      </c>
      <c r="M9" s="13" t="n">
        <f aca="false">INDEX(Sch_p6,$C9+1)</f>
        <v>0</v>
      </c>
    </row>
    <row r="10" customFormat="false" ht="15" hidden="false" customHeight="false" outlineLevel="0" collapsed="false">
      <c r="A10" s="15" t="n">
        <v>1</v>
      </c>
      <c r="B10" s="17" t="n">
        <f aca="false">_xlfn.MAXIFS(Sch_P0,Sch_n,A10)</f>
        <v>370.67264406927</v>
      </c>
      <c r="C10" s="15" t="n">
        <f aca="false">_xlfn.MINIFS(Sch_idx,Sch_n,A10,Sch_P0,"&gt;="&amp;(B10-0.000000001))</f>
        <v>32</v>
      </c>
      <c r="D10" s="2" t="str">
        <f aca="false">INDEX(Sch_label,C10+1)</f>
        <v>1</v>
      </c>
      <c r="E10" s="13" t="n">
        <f aca="false">INDEX(Sch_S6,C10+1)</f>
        <v>70</v>
      </c>
      <c r="F10" s="2" t="str">
        <f aca="false">IF(INDEX(Sch_dom,C10+1)=1,"dominated","efficient")</f>
        <v>dominated</v>
      </c>
      <c r="G10" s="17" t="n">
        <f aca="false">B10+W_board*E10</f>
        <v>765.804395106914</v>
      </c>
      <c r="H10" s="13" t="n">
        <f aca="false">INDEX(Sch_p1,$C10+1)</f>
        <v>220</v>
      </c>
      <c r="I10" s="13" t="n">
        <f aca="false">INDEX(Sch_p2,$C10+1)</f>
        <v>70</v>
      </c>
      <c r="J10" s="13" t="n">
        <f aca="false">INDEX(Sch_p3,$C10+1)</f>
        <v>70</v>
      </c>
      <c r="K10" s="13" t="n">
        <f aca="false">INDEX(Sch_p4,$C10+1)</f>
        <v>70</v>
      </c>
      <c r="L10" s="13" t="n">
        <f aca="false">INDEX(Sch_p5,$C10+1)</f>
        <v>20</v>
      </c>
      <c r="M10" s="13" t="n">
        <f aca="false">INDEX(Sch_p6,$C10+1)</f>
        <v>0</v>
      </c>
    </row>
    <row r="11" customFormat="false" ht="15" hidden="false" customHeight="false" outlineLevel="0" collapsed="false">
      <c r="A11" s="15" t="n">
        <v>2</v>
      </c>
      <c r="B11" s="17" t="n">
        <f aca="false">_xlfn.MAXIFS(Sch_P0,Sch_n,A11)</f>
        <v>384.173336396545</v>
      </c>
      <c r="C11" s="15" t="n">
        <f aca="false">_xlfn.MINIFS(Sch_idx,Sch_n,A11,Sch_P0,"&gt;="&amp;(B11-0.000000001))</f>
        <v>48</v>
      </c>
      <c r="D11" s="2" t="str">
        <f aca="false">INDEX(Sch_label,C11+1)</f>
        <v>1, 2</v>
      </c>
      <c r="E11" s="13" t="n">
        <f aca="false">INDEX(Sch_S6,C11+1)</f>
        <v>105</v>
      </c>
      <c r="F11" s="2" t="str">
        <f aca="false">IF(INDEX(Sch_dom,C11+1)=1,"dominated","efficient")</f>
        <v>efficient</v>
      </c>
      <c r="G11" s="17" t="n">
        <f aca="false">B11+W_board*E11</f>
        <v>976.870962953011</v>
      </c>
      <c r="H11" s="13" t="n">
        <f aca="false">INDEX(Sch_p1,$C11+1)</f>
        <v>100</v>
      </c>
      <c r="I11" s="13" t="n">
        <f aca="false">INDEX(Sch_p2,$C11+1)</f>
        <v>105</v>
      </c>
      <c r="J11" s="13" t="n">
        <f aca="false">INDEX(Sch_p3,$C11+1)</f>
        <v>105</v>
      </c>
      <c r="K11" s="13" t="n">
        <f aca="false">INDEX(Sch_p4,$C11+1)</f>
        <v>105</v>
      </c>
      <c r="L11" s="13" t="n">
        <f aca="false">INDEX(Sch_p5,$C11+1)</f>
        <v>90</v>
      </c>
      <c r="M11" s="13" t="n">
        <f aca="false">INDEX(Sch_p6,$C11+1)</f>
        <v>0</v>
      </c>
    </row>
    <row r="12" customFormat="false" ht="15" hidden="false" customHeight="false" outlineLevel="0" collapsed="false">
      <c r="A12" s="15" t="n">
        <v>3</v>
      </c>
      <c r="B12" s="17" t="n">
        <f aca="false">_xlfn.MAXIFS(Sch_P0,Sch_n,A12)</f>
        <v>330.451985565273</v>
      </c>
      <c r="C12" s="15" t="n">
        <f aca="false">_xlfn.MINIFS(Sch_idx,Sch_n,A12,Sch_P0,"&gt;="&amp;(B12-0.000000001))</f>
        <v>56</v>
      </c>
      <c r="D12" s="2" t="str">
        <f aca="false">INDEX(Sch_label,C12+1)</f>
        <v>1–3</v>
      </c>
      <c r="E12" s="13" t="n">
        <f aca="false">INDEX(Sch_S6,C12+1)</f>
        <v>122.5</v>
      </c>
      <c r="F12" s="2" t="str">
        <f aca="false">IF(INDEX(Sch_dom,C12+1)=1,"dominated","efficient")</f>
        <v>efficient</v>
      </c>
      <c r="G12" s="17" t="n">
        <f aca="false">B12+W_board*E12</f>
        <v>1021.93254988115</v>
      </c>
      <c r="H12" s="13" t="n">
        <f aca="false">INDEX(Sch_p1,$C12+1)</f>
        <v>85</v>
      </c>
      <c r="I12" s="13" t="n">
        <f aca="false">INDEX(Sch_p2,$C12+1)</f>
        <v>0</v>
      </c>
      <c r="J12" s="13" t="n">
        <f aca="false">INDEX(Sch_p3,$C12+1)</f>
        <v>122.5</v>
      </c>
      <c r="K12" s="13" t="n">
        <f aca="false">INDEX(Sch_p4,$C12+1)</f>
        <v>122.5</v>
      </c>
      <c r="L12" s="13" t="n">
        <f aca="false">INDEX(Sch_p5,$C12+1)</f>
        <v>122.5</v>
      </c>
      <c r="M12" s="13" t="n">
        <f aca="false">INDEX(Sch_p6,$C12+1)</f>
        <v>2.5</v>
      </c>
    </row>
    <row r="13" customFormat="false" ht="15" hidden="false" customHeight="false" outlineLevel="0" collapsed="false">
      <c r="A13" s="15" t="n">
        <v>4</v>
      </c>
      <c r="B13" s="17" t="n">
        <f aca="false">_xlfn.MAXIFS(Sch_P0,Sch_n,A13)</f>
        <v>260.880573686145</v>
      </c>
      <c r="C13" s="15" t="n">
        <f aca="false">_xlfn.MINIFS(Sch_idx,Sch_n,A13,Sch_P0,"&gt;="&amp;(B13-0.000000001))</f>
        <v>57</v>
      </c>
      <c r="D13" s="2" t="str">
        <f aca="false">INDEX(Sch_label,C13+1)</f>
        <v>1–3, 6</v>
      </c>
      <c r="E13" s="13" t="n">
        <f aca="false">INDEX(Sch_S6,C13+1)</f>
        <v>131.25</v>
      </c>
      <c r="F13" s="2" t="str">
        <f aca="false">IF(INDEX(Sch_dom,C13+1)=1,"dominated","efficient")</f>
        <v>efficient</v>
      </c>
      <c r="G13" s="17" t="n">
        <f aca="false">B13+W_board*E13</f>
        <v>1001.75260688173</v>
      </c>
      <c r="H13" s="13" t="n">
        <f aca="false">INDEX(Sch_p1,$C13+1)</f>
        <v>85</v>
      </c>
      <c r="I13" s="13" t="n">
        <f aca="false">INDEX(Sch_p2,$C13+1)</f>
        <v>0</v>
      </c>
      <c r="J13" s="13" t="n">
        <f aca="false">INDEX(Sch_p3,$C13+1)</f>
        <v>122.5</v>
      </c>
      <c r="K13" s="13" t="n">
        <f aca="false">INDEX(Sch_p4,$C13+1)</f>
        <v>122.5</v>
      </c>
      <c r="L13" s="13" t="n">
        <f aca="false">INDEX(Sch_p5,$C13+1)</f>
        <v>2.5</v>
      </c>
      <c r="M13" s="13" t="n">
        <f aca="false">INDEX(Sch_p6,$C13+1)</f>
        <v>11.25</v>
      </c>
    </row>
    <row r="14" customFormat="false" ht="15" hidden="false" customHeight="false" outlineLevel="0" collapsed="false">
      <c r="A14" s="15" t="n">
        <v>5</v>
      </c>
      <c r="B14" s="17" t="n">
        <f aca="false">_xlfn.MAXIFS(Sch_P0,Sch_n,A14)</f>
        <v>186.821594063089</v>
      </c>
      <c r="C14" s="15" t="n">
        <f aca="false">_xlfn.MINIFS(Sch_idx,Sch_n,A14,Sch_P0,"&gt;="&amp;(B14-0.000000001))</f>
        <v>59</v>
      </c>
      <c r="D14" s="2" t="str">
        <f aca="false">INDEX(Sch_label,C14+1)</f>
        <v>1–3, 5, 6</v>
      </c>
      <c r="E14" s="13" t="n">
        <f aca="false">INDEX(Sch_S6,C14+1)</f>
        <v>135.625</v>
      </c>
      <c r="F14" s="2" t="str">
        <f aca="false">IF(INDEX(Sch_dom,C14+1)=1,"dominated","efficient")</f>
        <v>efficient</v>
      </c>
      <c r="G14" s="17" t="n">
        <f aca="false">B14+W_board*E14</f>
        <v>952.389361698525</v>
      </c>
      <c r="H14" s="13" t="n">
        <f aca="false">INDEX(Sch_p1,$C14+1)</f>
        <v>85</v>
      </c>
      <c r="I14" s="13" t="n">
        <f aca="false">INDEX(Sch_p2,$C14+1)</f>
        <v>0</v>
      </c>
      <c r="J14" s="13" t="n">
        <f aca="false">INDEX(Sch_p3,$C14+1)</f>
        <v>122.5</v>
      </c>
      <c r="K14" s="13" t="n">
        <f aca="false">INDEX(Sch_p4,$C14+1)</f>
        <v>2.5</v>
      </c>
      <c r="L14" s="13" t="n">
        <f aca="false">INDEX(Sch_p5,$C14+1)</f>
        <v>11.25</v>
      </c>
      <c r="M14" s="13" t="n">
        <f aca="false">INDEX(Sch_p6,$C14+1)</f>
        <v>15.625</v>
      </c>
    </row>
    <row r="15" customFormat="false" ht="15" hidden="false" customHeight="false" outlineLevel="0" collapsed="false">
      <c r="A15" s="15" t="n">
        <v>6</v>
      </c>
      <c r="B15" s="17" t="n">
        <f aca="false">_xlfn.MAXIFS(Sch_P0,Sch_n,A15)</f>
        <v>106.59150319972</v>
      </c>
      <c r="C15" s="15" t="n">
        <f aca="false">_xlfn.MINIFS(Sch_idx,Sch_n,A15,Sch_P0,"&gt;="&amp;(B15-0.000000001))</f>
        <v>63</v>
      </c>
      <c r="D15" s="2" t="str">
        <f aca="false">INDEX(Sch_label,C15+1)</f>
        <v>1–6</v>
      </c>
      <c r="E15" s="13" t="n">
        <f aca="false">INDEX(Sch_S6,C15+1)</f>
        <v>137.8125</v>
      </c>
      <c r="F15" s="2" t="str">
        <f aca="false">IF(INDEX(Sch_dom,C15+1)=1,"dominated","efficient")</f>
        <v>efficient</v>
      </c>
      <c r="G15" s="17" t="n">
        <f aca="false">B15+W_board*E15</f>
        <v>884.507138055082</v>
      </c>
      <c r="H15" s="13" t="n">
        <f aca="false">INDEX(Sch_p1,$C15+1)</f>
        <v>85</v>
      </c>
      <c r="I15" s="13" t="n">
        <f aca="false">INDEX(Sch_p2,$C15+1)</f>
        <v>0</v>
      </c>
      <c r="J15" s="13" t="n">
        <f aca="false">INDEX(Sch_p3,$C15+1)</f>
        <v>2.5</v>
      </c>
      <c r="K15" s="13" t="n">
        <f aca="false">INDEX(Sch_p4,$C15+1)</f>
        <v>11.25</v>
      </c>
      <c r="L15" s="13" t="n">
        <f aca="false">INDEX(Sch_p5,$C15+1)</f>
        <v>15.625</v>
      </c>
      <c r="M15" s="13" t="n">
        <f aca="false">INDEX(Sch_p6,$C15+1)</f>
        <v>17.8125</v>
      </c>
    </row>
    <row r="17" customFormat="false" ht="15" hidden="false" customHeight="false" outlineLevel="0" collapsed="false">
      <c r="A17" s="2" t="s">
        <v>194</v>
      </c>
      <c r="H17" s="16" t="n">
        <f aca="false">Q_zero-Cost_round*INDEX(Sch_z1,$C$12+1)+INDEX(Sch_s1,$C$12+1)-H12</f>
        <v>485</v>
      </c>
      <c r="I17" s="16" t="n">
        <f aca="false">H17-Cost_round*INDEX(Sch_z2,$C$12+1)+INDEX(Sch_s2,$C$12+1)-I12</f>
        <v>470</v>
      </c>
      <c r="J17" s="16" t="n">
        <f aca="false">I17-Cost_round*INDEX(Sch_z3,$C$12+1)+INDEX(Sch_s3,$C$12+1)-J12</f>
        <v>350</v>
      </c>
      <c r="K17" s="16" t="n">
        <f aca="false">J17-Cost_round*INDEX(Sch_z4,$C$12+1)+INDEX(Sch_s4,$C$12+1)-K12</f>
        <v>350</v>
      </c>
      <c r="L17" s="16" t="n">
        <f aca="false">K17-Cost_round*INDEX(Sch_z5,$C$12+1)+INDEX(Sch_s5,$C$12+1)-L12</f>
        <v>350</v>
      </c>
      <c r="M17" s="16" t="n">
        <f aca="false">L17-Cost_round*INDEX(Sch_z6,$C$12+1)+INDEX(Sch_S6,$C$12+1)-M12</f>
        <v>470</v>
      </c>
    </row>
    <row r="18" customFormat="false" ht="15" hidden="false" customHeight="false" outlineLevel="0" collapsed="false">
      <c r="A18" s="2" t="s">
        <v>195</v>
      </c>
      <c r="B18" s="16" t="n">
        <f aca="false">SUM(H12:M12)</f>
        <v>455</v>
      </c>
      <c r="C18" s="10" t="s">
        <v>196</v>
      </c>
    </row>
    <row r="19" customFormat="false" ht="15" hidden="false" customHeight="false" outlineLevel="0" collapsed="false">
      <c r="A19" s="2" t="s">
        <v>197</v>
      </c>
      <c r="B19" s="15" t="n">
        <f aca="false">IF(AND(B11&gt;=B10,E11&gt;=E10,OR(B11&gt;B10,E11&gt;E10)),1,0)</f>
        <v>1</v>
      </c>
      <c r="C19" s="10" t="s">
        <v>198</v>
      </c>
    </row>
    <row r="21" customFormat="false" ht="35.05" hidden="false" customHeight="false" outlineLevel="0" collapsed="false">
      <c r="A21" s="8" t="s">
        <v>199</v>
      </c>
      <c r="B21" s="8" t="s">
        <v>200</v>
      </c>
      <c r="C21" s="8" t="s">
        <v>201</v>
      </c>
      <c r="D21" s="8" t="s">
        <v>202</v>
      </c>
      <c r="E21" s="8" t="s">
        <v>203</v>
      </c>
    </row>
    <row r="22" customFormat="false" ht="15" hidden="false" customHeight="false" outlineLevel="0" collapsed="false">
      <c r="A22" s="15" t="n">
        <v>2</v>
      </c>
      <c r="B22" s="15" t="n">
        <v>3</v>
      </c>
      <c r="C22" s="16" t="n">
        <f aca="false">INDEX($B$9:$B$15,A22+1)-INDEX($B$9:$B$15,B22+1)</f>
        <v>53.7213508312725</v>
      </c>
      <c r="D22" s="13" t="n">
        <f aca="false">INDEX($E$9:$E$15,B22+1)-INDEX($E$9:$E$15,A22+1)</f>
        <v>17.5</v>
      </c>
      <c r="E22" s="16" t="n">
        <f aca="false">C22/D22</f>
        <v>3.06979147607271</v>
      </c>
    </row>
    <row r="23" customFormat="false" ht="15" hidden="false" customHeight="false" outlineLevel="0" collapsed="false">
      <c r="A23" s="15" t="n">
        <v>3</v>
      </c>
      <c r="B23" s="15" t="n">
        <v>4</v>
      </c>
      <c r="C23" s="16" t="n">
        <f aca="false">INDEX($B$9:$B$15,A23+1)-INDEX($B$9:$B$15,B23+1)</f>
        <v>69.5714118791281</v>
      </c>
      <c r="D23" s="13" t="n">
        <f aca="false">INDEX($E$9:$E$15,B23+1)-INDEX($E$9:$E$15,A23+1)</f>
        <v>8.75</v>
      </c>
      <c r="E23" s="16" t="n">
        <f aca="false">C23/D23</f>
        <v>7.95101850047178</v>
      </c>
    </row>
    <row r="24" customFormat="false" ht="15" hidden="false" customHeight="false" outlineLevel="0" collapsed="false">
      <c r="A24" s="15" t="n">
        <v>4</v>
      </c>
      <c r="B24" s="15" t="n">
        <v>5</v>
      </c>
      <c r="C24" s="16" t="n">
        <f aca="false">INDEX($B$9:$B$15,A24+1)-INDEX($B$9:$B$15,B24+1)</f>
        <v>74.0589796230556</v>
      </c>
      <c r="D24" s="13" t="n">
        <f aca="false">INDEX($E$9:$E$15,B24+1)-INDEX($E$9:$E$15,A24+1)</f>
        <v>4.375</v>
      </c>
      <c r="E24" s="16" t="n">
        <f aca="false">C24/D24</f>
        <v>16.9277667709841</v>
      </c>
    </row>
    <row r="25" customFormat="false" ht="15" hidden="false" customHeight="false" outlineLevel="0" collapsed="false">
      <c r="A25" s="15" t="n">
        <v>5</v>
      </c>
      <c r="B25" s="15" t="n">
        <v>6</v>
      </c>
      <c r="C25" s="16" t="n">
        <f aca="false">INDEX($B$9:$B$15,A25+1)-INDEX($B$9:$B$15,B25+1)</f>
        <v>80.2300908633685</v>
      </c>
      <c r="D25" s="13" t="n">
        <f aca="false">INDEX($E$9:$E$15,B25+1)-INDEX($E$9:$E$15,A25+1)</f>
        <v>2.1875</v>
      </c>
      <c r="E25" s="16" t="n">
        <f aca="false">C25/D25</f>
        <v>36.6766129661113</v>
      </c>
    </row>
    <row r="26" customFormat="false" ht="15" hidden="false" customHeight="false" outlineLevel="0" collapsed="false">
      <c r="A26" s="2" t="s">
        <v>204</v>
      </c>
      <c r="B26" s="15" t="n">
        <f aca="false">IF(AND(E22&lt;E23,E23&lt;E24,E24&lt;E25),1,0)</f>
        <v>1</v>
      </c>
      <c r="C26" s="10" t="s">
        <v>205</v>
      </c>
    </row>
    <row r="28" customFormat="false" ht="35.05" hidden="false" customHeight="false" outlineLevel="0" collapsed="false">
      <c r="A28" s="8" t="s">
        <v>206</v>
      </c>
      <c r="B28" s="8" t="s">
        <v>207</v>
      </c>
      <c r="C28" s="8" t="s">
        <v>208</v>
      </c>
    </row>
    <row r="29" customFormat="false" ht="15" hidden="false" customHeight="false" outlineLevel="0" collapsed="false">
      <c r="A29" s="15" t="n">
        <v>2</v>
      </c>
      <c r="B29" s="16" t="n">
        <v>0</v>
      </c>
      <c r="C29" s="16" t="n">
        <f aca="false">E22</f>
        <v>3.06979147607271</v>
      </c>
    </row>
    <row r="30" customFormat="false" ht="15" hidden="false" customHeight="false" outlineLevel="0" collapsed="false">
      <c r="A30" s="15" t="n">
        <v>3</v>
      </c>
      <c r="B30" s="16" t="n">
        <f aca="false">E22</f>
        <v>3.06979147607271</v>
      </c>
      <c r="C30" s="16" t="n">
        <f aca="false">E23</f>
        <v>7.95101850047178</v>
      </c>
    </row>
    <row r="31" customFormat="false" ht="15" hidden="false" customHeight="false" outlineLevel="0" collapsed="false">
      <c r="A31" s="15" t="n">
        <v>4</v>
      </c>
      <c r="B31" s="16" t="n">
        <f aca="false">E23</f>
        <v>7.95101850047178</v>
      </c>
      <c r="C31" s="16" t="n">
        <f aca="false">E24</f>
        <v>16.9277667709841</v>
      </c>
    </row>
    <row r="32" customFormat="false" ht="15" hidden="false" customHeight="false" outlineLevel="0" collapsed="false">
      <c r="A32" s="15" t="n">
        <v>5</v>
      </c>
      <c r="B32" s="16" t="n">
        <f aca="false">E24</f>
        <v>16.9277667709841</v>
      </c>
      <c r="C32" s="16" t="n">
        <f aca="false">E25</f>
        <v>36.6766129661113</v>
      </c>
    </row>
    <row r="33" customFormat="false" ht="15" hidden="false" customHeight="false" outlineLevel="0" collapsed="false">
      <c r="A33" s="15" t="n">
        <v>6</v>
      </c>
      <c r="B33" s="16" t="n">
        <f aca="false">E25</f>
        <v>36.6766129661113</v>
      </c>
      <c r="C33" s="16" t="s">
        <v>209</v>
      </c>
    </row>
    <row r="35" customFormat="false" ht="15" hidden="false" customHeight="false" outlineLevel="0" collapsed="false">
      <c r="A35" s="2" t="s">
        <v>210</v>
      </c>
      <c r="B35" s="18" t="n">
        <f aca="false">W_board</f>
        <v>5.64473930053777</v>
      </c>
      <c r="C35" s="10" t="s">
        <v>211</v>
      </c>
    </row>
    <row r="36" customFormat="false" ht="15" hidden="false" customHeight="false" outlineLevel="0" collapsed="false">
      <c r="A36" s="2" t="s">
        <v>212</v>
      </c>
      <c r="B36" s="17" t="n">
        <f aca="false">MAX(Sch_board)</f>
        <v>1021.93254988115</v>
      </c>
      <c r="C36" s="10" t="s">
        <v>213</v>
      </c>
    </row>
    <row r="37" customFormat="false" ht="15" hidden="false" customHeight="false" outlineLevel="0" collapsed="false">
      <c r="A37" s="2" t="s">
        <v>190</v>
      </c>
      <c r="B37" s="15" t="n">
        <f aca="false">MATCH(B36,Sch_board,0)-1</f>
        <v>56</v>
      </c>
    </row>
    <row r="38" customFormat="false" ht="15" hidden="false" customHeight="false" outlineLevel="0" collapsed="false">
      <c r="A38" s="2" t="s">
        <v>59</v>
      </c>
      <c r="B38" s="2" t="str">
        <f aca="false">INDEX(Sch_label,B37+1)</f>
        <v>1–3</v>
      </c>
      <c r="C38" s="10" t="s">
        <v>214</v>
      </c>
    </row>
    <row r="39" customFormat="false" ht="15" hidden="false" customHeight="false" outlineLevel="0" collapsed="false">
      <c r="A39" s="2" t="s">
        <v>206</v>
      </c>
      <c r="B39" s="15" t="n">
        <f aca="false">INDEX(Sch_n,B37+1)</f>
        <v>3</v>
      </c>
    </row>
    <row r="40" customFormat="false" ht="15" hidden="false" customHeight="false" outlineLevel="0" collapsed="false">
      <c r="A40" s="2" t="s">
        <v>215</v>
      </c>
      <c r="B40" s="17" t="n">
        <f aca="false">INDEX(Sch_P0,B37+1)</f>
        <v>330.451985565273</v>
      </c>
    </row>
    <row r="41" customFormat="false" ht="15" hidden="false" customHeight="false" outlineLevel="0" collapsed="false">
      <c r="A41" s="2" t="s">
        <v>191</v>
      </c>
      <c r="B41" s="16" t="n">
        <f aca="false">INDEX(Sch_S6,B37+1)</f>
        <v>122.5</v>
      </c>
    </row>
    <row r="43" customFormat="false" ht="15" hidden="false" customHeight="false" outlineLevel="0" collapsed="false">
      <c r="A43" s="2" t="s">
        <v>216</v>
      </c>
      <c r="B43" s="19" t="n">
        <f aca="false">W_try</f>
        <v>10</v>
      </c>
      <c r="C43" s="10" t="s">
        <v>217</v>
      </c>
    </row>
    <row r="44" customFormat="false" ht="15" hidden="false" customHeight="false" outlineLevel="0" collapsed="false">
      <c r="A44" s="2" t="s">
        <v>218</v>
      </c>
      <c r="B44" s="17" t="n">
        <f aca="false">MAX(Sch_try)</f>
        <v>1573.38057368614</v>
      </c>
    </row>
    <row r="45" customFormat="false" ht="15" hidden="false" customHeight="false" outlineLevel="0" collapsed="false">
      <c r="A45" s="2" t="s">
        <v>59</v>
      </c>
      <c r="B45" s="2" t="str">
        <f aca="false">INDEX(Sch_label,MATCH(B44,Sch_try,0))</f>
        <v>1–3, 6</v>
      </c>
      <c r="C45" s="10" t="s">
        <v>219</v>
      </c>
    </row>
    <row r="47" customFormat="false" ht="15" hidden="false" customHeight="false" outlineLevel="0" collapsed="false">
      <c r="A47" s="2" t="s">
        <v>220</v>
      </c>
      <c r="B47" s="17" t="n">
        <f aca="false">MAX(Sch_P0)</f>
        <v>384.173336396545</v>
      </c>
      <c r="C47" s="10" t="s">
        <v>221</v>
      </c>
    </row>
    <row r="48" customFormat="false" ht="15" hidden="false" customHeight="false" outlineLevel="0" collapsed="false">
      <c r="A48" s="2" t="s">
        <v>222</v>
      </c>
      <c r="B48" s="13" t="n">
        <f aca="false">MAX(Sch_S6)</f>
        <v>137.8125</v>
      </c>
      <c r="C48" s="10" t="s">
        <v>223</v>
      </c>
    </row>
    <row r="49" customFormat="false" ht="15" hidden="false" customHeight="false" outlineLevel="0" collapsed="false">
      <c r="A49" s="2" t="s">
        <v>224</v>
      </c>
      <c r="B49" s="15" t="n">
        <f aca="false">IF(COUNTIFS(Sch_P0,"&gt;="&amp;(B47-0.000000001),Sch_S6,"&gt;="&amp;(B48-0.000000001))&gt;0,1,0)</f>
        <v>0</v>
      </c>
      <c r="C49" s="10" t="s">
        <v>225</v>
      </c>
    </row>
    <row r="51" customFormat="false" ht="15" hidden="false" customHeight="false" outlineLevel="0" collapsed="false">
      <c r="A51" s="2" t="s">
        <v>226</v>
      </c>
      <c r="B51" s="9" t="n">
        <v>122.5</v>
      </c>
      <c r="C51" s="10" t="s">
        <v>227</v>
      </c>
    </row>
    <row r="52" customFormat="false" ht="15" hidden="false" customHeight="false" outlineLevel="0" collapsed="false">
      <c r="A52" s="2" t="s">
        <v>228</v>
      </c>
      <c r="B52" s="9" t="n">
        <v>50</v>
      </c>
      <c r="C52" s="10" t="s">
        <v>229</v>
      </c>
    </row>
    <row r="53" customFormat="false" ht="15" hidden="false" customHeight="false" outlineLevel="0" collapsed="false">
      <c r="A53" s="2" t="s">
        <v>230</v>
      </c>
      <c r="B53" s="17" t="n">
        <f aca="false">_xlfn.MAXIFS(Sch_P0,Sch_S6,"&gt;="&amp;(B51-0.000000001))</f>
        <v>330.451985565273</v>
      </c>
      <c r="C53" s="10" t="s">
        <v>231</v>
      </c>
    </row>
    <row r="54" customFormat="false" ht="15" hidden="false" customHeight="false" outlineLevel="0" collapsed="false">
      <c r="A54" s="2" t="s">
        <v>59</v>
      </c>
      <c r="B54" s="2" t="str">
        <f aca="false">INDEX(Sch_label,MATCH(B53,Sch_P0,0))</f>
        <v>1–3</v>
      </c>
    </row>
    <row r="55" customFormat="false" ht="15" hidden="false" customHeight="false" outlineLevel="0" collapsed="false">
      <c r="A55" s="2" t="s">
        <v>232</v>
      </c>
      <c r="B55" s="17" t="n">
        <f aca="false">_xlfn.MAXIFS(Sch_P0,Sch_S6,"&gt;="&amp;(B51-0.000000001),Sch_bmax,"&gt;="&amp;(B52-0.000000001))-Beta_y*B52</f>
        <v>284.997440110727</v>
      </c>
      <c r="C55" s="10" t="s">
        <v>233</v>
      </c>
    </row>
    <row r="56" customFormat="false" ht="15" hidden="false" customHeight="false" outlineLevel="0" collapsed="false">
      <c r="A56" s="2" t="s">
        <v>59</v>
      </c>
      <c r="B56" s="2" t="str">
        <f aca="false">INDEX(Sch_label,_xlfn.MINIFS(Sch_idx,Sch_S6,"&gt;="&amp;(B51-0.000000001),Sch_bmax,"&gt;="&amp;(B52-0.000000001),Sch_P0,"&gt;="&amp;(B55+Beta_y*B52-0.000000001))+1)</f>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6"/>
    <col collapsed="false" customWidth="true" hidden="false" outlineLevel="0" max="3" min="3" style="0" width="46"/>
    <col collapsed="false" customWidth="true" hidden="false" outlineLevel="0" max="4" min="4" style="0" width="14"/>
    <col collapsed="false" customWidth="true" hidden="false" outlineLevel="0" max="7" min="5" style="0" width="12"/>
    <col collapsed="false" customWidth="true" hidden="false" outlineLevel="0" max="8" min="8" style="0" width="3"/>
    <col collapsed="false" customWidth="true" hidden="false" outlineLevel="0" max="9" min="9" style="0" width="44"/>
    <col collapsed="false" customWidth="true" hidden="false" outlineLevel="0" max="10" min="10" style="0" width="13"/>
    <col collapsed="false" customWidth="true" hidden="false" outlineLevel="0" max="11" min="11" style="0" width="40"/>
  </cols>
  <sheetData>
    <row r="1" customFormat="false" ht="15" hidden="false" customHeight="false" outlineLevel="0" collapsed="false">
      <c r="A1" s="1" t="s">
        <v>234</v>
      </c>
    </row>
    <row r="2" customFormat="false" ht="15" hidden="false" customHeight="false" outlineLevel="0" collapsed="false">
      <c r="A2" s="10" t="s">
        <v>235</v>
      </c>
    </row>
    <row r="4" customFormat="false" ht="15" hidden="false" customHeight="false" outlineLevel="0" collapsed="false">
      <c r="A4" s="2" t="s">
        <v>236</v>
      </c>
      <c r="B4" s="20" t="n">
        <f aca="false">Beta_y</f>
        <v>0.909090909090909</v>
      </c>
      <c r="C4" s="10" t="s">
        <v>237</v>
      </c>
    </row>
    <row r="5" customFormat="false" ht="15" hidden="false" customHeight="false" outlineLevel="0" collapsed="false">
      <c r="A5" s="2" t="s">
        <v>238</v>
      </c>
      <c r="B5" s="19" t="n">
        <f aca="false">Res_b</f>
        <v>50</v>
      </c>
    </row>
    <row r="6" customFormat="false" ht="15" hidden="false" customHeight="false" outlineLevel="0" collapsed="false">
      <c r="A6" s="2" t="s">
        <v>239</v>
      </c>
      <c r="B6" s="15" t="n">
        <f aca="false">SUM(Sch_feasb)</f>
        <v>64</v>
      </c>
    </row>
    <row r="7" customFormat="false" ht="15" hidden="false" customHeight="false" outlineLevel="0" collapsed="false">
      <c r="A7" s="2" t="s">
        <v>240</v>
      </c>
      <c r="B7" s="12" t="n">
        <f aca="false">MIN(Sch_price)</f>
        <v>0.909090909090908</v>
      </c>
      <c r="C7" s="10" t="s">
        <v>241</v>
      </c>
    </row>
    <row r="8" customFormat="false" ht="15" hidden="false" customHeight="false" outlineLevel="0" collapsed="false">
      <c r="A8" s="2" t="s">
        <v>242</v>
      </c>
      <c r="B8" s="12" t="n">
        <f aca="false">MAX(Sch_price)</f>
        <v>0.90909090909091</v>
      </c>
      <c r="C8" s="10" t="s">
        <v>243</v>
      </c>
    </row>
    <row r="9" customFormat="false" ht="15" hidden="false" customHeight="false" outlineLevel="0" collapsed="false">
      <c r="A9" s="2" t="s">
        <v>244</v>
      </c>
      <c r="B9" s="21" t="n">
        <f aca="false">MAX(ABS(B7-B4),ABS(B8-B4))</f>
        <v>0</v>
      </c>
    </row>
    <row r="11" customFormat="false" ht="15" hidden="false" customHeight="false" outlineLevel="0" collapsed="false">
      <c r="A11" s="2" t="s">
        <v>245</v>
      </c>
      <c r="B11" s="15" t="n">
        <f aca="false">COUNTIFS(Sch_bmax,"&gt;=84.5",Sch_bmax,"&lt;=85.5")</f>
        <v>16</v>
      </c>
      <c r="C11" s="10" t="s">
        <v>246</v>
      </c>
    </row>
    <row r="12" customFormat="false" ht="15" hidden="false" customHeight="false" outlineLevel="0" collapsed="false">
      <c r="A12" s="2" t="s">
        <v>247</v>
      </c>
      <c r="B12" s="15" t="n">
        <f aca="false">COUNTIFS(Sch_bmax,"&gt;=99.5",Sch_bmax,"&lt;=100.5")</f>
        <v>16</v>
      </c>
      <c r="C12" s="10" t="s">
        <v>248</v>
      </c>
    </row>
    <row r="13" customFormat="false" ht="15" hidden="false" customHeight="false" outlineLevel="0" collapsed="false">
      <c r="A13" s="2" t="s">
        <v>249</v>
      </c>
      <c r="B13" s="15" t="n">
        <f aca="false">COUNTIFS(Sch_bmax,"&gt;=149.5",Sch_bmax,"&lt;=150.5")</f>
        <v>32</v>
      </c>
      <c r="C13" s="10" t="s">
        <v>250</v>
      </c>
    </row>
    <row r="14" customFormat="false" ht="15" hidden="false" customHeight="false" outlineLevel="0" collapsed="false">
      <c r="A14" s="2" t="s">
        <v>251</v>
      </c>
      <c r="B14" s="16" t="n">
        <f aca="false">Q_zero-Cost_round+Val_pt*Half_gap*(Ceiling_e-E_zero)</f>
        <v>570</v>
      </c>
      <c r="C14" s="10" t="s">
        <v>252</v>
      </c>
    </row>
    <row r="15" customFormat="false" ht="15" hidden="false" customHeight="false" outlineLevel="0" collapsed="false">
      <c r="A15" s="2" t="s">
        <v>253</v>
      </c>
      <c r="B15" s="16" t="n">
        <f aca="false">B14-Pre_q</f>
        <v>100</v>
      </c>
      <c r="C15" s="10" t="s">
        <v>254</v>
      </c>
    </row>
    <row r="16" customFormat="false" ht="15" hidden="false" customHeight="false" outlineLevel="0" collapsed="false">
      <c r="A16" s="2" t="s">
        <v>255</v>
      </c>
      <c r="B16" s="16" t="n">
        <f aca="false">B14-Cost_round+Val_pt*(Ceiling_e-E_zero)*(1-(1-Half_gap)^2)</f>
        <v>555</v>
      </c>
      <c r="C16" s="10" t="s">
        <v>256</v>
      </c>
    </row>
    <row r="17" customFormat="false" ht="15" hidden="false" customHeight="false" outlineLevel="0" collapsed="false">
      <c r="A17" s="2" t="s">
        <v>257</v>
      </c>
      <c r="B17" s="16" t="n">
        <f aca="false">B16-Pre_q</f>
        <v>85</v>
      </c>
      <c r="C17" s="10" t="s">
        <v>258</v>
      </c>
    </row>
    <row r="18" customFormat="false" ht="15" hidden="false" customHeight="false" outlineLevel="0" collapsed="false">
      <c r="A18" s="2" t="s">
        <v>259</v>
      </c>
      <c r="B18" s="16" t="n">
        <f aca="false">MAX(Sch_bmax)</f>
        <v>150</v>
      </c>
      <c r="C18" s="10" t="s">
        <v>260</v>
      </c>
    </row>
    <row r="19" customFormat="false" ht="15" hidden="false" customHeight="false" outlineLevel="0" collapsed="false">
      <c r="A19" s="2" t="s">
        <v>261</v>
      </c>
      <c r="B19" s="22" t="n">
        <f aca="false">COUNT(Sch_idx)*151</f>
        <v>9664</v>
      </c>
      <c r="C19" s="10" t="s">
        <v>262</v>
      </c>
    </row>
    <row r="20" customFormat="false" ht="15" hidden="false" customHeight="false" outlineLevel="0" collapsed="false">
      <c r="A20" s="2" t="s">
        <v>263</v>
      </c>
      <c r="B20" s="22" t="n">
        <f aca="false">SUMPRODUCT((Sch_bmax&gt;=-0.000000001)*(INT(Sch_bmax+0.000000001)+1))</f>
        <v>7824</v>
      </c>
      <c r="C20" s="10" t="s">
        <v>264</v>
      </c>
    </row>
    <row r="22" customFormat="false" ht="15" hidden="false" customHeight="false" outlineLevel="0" collapsed="false">
      <c r="A22" s="4" t="s">
        <v>265</v>
      </c>
    </row>
    <row r="23" customFormat="false" ht="35.05" hidden="false" customHeight="false" outlineLevel="0" collapsed="false">
      <c r="A23" s="8" t="s">
        <v>266</v>
      </c>
      <c r="B23" s="8" t="s">
        <v>267</v>
      </c>
      <c r="C23" s="8" t="s">
        <v>190</v>
      </c>
      <c r="D23" s="8" t="s">
        <v>59</v>
      </c>
      <c r="E23" s="8" t="s">
        <v>268</v>
      </c>
      <c r="F23" s="8" t="s">
        <v>269</v>
      </c>
      <c r="G23" s="8" t="s">
        <v>270</v>
      </c>
    </row>
    <row r="24" customFormat="false" ht="15" hidden="false" customHeight="false" outlineLevel="0" collapsed="false">
      <c r="A24" s="15" t="n">
        <v>0</v>
      </c>
      <c r="B24" s="17" t="n">
        <f aca="false">IF(COUNTIFS(Sch_S6,"&gt;="&amp;(Bound_S-0.000000001),Sch_bmax,"&gt;="&amp;(A24-0.000000001))=0,"",_xlfn.MAXIFS(Sch_P0,Sch_S6,"&gt;="&amp;(Bound_S-0.000000001),Sch_bmax,"&gt;="&amp;(A24-0.000000001))-Beta_y*A24)</f>
        <v>330.451985565273</v>
      </c>
      <c r="C24" s="15" t="n">
        <f aca="false">IF(B24="","",_xlfn.MINIFS(Sch_idx,Sch_S6,"&gt;="&amp;(Bound_S-0.000000001),Sch_bmax,"&gt;="&amp;(A24-0.000000001),Sch_P0,"&gt;="&amp;(B24+Beta_y*A24-0.000000001)))</f>
        <v>56</v>
      </c>
      <c r="D24" s="2" t="str">
        <f aca="false">IF(B24="","",INDEX(Sch_label,C24+1))</f>
        <v>1–3</v>
      </c>
      <c r="I24" s="2" t="s">
        <v>271</v>
      </c>
      <c r="J24" s="15" t="n">
        <f aca="false">_xlfn.MINIFS($A$25:$A$174,$E$25:$E$174,1)</f>
        <v>86</v>
      </c>
      <c r="K24" s="10" t="s">
        <v>272</v>
      </c>
    </row>
    <row r="25" customFormat="false" ht="15" hidden="false" customHeight="false" outlineLevel="0" collapsed="false">
      <c r="A25" s="15" t="n">
        <v>1</v>
      </c>
      <c r="B25" s="17" t="n">
        <f aca="false">IF(COUNTIFS(Sch_S6,"&gt;="&amp;(Bound_S-0.000000001),Sch_bmax,"&gt;="&amp;(A25-0.000000001))=0,"",_xlfn.MAXIFS(Sch_P0,Sch_S6,"&gt;="&amp;(Bound_S-0.000000001),Sch_bmax,"&gt;="&amp;(A25-0.000000001))-Beta_y*A25)</f>
        <v>329.542894656182</v>
      </c>
      <c r="C25" s="15" t="n">
        <f aca="false">IF(B25="","",_xlfn.MINIFS(Sch_idx,Sch_S6,"&gt;="&amp;(Bound_S-0.000000001),Sch_bmax,"&gt;="&amp;(A25-0.000000001),Sch_P0,"&gt;="&amp;(B25+Beta_y*A25-0.000000001)))</f>
        <v>56</v>
      </c>
      <c r="D25" s="2" t="str">
        <f aca="false">IF(B25="","",INDEX(Sch_label,C25+1))</f>
        <v>1–3</v>
      </c>
      <c r="E25" s="15" t="n">
        <f aca="false">IF(OR(B25="",B24=""),0,IF(C25&lt;&gt;C24,1,0))</f>
        <v>0</v>
      </c>
      <c r="F25" s="13" t="n">
        <f aca="false">IF(OR(B25="",B24=""),0,B24-B25)</f>
        <v>0.909090909090935</v>
      </c>
      <c r="G25" s="13" t="n">
        <f aca="false">F25-Beta_y</f>
        <v>2.58681964737661E-014</v>
      </c>
      <c r="I25" s="2" t="s">
        <v>273</v>
      </c>
      <c r="J25" s="15" t="n">
        <f aca="false">_xlfn.MINIFS($A$25:$A$174,$E$25:$E$174,1,$A$25:$A$174,"&gt;"&amp;J24)</f>
        <v>101</v>
      </c>
      <c r="K25" s="10" t="s">
        <v>274</v>
      </c>
    </row>
    <row r="26" customFormat="false" ht="15" hidden="false" customHeight="false" outlineLevel="0" collapsed="false">
      <c r="A26" s="15" t="n">
        <v>2</v>
      </c>
      <c r="B26" s="17" t="n">
        <f aca="false">IF(COUNTIFS(Sch_S6,"&gt;="&amp;(Bound_S-0.000000001),Sch_bmax,"&gt;="&amp;(A26-0.000000001))=0,"",_xlfn.MAXIFS(Sch_P0,Sch_S6,"&gt;="&amp;(Bound_S-0.000000001),Sch_bmax,"&gt;="&amp;(A26-0.000000001))-Beta_y*A26)</f>
        <v>328.633803747091</v>
      </c>
      <c r="C26" s="15" t="n">
        <f aca="false">IF(B26="","",_xlfn.MINIFS(Sch_idx,Sch_S6,"&gt;="&amp;(Bound_S-0.000000001),Sch_bmax,"&gt;="&amp;(A26-0.000000001),Sch_P0,"&gt;="&amp;(B26+Beta_y*A26-0.000000001)))</f>
        <v>56</v>
      </c>
      <c r="D26" s="2" t="str">
        <f aca="false">IF(B26="","",INDEX(Sch_label,C26+1))</f>
        <v>1–3</v>
      </c>
      <c r="E26" s="15" t="n">
        <f aca="false">IF(OR(B26="",B25=""),0,IF(C26&lt;&gt;C25,1,0))</f>
        <v>0</v>
      </c>
      <c r="F26" s="13" t="n">
        <f aca="false">IF(OR(B26="",B25=""),0,B25-B26)</f>
        <v>0.909090909090878</v>
      </c>
      <c r="G26" s="13" t="n">
        <f aca="false">F26-Beta_y</f>
        <v>-3.09752223870419E-014</v>
      </c>
      <c r="I26" s="2" t="s">
        <v>275</v>
      </c>
      <c r="J26" s="15" t="n">
        <f aca="false">SUM($E$25:$E$174)</f>
        <v>2</v>
      </c>
    </row>
    <row r="27" customFormat="false" ht="15" hidden="false" customHeight="false" outlineLevel="0" collapsed="false">
      <c r="A27" s="15" t="n">
        <v>3</v>
      </c>
      <c r="B27" s="17" t="n">
        <f aca="false">IF(COUNTIFS(Sch_S6,"&gt;="&amp;(Bound_S-0.000000001),Sch_bmax,"&gt;="&amp;(A27-0.000000001))=0,"",_xlfn.MAXIFS(Sch_P0,Sch_S6,"&gt;="&amp;(Bound_S-0.000000001),Sch_bmax,"&gt;="&amp;(A27-0.000000001))-Beta_y*A27)</f>
        <v>327.724712838</v>
      </c>
      <c r="C27" s="15" t="n">
        <f aca="false">IF(B27="","",_xlfn.MINIFS(Sch_idx,Sch_S6,"&gt;="&amp;(Bound_S-0.000000001),Sch_bmax,"&gt;="&amp;(A27-0.000000001),Sch_P0,"&gt;="&amp;(B27+Beta_y*A27-0.000000001)))</f>
        <v>56</v>
      </c>
      <c r="D27" s="2" t="str">
        <f aca="false">IF(B27="","",INDEX(Sch_label,C27+1))</f>
        <v>1–3</v>
      </c>
      <c r="E27" s="15" t="n">
        <f aca="false">IF(OR(B27="",B26=""),0,IF(C27&lt;&gt;C26,1,0))</f>
        <v>0</v>
      </c>
      <c r="F27" s="13" t="n">
        <f aca="false">IF(OR(B27="",B26=""),0,B26-B27)</f>
        <v>0.909090909090935</v>
      </c>
      <c r="G27" s="13" t="n">
        <f aca="false">F27-Beta_y</f>
        <v>2.58681964737661E-014</v>
      </c>
      <c r="I27" s="2" t="s">
        <v>276</v>
      </c>
      <c r="J27" s="16" t="n">
        <f aca="false">INDEX($G$24:$G$174,J24+1)</f>
        <v>4.01953418482347</v>
      </c>
      <c r="K27" s="10" t="s">
        <v>277</v>
      </c>
    </row>
    <row r="28" customFormat="false" ht="15" hidden="false" customHeight="false" outlineLevel="0" collapsed="false">
      <c r="A28" s="15" t="n">
        <v>4</v>
      </c>
      <c r="B28" s="17" t="n">
        <f aca="false">IF(COUNTIFS(Sch_S6,"&gt;="&amp;(Bound_S-0.000000001),Sch_bmax,"&gt;="&amp;(A28-0.000000001))=0,"",_xlfn.MAXIFS(Sch_P0,Sch_S6,"&gt;="&amp;(Bound_S-0.000000001),Sch_bmax,"&gt;="&amp;(A28-0.000000001))-Beta_y*A28)</f>
        <v>326.815621928909</v>
      </c>
      <c r="C28" s="15" t="n">
        <f aca="false">IF(B28="","",_xlfn.MINIFS(Sch_idx,Sch_S6,"&gt;="&amp;(Bound_S-0.000000001),Sch_bmax,"&gt;="&amp;(A28-0.000000001),Sch_P0,"&gt;="&amp;(B28+Beta_y*A28-0.000000001)))</f>
        <v>56</v>
      </c>
      <c r="D28" s="2" t="str">
        <f aca="false">IF(B28="","",INDEX(Sch_label,C28+1))</f>
        <v>1–3</v>
      </c>
      <c r="E28" s="15" t="n">
        <f aca="false">IF(OR(B28="",B27=""),0,IF(C28&lt;&gt;C27,1,0))</f>
        <v>0</v>
      </c>
      <c r="F28" s="13" t="n">
        <f aca="false">IF(OR(B28="",B27=""),0,B27-B28)</f>
        <v>0.909090909090878</v>
      </c>
      <c r="G28" s="13" t="n">
        <f aca="false">F28-Beta_y</f>
        <v>-3.09752223870419E-014</v>
      </c>
      <c r="I28" s="2" t="s">
        <v>278</v>
      </c>
      <c r="J28" s="16" t="n">
        <f aca="false">INDEX($G$24:$G$174,J25+1)</f>
        <v>24.3801652892562</v>
      </c>
      <c r="K28" s="10" t="s">
        <v>279</v>
      </c>
    </row>
    <row r="29" customFormat="false" ht="15" hidden="false" customHeight="false" outlineLevel="0" collapsed="false">
      <c r="A29" s="15" t="n">
        <v>5</v>
      </c>
      <c r="B29" s="17" t="n">
        <f aca="false">IF(COUNTIFS(Sch_S6,"&gt;="&amp;(Bound_S-0.000000001),Sch_bmax,"&gt;="&amp;(A29-0.000000001))=0,"",_xlfn.MAXIFS(Sch_P0,Sch_S6,"&gt;="&amp;(Bound_S-0.000000001),Sch_bmax,"&gt;="&amp;(A29-0.000000001))-Beta_y*A29)</f>
        <v>325.906531019818</v>
      </c>
      <c r="C29" s="15" t="n">
        <f aca="false">IF(B29="","",_xlfn.MINIFS(Sch_idx,Sch_S6,"&gt;="&amp;(Bound_S-0.000000001),Sch_bmax,"&gt;="&amp;(A29-0.000000001),Sch_P0,"&gt;="&amp;(B29+Beta_y*A29-0.000000001)))</f>
        <v>56</v>
      </c>
      <c r="D29" s="2" t="str">
        <f aca="false">IF(B29="","",INDEX(Sch_label,C29+1))</f>
        <v>1–3</v>
      </c>
      <c r="E29" s="15" t="n">
        <f aca="false">IF(OR(B29="",B28=""),0,IF(C29&lt;&gt;C28,1,0))</f>
        <v>0</v>
      </c>
      <c r="F29" s="13" t="n">
        <f aca="false">IF(OR(B29="",B28=""),0,B28-B29)</f>
        <v>0.909090909090935</v>
      </c>
      <c r="G29" s="13" t="n">
        <f aca="false">F29-Beta_y</f>
        <v>2.58681964737661E-014</v>
      </c>
      <c r="I29" s="2" t="s">
        <v>280</v>
      </c>
      <c r="J29" s="21" t="n">
        <f aca="false">SUMPRODUCT(MAX(ABS($G$25:$G$174)*($E$25:$E$174=0)))</f>
        <v>3.09752223870419E-014</v>
      </c>
      <c r="K29" s="10" t="s">
        <v>281</v>
      </c>
    </row>
    <row r="30" customFormat="false" ht="15" hidden="false" customHeight="false" outlineLevel="0" collapsed="false">
      <c r="A30" s="15" t="n">
        <v>6</v>
      </c>
      <c r="B30" s="17" t="n">
        <f aca="false">IF(COUNTIFS(Sch_S6,"&gt;="&amp;(Bound_S-0.000000001),Sch_bmax,"&gt;="&amp;(A30-0.000000001))=0,"",_xlfn.MAXIFS(Sch_P0,Sch_S6,"&gt;="&amp;(Bound_S-0.000000001),Sch_bmax,"&gt;="&amp;(A30-0.000000001))-Beta_y*A30)</f>
        <v>324.997440110727</v>
      </c>
      <c r="C30" s="15" t="n">
        <f aca="false">IF(B30="","",_xlfn.MINIFS(Sch_idx,Sch_S6,"&gt;="&amp;(Bound_S-0.000000001),Sch_bmax,"&gt;="&amp;(A30-0.000000001),Sch_P0,"&gt;="&amp;(B30+Beta_y*A30-0.000000001)))</f>
        <v>56</v>
      </c>
      <c r="D30" s="2" t="str">
        <f aca="false">IF(B30="","",INDEX(Sch_label,C30+1))</f>
        <v>1–3</v>
      </c>
      <c r="E30" s="15" t="n">
        <f aca="false">IF(OR(B30="",B29=""),0,IF(C30&lt;&gt;C29,1,0))</f>
        <v>0</v>
      </c>
      <c r="F30" s="13" t="n">
        <f aca="false">IF(OR(B30="",B29=""),0,B29-B30)</f>
        <v>0.909090909090878</v>
      </c>
      <c r="G30" s="13" t="n">
        <f aca="false">F30-Beta_y</f>
        <v>-3.09752223870419E-014</v>
      </c>
    </row>
    <row r="31" customFormat="false" ht="15" hidden="false" customHeight="false" outlineLevel="0" collapsed="false">
      <c r="A31" s="15" t="n">
        <v>7</v>
      </c>
      <c r="B31" s="17" t="n">
        <f aca="false">IF(COUNTIFS(Sch_S6,"&gt;="&amp;(Bound_S-0.000000001),Sch_bmax,"&gt;="&amp;(A31-0.000000001))=0,"",_xlfn.MAXIFS(Sch_P0,Sch_S6,"&gt;="&amp;(Bound_S-0.000000001),Sch_bmax,"&gt;="&amp;(A31-0.000000001))-Beta_y*A31)</f>
        <v>324.088349201636</v>
      </c>
      <c r="C31" s="15" t="n">
        <f aca="false">IF(B31="","",_xlfn.MINIFS(Sch_idx,Sch_S6,"&gt;="&amp;(Bound_S-0.000000001),Sch_bmax,"&gt;="&amp;(A31-0.000000001),Sch_P0,"&gt;="&amp;(B31+Beta_y*A31-0.000000001)))</f>
        <v>56</v>
      </c>
      <c r="D31" s="2" t="str">
        <f aca="false">IF(B31="","",INDEX(Sch_label,C31+1))</f>
        <v>1–3</v>
      </c>
      <c r="E31" s="15" t="n">
        <f aca="false">IF(OR(B31="",B30=""),0,IF(C31&lt;&gt;C30,1,0))</f>
        <v>0</v>
      </c>
      <c r="F31" s="13" t="n">
        <f aca="false">IF(OR(B31="",B30=""),0,B30-B31)</f>
        <v>0.909090909090935</v>
      </c>
      <c r="G31" s="13" t="n">
        <f aca="false">F31-Beta_y</f>
        <v>2.58681964737661E-014</v>
      </c>
      <c r="I31" s="8" t="s">
        <v>282</v>
      </c>
      <c r="J31" s="8" t="s">
        <v>267</v>
      </c>
      <c r="K31" s="8" t="s">
        <v>59</v>
      </c>
    </row>
    <row r="32" customFormat="false" ht="15" hidden="false" customHeight="false" outlineLevel="0" collapsed="false">
      <c r="A32" s="15" t="n">
        <v>8</v>
      </c>
      <c r="B32" s="17" t="n">
        <f aca="false">IF(COUNTIFS(Sch_S6,"&gt;="&amp;(Bound_S-0.000000001),Sch_bmax,"&gt;="&amp;(A32-0.000000001))=0,"",_xlfn.MAXIFS(Sch_P0,Sch_S6,"&gt;="&amp;(Bound_S-0.000000001),Sch_bmax,"&gt;="&amp;(A32-0.000000001))-Beta_y*A32)</f>
        <v>323.179258292545</v>
      </c>
      <c r="C32" s="15" t="n">
        <f aca="false">IF(B32="","",_xlfn.MINIFS(Sch_idx,Sch_S6,"&gt;="&amp;(Bound_S-0.000000001),Sch_bmax,"&gt;="&amp;(A32-0.000000001),Sch_P0,"&gt;="&amp;(B32+Beta_y*A32-0.000000001)))</f>
        <v>56</v>
      </c>
      <c r="D32" s="2" t="str">
        <f aca="false">IF(B32="","",INDEX(Sch_label,C32+1))</f>
        <v>1–3</v>
      </c>
      <c r="E32" s="15" t="n">
        <f aca="false">IF(OR(B32="",B31=""),0,IF(C32&lt;&gt;C31,1,0))</f>
        <v>0</v>
      </c>
      <c r="F32" s="13" t="n">
        <f aca="false">IF(OR(B32="",B31=""),0,B31-B32)</f>
        <v>0.909090909090878</v>
      </c>
      <c r="G32" s="13" t="n">
        <f aca="false">F32-Beta_y</f>
        <v>-3.09752223870419E-014</v>
      </c>
      <c r="I32" s="15" t="n">
        <v>0</v>
      </c>
      <c r="J32" s="17" t="n">
        <f aca="false">INDEX($B$24:$B$174,I32+1)</f>
        <v>330.451985565273</v>
      </c>
      <c r="K32" s="2" t="str">
        <f aca="false">INDEX($D$24:$D$174,I32+1)</f>
        <v>1–3</v>
      </c>
    </row>
    <row r="33" customFormat="false" ht="15" hidden="false" customHeight="false" outlineLevel="0" collapsed="false">
      <c r="A33" s="15" t="n">
        <v>9</v>
      </c>
      <c r="B33" s="17" t="n">
        <f aca="false">IF(COUNTIFS(Sch_S6,"&gt;="&amp;(Bound_S-0.000000001),Sch_bmax,"&gt;="&amp;(A33-0.000000001))=0,"",_xlfn.MAXIFS(Sch_P0,Sch_S6,"&gt;="&amp;(Bound_S-0.000000001),Sch_bmax,"&gt;="&amp;(A33-0.000000001))-Beta_y*A33)</f>
        <v>322.270167383454</v>
      </c>
      <c r="C33" s="15" t="n">
        <f aca="false">IF(B33="","",_xlfn.MINIFS(Sch_idx,Sch_S6,"&gt;="&amp;(Bound_S-0.000000001),Sch_bmax,"&gt;="&amp;(A33-0.000000001),Sch_P0,"&gt;="&amp;(B33+Beta_y*A33-0.000000001)))</f>
        <v>56</v>
      </c>
      <c r="D33" s="2" t="str">
        <f aca="false">IF(B33="","",INDEX(Sch_label,C33+1))</f>
        <v>1–3</v>
      </c>
      <c r="E33" s="15" t="n">
        <f aca="false">IF(OR(B33="",B32=""),0,IF(C33&lt;&gt;C32,1,0))</f>
        <v>0</v>
      </c>
      <c r="F33" s="13" t="n">
        <f aca="false">IF(OR(B33="",B32=""),0,B32-B33)</f>
        <v>0.909090909090935</v>
      </c>
      <c r="G33" s="13" t="n">
        <f aca="false">F33-Beta_y</f>
        <v>2.58681964737661E-014</v>
      </c>
      <c r="I33" s="15" t="n">
        <v>25</v>
      </c>
      <c r="J33" s="17" t="n">
        <f aca="false">INDEX($B$24:$B$174,I33+1)</f>
        <v>307.724712838</v>
      </c>
      <c r="K33" s="2" t="str">
        <f aca="false">INDEX($D$24:$D$174,I33+1)</f>
        <v>1–3</v>
      </c>
    </row>
    <row r="34" customFormat="false" ht="15" hidden="false" customHeight="false" outlineLevel="0" collapsed="false">
      <c r="A34" s="15" t="n">
        <v>10</v>
      </c>
      <c r="B34" s="17" t="n">
        <f aca="false">IF(COUNTIFS(Sch_S6,"&gt;="&amp;(Bound_S-0.000000001),Sch_bmax,"&gt;="&amp;(A34-0.000000001))=0,"",_xlfn.MAXIFS(Sch_P0,Sch_S6,"&gt;="&amp;(Bound_S-0.000000001),Sch_bmax,"&gt;="&amp;(A34-0.000000001))-Beta_y*A34)</f>
        <v>321.361076474364</v>
      </c>
      <c r="C34" s="15" t="n">
        <f aca="false">IF(B34="","",_xlfn.MINIFS(Sch_idx,Sch_S6,"&gt;="&amp;(Bound_S-0.000000001),Sch_bmax,"&gt;="&amp;(A34-0.000000001),Sch_P0,"&gt;="&amp;(B34+Beta_y*A34-0.000000001)))</f>
        <v>56</v>
      </c>
      <c r="D34" s="2" t="str">
        <f aca="false">IF(B34="","",INDEX(Sch_label,C34+1))</f>
        <v>1–3</v>
      </c>
      <c r="E34" s="15" t="n">
        <f aca="false">IF(OR(B34="",B33=""),0,IF(C34&lt;&gt;C33,1,0))</f>
        <v>0</v>
      </c>
      <c r="F34" s="13" t="n">
        <f aca="false">IF(OR(B34="",B33=""),0,B33-B34)</f>
        <v>0.909090909090878</v>
      </c>
      <c r="G34" s="13" t="n">
        <f aca="false">F34-Beta_y</f>
        <v>-3.09752223870419E-014</v>
      </c>
      <c r="I34" s="15" t="n">
        <v>50</v>
      </c>
      <c r="J34" s="17" t="n">
        <f aca="false">INDEX($B$24:$B$174,I34+1)</f>
        <v>284.997440110727</v>
      </c>
      <c r="K34" s="2" t="str">
        <f aca="false">INDEX($D$24:$D$174,I34+1)</f>
        <v>1–3</v>
      </c>
    </row>
    <row r="35" customFormat="false" ht="15" hidden="false" customHeight="false" outlineLevel="0" collapsed="false">
      <c r="A35" s="15" t="n">
        <v>11</v>
      </c>
      <c r="B35" s="17" t="n">
        <f aca="false">IF(COUNTIFS(Sch_S6,"&gt;="&amp;(Bound_S-0.000000001),Sch_bmax,"&gt;="&amp;(A35-0.000000001))=0,"",_xlfn.MAXIFS(Sch_P0,Sch_S6,"&gt;="&amp;(Bound_S-0.000000001),Sch_bmax,"&gt;="&amp;(A35-0.000000001))-Beta_y*A35)</f>
        <v>320.451985565273</v>
      </c>
      <c r="C35" s="15" t="n">
        <f aca="false">IF(B35="","",_xlfn.MINIFS(Sch_idx,Sch_S6,"&gt;="&amp;(Bound_S-0.000000001),Sch_bmax,"&gt;="&amp;(A35-0.000000001),Sch_P0,"&gt;="&amp;(B35+Beta_y*A35-0.000000001)))</f>
        <v>56</v>
      </c>
      <c r="D35" s="2" t="str">
        <f aca="false">IF(B35="","",INDEX(Sch_label,C35+1))</f>
        <v>1–3</v>
      </c>
      <c r="E35" s="15" t="n">
        <f aca="false">IF(OR(B35="",B34=""),0,IF(C35&lt;&gt;C34,1,0))</f>
        <v>0</v>
      </c>
      <c r="F35" s="13" t="n">
        <f aca="false">IF(OR(B35="",B34=""),0,B34-B35)</f>
        <v>0.909090909090935</v>
      </c>
      <c r="G35" s="13" t="n">
        <f aca="false">F35-Beta_y</f>
        <v>2.58681964737661E-014</v>
      </c>
      <c r="I35" s="15" t="n">
        <v>85</v>
      </c>
      <c r="J35" s="17" t="n">
        <f aca="false">INDEX($B$24:$B$174,I35+1)</f>
        <v>253.179258292545</v>
      </c>
      <c r="K35" s="2" t="str">
        <f aca="false">INDEX($D$24:$D$174,I35+1)</f>
        <v>1–3</v>
      </c>
    </row>
    <row r="36" customFormat="false" ht="15" hidden="false" customHeight="false" outlineLevel="0" collapsed="false">
      <c r="A36" s="15" t="n">
        <v>12</v>
      </c>
      <c r="B36" s="17" t="n">
        <f aca="false">IF(COUNTIFS(Sch_S6,"&gt;="&amp;(Bound_S-0.000000001),Sch_bmax,"&gt;="&amp;(A36-0.000000001))=0,"",_xlfn.MAXIFS(Sch_P0,Sch_S6,"&gt;="&amp;(Bound_S-0.000000001),Sch_bmax,"&gt;="&amp;(A36-0.000000001))-Beta_y*A36)</f>
        <v>319.542894656182</v>
      </c>
      <c r="C36" s="15" t="n">
        <f aca="false">IF(B36="","",_xlfn.MINIFS(Sch_idx,Sch_S6,"&gt;="&amp;(Bound_S-0.000000001),Sch_bmax,"&gt;="&amp;(A36-0.000000001),Sch_P0,"&gt;="&amp;(B36+Beta_y*A36-0.000000001)))</f>
        <v>56</v>
      </c>
      <c r="D36" s="2" t="str">
        <f aca="false">IF(B36="","",INDEX(Sch_label,C36+1))</f>
        <v>1–3</v>
      </c>
      <c r="E36" s="15" t="n">
        <f aca="false">IF(OR(B36="",B35=""),0,IF(C36&lt;&gt;C35,1,0))</f>
        <v>0</v>
      </c>
      <c r="F36" s="13" t="n">
        <f aca="false">IF(OR(B36="",B35=""),0,B35-B36)</f>
        <v>0.909090909090935</v>
      </c>
      <c r="G36" s="13" t="n">
        <f aca="false">F36-Beta_y</f>
        <v>2.58681964737661E-014</v>
      </c>
      <c r="I36" s="15" t="n">
        <v>86</v>
      </c>
      <c r="J36" s="17" t="n">
        <f aca="false">INDEX($B$24:$B$174,I36+1)</f>
        <v>248.250633198631</v>
      </c>
      <c r="K36" s="2" t="str">
        <f aca="false">INDEX($D$24:$D$174,I36+1)</f>
        <v>1, 2, 4</v>
      </c>
    </row>
    <row r="37" customFormat="false" ht="15" hidden="false" customHeight="false" outlineLevel="0" collapsed="false">
      <c r="A37" s="15" t="n">
        <v>13</v>
      </c>
      <c r="B37" s="17" t="n">
        <f aca="false">IF(COUNTIFS(Sch_S6,"&gt;="&amp;(Bound_S-0.000000001),Sch_bmax,"&gt;="&amp;(A37-0.000000001))=0,"",_xlfn.MAXIFS(Sch_P0,Sch_S6,"&gt;="&amp;(Bound_S-0.000000001),Sch_bmax,"&gt;="&amp;(A37-0.000000001))-Beta_y*A37)</f>
        <v>318.633803747091</v>
      </c>
      <c r="C37" s="15" t="n">
        <f aca="false">IF(B37="","",_xlfn.MINIFS(Sch_idx,Sch_S6,"&gt;="&amp;(Bound_S-0.000000001),Sch_bmax,"&gt;="&amp;(A37-0.000000001),Sch_P0,"&gt;="&amp;(B37+Beta_y*A37-0.000000001)))</f>
        <v>56</v>
      </c>
      <c r="D37" s="2" t="str">
        <f aca="false">IF(B37="","",INDEX(Sch_label,C37+1))</f>
        <v>1–3</v>
      </c>
      <c r="E37" s="15" t="n">
        <f aca="false">IF(OR(B37="",B36=""),0,IF(C37&lt;&gt;C36,1,0))</f>
        <v>0</v>
      </c>
      <c r="F37" s="13" t="n">
        <f aca="false">IF(OR(B37="",B36=""),0,B36-B37)</f>
        <v>0.909090909090878</v>
      </c>
      <c r="G37" s="13" t="n">
        <f aca="false">F37-Beta_y</f>
        <v>-3.09752223870419E-014</v>
      </c>
      <c r="I37" s="15" t="n">
        <v>90</v>
      </c>
      <c r="J37" s="17" t="n">
        <f aca="false">INDEX($B$24:$B$174,I37+1)</f>
        <v>244.614269562267</v>
      </c>
      <c r="K37" s="2" t="str">
        <f aca="false">INDEX($D$24:$D$174,I37+1)</f>
        <v>1, 2, 4</v>
      </c>
    </row>
    <row r="38" customFormat="false" ht="15" hidden="false" customHeight="false" outlineLevel="0" collapsed="false">
      <c r="A38" s="15" t="n">
        <v>14</v>
      </c>
      <c r="B38" s="17" t="n">
        <f aca="false">IF(COUNTIFS(Sch_S6,"&gt;="&amp;(Bound_S-0.000000001),Sch_bmax,"&gt;="&amp;(A38-0.000000001))=0,"",_xlfn.MAXIFS(Sch_P0,Sch_S6,"&gt;="&amp;(Bound_S-0.000000001),Sch_bmax,"&gt;="&amp;(A38-0.000000001))-Beta_y*A38)</f>
        <v>317.724712838</v>
      </c>
      <c r="C38" s="15" t="n">
        <f aca="false">IF(B38="","",_xlfn.MINIFS(Sch_idx,Sch_S6,"&gt;="&amp;(Bound_S-0.000000001),Sch_bmax,"&gt;="&amp;(A38-0.000000001),Sch_P0,"&gt;="&amp;(B38+Beta_y*A38-0.000000001)))</f>
        <v>56</v>
      </c>
      <c r="D38" s="2" t="str">
        <f aca="false">IF(B38="","",INDEX(Sch_label,C38+1))</f>
        <v>1–3</v>
      </c>
      <c r="E38" s="15" t="n">
        <f aca="false">IF(OR(B38="",B37=""),0,IF(C38&lt;&gt;C37,1,0))</f>
        <v>0</v>
      </c>
      <c r="F38" s="13" t="n">
        <f aca="false">IF(OR(B38="",B37=""),0,B37-B38)</f>
        <v>0.909090909090935</v>
      </c>
      <c r="G38" s="13" t="n">
        <f aca="false">F38-Beta_y</f>
        <v>2.58681964737661E-014</v>
      </c>
      <c r="I38" s="15" t="n">
        <v>100</v>
      </c>
      <c r="J38" s="17" t="n">
        <f aca="false">INDEX($B$24:$B$174,I38+1)</f>
        <v>235.523360471358</v>
      </c>
      <c r="K38" s="2" t="str">
        <f aca="false">INDEX($D$24:$D$174,I38+1)</f>
        <v>1, 2, 4</v>
      </c>
    </row>
    <row r="39" customFormat="false" ht="15" hidden="false" customHeight="false" outlineLevel="0" collapsed="false">
      <c r="A39" s="15" t="n">
        <v>15</v>
      </c>
      <c r="B39" s="17" t="n">
        <f aca="false">IF(COUNTIFS(Sch_S6,"&gt;="&amp;(Bound_S-0.000000001),Sch_bmax,"&gt;="&amp;(A39-0.000000001))=0,"",_xlfn.MAXIFS(Sch_P0,Sch_S6,"&gt;="&amp;(Bound_S-0.000000001),Sch_bmax,"&gt;="&amp;(A39-0.000000001))-Beta_y*A39)</f>
        <v>316.815621928909</v>
      </c>
      <c r="C39" s="15" t="n">
        <f aca="false">IF(B39="","",_xlfn.MINIFS(Sch_idx,Sch_S6,"&gt;="&amp;(Bound_S-0.000000001),Sch_bmax,"&gt;="&amp;(A39-0.000000001),Sch_P0,"&gt;="&amp;(B39+Beta_y*A39-0.000000001)))</f>
        <v>56</v>
      </c>
      <c r="D39" s="2" t="str">
        <f aca="false">IF(B39="","",INDEX(Sch_label,C39+1))</f>
        <v>1–3</v>
      </c>
      <c r="E39" s="15" t="n">
        <f aca="false">IF(OR(B39="",B38=""),0,IF(C39&lt;&gt;C38,1,0))</f>
        <v>0</v>
      </c>
      <c r="F39" s="13" t="n">
        <f aca="false">IF(OR(B39="",B38=""),0,B38-B39)</f>
        <v>0.909090909090878</v>
      </c>
      <c r="G39" s="13" t="n">
        <f aca="false">F39-Beta_y</f>
        <v>-3.09752223870419E-014</v>
      </c>
      <c r="I39" s="15" t="n">
        <v>101</v>
      </c>
      <c r="J39" s="17" t="n">
        <f aca="false">INDEX($B$24:$B$174,I39+1)</f>
        <v>210.234104273011</v>
      </c>
      <c r="K39" s="2" t="str">
        <f aca="false">INDEX($D$24:$D$174,I39+1)</f>
        <v>1, 3, 4</v>
      </c>
    </row>
    <row r="40" customFormat="false" ht="15" hidden="false" customHeight="false" outlineLevel="0" collapsed="false">
      <c r="A40" s="15" t="n">
        <v>16</v>
      </c>
      <c r="B40" s="17" t="n">
        <f aca="false">IF(COUNTIFS(Sch_S6,"&gt;="&amp;(Bound_S-0.000000001),Sch_bmax,"&gt;="&amp;(A40-0.000000001))=0,"",_xlfn.MAXIFS(Sch_P0,Sch_S6,"&gt;="&amp;(Bound_S-0.000000001),Sch_bmax,"&gt;="&amp;(A40-0.000000001))-Beta_y*A40)</f>
        <v>315.906531019818</v>
      </c>
      <c r="C40" s="15" t="n">
        <f aca="false">IF(B40="","",_xlfn.MINIFS(Sch_idx,Sch_S6,"&gt;="&amp;(Bound_S-0.000000001),Sch_bmax,"&gt;="&amp;(A40-0.000000001),Sch_P0,"&gt;="&amp;(B40+Beta_y*A40-0.000000001)))</f>
        <v>56</v>
      </c>
      <c r="D40" s="2" t="str">
        <f aca="false">IF(B40="","",INDEX(Sch_label,C40+1))</f>
        <v>1–3</v>
      </c>
      <c r="E40" s="15" t="n">
        <f aca="false">IF(OR(B40="",B39=""),0,IF(C40&lt;&gt;C39,1,0))</f>
        <v>0</v>
      </c>
      <c r="F40" s="13" t="n">
        <f aca="false">IF(OR(B40="",B39=""),0,B39-B40)</f>
        <v>0.909090909090935</v>
      </c>
      <c r="G40" s="13" t="n">
        <f aca="false">F40-Beta_y</f>
        <v>2.58681964737661E-014</v>
      </c>
      <c r="I40" s="15" t="n">
        <v>105</v>
      </c>
      <c r="J40" s="17" t="n">
        <f aca="false">INDEX($B$24:$B$174,I40+1)</f>
        <v>206.597740636648</v>
      </c>
      <c r="K40" s="2" t="str">
        <f aca="false">INDEX($D$24:$D$174,I40+1)</f>
        <v>1, 3, 4</v>
      </c>
    </row>
    <row r="41" customFormat="false" ht="15" hidden="false" customHeight="false" outlineLevel="0" collapsed="false">
      <c r="A41" s="15" t="n">
        <v>17</v>
      </c>
      <c r="B41" s="17" t="n">
        <f aca="false">IF(COUNTIFS(Sch_S6,"&gt;="&amp;(Bound_S-0.000000001),Sch_bmax,"&gt;="&amp;(A41-0.000000001))=0,"",_xlfn.MAXIFS(Sch_P0,Sch_S6,"&gt;="&amp;(Bound_S-0.000000001),Sch_bmax,"&gt;="&amp;(A41-0.000000001))-Beta_y*A41)</f>
        <v>314.997440110727</v>
      </c>
      <c r="C41" s="15" t="n">
        <f aca="false">IF(B41="","",_xlfn.MINIFS(Sch_idx,Sch_S6,"&gt;="&amp;(Bound_S-0.000000001),Sch_bmax,"&gt;="&amp;(A41-0.000000001),Sch_P0,"&gt;="&amp;(B41+Beta_y*A41-0.000000001)))</f>
        <v>56</v>
      </c>
      <c r="D41" s="2" t="str">
        <f aca="false">IF(B41="","",INDEX(Sch_label,C41+1))</f>
        <v>1–3</v>
      </c>
      <c r="E41" s="15" t="n">
        <f aca="false">IF(OR(B41="",B40=""),0,IF(C41&lt;&gt;C40,1,0))</f>
        <v>0</v>
      </c>
      <c r="F41" s="13" t="n">
        <f aca="false">IF(OR(B41="",B40=""),0,B40-B41)</f>
        <v>0.909090909090878</v>
      </c>
      <c r="G41" s="13" t="n">
        <f aca="false">F41-Beta_y</f>
        <v>-3.09752223870419E-014</v>
      </c>
      <c r="I41" s="15" t="n">
        <v>120</v>
      </c>
      <c r="J41" s="17" t="n">
        <f aca="false">INDEX($B$24:$B$174,I41+1)</f>
        <v>192.961377000284</v>
      </c>
      <c r="K41" s="2" t="str">
        <f aca="false">INDEX($D$24:$D$174,I41+1)</f>
        <v>1, 3, 4</v>
      </c>
    </row>
    <row r="42" customFormat="false" ht="15" hidden="false" customHeight="false" outlineLevel="0" collapsed="false">
      <c r="A42" s="15" t="n">
        <v>18</v>
      </c>
      <c r="B42" s="17" t="n">
        <f aca="false">IF(COUNTIFS(Sch_S6,"&gt;="&amp;(Bound_S-0.000000001),Sch_bmax,"&gt;="&amp;(A42-0.000000001))=0,"",_xlfn.MAXIFS(Sch_P0,Sch_S6,"&gt;="&amp;(Bound_S-0.000000001),Sch_bmax,"&gt;="&amp;(A42-0.000000001))-Beta_y*A42)</f>
        <v>314.088349201636</v>
      </c>
      <c r="C42" s="15" t="n">
        <f aca="false">IF(B42="","",_xlfn.MINIFS(Sch_idx,Sch_S6,"&gt;="&amp;(Bound_S-0.000000001),Sch_bmax,"&gt;="&amp;(A42-0.000000001),Sch_P0,"&gt;="&amp;(B42+Beta_y*A42-0.000000001)))</f>
        <v>56</v>
      </c>
      <c r="D42" s="2" t="str">
        <f aca="false">IF(B42="","",INDEX(Sch_label,C42+1))</f>
        <v>1–3</v>
      </c>
      <c r="E42" s="15" t="n">
        <f aca="false">IF(OR(B42="",B41=""),0,IF(C42&lt;&gt;C41,1,0))</f>
        <v>0</v>
      </c>
      <c r="F42" s="13" t="n">
        <f aca="false">IF(OR(B42="",B41=""),0,B41-B42)</f>
        <v>0.909090909090935</v>
      </c>
      <c r="G42" s="13" t="n">
        <f aca="false">F42-Beta_y</f>
        <v>2.58681964737661E-014</v>
      </c>
      <c r="I42" s="15" t="n">
        <v>150</v>
      </c>
      <c r="J42" s="17" t="n">
        <f aca="false">INDEX($B$24:$B$174,I42+1)</f>
        <v>165.688649727557</v>
      </c>
      <c r="K42" s="2" t="str">
        <f aca="false">INDEX($D$24:$D$174,I42+1)</f>
        <v>1, 3, 4</v>
      </c>
    </row>
    <row r="43" customFormat="false" ht="15" hidden="false" customHeight="false" outlineLevel="0" collapsed="false">
      <c r="A43" s="15" t="n">
        <v>19</v>
      </c>
      <c r="B43" s="17" t="n">
        <f aca="false">IF(COUNTIFS(Sch_S6,"&gt;="&amp;(Bound_S-0.000000001),Sch_bmax,"&gt;="&amp;(A43-0.000000001))=0,"",_xlfn.MAXIFS(Sch_P0,Sch_S6,"&gt;="&amp;(Bound_S-0.000000001),Sch_bmax,"&gt;="&amp;(A43-0.000000001))-Beta_y*A43)</f>
        <v>313.179258292545</v>
      </c>
      <c r="C43" s="15" t="n">
        <f aca="false">IF(B43="","",_xlfn.MINIFS(Sch_idx,Sch_S6,"&gt;="&amp;(Bound_S-0.000000001),Sch_bmax,"&gt;="&amp;(A43-0.000000001),Sch_P0,"&gt;="&amp;(B43+Beta_y*A43-0.000000001)))</f>
        <v>56</v>
      </c>
      <c r="D43" s="2" t="str">
        <f aca="false">IF(B43="","",INDEX(Sch_label,C43+1))</f>
        <v>1–3</v>
      </c>
      <c r="E43" s="15" t="n">
        <f aca="false">IF(OR(B43="",B42=""),0,IF(C43&lt;&gt;C42,1,0))</f>
        <v>0</v>
      </c>
      <c r="F43" s="13" t="n">
        <f aca="false">IF(OR(B43="",B42=""),0,B42-B43)</f>
        <v>0.909090909090878</v>
      </c>
      <c r="G43" s="13" t="n">
        <f aca="false">F43-Beta_y</f>
        <v>-3.09752223870419E-014</v>
      </c>
    </row>
    <row r="44" customFormat="false" ht="15" hidden="false" customHeight="false" outlineLevel="0" collapsed="false">
      <c r="A44" s="15" t="n">
        <v>20</v>
      </c>
      <c r="B44" s="17" t="n">
        <f aca="false">IF(COUNTIFS(Sch_S6,"&gt;="&amp;(Bound_S-0.000000001),Sch_bmax,"&gt;="&amp;(A44-0.000000001))=0,"",_xlfn.MAXIFS(Sch_P0,Sch_S6,"&gt;="&amp;(Bound_S-0.000000001),Sch_bmax,"&gt;="&amp;(A44-0.000000001))-Beta_y*A44)</f>
        <v>312.270167383454</v>
      </c>
      <c r="C44" s="15" t="n">
        <f aca="false">IF(B44="","",_xlfn.MINIFS(Sch_idx,Sch_S6,"&gt;="&amp;(Bound_S-0.000000001),Sch_bmax,"&gt;="&amp;(A44-0.000000001),Sch_P0,"&gt;="&amp;(B44+Beta_y*A44-0.000000001)))</f>
        <v>56</v>
      </c>
      <c r="D44" s="2" t="str">
        <f aca="false">IF(B44="","",INDEX(Sch_label,C44+1))</f>
        <v>1–3</v>
      </c>
      <c r="E44" s="15" t="n">
        <f aca="false">IF(OR(B44="",B43=""),0,IF(C44&lt;&gt;C43,1,0))</f>
        <v>0</v>
      </c>
      <c r="F44" s="13" t="n">
        <f aca="false">IF(OR(B44="",B43=""),0,B43-B44)</f>
        <v>0.909090909090935</v>
      </c>
      <c r="G44" s="13" t="n">
        <f aca="false">F44-Beta_y</f>
        <v>2.58681964737661E-014</v>
      </c>
    </row>
    <row r="45" customFormat="false" ht="15" hidden="false" customHeight="false" outlineLevel="0" collapsed="false">
      <c r="A45" s="15" t="n">
        <v>21</v>
      </c>
      <c r="B45" s="17" t="n">
        <f aca="false">IF(COUNTIFS(Sch_S6,"&gt;="&amp;(Bound_S-0.000000001),Sch_bmax,"&gt;="&amp;(A45-0.000000001))=0,"",_xlfn.MAXIFS(Sch_P0,Sch_S6,"&gt;="&amp;(Bound_S-0.000000001),Sch_bmax,"&gt;="&amp;(A45-0.000000001))-Beta_y*A45)</f>
        <v>311.361076474364</v>
      </c>
      <c r="C45" s="15" t="n">
        <f aca="false">IF(B45="","",_xlfn.MINIFS(Sch_idx,Sch_S6,"&gt;="&amp;(Bound_S-0.000000001),Sch_bmax,"&gt;="&amp;(A45-0.000000001),Sch_P0,"&gt;="&amp;(B45+Beta_y*A45-0.000000001)))</f>
        <v>56</v>
      </c>
      <c r="D45" s="2" t="str">
        <f aca="false">IF(B45="","",INDEX(Sch_label,C45+1))</f>
        <v>1–3</v>
      </c>
      <c r="E45" s="15" t="n">
        <f aca="false">IF(OR(B45="",B44=""),0,IF(C45&lt;&gt;C44,1,0))</f>
        <v>0</v>
      </c>
      <c r="F45" s="13" t="n">
        <f aca="false">IF(OR(B45="",B44=""),0,B44-B45)</f>
        <v>0.909090909090878</v>
      </c>
      <c r="G45" s="13" t="n">
        <f aca="false">F45-Beta_y</f>
        <v>-3.09752223870419E-014</v>
      </c>
    </row>
    <row r="46" customFormat="false" ht="15" hidden="false" customHeight="false" outlineLevel="0" collapsed="false">
      <c r="A46" s="15" t="n">
        <v>22</v>
      </c>
      <c r="B46" s="17" t="n">
        <f aca="false">IF(COUNTIFS(Sch_S6,"&gt;="&amp;(Bound_S-0.000000001),Sch_bmax,"&gt;="&amp;(A46-0.000000001))=0,"",_xlfn.MAXIFS(Sch_P0,Sch_S6,"&gt;="&amp;(Bound_S-0.000000001),Sch_bmax,"&gt;="&amp;(A46-0.000000001))-Beta_y*A46)</f>
        <v>310.451985565273</v>
      </c>
      <c r="C46" s="15" t="n">
        <f aca="false">IF(B46="","",_xlfn.MINIFS(Sch_idx,Sch_S6,"&gt;="&amp;(Bound_S-0.000000001),Sch_bmax,"&gt;="&amp;(A46-0.000000001),Sch_P0,"&gt;="&amp;(B46+Beta_y*A46-0.000000001)))</f>
        <v>56</v>
      </c>
      <c r="D46" s="2" t="str">
        <f aca="false">IF(B46="","",INDEX(Sch_label,C46+1))</f>
        <v>1–3</v>
      </c>
      <c r="E46" s="15" t="n">
        <f aca="false">IF(OR(B46="",B45=""),0,IF(C46&lt;&gt;C45,1,0))</f>
        <v>0</v>
      </c>
      <c r="F46" s="13" t="n">
        <f aca="false">IF(OR(B46="",B45=""),0,B45-B46)</f>
        <v>0.909090909090935</v>
      </c>
      <c r="G46" s="13" t="n">
        <f aca="false">F46-Beta_y</f>
        <v>2.58681964737661E-014</v>
      </c>
    </row>
    <row r="47" customFormat="false" ht="15" hidden="false" customHeight="false" outlineLevel="0" collapsed="false">
      <c r="A47" s="15" t="n">
        <v>23</v>
      </c>
      <c r="B47" s="17" t="n">
        <f aca="false">IF(COUNTIFS(Sch_S6,"&gt;="&amp;(Bound_S-0.000000001),Sch_bmax,"&gt;="&amp;(A47-0.000000001))=0,"",_xlfn.MAXIFS(Sch_P0,Sch_S6,"&gt;="&amp;(Bound_S-0.000000001),Sch_bmax,"&gt;="&amp;(A47-0.000000001))-Beta_y*A47)</f>
        <v>309.542894656182</v>
      </c>
      <c r="C47" s="15" t="n">
        <f aca="false">IF(B47="","",_xlfn.MINIFS(Sch_idx,Sch_S6,"&gt;="&amp;(Bound_S-0.000000001),Sch_bmax,"&gt;="&amp;(A47-0.000000001),Sch_P0,"&gt;="&amp;(B47+Beta_y*A47-0.000000001)))</f>
        <v>56</v>
      </c>
      <c r="D47" s="2" t="str">
        <f aca="false">IF(B47="","",INDEX(Sch_label,C47+1))</f>
        <v>1–3</v>
      </c>
      <c r="E47" s="15" t="n">
        <f aca="false">IF(OR(B47="",B46=""),0,IF(C47&lt;&gt;C46,1,0))</f>
        <v>0</v>
      </c>
      <c r="F47" s="13" t="n">
        <f aca="false">IF(OR(B47="",B46=""),0,B46-B47)</f>
        <v>0.909090909090935</v>
      </c>
      <c r="G47" s="13" t="n">
        <f aca="false">F47-Beta_y</f>
        <v>2.58681964737661E-014</v>
      </c>
    </row>
    <row r="48" customFormat="false" ht="15" hidden="false" customHeight="false" outlineLevel="0" collapsed="false">
      <c r="A48" s="15" t="n">
        <v>24</v>
      </c>
      <c r="B48" s="17" t="n">
        <f aca="false">IF(COUNTIFS(Sch_S6,"&gt;="&amp;(Bound_S-0.000000001),Sch_bmax,"&gt;="&amp;(A48-0.000000001))=0,"",_xlfn.MAXIFS(Sch_P0,Sch_S6,"&gt;="&amp;(Bound_S-0.000000001),Sch_bmax,"&gt;="&amp;(A48-0.000000001))-Beta_y*A48)</f>
        <v>308.633803747091</v>
      </c>
      <c r="C48" s="15" t="n">
        <f aca="false">IF(B48="","",_xlfn.MINIFS(Sch_idx,Sch_S6,"&gt;="&amp;(Bound_S-0.000000001),Sch_bmax,"&gt;="&amp;(A48-0.000000001),Sch_P0,"&gt;="&amp;(B48+Beta_y*A48-0.000000001)))</f>
        <v>56</v>
      </c>
      <c r="D48" s="2" t="str">
        <f aca="false">IF(B48="","",INDEX(Sch_label,C48+1))</f>
        <v>1–3</v>
      </c>
      <c r="E48" s="15" t="n">
        <f aca="false">IF(OR(B48="",B47=""),0,IF(C48&lt;&gt;C47,1,0))</f>
        <v>0</v>
      </c>
      <c r="F48" s="13" t="n">
        <f aca="false">IF(OR(B48="",B47=""),0,B47-B48)</f>
        <v>0.909090909090878</v>
      </c>
      <c r="G48" s="13" t="n">
        <f aca="false">F48-Beta_y</f>
        <v>-3.09752223870419E-014</v>
      </c>
    </row>
    <row r="49" customFormat="false" ht="15" hidden="false" customHeight="false" outlineLevel="0" collapsed="false">
      <c r="A49" s="15" t="n">
        <v>25</v>
      </c>
      <c r="B49" s="17" t="n">
        <f aca="false">IF(COUNTIFS(Sch_S6,"&gt;="&amp;(Bound_S-0.000000001),Sch_bmax,"&gt;="&amp;(A49-0.000000001))=0,"",_xlfn.MAXIFS(Sch_P0,Sch_S6,"&gt;="&amp;(Bound_S-0.000000001),Sch_bmax,"&gt;="&amp;(A49-0.000000001))-Beta_y*A49)</f>
        <v>307.724712838</v>
      </c>
      <c r="C49" s="15" t="n">
        <f aca="false">IF(B49="","",_xlfn.MINIFS(Sch_idx,Sch_S6,"&gt;="&amp;(Bound_S-0.000000001),Sch_bmax,"&gt;="&amp;(A49-0.000000001),Sch_P0,"&gt;="&amp;(B49+Beta_y*A49-0.000000001)))</f>
        <v>56</v>
      </c>
      <c r="D49" s="2" t="str">
        <f aca="false">IF(B49="","",INDEX(Sch_label,C49+1))</f>
        <v>1–3</v>
      </c>
      <c r="E49" s="15" t="n">
        <f aca="false">IF(OR(B49="",B48=""),0,IF(C49&lt;&gt;C48,1,0))</f>
        <v>0</v>
      </c>
      <c r="F49" s="13" t="n">
        <f aca="false">IF(OR(B49="",B48=""),0,B48-B49)</f>
        <v>0.909090909090935</v>
      </c>
      <c r="G49" s="13" t="n">
        <f aca="false">F49-Beta_y</f>
        <v>2.58681964737661E-014</v>
      </c>
    </row>
    <row r="50" customFormat="false" ht="15" hidden="false" customHeight="false" outlineLevel="0" collapsed="false">
      <c r="A50" s="15" t="n">
        <v>26</v>
      </c>
      <c r="B50" s="17" t="n">
        <f aca="false">IF(COUNTIFS(Sch_S6,"&gt;="&amp;(Bound_S-0.000000001),Sch_bmax,"&gt;="&amp;(A50-0.000000001))=0,"",_xlfn.MAXIFS(Sch_P0,Sch_S6,"&gt;="&amp;(Bound_S-0.000000001),Sch_bmax,"&gt;="&amp;(A50-0.000000001))-Beta_y*A50)</f>
        <v>306.815621928909</v>
      </c>
      <c r="C50" s="15" t="n">
        <f aca="false">IF(B50="","",_xlfn.MINIFS(Sch_idx,Sch_S6,"&gt;="&amp;(Bound_S-0.000000001),Sch_bmax,"&gt;="&amp;(A50-0.000000001),Sch_P0,"&gt;="&amp;(B50+Beta_y*A50-0.000000001)))</f>
        <v>56</v>
      </c>
      <c r="D50" s="2" t="str">
        <f aca="false">IF(B50="","",INDEX(Sch_label,C50+1))</f>
        <v>1–3</v>
      </c>
      <c r="E50" s="15" t="n">
        <f aca="false">IF(OR(B50="",B49=""),0,IF(C50&lt;&gt;C49,1,0))</f>
        <v>0</v>
      </c>
      <c r="F50" s="13" t="n">
        <f aca="false">IF(OR(B50="",B49=""),0,B49-B50)</f>
        <v>0.909090909090878</v>
      </c>
      <c r="G50" s="13" t="n">
        <f aca="false">F50-Beta_y</f>
        <v>-3.09752223870419E-014</v>
      </c>
    </row>
    <row r="51" customFormat="false" ht="15" hidden="false" customHeight="false" outlineLevel="0" collapsed="false">
      <c r="A51" s="15" t="n">
        <v>27</v>
      </c>
      <c r="B51" s="17" t="n">
        <f aca="false">IF(COUNTIFS(Sch_S6,"&gt;="&amp;(Bound_S-0.000000001),Sch_bmax,"&gt;="&amp;(A51-0.000000001))=0,"",_xlfn.MAXIFS(Sch_P0,Sch_S6,"&gt;="&amp;(Bound_S-0.000000001),Sch_bmax,"&gt;="&amp;(A51-0.000000001))-Beta_y*A51)</f>
        <v>305.906531019818</v>
      </c>
      <c r="C51" s="15" t="n">
        <f aca="false">IF(B51="","",_xlfn.MINIFS(Sch_idx,Sch_S6,"&gt;="&amp;(Bound_S-0.000000001),Sch_bmax,"&gt;="&amp;(A51-0.000000001),Sch_P0,"&gt;="&amp;(B51+Beta_y*A51-0.000000001)))</f>
        <v>56</v>
      </c>
      <c r="D51" s="2" t="str">
        <f aca="false">IF(B51="","",INDEX(Sch_label,C51+1))</f>
        <v>1–3</v>
      </c>
      <c r="E51" s="15" t="n">
        <f aca="false">IF(OR(B51="",B50=""),0,IF(C51&lt;&gt;C50,1,0))</f>
        <v>0</v>
      </c>
      <c r="F51" s="13" t="n">
        <f aca="false">IF(OR(B51="",B50=""),0,B50-B51)</f>
        <v>0.909090909090935</v>
      </c>
      <c r="G51" s="13" t="n">
        <f aca="false">F51-Beta_y</f>
        <v>2.58681964737661E-014</v>
      </c>
    </row>
    <row r="52" customFormat="false" ht="15" hidden="false" customHeight="false" outlineLevel="0" collapsed="false">
      <c r="A52" s="15" t="n">
        <v>28</v>
      </c>
      <c r="B52" s="17" t="n">
        <f aca="false">IF(COUNTIFS(Sch_S6,"&gt;="&amp;(Bound_S-0.000000001),Sch_bmax,"&gt;="&amp;(A52-0.000000001))=0,"",_xlfn.MAXIFS(Sch_P0,Sch_S6,"&gt;="&amp;(Bound_S-0.000000001),Sch_bmax,"&gt;="&amp;(A52-0.000000001))-Beta_y*A52)</f>
        <v>304.997440110727</v>
      </c>
      <c r="C52" s="15" t="n">
        <f aca="false">IF(B52="","",_xlfn.MINIFS(Sch_idx,Sch_S6,"&gt;="&amp;(Bound_S-0.000000001),Sch_bmax,"&gt;="&amp;(A52-0.000000001),Sch_P0,"&gt;="&amp;(B52+Beta_y*A52-0.000000001)))</f>
        <v>56</v>
      </c>
      <c r="D52" s="2" t="str">
        <f aca="false">IF(B52="","",INDEX(Sch_label,C52+1))</f>
        <v>1–3</v>
      </c>
      <c r="E52" s="15" t="n">
        <f aca="false">IF(OR(B52="",B51=""),0,IF(C52&lt;&gt;C51,1,0))</f>
        <v>0</v>
      </c>
      <c r="F52" s="13" t="n">
        <f aca="false">IF(OR(B52="",B51=""),0,B51-B52)</f>
        <v>0.909090909090878</v>
      </c>
      <c r="G52" s="13" t="n">
        <f aca="false">F52-Beta_y</f>
        <v>-3.09752223870419E-014</v>
      </c>
    </row>
    <row r="53" customFormat="false" ht="15" hidden="false" customHeight="false" outlineLevel="0" collapsed="false">
      <c r="A53" s="15" t="n">
        <v>29</v>
      </c>
      <c r="B53" s="17" t="n">
        <f aca="false">IF(COUNTIFS(Sch_S6,"&gt;="&amp;(Bound_S-0.000000001),Sch_bmax,"&gt;="&amp;(A53-0.000000001))=0,"",_xlfn.MAXIFS(Sch_P0,Sch_S6,"&gt;="&amp;(Bound_S-0.000000001),Sch_bmax,"&gt;="&amp;(A53-0.000000001))-Beta_y*A53)</f>
        <v>304.088349201636</v>
      </c>
      <c r="C53" s="15" t="n">
        <f aca="false">IF(B53="","",_xlfn.MINIFS(Sch_idx,Sch_S6,"&gt;="&amp;(Bound_S-0.000000001),Sch_bmax,"&gt;="&amp;(A53-0.000000001),Sch_P0,"&gt;="&amp;(B53+Beta_y*A53-0.000000001)))</f>
        <v>56</v>
      </c>
      <c r="D53" s="2" t="str">
        <f aca="false">IF(B53="","",INDEX(Sch_label,C53+1))</f>
        <v>1–3</v>
      </c>
      <c r="E53" s="15" t="n">
        <f aca="false">IF(OR(B53="",B52=""),0,IF(C53&lt;&gt;C52,1,0))</f>
        <v>0</v>
      </c>
      <c r="F53" s="13" t="n">
        <f aca="false">IF(OR(B53="",B52=""),0,B52-B53)</f>
        <v>0.909090909090935</v>
      </c>
      <c r="G53" s="13" t="n">
        <f aca="false">F53-Beta_y</f>
        <v>2.58681964737661E-014</v>
      </c>
    </row>
    <row r="54" customFormat="false" ht="15" hidden="false" customHeight="false" outlineLevel="0" collapsed="false">
      <c r="A54" s="15" t="n">
        <v>30</v>
      </c>
      <c r="B54" s="17" t="n">
        <f aca="false">IF(COUNTIFS(Sch_S6,"&gt;="&amp;(Bound_S-0.000000001),Sch_bmax,"&gt;="&amp;(A54-0.000000001))=0,"",_xlfn.MAXIFS(Sch_P0,Sch_S6,"&gt;="&amp;(Bound_S-0.000000001),Sch_bmax,"&gt;="&amp;(A54-0.000000001))-Beta_y*A54)</f>
        <v>303.179258292545</v>
      </c>
      <c r="C54" s="15" t="n">
        <f aca="false">IF(B54="","",_xlfn.MINIFS(Sch_idx,Sch_S6,"&gt;="&amp;(Bound_S-0.000000001),Sch_bmax,"&gt;="&amp;(A54-0.000000001),Sch_P0,"&gt;="&amp;(B54+Beta_y*A54-0.000000001)))</f>
        <v>56</v>
      </c>
      <c r="D54" s="2" t="str">
        <f aca="false">IF(B54="","",INDEX(Sch_label,C54+1))</f>
        <v>1–3</v>
      </c>
      <c r="E54" s="15" t="n">
        <f aca="false">IF(OR(B54="",B53=""),0,IF(C54&lt;&gt;C53,1,0))</f>
        <v>0</v>
      </c>
      <c r="F54" s="13" t="n">
        <f aca="false">IF(OR(B54="",B53=""),0,B53-B54)</f>
        <v>0.909090909090878</v>
      </c>
      <c r="G54" s="13" t="n">
        <f aca="false">F54-Beta_y</f>
        <v>-3.09752223870419E-014</v>
      </c>
    </row>
    <row r="55" customFormat="false" ht="15" hidden="false" customHeight="false" outlineLevel="0" collapsed="false">
      <c r="A55" s="15" t="n">
        <v>31</v>
      </c>
      <c r="B55" s="17" t="n">
        <f aca="false">IF(COUNTIFS(Sch_S6,"&gt;="&amp;(Bound_S-0.000000001),Sch_bmax,"&gt;="&amp;(A55-0.000000001))=0,"",_xlfn.MAXIFS(Sch_P0,Sch_S6,"&gt;="&amp;(Bound_S-0.000000001),Sch_bmax,"&gt;="&amp;(A55-0.000000001))-Beta_y*A55)</f>
        <v>302.270167383454</v>
      </c>
      <c r="C55" s="15" t="n">
        <f aca="false">IF(B55="","",_xlfn.MINIFS(Sch_idx,Sch_S6,"&gt;="&amp;(Bound_S-0.000000001),Sch_bmax,"&gt;="&amp;(A55-0.000000001),Sch_P0,"&gt;="&amp;(B55+Beta_y*A55-0.000000001)))</f>
        <v>56</v>
      </c>
      <c r="D55" s="2" t="str">
        <f aca="false">IF(B55="","",INDEX(Sch_label,C55+1))</f>
        <v>1–3</v>
      </c>
      <c r="E55" s="15" t="n">
        <f aca="false">IF(OR(B55="",B54=""),0,IF(C55&lt;&gt;C54,1,0))</f>
        <v>0</v>
      </c>
      <c r="F55" s="13" t="n">
        <f aca="false">IF(OR(B55="",B54=""),0,B54-B55)</f>
        <v>0.909090909090935</v>
      </c>
      <c r="G55" s="13" t="n">
        <f aca="false">F55-Beta_y</f>
        <v>2.58681964737661E-014</v>
      </c>
    </row>
    <row r="56" customFormat="false" ht="15" hidden="false" customHeight="false" outlineLevel="0" collapsed="false">
      <c r="A56" s="15" t="n">
        <v>32</v>
      </c>
      <c r="B56" s="17" t="n">
        <f aca="false">IF(COUNTIFS(Sch_S6,"&gt;="&amp;(Bound_S-0.000000001),Sch_bmax,"&gt;="&amp;(A56-0.000000001))=0,"",_xlfn.MAXIFS(Sch_P0,Sch_S6,"&gt;="&amp;(Bound_S-0.000000001),Sch_bmax,"&gt;="&amp;(A56-0.000000001))-Beta_y*A56)</f>
        <v>301.361076474364</v>
      </c>
      <c r="C56" s="15" t="n">
        <f aca="false">IF(B56="","",_xlfn.MINIFS(Sch_idx,Sch_S6,"&gt;="&amp;(Bound_S-0.000000001),Sch_bmax,"&gt;="&amp;(A56-0.000000001),Sch_P0,"&gt;="&amp;(B56+Beta_y*A56-0.000000001)))</f>
        <v>56</v>
      </c>
      <c r="D56" s="2" t="str">
        <f aca="false">IF(B56="","",INDEX(Sch_label,C56+1))</f>
        <v>1–3</v>
      </c>
      <c r="E56" s="15" t="n">
        <f aca="false">IF(OR(B56="",B55=""),0,IF(C56&lt;&gt;C55,1,0))</f>
        <v>0</v>
      </c>
      <c r="F56" s="13" t="n">
        <f aca="false">IF(OR(B56="",B55=""),0,B55-B56)</f>
        <v>0.909090909090878</v>
      </c>
      <c r="G56" s="13" t="n">
        <f aca="false">F56-Beta_y</f>
        <v>-3.09752223870419E-014</v>
      </c>
    </row>
    <row r="57" customFormat="false" ht="15" hidden="false" customHeight="false" outlineLevel="0" collapsed="false">
      <c r="A57" s="15" t="n">
        <v>33</v>
      </c>
      <c r="B57" s="17" t="n">
        <f aca="false">IF(COUNTIFS(Sch_S6,"&gt;="&amp;(Bound_S-0.000000001),Sch_bmax,"&gt;="&amp;(A57-0.000000001))=0,"",_xlfn.MAXIFS(Sch_P0,Sch_S6,"&gt;="&amp;(Bound_S-0.000000001),Sch_bmax,"&gt;="&amp;(A57-0.000000001))-Beta_y*A57)</f>
        <v>300.451985565273</v>
      </c>
      <c r="C57" s="15" t="n">
        <f aca="false">IF(B57="","",_xlfn.MINIFS(Sch_idx,Sch_S6,"&gt;="&amp;(Bound_S-0.000000001),Sch_bmax,"&gt;="&amp;(A57-0.000000001),Sch_P0,"&gt;="&amp;(B57+Beta_y*A57-0.000000001)))</f>
        <v>56</v>
      </c>
      <c r="D57" s="2" t="str">
        <f aca="false">IF(B57="","",INDEX(Sch_label,C57+1))</f>
        <v>1–3</v>
      </c>
      <c r="E57" s="15" t="n">
        <f aca="false">IF(OR(B57="",B56=""),0,IF(C57&lt;&gt;C56,1,0))</f>
        <v>0</v>
      </c>
      <c r="F57" s="13" t="n">
        <f aca="false">IF(OR(B57="",B56=""),0,B56-B57)</f>
        <v>0.909090909090935</v>
      </c>
      <c r="G57" s="13" t="n">
        <f aca="false">F57-Beta_y</f>
        <v>2.58681964737661E-014</v>
      </c>
    </row>
    <row r="58" customFormat="false" ht="15" hidden="false" customHeight="false" outlineLevel="0" collapsed="false">
      <c r="A58" s="15" t="n">
        <v>34</v>
      </c>
      <c r="B58" s="17" t="n">
        <f aca="false">IF(COUNTIFS(Sch_S6,"&gt;="&amp;(Bound_S-0.000000001),Sch_bmax,"&gt;="&amp;(A58-0.000000001))=0,"",_xlfn.MAXIFS(Sch_P0,Sch_S6,"&gt;="&amp;(Bound_S-0.000000001),Sch_bmax,"&gt;="&amp;(A58-0.000000001))-Beta_y*A58)</f>
        <v>299.542894656182</v>
      </c>
      <c r="C58" s="15" t="n">
        <f aca="false">IF(B58="","",_xlfn.MINIFS(Sch_idx,Sch_S6,"&gt;="&amp;(Bound_S-0.000000001),Sch_bmax,"&gt;="&amp;(A58-0.000000001),Sch_P0,"&gt;="&amp;(B58+Beta_y*A58-0.000000001)))</f>
        <v>56</v>
      </c>
      <c r="D58" s="2" t="str">
        <f aca="false">IF(B58="","",INDEX(Sch_label,C58+1))</f>
        <v>1–3</v>
      </c>
      <c r="E58" s="15" t="n">
        <f aca="false">IF(OR(B58="",B57=""),0,IF(C58&lt;&gt;C57,1,0))</f>
        <v>0</v>
      </c>
      <c r="F58" s="13" t="n">
        <f aca="false">IF(OR(B58="",B57=""),0,B57-B58)</f>
        <v>0.909090909090935</v>
      </c>
      <c r="G58" s="13" t="n">
        <f aca="false">F58-Beta_y</f>
        <v>2.58681964737661E-014</v>
      </c>
    </row>
    <row r="59" customFormat="false" ht="15" hidden="false" customHeight="false" outlineLevel="0" collapsed="false">
      <c r="A59" s="15" t="n">
        <v>35</v>
      </c>
      <c r="B59" s="17" t="n">
        <f aca="false">IF(COUNTIFS(Sch_S6,"&gt;="&amp;(Bound_S-0.000000001),Sch_bmax,"&gt;="&amp;(A59-0.000000001))=0,"",_xlfn.MAXIFS(Sch_P0,Sch_S6,"&gt;="&amp;(Bound_S-0.000000001),Sch_bmax,"&gt;="&amp;(A59-0.000000001))-Beta_y*A59)</f>
        <v>298.633803747091</v>
      </c>
      <c r="C59" s="15" t="n">
        <f aca="false">IF(B59="","",_xlfn.MINIFS(Sch_idx,Sch_S6,"&gt;="&amp;(Bound_S-0.000000001),Sch_bmax,"&gt;="&amp;(A59-0.000000001),Sch_P0,"&gt;="&amp;(B59+Beta_y*A59-0.000000001)))</f>
        <v>56</v>
      </c>
      <c r="D59" s="2" t="str">
        <f aca="false">IF(B59="","",INDEX(Sch_label,C59+1))</f>
        <v>1–3</v>
      </c>
      <c r="E59" s="15" t="n">
        <f aca="false">IF(OR(B59="",B58=""),0,IF(C59&lt;&gt;C58,1,0))</f>
        <v>0</v>
      </c>
      <c r="F59" s="13" t="n">
        <f aca="false">IF(OR(B59="",B58=""),0,B58-B59)</f>
        <v>0.909090909090878</v>
      </c>
      <c r="G59" s="13" t="n">
        <f aca="false">F59-Beta_y</f>
        <v>-3.09752223870419E-014</v>
      </c>
    </row>
    <row r="60" customFormat="false" ht="15" hidden="false" customHeight="false" outlineLevel="0" collapsed="false">
      <c r="A60" s="15" t="n">
        <v>36</v>
      </c>
      <c r="B60" s="17" t="n">
        <f aca="false">IF(COUNTIFS(Sch_S6,"&gt;="&amp;(Bound_S-0.000000001),Sch_bmax,"&gt;="&amp;(A60-0.000000001))=0,"",_xlfn.MAXIFS(Sch_P0,Sch_S6,"&gt;="&amp;(Bound_S-0.000000001),Sch_bmax,"&gt;="&amp;(A60-0.000000001))-Beta_y*A60)</f>
        <v>297.724712838</v>
      </c>
      <c r="C60" s="15" t="n">
        <f aca="false">IF(B60="","",_xlfn.MINIFS(Sch_idx,Sch_S6,"&gt;="&amp;(Bound_S-0.000000001),Sch_bmax,"&gt;="&amp;(A60-0.000000001),Sch_P0,"&gt;="&amp;(B60+Beta_y*A60-0.000000001)))</f>
        <v>56</v>
      </c>
      <c r="D60" s="2" t="str">
        <f aca="false">IF(B60="","",INDEX(Sch_label,C60+1))</f>
        <v>1–3</v>
      </c>
      <c r="E60" s="15" t="n">
        <f aca="false">IF(OR(B60="",B59=""),0,IF(C60&lt;&gt;C59,1,0))</f>
        <v>0</v>
      </c>
      <c r="F60" s="13" t="n">
        <f aca="false">IF(OR(B60="",B59=""),0,B59-B60)</f>
        <v>0.909090909090935</v>
      </c>
      <c r="G60" s="13" t="n">
        <f aca="false">F60-Beta_y</f>
        <v>2.58681964737661E-014</v>
      </c>
    </row>
    <row r="61" customFormat="false" ht="15" hidden="false" customHeight="false" outlineLevel="0" collapsed="false">
      <c r="A61" s="15" t="n">
        <v>37</v>
      </c>
      <c r="B61" s="17" t="n">
        <f aca="false">IF(COUNTIFS(Sch_S6,"&gt;="&amp;(Bound_S-0.000000001),Sch_bmax,"&gt;="&amp;(A61-0.000000001))=0,"",_xlfn.MAXIFS(Sch_P0,Sch_S6,"&gt;="&amp;(Bound_S-0.000000001),Sch_bmax,"&gt;="&amp;(A61-0.000000001))-Beta_y*A61)</f>
        <v>296.815621928909</v>
      </c>
      <c r="C61" s="15" t="n">
        <f aca="false">IF(B61="","",_xlfn.MINIFS(Sch_idx,Sch_S6,"&gt;="&amp;(Bound_S-0.000000001),Sch_bmax,"&gt;="&amp;(A61-0.000000001),Sch_P0,"&gt;="&amp;(B61+Beta_y*A61-0.000000001)))</f>
        <v>56</v>
      </c>
      <c r="D61" s="2" t="str">
        <f aca="false">IF(B61="","",INDEX(Sch_label,C61+1))</f>
        <v>1–3</v>
      </c>
      <c r="E61" s="15" t="n">
        <f aca="false">IF(OR(B61="",B60=""),0,IF(C61&lt;&gt;C60,1,0))</f>
        <v>0</v>
      </c>
      <c r="F61" s="13" t="n">
        <f aca="false">IF(OR(B61="",B60=""),0,B60-B61)</f>
        <v>0.909090909090878</v>
      </c>
      <c r="G61" s="13" t="n">
        <f aca="false">F61-Beta_y</f>
        <v>-3.09752223870419E-014</v>
      </c>
    </row>
    <row r="62" customFormat="false" ht="15" hidden="false" customHeight="false" outlineLevel="0" collapsed="false">
      <c r="A62" s="15" t="n">
        <v>38</v>
      </c>
      <c r="B62" s="17" t="n">
        <f aca="false">IF(COUNTIFS(Sch_S6,"&gt;="&amp;(Bound_S-0.000000001),Sch_bmax,"&gt;="&amp;(A62-0.000000001))=0,"",_xlfn.MAXIFS(Sch_P0,Sch_S6,"&gt;="&amp;(Bound_S-0.000000001),Sch_bmax,"&gt;="&amp;(A62-0.000000001))-Beta_y*A62)</f>
        <v>295.906531019818</v>
      </c>
      <c r="C62" s="15" t="n">
        <f aca="false">IF(B62="","",_xlfn.MINIFS(Sch_idx,Sch_S6,"&gt;="&amp;(Bound_S-0.000000001),Sch_bmax,"&gt;="&amp;(A62-0.000000001),Sch_P0,"&gt;="&amp;(B62+Beta_y*A62-0.000000001)))</f>
        <v>56</v>
      </c>
      <c r="D62" s="2" t="str">
        <f aca="false">IF(B62="","",INDEX(Sch_label,C62+1))</f>
        <v>1–3</v>
      </c>
      <c r="E62" s="15" t="n">
        <f aca="false">IF(OR(B62="",B61=""),0,IF(C62&lt;&gt;C61,1,0))</f>
        <v>0</v>
      </c>
      <c r="F62" s="13" t="n">
        <f aca="false">IF(OR(B62="",B61=""),0,B61-B62)</f>
        <v>0.909090909090935</v>
      </c>
      <c r="G62" s="13" t="n">
        <f aca="false">F62-Beta_y</f>
        <v>2.58681964737661E-014</v>
      </c>
    </row>
    <row r="63" customFormat="false" ht="15" hidden="false" customHeight="false" outlineLevel="0" collapsed="false">
      <c r="A63" s="15" t="n">
        <v>39</v>
      </c>
      <c r="B63" s="17" t="n">
        <f aca="false">IF(COUNTIFS(Sch_S6,"&gt;="&amp;(Bound_S-0.000000001),Sch_bmax,"&gt;="&amp;(A63-0.000000001))=0,"",_xlfn.MAXIFS(Sch_P0,Sch_S6,"&gt;="&amp;(Bound_S-0.000000001),Sch_bmax,"&gt;="&amp;(A63-0.000000001))-Beta_y*A63)</f>
        <v>294.997440110727</v>
      </c>
      <c r="C63" s="15" t="n">
        <f aca="false">IF(B63="","",_xlfn.MINIFS(Sch_idx,Sch_S6,"&gt;="&amp;(Bound_S-0.000000001),Sch_bmax,"&gt;="&amp;(A63-0.000000001),Sch_P0,"&gt;="&amp;(B63+Beta_y*A63-0.000000001)))</f>
        <v>56</v>
      </c>
      <c r="D63" s="2" t="str">
        <f aca="false">IF(B63="","",INDEX(Sch_label,C63+1))</f>
        <v>1–3</v>
      </c>
      <c r="E63" s="15" t="n">
        <f aca="false">IF(OR(B63="",B62=""),0,IF(C63&lt;&gt;C62,1,0))</f>
        <v>0</v>
      </c>
      <c r="F63" s="13" t="n">
        <f aca="false">IF(OR(B63="",B62=""),0,B62-B63)</f>
        <v>0.909090909090878</v>
      </c>
      <c r="G63" s="13" t="n">
        <f aca="false">F63-Beta_y</f>
        <v>-3.09752223870419E-014</v>
      </c>
    </row>
    <row r="64" customFormat="false" ht="15" hidden="false" customHeight="false" outlineLevel="0" collapsed="false">
      <c r="A64" s="15" t="n">
        <v>40</v>
      </c>
      <c r="B64" s="17" t="n">
        <f aca="false">IF(COUNTIFS(Sch_S6,"&gt;="&amp;(Bound_S-0.000000001),Sch_bmax,"&gt;="&amp;(A64-0.000000001))=0,"",_xlfn.MAXIFS(Sch_P0,Sch_S6,"&gt;="&amp;(Bound_S-0.000000001),Sch_bmax,"&gt;="&amp;(A64-0.000000001))-Beta_y*A64)</f>
        <v>294.088349201636</v>
      </c>
      <c r="C64" s="15" t="n">
        <f aca="false">IF(B64="","",_xlfn.MINIFS(Sch_idx,Sch_S6,"&gt;="&amp;(Bound_S-0.000000001),Sch_bmax,"&gt;="&amp;(A64-0.000000001),Sch_P0,"&gt;="&amp;(B64+Beta_y*A64-0.000000001)))</f>
        <v>56</v>
      </c>
      <c r="D64" s="2" t="str">
        <f aca="false">IF(B64="","",INDEX(Sch_label,C64+1))</f>
        <v>1–3</v>
      </c>
      <c r="E64" s="15" t="n">
        <f aca="false">IF(OR(B64="",B63=""),0,IF(C64&lt;&gt;C63,1,0))</f>
        <v>0</v>
      </c>
      <c r="F64" s="13" t="n">
        <f aca="false">IF(OR(B64="",B63=""),0,B63-B64)</f>
        <v>0.909090909090935</v>
      </c>
      <c r="G64" s="13" t="n">
        <f aca="false">F64-Beta_y</f>
        <v>2.58681964737661E-014</v>
      </c>
    </row>
    <row r="65" customFormat="false" ht="15" hidden="false" customHeight="false" outlineLevel="0" collapsed="false">
      <c r="A65" s="15" t="n">
        <v>41</v>
      </c>
      <c r="B65" s="17" t="n">
        <f aca="false">IF(COUNTIFS(Sch_S6,"&gt;="&amp;(Bound_S-0.000000001),Sch_bmax,"&gt;="&amp;(A65-0.000000001))=0,"",_xlfn.MAXIFS(Sch_P0,Sch_S6,"&gt;="&amp;(Bound_S-0.000000001),Sch_bmax,"&gt;="&amp;(A65-0.000000001))-Beta_y*A65)</f>
        <v>293.179258292545</v>
      </c>
      <c r="C65" s="15" t="n">
        <f aca="false">IF(B65="","",_xlfn.MINIFS(Sch_idx,Sch_S6,"&gt;="&amp;(Bound_S-0.000000001),Sch_bmax,"&gt;="&amp;(A65-0.000000001),Sch_P0,"&gt;="&amp;(B65+Beta_y*A65-0.000000001)))</f>
        <v>56</v>
      </c>
      <c r="D65" s="2" t="str">
        <f aca="false">IF(B65="","",INDEX(Sch_label,C65+1))</f>
        <v>1–3</v>
      </c>
      <c r="E65" s="15" t="n">
        <f aca="false">IF(OR(B65="",B64=""),0,IF(C65&lt;&gt;C64,1,0))</f>
        <v>0</v>
      </c>
      <c r="F65" s="13" t="n">
        <f aca="false">IF(OR(B65="",B64=""),0,B64-B65)</f>
        <v>0.909090909090878</v>
      </c>
      <c r="G65" s="13" t="n">
        <f aca="false">F65-Beta_y</f>
        <v>-3.09752223870419E-014</v>
      </c>
    </row>
    <row r="66" customFormat="false" ht="15" hidden="false" customHeight="false" outlineLevel="0" collapsed="false">
      <c r="A66" s="15" t="n">
        <v>42</v>
      </c>
      <c r="B66" s="17" t="n">
        <f aca="false">IF(COUNTIFS(Sch_S6,"&gt;="&amp;(Bound_S-0.000000001),Sch_bmax,"&gt;="&amp;(A66-0.000000001))=0,"",_xlfn.MAXIFS(Sch_P0,Sch_S6,"&gt;="&amp;(Bound_S-0.000000001),Sch_bmax,"&gt;="&amp;(A66-0.000000001))-Beta_y*A66)</f>
        <v>292.270167383454</v>
      </c>
      <c r="C66" s="15" t="n">
        <f aca="false">IF(B66="","",_xlfn.MINIFS(Sch_idx,Sch_S6,"&gt;="&amp;(Bound_S-0.000000001),Sch_bmax,"&gt;="&amp;(A66-0.000000001),Sch_P0,"&gt;="&amp;(B66+Beta_y*A66-0.000000001)))</f>
        <v>56</v>
      </c>
      <c r="D66" s="2" t="str">
        <f aca="false">IF(B66="","",INDEX(Sch_label,C66+1))</f>
        <v>1–3</v>
      </c>
      <c r="E66" s="15" t="n">
        <f aca="false">IF(OR(B66="",B65=""),0,IF(C66&lt;&gt;C65,1,0))</f>
        <v>0</v>
      </c>
      <c r="F66" s="13" t="n">
        <f aca="false">IF(OR(B66="",B65=""),0,B65-B66)</f>
        <v>0.909090909090935</v>
      </c>
      <c r="G66" s="13" t="n">
        <f aca="false">F66-Beta_y</f>
        <v>2.58681964737661E-014</v>
      </c>
    </row>
    <row r="67" customFormat="false" ht="15" hidden="false" customHeight="false" outlineLevel="0" collapsed="false">
      <c r="A67" s="15" t="n">
        <v>43</v>
      </c>
      <c r="B67" s="17" t="n">
        <f aca="false">IF(COUNTIFS(Sch_S6,"&gt;="&amp;(Bound_S-0.000000001),Sch_bmax,"&gt;="&amp;(A67-0.000000001))=0,"",_xlfn.MAXIFS(Sch_P0,Sch_S6,"&gt;="&amp;(Bound_S-0.000000001),Sch_bmax,"&gt;="&amp;(A67-0.000000001))-Beta_y*A67)</f>
        <v>291.361076474364</v>
      </c>
      <c r="C67" s="15" t="n">
        <f aca="false">IF(B67="","",_xlfn.MINIFS(Sch_idx,Sch_S6,"&gt;="&amp;(Bound_S-0.000000001),Sch_bmax,"&gt;="&amp;(A67-0.000000001),Sch_P0,"&gt;="&amp;(B67+Beta_y*A67-0.000000001)))</f>
        <v>56</v>
      </c>
      <c r="D67" s="2" t="str">
        <f aca="false">IF(B67="","",INDEX(Sch_label,C67+1))</f>
        <v>1–3</v>
      </c>
      <c r="E67" s="15" t="n">
        <f aca="false">IF(OR(B67="",B66=""),0,IF(C67&lt;&gt;C66,1,0))</f>
        <v>0</v>
      </c>
      <c r="F67" s="13" t="n">
        <f aca="false">IF(OR(B67="",B66=""),0,B66-B67)</f>
        <v>0.909090909090878</v>
      </c>
      <c r="G67" s="13" t="n">
        <f aca="false">F67-Beta_y</f>
        <v>-3.09752223870419E-014</v>
      </c>
    </row>
    <row r="68" customFormat="false" ht="15" hidden="false" customHeight="false" outlineLevel="0" collapsed="false">
      <c r="A68" s="15" t="n">
        <v>44</v>
      </c>
      <c r="B68" s="17" t="n">
        <f aca="false">IF(COUNTIFS(Sch_S6,"&gt;="&amp;(Bound_S-0.000000001),Sch_bmax,"&gt;="&amp;(A68-0.000000001))=0,"",_xlfn.MAXIFS(Sch_P0,Sch_S6,"&gt;="&amp;(Bound_S-0.000000001),Sch_bmax,"&gt;="&amp;(A68-0.000000001))-Beta_y*A68)</f>
        <v>290.451985565273</v>
      </c>
      <c r="C68" s="15" t="n">
        <f aca="false">IF(B68="","",_xlfn.MINIFS(Sch_idx,Sch_S6,"&gt;="&amp;(Bound_S-0.000000001),Sch_bmax,"&gt;="&amp;(A68-0.000000001),Sch_P0,"&gt;="&amp;(B68+Beta_y*A68-0.000000001)))</f>
        <v>56</v>
      </c>
      <c r="D68" s="2" t="str">
        <f aca="false">IF(B68="","",INDEX(Sch_label,C68+1))</f>
        <v>1–3</v>
      </c>
      <c r="E68" s="15" t="n">
        <f aca="false">IF(OR(B68="",B67=""),0,IF(C68&lt;&gt;C67,1,0))</f>
        <v>0</v>
      </c>
      <c r="F68" s="13" t="n">
        <f aca="false">IF(OR(B68="",B67=""),0,B67-B68)</f>
        <v>0.909090909090935</v>
      </c>
      <c r="G68" s="13" t="n">
        <f aca="false">F68-Beta_y</f>
        <v>2.58681964737661E-014</v>
      </c>
    </row>
    <row r="69" customFormat="false" ht="15" hidden="false" customHeight="false" outlineLevel="0" collapsed="false">
      <c r="A69" s="15" t="n">
        <v>45</v>
      </c>
      <c r="B69" s="17" t="n">
        <f aca="false">IF(COUNTIFS(Sch_S6,"&gt;="&amp;(Bound_S-0.000000001),Sch_bmax,"&gt;="&amp;(A69-0.000000001))=0,"",_xlfn.MAXIFS(Sch_P0,Sch_S6,"&gt;="&amp;(Bound_S-0.000000001),Sch_bmax,"&gt;="&amp;(A69-0.000000001))-Beta_y*A69)</f>
        <v>289.542894656182</v>
      </c>
      <c r="C69" s="15" t="n">
        <f aca="false">IF(B69="","",_xlfn.MINIFS(Sch_idx,Sch_S6,"&gt;="&amp;(Bound_S-0.000000001),Sch_bmax,"&gt;="&amp;(A69-0.000000001),Sch_P0,"&gt;="&amp;(B69+Beta_y*A69-0.000000001)))</f>
        <v>56</v>
      </c>
      <c r="D69" s="2" t="str">
        <f aca="false">IF(B69="","",INDEX(Sch_label,C69+1))</f>
        <v>1–3</v>
      </c>
      <c r="E69" s="15" t="n">
        <f aca="false">IF(OR(B69="",B68=""),0,IF(C69&lt;&gt;C68,1,0))</f>
        <v>0</v>
      </c>
      <c r="F69" s="13" t="n">
        <f aca="false">IF(OR(B69="",B68=""),0,B68-B69)</f>
        <v>0.909090909090935</v>
      </c>
      <c r="G69" s="13" t="n">
        <f aca="false">F69-Beta_y</f>
        <v>2.58681964737661E-014</v>
      </c>
    </row>
    <row r="70" customFormat="false" ht="15" hidden="false" customHeight="false" outlineLevel="0" collapsed="false">
      <c r="A70" s="15" t="n">
        <v>46</v>
      </c>
      <c r="B70" s="17" t="n">
        <f aca="false">IF(COUNTIFS(Sch_S6,"&gt;="&amp;(Bound_S-0.000000001),Sch_bmax,"&gt;="&amp;(A70-0.000000001))=0,"",_xlfn.MAXIFS(Sch_P0,Sch_S6,"&gt;="&amp;(Bound_S-0.000000001),Sch_bmax,"&gt;="&amp;(A70-0.000000001))-Beta_y*A70)</f>
        <v>288.633803747091</v>
      </c>
      <c r="C70" s="15" t="n">
        <f aca="false">IF(B70="","",_xlfn.MINIFS(Sch_idx,Sch_S6,"&gt;="&amp;(Bound_S-0.000000001),Sch_bmax,"&gt;="&amp;(A70-0.000000001),Sch_P0,"&gt;="&amp;(B70+Beta_y*A70-0.000000001)))</f>
        <v>56</v>
      </c>
      <c r="D70" s="2" t="str">
        <f aca="false">IF(B70="","",INDEX(Sch_label,C70+1))</f>
        <v>1–3</v>
      </c>
      <c r="E70" s="15" t="n">
        <f aca="false">IF(OR(B70="",B69=""),0,IF(C70&lt;&gt;C69,1,0))</f>
        <v>0</v>
      </c>
      <c r="F70" s="13" t="n">
        <f aca="false">IF(OR(B70="",B69=""),0,B69-B70)</f>
        <v>0.909090909090878</v>
      </c>
      <c r="G70" s="13" t="n">
        <f aca="false">F70-Beta_y</f>
        <v>-3.09752223870419E-014</v>
      </c>
    </row>
    <row r="71" customFormat="false" ht="15" hidden="false" customHeight="false" outlineLevel="0" collapsed="false">
      <c r="A71" s="15" t="n">
        <v>47</v>
      </c>
      <c r="B71" s="17" t="n">
        <f aca="false">IF(COUNTIFS(Sch_S6,"&gt;="&amp;(Bound_S-0.000000001),Sch_bmax,"&gt;="&amp;(A71-0.000000001))=0,"",_xlfn.MAXIFS(Sch_P0,Sch_S6,"&gt;="&amp;(Bound_S-0.000000001),Sch_bmax,"&gt;="&amp;(A71-0.000000001))-Beta_y*A71)</f>
        <v>287.724712838</v>
      </c>
      <c r="C71" s="15" t="n">
        <f aca="false">IF(B71="","",_xlfn.MINIFS(Sch_idx,Sch_S6,"&gt;="&amp;(Bound_S-0.000000001),Sch_bmax,"&gt;="&amp;(A71-0.000000001),Sch_P0,"&gt;="&amp;(B71+Beta_y*A71-0.000000001)))</f>
        <v>56</v>
      </c>
      <c r="D71" s="2" t="str">
        <f aca="false">IF(B71="","",INDEX(Sch_label,C71+1))</f>
        <v>1–3</v>
      </c>
      <c r="E71" s="15" t="n">
        <f aca="false">IF(OR(B71="",B70=""),0,IF(C71&lt;&gt;C70,1,0))</f>
        <v>0</v>
      </c>
      <c r="F71" s="13" t="n">
        <f aca="false">IF(OR(B71="",B70=""),0,B70-B71)</f>
        <v>0.909090909090935</v>
      </c>
      <c r="G71" s="13" t="n">
        <f aca="false">F71-Beta_y</f>
        <v>2.58681964737661E-014</v>
      </c>
    </row>
    <row r="72" customFormat="false" ht="15" hidden="false" customHeight="false" outlineLevel="0" collapsed="false">
      <c r="A72" s="15" t="n">
        <v>48</v>
      </c>
      <c r="B72" s="17" t="n">
        <f aca="false">IF(COUNTIFS(Sch_S6,"&gt;="&amp;(Bound_S-0.000000001),Sch_bmax,"&gt;="&amp;(A72-0.000000001))=0,"",_xlfn.MAXIFS(Sch_P0,Sch_S6,"&gt;="&amp;(Bound_S-0.000000001),Sch_bmax,"&gt;="&amp;(A72-0.000000001))-Beta_y*A72)</f>
        <v>286.815621928909</v>
      </c>
      <c r="C72" s="15" t="n">
        <f aca="false">IF(B72="","",_xlfn.MINIFS(Sch_idx,Sch_S6,"&gt;="&amp;(Bound_S-0.000000001),Sch_bmax,"&gt;="&amp;(A72-0.000000001),Sch_P0,"&gt;="&amp;(B72+Beta_y*A72-0.000000001)))</f>
        <v>56</v>
      </c>
      <c r="D72" s="2" t="str">
        <f aca="false">IF(B72="","",INDEX(Sch_label,C72+1))</f>
        <v>1–3</v>
      </c>
      <c r="E72" s="15" t="n">
        <f aca="false">IF(OR(B72="",B71=""),0,IF(C72&lt;&gt;C71,1,0))</f>
        <v>0</v>
      </c>
      <c r="F72" s="13" t="n">
        <f aca="false">IF(OR(B72="",B71=""),0,B71-B72)</f>
        <v>0.909090909090878</v>
      </c>
      <c r="G72" s="13" t="n">
        <f aca="false">F72-Beta_y</f>
        <v>-3.09752223870419E-014</v>
      </c>
    </row>
    <row r="73" customFormat="false" ht="15" hidden="false" customHeight="false" outlineLevel="0" collapsed="false">
      <c r="A73" s="15" t="n">
        <v>49</v>
      </c>
      <c r="B73" s="17" t="n">
        <f aca="false">IF(COUNTIFS(Sch_S6,"&gt;="&amp;(Bound_S-0.000000001),Sch_bmax,"&gt;="&amp;(A73-0.000000001))=0,"",_xlfn.MAXIFS(Sch_P0,Sch_S6,"&gt;="&amp;(Bound_S-0.000000001),Sch_bmax,"&gt;="&amp;(A73-0.000000001))-Beta_y*A73)</f>
        <v>285.906531019818</v>
      </c>
      <c r="C73" s="15" t="n">
        <f aca="false">IF(B73="","",_xlfn.MINIFS(Sch_idx,Sch_S6,"&gt;="&amp;(Bound_S-0.000000001),Sch_bmax,"&gt;="&amp;(A73-0.000000001),Sch_P0,"&gt;="&amp;(B73+Beta_y*A73-0.000000001)))</f>
        <v>56</v>
      </c>
      <c r="D73" s="2" t="str">
        <f aca="false">IF(B73="","",INDEX(Sch_label,C73+1))</f>
        <v>1–3</v>
      </c>
      <c r="E73" s="15" t="n">
        <f aca="false">IF(OR(B73="",B72=""),0,IF(C73&lt;&gt;C72,1,0))</f>
        <v>0</v>
      </c>
      <c r="F73" s="13" t="n">
        <f aca="false">IF(OR(B73="",B72=""),0,B72-B73)</f>
        <v>0.909090909090935</v>
      </c>
      <c r="G73" s="13" t="n">
        <f aca="false">F73-Beta_y</f>
        <v>2.58681964737661E-014</v>
      </c>
    </row>
    <row r="74" customFormat="false" ht="15" hidden="false" customHeight="false" outlineLevel="0" collapsed="false">
      <c r="A74" s="15" t="n">
        <v>50</v>
      </c>
      <c r="B74" s="17" t="n">
        <f aca="false">IF(COUNTIFS(Sch_S6,"&gt;="&amp;(Bound_S-0.000000001),Sch_bmax,"&gt;="&amp;(A74-0.000000001))=0,"",_xlfn.MAXIFS(Sch_P0,Sch_S6,"&gt;="&amp;(Bound_S-0.000000001),Sch_bmax,"&gt;="&amp;(A74-0.000000001))-Beta_y*A74)</f>
        <v>284.997440110727</v>
      </c>
      <c r="C74" s="15" t="n">
        <f aca="false">IF(B74="","",_xlfn.MINIFS(Sch_idx,Sch_S6,"&gt;="&amp;(Bound_S-0.000000001),Sch_bmax,"&gt;="&amp;(A74-0.000000001),Sch_P0,"&gt;="&amp;(B74+Beta_y*A74-0.000000001)))</f>
        <v>56</v>
      </c>
      <c r="D74" s="2" t="str">
        <f aca="false">IF(B74="","",INDEX(Sch_label,C74+1))</f>
        <v>1–3</v>
      </c>
      <c r="E74" s="15" t="n">
        <f aca="false">IF(OR(B74="",B73=""),0,IF(C74&lt;&gt;C73,1,0))</f>
        <v>0</v>
      </c>
      <c r="F74" s="13" t="n">
        <f aca="false">IF(OR(B74="",B73=""),0,B73-B74)</f>
        <v>0.909090909090878</v>
      </c>
      <c r="G74" s="13" t="n">
        <f aca="false">F74-Beta_y</f>
        <v>-3.09752223870419E-014</v>
      </c>
    </row>
    <row r="75" customFormat="false" ht="15" hidden="false" customHeight="false" outlineLevel="0" collapsed="false">
      <c r="A75" s="15" t="n">
        <v>51</v>
      </c>
      <c r="B75" s="17" t="n">
        <f aca="false">IF(COUNTIFS(Sch_S6,"&gt;="&amp;(Bound_S-0.000000001),Sch_bmax,"&gt;="&amp;(A75-0.000000001))=0,"",_xlfn.MAXIFS(Sch_P0,Sch_S6,"&gt;="&amp;(Bound_S-0.000000001),Sch_bmax,"&gt;="&amp;(A75-0.000000001))-Beta_y*A75)</f>
        <v>284.088349201636</v>
      </c>
      <c r="C75" s="15" t="n">
        <f aca="false">IF(B75="","",_xlfn.MINIFS(Sch_idx,Sch_S6,"&gt;="&amp;(Bound_S-0.000000001),Sch_bmax,"&gt;="&amp;(A75-0.000000001),Sch_P0,"&gt;="&amp;(B75+Beta_y*A75-0.000000001)))</f>
        <v>56</v>
      </c>
      <c r="D75" s="2" t="str">
        <f aca="false">IF(B75="","",INDEX(Sch_label,C75+1))</f>
        <v>1–3</v>
      </c>
      <c r="E75" s="15" t="n">
        <f aca="false">IF(OR(B75="",B74=""),0,IF(C75&lt;&gt;C74,1,0))</f>
        <v>0</v>
      </c>
      <c r="F75" s="13" t="n">
        <f aca="false">IF(OR(B75="",B74=""),0,B74-B75)</f>
        <v>0.909090909090935</v>
      </c>
      <c r="G75" s="13" t="n">
        <f aca="false">F75-Beta_y</f>
        <v>2.58681964737661E-014</v>
      </c>
    </row>
    <row r="76" customFormat="false" ht="15" hidden="false" customHeight="false" outlineLevel="0" collapsed="false">
      <c r="A76" s="15" t="n">
        <v>52</v>
      </c>
      <c r="B76" s="17" t="n">
        <f aca="false">IF(COUNTIFS(Sch_S6,"&gt;="&amp;(Bound_S-0.000000001),Sch_bmax,"&gt;="&amp;(A76-0.000000001))=0,"",_xlfn.MAXIFS(Sch_P0,Sch_S6,"&gt;="&amp;(Bound_S-0.000000001),Sch_bmax,"&gt;="&amp;(A76-0.000000001))-Beta_y*A76)</f>
        <v>283.179258292545</v>
      </c>
      <c r="C76" s="15" t="n">
        <f aca="false">IF(B76="","",_xlfn.MINIFS(Sch_idx,Sch_S6,"&gt;="&amp;(Bound_S-0.000000001),Sch_bmax,"&gt;="&amp;(A76-0.000000001),Sch_P0,"&gt;="&amp;(B76+Beta_y*A76-0.000000001)))</f>
        <v>56</v>
      </c>
      <c r="D76" s="2" t="str">
        <f aca="false">IF(B76="","",INDEX(Sch_label,C76+1))</f>
        <v>1–3</v>
      </c>
      <c r="E76" s="15" t="n">
        <f aca="false">IF(OR(B76="",B75=""),0,IF(C76&lt;&gt;C75,1,0))</f>
        <v>0</v>
      </c>
      <c r="F76" s="13" t="n">
        <f aca="false">IF(OR(B76="",B75=""),0,B75-B76)</f>
        <v>0.909090909090878</v>
      </c>
      <c r="G76" s="13" t="n">
        <f aca="false">F76-Beta_y</f>
        <v>-3.09752223870419E-014</v>
      </c>
    </row>
    <row r="77" customFormat="false" ht="15" hidden="false" customHeight="false" outlineLevel="0" collapsed="false">
      <c r="A77" s="15" t="n">
        <v>53</v>
      </c>
      <c r="B77" s="17" t="n">
        <f aca="false">IF(COUNTIFS(Sch_S6,"&gt;="&amp;(Bound_S-0.000000001),Sch_bmax,"&gt;="&amp;(A77-0.000000001))=0,"",_xlfn.MAXIFS(Sch_P0,Sch_S6,"&gt;="&amp;(Bound_S-0.000000001),Sch_bmax,"&gt;="&amp;(A77-0.000000001))-Beta_y*A77)</f>
        <v>282.270167383454</v>
      </c>
      <c r="C77" s="15" t="n">
        <f aca="false">IF(B77="","",_xlfn.MINIFS(Sch_idx,Sch_S6,"&gt;="&amp;(Bound_S-0.000000001),Sch_bmax,"&gt;="&amp;(A77-0.000000001),Sch_P0,"&gt;="&amp;(B77+Beta_y*A77-0.000000001)))</f>
        <v>56</v>
      </c>
      <c r="D77" s="2" t="str">
        <f aca="false">IF(B77="","",INDEX(Sch_label,C77+1))</f>
        <v>1–3</v>
      </c>
      <c r="E77" s="15" t="n">
        <f aca="false">IF(OR(B77="",B76=""),0,IF(C77&lt;&gt;C76,1,0))</f>
        <v>0</v>
      </c>
      <c r="F77" s="13" t="n">
        <f aca="false">IF(OR(B77="",B76=""),0,B76-B77)</f>
        <v>0.909090909090935</v>
      </c>
      <c r="G77" s="13" t="n">
        <f aca="false">F77-Beta_y</f>
        <v>2.58681964737661E-014</v>
      </c>
    </row>
    <row r="78" customFormat="false" ht="15" hidden="false" customHeight="false" outlineLevel="0" collapsed="false">
      <c r="A78" s="15" t="n">
        <v>54</v>
      </c>
      <c r="B78" s="17" t="n">
        <f aca="false">IF(COUNTIFS(Sch_S6,"&gt;="&amp;(Bound_S-0.000000001),Sch_bmax,"&gt;="&amp;(A78-0.000000001))=0,"",_xlfn.MAXIFS(Sch_P0,Sch_S6,"&gt;="&amp;(Bound_S-0.000000001),Sch_bmax,"&gt;="&amp;(A78-0.000000001))-Beta_y*A78)</f>
        <v>281.361076474364</v>
      </c>
      <c r="C78" s="15" t="n">
        <f aca="false">IF(B78="","",_xlfn.MINIFS(Sch_idx,Sch_S6,"&gt;="&amp;(Bound_S-0.000000001),Sch_bmax,"&gt;="&amp;(A78-0.000000001),Sch_P0,"&gt;="&amp;(B78+Beta_y*A78-0.000000001)))</f>
        <v>56</v>
      </c>
      <c r="D78" s="2" t="str">
        <f aca="false">IF(B78="","",INDEX(Sch_label,C78+1))</f>
        <v>1–3</v>
      </c>
      <c r="E78" s="15" t="n">
        <f aca="false">IF(OR(B78="",B77=""),0,IF(C78&lt;&gt;C77,1,0))</f>
        <v>0</v>
      </c>
      <c r="F78" s="13" t="n">
        <f aca="false">IF(OR(B78="",B77=""),0,B77-B78)</f>
        <v>0.909090909090878</v>
      </c>
      <c r="G78" s="13" t="n">
        <f aca="false">F78-Beta_y</f>
        <v>-3.09752223870419E-014</v>
      </c>
    </row>
    <row r="79" customFormat="false" ht="15" hidden="false" customHeight="false" outlineLevel="0" collapsed="false">
      <c r="A79" s="15" t="n">
        <v>55</v>
      </c>
      <c r="B79" s="17" t="n">
        <f aca="false">IF(COUNTIFS(Sch_S6,"&gt;="&amp;(Bound_S-0.000000001),Sch_bmax,"&gt;="&amp;(A79-0.000000001))=0,"",_xlfn.MAXIFS(Sch_P0,Sch_S6,"&gt;="&amp;(Bound_S-0.000000001),Sch_bmax,"&gt;="&amp;(A79-0.000000001))-Beta_y*A79)</f>
        <v>280.451985565273</v>
      </c>
      <c r="C79" s="15" t="n">
        <f aca="false">IF(B79="","",_xlfn.MINIFS(Sch_idx,Sch_S6,"&gt;="&amp;(Bound_S-0.000000001),Sch_bmax,"&gt;="&amp;(A79-0.000000001),Sch_P0,"&gt;="&amp;(B79+Beta_y*A79-0.000000001)))</f>
        <v>56</v>
      </c>
      <c r="D79" s="2" t="str">
        <f aca="false">IF(B79="","",INDEX(Sch_label,C79+1))</f>
        <v>1–3</v>
      </c>
      <c r="E79" s="15" t="n">
        <f aca="false">IF(OR(B79="",B78=""),0,IF(C79&lt;&gt;C78,1,0))</f>
        <v>0</v>
      </c>
      <c r="F79" s="13" t="n">
        <f aca="false">IF(OR(B79="",B78=""),0,B78-B79)</f>
        <v>0.909090909090935</v>
      </c>
      <c r="G79" s="13" t="n">
        <f aca="false">F79-Beta_y</f>
        <v>2.58681964737661E-014</v>
      </c>
    </row>
    <row r="80" customFormat="false" ht="15" hidden="false" customHeight="false" outlineLevel="0" collapsed="false">
      <c r="A80" s="15" t="n">
        <v>56</v>
      </c>
      <c r="B80" s="17" t="n">
        <f aca="false">IF(COUNTIFS(Sch_S6,"&gt;="&amp;(Bound_S-0.000000001),Sch_bmax,"&gt;="&amp;(A80-0.000000001))=0,"",_xlfn.MAXIFS(Sch_P0,Sch_S6,"&gt;="&amp;(Bound_S-0.000000001),Sch_bmax,"&gt;="&amp;(A80-0.000000001))-Beta_y*A80)</f>
        <v>279.542894656182</v>
      </c>
      <c r="C80" s="15" t="n">
        <f aca="false">IF(B80="","",_xlfn.MINIFS(Sch_idx,Sch_S6,"&gt;="&amp;(Bound_S-0.000000001),Sch_bmax,"&gt;="&amp;(A80-0.000000001),Sch_P0,"&gt;="&amp;(B80+Beta_y*A80-0.000000001)))</f>
        <v>56</v>
      </c>
      <c r="D80" s="2" t="str">
        <f aca="false">IF(B80="","",INDEX(Sch_label,C80+1))</f>
        <v>1–3</v>
      </c>
      <c r="E80" s="15" t="n">
        <f aca="false">IF(OR(B80="",B79=""),0,IF(C80&lt;&gt;C79,1,0))</f>
        <v>0</v>
      </c>
      <c r="F80" s="13" t="n">
        <f aca="false">IF(OR(B80="",B79=""),0,B79-B80)</f>
        <v>0.909090909090935</v>
      </c>
      <c r="G80" s="13" t="n">
        <f aca="false">F80-Beta_y</f>
        <v>2.58681964737661E-014</v>
      </c>
    </row>
    <row r="81" customFormat="false" ht="15" hidden="false" customHeight="false" outlineLevel="0" collapsed="false">
      <c r="A81" s="15" t="n">
        <v>57</v>
      </c>
      <c r="B81" s="17" t="n">
        <f aca="false">IF(COUNTIFS(Sch_S6,"&gt;="&amp;(Bound_S-0.000000001),Sch_bmax,"&gt;="&amp;(A81-0.000000001))=0,"",_xlfn.MAXIFS(Sch_P0,Sch_S6,"&gt;="&amp;(Bound_S-0.000000001),Sch_bmax,"&gt;="&amp;(A81-0.000000001))-Beta_y*A81)</f>
        <v>278.633803747091</v>
      </c>
      <c r="C81" s="15" t="n">
        <f aca="false">IF(B81="","",_xlfn.MINIFS(Sch_idx,Sch_S6,"&gt;="&amp;(Bound_S-0.000000001),Sch_bmax,"&gt;="&amp;(A81-0.000000001),Sch_P0,"&gt;="&amp;(B81+Beta_y*A81-0.000000001)))</f>
        <v>56</v>
      </c>
      <c r="D81" s="2" t="str">
        <f aca="false">IF(B81="","",INDEX(Sch_label,C81+1))</f>
        <v>1–3</v>
      </c>
      <c r="E81" s="15" t="n">
        <f aca="false">IF(OR(B81="",B80=""),0,IF(C81&lt;&gt;C80,1,0))</f>
        <v>0</v>
      </c>
      <c r="F81" s="13" t="n">
        <f aca="false">IF(OR(B81="",B80=""),0,B80-B81)</f>
        <v>0.909090909090878</v>
      </c>
      <c r="G81" s="13" t="n">
        <f aca="false">F81-Beta_y</f>
        <v>-3.09752223870419E-014</v>
      </c>
    </row>
    <row r="82" customFormat="false" ht="15" hidden="false" customHeight="false" outlineLevel="0" collapsed="false">
      <c r="A82" s="15" t="n">
        <v>58</v>
      </c>
      <c r="B82" s="17" t="n">
        <f aca="false">IF(COUNTIFS(Sch_S6,"&gt;="&amp;(Bound_S-0.000000001),Sch_bmax,"&gt;="&amp;(A82-0.000000001))=0,"",_xlfn.MAXIFS(Sch_P0,Sch_S6,"&gt;="&amp;(Bound_S-0.000000001),Sch_bmax,"&gt;="&amp;(A82-0.000000001))-Beta_y*A82)</f>
        <v>277.724712838</v>
      </c>
      <c r="C82" s="15" t="n">
        <f aca="false">IF(B82="","",_xlfn.MINIFS(Sch_idx,Sch_S6,"&gt;="&amp;(Bound_S-0.000000001),Sch_bmax,"&gt;="&amp;(A82-0.000000001),Sch_P0,"&gt;="&amp;(B82+Beta_y*A82-0.000000001)))</f>
        <v>56</v>
      </c>
      <c r="D82" s="2" t="str">
        <f aca="false">IF(B82="","",INDEX(Sch_label,C82+1))</f>
        <v>1–3</v>
      </c>
      <c r="E82" s="15" t="n">
        <f aca="false">IF(OR(B82="",B81=""),0,IF(C82&lt;&gt;C81,1,0))</f>
        <v>0</v>
      </c>
      <c r="F82" s="13" t="n">
        <f aca="false">IF(OR(B82="",B81=""),0,B81-B82)</f>
        <v>0.909090909090935</v>
      </c>
      <c r="G82" s="13" t="n">
        <f aca="false">F82-Beta_y</f>
        <v>2.58681964737661E-014</v>
      </c>
    </row>
    <row r="83" customFormat="false" ht="15" hidden="false" customHeight="false" outlineLevel="0" collapsed="false">
      <c r="A83" s="15" t="n">
        <v>59</v>
      </c>
      <c r="B83" s="17" t="n">
        <f aca="false">IF(COUNTIFS(Sch_S6,"&gt;="&amp;(Bound_S-0.000000001),Sch_bmax,"&gt;="&amp;(A83-0.000000001))=0,"",_xlfn.MAXIFS(Sch_P0,Sch_S6,"&gt;="&amp;(Bound_S-0.000000001),Sch_bmax,"&gt;="&amp;(A83-0.000000001))-Beta_y*A83)</f>
        <v>276.815621928909</v>
      </c>
      <c r="C83" s="15" t="n">
        <f aca="false">IF(B83="","",_xlfn.MINIFS(Sch_idx,Sch_S6,"&gt;="&amp;(Bound_S-0.000000001),Sch_bmax,"&gt;="&amp;(A83-0.000000001),Sch_P0,"&gt;="&amp;(B83+Beta_y*A83-0.000000001)))</f>
        <v>56</v>
      </c>
      <c r="D83" s="2" t="str">
        <f aca="false">IF(B83="","",INDEX(Sch_label,C83+1))</f>
        <v>1–3</v>
      </c>
      <c r="E83" s="15" t="n">
        <f aca="false">IF(OR(B83="",B82=""),0,IF(C83&lt;&gt;C82,1,0))</f>
        <v>0</v>
      </c>
      <c r="F83" s="13" t="n">
        <f aca="false">IF(OR(B83="",B82=""),0,B82-B83)</f>
        <v>0.909090909090878</v>
      </c>
      <c r="G83" s="13" t="n">
        <f aca="false">F83-Beta_y</f>
        <v>-3.09752223870419E-014</v>
      </c>
    </row>
    <row r="84" customFormat="false" ht="15" hidden="false" customHeight="false" outlineLevel="0" collapsed="false">
      <c r="A84" s="15" t="n">
        <v>60</v>
      </c>
      <c r="B84" s="17" t="n">
        <f aca="false">IF(COUNTIFS(Sch_S6,"&gt;="&amp;(Bound_S-0.000000001),Sch_bmax,"&gt;="&amp;(A84-0.000000001))=0,"",_xlfn.MAXIFS(Sch_P0,Sch_S6,"&gt;="&amp;(Bound_S-0.000000001),Sch_bmax,"&gt;="&amp;(A84-0.000000001))-Beta_y*A84)</f>
        <v>275.906531019818</v>
      </c>
      <c r="C84" s="15" t="n">
        <f aca="false">IF(B84="","",_xlfn.MINIFS(Sch_idx,Sch_S6,"&gt;="&amp;(Bound_S-0.000000001),Sch_bmax,"&gt;="&amp;(A84-0.000000001),Sch_P0,"&gt;="&amp;(B84+Beta_y*A84-0.000000001)))</f>
        <v>56</v>
      </c>
      <c r="D84" s="2" t="str">
        <f aca="false">IF(B84="","",INDEX(Sch_label,C84+1))</f>
        <v>1–3</v>
      </c>
      <c r="E84" s="15" t="n">
        <f aca="false">IF(OR(B84="",B83=""),0,IF(C84&lt;&gt;C83,1,0))</f>
        <v>0</v>
      </c>
      <c r="F84" s="13" t="n">
        <f aca="false">IF(OR(B84="",B83=""),0,B83-B84)</f>
        <v>0.909090909090935</v>
      </c>
      <c r="G84" s="13" t="n">
        <f aca="false">F84-Beta_y</f>
        <v>2.58681964737661E-014</v>
      </c>
    </row>
    <row r="85" customFormat="false" ht="15" hidden="false" customHeight="false" outlineLevel="0" collapsed="false">
      <c r="A85" s="15" t="n">
        <v>61</v>
      </c>
      <c r="B85" s="17" t="n">
        <f aca="false">IF(COUNTIFS(Sch_S6,"&gt;="&amp;(Bound_S-0.000000001),Sch_bmax,"&gt;="&amp;(A85-0.000000001))=0,"",_xlfn.MAXIFS(Sch_P0,Sch_S6,"&gt;="&amp;(Bound_S-0.000000001),Sch_bmax,"&gt;="&amp;(A85-0.000000001))-Beta_y*A85)</f>
        <v>274.997440110727</v>
      </c>
      <c r="C85" s="15" t="n">
        <f aca="false">IF(B85="","",_xlfn.MINIFS(Sch_idx,Sch_S6,"&gt;="&amp;(Bound_S-0.000000001),Sch_bmax,"&gt;="&amp;(A85-0.000000001),Sch_P0,"&gt;="&amp;(B85+Beta_y*A85-0.000000001)))</f>
        <v>56</v>
      </c>
      <c r="D85" s="2" t="str">
        <f aca="false">IF(B85="","",INDEX(Sch_label,C85+1))</f>
        <v>1–3</v>
      </c>
      <c r="E85" s="15" t="n">
        <f aca="false">IF(OR(B85="",B84=""),0,IF(C85&lt;&gt;C84,1,0))</f>
        <v>0</v>
      </c>
      <c r="F85" s="13" t="n">
        <f aca="false">IF(OR(B85="",B84=""),0,B84-B85)</f>
        <v>0.909090909090878</v>
      </c>
      <c r="G85" s="13" t="n">
        <f aca="false">F85-Beta_y</f>
        <v>-3.09752223870419E-014</v>
      </c>
    </row>
    <row r="86" customFormat="false" ht="15" hidden="false" customHeight="false" outlineLevel="0" collapsed="false">
      <c r="A86" s="15" t="n">
        <v>62</v>
      </c>
      <c r="B86" s="17" t="n">
        <f aca="false">IF(COUNTIFS(Sch_S6,"&gt;="&amp;(Bound_S-0.000000001),Sch_bmax,"&gt;="&amp;(A86-0.000000001))=0,"",_xlfn.MAXIFS(Sch_P0,Sch_S6,"&gt;="&amp;(Bound_S-0.000000001),Sch_bmax,"&gt;="&amp;(A86-0.000000001))-Beta_y*A86)</f>
        <v>274.088349201636</v>
      </c>
      <c r="C86" s="15" t="n">
        <f aca="false">IF(B86="","",_xlfn.MINIFS(Sch_idx,Sch_S6,"&gt;="&amp;(Bound_S-0.000000001),Sch_bmax,"&gt;="&amp;(A86-0.000000001),Sch_P0,"&gt;="&amp;(B86+Beta_y*A86-0.000000001)))</f>
        <v>56</v>
      </c>
      <c r="D86" s="2" t="str">
        <f aca="false">IF(B86="","",INDEX(Sch_label,C86+1))</f>
        <v>1–3</v>
      </c>
      <c r="E86" s="15" t="n">
        <f aca="false">IF(OR(B86="",B85=""),0,IF(C86&lt;&gt;C85,1,0))</f>
        <v>0</v>
      </c>
      <c r="F86" s="13" t="n">
        <f aca="false">IF(OR(B86="",B85=""),0,B85-B86)</f>
        <v>0.909090909090935</v>
      </c>
      <c r="G86" s="13" t="n">
        <f aca="false">F86-Beta_y</f>
        <v>2.58681964737661E-014</v>
      </c>
    </row>
    <row r="87" customFormat="false" ht="15" hidden="false" customHeight="false" outlineLevel="0" collapsed="false">
      <c r="A87" s="15" t="n">
        <v>63</v>
      </c>
      <c r="B87" s="17" t="n">
        <f aca="false">IF(COUNTIFS(Sch_S6,"&gt;="&amp;(Bound_S-0.000000001),Sch_bmax,"&gt;="&amp;(A87-0.000000001))=0,"",_xlfn.MAXIFS(Sch_P0,Sch_S6,"&gt;="&amp;(Bound_S-0.000000001),Sch_bmax,"&gt;="&amp;(A87-0.000000001))-Beta_y*A87)</f>
        <v>273.179258292545</v>
      </c>
      <c r="C87" s="15" t="n">
        <f aca="false">IF(B87="","",_xlfn.MINIFS(Sch_idx,Sch_S6,"&gt;="&amp;(Bound_S-0.000000001),Sch_bmax,"&gt;="&amp;(A87-0.000000001),Sch_P0,"&gt;="&amp;(B87+Beta_y*A87-0.000000001)))</f>
        <v>56</v>
      </c>
      <c r="D87" s="2" t="str">
        <f aca="false">IF(B87="","",INDEX(Sch_label,C87+1))</f>
        <v>1–3</v>
      </c>
      <c r="E87" s="15" t="n">
        <f aca="false">IF(OR(B87="",B86=""),0,IF(C87&lt;&gt;C86,1,0))</f>
        <v>0</v>
      </c>
      <c r="F87" s="13" t="n">
        <f aca="false">IF(OR(B87="",B86=""),0,B86-B87)</f>
        <v>0.909090909090878</v>
      </c>
      <c r="G87" s="13" t="n">
        <f aca="false">F87-Beta_y</f>
        <v>-3.09752223870419E-014</v>
      </c>
    </row>
    <row r="88" customFormat="false" ht="15" hidden="false" customHeight="false" outlineLevel="0" collapsed="false">
      <c r="A88" s="15" t="n">
        <v>64</v>
      </c>
      <c r="B88" s="17" t="n">
        <f aca="false">IF(COUNTIFS(Sch_S6,"&gt;="&amp;(Bound_S-0.000000001),Sch_bmax,"&gt;="&amp;(A88-0.000000001))=0,"",_xlfn.MAXIFS(Sch_P0,Sch_S6,"&gt;="&amp;(Bound_S-0.000000001),Sch_bmax,"&gt;="&amp;(A88-0.000000001))-Beta_y*A88)</f>
        <v>272.270167383454</v>
      </c>
      <c r="C88" s="15" t="n">
        <f aca="false">IF(B88="","",_xlfn.MINIFS(Sch_idx,Sch_S6,"&gt;="&amp;(Bound_S-0.000000001),Sch_bmax,"&gt;="&amp;(A88-0.000000001),Sch_P0,"&gt;="&amp;(B88+Beta_y*A88-0.000000001)))</f>
        <v>56</v>
      </c>
      <c r="D88" s="2" t="str">
        <f aca="false">IF(B88="","",INDEX(Sch_label,C88+1))</f>
        <v>1–3</v>
      </c>
      <c r="E88" s="15" t="n">
        <f aca="false">IF(OR(B88="",B87=""),0,IF(C88&lt;&gt;C87,1,0))</f>
        <v>0</v>
      </c>
      <c r="F88" s="13" t="n">
        <f aca="false">IF(OR(B88="",B87=""),0,B87-B88)</f>
        <v>0.909090909090935</v>
      </c>
      <c r="G88" s="13" t="n">
        <f aca="false">F88-Beta_y</f>
        <v>2.58681964737661E-014</v>
      </c>
    </row>
    <row r="89" customFormat="false" ht="15" hidden="false" customHeight="false" outlineLevel="0" collapsed="false">
      <c r="A89" s="15" t="n">
        <v>65</v>
      </c>
      <c r="B89" s="17" t="n">
        <f aca="false">IF(COUNTIFS(Sch_S6,"&gt;="&amp;(Bound_S-0.000000001),Sch_bmax,"&gt;="&amp;(A89-0.000000001))=0,"",_xlfn.MAXIFS(Sch_P0,Sch_S6,"&gt;="&amp;(Bound_S-0.000000001),Sch_bmax,"&gt;="&amp;(A89-0.000000001))-Beta_y*A89)</f>
        <v>271.361076474364</v>
      </c>
      <c r="C89" s="15" t="n">
        <f aca="false">IF(B89="","",_xlfn.MINIFS(Sch_idx,Sch_S6,"&gt;="&amp;(Bound_S-0.000000001),Sch_bmax,"&gt;="&amp;(A89-0.000000001),Sch_P0,"&gt;="&amp;(B89+Beta_y*A89-0.000000001)))</f>
        <v>56</v>
      </c>
      <c r="D89" s="2" t="str">
        <f aca="false">IF(B89="","",INDEX(Sch_label,C89+1))</f>
        <v>1–3</v>
      </c>
      <c r="E89" s="15" t="n">
        <f aca="false">IF(OR(B89="",B88=""),0,IF(C89&lt;&gt;C88,1,0))</f>
        <v>0</v>
      </c>
      <c r="F89" s="13" t="n">
        <f aca="false">IF(OR(B89="",B88=""),0,B88-B89)</f>
        <v>0.909090909090878</v>
      </c>
      <c r="G89" s="13" t="n">
        <f aca="false">F89-Beta_y</f>
        <v>-3.09752223870419E-014</v>
      </c>
    </row>
    <row r="90" customFormat="false" ht="15" hidden="false" customHeight="false" outlineLevel="0" collapsed="false">
      <c r="A90" s="15" t="n">
        <v>66</v>
      </c>
      <c r="B90" s="17" t="n">
        <f aca="false">IF(COUNTIFS(Sch_S6,"&gt;="&amp;(Bound_S-0.000000001),Sch_bmax,"&gt;="&amp;(A90-0.000000001))=0,"",_xlfn.MAXIFS(Sch_P0,Sch_S6,"&gt;="&amp;(Bound_S-0.000000001),Sch_bmax,"&gt;="&amp;(A90-0.000000001))-Beta_y*A90)</f>
        <v>270.451985565273</v>
      </c>
      <c r="C90" s="15" t="n">
        <f aca="false">IF(B90="","",_xlfn.MINIFS(Sch_idx,Sch_S6,"&gt;="&amp;(Bound_S-0.000000001),Sch_bmax,"&gt;="&amp;(A90-0.000000001),Sch_P0,"&gt;="&amp;(B90+Beta_y*A90-0.000000001)))</f>
        <v>56</v>
      </c>
      <c r="D90" s="2" t="str">
        <f aca="false">IF(B90="","",INDEX(Sch_label,C90+1))</f>
        <v>1–3</v>
      </c>
      <c r="E90" s="15" t="n">
        <f aca="false">IF(OR(B90="",B89=""),0,IF(C90&lt;&gt;C89,1,0))</f>
        <v>0</v>
      </c>
      <c r="F90" s="13" t="n">
        <f aca="false">IF(OR(B90="",B89=""),0,B89-B90)</f>
        <v>0.909090909090935</v>
      </c>
      <c r="G90" s="13" t="n">
        <f aca="false">F90-Beta_y</f>
        <v>2.58681964737661E-014</v>
      </c>
    </row>
    <row r="91" customFormat="false" ht="15" hidden="false" customHeight="false" outlineLevel="0" collapsed="false">
      <c r="A91" s="15" t="n">
        <v>67</v>
      </c>
      <c r="B91" s="17" t="n">
        <f aca="false">IF(COUNTIFS(Sch_S6,"&gt;="&amp;(Bound_S-0.000000001),Sch_bmax,"&gt;="&amp;(A91-0.000000001))=0,"",_xlfn.MAXIFS(Sch_P0,Sch_S6,"&gt;="&amp;(Bound_S-0.000000001),Sch_bmax,"&gt;="&amp;(A91-0.000000001))-Beta_y*A91)</f>
        <v>269.542894656182</v>
      </c>
      <c r="C91" s="15" t="n">
        <f aca="false">IF(B91="","",_xlfn.MINIFS(Sch_idx,Sch_S6,"&gt;="&amp;(Bound_S-0.000000001),Sch_bmax,"&gt;="&amp;(A91-0.000000001),Sch_P0,"&gt;="&amp;(B91+Beta_y*A91-0.000000001)))</f>
        <v>56</v>
      </c>
      <c r="D91" s="2" t="str">
        <f aca="false">IF(B91="","",INDEX(Sch_label,C91+1))</f>
        <v>1–3</v>
      </c>
      <c r="E91" s="15" t="n">
        <f aca="false">IF(OR(B91="",B90=""),0,IF(C91&lt;&gt;C90,1,0))</f>
        <v>0</v>
      </c>
      <c r="F91" s="13" t="n">
        <f aca="false">IF(OR(B91="",B90=""),0,B90-B91)</f>
        <v>0.909090909090935</v>
      </c>
      <c r="G91" s="13" t="n">
        <f aca="false">F91-Beta_y</f>
        <v>2.58681964737661E-014</v>
      </c>
    </row>
    <row r="92" customFormat="false" ht="15" hidden="false" customHeight="false" outlineLevel="0" collapsed="false">
      <c r="A92" s="15" t="n">
        <v>68</v>
      </c>
      <c r="B92" s="17" t="n">
        <f aca="false">IF(COUNTIFS(Sch_S6,"&gt;="&amp;(Bound_S-0.000000001),Sch_bmax,"&gt;="&amp;(A92-0.000000001))=0,"",_xlfn.MAXIFS(Sch_P0,Sch_S6,"&gt;="&amp;(Bound_S-0.000000001),Sch_bmax,"&gt;="&amp;(A92-0.000000001))-Beta_y*A92)</f>
        <v>268.633803747091</v>
      </c>
      <c r="C92" s="15" t="n">
        <f aca="false">IF(B92="","",_xlfn.MINIFS(Sch_idx,Sch_S6,"&gt;="&amp;(Bound_S-0.000000001),Sch_bmax,"&gt;="&amp;(A92-0.000000001),Sch_P0,"&gt;="&amp;(B92+Beta_y*A92-0.000000001)))</f>
        <v>56</v>
      </c>
      <c r="D92" s="2" t="str">
        <f aca="false">IF(B92="","",INDEX(Sch_label,C92+1))</f>
        <v>1–3</v>
      </c>
      <c r="E92" s="15" t="n">
        <f aca="false">IF(OR(B92="",B91=""),0,IF(C92&lt;&gt;C91,1,0))</f>
        <v>0</v>
      </c>
      <c r="F92" s="13" t="n">
        <f aca="false">IF(OR(B92="",B91=""),0,B91-B92)</f>
        <v>0.909090909090878</v>
      </c>
      <c r="G92" s="13" t="n">
        <f aca="false">F92-Beta_y</f>
        <v>-3.09752223870419E-014</v>
      </c>
    </row>
    <row r="93" customFormat="false" ht="15" hidden="false" customHeight="false" outlineLevel="0" collapsed="false">
      <c r="A93" s="15" t="n">
        <v>69</v>
      </c>
      <c r="B93" s="17" t="n">
        <f aca="false">IF(COUNTIFS(Sch_S6,"&gt;="&amp;(Bound_S-0.000000001),Sch_bmax,"&gt;="&amp;(A93-0.000000001))=0,"",_xlfn.MAXIFS(Sch_P0,Sch_S6,"&gt;="&amp;(Bound_S-0.000000001),Sch_bmax,"&gt;="&amp;(A93-0.000000001))-Beta_y*A93)</f>
        <v>267.724712838</v>
      </c>
      <c r="C93" s="15" t="n">
        <f aca="false">IF(B93="","",_xlfn.MINIFS(Sch_idx,Sch_S6,"&gt;="&amp;(Bound_S-0.000000001),Sch_bmax,"&gt;="&amp;(A93-0.000000001),Sch_P0,"&gt;="&amp;(B93+Beta_y*A93-0.000000001)))</f>
        <v>56</v>
      </c>
      <c r="D93" s="2" t="str">
        <f aca="false">IF(B93="","",INDEX(Sch_label,C93+1))</f>
        <v>1–3</v>
      </c>
      <c r="E93" s="15" t="n">
        <f aca="false">IF(OR(B93="",B92=""),0,IF(C93&lt;&gt;C92,1,0))</f>
        <v>0</v>
      </c>
      <c r="F93" s="13" t="n">
        <f aca="false">IF(OR(B93="",B92=""),0,B92-B93)</f>
        <v>0.909090909090935</v>
      </c>
      <c r="G93" s="13" t="n">
        <f aca="false">F93-Beta_y</f>
        <v>2.58681964737661E-014</v>
      </c>
    </row>
    <row r="94" customFormat="false" ht="15" hidden="false" customHeight="false" outlineLevel="0" collapsed="false">
      <c r="A94" s="15" t="n">
        <v>70</v>
      </c>
      <c r="B94" s="17" t="n">
        <f aca="false">IF(COUNTIFS(Sch_S6,"&gt;="&amp;(Bound_S-0.000000001),Sch_bmax,"&gt;="&amp;(A94-0.000000001))=0,"",_xlfn.MAXIFS(Sch_P0,Sch_S6,"&gt;="&amp;(Bound_S-0.000000001),Sch_bmax,"&gt;="&amp;(A94-0.000000001))-Beta_y*A94)</f>
        <v>266.815621928909</v>
      </c>
      <c r="C94" s="15" t="n">
        <f aca="false">IF(B94="","",_xlfn.MINIFS(Sch_idx,Sch_S6,"&gt;="&amp;(Bound_S-0.000000001),Sch_bmax,"&gt;="&amp;(A94-0.000000001),Sch_P0,"&gt;="&amp;(B94+Beta_y*A94-0.000000001)))</f>
        <v>56</v>
      </c>
      <c r="D94" s="2" t="str">
        <f aca="false">IF(B94="","",INDEX(Sch_label,C94+1))</f>
        <v>1–3</v>
      </c>
      <c r="E94" s="15" t="n">
        <f aca="false">IF(OR(B94="",B93=""),0,IF(C94&lt;&gt;C93,1,0))</f>
        <v>0</v>
      </c>
      <c r="F94" s="13" t="n">
        <f aca="false">IF(OR(B94="",B93=""),0,B93-B94)</f>
        <v>0.909090909090878</v>
      </c>
      <c r="G94" s="13" t="n">
        <f aca="false">F94-Beta_y</f>
        <v>-3.09752223870419E-014</v>
      </c>
    </row>
    <row r="95" customFormat="false" ht="15" hidden="false" customHeight="false" outlineLevel="0" collapsed="false">
      <c r="A95" s="15" t="n">
        <v>71</v>
      </c>
      <c r="B95" s="17" t="n">
        <f aca="false">IF(COUNTIFS(Sch_S6,"&gt;="&amp;(Bound_S-0.000000001),Sch_bmax,"&gt;="&amp;(A95-0.000000001))=0,"",_xlfn.MAXIFS(Sch_P0,Sch_S6,"&gt;="&amp;(Bound_S-0.000000001),Sch_bmax,"&gt;="&amp;(A95-0.000000001))-Beta_y*A95)</f>
        <v>265.906531019818</v>
      </c>
      <c r="C95" s="15" t="n">
        <f aca="false">IF(B95="","",_xlfn.MINIFS(Sch_idx,Sch_S6,"&gt;="&amp;(Bound_S-0.000000001),Sch_bmax,"&gt;="&amp;(A95-0.000000001),Sch_P0,"&gt;="&amp;(B95+Beta_y*A95-0.000000001)))</f>
        <v>56</v>
      </c>
      <c r="D95" s="2" t="str">
        <f aca="false">IF(B95="","",INDEX(Sch_label,C95+1))</f>
        <v>1–3</v>
      </c>
      <c r="E95" s="15" t="n">
        <f aca="false">IF(OR(B95="",B94=""),0,IF(C95&lt;&gt;C94,1,0))</f>
        <v>0</v>
      </c>
      <c r="F95" s="13" t="n">
        <f aca="false">IF(OR(B95="",B94=""),0,B94-B95)</f>
        <v>0.909090909090935</v>
      </c>
      <c r="G95" s="13" t="n">
        <f aca="false">F95-Beta_y</f>
        <v>2.58681964737661E-014</v>
      </c>
    </row>
    <row r="96" customFormat="false" ht="15" hidden="false" customHeight="false" outlineLevel="0" collapsed="false">
      <c r="A96" s="15" t="n">
        <v>72</v>
      </c>
      <c r="B96" s="17" t="n">
        <f aca="false">IF(COUNTIFS(Sch_S6,"&gt;="&amp;(Bound_S-0.000000001),Sch_bmax,"&gt;="&amp;(A96-0.000000001))=0,"",_xlfn.MAXIFS(Sch_P0,Sch_S6,"&gt;="&amp;(Bound_S-0.000000001),Sch_bmax,"&gt;="&amp;(A96-0.000000001))-Beta_y*A96)</f>
        <v>264.997440110727</v>
      </c>
      <c r="C96" s="15" t="n">
        <f aca="false">IF(B96="","",_xlfn.MINIFS(Sch_idx,Sch_S6,"&gt;="&amp;(Bound_S-0.000000001),Sch_bmax,"&gt;="&amp;(A96-0.000000001),Sch_P0,"&gt;="&amp;(B96+Beta_y*A96-0.000000001)))</f>
        <v>56</v>
      </c>
      <c r="D96" s="2" t="str">
        <f aca="false">IF(B96="","",INDEX(Sch_label,C96+1))</f>
        <v>1–3</v>
      </c>
      <c r="E96" s="15" t="n">
        <f aca="false">IF(OR(B96="",B95=""),0,IF(C96&lt;&gt;C95,1,0))</f>
        <v>0</v>
      </c>
      <c r="F96" s="13" t="n">
        <f aca="false">IF(OR(B96="",B95=""),0,B95-B96)</f>
        <v>0.909090909090878</v>
      </c>
      <c r="G96" s="13" t="n">
        <f aca="false">F96-Beta_y</f>
        <v>-3.09752223870419E-014</v>
      </c>
    </row>
    <row r="97" customFormat="false" ht="15" hidden="false" customHeight="false" outlineLevel="0" collapsed="false">
      <c r="A97" s="15" t="n">
        <v>73</v>
      </c>
      <c r="B97" s="17" t="n">
        <f aca="false">IF(COUNTIFS(Sch_S6,"&gt;="&amp;(Bound_S-0.000000001),Sch_bmax,"&gt;="&amp;(A97-0.000000001))=0,"",_xlfn.MAXIFS(Sch_P0,Sch_S6,"&gt;="&amp;(Bound_S-0.000000001),Sch_bmax,"&gt;="&amp;(A97-0.000000001))-Beta_y*A97)</f>
        <v>264.088349201636</v>
      </c>
      <c r="C97" s="15" t="n">
        <f aca="false">IF(B97="","",_xlfn.MINIFS(Sch_idx,Sch_S6,"&gt;="&amp;(Bound_S-0.000000001),Sch_bmax,"&gt;="&amp;(A97-0.000000001),Sch_P0,"&gt;="&amp;(B97+Beta_y*A97-0.000000001)))</f>
        <v>56</v>
      </c>
      <c r="D97" s="2" t="str">
        <f aca="false">IF(B97="","",INDEX(Sch_label,C97+1))</f>
        <v>1–3</v>
      </c>
      <c r="E97" s="15" t="n">
        <f aca="false">IF(OR(B97="",B96=""),0,IF(C97&lt;&gt;C96,1,0))</f>
        <v>0</v>
      </c>
      <c r="F97" s="13" t="n">
        <f aca="false">IF(OR(B97="",B96=""),0,B96-B97)</f>
        <v>0.909090909090935</v>
      </c>
      <c r="G97" s="13" t="n">
        <f aca="false">F97-Beta_y</f>
        <v>2.58681964737661E-014</v>
      </c>
    </row>
    <row r="98" customFormat="false" ht="15" hidden="false" customHeight="false" outlineLevel="0" collapsed="false">
      <c r="A98" s="15" t="n">
        <v>74</v>
      </c>
      <c r="B98" s="17" t="n">
        <f aca="false">IF(COUNTIFS(Sch_S6,"&gt;="&amp;(Bound_S-0.000000001),Sch_bmax,"&gt;="&amp;(A98-0.000000001))=0,"",_xlfn.MAXIFS(Sch_P0,Sch_S6,"&gt;="&amp;(Bound_S-0.000000001),Sch_bmax,"&gt;="&amp;(A98-0.000000001))-Beta_y*A98)</f>
        <v>263.179258292545</v>
      </c>
      <c r="C98" s="15" t="n">
        <f aca="false">IF(B98="","",_xlfn.MINIFS(Sch_idx,Sch_S6,"&gt;="&amp;(Bound_S-0.000000001),Sch_bmax,"&gt;="&amp;(A98-0.000000001),Sch_P0,"&gt;="&amp;(B98+Beta_y*A98-0.000000001)))</f>
        <v>56</v>
      </c>
      <c r="D98" s="2" t="str">
        <f aca="false">IF(B98="","",INDEX(Sch_label,C98+1))</f>
        <v>1–3</v>
      </c>
      <c r="E98" s="15" t="n">
        <f aca="false">IF(OR(B98="",B97=""),0,IF(C98&lt;&gt;C97,1,0))</f>
        <v>0</v>
      </c>
      <c r="F98" s="13" t="n">
        <f aca="false">IF(OR(B98="",B97=""),0,B97-B98)</f>
        <v>0.909090909090878</v>
      </c>
      <c r="G98" s="13" t="n">
        <f aca="false">F98-Beta_y</f>
        <v>-3.09752223870419E-014</v>
      </c>
    </row>
    <row r="99" customFormat="false" ht="15" hidden="false" customHeight="false" outlineLevel="0" collapsed="false">
      <c r="A99" s="15" t="n">
        <v>75</v>
      </c>
      <c r="B99" s="17" t="n">
        <f aca="false">IF(COUNTIFS(Sch_S6,"&gt;="&amp;(Bound_S-0.000000001),Sch_bmax,"&gt;="&amp;(A99-0.000000001))=0,"",_xlfn.MAXIFS(Sch_P0,Sch_S6,"&gt;="&amp;(Bound_S-0.000000001),Sch_bmax,"&gt;="&amp;(A99-0.000000001))-Beta_y*A99)</f>
        <v>262.270167383454</v>
      </c>
      <c r="C99" s="15" t="n">
        <f aca="false">IF(B99="","",_xlfn.MINIFS(Sch_idx,Sch_S6,"&gt;="&amp;(Bound_S-0.000000001),Sch_bmax,"&gt;="&amp;(A99-0.000000001),Sch_P0,"&gt;="&amp;(B99+Beta_y*A99-0.000000001)))</f>
        <v>56</v>
      </c>
      <c r="D99" s="2" t="str">
        <f aca="false">IF(B99="","",INDEX(Sch_label,C99+1))</f>
        <v>1–3</v>
      </c>
      <c r="E99" s="15" t="n">
        <f aca="false">IF(OR(B99="",B98=""),0,IF(C99&lt;&gt;C98,1,0))</f>
        <v>0</v>
      </c>
      <c r="F99" s="13" t="n">
        <f aca="false">IF(OR(B99="",B98=""),0,B98-B99)</f>
        <v>0.909090909090935</v>
      </c>
      <c r="G99" s="13" t="n">
        <f aca="false">F99-Beta_y</f>
        <v>2.58681964737661E-014</v>
      </c>
    </row>
    <row r="100" customFormat="false" ht="15" hidden="false" customHeight="false" outlineLevel="0" collapsed="false">
      <c r="A100" s="15" t="n">
        <v>76</v>
      </c>
      <c r="B100" s="17" t="n">
        <f aca="false">IF(COUNTIFS(Sch_S6,"&gt;="&amp;(Bound_S-0.000000001),Sch_bmax,"&gt;="&amp;(A100-0.000000001))=0,"",_xlfn.MAXIFS(Sch_P0,Sch_S6,"&gt;="&amp;(Bound_S-0.000000001),Sch_bmax,"&gt;="&amp;(A100-0.000000001))-Beta_y*A100)</f>
        <v>261.361076474364</v>
      </c>
      <c r="C100" s="15" t="n">
        <f aca="false">IF(B100="","",_xlfn.MINIFS(Sch_idx,Sch_S6,"&gt;="&amp;(Bound_S-0.000000001),Sch_bmax,"&gt;="&amp;(A100-0.000000001),Sch_P0,"&gt;="&amp;(B100+Beta_y*A100-0.000000001)))</f>
        <v>56</v>
      </c>
      <c r="D100" s="2" t="str">
        <f aca="false">IF(B100="","",INDEX(Sch_label,C100+1))</f>
        <v>1–3</v>
      </c>
      <c r="E100" s="15" t="n">
        <f aca="false">IF(OR(B100="",B99=""),0,IF(C100&lt;&gt;C99,1,0))</f>
        <v>0</v>
      </c>
      <c r="F100" s="13" t="n">
        <f aca="false">IF(OR(B100="",B99=""),0,B99-B100)</f>
        <v>0.909090909090878</v>
      </c>
      <c r="G100" s="13" t="n">
        <f aca="false">F100-Beta_y</f>
        <v>-3.09752223870419E-014</v>
      </c>
    </row>
    <row r="101" customFormat="false" ht="15" hidden="false" customHeight="false" outlineLevel="0" collapsed="false">
      <c r="A101" s="15" t="n">
        <v>77</v>
      </c>
      <c r="B101" s="17" t="n">
        <f aca="false">IF(COUNTIFS(Sch_S6,"&gt;="&amp;(Bound_S-0.000000001),Sch_bmax,"&gt;="&amp;(A101-0.000000001))=0,"",_xlfn.MAXIFS(Sch_P0,Sch_S6,"&gt;="&amp;(Bound_S-0.000000001),Sch_bmax,"&gt;="&amp;(A101-0.000000001))-Beta_y*A101)</f>
        <v>260.451985565273</v>
      </c>
      <c r="C101" s="15" t="n">
        <f aca="false">IF(B101="","",_xlfn.MINIFS(Sch_idx,Sch_S6,"&gt;="&amp;(Bound_S-0.000000001),Sch_bmax,"&gt;="&amp;(A101-0.000000001),Sch_P0,"&gt;="&amp;(B101+Beta_y*A101-0.000000001)))</f>
        <v>56</v>
      </c>
      <c r="D101" s="2" t="str">
        <f aca="false">IF(B101="","",INDEX(Sch_label,C101+1))</f>
        <v>1–3</v>
      </c>
      <c r="E101" s="15" t="n">
        <f aca="false">IF(OR(B101="",B100=""),0,IF(C101&lt;&gt;C100,1,0))</f>
        <v>0</v>
      </c>
      <c r="F101" s="13" t="n">
        <f aca="false">IF(OR(B101="",B100=""),0,B100-B101)</f>
        <v>0.909090909090935</v>
      </c>
      <c r="G101" s="13" t="n">
        <f aca="false">F101-Beta_y</f>
        <v>2.58681964737661E-014</v>
      </c>
    </row>
    <row r="102" customFormat="false" ht="15" hidden="false" customHeight="false" outlineLevel="0" collapsed="false">
      <c r="A102" s="15" t="n">
        <v>78</v>
      </c>
      <c r="B102" s="17" t="n">
        <f aca="false">IF(COUNTIFS(Sch_S6,"&gt;="&amp;(Bound_S-0.000000001),Sch_bmax,"&gt;="&amp;(A102-0.000000001))=0,"",_xlfn.MAXIFS(Sch_P0,Sch_S6,"&gt;="&amp;(Bound_S-0.000000001),Sch_bmax,"&gt;="&amp;(A102-0.000000001))-Beta_y*A102)</f>
        <v>259.542894656182</v>
      </c>
      <c r="C102" s="15" t="n">
        <f aca="false">IF(B102="","",_xlfn.MINIFS(Sch_idx,Sch_S6,"&gt;="&amp;(Bound_S-0.000000001),Sch_bmax,"&gt;="&amp;(A102-0.000000001),Sch_P0,"&gt;="&amp;(B102+Beta_y*A102-0.000000001)))</f>
        <v>56</v>
      </c>
      <c r="D102" s="2" t="str">
        <f aca="false">IF(B102="","",INDEX(Sch_label,C102+1))</f>
        <v>1–3</v>
      </c>
      <c r="E102" s="15" t="n">
        <f aca="false">IF(OR(B102="",B101=""),0,IF(C102&lt;&gt;C101,1,0))</f>
        <v>0</v>
      </c>
      <c r="F102" s="13" t="n">
        <f aca="false">IF(OR(B102="",B101=""),0,B101-B102)</f>
        <v>0.909090909090935</v>
      </c>
      <c r="G102" s="13" t="n">
        <f aca="false">F102-Beta_y</f>
        <v>2.58681964737661E-014</v>
      </c>
    </row>
    <row r="103" customFormat="false" ht="15" hidden="false" customHeight="false" outlineLevel="0" collapsed="false">
      <c r="A103" s="15" t="n">
        <v>79</v>
      </c>
      <c r="B103" s="17" t="n">
        <f aca="false">IF(COUNTIFS(Sch_S6,"&gt;="&amp;(Bound_S-0.000000001),Sch_bmax,"&gt;="&amp;(A103-0.000000001))=0,"",_xlfn.MAXIFS(Sch_P0,Sch_S6,"&gt;="&amp;(Bound_S-0.000000001),Sch_bmax,"&gt;="&amp;(A103-0.000000001))-Beta_y*A103)</f>
        <v>258.633803747091</v>
      </c>
      <c r="C103" s="15" t="n">
        <f aca="false">IF(B103="","",_xlfn.MINIFS(Sch_idx,Sch_S6,"&gt;="&amp;(Bound_S-0.000000001),Sch_bmax,"&gt;="&amp;(A103-0.000000001),Sch_P0,"&gt;="&amp;(B103+Beta_y*A103-0.000000001)))</f>
        <v>56</v>
      </c>
      <c r="D103" s="2" t="str">
        <f aca="false">IF(B103="","",INDEX(Sch_label,C103+1))</f>
        <v>1–3</v>
      </c>
      <c r="E103" s="15" t="n">
        <f aca="false">IF(OR(B103="",B102=""),0,IF(C103&lt;&gt;C102,1,0))</f>
        <v>0</v>
      </c>
      <c r="F103" s="13" t="n">
        <f aca="false">IF(OR(B103="",B102=""),0,B102-B103)</f>
        <v>0.909090909090878</v>
      </c>
      <c r="G103" s="13" t="n">
        <f aca="false">F103-Beta_y</f>
        <v>-3.09752223870419E-014</v>
      </c>
    </row>
    <row r="104" customFormat="false" ht="15" hidden="false" customHeight="false" outlineLevel="0" collapsed="false">
      <c r="A104" s="15" t="n">
        <v>80</v>
      </c>
      <c r="B104" s="17" t="n">
        <f aca="false">IF(COUNTIFS(Sch_S6,"&gt;="&amp;(Bound_S-0.000000001),Sch_bmax,"&gt;="&amp;(A104-0.000000001))=0,"",_xlfn.MAXIFS(Sch_P0,Sch_S6,"&gt;="&amp;(Bound_S-0.000000001),Sch_bmax,"&gt;="&amp;(A104-0.000000001))-Beta_y*A104)</f>
        <v>257.724712838</v>
      </c>
      <c r="C104" s="15" t="n">
        <f aca="false">IF(B104="","",_xlfn.MINIFS(Sch_idx,Sch_S6,"&gt;="&amp;(Bound_S-0.000000001),Sch_bmax,"&gt;="&amp;(A104-0.000000001),Sch_P0,"&gt;="&amp;(B104+Beta_y*A104-0.000000001)))</f>
        <v>56</v>
      </c>
      <c r="D104" s="2" t="str">
        <f aca="false">IF(B104="","",INDEX(Sch_label,C104+1))</f>
        <v>1–3</v>
      </c>
      <c r="E104" s="15" t="n">
        <f aca="false">IF(OR(B104="",B103=""),0,IF(C104&lt;&gt;C103,1,0))</f>
        <v>0</v>
      </c>
      <c r="F104" s="13" t="n">
        <f aca="false">IF(OR(B104="",B103=""),0,B103-B104)</f>
        <v>0.909090909090878</v>
      </c>
      <c r="G104" s="13" t="n">
        <f aca="false">F104-Beta_y</f>
        <v>-3.09752223870419E-014</v>
      </c>
    </row>
    <row r="105" customFormat="false" ht="15" hidden="false" customHeight="false" outlineLevel="0" collapsed="false">
      <c r="A105" s="15" t="n">
        <v>81</v>
      </c>
      <c r="B105" s="17" t="n">
        <f aca="false">IF(COUNTIFS(Sch_S6,"&gt;="&amp;(Bound_S-0.000000001),Sch_bmax,"&gt;="&amp;(A105-0.000000001))=0,"",_xlfn.MAXIFS(Sch_P0,Sch_S6,"&gt;="&amp;(Bound_S-0.000000001),Sch_bmax,"&gt;="&amp;(A105-0.000000001))-Beta_y*A105)</f>
        <v>256.815621928909</v>
      </c>
      <c r="C105" s="15" t="n">
        <f aca="false">IF(B105="","",_xlfn.MINIFS(Sch_idx,Sch_S6,"&gt;="&amp;(Bound_S-0.000000001),Sch_bmax,"&gt;="&amp;(A105-0.000000001),Sch_P0,"&gt;="&amp;(B105+Beta_y*A105-0.000000001)))</f>
        <v>56</v>
      </c>
      <c r="D105" s="2" t="str">
        <f aca="false">IF(B105="","",INDEX(Sch_label,C105+1))</f>
        <v>1–3</v>
      </c>
      <c r="E105" s="15" t="n">
        <f aca="false">IF(OR(B105="",B104=""),0,IF(C105&lt;&gt;C104,1,0))</f>
        <v>0</v>
      </c>
      <c r="F105" s="13" t="n">
        <f aca="false">IF(OR(B105="",B104=""),0,B104-B105)</f>
        <v>0.909090909090935</v>
      </c>
      <c r="G105" s="13" t="n">
        <f aca="false">F105-Beta_y</f>
        <v>2.58681964737661E-014</v>
      </c>
    </row>
    <row r="106" customFormat="false" ht="15" hidden="false" customHeight="false" outlineLevel="0" collapsed="false">
      <c r="A106" s="15" t="n">
        <v>82</v>
      </c>
      <c r="B106" s="17" t="n">
        <f aca="false">IF(COUNTIFS(Sch_S6,"&gt;="&amp;(Bound_S-0.000000001),Sch_bmax,"&gt;="&amp;(A106-0.000000001))=0,"",_xlfn.MAXIFS(Sch_P0,Sch_S6,"&gt;="&amp;(Bound_S-0.000000001),Sch_bmax,"&gt;="&amp;(A106-0.000000001))-Beta_y*A106)</f>
        <v>255.906531019818</v>
      </c>
      <c r="C106" s="15" t="n">
        <f aca="false">IF(B106="","",_xlfn.MINIFS(Sch_idx,Sch_S6,"&gt;="&amp;(Bound_S-0.000000001),Sch_bmax,"&gt;="&amp;(A106-0.000000001),Sch_P0,"&gt;="&amp;(B106+Beta_y*A106-0.000000001)))</f>
        <v>56</v>
      </c>
      <c r="D106" s="2" t="str">
        <f aca="false">IF(B106="","",INDEX(Sch_label,C106+1))</f>
        <v>1–3</v>
      </c>
      <c r="E106" s="15" t="n">
        <f aca="false">IF(OR(B106="",B105=""),0,IF(C106&lt;&gt;C105,1,0))</f>
        <v>0</v>
      </c>
      <c r="F106" s="13" t="n">
        <f aca="false">IF(OR(B106="",B105=""),0,B105-B106)</f>
        <v>0.909090909090935</v>
      </c>
      <c r="G106" s="13" t="n">
        <f aca="false">F106-Beta_y</f>
        <v>2.58681964737661E-014</v>
      </c>
    </row>
    <row r="107" customFormat="false" ht="15" hidden="false" customHeight="false" outlineLevel="0" collapsed="false">
      <c r="A107" s="15" t="n">
        <v>83</v>
      </c>
      <c r="B107" s="17" t="n">
        <f aca="false">IF(COUNTIFS(Sch_S6,"&gt;="&amp;(Bound_S-0.000000001),Sch_bmax,"&gt;="&amp;(A107-0.000000001))=0,"",_xlfn.MAXIFS(Sch_P0,Sch_S6,"&gt;="&amp;(Bound_S-0.000000001),Sch_bmax,"&gt;="&amp;(A107-0.000000001))-Beta_y*A107)</f>
        <v>254.997440110727</v>
      </c>
      <c r="C107" s="15" t="n">
        <f aca="false">IF(B107="","",_xlfn.MINIFS(Sch_idx,Sch_S6,"&gt;="&amp;(Bound_S-0.000000001),Sch_bmax,"&gt;="&amp;(A107-0.000000001),Sch_P0,"&gt;="&amp;(B107+Beta_y*A107-0.000000001)))</f>
        <v>56</v>
      </c>
      <c r="D107" s="2" t="str">
        <f aca="false">IF(B107="","",INDEX(Sch_label,C107+1))</f>
        <v>1–3</v>
      </c>
      <c r="E107" s="15" t="n">
        <f aca="false">IF(OR(B107="",B106=""),0,IF(C107&lt;&gt;C106,1,0))</f>
        <v>0</v>
      </c>
      <c r="F107" s="13" t="n">
        <f aca="false">IF(OR(B107="",B106=""),0,B106-B107)</f>
        <v>0.909090909090878</v>
      </c>
      <c r="G107" s="13" t="n">
        <f aca="false">F107-Beta_y</f>
        <v>-3.09752223870419E-014</v>
      </c>
    </row>
    <row r="108" customFormat="false" ht="15" hidden="false" customHeight="false" outlineLevel="0" collapsed="false">
      <c r="A108" s="15" t="n">
        <v>84</v>
      </c>
      <c r="B108" s="17" t="n">
        <f aca="false">IF(COUNTIFS(Sch_S6,"&gt;="&amp;(Bound_S-0.000000001),Sch_bmax,"&gt;="&amp;(A108-0.000000001))=0,"",_xlfn.MAXIFS(Sch_P0,Sch_S6,"&gt;="&amp;(Bound_S-0.000000001),Sch_bmax,"&gt;="&amp;(A108-0.000000001))-Beta_y*A108)</f>
        <v>254.088349201636</v>
      </c>
      <c r="C108" s="15" t="n">
        <f aca="false">IF(B108="","",_xlfn.MINIFS(Sch_idx,Sch_S6,"&gt;="&amp;(Bound_S-0.000000001),Sch_bmax,"&gt;="&amp;(A108-0.000000001),Sch_P0,"&gt;="&amp;(B108+Beta_y*A108-0.000000001)))</f>
        <v>56</v>
      </c>
      <c r="D108" s="2" t="str">
        <f aca="false">IF(B108="","",INDEX(Sch_label,C108+1))</f>
        <v>1–3</v>
      </c>
      <c r="E108" s="15" t="n">
        <f aca="false">IF(OR(B108="",B107=""),0,IF(C108&lt;&gt;C107,1,0))</f>
        <v>0</v>
      </c>
      <c r="F108" s="13" t="n">
        <f aca="false">IF(OR(B108="",B107=""),0,B107-B108)</f>
        <v>0.909090909090935</v>
      </c>
      <c r="G108" s="13" t="n">
        <f aca="false">F108-Beta_y</f>
        <v>2.58681964737661E-014</v>
      </c>
    </row>
    <row r="109" customFormat="false" ht="15" hidden="false" customHeight="false" outlineLevel="0" collapsed="false">
      <c r="A109" s="15" t="n">
        <v>85</v>
      </c>
      <c r="B109" s="17" t="n">
        <f aca="false">IF(COUNTIFS(Sch_S6,"&gt;="&amp;(Bound_S-0.000000001),Sch_bmax,"&gt;="&amp;(A109-0.000000001))=0,"",_xlfn.MAXIFS(Sch_P0,Sch_S6,"&gt;="&amp;(Bound_S-0.000000001),Sch_bmax,"&gt;="&amp;(A109-0.000000001))-Beta_y*A109)</f>
        <v>253.179258292545</v>
      </c>
      <c r="C109" s="15" t="n">
        <f aca="false">IF(B109="","",_xlfn.MINIFS(Sch_idx,Sch_S6,"&gt;="&amp;(Bound_S-0.000000001),Sch_bmax,"&gt;="&amp;(A109-0.000000001),Sch_P0,"&gt;="&amp;(B109+Beta_y*A109-0.000000001)))</f>
        <v>56</v>
      </c>
      <c r="D109" s="2" t="str">
        <f aca="false">IF(B109="","",INDEX(Sch_label,C109+1))</f>
        <v>1–3</v>
      </c>
      <c r="E109" s="15" t="n">
        <f aca="false">IF(OR(B109="",B108=""),0,IF(C109&lt;&gt;C108,1,0))</f>
        <v>0</v>
      </c>
      <c r="F109" s="13" t="n">
        <f aca="false">IF(OR(B109="",B108=""),0,B108-B109)</f>
        <v>0.909090909090878</v>
      </c>
      <c r="G109" s="13" t="n">
        <f aca="false">F109-Beta_y</f>
        <v>-3.09752223870419E-014</v>
      </c>
    </row>
    <row r="110" customFormat="false" ht="15" hidden="false" customHeight="false" outlineLevel="0" collapsed="false">
      <c r="A110" s="15" t="n">
        <v>86</v>
      </c>
      <c r="B110" s="17" t="n">
        <f aca="false">IF(COUNTIFS(Sch_S6,"&gt;="&amp;(Bound_S-0.000000001),Sch_bmax,"&gt;="&amp;(A110-0.000000001))=0,"",_xlfn.MAXIFS(Sch_P0,Sch_S6,"&gt;="&amp;(Bound_S-0.000000001),Sch_bmax,"&gt;="&amp;(A110-0.000000001))-Beta_y*A110)</f>
        <v>248.250633198631</v>
      </c>
      <c r="C110" s="15" t="n">
        <f aca="false">IF(B110="","",_xlfn.MINIFS(Sch_idx,Sch_S6,"&gt;="&amp;(Bound_S-0.000000001),Sch_bmax,"&gt;="&amp;(A110-0.000000001),Sch_P0,"&gt;="&amp;(B110+Beta_y*A110-0.000000001)))</f>
        <v>52</v>
      </c>
      <c r="D110" s="2" t="str">
        <f aca="false">IF(B110="","",INDEX(Sch_label,C110+1))</f>
        <v>1, 2, 4</v>
      </c>
      <c r="E110" s="15" t="n">
        <f aca="false">IF(OR(B110="",B109=""),0,IF(C110&lt;&gt;C109,1,0))</f>
        <v>1</v>
      </c>
      <c r="F110" s="13" t="n">
        <f aca="false">IF(OR(B110="",B109=""),0,B109-B110)</f>
        <v>4.92862509391438</v>
      </c>
      <c r="G110" s="13" t="n">
        <f aca="false">F110-Beta_y</f>
        <v>4.01953418482347</v>
      </c>
    </row>
    <row r="111" customFormat="false" ht="15" hidden="false" customHeight="false" outlineLevel="0" collapsed="false">
      <c r="A111" s="15" t="n">
        <v>87</v>
      </c>
      <c r="B111" s="17" t="n">
        <f aca="false">IF(COUNTIFS(Sch_S6,"&gt;="&amp;(Bound_S-0.000000001),Sch_bmax,"&gt;="&amp;(A111-0.000000001))=0,"",_xlfn.MAXIFS(Sch_P0,Sch_S6,"&gt;="&amp;(Bound_S-0.000000001),Sch_bmax,"&gt;="&amp;(A111-0.000000001))-Beta_y*A111)</f>
        <v>247.34154228954</v>
      </c>
      <c r="C111" s="15" t="n">
        <f aca="false">IF(B111="","",_xlfn.MINIFS(Sch_idx,Sch_S6,"&gt;="&amp;(Bound_S-0.000000001),Sch_bmax,"&gt;="&amp;(A111-0.000000001),Sch_P0,"&gt;="&amp;(B111+Beta_y*A111-0.000000001)))</f>
        <v>52</v>
      </c>
      <c r="D111" s="2" t="str">
        <f aca="false">IF(B111="","",INDEX(Sch_label,C111+1))</f>
        <v>1, 2, 4</v>
      </c>
      <c r="E111" s="15" t="n">
        <f aca="false">IF(OR(B111="",B110=""),0,IF(C111&lt;&gt;C110,1,0))</f>
        <v>0</v>
      </c>
      <c r="F111" s="13" t="n">
        <f aca="false">IF(OR(B111="",B110=""),0,B110-B111)</f>
        <v>0.909090909090907</v>
      </c>
      <c r="G111" s="13" t="n">
        <f aca="false">F111-Beta_y</f>
        <v>0</v>
      </c>
    </row>
    <row r="112" customFormat="false" ht="15" hidden="false" customHeight="false" outlineLevel="0" collapsed="false">
      <c r="A112" s="15" t="n">
        <v>88</v>
      </c>
      <c r="B112" s="17" t="n">
        <f aca="false">IF(COUNTIFS(Sch_S6,"&gt;="&amp;(Bound_S-0.000000001),Sch_bmax,"&gt;="&amp;(A112-0.000000001))=0,"",_xlfn.MAXIFS(Sch_P0,Sch_S6,"&gt;="&amp;(Bound_S-0.000000001),Sch_bmax,"&gt;="&amp;(A112-0.000000001))-Beta_y*A112)</f>
        <v>246.432451380449</v>
      </c>
      <c r="C112" s="15" t="n">
        <f aca="false">IF(B112="","",_xlfn.MINIFS(Sch_idx,Sch_S6,"&gt;="&amp;(Bound_S-0.000000001),Sch_bmax,"&gt;="&amp;(A112-0.000000001),Sch_P0,"&gt;="&amp;(B112+Beta_y*A112-0.000000001)))</f>
        <v>52</v>
      </c>
      <c r="D112" s="2" t="str">
        <f aca="false">IF(B112="","",INDEX(Sch_label,C112+1))</f>
        <v>1, 2, 4</v>
      </c>
      <c r="E112" s="15" t="n">
        <f aca="false">IF(OR(B112="",B111=""),0,IF(C112&lt;&gt;C111,1,0))</f>
        <v>0</v>
      </c>
      <c r="F112" s="13" t="n">
        <f aca="false">IF(OR(B112="",B111=""),0,B111-B112)</f>
        <v>0.909090909090907</v>
      </c>
      <c r="G112" s="13" t="n">
        <f aca="false">F112-Beta_y</f>
        <v>0</v>
      </c>
    </row>
    <row r="113" customFormat="false" ht="15" hidden="false" customHeight="false" outlineLevel="0" collapsed="false">
      <c r="A113" s="15" t="n">
        <v>89</v>
      </c>
      <c r="B113" s="17" t="n">
        <f aca="false">IF(COUNTIFS(Sch_S6,"&gt;="&amp;(Bound_S-0.000000001),Sch_bmax,"&gt;="&amp;(A113-0.000000001))=0,"",_xlfn.MAXIFS(Sch_P0,Sch_S6,"&gt;="&amp;(Bound_S-0.000000001),Sch_bmax,"&gt;="&amp;(A113-0.000000001))-Beta_y*A113)</f>
        <v>245.523360471358</v>
      </c>
      <c r="C113" s="15" t="n">
        <f aca="false">IF(B113="","",_xlfn.MINIFS(Sch_idx,Sch_S6,"&gt;="&amp;(Bound_S-0.000000001),Sch_bmax,"&gt;="&amp;(A113-0.000000001),Sch_P0,"&gt;="&amp;(B113+Beta_y*A113-0.000000001)))</f>
        <v>52</v>
      </c>
      <c r="D113" s="2" t="str">
        <f aca="false">IF(B113="","",INDEX(Sch_label,C113+1))</f>
        <v>1, 2, 4</v>
      </c>
      <c r="E113" s="15" t="n">
        <f aca="false">IF(OR(B113="",B112=""),0,IF(C113&lt;&gt;C112,1,0))</f>
        <v>0</v>
      </c>
      <c r="F113" s="13" t="n">
        <f aca="false">IF(OR(B113="",B112=""),0,B112-B113)</f>
        <v>0.909090909090907</v>
      </c>
      <c r="G113" s="13" t="n">
        <f aca="false">F113-Beta_y</f>
        <v>0</v>
      </c>
    </row>
    <row r="114" customFormat="false" ht="15" hidden="false" customHeight="false" outlineLevel="0" collapsed="false">
      <c r="A114" s="15" t="n">
        <v>90</v>
      </c>
      <c r="B114" s="17" t="n">
        <f aca="false">IF(COUNTIFS(Sch_S6,"&gt;="&amp;(Bound_S-0.000000001),Sch_bmax,"&gt;="&amp;(A114-0.000000001))=0,"",_xlfn.MAXIFS(Sch_P0,Sch_S6,"&gt;="&amp;(Bound_S-0.000000001),Sch_bmax,"&gt;="&amp;(A114-0.000000001))-Beta_y*A114)</f>
        <v>244.614269562267</v>
      </c>
      <c r="C114" s="15" t="n">
        <f aca="false">IF(B114="","",_xlfn.MINIFS(Sch_idx,Sch_S6,"&gt;="&amp;(Bound_S-0.000000001),Sch_bmax,"&gt;="&amp;(A114-0.000000001),Sch_P0,"&gt;="&amp;(B114+Beta_y*A114-0.000000001)))</f>
        <v>52</v>
      </c>
      <c r="D114" s="2" t="str">
        <f aca="false">IF(B114="","",INDEX(Sch_label,C114+1))</f>
        <v>1, 2, 4</v>
      </c>
      <c r="E114" s="15" t="n">
        <f aca="false">IF(OR(B114="",B113=""),0,IF(C114&lt;&gt;C113,1,0))</f>
        <v>0</v>
      </c>
      <c r="F114" s="13" t="n">
        <f aca="false">IF(OR(B114="",B113=""),0,B113-B114)</f>
        <v>0.909090909090907</v>
      </c>
      <c r="G114" s="13" t="n">
        <f aca="false">F114-Beta_y</f>
        <v>0</v>
      </c>
    </row>
    <row r="115" customFormat="false" ht="15" hidden="false" customHeight="false" outlineLevel="0" collapsed="false">
      <c r="A115" s="15" t="n">
        <v>91</v>
      </c>
      <c r="B115" s="17" t="n">
        <f aca="false">IF(COUNTIFS(Sch_S6,"&gt;="&amp;(Bound_S-0.000000001),Sch_bmax,"&gt;="&amp;(A115-0.000000001))=0,"",_xlfn.MAXIFS(Sch_P0,Sch_S6,"&gt;="&amp;(Bound_S-0.000000001),Sch_bmax,"&gt;="&amp;(A115-0.000000001))-Beta_y*A115)</f>
        <v>243.705178653177</v>
      </c>
      <c r="C115" s="15" t="n">
        <f aca="false">IF(B115="","",_xlfn.MINIFS(Sch_idx,Sch_S6,"&gt;="&amp;(Bound_S-0.000000001),Sch_bmax,"&gt;="&amp;(A115-0.000000001),Sch_P0,"&gt;="&amp;(B115+Beta_y*A115-0.000000001)))</f>
        <v>52</v>
      </c>
      <c r="D115" s="2" t="str">
        <f aca="false">IF(B115="","",INDEX(Sch_label,C115+1))</f>
        <v>1, 2, 4</v>
      </c>
      <c r="E115" s="15" t="n">
        <f aca="false">IF(OR(B115="",B114=""),0,IF(C115&lt;&gt;C114,1,0))</f>
        <v>0</v>
      </c>
      <c r="F115" s="13" t="n">
        <f aca="false">IF(OR(B115="",B114=""),0,B114-B115)</f>
        <v>0.909090909090907</v>
      </c>
      <c r="G115" s="13" t="n">
        <f aca="false">F115-Beta_y</f>
        <v>0</v>
      </c>
    </row>
    <row r="116" customFormat="false" ht="15" hidden="false" customHeight="false" outlineLevel="0" collapsed="false">
      <c r="A116" s="15" t="n">
        <v>92</v>
      </c>
      <c r="B116" s="17" t="n">
        <f aca="false">IF(COUNTIFS(Sch_S6,"&gt;="&amp;(Bound_S-0.000000001),Sch_bmax,"&gt;="&amp;(A116-0.000000001))=0,"",_xlfn.MAXIFS(Sch_P0,Sch_S6,"&gt;="&amp;(Bound_S-0.000000001),Sch_bmax,"&gt;="&amp;(A116-0.000000001))-Beta_y*A116)</f>
        <v>242.796087744086</v>
      </c>
      <c r="C116" s="15" t="n">
        <f aca="false">IF(B116="","",_xlfn.MINIFS(Sch_idx,Sch_S6,"&gt;="&amp;(Bound_S-0.000000001),Sch_bmax,"&gt;="&amp;(A116-0.000000001),Sch_P0,"&gt;="&amp;(B116+Beta_y*A116-0.000000001)))</f>
        <v>52</v>
      </c>
      <c r="D116" s="2" t="str">
        <f aca="false">IF(B116="","",INDEX(Sch_label,C116+1))</f>
        <v>1, 2, 4</v>
      </c>
      <c r="E116" s="15" t="n">
        <f aca="false">IF(OR(B116="",B115=""),0,IF(C116&lt;&gt;C115,1,0))</f>
        <v>0</v>
      </c>
      <c r="F116" s="13" t="n">
        <f aca="false">IF(OR(B116="",B115=""),0,B115-B116)</f>
        <v>0.909090909090907</v>
      </c>
      <c r="G116" s="13" t="n">
        <f aca="false">F116-Beta_y</f>
        <v>0</v>
      </c>
    </row>
    <row r="117" customFormat="false" ht="15" hidden="false" customHeight="false" outlineLevel="0" collapsed="false">
      <c r="A117" s="15" t="n">
        <v>93</v>
      </c>
      <c r="B117" s="17" t="n">
        <f aca="false">IF(COUNTIFS(Sch_S6,"&gt;="&amp;(Bound_S-0.000000001),Sch_bmax,"&gt;="&amp;(A117-0.000000001))=0,"",_xlfn.MAXIFS(Sch_P0,Sch_S6,"&gt;="&amp;(Bound_S-0.000000001),Sch_bmax,"&gt;="&amp;(A117-0.000000001))-Beta_y*A117)</f>
        <v>241.886996834995</v>
      </c>
      <c r="C117" s="15" t="n">
        <f aca="false">IF(B117="","",_xlfn.MINIFS(Sch_idx,Sch_S6,"&gt;="&amp;(Bound_S-0.000000001),Sch_bmax,"&gt;="&amp;(A117-0.000000001),Sch_P0,"&gt;="&amp;(B117+Beta_y*A117-0.000000001)))</f>
        <v>52</v>
      </c>
      <c r="D117" s="2" t="str">
        <f aca="false">IF(B117="","",INDEX(Sch_label,C117+1))</f>
        <v>1, 2, 4</v>
      </c>
      <c r="E117" s="15" t="n">
        <f aca="false">IF(OR(B117="",B116=""),0,IF(C117&lt;&gt;C116,1,0))</f>
        <v>0</v>
      </c>
      <c r="F117" s="13" t="n">
        <f aca="false">IF(OR(B117="",B116=""),0,B116-B117)</f>
        <v>0.909090909090935</v>
      </c>
      <c r="G117" s="13" t="n">
        <f aca="false">F117-Beta_y</f>
        <v>2.58681964737661E-014</v>
      </c>
    </row>
    <row r="118" customFormat="false" ht="15" hidden="false" customHeight="false" outlineLevel="0" collapsed="false">
      <c r="A118" s="15" t="n">
        <v>94</v>
      </c>
      <c r="B118" s="17" t="n">
        <f aca="false">IF(COUNTIFS(Sch_S6,"&gt;="&amp;(Bound_S-0.000000001),Sch_bmax,"&gt;="&amp;(A118-0.000000001))=0,"",_xlfn.MAXIFS(Sch_P0,Sch_S6,"&gt;="&amp;(Bound_S-0.000000001),Sch_bmax,"&gt;="&amp;(A118-0.000000001))-Beta_y*A118)</f>
        <v>240.977905925904</v>
      </c>
      <c r="C118" s="15" t="n">
        <f aca="false">IF(B118="","",_xlfn.MINIFS(Sch_idx,Sch_S6,"&gt;="&amp;(Bound_S-0.000000001),Sch_bmax,"&gt;="&amp;(A118-0.000000001),Sch_P0,"&gt;="&amp;(B118+Beta_y*A118-0.000000001)))</f>
        <v>52</v>
      </c>
      <c r="D118" s="2" t="str">
        <f aca="false">IF(B118="","",INDEX(Sch_label,C118+1))</f>
        <v>1, 2, 4</v>
      </c>
      <c r="E118" s="15" t="n">
        <f aca="false">IF(OR(B118="",B117=""),0,IF(C118&lt;&gt;C117,1,0))</f>
        <v>0</v>
      </c>
      <c r="F118" s="13" t="n">
        <f aca="false">IF(OR(B118="",B117=""),0,B117-B118)</f>
        <v>0.909090909090878</v>
      </c>
      <c r="G118" s="13" t="n">
        <f aca="false">F118-Beta_y</f>
        <v>-3.09752223870419E-014</v>
      </c>
    </row>
    <row r="119" customFormat="false" ht="15" hidden="false" customHeight="false" outlineLevel="0" collapsed="false">
      <c r="A119" s="15" t="n">
        <v>95</v>
      </c>
      <c r="B119" s="17" t="n">
        <f aca="false">IF(COUNTIFS(Sch_S6,"&gt;="&amp;(Bound_S-0.000000001),Sch_bmax,"&gt;="&amp;(A119-0.000000001))=0,"",_xlfn.MAXIFS(Sch_P0,Sch_S6,"&gt;="&amp;(Bound_S-0.000000001),Sch_bmax,"&gt;="&amp;(A119-0.000000001))-Beta_y*A119)</f>
        <v>240.068815016813</v>
      </c>
      <c r="C119" s="15" t="n">
        <f aca="false">IF(B119="","",_xlfn.MINIFS(Sch_idx,Sch_S6,"&gt;="&amp;(Bound_S-0.000000001),Sch_bmax,"&gt;="&amp;(A119-0.000000001),Sch_P0,"&gt;="&amp;(B119+Beta_y*A119-0.000000001)))</f>
        <v>52</v>
      </c>
      <c r="D119" s="2" t="str">
        <f aca="false">IF(B119="","",INDEX(Sch_label,C119+1))</f>
        <v>1, 2, 4</v>
      </c>
      <c r="E119" s="15" t="n">
        <f aca="false">IF(OR(B119="",B118=""),0,IF(C119&lt;&gt;C118,1,0))</f>
        <v>0</v>
      </c>
      <c r="F119" s="13" t="n">
        <f aca="false">IF(OR(B119="",B118=""),0,B118-B119)</f>
        <v>0.909090909090935</v>
      </c>
      <c r="G119" s="13" t="n">
        <f aca="false">F119-Beta_y</f>
        <v>2.58681964737661E-014</v>
      </c>
    </row>
    <row r="120" customFormat="false" ht="15" hidden="false" customHeight="false" outlineLevel="0" collapsed="false">
      <c r="A120" s="15" t="n">
        <v>96</v>
      </c>
      <c r="B120" s="17" t="n">
        <f aca="false">IF(COUNTIFS(Sch_S6,"&gt;="&amp;(Bound_S-0.000000001),Sch_bmax,"&gt;="&amp;(A120-0.000000001))=0,"",_xlfn.MAXIFS(Sch_P0,Sch_S6,"&gt;="&amp;(Bound_S-0.000000001),Sch_bmax,"&gt;="&amp;(A120-0.000000001))-Beta_y*A120)</f>
        <v>239.159724107722</v>
      </c>
      <c r="C120" s="15" t="n">
        <f aca="false">IF(B120="","",_xlfn.MINIFS(Sch_idx,Sch_S6,"&gt;="&amp;(Bound_S-0.000000001),Sch_bmax,"&gt;="&amp;(A120-0.000000001),Sch_P0,"&gt;="&amp;(B120+Beta_y*A120-0.000000001)))</f>
        <v>52</v>
      </c>
      <c r="D120" s="2" t="str">
        <f aca="false">IF(B120="","",INDEX(Sch_label,C120+1))</f>
        <v>1, 2, 4</v>
      </c>
      <c r="E120" s="15" t="n">
        <f aca="false">IF(OR(B120="",B119=""),0,IF(C120&lt;&gt;C119,1,0))</f>
        <v>0</v>
      </c>
      <c r="F120" s="13" t="n">
        <f aca="false">IF(OR(B120="",B119=""),0,B119-B120)</f>
        <v>0.909090909090878</v>
      </c>
      <c r="G120" s="13" t="n">
        <f aca="false">F120-Beta_y</f>
        <v>-3.09752223870419E-014</v>
      </c>
    </row>
    <row r="121" customFormat="false" ht="15" hidden="false" customHeight="false" outlineLevel="0" collapsed="false">
      <c r="A121" s="15" t="n">
        <v>97</v>
      </c>
      <c r="B121" s="17" t="n">
        <f aca="false">IF(COUNTIFS(Sch_S6,"&gt;="&amp;(Bound_S-0.000000001),Sch_bmax,"&gt;="&amp;(A121-0.000000001))=0,"",_xlfn.MAXIFS(Sch_P0,Sch_S6,"&gt;="&amp;(Bound_S-0.000000001),Sch_bmax,"&gt;="&amp;(A121-0.000000001))-Beta_y*A121)</f>
        <v>238.250633198631</v>
      </c>
      <c r="C121" s="15" t="n">
        <f aca="false">IF(B121="","",_xlfn.MINIFS(Sch_idx,Sch_S6,"&gt;="&amp;(Bound_S-0.000000001),Sch_bmax,"&gt;="&amp;(A121-0.000000001),Sch_P0,"&gt;="&amp;(B121+Beta_y*A121-0.000000001)))</f>
        <v>52</v>
      </c>
      <c r="D121" s="2" t="str">
        <f aca="false">IF(B121="","",INDEX(Sch_label,C121+1))</f>
        <v>1, 2, 4</v>
      </c>
      <c r="E121" s="15" t="n">
        <f aca="false">IF(OR(B121="",B120=""),0,IF(C121&lt;&gt;C120,1,0))</f>
        <v>0</v>
      </c>
      <c r="F121" s="13" t="n">
        <f aca="false">IF(OR(B121="",B120=""),0,B120-B121)</f>
        <v>0.909090909090935</v>
      </c>
      <c r="G121" s="13" t="n">
        <f aca="false">F121-Beta_y</f>
        <v>2.58681964737661E-014</v>
      </c>
    </row>
    <row r="122" customFormat="false" ht="15" hidden="false" customHeight="false" outlineLevel="0" collapsed="false">
      <c r="A122" s="15" t="n">
        <v>98</v>
      </c>
      <c r="B122" s="17" t="n">
        <f aca="false">IF(COUNTIFS(Sch_S6,"&gt;="&amp;(Bound_S-0.000000001),Sch_bmax,"&gt;="&amp;(A122-0.000000001))=0,"",_xlfn.MAXIFS(Sch_P0,Sch_S6,"&gt;="&amp;(Bound_S-0.000000001),Sch_bmax,"&gt;="&amp;(A122-0.000000001))-Beta_y*A122)</f>
        <v>237.34154228954</v>
      </c>
      <c r="C122" s="15" t="n">
        <f aca="false">IF(B122="","",_xlfn.MINIFS(Sch_idx,Sch_S6,"&gt;="&amp;(Bound_S-0.000000001),Sch_bmax,"&gt;="&amp;(A122-0.000000001),Sch_P0,"&gt;="&amp;(B122+Beta_y*A122-0.000000001)))</f>
        <v>52</v>
      </c>
      <c r="D122" s="2" t="str">
        <f aca="false">IF(B122="","",INDEX(Sch_label,C122+1))</f>
        <v>1, 2, 4</v>
      </c>
      <c r="E122" s="15" t="n">
        <f aca="false">IF(OR(B122="",B121=""),0,IF(C122&lt;&gt;C121,1,0))</f>
        <v>0</v>
      </c>
      <c r="F122" s="13" t="n">
        <f aca="false">IF(OR(B122="",B121=""),0,B121-B122)</f>
        <v>0.909090909090907</v>
      </c>
      <c r="G122" s="13" t="n">
        <f aca="false">F122-Beta_y</f>
        <v>0</v>
      </c>
    </row>
    <row r="123" customFormat="false" ht="15" hidden="false" customHeight="false" outlineLevel="0" collapsed="false">
      <c r="A123" s="15" t="n">
        <v>99</v>
      </c>
      <c r="B123" s="17" t="n">
        <f aca="false">IF(COUNTIFS(Sch_S6,"&gt;="&amp;(Bound_S-0.000000001),Sch_bmax,"&gt;="&amp;(A123-0.000000001))=0,"",_xlfn.MAXIFS(Sch_P0,Sch_S6,"&gt;="&amp;(Bound_S-0.000000001),Sch_bmax,"&gt;="&amp;(A123-0.000000001))-Beta_y*A123)</f>
        <v>236.432451380449</v>
      </c>
      <c r="C123" s="15" t="n">
        <f aca="false">IF(B123="","",_xlfn.MINIFS(Sch_idx,Sch_S6,"&gt;="&amp;(Bound_S-0.000000001),Sch_bmax,"&gt;="&amp;(A123-0.000000001),Sch_P0,"&gt;="&amp;(B123+Beta_y*A123-0.000000001)))</f>
        <v>52</v>
      </c>
      <c r="D123" s="2" t="str">
        <f aca="false">IF(B123="","",INDEX(Sch_label,C123+1))</f>
        <v>1, 2, 4</v>
      </c>
      <c r="E123" s="15" t="n">
        <f aca="false">IF(OR(B123="",B122=""),0,IF(C123&lt;&gt;C122,1,0))</f>
        <v>0</v>
      </c>
      <c r="F123" s="13" t="n">
        <f aca="false">IF(OR(B123="",B122=""),0,B122-B123)</f>
        <v>0.909090909090907</v>
      </c>
      <c r="G123" s="13" t="n">
        <f aca="false">F123-Beta_y</f>
        <v>0</v>
      </c>
    </row>
    <row r="124" customFormat="false" ht="15" hidden="false" customHeight="false" outlineLevel="0" collapsed="false">
      <c r="A124" s="15" t="n">
        <v>100</v>
      </c>
      <c r="B124" s="17" t="n">
        <f aca="false">IF(COUNTIFS(Sch_S6,"&gt;="&amp;(Bound_S-0.000000001),Sch_bmax,"&gt;="&amp;(A124-0.000000001))=0,"",_xlfn.MAXIFS(Sch_P0,Sch_S6,"&gt;="&amp;(Bound_S-0.000000001),Sch_bmax,"&gt;="&amp;(A124-0.000000001))-Beta_y*A124)</f>
        <v>235.523360471358</v>
      </c>
      <c r="C124" s="15" t="n">
        <f aca="false">IF(B124="","",_xlfn.MINIFS(Sch_idx,Sch_S6,"&gt;="&amp;(Bound_S-0.000000001),Sch_bmax,"&gt;="&amp;(A124-0.000000001),Sch_P0,"&gt;="&amp;(B124+Beta_y*A124-0.000000001)))</f>
        <v>52</v>
      </c>
      <c r="D124" s="2" t="str">
        <f aca="false">IF(B124="","",INDEX(Sch_label,C124+1))</f>
        <v>1, 2, 4</v>
      </c>
      <c r="E124" s="15" t="n">
        <f aca="false">IF(OR(B124="",B123=""),0,IF(C124&lt;&gt;C123,1,0))</f>
        <v>0</v>
      </c>
      <c r="F124" s="13" t="n">
        <f aca="false">IF(OR(B124="",B123=""),0,B123-B124)</f>
        <v>0.909090909090907</v>
      </c>
      <c r="G124" s="13" t="n">
        <f aca="false">F124-Beta_y</f>
        <v>0</v>
      </c>
    </row>
    <row r="125" customFormat="false" ht="15" hidden="false" customHeight="false" outlineLevel="0" collapsed="false">
      <c r="A125" s="15" t="n">
        <v>101</v>
      </c>
      <c r="B125" s="17" t="n">
        <f aca="false">IF(COUNTIFS(Sch_S6,"&gt;="&amp;(Bound_S-0.000000001),Sch_bmax,"&gt;="&amp;(A125-0.000000001))=0,"",_xlfn.MAXIFS(Sch_P0,Sch_S6,"&gt;="&amp;(Bound_S-0.000000001),Sch_bmax,"&gt;="&amp;(A125-0.000000001))-Beta_y*A125)</f>
        <v>210.234104273011</v>
      </c>
      <c r="C125" s="15" t="n">
        <f aca="false">IF(B125="","",_xlfn.MINIFS(Sch_idx,Sch_S6,"&gt;="&amp;(Bound_S-0.000000001),Sch_bmax,"&gt;="&amp;(A125-0.000000001),Sch_P0,"&gt;="&amp;(B125+Beta_y*A125-0.000000001)))</f>
        <v>44</v>
      </c>
      <c r="D125" s="2" t="str">
        <f aca="false">IF(B125="","",INDEX(Sch_label,C125+1))</f>
        <v>1, 3, 4</v>
      </c>
      <c r="E125" s="15" t="n">
        <f aca="false">IF(OR(B125="",B124=""),0,IF(C125&lt;&gt;C124,1,0))</f>
        <v>1</v>
      </c>
      <c r="F125" s="13" t="n">
        <f aca="false">IF(OR(B125="",B124=""),0,B124-B125)</f>
        <v>25.2892561983471</v>
      </c>
      <c r="G125" s="13" t="n">
        <f aca="false">F125-Beta_y</f>
        <v>24.3801652892562</v>
      </c>
    </row>
    <row r="126" customFormat="false" ht="15" hidden="false" customHeight="false" outlineLevel="0" collapsed="false">
      <c r="A126" s="15" t="n">
        <v>102</v>
      </c>
      <c r="B126" s="17" t="n">
        <f aca="false">IF(COUNTIFS(Sch_S6,"&gt;="&amp;(Bound_S-0.000000001),Sch_bmax,"&gt;="&amp;(A126-0.000000001))=0,"",_xlfn.MAXIFS(Sch_P0,Sch_S6,"&gt;="&amp;(Bound_S-0.000000001),Sch_bmax,"&gt;="&amp;(A126-0.000000001))-Beta_y*A126)</f>
        <v>209.32501336392</v>
      </c>
      <c r="C126" s="15" t="n">
        <f aca="false">IF(B126="","",_xlfn.MINIFS(Sch_idx,Sch_S6,"&gt;="&amp;(Bound_S-0.000000001),Sch_bmax,"&gt;="&amp;(A126-0.000000001),Sch_P0,"&gt;="&amp;(B126+Beta_y*A126-0.000000001)))</f>
        <v>44</v>
      </c>
      <c r="D126" s="2" t="str">
        <f aca="false">IF(B126="","",INDEX(Sch_label,C126+1))</f>
        <v>1, 3, 4</v>
      </c>
      <c r="E126" s="15" t="n">
        <f aca="false">IF(OR(B126="",B125=""),0,IF(C126&lt;&gt;C125,1,0))</f>
        <v>0</v>
      </c>
      <c r="F126" s="13" t="n">
        <f aca="false">IF(OR(B126="",B125=""),0,B125-B126)</f>
        <v>0.909090909090907</v>
      </c>
      <c r="G126" s="13" t="n">
        <f aca="false">F126-Beta_y</f>
        <v>0</v>
      </c>
    </row>
    <row r="127" customFormat="false" ht="15" hidden="false" customHeight="false" outlineLevel="0" collapsed="false">
      <c r="A127" s="15" t="n">
        <v>103</v>
      </c>
      <c r="B127" s="17" t="n">
        <f aca="false">IF(COUNTIFS(Sch_S6,"&gt;="&amp;(Bound_S-0.000000001),Sch_bmax,"&gt;="&amp;(A127-0.000000001))=0,"",_xlfn.MAXIFS(Sch_P0,Sch_S6,"&gt;="&amp;(Bound_S-0.000000001),Sch_bmax,"&gt;="&amp;(A127-0.000000001))-Beta_y*A127)</f>
        <v>208.415922454829</v>
      </c>
      <c r="C127" s="15" t="n">
        <f aca="false">IF(B127="","",_xlfn.MINIFS(Sch_idx,Sch_S6,"&gt;="&amp;(Bound_S-0.000000001),Sch_bmax,"&gt;="&amp;(A127-0.000000001),Sch_P0,"&gt;="&amp;(B127+Beta_y*A127-0.000000001)))</f>
        <v>44</v>
      </c>
      <c r="D127" s="2" t="str">
        <f aca="false">IF(B127="","",INDEX(Sch_label,C127+1))</f>
        <v>1, 3, 4</v>
      </c>
      <c r="E127" s="15" t="n">
        <f aca="false">IF(OR(B127="",B126=""),0,IF(C127&lt;&gt;C126,1,0))</f>
        <v>0</v>
      </c>
      <c r="F127" s="13" t="n">
        <f aca="false">IF(OR(B127="",B126=""),0,B126-B127)</f>
        <v>0.909090909090907</v>
      </c>
      <c r="G127" s="13" t="n">
        <f aca="false">F127-Beta_y</f>
        <v>0</v>
      </c>
    </row>
    <row r="128" customFormat="false" ht="15" hidden="false" customHeight="false" outlineLevel="0" collapsed="false">
      <c r="A128" s="15" t="n">
        <v>104</v>
      </c>
      <c r="B128" s="17" t="n">
        <f aca="false">IF(COUNTIFS(Sch_S6,"&gt;="&amp;(Bound_S-0.000000001),Sch_bmax,"&gt;="&amp;(A128-0.000000001))=0,"",_xlfn.MAXIFS(Sch_P0,Sch_S6,"&gt;="&amp;(Bound_S-0.000000001),Sch_bmax,"&gt;="&amp;(A128-0.000000001))-Beta_y*A128)</f>
        <v>207.506831545738</v>
      </c>
      <c r="C128" s="15" t="n">
        <f aca="false">IF(B128="","",_xlfn.MINIFS(Sch_idx,Sch_S6,"&gt;="&amp;(Bound_S-0.000000001),Sch_bmax,"&gt;="&amp;(A128-0.000000001),Sch_P0,"&gt;="&amp;(B128+Beta_y*A128-0.000000001)))</f>
        <v>44</v>
      </c>
      <c r="D128" s="2" t="str">
        <f aca="false">IF(B128="","",INDEX(Sch_label,C128+1))</f>
        <v>1, 3, 4</v>
      </c>
      <c r="E128" s="15" t="n">
        <f aca="false">IF(OR(B128="",B127=""),0,IF(C128&lt;&gt;C127,1,0))</f>
        <v>0</v>
      </c>
      <c r="F128" s="13" t="n">
        <f aca="false">IF(OR(B128="",B127=""),0,B127-B128)</f>
        <v>0.909090909090935</v>
      </c>
      <c r="G128" s="13" t="n">
        <f aca="false">F128-Beta_y</f>
        <v>2.58681964737661E-014</v>
      </c>
    </row>
    <row r="129" customFormat="false" ht="15" hidden="false" customHeight="false" outlineLevel="0" collapsed="false">
      <c r="A129" s="15" t="n">
        <v>105</v>
      </c>
      <c r="B129" s="17" t="n">
        <f aca="false">IF(COUNTIFS(Sch_S6,"&gt;="&amp;(Bound_S-0.000000001),Sch_bmax,"&gt;="&amp;(A129-0.000000001))=0,"",_xlfn.MAXIFS(Sch_P0,Sch_S6,"&gt;="&amp;(Bound_S-0.000000001),Sch_bmax,"&gt;="&amp;(A129-0.000000001))-Beta_y*A129)</f>
        <v>206.597740636648</v>
      </c>
      <c r="C129" s="15" t="n">
        <f aca="false">IF(B129="","",_xlfn.MINIFS(Sch_idx,Sch_S6,"&gt;="&amp;(Bound_S-0.000000001),Sch_bmax,"&gt;="&amp;(A129-0.000000001),Sch_P0,"&gt;="&amp;(B129+Beta_y*A129-0.000000001)))</f>
        <v>44</v>
      </c>
      <c r="D129" s="2" t="str">
        <f aca="false">IF(B129="","",INDEX(Sch_label,C129+1))</f>
        <v>1, 3, 4</v>
      </c>
      <c r="E129" s="15" t="n">
        <f aca="false">IF(OR(B129="",B128=""),0,IF(C129&lt;&gt;C128,1,0))</f>
        <v>0</v>
      </c>
      <c r="F129" s="13" t="n">
        <f aca="false">IF(OR(B129="",B128=""),0,B128-B129)</f>
        <v>0.909090909090878</v>
      </c>
      <c r="G129" s="13" t="n">
        <f aca="false">F129-Beta_y</f>
        <v>-3.09752223870419E-014</v>
      </c>
    </row>
    <row r="130" customFormat="false" ht="15" hidden="false" customHeight="false" outlineLevel="0" collapsed="false">
      <c r="A130" s="15" t="n">
        <v>106</v>
      </c>
      <c r="B130" s="17" t="n">
        <f aca="false">IF(COUNTIFS(Sch_S6,"&gt;="&amp;(Bound_S-0.000000001),Sch_bmax,"&gt;="&amp;(A130-0.000000001))=0,"",_xlfn.MAXIFS(Sch_P0,Sch_S6,"&gt;="&amp;(Bound_S-0.000000001),Sch_bmax,"&gt;="&amp;(A130-0.000000001))-Beta_y*A130)</f>
        <v>205.688649727557</v>
      </c>
      <c r="C130" s="15" t="n">
        <f aca="false">IF(B130="","",_xlfn.MINIFS(Sch_idx,Sch_S6,"&gt;="&amp;(Bound_S-0.000000001),Sch_bmax,"&gt;="&amp;(A130-0.000000001),Sch_P0,"&gt;="&amp;(B130+Beta_y*A130-0.000000001)))</f>
        <v>44</v>
      </c>
      <c r="D130" s="2" t="str">
        <f aca="false">IF(B130="","",INDEX(Sch_label,C130+1))</f>
        <v>1, 3, 4</v>
      </c>
      <c r="E130" s="15" t="n">
        <f aca="false">IF(OR(B130="",B129=""),0,IF(C130&lt;&gt;C129,1,0))</f>
        <v>0</v>
      </c>
      <c r="F130" s="13" t="n">
        <f aca="false">IF(OR(B130="",B129=""),0,B129-B130)</f>
        <v>0.909090909090935</v>
      </c>
      <c r="G130" s="13" t="n">
        <f aca="false">F130-Beta_y</f>
        <v>2.58681964737661E-014</v>
      </c>
    </row>
    <row r="131" customFormat="false" ht="15" hidden="false" customHeight="false" outlineLevel="0" collapsed="false">
      <c r="A131" s="15" t="n">
        <v>107</v>
      </c>
      <c r="B131" s="17" t="n">
        <f aca="false">IF(COUNTIFS(Sch_S6,"&gt;="&amp;(Bound_S-0.000000001),Sch_bmax,"&gt;="&amp;(A131-0.000000001))=0,"",_xlfn.MAXIFS(Sch_P0,Sch_S6,"&gt;="&amp;(Bound_S-0.000000001),Sch_bmax,"&gt;="&amp;(A131-0.000000001))-Beta_y*A131)</f>
        <v>204.779558818466</v>
      </c>
      <c r="C131" s="15" t="n">
        <f aca="false">IF(B131="","",_xlfn.MINIFS(Sch_idx,Sch_S6,"&gt;="&amp;(Bound_S-0.000000001),Sch_bmax,"&gt;="&amp;(A131-0.000000001),Sch_P0,"&gt;="&amp;(B131+Beta_y*A131-0.000000001)))</f>
        <v>44</v>
      </c>
      <c r="D131" s="2" t="str">
        <f aca="false">IF(B131="","",INDEX(Sch_label,C131+1))</f>
        <v>1, 3, 4</v>
      </c>
      <c r="E131" s="15" t="n">
        <f aca="false">IF(OR(B131="",B130=""),0,IF(C131&lt;&gt;C130,1,0))</f>
        <v>0</v>
      </c>
      <c r="F131" s="13" t="n">
        <f aca="false">IF(OR(B131="",B130=""),0,B130-B131)</f>
        <v>0.909090909090878</v>
      </c>
      <c r="G131" s="13" t="n">
        <f aca="false">F131-Beta_y</f>
        <v>-3.09752223870419E-014</v>
      </c>
    </row>
    <row r="132" customFormat="false" ht="15" hidden="false" customHeight="false" outlineLevel="0" collapsed="false">
      <c r="A132" s="15" t="n">
        <v>108</v>
      </c>
      <c r="B132" s="17" t="n">
        <f aca="false">IF(COUNTIFS(Sch_S6,"&gt;="&amp;(Bound_S-0.000000001),Sch_bmax,"&gt;="&amp;(A132-0.000000001))=0,"",_xlfn.MAXIFS(Sch_P0,Sch_S6,"&gt;="&amp;(Bound_S-0.000000001),Sch_bmax,"&gt;="&amp;(A132-0.000000001))-Beta_y*A132)</f>
        <v>203.870467909375</v>
      </c>
      <c r="C132" s="15" t="n">
        <f aca="false">IF(B132="","",_xlfn.MINIFS(Sch_idx,Sch_S6,"&gt;="&amp;(Bound_S-0.000000001),Sch_bmax,"&gt;="&amp;(A132-0.000000001),Sch_P0,"&gt;="&amp;(B132+Beta_y*A132-0.000000001)))</f>
        <v>44</v>
      </c>
      <c r="D132" s="2" t="str">
        <f aca="false">IF(B132="","",INDEX(Sch_label,C132+1))</f>
        <v>1, 3, 4</v>
      </c>
      <c r="E132" s="15" t="n">
        <f aca="false">IF(OR(B132="",B131=""),0,IF(C132&lt;&gt;C131,1,0))</f>
        <v>0</v>
      </c>
      <c r="F132" s="13" t="n">
        <f aca="false">IF(OR(B132="",B131=""),0,B131-B132)</f>
        <v>0.909090909090935</v>
      </c>
      <c r="G132" s="13" t="n">
        <f aca="false">F132-Beta_y</f>
        <v>2.58681964737661E-014</v>
      </c>
    </row>
    <row r="133" customFormat="false" ht="15" hidden="false" customHeight="false" outlineLevel="0" collapsed="false">
      <c r="A133" s="15" t="n">
        <v>109</v>
      </c>
      <c r="B133" s="17" t="n">
        <f aca="false">IF(COUNTIFS(Sch_S6,"&gt;="&amp;(Bound_S-0.000000001),Sch_bmax,"&gt;="&amp;(A133-0.000000001))=0,"",_xlfn.MAXIFS(Sch_P0,Sch_S6,"&gt;="&amp;(Bound_S-0.000000001),Sch_bmax,"&gt;="&amp;(A133-0.000000001))-Beta_y*A133)</f>
        <v>202.961377000284</v>
      </c>
      <c r="C133" s="15" t="n">
        <f aca="false">IF(B133="","",_xlfn.MINIFS(Sch_idx,Sch_S6,"&gt;="&amp;(Bound_S-0.000000001),Sch_bmax,"&gt;="&amp;(A133-0.000000001),Sch_P0,"&gt;="&amp;(B133+Beta_y*A133-0.000000001)))</f>
        <v>44</v>
      </c>
      <c r="D133" s="2" t="str">
        <f aca="false">IF(B133="","",INDEX(Sch_label,C133+1))</f>
        <v>1, 3, 4</v>
      </c>
      <c r="E133" s="15" t="n">
        <f aca="false">IF(OR(B133="",B132=""),0,IF(C133&lt;&gt;C132,1,0))</f>
        <v>0</v>
      </c>
      <c r="F133" s="13" t="n">
        <f aca="false">IF(OR(B133="",B132=""),0,B132-B133)</f>
        <v>0.909090909090907</v>
      </c>
      <c r="G133" s="13" t="n">
        <f aca="false">F133-Beta_y</f>
        <v>0</v>
      </c>
    </row>
    <row r="134" customFormat="false" ht="15" hidden="false" customHeight="false" outlineLevel="0" collapsed="false">
      <c r="A134" s="15" t="n">
        <v>110</v>
      </c>
      <c r="B134" s="17" t="n">
        <f aca="false">IF(COUNTIFS(Sch_S6,"&gt;="&amp;(Bound_S-0.000000001),Sch_bmax,"&gt;="&amp;(A134-0.000000001))=0,"",_xlfn.MAXIFS(Sch_P0,Sch_S6,"&gt;="&amp;(Bound_S-0.000000001),Sch_bmax,"&gt;="&amp;(A134-0.000000001))-Beta_y*A134)</f>
        <v>202.052286091193</v>
      </c>
      <c r="C134" s="15" t="n">
        <f aca="false">IF(B134="","",_xlfn.MINIFS(Sch_idx,Sch_S6,"&gt;="&amp;(Bound_S-0.000000001),Sch_bmax,"&gt;="&amp;(A134-0.000000001),Sch_P0,"&gt;="&amp;(B134+Beta_y*A134-0.000000001)))</f>
        <v>44</v>
      </c>
      <c r="D134" s="2" t="str">
        <f aca="false">IF(B134="","",INDEX(Sch_label,C134+1))</f>
        <v>1, 3, 4</v>
      </c>
      <c r="E134" s="15" t="n">
        <f aca="false">IF(OR(B134="",B133=""),0,IF(C134&lt;&gt;C133,1,0))</f>
        <v>0</v>
      </c>
      <c r="F134" s="13" t="n">
        <f aca="false">IF(OR(B134="",B133=""),0,B133-B134)</f>
        <v>0.909090909090907</v>
      </c>
      <c r="G134" s="13" t="n">
        <f aca="false">F134-Beta_y</f>
        <v>0</v>
      </c>
    </row>
    <row r="135" customFormat="false" ht="15" hidden="false" customHeight="false" outlineLevel="0" collapsed="false">
      <c r="A135" s="15" t="n">
        <v>111</v>
      </c>
      <c r="B135" s="17" t="n">
        <f aca="false">IF(COUNTIFS(Sch_S6,"&gt;="&amp;(Bound_S-0.000000001),Sch_bmax,"&gt;="&amp;(A135-0.000000001))=0,"",_xlfn.MAXIFS(Sch_P0,Sch_S6,"&gt;="&amp;(Bound_S-0.000000001),Sch_bmax,"&gt;="&amp;(A135-0.000000001))-Beta_y*A135)</f>
        <v>201.143195182102</v>
      </c>
      <c r="C135" s="15" t="n">
        <f aca="false">IF(B135="","",_xlfn.MINIFS(Sch_idx,Sch_S6,"&gt;="&amp;(Bound_S-0.000000001),Sch_bmax,"&gt;="&amp;(A135-0.000000001),Sch_P0,"&gt;="&amp;(B135+Beta_y*A135-0.000000001)))</f>
        <v>44</v>
      </c>
      <c r="D135" s="2" t="str">
        <f aca="false">IF(B135="","",INDEX(Sch_label,C135+1))</f>
        <v>1, 3, 4</v>
      </c>
      <c r="E135" s="15" t="n">
        <f aca="false">IF(OR(B135="",B134=""),0,IF(C135&lt;&gt;C134,1,0))</f>
        <v>0</v>
      </c>
      <c r="F135" s="13" t="n">
        <f aca="false">IF(OR(B135="",B134=""),0,B134-B135)</f>
        <v>0.909090909090907</v>
      </c>
      <c r="G135" s="13" t="n">
        <f aca="false">F135-Beta_y</f>
        <v>0</v>
      </c>
    </row>
    <row r="136" customFormat="false" ht="15" hidden="false" customHeight="false" outlineLevel="0" collapsed="false">
      <c r="A136" s="15" t="n">
        <v>112</v>
      </c>
      <c r="B136" s="17" t="n">
        <f aca="false">IF(COUNTIFS(Sch_S6,"&gt;="&amp;(Bound_S-0.000000001),Sch_bmax,"&gt;="&amp;(A136-0.000000001))=0,"",_xlfn.MAXIFS(Sch_P0,Sch_S6,"&gt;="&amp;(Bound_S-0.000000001),Sch_bmax,"&gt;="&amp;(A136-0.000000001))-Beta_y*A136)</f>
        <v>200.234104273011</v>
      </c>
      <c r="C136" s="15" t="n">
        <f aca="false">IF(B136="","",_xlfn.MINIFS(Sch_idx,Sch_S6,"&gt;="&amp;(Bound_S-0.000000001),Sch_bmax,"&gt;="&amp;(A136-0.000000001),Sch_P0,"&gt;="&amp;(B136+Beta_y*A136-0.000000001)))</f>
        <v>44</v>
      </c>
      <c r="D136" s="2" t="str">
        <f aca="false">IF(B136="","",INDEX(Sch_label,C136+1))</f>
        <v>1, 3, 4</v>
      </c>
      <c r="E136" s="15" t="n">
        <f aca="false">IF(OR(B136="",B135=""),0,IF(C136&lt;&gt;C135,1,0))</f>
        <v>0</v>
      </c>
      <c r="F136" s="13" t="n">
        <f aca="false">IF(OR(B136="",B135=""),0,B135-B136)</f>
        <v>0.909090909090907</v>
      </c>
      <c r="G136" s="13" t="n">
        <f aca="false">F136-Beta_y</f>
        <v>0</v>
      </c>
    </row>
    <row r="137" customFormat="false" ht="15" hidden="false" customHeight="false" outlineLevel="0" collapsed="false">
      <c r="A137" s="15" t="n">
        <v>113</v>
      </c>
      <c r="B137" s="17" t="n">
        <f aca="false">IF(COUNTIFS(Sch_S6,"&gt;="&amp;(Bound_S-0.000000001),Sch_bmax,"&gt;="&amp;(A137-0.000000001))=0,"",_xlfn.MAXIFS(Sch_P0,Sch_S6,"&gt;="&amp;(Bound_S-0.000000001),Sch_bmax,"&gt;="&amp;(A137-0.000000001))-Beta_y*A137)</f>
        <v>199.32501336392</v>
      </c>
      <c r="C137" s="15" t="n">
        <f aca="false">IF(B137="","",_xlfn.MINIFS(Sch_idx,Sch_S6,"&gt;="&amp;(Bound_S-0.000000001),Sch_bmax,"&gt;="&amp;(A137-0.000000001),Sch_P0,"&gt;="&amp;(B137+Beta_y*A137-0.000000001)))</f>
        <v>44</v>
      </c>
      <c r="D137" s="2" t="str">
        <f aca="false">IF(B137="","",INDEX(Sch_label,C137+1))</f>
        <v>1, 3, 4</v>
      </c>
      <c r="E137" s="15" t="n">
        <f aca="false">IF(OR(B137="",B136=""),0,IF(C137&lt;&gt;C136,1,0))</f>
        <v>0</v>
      </c>
      <c r="F137" s="13" t="n">
        <f aca="false">IF(OR(B137="",B136=""),0,B136-B137)</f>
        <v>0.909090909090907</v>
      </c>
      <c r="G137" s="13" t="n">
        <f aca="false">F137-Beta_y</f>
        <v>0</v>
      </c>
    </row>
    <row r="138" customFormat="false" ht="15" hidden="false" customHeight="false" outlineLevel="0" collapsed="false">
      <c r="A138" s="15" t="n">
        <v>114</v>
      </c>
      <c r="B138" s="17" t="n">
        <f aca="false">IF(COUNTIFS(Sch_S6,"&gt;="&amp;(Bound_S-0.000000001),Sch_bmax,"&gt;="&amp;(A138-0.000000001))=0,"",_xlfn.MAXIFS(Sch_P0,Sch_S6,"&gt;="&amp;(Bound_S-0.000000001),Sch_bmax,"&gt;="&amp;(A138-0.000000001))-Beta_y*A138)</f>
        <v>198.415922454829</v>
      </c>
      <c r="C138" s="15" t="n">
        <f aca="false">IF(B138="","",_xlfn.MINIFS(Sch_idx,Sch_S6,"&gt;="&amp;(Bound_S-0.000000001),Sch_bmax,"&gt;="&amp;(A138-0.000000001),Sch_P0,"&gt;="&amp;(B138+Beta_y*A138-0.000000001)))</f>
        <v>44</v>
      </c>
      <c r="D138" s="2" t="str">
        <f aca="false">IF(B138="","",INDEX(Sch_label,C138+1))</f>
        <v>1, 3, 4</v>
      </c>
      <c r="E138" s="15" t="n">
        <f aca="false">IF(OR(B138="",B137=""),0,IF(C138&lt;&gt;C137,1,0))</f>
        <v>0</v>
      </c>
      <c r="F138" s="13" t="n">
        <f aca="false">IF(OR(B138="",B137=""),0,B137-B138)</f>
        <v>0.909090909090907</v>
      </c>
      <c r="G138" s="13" t="n">
        <f aca="false">F138-Beta_y</f>
        <v>0</v>
      </c>
    </row>
    <row r="139" customFormat="false" ht="15" hidden="false" customHeight="false" outlineLevel="0" collapsed="false">
      <c r="A139" s="15" t="n">
        <v>115</v>
      </c>
      <c r="B139" s="17" t="n">
        <f aca="false">IF(COUNTIFS(Sch_S6,"&gt;="&amp;(Bound_S-0.000000001),Sch_bmax,"&gt;="&amp;(A139-0.000000001))=0,"",_xlfn.MAXIFS(Sch_P0,Sch_S6,"&gt;="&amp;(Bound_S-0.000000001),Sch_bmax,"&gt;="&amp;(A139-0.000000001))-Beta_y*A139)</f>
        <v>197.506831545738</v>
      </c>
      <c r="C139" s="15" t="n">
        <f aca="false">IF(B139="","",_xlfn.MINIFS(Sch_idx,Sch_S6,"&gt;="&amp;(Bound_S-0.000000001),Sch_bmax,"&gt;="&amp;(A139-0.000000001),Sch_P0,"&gt;="&amp;(B139+Beta_y*A139-0.000000001)))</f>
        <v>44</v>
      </c>
      <c r="D139" s="2" t="str">
        <f aca="false">IF(B139="","",INDEX(Sch_label,C139+1))</f>
        <v>1, 3, 4</v>
      </c>
      <c r="E139" s="15" t="n">
        <f aca="false">IF(OR(B139="",B138=""),0,IF(C139&lt;&gt;C138,1,0))</f>
        <v>0</v>
      </c>
      <c r="F139" s="13" t="n">
        <f aca="false">IF(OR(B139="",B138=""),0,B138-B139)</f>
        <v>0.909090909090935</v>
      </c>
      <c r="G139" s="13" t="n">
        <f aca="false">F139-Beta_y</f>
        <v>2.58681964737661E-014</v>
      </c>
    </row>
    <row r="140" customFormat="false" ht="15" hidden="false" customHeight="false" outlineLevel="0" collapsed="false">
      <c r="A140" s="15" t="n">
        <v>116</v>
      </c>
      <c r="B140" s="17" t="n">
        <f aca="false">IF(COUNTIFS(Sch_S6,"&gt;="&amp;(Bound_S-0.000000001),Sch_bmax,"&gt;="&amp;(A140-0.000000001))=0,"",_xlfn.MAXIFS(Sch_P0,Sch_S6,"&gt;="&amp;(Bound_S-0.000000001),Sch_bmax,"&gt;="&amp;(A140-0.000000001))-Beta_y*A140)</f>
        <v>196.597740636648</v>
      </c>
      <c r="C140" s="15" t="n">
        <f aca="false">IF(B140="","",_xlfn.MINIFS(Sch_idx,Sch_S6,"&gt;="&amp;(Bound_S-0.000000001),Sch_bmax,"&gt;="&amp;(A140-0.000000001),Sch_P0,"&gt;="&amp;(B140+Beta_y*A140-0.000000001)))</f>
        <v>44</v>
      </c>
      <c r="D140" s="2" t="str">
        <f aca="false">IF(B140="","",INDEX(Sch_label,C140+1))</f>
        <v>1, 3, 4</v>
      </c>
      <c r="E140" s="15" t="n">
        <f aca="false">IF(OR(B140="",B139=""),0,IF(C140&lt;&gt;C139,1,0))</f>
        <v>0</v>
      </c>
      <c r="F140" s="13" t="n">
        <f aca="false">IF(OR(B140="",B139=""),0,B139-B140)</f>
        <v>0.909090909090878</v>
      </c>
      <c r="G140" s="13" t="n">
        <f aca="false">F140-Beta_y</f>
        <v>-3.09752223870419E-014</v>
      </c>
    </row>
    <row r="141" customFormat="false" ht="15" hidden="false" customHeight="false" outlineLevel="0" collapsed="false">
      <c r="A141" s="15" t="n">
        <v>117</v>
      </c>
      <c r="B141" s="17" t="n">
        <f aca="false">IF(COUNTIFS(Sch_S6,"&gt;="&amp;(Bound_S-0.000000001),Sch_bmax,"&gt;="&amp;(A141-0.000000001))=0,"",_xlfn.MAXIFS(Sch_P0,Sch_S6,"&gt;="&amp;(Bound_S-0.000000001),Sch_bmax,"&gt;="&amp;(A141-0.000000001))-Beta_y*A141)</f>
        <v>195.688649727557</v>
      </c>
      <c r="C141" s="15" t="n">
        <f aca="false">IF(B141="","",_xlfn.MINIFS(Sch_idx,Sch_S6,"&gt;="&amp;(Bound_S-0.000000001),Sch_bmax,"&gt;="&amp;(A141-0.000000001),Sch_P0,"&gt;="&amp;(B141+Beta_y*A141-0.000000001)))</f>
        <v>44</v>
      </c>
      <c r="D141" s="2" t="str">
        <f aca="false">IF(B141="","",INDEX(Sch_label,C141+1))</f>
        <v>1, 3, 4</v>
      </c>
      <c r="E141" s="15" t="n">
        <f aca="false">IF(OR(B141="",B140=""),0,IF(C141&lt;&gt;C140,1,0))</f>
        <v>0</v>
      </c>
      <c r="F141" s="13" t="n">
        <f aca="false">IF(OR(B141="",B140=""),0,B140-B141)</f>
        <v>0.909090909090935</v>
      </c>
      <c r="G141" s="13" t="n">
        <f aca="false">F141-Beta_y</f>
        <v>2.58681964737661E-014</v>
      </c>
    </row>
    <row r="142" customFormat="false" ht="15" hidden="false" customHeight="false" outlineLevel="0" collapsed="false">
      <c r="A142" s="15" t="n">
        <v>118</v>
      </c>
      <c r="B142" s="17" t="n">
        <f aca="false">IF(COUNTIFS(Sch_S6,"&gt;="&amp;(Bound_S-0.000000001),Sch_bmax,"&gt;="&amp;(A142-0.000000001))=0,"",_xlfn.MAXIFS(Sch_P0,Sch_S6,"&gt;="&amp;(Bound_S-0.000000001),Sch_bmax,"&gt;="&amp;(A142-0.000000001))-Beta_y*A142)</f>
        <v>194.779558818466</v>
      </c>
      <c r="C142" s="15" t="n">
        <f aca="false">IF(B142="","",_xlfn.MINIFS(Sch_idx,Sch_S6,"&gt;="&amp;(Bound_S-0.000000001),Sch_bmax,"&gt;="&amp;(A142-0.000000001),Sch_P0,"&gt;="&amp;(B142+Beta_y*A142-0.000000001)))</f>
        <v>44</v>
      </c>
      <c r="D142" s="2" t="str">
        <f aca="false">IF(B142="","",INDEX(Sch_label,C142+1))</f>
        <v>1, 3, 4</v>
      </c>
      <c r="E142" s="15" t="n">
        <f aca="false">IF(OR(B142="",B141=""),0,IF(C142&lt;&gt;C141,1,0))</f>
        <v>0</v>
      </c>
      <c r="F142" s="13" t="n">
        <f aca="false">IF(OR(B142="",B141=""),0,B141-B142)</f>
        <v>0.909090909090878</v>
      </c>
      <c r="G142" s="13" t="n">
        <f aca="false">F142-Beta_y</f>
        <v>-3.09752223870419E-014</v>
      </c>
    </row>
    <row r="143" customFormat="false" ht="15" hidden="false" customHeight="false" outlineLevel="0" collapsed="false">
      <c r="A143" s="15" t="n">
        <v>119</v>
      </c>
      <c r="B143" s="17" t="n">
        <f aca="false">IF(COUNTIFS(Sch_S6,"&gt;="&amp;(Bound_S-0.000000001),Sch_bmax,"&gt;="&amp;(A143-0.000000001))=0,"",_xlfn.MAXIFS(Sch_P0,Sch_S6,"&gt;="&amp;(Bound_S-0.000000001),Sch_bmax,"&gt;="&amp;(A143-0.000000001))-Beta_y*A143)</f>
        <v>193.870467909375</v>
      </c>
      <c r="C143" s="15" t="n">
        <f aca="false">IF(B143="","",_xlfn.MINIFS(Sch_idx,Sch_S6,"&gt;="&amp;(Bound_S-0.000000001),Sch_bmax,"&gt;="&amp;(A143-0.000000001),Sch_P0,"&gt;="&amp;(B143+Beta_y*A143-0.000000001)))</f>
        <v>44</v>
      </c>
      <c r="D143" s="2" t="str">
        <f aca="false">IF(B143="","",INDEX(Sch_label,C143+1))</f>
        <v>1, 3, 4</v>
      </c>
      <c r="E143" s="15" t="n">
        <f aca="false">IF(OR(B143="",B142=""),0,IF(C143&lt;&gt;C142,1,0))</f>
        <v>0</v>
      </c>
      <c r="F143" s="13" t="n">
        <f aca="false">IF(OR(B143="",B142=""),0,B142-B143)</f>
        <v>0.909090909090935</v>
      </c>
      <c r="G143" s="13" t="n">
        <f aca="false">F143-Beta_y</f>
        <v>2.58681964737661E-014</v>
      </c>
    </row>
    <row r="144" customFormat="false" ht="15" hidden="false" customHeight="false" outlineLevel="0" collapsed="false">
      <c r="A144" s="15" t="n">
        <v>120</v>
      </c>
      <c r="B144" s="17" t="n">
        <f aca="false">IF(COUNTIFS(Sch_S6,"&gt;="&amp;(Bound_S-0.000000001),Sch_bmax,"&gt;="&amp;(A144-0.000000001))=0,"",_xlfn.MAXIFS(Sch_P0,Sch_S6,"&gt;="&amp;(Bound_S-0.000000001),Sch_bmax,"&gt;="&amp;(A144-0.000000001))-Beta_y*A144)</f>
        <v>192.961377000284</v>
      </c>
      <c r="C144" s="15" t="n">
        <f aca="false">IF(B144="","",_xlfn.MINIFS(Sch_idx,Sch_S6,"&gt;="&amp;(Bound_S-0.000000001),Sch_bmax,"&gt;="&amp;(A144-0.000000001),Sch_P0,"&gt;="&amp;(B144+Beta_y*A144-0.000000001)))</f>
        <v>44</v>
      </c>
      <c r="D144" s="2" t="str">
        <f aca="false">IF(B144="","",INDEX(Sch_label,C144+1))</f>
        <v>1, 3, 4</v>
      </c>
      <c r="E144" s="15" t="n">
        <f aca="false">IF(OR(B144="",B143=""),0,IF(C144&lt;&gt;C143,1,0))</f>
        <v>0</v>
      </c>
      <c r="F144" s="13" t="n">
        <f aca="false">IF(OR(B144="",B143=""),0,B143-B144)</f>
        <v>0.909090909090907</v>
      </c>
      <c r="G144" s="13" t="n">
        <f aca="false">F144-Beta_y</f>
        <v>0</v>
      </c>
    </row>
    <row r="145" customFormat="false" ht="15" hidden="false" customHeight="false" outlineLevel="0" collapsed="false">
      <c r="A145" s="15" t="n">
        <v>121</v>
      </c>
      <c r="B145" s="17" t="n">
        <f aca="false">IF(COUNTIFS(Sch_S6,"&gt;="&amp;(Bound_S-0.000000001),Sch_bmax,"&gt;="&amp;(A145-0.000000001))=0,"",_xlfn.MAXIFS(Sch_P0,Sch_S6,"&gt;="&amp;(Bound_S-0.000000001),Sch_bmax,"&gt;="&amp;(A145-0.000000001))-Beta_y*A145)</f>
        <v>192.052286091193</v>
      </c>
      <c r="C145" s="15" t="n">
        <f aca="false">IF(B145="","",_xlfn.MINIFS(Sch_idx,Sch_S6,"&gt;="&amp;(Bound_S-0.000000001),Sch_bmax,"&gt;="&amp;(A145-0.000000001),Sch_P0,"&gt;="&amp;(B145+Beta_y*A145-0.000000001)))</f>
        <v>44</v>
      </c>
      <c r="D145" s="2" t="str">
        <f aca="false">IF(B145="","",INDEX(Sch_label,C145+1))</f>
        <v>1, 3, 4</v>
      </c>
      <c r="E145" s="15" t="n">
        <f aca="false">IF(OR(B145="",B144=""),0,IF(C145&lt;&gt;C144,1,0))</f>
        <v>0</v>
      </c>
      <c r="F145" s="13" t="n">
        <f aca="false">IF(OR(B145="",B144=""),0,B144-B145)</f>
        <v>0.909090909090907</v>
      </c>
      <c r="G145" s="13" t="n">
        <f aca="false">F145-Beta_y</f>
        <v>0</v>
      </c>
    </row>
    <row r="146" customFormat="false" ht="15" hidden="false" customHeight="false" outlineLevel="0" collapsed="false">
      <c r="A146" s="15" t="n">
        <v>122</v>
      </c>
      <c r="B146" s="17" t="n">
        <f aca="false">IF(COUNTIFS(Sch_S6,"&gt;="&amp;(Bound_S-0.000000001),Sch_bmax,"&gt;="&amp;(A146-0.000000001))=0,"",_xlfn.MAXIFS(Sch_P0,Sch_S6,"&gt;="&amp;(Bound_S-0.000000001),Sch_bmax,"&gt;="&amp;(A146-0.000000001))-Beta_y*A146)</f>
        <v>191.143195182102</v>
      </c>
      <c r="C146" s="15" t="n">
        <f aca="false">IF(B146="","",_xlfn.MINIFS(Sch_idx,Sch_S6,"&gt;="&amp;(Bound_S-0.000000001),Sch_bmax,"&gt;="&amp;(A146-0.000000001),Sch_P0,"&gt;="&amp;(B146+Beta_y*A146-0.000000001)))</f>
        <v>44</v>
      </c>
      <c r="D146" s="2" t="str">
        <f aca="false">IF(B146="","",INDEX(Sch_label,C146+1))</f>
        <v>1, 3, 4</v>
      </c>
      <c r="E146" s="15" t="n">
        <f aca="false">IF(OR(B146="",B145=""),0,IF(C146&lt;&gt;C145,1,0))</f>
        <v>0</v>
      </c>
      <c r="F146" s="13" t="n">
        <f aca="false">IF(OR(B146="",B145=""),0,B145-B146)</f>
        <v>0.909090909090907</v>
      </c>
      <c r="G146" s="13" t="n">
        <f aca="false">F146-Beta_y</f>
        <v>0</v>
      </c>
    </row>
    <row r="147" customFormat="false" ht="15" hidden="false" customHeight="false" outlineLevel="0" collapsed="false">
      <c r="A147" s="15" t="n">
        <v>123</v>
      </c>
      <c r="B147" s="17" t="n">
        <f aca="false">IF(COUNTIFS(Sch_S6,"&gt;="&amp;(Bound_S-0.000000001),Sch_bmax,"&gt;="&amp;(A147-0.000000001))=0,"",_xlfn.MAXIFS(Sch_P0,Sch_S6,"&gt;="&amp;(Bound_S-0.000000001),Sch_bmax,"&gt;="&amp;(A147-0.000000001))-Beta_y*A147)</f>
        <v>190.234104273011</v>
      </c>
      <c r="C147" s="15" t="n">
        <f aca="false">IF(B147="","",_xlfn.MINIFS(Sch_idx,Sch_S6,"&gt;="&amp;(Bound_S-0.000000001),Sch_bmax,"&gt;="&amp;(A147-0.000000001),Sch_P0,"&gt;="&amp;(B147+Beta_y*A147-0.000000001)))</f>
        <v>44</v>
      </c>
      <c r="D147" s="2" t="str">
        <f aca="false">IF(B147="","",INDEX(Sch_label,C147+1))</f>
        <v>1, 3, 4</v>
      </c>
      <c r="E147" s="15" t="n">
        <f aca="false">IF(OR(B147="",B146=""),0,IF(C147&lt;&gt;C146,1,0))</f>
        <v>0</v>
      </c>
      <c r="F147" s="13" t="n">
        <f aca="false">IF(OR(B147="",B146=""),0,B146-B147)</f>
        <v>0.909090909090907</v>
      </c>
      <c r="G147" s="13" t="n">
        <f aca="false">F147-Beta_y</f>
        <v>0</v>
      </c>
    </row>
    <row r="148" customFormat="false" ht="15" hidden="false" customHeight="false" outlineLevel="0" collapsed="false">
      <c r="A148" s="15" t="n">
        <v>124</v>
      </c>
      <c r="B148" s="17" t="n">
        <f aca="false">IF(COUNTIFS(Sch_S6,"&gt;="&amp;(Bound_S-0.000000001),Sch_bmax,"&gt;="&amp;(A148-0.000000001))=0,"",_xlfn.MAXIFS(Sch_P0,Sch_S6,"&gt;="&amp;(Bound_S-0.000000001),Sch_bmax,"&gt;="&amp;(A148-0.000000001))-Beta_y*A148)</f>
        <v>189.32501336392</v>
      </c>
      <c r="C148" s="15" t="n">
        <f aca="false">IF(B148="","",_xlfn.MINIFS(Sch_idx,Sch_S6,"&gt;="&amp;(Bound_S-0.000000001),Sch_bmax,"&gt;="&amp;(A148-0.000000001),Sch_P0,"&gt;="&amp;(B148+Beta_y*A148-0.000000001)))</f>
        <v>44</v>
      </c>
      <c r="D148" s="2" t="str">
        <f aca="false">IF(B148="","",INDEX(Sch_label,C148+1))</f>
        <v>1, 3, 4</v>
      </c>
      <c r="E148" s="15" t="n">
        <f aca="false">IF(OR(B148="",B147=""),0,IF(C148&lt;&gt;C147,1,0))</f>
        <v>0</v>
      </c>
      <c r="F148" s="13" t="n">
        <f aca="false">IF(OR(B148="",B147=""),0,B147-B148)</f>
        <v>0.909090909090907</v>
      </c>
      <c r="G148" s="13" t="n">
        <f aca="false">F148-Beta_y</f>
        <v>0</v>
      </c>
    </row>
    <row r="149" customFormat="false" ht="15" hidden="false" customHeight="false" outlineLevel="0" collapsed="false">
      <c r="A149" s="15" t="n">
        <v>125</v>
      </c>
      <c r="B149" s="17" t="n">
        <f aca="false">IF(COUNTIFS(Sch_S6,"&gt;="&amp;(Bound_S-0.000000001),Sch_bmax,"&gt;="&amp;(A149-0.000000001))=0,"",_xlfn.MAXIFS(Sch_P0,Sch_S6,"&gt;="&amp;(Bound_S-0.000000001),Sch_bmax,"&gt;="&amp;(A149-0.000000001))-Beta_y*A149)</f>
        <v>188.415922454829</v>
      </c>
      <c r="C149" s="15" t="n">
        <f aca="false">IF(B149="","",_xlfn.MINIFS(Sch_idx,Sch_S6,"&gt;="&amp;(Bound_S-0.000000001),Sch_bmax,"&gt;="&amp;(A149-0.000000001),Sch_P0,"&gt;="&amp;(B149+Beta_y*A149-0.000000001)))</f>
        <v>44</v>
      </c>
      <c r="D149" s="2" t="str">
        <f aca="false">IF(B149="","",INDEX(Sch_label,C149+1))</f>
        <v>1, 3, 4</v>
      </c>
      <c r="E149" s="15" t="n">
        <f aca="false">IF(OR(B149="",B148=""),0,IF(C149&lt;&gt;C148,1,0))</f>
        <v>0</v>
      </c>
      <c r="F149" s="13" t="n">
        <f aca="false">IF(OR(B149="",B148=""),0,B148-B149)</f>
        <v>0.909090909090907</v>
      </c>
      <c r="G149" s="13" t="n">
        <f aca="false">F149-Beta_y</f>
        <v>0</v>
      </c>
    </row>
    <row r="150" customFormat="false" ht="15" hidden="false" customHeight="false" outlineLevel="0" collapsed="false">
      <c r="A150" s="15" t="n">
        <v>126</v>
      </c>
      <c r="B150" s="17" t="n">
        <f aca="false">IF(COUNTIFS(Sch_S6,"&gt;="&amp;(Bound_S-0.000000001),Sch_bmax,"&gt;="&amp;(A150-0.000000001))=0,"",_xlfn.MAXIFS(Sch_P0,Sch_S6,"&gt;="&amp;(Bound_S-0.000000001),Sch_bmax,"&gt;="&amp;(A150-0.000000001))-Beta_y*A150)</f>
        <v>187.506831545738</v>
      </c>
      <c r="C150" s="15" t="n">
        <f aca="false">IF(B150="","",_xlfn.MINIFS(Sch_idx,Sch_S6,"&gt;="&amp;(Bound_S-0.000000001),Sch_bmax,"&gt;="&amp;(A150-0.000000001),Sch_P0,"&gt;="&amp;(B150+Beta_y*A150-0.000000001)))</f>
        <v>44</v>
      </c>
      <c r="D150" s="2" t="str">
        <f aca="false">IF(B150="","",INDEX(Sch_label,C150+1))</f>
        <v>1, 3, 4</v>
      </c>
      <c r="E150" s="15" t="n">
        <f aca="false">IF(OR(B150="",B149=""),0,IF(C150&lt;&gt;C149,1,0))</f>
        <v>0</v>
      </c>
      <c r="F150" s="13" t="n">
        <f aca="false">IF(OR(B150="",B149=""),0,B149-B150)</f>
        <v>0.909090909090935</v>
      </c>
      <c r="G150" s="13" t="n">
        <f aca="false">F150-Beta_y</f>
        <v>2.58681964737661E-014</v>
      </c>
    </row>
    <row r="151" customFormat="false" ht="15" hidden="false" customHeight="false" outlineLevel="0" collapsed="false">
      <c r="A151" s="15" t="n">
        <v>127</v>
      </c>
      <c r="B151" s="17" t="n">
        <f aca="false">IF(COUNTIFS(Sch_S6,"&gt;="&amp;(Bound_S-0.000000001),Sch_bmax,"&gt;="&amp;(A151-0.000000001))=0,"",_xlfn.MAXIFS(Sch_P0,Sch_S6,"&gt;="&amp;(Bound_S-0.000000001),Sch_bmax,"&gt;="&amp;(A151-0.000000001))-Beta_y*A151)</f>
        <v>186.597740636648</v>
      </c>
      <c r="C151" s="15" t="n">
        <f aca="false">IF(B151="","",_xlfn.MINIFS(Sch_idx,Sch_S6,"&gt;="&amp;(Bound_S-0.000000001),Sch_bmax,"&gt;="&amp;(A151-0.000000001),Sch_P0,"&gt;="&amp;(B151+Beta_y*A151-0.000000001)))</f>
        <v>44</v>
      </c>
      <c r="D151" s="2" t="str">
        <f aca="false">IF(B151="","",INDEX(Sch_label,C151+1))</f>
        <v>1, 3, 4</v>
      </c>
      <c r="E151" s="15" t="n">
        <f aca="false">IF(OR(B151="",B150=""),0,IF(C151&lt;&gt;C150,1,0))</f>
        <v>0</v>
      </c>
      <c r="F151" s="13" t="n">
        <f aca="false">IF(OR(B151="",B150=""),0,B150-B151)</f>
        <v>0.909090909090878</v>
      </c>
      <c r="G151" s="13" t="n">
        <f aca="false">F151-Beta_y</f>
        <v>-3.09752223870419E-014</v>
      </c>
    </row>
    <row r="152" customFormat="false" ht="15" hidden="false" customHeight="false" outlineLevel="0" collapsed="false">
      <c r="A152" s="15" t="n">
        <v>128</v>
      </c>
      <c r="B152" s="17" t="n">
        <f aca="false">IF(COUNTIFS(Sch_S6,"&gt;="&amp;(Bound_S-0.000000001),Sch_bmax,"&gt;="&amp;(A152-0.000000001))=0,"",_xlfn.MAXIFS(Sch_P0,Sch_S6,"&gt;="&amp;(Bound_S-0.000000001),Sch_bmax,"&gt;="&amp;(A152-0.000000001))-Beta_y*A152)</f>
        <v>185.688649727557</v>
      </c>
      <c r="C152" s="15" t="n">
        <f aca="false">IF(B152="","",_xlfn.MINIFS(Sch_idx,Sch_S6,"&gt;="&amp;(Bound_S-0.000000001),Sch_bmax,"&gt;="&amp;(A152-0.000000001),Sch_P0,"&gt;="&amp;(B152+Beta_y*A152-0.000000001)))</f>
        <v>44</v>
      </c>
      <c r="D152" s="2" t="str">
        <f aca="false">IF(B152="","",INDEX(Sch_label,C152+1))</f>
        <v>1, 3, 4</v>
      </c>
      <c r="E152" s="15" t="n">
        <f aca="false">IF(OR(B152="",B151=""),0,IF(C152&lt;&gt;C151,1,0))</f>
        <v>0</v>
      </c>
      <c r="F152" s="13" t="n">
        <f aca="false">IF(OR(B152="",B151=""),0,B151-B152)</f>
        <v>0.909090909090935</v>
      </c>
      <c r="G152" s="13" t="n">
        <f aca="false">F152-Beta_y</f>
        <v>2.58681964737661E-014</v>
      </c>
    </row>
    <row r="153" customFormat="false" ht="15" hidden="false" customHeight="false" outlineLevel="0" collapsed="false">
      <c r="A153" s="15" t="n">
        <v>129</v>
      </c>
      <c r="B153" s="17" t="n">
        <f aca="false">IF(COUNTIFS(Sch_S6,"&gt;="&amp;(Bound_S-0.000000001),Sch_bmax,"&gt;="&amp;(A153-0.000000001))=0,"",_xlfn.MAXIFS(Sch_P0,Sch_S6,"&gt;="&amp;(Bound_S-0.000000001),Sch_bmax,"&gt;="&amp;(A153-0.000000001))-Beta_y*A153)</f>
        <v>184.779558818466</v>
      </c>
      <c r="C153" s="15" t="n">
        <f aca="false">IF(B153="","",_xlfn.MINIFS(Sch_idx,Sch_S6,"&gt;="&amp;(Bound_S-0.000000001),Sch_bmax,"&gt;="&amp;(A153-0.000000001),Sch_P0,"&gt;="&amp;(B153+Beta_y*A153-0.000000001)))</f>
        <v>44</v>
      </c>
      <c r="D153" s="2" t="str">
        <f aca="false">IF(B153="","",INDEX(Sch_label,C153+1))</f>
        <v>1, 3, 4</v>
      </c>
      <c r="E153" s="15" t="n">
        <f aca="false">IF(OR(B153="",B152=""),0,IF(C153&lt;&gt;C152,1,0))</f>
        <v>0</v>
      </c>
      <c r="F153" s="13" t="n">
        <f aca="false">IF(OR(B153="",B152=""),0,B152-B153)</f>
        <v>0.909090909090878</v>
      </c>
      <c r="G153" s="13" t="n">
        <f aca="false">F153-Beta_y</f>
        <v>-3.09752223870419E-014</v>
      </c>
    </row>
    <row r="154" customFormat="false" ht="15" hidden="false" customHeight="false" outlineLevel="0" collapsed="false">
      <c r="A154" s="15" t="n">
        <v>130</v>
      </c>
      <c r="B154" s="17" t="n">
        <f aca="false">IF(COUNTIFS(Sch_S6,"&gt;="&amp;(Bound_S-0.000000001),Sch_bmax,"&gt;="&amp;(A154-0.000000001))=0,"",_xlfn.MAXIFS(Sch_P0,Sch_S6,"&gt;="&amp;(Bound_S-0.000000001),Sch_bmax,"&gt;="&amp;(A154-0.000000001))-Beta_y*A154)</f>
        <v>183.870467909375</v>
      </c>
      <c r="C154" s="15" t="n">
        <f aca="false">IF(B154="","",_xlfn.MINIFS(Sch_idx,Sch_S6,"&gt;="&amp;(Bound_S-0.000000001),Sch_bmax,"&gt;="&amp;(A154-0.000000001),Sch_P0,"&gt;="&amp;(B154+Beta_y*A154-0.000000001)))</f>
        <v>44</v>
      </c>
      <c r="D154" s="2" t="str">
        <f aca="false">IF(B154="","",INDEX(Sch_label,C154+1))</f>
        <v>1, 3, 4</v>
      </c>
      <c r="E154" s="15" t="n">
        <f aca="false">IF(OR(B154="",B153=""),0,IF(C154&lt;&gt;C153,1,0))</f>
        <v>0</v>
      </c>
      <c r="F154" s="13" t="n">
        <f aca="false">IF(OR(B154="",B153=""),0,B153-B154)</f>
        <v>0.909090909090935</v>
      </c>
      <c r="G154" s="13" t="n">
        <f aca="false">F154-Beta_y</f>
        <v>2.58681964737661E-014</v>
      </c>
    </row>
    <row r="155" customFormat="false" ht="15" hidden="false" customHeight="false" outlineLevel="0" collapsed="false">
      <c r="A155" s="15" t="n">
        <v>131</v>
      </c>
      <c r="B155" s="17" t="n">
        <f aca="false">IF(COUNTIFS(Sch_S6,"&gt;="&amp;(Bound_S-0.000000001),Sch_bmax,"&gt;="&amp;(A155-0.000000001))=0,"",_xlfn.MAXIFS(Sch_P0,Sch_S6,"&gt;="&amp;(Bound_S-0.000000001),Sch_bmax,"&gt;="&amp;(A155-0.000000001))-Beta_y*A155)</f>
        <v>182.961377000284</v>
      </c>
      <c r="C155" s="15" t="n">
        <f aca="false">IF(B155="","",_xlfn.MINIFS(Sch_idx,Sch_S6,"&gt;="&amp;(Bound_S-0.000000001),Sch_bmax,"&gt;="&amp;(A155-0.000000001),Sch_P0,"&gt;="&amp;(B155+Beta_y*A155-0.000000001)))</f>
        <v>44</v>
      </c>
      <c r="D155" s="2" t="str">
        <f aca="false">IF(B155="","",INDEX(Sch_label,C155+1))</f>
        <v>1, 3, 4</v>
      </c>
      <c r="E155" s="15" t="n">
        <f aca="false">IF(OR(B155="",B154=""),0,IF(C155&lt;&gt;C154,1,0))</f>
        <v>0</v>
      </c>
      <c r="F155" s="13" t="n">
        <f aca="false">IF(OR(B155="",B154=""),0,B154-B155)</f>
        <v>0.909090909090907</v>
      </c>
      <c r="G155" s="13" t="n">
        <f aca="false">F155-Beta_y</f>
        <v>0</v>
      </c>
    </row>
    <row r="156" customFormat="false" ht="15" hidden="false" customHeight="false" outlineLevel="0" collapsed="false">
      <c r="A156" s="15" t="n">
        <v>132</v>
      </c>
      <c r="B156" s="17" t="n">
        <f aca="false">IF(COUNTIFS(Sch_S6,"&gt;="&amp;(Bound_S-0.000000001),Sch_bmax,"&gt;="&amp;(A156-0.000000001))=0,"",_xlfn.MAXIFS(Sch_P0,Sch_S6,"&gt;="&amp;(Bound_S-0.000000001),Sch_bmax,"&gt;="&amp;(A156-0.000000001))-Beta_y*A156)</f>
        <v>182.052286091193</v>
      </c>
      <c r="C156" s="15" t="n">
        <f aca="false">IF(B156="","",_xlfn.MINIFS(Sch_idx,Sch_S6,"&gt;="&amp;(Bound_S-0.000000001),Sch_bmax,"&gt;="&amp;(A156-0.000000001),Sch_P0,"&gt;="&amp;(B156+Beta_y*A156-0.000000001)))</f>
        <v>44</v>
      </c>
      <c r="D156" s="2" t="str">
        <f aca="false">IF(B156="","",INDEX(Sch_label,C156+1))</f>
        <v>1, 3, 4</v>
      </c>
      <c r="E156" s="15" t="n">
        <f aca="false">IF(OR(B156="",B155=""),0,IF(C156&lt;&gt;C155,1,0))</f>
        <v>0</v>
      </c>
      <c r="F156" s="13" t="n">
        <f aca="false">IF(OR(B156="",B155=""),0,B155-B156)</f>
        <v>0.909090909090907</v>
      </c>
      <c r="G156" s="13" t="n">
        <f aca="false">F156-Beta_y</f>
        <v>0</v>
      </c>
    </row>
    <row r="157" customFormat="false" ht="15" hidden="false" customHeight="false" outlineLevel="0" collapsed="false">
      <c r="A157" s="15" t="n">
        <v>133</v>
      </c>
      <c r="B157" s="17" t="n">
        <f aca="false">IF(COUNTIFS(Sch_S6,"&gt;="&amp;(Bound_S-0.000000001),Sch_bmax,"&gt;="&amp;(A157-0.000000001))=0,"",_xlfn.MAXIFS(Sch_P0,Sch_S6,"&gt;="&amp;(Bound_S-0.000000001),Sch_bmax,"&gt;="&amp;(A157-0.000000001))-Beta_y*A157)</f>
        <v>181.143195182102</v>
      </c>
      <c r="C157" s="15" t="n">
        <f aca="false">IF(B157="","",_xlfn.MINIFS(Sch_idx,Sch_S6,"&gt;="&amp;(Bound_S-0.000000001),Sch_bmax,"&gt;="&amp;(A157-0.000000001),Sch_P0,"&gt;="&amp;(B157+Beta_y*A157-0.000000001)))</f>
        <v>44</v>
      </c>
      <c r="D157" s="2" t="str">
        <f aca="false">IF(B157="","",INDEX(Sch_label,C157+1))</f>
        <v>1, 3, 4</v>
      </c>
      <c r="E157" s="15" t="n">
        <f aca="false">IF(OR(B157="",B156=""),0,IF(C157&lt;&gt;C156,1,0))</f>
        <v>0</v>
      </c>
      <c r="F157" s="13" t="n">
        <f aca="false">IF(OR(B157="",B156=""),0,B156-B157)</f>
        <v>0.909090909090907</v>
      </c>
      <c r="G157" s="13" t="n">
        <f aca="false">F157-Beta_y</f>
        <v>0</v>
      </c>
    </row>
    <row r="158" customFormat="false" ht="15" hidden="false" customHeight="false" outlineLevel="0" collapsed="false">
      <c r="A158" s="15" t="n">
        <v>134</v>
      </c>
      <c r="B158" s="17" t="n">
        <f aca="false">IF(COUNTIFS(Sch_S6,"&gt;="&amp;(Bound_S-0.000000001),Sch_bmax,"&gt;="&amp;(A158-0.000000001))=0,"",_xlfn.MAXIFS(Sch_P0,Sch_S6,"&gt;="&amp;(Bound_S-0.000000001),Sch_bmax,"&gt;="&amp;(A158-0.000000001))-Beta_y*A158)</f>
        <v>180.234104273011</v>
      </c>
      <c r="C158" s="15" t="n">
        <f aca="false">IF(B158="","",_xlfn.MINIFS(Sch_idx,Sch_S6,"&gt;="&amp;(Bound_S-0.000000001),Sch_bmax,"&gt;="&amp;(A158-0.000000001),Sch_P0,"&gt;="&amp;(B158+Beta_y*A158-0.000000001)))</f>
        <v>44</v>
      </c>
      <c r="D158" s="2" t="str">
        <f aca="false">IF(B158="","",INDEX(Sch_label,C158+1))</f>
        <v>1, 3, 4</v>
      </c>
      <c r="E158" s="15" t="n">
        <f aca="false">IF(OR(B158="",B157=""),0,IF(C158&lt;&gt;C157,1,0))</f>
        <v>0</v>
      </c>
      <c r="F158" s="13" t="n">
        <f aca="false">IF(OR(B158="",B157=""),0,B157-B158)</f>
        <v>0.909090909090907</v>
      </c>
      <c r="G158" s="13" t="n">
        <f aca="false">F158-Beta_y</f>
        <v>0</v>
      </c>
    </row>
    <row r="159" customFormat="false" ht="15" hidden="false" customHeight="false" outlineLevel="0" collapsed="false">
      <c r="A159" s="15" t="n">
        <v>135</v>
      </c>
      <c r="B159" s="17" t="n">
        <f aca="false">IF(COUNTIFS(Sch_S6,"&gt;="&amp;(Bound_S-0.000000001),Sch_bmax,"&gt;="&amp;(A159-0.000000001))=0,"",_xlfn.MAXIFS(Sch_P0,Sch_S6,"&gt;="&amp;(Bound_S-0.000000001),Sch_bmax,"&gt;="&amp;(A159-0.000000001))-Beta_y*A159)</f>
        <v>179.32501336392</v>
      </c>
      <c r="C159" s="15" t="n">
        <f aca="false">IF(B159="","",_xlfn.MINIFS(Sch_idx,Sch_S6,"&gt;="&amp;(Bound_S-0.000000001),Sch_bmax,"&gt;="&amp;(A159-0.000000001),Sch_P0,"&gt;="&amp;(B159+Beta_y*A159-0.000000001)))</f>
        <v>44</v>
      </c>
      <c r="D159" s="2" t="str">
        <f aca="false">IF(B159="","",INDEX(Sch_label,C159+1))</f>
        <v>1, 3, 4</v>
      </c>
      <c r="E159" s="15" t="n">
        <f aca="false">IF(OR(B159="",B158=""),0,IF(C159&lt;&gt;C158,1,0))</f>
        <v>0</v>
      </c>
      <c r="F159" s="13" t="n">
        <f aca="false">IF(OR(B159="",B158=""),0,B158-B159)</f>
        <v>0.909090909090907</v>
      </c>
      <c r="G159" s="13" t="n">
        <f aca="false">F159-Beta_y</f>
        <v>0</v>
      </c>
    </row>
    <row r="160" customFormat="false" ht="15" hidden="false" customHeight="false" outlineLevel="0" collapsed="false">
      <c r="A160" s="15" t="n">
        <v>136</v>
      </c>
      <c r="B160" s="17" t="n">
        <f aca="false">IF(COUNTIFS(Sch_S6,"&gt;="&amp;(Bound_S-0.000000001),Sch_bmax,"&gt;="&amp;(A160-0.000000001))=0,"",_xlfn.MAXIFS(Sch_P0,Sch_S6,"&gt;="&amp;(Bound_S-0.000000001),Sch_bmax,"&gt;="&amp;(A160-0.000000001))-Beta_y*A160)</f>
        <v>178.415922454829</v>
      </c>
      <c r="C160" s="15" t="n">
        <f aca="false">IF(B160="","",_xlfn.MINIFS(Sch_idx,Sch_S6,"&gt;="&amp;(Bound_S-0.000000001),Sch_bmax,"&gt;="&amp;(A160-0.000000001),Sch_P0,"&gt;="&amp;(B160+Beta_y*A160-0.000000001)))</f>
        <v>44</v>
      </c>
      <c r="D160" s="2" t="str">
        <f aca="false">IF(B160="","",INDEX(Sch_label,C160+1))</f>
        <v>1, 3, 4</v>
      </c>
      <c r="E160" s="15" t="n">
        <f aca="false">IF(OR(B160="",B159=""),0,IF(C160&lt;&gt;C159,1,0))</f>
        <v>0</v>
      </c>
      <c r="F160" s="13" t="n">
        <f aca="false">IF(OR(B160="",B159=""),0,B159-B160)</f>
        <v>0.909090909090907</v>
      </c>
      <c r="G160" s="13" t="n">
        <f aca="false">F160-Beta_y</f>
        <v>0</v>
      </c>
    </row>
    <row r="161" customFormat="false" ht="15" hidden="false" customHeight="false" outlineLevel="0" collapsed="false">
      <c r="A161" s="15" t="n">
        <v>137</v>
      </c>
      <c r="B161" s="17" t="n">
        <f aca="false">IF(COUNTIFS(Sch_S6,"&gt;="&amp;(Bound_S-0.000000001),Sch_bmax,"&gt;="&amp;(A161-0.000000001))=0,"",_xlfn.MAXIFS(Sch_P0,Sch_S6,"&gt;="&amp;(Bound_S-0.000000001),Sch_bmax,"&gt;="&amp;(A161-0.000000001))-Beta_y*A161)</f>
        <v>177.506831545738</v>
      </c>
      <c r="C161" s="15" t="n">
        <f aca="false">IF(B161="","",_xlfn.MINIFS(Sch_idx,Sch_S6,"&gt;="&amp;(Bound_S-0.000000001),Sch_bmax,"&gt;="&amp;(A161-0.000000001),Sch_P0,"&gt;="&amp;(B161+Beta_y*A161-0.000000001)))</f>
        <v>44</v>
      </c>
      <c r="D161" s="2" t="str">
        <f aca="false">IF(B161="","",INDEX(Sch_label,C161+1))</f>
        <v>1, 3, 4</v>
      </c>
      <c r="E161" s="15" t="n">
        <f aca="false">IF(OR(B161="",B160=""),0,IF(C161&lt;&gt;C160,1,0))</f>
        <v>0</v>
      </c>
      <c r="F161" s="13" t="n">
        <f aca="false">IF(OR(B161="",B160=""),0,B160-B161)</f>
        <v>0.909090909090935</v>
      </c>
      <c r="G161" s="13" t="n">
        <f aca="false">F161-Beta_y</f>
        <v>2.58681964737661E-014</v>
      </c>
    </row>
    <row r="162" customFormat="false" ht="15" hidden="false" customHeight="false" outlineLevel="0" collapsed="false">
      <c r="A162" s="15" t="n">
        <v>138</v>
      </c>
      <c r="B162" s="17" t="n">
        <f aca="false">IF(COUNTIFS(Sch_S6,"&gt;="&amp;(Bound_S-0.000000001),Sch_bmax,"&gt;="&amp;(A162-0.000000001))=0,"",_xlfn.MAXIFS(Sch_P0,Sch_S6,"&gt;="&amp;(Bound_S-0.000000001),Sch_bmax,"&gt;="&amp;(A162-0.000000001))-Beta_y*A162)</f>
        <v>176.597740636648</v>
      </c>
      <c r="C162" s="15" t="n">
        <f aca="false">IF(B162="","",_xlfn.MINIFS(Sch_idx,Sch_S6,"&gt;="&amp;(Bound_S-0.000000001),Sch_bmax,"&gt;="&amp;(A162-0.000000001),Sch_P0,"&gt;="&amp;(B162+Beta_y*A162-0.000000001)))</f>
        <v>44</v>
      </c>
      <c r="D162" s="2" t="str">
        <f aca="false">IF(B162="","",INDEX(Sch_label,C162+1))</f>
        <v>1, 3, 4</v>
      </c>
      <c r="E162" s="15" t="n">
        <f aca="false">IF(OR(B162="",B161=""),0,IF(C162&lt;&gt;C161,1,0))</f>
        <v>0</v>
      </c>
      <c r="F162" s="13" t="n">
        <f aca="false">IF(OR(B162="",B161=""),0,B161-B162)</f>
        <v>0.909090909090878</v>
      </c>
      <c r="G162" s="13" t="n">
        <f aca="false">F162-Beta_y</f>
        <v>-3.09752223870419E-014</v>
      </c>
    </row>
    <row r="163" customFormat="false" ht="15" hidden="false" customHeight="false" outlineLevel="0" collapsed="false">
      <c r="A163" s="15" t="n">
        <v>139</v>
      </c>
      <c r="B163" s="17" t="n">
        <f aca="false">IF(COUNTIFS(Sch_S6,"&gt;="&amp;(Bound_S-0.000000001),Sch_bmax,"&gt;="&amp;(A163-0.000000001))=0,"",_xlfn.MAXIFS(Sch_P0,Sch_S6,"&gt;="&amp;(Bound_S-0.000000001),Sch_bmax,"&gt;="&amp;(A163-0.000000001))-Beta_y*A163)</f>
        <v>175.688649727557</v>
      </c>
      <c r="C163" s="15" t="n">
        <f aca="false">IF(B163="","",_xlfn.MINIFS(Sch_idx,Sch_S6,"&gt;="&amp;(Bound_S-0.000000001),Sch_bmax,"&gt;="&amp;(A163-0.000000001),Sch_P0,"&gt;="&amp;(B163+Beta_y*A163-0.000000001)))</f>
        <v>44</v>
      </c>
      <c r="D163" s="2" t="str">
        <f aca="false">IF(B163="","",INDEX(Sch_label,C163+1))</f>
        <v>1, 3, 4</v>
      </c>
      <c r="E163" s="15" t="n">
        <f aca="false">IF(OR(B163="",B162=""),0,IF(C163&lt;&gt;C162,1,0))</f>
        <v>0</v>
      </c>
      <c r="F163" s="13" t="n">
        <f aca="false">IF(OR(B163="",B162=""),0,B162-B163)</f>
        <v>0.909090909090935</v>
      </c>
      <c r="G163" s="13" t="n">
        <f aca="false">F163-Beta_y</f>
        <v>2.58681964737661E-014</v>
      </c>
    </row>
    <row r="164" customFormat="false" ht="15" hidden="false" customHeight="false" outlineLevel="0" collapsed="false">
      <c r="A164" s="15" t="n">
        <v>140</v>
      </c>
      <c r="B164" s="17" t="n">
        <f aca="false">IF(COUNTIFS(Sch_S6,"&gt;="&amp;(Bound_S-0.000000001),Sch_bmax,"&gt;="&amp;(A164-0.000000001))=0,"",_xlfn.MAXIFS(Sch_P0,Sch_S6,"&gt;="&amp;(Bound_S-0.000000001),Sch_bmax,"&gt;="&amp;(A164-0.000000001))-Beta_y*A164)</f>
        <v>174.779558818466</v>
      </c>
      <c r="C164" s="15" t="n">
        <f aca="false">IF(B164="","",_xlfn.MINIFS(Sch_idx,Sch_S6,"&gt;="&amp;(Bound_S-0.000000001),Sch_bmax,"&gt;="&amp;(A164-0.000000001),Sch_P0,"&gt;="&amp;(B164+Beta_y*A164-0.000000001)))</f>
        <v>44</v>
      </c>
      <c r="D164" s="2" t="str">
        <f aca="false">IF(B164="","",INDEX(Sch_label,C164+1))</f>
        <v>1, 3, 4</v>
      </c>
      <c r="E164" s="15" t="n">
        <f aca="false">IF(OR(B164="",B163=""),0,IF(C164&lt;&gt;C163,1,0))</f>
        <v>0</v>
      </c>
      <c r="F164" s="13" t="n">
        <f aca="false">IF(OR(B164="",B163=""),0,B163-B164)</f>
        <v>0.909090909090878</v>
      </c>
      <c r="G164" s="13" t="n">
        <f aca="false">F164-Beta_y</f>
        <v>-3.09752223870419E-014</v>
      </c>
    </row>
    <row r="165" customFormat="false" ht="15" hidden="false" customHeight="false" outlineLevel="0" collapsed="false">
      <c r="A165" s="15" t="n">
        <v>141</v>
      </c>
      <c r="B165" s="17" t="n">
        <f aca="false">IF(COUNTIFS(Sch_S6,"&gt;="&amp;(Bound_S-0.000000001),Sch_bmax,"&gt;="&amp;(A165-0.000000001))=0,"",_xlfn.MAXIFS(Sch_P0,Sch_S6,"&gt;="&amp;(Bound_S-0.000000001),Sch_bmax,"&gt;="&amp;(A165-0.000000001))-Beta_y*A165)</f>
        <v>173.870467909375</v>
      </c>
      <c r="C165" s="15" t="n">
        <f aca="false">IF(B165="","",_xlfn.MINIFS(Sch_idx,Sch_S6,"&gt;="&amp;(Bound_S-0.000000001),Sch_bmax,"&gt;="&amp;(A165-0.000000001),Sch_P0,"&gt;="&amp;(B165+Beta_y*A165-0.000000001)))</f>
        <v>44</v>
      </c>
      <c r="D165" s="2" t="str">
        <f aca="false">IF(B165="","",INDEX(Sch_label,C165+1))</f>
        <v>1, 3, 4</v>
      </c>
      <c r="E165" s="15" t="n">
        <f aca="false">IF(OR(B165="",B164=""),0,IF(C165&lt;&gt;C164,1,0))</f>
        <v>0</v>
      </c>
      <c r="F165" s="13" t="n">
        <f aca="false">IF(OR(B165="",B164=""),0,B164-B165)</f>
        <v>0.909090909090935</v>
      </c>
      <c r="G165" s="13" t="n">
        <f aca="false">F165-Beta_y</f>
        <v>2.58681964737661E-014</v>
      </c>
    </row>
    <row r="166" customFormat="false" ht="15" hidden="false" customHeight="false" outlineLevel="0" collapsed="false">
      <c r="A166" s="15" t="n">
        <v>142</v>
      </c>
      <c r="B166" s="17" t="n">
        <f aca="false">IF(COUNTIFS(Sch_S6,"&gt;="&amp;(Bound_S-0.000000001),Sch_bmax,"&gt;="&amp;(A166-0.000000001))=0,"",_xlfn.MAXIFS(Sch_P0,Sch_S6,"&gt;="&amp;(Bound_S-0.000000001),Sch_bmax,"&gt;="&amp;(A166-0.000000001))-Beta_y*A166)</f>
        <v>172.961377000284</v>
      </c>
      <c r="C166" s="15" t="n">
        <f aca="false">IF(B166="","",_xlfn.MINIFS(Sch_idx,Sch_S6,"&gt;="&amp;(Bound_S-0.000000001),Sch_bmax,"&gt;="&amp;(A166-0.000000001),Sch_P0,"&gt;="&amp;(B166+Beta_y*A166-0.000000001)))</f>
        <v>44</v>
      </c>
      <c r="D166" s="2" t="str">
        <f aca="false">IF(B166="","",INDEX(Sch_label,C166+1))</f>
        <v>1, 3, 4</v>
      </c>
      <c r="E166" s="15" t="n">
        <f aca="false">IF(OR(B166="",B165=""),0,IF(C166&lt;&gt;C165,1,0))</f>
        <v>0</v>
      </c>
      <c r="F166" s="13" t="n">
        <f aca="false">IF(OR(B166="",B165=""),0,B165-B166)</f>
        <v>0.909090909090907</v>
      </c>
      <c r="G166" s="13" t="n">
        <f aca="false">F166-Beta_y</f>
        <v>0</v>
      </c>
    </row>
    <row r="167" customFormat="false" ht="15" hidden="false" customHeight="false" outlineLevel="0" collapsed="false">
      <c r="A167" s="15" t="n">
        <v>143</v>
      </c>
      <c r="B167" s="17" t="n">
        <f aca="false">IF(COUNTIFS(Sch_S6,"&gt;="&amp;(Bound_S-0.000000001),Sch_bmax,"&gt;="&amp;(A167-0.000000001))=0,"",_xlfn.MAXIFS(Sch_P0,Sch_S6,"&gt;="&amp;(Bound_S-0.000000001),Sch_bmax,"&gt;="&amp;(A167-0.000000001))-Beta_y*A167)</f>
        <v>172.052286091193</v>
      </c>
      <c r="C167" s="15" t="n">
        <f aca="false">IF(B167="","",_xlfn.MINIFS(Sch_idx,Sch_S6,"&gt;="&amp;(Bound_S-0.000000001),Sch_bmax,"&gt;="&amp;(A167-0.000000001),Sch_P0,"&gt;="&amp;(B167+Beta_y*A167-0.000000001)))</f>
        <v>44</v>
      </c>
      <c r="D167" s="2" t="str">
        <f aca="false">IF(B167="","",INDEX(Sch_label,C167+1))</f>
        <v>1, 3, 4</v>
      </c>
      <c r="E167" s="15" t="n">
        <f aca="false">IF(OR(B167="",B166=""),0,IF(C167&lt;&gt;C166,1,0))</f>
        <v>0</v>
      </c>
      <c r="F167" s="13" t="n">
        <f aca="false">IF(OR(B167="",B166=""),0,B166-B167)</f>
        <v>0.909090909090907</v>
      </c>
      <c r="G167" s="13" t="n">
        <f aca="false">F167-Beta_y</f>
        <v>0</v>
      </c>
    </row>
    <row r="168" customFormat="false" ht="15" hidden="false" customHeight="false" outlineLevel="0" collapsed="false">
      <c r="A168" s="15" t="n">
        <v>144</v>
      </c>
      <c r="B168" s="17" t="n">
        <f aca="false">IF(COUNTIFS(Sch_S6,"&gt;="&amp;(Bound_S-0.000000001),Sch_bmax,"&gt;="&amp;(A168-0.000000001))=0,"",_xlfn.MAXIFS(Sch_P0,Sch_S6,"&gt;="&amp;(Bound_S-0.000000001),Sch_bmax,"&gt;="&amp;(A168-0.000000001))-Beta_y*A168)</f>
        <v>171.143195182102</v>
      </c>
      <c r="C168" s="15" t="n">
        <f aca="false">IF(B168="","",_xlfn.MINIFS(Sch_idx,Sch_S6,"&gt;="&amp;(Bound_S-0.000000001),Sch_bmax,"&gt;="&amp;(A168-0.000000001),Sch_P0,"&gt;="&amp;(B168+Beta_y*A168-0.000000001)))</f>
        <v>44</v>
      </c>
      <c r="D168" s="2" t="str">
        <f aca="false">IF(B168="","",INDEX(Sch_label,C168+1))</f>
        <v>1, 3, 4</v>
      </c>
      <c r="E168" s="15" t="n">
        <f aca="false">IF(OR(B168="",B167=""),0,IF(C168&lt;&gt;C167,1,0))</f>
        <v>0</v>
      </c>
      <c r="F168" s="13" t="n">
        <f aca="false">IF(OR(B168="",B167=""),0,B167-B168)</f>
        <v>0.909090909090907</v>
      </c>
      <c r="G168" s="13" t="n">
        <f aca="false">F168-Beta_y</f>
        <v>0</v>
      </c>
    </row>
    <row r="169" customFormat="false" ht="15" hidden="false" customHeight="false" outlineLevel="0" collapsed="false">
      <c r="A169" s="15" t="n">
        <v>145</v>
      </c>
      <c r="B169" s="17" t="n">
        <f aca="false">IF(COUNTIFS(Sch_S6,"&gt;="&amp;(Bound_S-0.000000001),Sch_bmax,"&gt;="&amp;(A169-0.000000001))=0,"",_xlfn.MAXIFS(Sch_P0,Sch_S6,"&gt;="&amp;(Bound_S-0.000000001),Sch_bmax,"&gt;="&amp;(A169-0.000000001))-Beta_y*A169)</f>
        <v>170.234104273011</v>
      </c>
      <c r="C169" s="15" t="n">
        <f aca="false">IF(B169="","",_xlfn.MINIFS(Sch_idx,Sch_S6,"&gt;="&amp;(Bound_S-0.000000001),Sch_bmax,"&gt;="&amp;(A169-0.000000001),Sch_P0,"&gt;="&amp;(B169+Beta_y*A169-0.000000001)))</f>
        <v>44</v>
      </c>
      <c r="D169" s="2" t="str">
        <f aca="false">IF(B169="","",INDEX(Sch_label,C169+1))</f>
        <v>1, 3, 4</v>
      </c>
      <c r="E169" s="15" t="n">
        <f aca="false">IF(OR(B169="",B168=""),0,IF(C169&lt;&gt;C168,1,0))</f>
        <v>0</v>
      </c>
      <c r="F169" s="13" t="n">
        <f aca="false">IF(OR(B169="",B168=""),0,B168-B169)</f>
        <v>0.909090909090907</v>
      </c>
      <c r="G169" s="13" t="n">
        <f aca="false">F169-Beta_y</f>
        <v>0</v>
      </c>
    </row>
    <row r="170" customFormat="false" ht="15" hidden="false" customHeight="false" outlineLevel="0" collapsed="false">
      <c r="A170" s="15" t="n">
        <v>146</v>
      </c>
      <c r="B170" s="17" t="n">
        <f aca="false">IF(COUNTIFS(Sch_S6,"&gt;="&amp;(Bound_S-0.000000001),Sch_bmax,"&gt;="&amp;(A170-0.000000001))=0,"",_xlfn.MAXIFS(Sch_P0,Sch_S6,"&gt;="&amp;(Bound_S-0.000000001),Sch_bmax,"&gt;="&amp;(A170-0.000000001))-Beta_y*A170)</f>
        <v>169.32501336392</v>
      </c>
      <c r="C170" s="15" t="n">
        <f aca="false">IF(B170="","",_xlfn.MINIFS(Sch_idx,Sch_S6,"&gt;="&amp;(Bound_S-0.000000001),Sch_bmax,"&gt;="&amp;(A170-0.000000001),Sch_P0,"&gt;="&amp;(B170+Beta_y*A170-0.000000001)))</f>
        <v>44</v>
      </c>
      <c r="D170" s="2" t="str">
        <f aca="false">IF(B170="","",INDEX(Sch_label,C170+1))</f>
        <v>1, 3, 4</v>
      </c>
      <c r="E170" s="15" t="n">
        <f aca="false">IF(OR(B170="",B169=""),0,IF(C170&lt;&gt;C169,1,0))</f>
        <v>0</v>
      </c>
      <c r="F170" s="13" t="n">
        <f aca="false">IF(OR(B170="",B169=""),0,B169-B170)</f>
        <v>0.909090909090907</v>
      </c>
      <c r="G170" s="13" t="n">
        <f aca="false">F170-Beta_y</f>
        <v>0</v>
      </c>
    </row>
    <row r="171" customFormat="false" ht="15" hidden="false" customHeight="false" outlineLevel="0" collapsed="false">
      <c r="A171" s="15" t="n">
        <v>147</v>
      </c>
      <c r="B171" s="17" t="n">
        <f aca="false">IF(COUNTIFS(Sch_S6,"&gt;="&amp;(Bound_S-0.000000001),Sch_bmax,"&gt;="&amp;(A171-0.000000001))=0,"",_xlfn.MAXIFS(Sch_P0,Sch_S6,"&gt;="&amp;(Bound_S-0.000000001),Sch_bmax,"&gt;="&amp;(A171-0.000000001))-Beta_y*A171)</f>
        <v>168.415922454829</v>
      </c>
      <c r="C171" s="15" t="n">
        <f aca="false">IF(B171="","",_xlfn.MINIFS(Sch_idx,Sch_S6,"&gt;="&amp;(Bound_S-0.000000001),Sch_bmax,"&gt;="&amp;(A171-0.000000001),Sch_P0,"&gt;="&amp;(B171+Beta_y*A171-0.000000001)))</f>
        <v>44</v>
      </c>
      <c r="D171" s="2" t="str">
        <f aca="false">IF(B171="","",INDEX(Sch_label,C171+1))</f>
        <v>1, 3, 4</v>
      </c>
      <c r="E171" s="15" t="n">
        <f aca="false">IF(OR(B171="",B170=""),0,IF(C171&lt;&gt;C170,1,0))</f>
        <v>0</v>
      </c>
      <c r="F171" s="13" t="n">
        <f aca="false">IF(OR(B171="",B170=""),0,B170-B171)</f>
        <v>0.909090909090907</v>
      </c>
      <c r="G171" s="13" t="n">
        <f aca="false">F171-Beta_y</f>
        <v>0</v>
      </c>
    </row>
    <row r="172" customFormat="false" ht="15" hidden="false" customHeight="false" outlineLevel="0" collapsed="false">
      <c r="A172" s="15" t="n">
        <v>148</v>
      </c>
      <c r="B172" s="17" t="n">
        <f aca="false">IF(COUNTIFS(Sch_S6,"&gt;="&amp;(Bound_S-0.000000001),Sch_bmax,"&gt;="&amp;(A172-0.000000001))=0,"",_xlfn.MAXIFS(Sch_P0,Sch_S6,"&gt;="&amp;(Bound_S-0.000000001),Sch_bmax,"&gt;="&amp;(A172-0.000000001))-Beta_y*A172)</f>
        <v>167.506831545739</v>
      </c>
      <c r="C172" s="15" t="n">
        <f aca="false">IF(B172="","",_xlfn.MINIFS(Sch_idx,Sch_S6,"&gt;="&amp;(Bound_S-0.000000001),Sch_bmax,"&gt;="&amp;(A172-0.000000001),Sch_P0,"&gt;="&amp;(B172+Beta_y*A172-0.000000001)))</f>
        <v>44</v>
      </c>
      <c r="D172" s="2" t="str">
        <f aca="false">IF(B172="","",INDEX(Sch_label,C172+1))</f>
        <v>1, 3, 4</v>
      </c>
      <c r="E172" s="15" t="n">
        <f aca="false">IF(OR(B172="",B171=""),0,IF(C172&lt;&gt;C171,1,0))</f>
        <v>0</v>
      </c>
      <c r="F172" s="13" t="n">
        <f aca="false">IF(OR(B172="",B171=""),0,B171-B172)</f>
        <v>0.909090909090907</v>
      </c>
      <c r="G172" s="13" t="n">
        <f aca="false">F172-Beta_y</f>
        <v>0</v>
      </c>
    </row>
    <row r="173" customFormat="false" ht="15" hidden="false" customHeight="false" outlineLevel="0" collapsed="false">
      <c r="A173" s="15" t="n">
        <v>149</v>
      </c>
      <c r="B173" s="17" t="n">
        <f aca="false">IF(COUNTIFS(Sch_S6,"&gt;="&amp;(Bound_S-0.000000001),Sch_bmax,"&gt;="&amp;(A173-0.000000001))=0,"",_xlfn.MAXIFS(Sch_P0,Sch_S6,"&gt;="&amp;(Bound_S-0.000000001),Sch_bmax,"&gt;="&amp;(A173-0.000000001))-Beta_y*A173)</f>
        <v>166.597740636648</v>
      </c>
      <c r="C173" s="15" t="n">
        <f aca="false">IF(B173="","",_xlfn.MINIFS(Sch_idx,Sch_S6,"&gt;="&amp;(Bound_S-0.000000001),Sch_bmax,"&gt;="&amp;(A173-0.000000001),Sch_P0,"&gt;="&amp;(B173+Beta_y*A173-0.000000001)))</f>
        <v>44</v>
      </c>
      <c r="D173" s="2" t="str">
        <f aca="false">IF(B173="","",INDEX(Sch_label,C173+1))</f>
        <v>1, 3, 4</v>
      </c>
      <c r="E173" s="15" t="n">
        <f aca="false">IF(OR(B173="",B172=""),0,IF(C173&lt;&gt;C172,1,0))</f>
        <v>0</v>
      </c>
      <c r="F173" s="13" t="n">
        <f aca="false">IF(OR(B173="",B172=""),0,B172-B173)</f>
        <v>0.909090909090907</v>
      </c>
      <c r="G173" s="13" t="n">
        <f aca="false">F173-Beta_y</f>
        <v>0</v>
      </c>
    </row>
    <row r="174" customFormat="false" ht="15" hidden="false" customHeight="false" outlineLevel="0" collapsed="false">
      <c r="A174" s="15" t="n">
        <v>150</v>
      </c>
      <c r="B174" s="17" t="n">
        <f aca="false">IF(COUNTIFS(Sch_S6,"&gt;="&amp;(Bound_S-0.000000001),Sch_bmax,"&gt;="&amp;(A174-0.000000001))=0,"",_xlfn.MAXIFS(Sch_P0,Sch_S6,"&gt;="&amp;(Bound_S-0.000000001),Sch_bmax,"&gt;="&amp;(A174-0.000000001))-Beta_y*A174)</f>
        <v>165.688649727557</v>
      </c>
      <c r="C174" s="15" t="n">
        <f aca="false">IF(B174="","",_xlfn.MINIFS(Sch_idx,Sch_S6,"&gt;="&amp;(Bound_S-0.000000001),Sch_bmax,"&gt;="&amp;(A174-0.000000001),Sch_P0,"&gt;="&amp;(B174+Beta_y*A174-0.000000001)))</f>
        <v>44</v>
      </c>
      <c r="D174" s="2" t="str">
        <f aca="false">IF(B174="","",INDEX(Sch_label,C174+1))</f>
        <v>1, 3, 4</v>
      </c>
      <c r="E174" s="15" t="n">
        <f aca="false">IF(OR(B174="",B173=""),0,IF(C174&lt;&gt;C173,1,0))</f>
        <v>0</v>
      </c>
      <c r="F174" s="13" t="n">
        <f aca="false">IF(OR(B174="",B173=""),0,B173-B174)</f>
        <v>0.909090909090907</v>
      </c>
      <c r="G174" s="13" t="n">
        <f aca="false">F174-Beta_y</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2" min="2" style="0" width="9"/>
  </cols>
  <sheetData>
    <row r="1" customFormat="false" ht="15" hidden="false" customHeight="false" outlineLevel="0" collapsed="false">
      <c r="A1" s="1" t="s">
        <v>283</v>
      </c>
    </row>
    <row r="2" customFormat="false" ht="15" hidden="false" customHeight="false" outlineLevel="0" collapsed="false">
      <c r="A2" s="10" t="s">
        <v>284</v>
      </c>
    </row>
    <row r="4" customFormat="false" ht="15" hidden="false" customHeight="false" outlineLevel="0" collapsed="false">
      <c r="B4" s="4" t="s">
        <v>285</v>
      </c>
      <c r="J4" s="4" t="s">
        <v>286</v>
      </c>
      <c r="R4" s="4" t="s">
        <v>287</v>
      </c>
      <c r="Z4" s="4" t="s">
        <v>97</v>
      </c>
    </row>
    <row r="5" customFormat="false" ht="15" hidden="false" customHeight="false" outlineLevel="0" collapsed="false">
      <c r="A5" s="23" t="s">
        <v>266</v>
      </c>
      <c r="B5" s="23" t="n">
        <v>0</v>
      </c>
      <c r="C5" s="23" t="n">
        <v>1</v>
      </c>
      <c r="D5" s="23" t="n">
        <v>2</v>
      </c>
      <c r="E5" s="23" t="n">
        <v>3</v>
      </c>
      <c r="F5" s="23" t="n">
        <v>4</v>
      </c>
      <c r="G5" s="23" t="n">
        <v>5</v>
      </c>
      <c r="H5" s="23" t="n">
        <v>6</v>
      </c>
      <c r="J5" s="23" t="n">
        <v>0</v>
      </c>
      <c r="K5" s="23" t="n">
        <v>1</v>
      </c>
      <c r="L5" s="23" t="n">
        <v>2</v>
      </c>
      <c r="M5" s="23" t="n">
        <v>3</v>
      </c>
      <c r="N5" s="23" t="n">
        <v>4</v>
      </c>
      <c r="O5" s="23" t="n">
        <v>5</v>
      </c>
      <c r="P5" s="23" t="n">
        <v>6</v>
      </c>
      <c r="R5" s="23" t="n">
        <v>0</v>
      </c>
      <c r="S5" s="23" t="n">
        <v>1</v>
      </c>
      <c r="T5" s="23" t="n">
        <v>2</v>
      </c>
      <c r="U5" s="23" t="n">
        <v>3</v>
      </c>
      <c r="V5" s="23" t="n">
        <v>4</v>
      </c>
      <c r="W5" s="23" t="n">
        <v>5</v>
      </c>
      <c r="X5" s="23" t="n">
        <v>6</v>
      </c>
      <c r="Z5" s="23" t="n">
        <v>0</v>
      </c>
      <c r="AA5" s="23" t="n">
        <v>1</v>
      </c>
      <c r="AB5" s="23" t="n">
        <v>2</v>
      </c>
      <c r="AC5" s="23" t="n">
        <v>3</v>
      </c>
      <c r="AD5" s="23" t="n">
        <v>4</v>
      </c>
      <c r="AE5" s="23" t="n">
        <v>5</v>
      </c>
      <c r="AF5" s="23" t="n">
        <v>6</v>
      </c>
    </row>
    <row r="6" customFormat="false" ht="15" hidden="false" customHeight="false" outlineLevel="0" collapsed="false">
      <c r="A6" s="2" t="n">
        <v>0</v>
      </c>
      <c r="B6" s="16" t="n">
        <f aca="false">IF(COUNTIFS(Sch_n,B$5,Sch_bmax,"&gt;="&amp;($A6-0.000000001))&gt;0,_xlfn.MAXIFS(Sch_P0,Sch_n,B$5,Sch_bmax,"&gt;="&amp;($A6-0.000000001))-Beta_y*$A6,"")</f>
        <v>136.363636363636</v>
      </c>
      <c r="C6" s="16" t="n">
        <f aca="false">IF(COUNTIFS(Sch_n,C$5,Sch_bmax,"&gt;="&amp;($A6-0.000000001))&gt;0,_xlfn.MAXIFS(Sch_P0,Sch_n,C$5,Sch_bmax,"&gt;="&amp;($A6-0.000000001))-Beta_y*$A6,"")</f>
        <v>370.67264406927</v>
      </c>
      <c r="D6" s="16" t="n">
        <f aca="false">IF(COUNTIFS(Sch_n,D$5,Sch_bmax,"&gt;="&amp;($A6-0.000000001))&gt;0,_xlfn.MAXIFS(Sch_P0,Sch_n,D$5,Sch_bmax,"&gt;="&amp;($A6-0.000000001))-Beta_y*$A6,"")</f>
        <v>384.173336396545</v>
      </c>
      <c r="E6" s="16" t="n">
        <f aca="false">IF(COUNTIFS(Sch_n,E$5,Sch_bmax,"&gt;="&amp;($A6-0.000000001))&gt;0,_xlfn.MAXIFS(Sch_P0,Sch_n,E$5,Sch_bmax,"&gt;="&amp;($A6-0.000000001))-Beta_y*$A6,"")</f>
        <v>330.451985565273</v>
      </c>
      <c r="F6" s="16" t="n">
        <f aca="false">IF(COUNTIFS(Sch_n,F$5,Sch_bmax,"&gt;="&amp;($A6-0.000000001))&gt;0,_xlfn.MAXIFS(Sch_P0,Sch_n,F$5,Sch_bmax,"&gt;="&amp;($A6-0.000000001))-Beta_y*$A6,"")</f>
        <v>260.880573686145</v>
      </c>
      <c r="G6" s="16" t="n">
        <f aca="false">IF(COUNTIFS(Sch_n,G$5,Sch_bmax,"&gt;="&amp;($A6-0.000000001))&gt;0,_xlfn.MAXIFS(Sch_P0,Sch_n,G$5,Sch_bmax,"&gt;="&amp;($A6-0.000000001))-Beta_y*$A6,"")</f>
        <v>186.821594063089</v>
      </c>
      <c r="H6" s="16" t="n">
        <f aca="false">IF(COUNTIFS(Sch_n,H$5,Sch_bmax,"&gt;="&amp;($A6-0.000000001))&gt;0,_xlfn.MAXIFS(Sch_P0,Sch_n,H$5,Sch_bmax,"&gt;="&amp;($A6-0.000000001))-Beta_y*$A6,"")</f>
        <v>106.59150319972</v>
      </c>
      <c r="J6" s="15" t="n">
        <f aca="false">IF(ISNUMBER(B6),1,0)</f>
        <v>1</v>
      </c>
      <c r="K6" s="15" t="n">
        <f aca="false">IF(ISNUMBER(C6),1,0)</f>
        <v>1</v>
      </c>
      <c r="L6" s="15" t="n">
        <f aca="false">IF(ISNUMBER(D6),1,0)</f>
        <v>1</v>
      </c>
      <c r="M6" s="15" t="n">
        <f aca="false">IF(ISNUMBER(E6),1,0)</f>
        <v>1</v>
      </c>
      <c r="N6" s="15" t="n">
        <f aca="false">IF(ISNUMBER(F6),1,0)</f>
        <v>1</v>
      </c>
      <c r="O6" s="15" t="n">
        <f aca="false">IF(ISNUMBER(G6),1,0)</f>
        <v>1</v>
      </c>
      <c r="P6" s="15" t="n">
        <f aca="false">IF(ISNUMBER(H6),1,0)</f>
        <v>1</v>
      </c>
      <c r="R6" s="15" t="n">
        <f aca="false">IF(J6=1,_xlfn.MINIFS(Sch_idx,Sch_n,B$5,Sch_bmax,"&gt;="&amp;($A6-0.000000001),Sch_P0,"&gt;="&amp;(B6+Beta_y*$A6-0.000000001)),"")</f>
        <v>0</v>
      </c>
      <c r="S6" s="15" t="n">
        <f aca="false">IF(K6=1,_xlfn.MINIFS(Sch_idx,Sch_n,C$5,Sch_bmax,"&gt;="&amp;($A6-0.000000001),Sch_P0,"&gt;="&amp;(C6+Beta_y*$A6-0.000000001)),"")</f>
        <v>32</v>
      </c>
      <c r="T6" s="15" t="n">
        <f aca="false">IF(L6=1,_xlfn.MINIFS(Sch_idx,Sch_n,D$5,Sch_bmax,"&gt;="&amp;($A6-0.000000001),Sch_P0,"&gt;="&amp;(D6+Beta_y*$A6-0.000000001)),"")</f>
        <v>48</v>
      </c>
      <c r="U6" s="15" t="n">
        <f aca="false">IF(M6=1,_xlfn.MINIFS(Sch_idx,Sch_n,E$5,Sch_bmax,"&gt;="&amp;($A6-0.000000001),Sch_P0,"&gt;="&amp;(E6+Beta_y*$A6-0.000000001)),"")</f>
        <v>56</v>
      </c>
      <c r="V6" s="15" t="n">
        <f aca="false">IF(N6=1,_xlfn.MINIFS(Sch_idx,Sch_n,F$5,Sch_bmax,"&gt;="&amp;($A6-0.000000001),Sch_P0,"&gt;="&amp;(F6+Beta_y*$A6-0.000000001)),"")</f>
        <v>57</v>
      </c>
      <c r="W6" s="15" t="n">
        <f aca="false">IF(O6=1,_xlfn.MINIFS(Sch_idx,Sch_n,G$5,Sch_bmax,"&gt;="&amp;($A6-0.000000001),Sch_P0,"&gt;="&amp;(G6+Beta_y*$A6-0.000000001)),"")</f>
        <v>59</v>
      </c>
      <c r="X6" s="15" t="n">
        <f aca="false">IF(P6=1,_xlfn.MINIFS(Sch_idx,Sch_n,H$5,Sch_bmax,"&gt;="&amp;($A6-0.000000001),Sch_P0,"&gt;="&amp;(H6+Beta_y*$A6-0.000000001)),"")</f>
        <v>63</v>
      </c>
      <c r="Z6" s="15" t="n">
        <f aca="false">IF(J6=1,IF(COUNTIFS(K6:$P6,1,C6:$H6,"&gt;="&amp;(B6-0.000000001))&gt;0,0,1),"")</f>
        <v>0</v>
      </c>
      <c r="AA6" s="15" t="n">
        <f aca="false">IF(K6=1,IF(COUNTIFS(L6:$P6,1,D6:$H6,"&gt;="&amp;(C6-0.000000001))&gt;0,0,1),"")</f>
        <v>0</v>
      </c>
      <c r="AB6" s="15" t="n">
        <f aca="false">IF(L6=1,IF(COUNTIFS(M6:$P6,1,E6:$H6,"&gt;="&amp;(D6-0.000000001))&gt;0,0,1),"")</f>
        <v>1</v>
      </c>
      <c r="AC6" s="15" t="n">
        <f aca="false">IF(M6=1,IF(COUNTIFS(N6:$P6,1,F6:$H6,"&gt;="&amp;(E6-0.000000001))&gt;0,0,1),"")</f>
        <v>1</v>
      </c>
      <c r="AD6" s="15" t="n">
        <f aca="false">IF(N6=1,IF(COUNTIFS(O6:$P6,1,G6:$H6,"&gt;="&amp;(F6-0.000000001))&gt;0,0,1),"")</f>
        <v>1</v>
      </c>
      <c r="AE6" s="15" t="n">
        <f aca="false">IF(O6=1,IF(COUNTIFS(P6:$P6,1,H6:$H6,"&gt;="&amp;(G6-0.000000001))&gt;0,0,1),"")</f>
        <v>1</v>
      </c>
      <c r="AF6" s="15" t="n">
        <f aca="false">IF(P6=1,1,"")</f>
        <v>1</v>
      </c>
    </row>
    <row r="7" customFormat="false" ht="15" hidden="false" customHeight="false" outlineLevel="0" collapsed="false">
      <c r="A7" s="2" t="n">
        <v>1</v>
      </c>
      <c r="B7" s="16" t="n">
        <f aca="false">IF(COUNTIFS(Sch_n,B$5,Sch_bmax,"&gt;="&amp;($A7-0.000000001))&gt;0,_xlfn.MAXIFS(Sch_P0,Sch_n,B$5,Sch_bmax,"&gt;="&amp;($A7-0.000000001))-Beta_y*$A7,"")</f>
        <v>135.454545454545</v>
      </c>
      <c r="C7" s="16" t="n">
        <f aca="false">IF(COUNTIFS(Sch_n,C$5,Sch_bmax,"&gt;="&amp;($A7-0.000000001))&gt;0,_xlfn.MAXIFS(Sch_P0,Sch_n,C$5,Sch_bmax,"&gt;="&amp;($A7-0.000000001))-Beta_y*$A7,"")</f>
        <v>369.763553160179</v>
      </c>
      <c r="D7" s="16" t="n">
        <f aca="false">IF(COUNTIFS(Sch_n,D$5,Sch_bmax,"&gt;="&amp;($A7-0.000000001))&gt;0,_xlfn.MAXIFS(Sch_P0,Sch_n,D$5,Sch_bmax,"&gt;="&amp;($A7-0.000000001))-Beta_y*$A7,"")</f>
        <v>383.264245487454</v>
      </c>
      <c r="E7" s="16" t="n">
        <f aca="false">IF(COUNTIFS(Sch_n,E$5,Sch_bmax,"&gt;="&amp;($A7-0.000000001))&gt;0,_xlfn.MAXIFS(Sch_P0,Sch_n,E$5,Sch_bmax,"&gt;="&amp;($A7-0.000000001))-Beta_y*$A7,"")</f>
        <v>329.542894656182</v>
      </c>
      <c r="F7" s="16" t="n">
        <f aca="false">IF(COUNTIFS(Sch_n,F$5,Sch_bmax,"&gt;="&amp;($A7-0.000000001))&gt;0,_xlfn.MAXIFS(Sch_P0,Sch_n,F$5,Sch_bmax,"&gt;="&amp;($A7-0.000000001))-Beta_y*$A7,"")</f>
        <v>259.971482777054</v>
      </c>
      <c r="G7" s="16" t="n">
        <f aca="false">IF(COUNTIFS(Sch_n,G$5,Sch_bmax,"&gt;="&amp;($A7-0.000000001))&gt;0,_xlfn.MAXIFS(Sch_P0,Sch_n,G$5,Sch_bmax,"&gt;="&amp;($A7-0.000000001))-Beta_y*$A7,"")</f>
        <v>185.912503153998</v>
      </c>
      <c r="H7" s="16" t="n">
        <f aca="false">IF(COUNTIFS(Sch_n,H$5,Sch_bmax,"&gt;="&amp;($A7-0.000000001))&gt;0,_xlfn.MAXIFS(Sch_P0,Sch_n,H$5,Sch_bmax,"&gt;="&amp;($A7-0.000000001))-Beta_y*$A7,"")</f>
        <v>105.68241229063</v>
      </c>
      <c r="J7" s="15" t="n">
        <f aca="false">IF(ISNUMBER(B7),1,0)</f>
        <v>1</v>
      </c>
      <c r="K7" s="15" t="n">
        <f aca="false">IF(ISNUMBER(C7),1,0)</f>
        <v>1</v>
      </c>
      <c r="L7" s="15" t="n">
        <f aca="false">IF(ISNUMBER(D7),1,0)</f>
        <v>1</v>
      </c>
      <c r="M7" s="15" t="n">
        <f aca="false">IF(ISNUMBER(E7),1,0)</f>
        <v>1</v>
      </c>
      <c r="N7" s="15" t="n">
        <f aca="false">IF(ISNUMBER(F7),1,0)</f>
        <v>1</v>
      </c>
      <c r="O7" s="15" t="n">
        <f aca="false">IF(ISNUMBER(G7),1,0)</f>
        <v>1</v>
      </c>
      <c r="P7" s="15" t="n">
        <f aca="false">IF(ISNUMBER(H7),1,0)</f>
        <v>1</v>
      </c>
      <c r="R7" s="15" t="n">
        <f aca="false">IF(J7=1,_xlfn.MINIFS(Sch_idx,Sch_n,B$5,Sch_bmax,"&gt;="&amp;($A7-0.000000001),Sch_P0,"&gt;="&amp;(B7+Beta_y*$A7-0.000000001)),"")</f>
        <v>0</v>
      </c>
      <c r="S7" s="15" t="n">
        <f aca="false">IF(K7=1,_xlfn.MINIFS(Sch_idx,Sch_n,C$5,Sch_bmax,"&gt;="&amp;($A7-0.000000001),Sch_P0,"&gt;="&amp;(C7+Beta_y*$A7-0.000000001)),"")</f>
        <v>32</v>
      </c>
      <c r="T7" s="15" t="n">
        <f aca="false">IF(L7=1,_xlfn.MINIFS(Sch_idx,Sch_n,D$5,Sch_bmax,"&gt;="&amp;($A7-0.000000001),Sch_P0,"&gt;="&amp;(D7+Beta_y*$A7-0.000000001)),"")</f>
        <v>48</v>
      </c>
      <c r="U7" s="15" t="n">
        <f aca="false">IF(M7=1,_xlfn.MINIFS(Sch_idx,Sch_n,E$5,Sch_bmax,"&gt;="&amp;($A7-0.000000001),Sch_P0,"&gt;="&amp;(E7+Beta_y*$A7-0.000000001)),"")</f>
        <v>56</v>
      </c>
      <c r="V7" s="15" t="n">
        <f aca="false">IF(N7=1,_xlfn.MINIFS(Sch_idx,Sch_n,F$5,Sch_bmax,"&gt;="&amp;($A7-0.000000001),Sch_P0,"&gt;="&amp;(F7+Beta_y*$A7-0.000000001)),"")</f>
        <v>57</v>
      </c>
      <c r="W7" s="15" t="n">
        <f aca="false">IF(O7=1,_xlfn.MINIFS(Sch_idx,Sch_n,G$5,Sch_bmax,"&gt;="&amp;($A7-0.000000001),Sch_P0,"&gt;="&amp;(G7+Beta_y*$A7-0.000000001)),"")</f>
        <v>59</v>
      </c>
      <c r="X7" s="15" t="n">
        <f aca="false">IF(P7=1,_xlfn.MINIFS(Sch_idx,Sch_n,H$5,Sch_bmax,"&gt;="&amp;($A7-0.000000001),Sch_P0,"&gt;="&amp;(H7+Beta_y*$A7-0.000000001)),"")</f>
        <v>63</v>
      </c>
      <c r="Z7" s="15" t="n">
        <f aca="false">IF(J7=1,IF(COUNTIFS(K7:$P7,1,C7:$H7,"&gt;="&amp;(B7-0.000000001))&gt;0,0,1),"")</f>
        <v>0</v>
      </c>
      <c r="AA7" s="15" t="n">
        <f aca="false">IF(K7=1,IF(COUNTIFS(L7:$P7,1,D7:$H7,"&gt;="&amp;(C7-0.000000001))&gt;0,0,1),"")</f>
        <v>0</v>
      </c>
      <c r="AB7" s="15" t="n">
        <f aca="false">IF(L7=1,IF(COUNTIFS(M7:$P7,1,E7:$H7,"&gt;="&amp;(D7-0.000000001))&gt;0,0,1),"")</f>
        <v>1</v>
      </c>
      <c r="AC7" s="15" t="n">
        <f aca="false">IF(M7=1,IF(COUNTIFS(N7:$P7,1,F7:$H7,"&gt;="&amp;(E7-0.000000001))&gt;0,0,1),"")</f>
        <v>1</v>
      </c>
      <c r="AD7" s="15" t="n">
        <f aca="false">IF(N7=1,IF(COUNTIFS(O7:$P7,1,G7:$H7,"&gt;="&amp;(F7-0.000000001))&gt;0,0,1),"")</f>
        <v>1</v>
      </c>
      <c r="AE7" s="15" t="n">
        <f aca="false">IF(O7=1,IF(COUNTIFS(P7:$P7,1,H7:$H7,"&gt;="&amp;(G7-0.000000001))&gt;0,0,1),"")</f>
        <v>1</v>
      </c>
      <c r="AF7" s="15" t="n">
        <f aca="false">IF(P7=1,1,"")</f>
        <v>1</v>
      </c>
    </row>
    <row r="8" customFormat="false" ht="15" hidden="false" customHeight="false" outlineLevel="0" collapsed="false">
      <c r="A8" s="2" t="n">
        <v>2</v>
      </c>
      <c r="B8" s="16" t="n">
        <f aca="false">IF(COUNTIFS(Sch_n,B$5,Sch_bmax,"&gt;="&amp;($A8-0.000000001))&gt;0,_xlfn.MAXIFS(Sch_P0,Sch_n,B$5,Sch_bmax,"&gt;="&amp;($A8-0.000000001))-Beta_y*$A8,"")</f>
        <v>134.545454545455</v>
      </c>
      <c r="C8" s="16" t="n">
        <f aca="false">IF(COUNTIFS(Sch_n,C$5,Sch_bmax,"&gt;="&amp;($A8-0.000000001))&gt;0,_xlfn.MAXIFS(Sch_P0,Sch_n,C$5,Sch_bmax,"&gt;="&amp;($A8-0.000000001))-Beta_y*$A8,"")</f>
        <v>368.854462251088</v>
      </c>
      <c r="D8" s="16" t="n">
        <f aca="false">IF(COUNTIFS(Sch_n,D$5,Sch_bmax,"&gt;="&amp;($A8-0.000000001))&gt;0,_xlfn.MAXIFS(Sch_P0,Sch_n,D$5,Sch_bmax,"&gt;="&amp;($A8-0.000000001))-Beta_y*$A8,"")</f>
        <v>382.355154578363</v>
      </c>
      <c r="E8" s="16" t="n">
        <f aca="false">IF(COUNTIFS(Sch_n,E$5,Sch_bmax,"&gt;="&amp;($A8-0.000000001))&gt;0,_xlfn.MAXIFS(Sch_P0,Sch_n,E$5,Sch_bmax,"&gt;="&amp;($A8-0.000000001))-Beta_y*$A8,"")</f>
        <v>328.633803747091</v>
      </c>
      <c r="F8" s="16" t="n">
        <f aca="false">IF(COUNTIFS(Sch_n,F$5,Sch_bmax,"&gt;="&amp;($A8-0.000000001))&gt;0,_xlfn.MAXIFS(Sch_P0,Sch_n,F$5,Sch_bmax,"&gt;="&amp;($A8-0.000000001))-Beta_y*$A8,"")</f>
        <v>259.062391867963</v>
      </c>
      <c r="G8" s="16" t="n">
        <f aca="false">IF(COUNTIFS(Sch_n,G$5,Sch_bmax,"&gt;="&amp;($A8-0.000000001))&gt;0,_xlfn.MAXIFS(Sch_P0,Sch_n,G$5,Sch_bmax,"&gt;="&amp;($A8-0.000000001))-Beta_y*$A8,"")</f>
        <v>185.003412244907</v>
      </c>
      <c r="H8" s="16" t="n">
        <f aca="false">IF(COUNTIFS(Sch_n,H$5,Sch_bmax,"&gt;="&amp;($A8-0.000000001))&gt;0,_xlfn.MAXIFS(Sch_P0,Sch_n,H$5,Sch_bmax,"&gt;="&amp;($A8-0.000000001))-Beta_y*$A8,"")</f>
        <v>104.773321381539</v>
      </c>
      <c r="J8" s="15" t="n">
        <f aca="false">IF(ISNUMBER(B8),1,0)</f>
        <v>1</v>
      </c>
      <c r="K8" s="15" t="n">
        <f aca="false">IF(ISNUMBER(C8),1,0)</f>
        <v>1</v>
      </c>
      <c r="L8" s="15" t="n">
        <f aca="false">IF(ISNUMBER(D8),1,0)</f>
        <v>1</v>
      </c>
      <c r="M8" s="15" t="n">
        <f aca="false">IF(ISNUMBER(E8),1,0)</f>
        <v>1</v>
      </c>
      <c r="N8" s="15" t="n">
        <f aca="false">IF(ISNUMBER(F8),1,0)</f>
        <v>1</v>
      </c>
      <c r="O8" s="15" t="n">
        <f aca="false">IF(ISNUMBER(G8),1,0)</f>
        <v>1</v>
      </c>
      <c r="P8" s="15" t="n">
        <f aca="false">IF(ISNUMBER(H8),1,0)</f>
        <v>1</v>
      </c>
      <c r="R8" s="15" t="n">
        <f aca="false">IF(J8=1,_xlfn.MINIFS(Sch_idx,Sch_n,B$5,Sch_bmax,"&gt;="&amp;($A8-0.000000001),Sch_P0,"&gt;="&amp;(B8+Beta_y*$A8-0.000000001)),"")</f>
        <v>0</v>
      </c>
      <c r="S8" s="15" t="n">
        <f aca="false">IF(K8=1,_xlfn.MINIFS(Sch_idx,Sch_n,C$5,Sch_bmax,"&gt;="&amp;($A8-0.000000001),Sch_P0,"&gt;="&amp;(C8+Beta_y*$A8-0.000000001)),"")</f>
        <v>32</v>
      </c>
      <c r="T8" s="15" t="n">
        <f aca="false">IF(L8=1,_xlfn.MINIFS(Sch_idx,Sch_n,D$5,Sch_bmax,"&gt;="&amp;($A8-0.000000001),Sch_P0,"&gt;="&amp;(D8+Beta_y*$A8-0.000000001)),"")</f>
        <v>48</v>
      </c>
      <c r="U8" s="15" t="n">
        <f aca="false">IF(M8=1,_xlfn.MINIFS(Sch_idx,Sch_n,E$5,Sch_bmax,"&gt;="&amp;($A8-0.000000001),Sch_P0,"&gt;="&amp;(E8+Beta_y*$A8-0.000000001)),"")</f>
        <v>56</v>
      </c>
      <c r="V8" s="15" t="n">
        <f aca="false">IF(N8=1,_xlfn.MINIFS(Sch_idx,Sch_n,F$5,Sch_bmax,"&gt;="&amp;($A8-0.000000001),Sch_P0,"&gt;="&amp;(F8+Beta_y*$A8-0.000000001)),"")</f>
        <v>57</v>
      </c>
      <c r="W8" s="15" t="n">
        <f aca="false">IF(O8=1,_xlfn.MINIFS(Sch_idx,Sch_n,G$5,Sch_bmax,"&gt;="&amp;($A8-0.000000001),Sch_P0,"&gt;="&amp;(G8+Beta_y*$A8-0.000000001)),"")</f>
        <v>59</v>
      </c>
      <c r="X8" s="15" t="n">
        <f aca="false">IF(P8=1,_xlfn.MINIFS(Sch_idx,Sch_n,H$5,Sch_bmax,"&gt;="&amp;($A8-0.000000001),Sch_P0,"&gt;="&amp;(H8+Beta_y*$A8-0.000000001)),"")</f>
        <v>63</v>
      </c>
      <c r="Z8" s="15" t="n">
        <f aca="false">IF(J8=1,IF(COUNTIFS(K8:$P8,1,C8:$H8,"&gt;="&amp;(B8-0.000000001))&gt;0,0,1),"")</f>
        <v>0</v>
      </c>
      <c r="AA8" s="15" t="n">
        <f aca="false">IF(K8=1,IF(COUNTIFS(L8:$P8,1,D8:$H8,"&gt;="&amp;(C8-0.000000001))&gt;0,0,1),"")</f>
        <v>0</v>
      </c>
      <c r="AB8" s="15" t="n">
        <f aca="false">IF(L8=1,IF(COUNTIFS(M8:$P8,1,E8:$H8,"&gt;="&amp;(D8-0.000000001))&gt;0,0,1),"")</f>
        <v>1</v>
      </c>
      <c r="AC8" s="15" t="n">
        <f aca="false">IF(M8=1,IF(COUNTIFS(N8:$P8,1,F8:$H8,"&gt;="&amp;(E8-0.000000001))&gt;0,0,1),"")</f>
        <v>1</v>
      </c>
      <c r="AD8" s="15" t="n">
        <f aca="false">IF(N8=1,IF(COUNTIFS(O8:$P8,1,G8:$H8,"&gt;="&amp;(F8-0.000000001))&gt;0,0,1),"")</f>
        <v>1</v>
      </c>
      <c r="AE8" s="15" t="n">
        <f aca="false">IF(O8=1,IF(COUNTIFS(P8:$P8,1,H8:$H8,"&gt;="&amp;(G8-0.000000001))&gt;0,0,1),"")</f>
        <v>1</v>
      </c>
      <c r="AF8" s="15" t="n">
        <f aca="false">IF(P8=1,1,"")</f>
        <v>1</v>
      </c>
    </row>
    <row r="9" customFormat="false" ht="15" hidden="false" customHeight="false" outlineLevel="0" collapsed="false">
      <c r="A9" s="2" t="n">
        <v>3</v>
      </c>
      <c r="B9" s="16" t="n">
        <f aca="false">IF(COUNTIFS(Sch_n,B$5,Sch_bmax,"&gt;="&amp;($A9-0.000000001))&gt;0,_xlfn.MAXIFS(Sch_P0,Sch_n,B$5,Sch_bmax,"&gt;="&amp;($A9-0.000000001))-Beta_y*$A9,"")</f>
        <v>133.636363636364</v>
      </c>
      <c r="C9" s="16" t="n">
        <f aca="false">IF(COUNTIFS(Sch_n,C$5,Sch_bmax,"&gt;="&amp;($A9-0.000000001))&gt;0,_xlfn.MAXIFS(Sch_P0,Sch_n,C$5,Sch_bmax,"&gt;="&amp;($A9-0.000000001))-Beta_y*$A9,"")</f>
        <v>367.945371341997</v>
      </c>
      <c r="D9" s="16" t="n">
        <f aca="false">IF(COUNTIFS(Sch_n,D$5,Sch_bmax,"&gt;="&amp;($A9-0.000000001))&gt;0,_xlfn.MAXIFS(Sch_P0,Sch_n,D$5,Sch_bmax,"&gt;="&amp;($A9-0.000000001))-Beta_y*$A9,"")</f>
        <v>381.446063669272</v>
      </c>
      <c r="E9" s="16" t="n">
        <f aca="false">IF(COUNTIFS(Sch_n,E$5,Sch_bmax,"&gt;="&amp;($A9-0.000000001))&gt;0,_xlfn.MAXIFS(Sch_P0,Sch_n,E$5,Sch_bmax,"&gt;="&amp;($A9-0.000000001))-Beta_y*$A9,"")</f>
        <v>327.724712838</v>
      </c>
      <c r="F9" s="16" t="n">
        <f aca="false">IF(COUNTIFS(Sch_n,F$5,Sch_bmax,"&gt;="&amp;($A9-0.000000001))&gt;0,_xlfn.MAXIFS(Sch_P0,Sch_n,F$5,Sch_bmax,"&gt;="&amp;($A9-0.000000001))-Beta_y*$A9,"")</f>
        <v>258.153300958872</v>
      </c>
      <c r="G9" s="16" t="n">
        <f aca="false">IF(COUNTIFS(Sch_n,G$5,Sch_bmax,"&gt;="&amp;($A9-0.000000001))&gt;0,_xlfn.MAXIFS(Sch_P0,Sch_n,G$5,Sch_bmax,"&gt;="&amp;($A9-0.000000001))-Beta_y*$A9,"")</f>
        <v>184.094321335816</v>
      </c>
      <c r="H9" s="16" t="n">
        <f aca="false">IF(COUNTIFS(Sch_n,H$5,Sch_bmax,"&gt;="&amp;($A9-0.000000001))&gt;0,_xlfn.MAXIFS(Sch_P0,Sch_n,H$5,Sch_bmax,"&gt;="&amp;($A9-0.000000001))-Beta_y*$A9,"")</f>
        <v>103.864230472448</v>
      </c>
      <c r="J9" s="15" t="n">
        <f aca="false">IF(ISNUMBER(B9),1,0)</f>
        <v>1</v>
      </c>
      <c r="K9" s="15" t="n">
        <f aca="false">IF(ISNUMBER(C9),1,0)</f>
        <v>1</v>
      </c>
      <c r="L9" s="15" t="n">
        <f aca="false">IF(ISNUMBER(D9),1,0)</f>
        <v>1</v>
      </c>
      <c r="M9" s="15" t="n">
        <f aca="false">IF(ISNUMBER(E9),1,0)</f>
        <v>1</v>
      </c>
      <c r="N9" s="15" t="n">
        <f aca="false">IF(ISNUMBER(F9),1,0)</f>
        <v>1</v>
      </c>
      <c r="O9" s="15" t="n">
        <f aca="false">IF(ISNUMBER(G9),1,0)</f>
        <v>1</v>
      </c>
      <c r="P9" s="15" t="n">
        <f aca="false">IF(ISNUMBER(H9),1,0)</f>
        <v>1</v>
      </c>
      <c r="R9" s="15" t="n">
        <f aca="false">IF(J9=1,_xlfn.MINIFS(Sch_idx,Sch_n,B$5,Sch_bmax,"&gt;="&amp;($A9-0.000000001),Sch_P0,"&gt;="&amp;(B9+Beta_y*$A9-0.000000001)),"")</f>
        <v>0</v>
      </c>
      <c r="S9" s="15" t="n">
        <f aca="false">IF(K9=1,_xlfn.MINIFS(Sch_idx,Sch_n,C$5,Sch_bmax,"&gt;="&amp;($A9-0.000000001),Sch_P0,"&gt;="&amp;(C9+Beta_y*$A9-0.000000001)),"")</f>
        <v>32</v>
      </c>
      <c r="T9" s="15" t="n">
        <f aca="false">IF(L9=1,_xlfn.MINIFS(Sch_idx,Sch_n,D$5,Sch_bmax,"&gt;="&amp;($A9-0.000000001),Sch_P0,"&gt;="&amp;(D9+Beta_y*$A9-0.000000001)),"")</f>
        <v>48</v>
      </c>
      <c r="U9" s="15" t="n">
        <f aca="false">IF(M9=1,_xlfn.MINIFS(Sch_idx,Sch_n,E$5,Sch_bmax,"&gt;="&amp;($A9-0.000000001),Sch_P0,"&gt;="&amp;(E9+Beta_y*$A9-0.000000001)),"")</f>
        <v>56</v>
      </c>
      <c r="V9" s="15" t="n">
        <f aca="false">IF(N9=1,_xlfn.MINIFS(Sch_idx,Sch_n,F$5,Sch_bmax,"&gt;="&amp;($A9-0.000000001),Sch_P0,"&gt;="&amp;(F9+Beta_y*$A9-0.000000001)),"")</f>
        <v>57</v>
      </c>
      <c r="W9" s="15" t="n">
        <f aca="false">IF(O9=1,_xlfn.MINIFS(Sch_idx,Sch_n,G$5,Sch_bmax,"&gt;="&amp;($A9-0.000000001),Sch_P0,"&gt;="&amp;(G9+Beta_y*$A9-0.000000001)),"")</f>
        <v>59</v>
      </c>
      <c r="X9" s="15" t="n">
        <f aca="false">IF(P9=1,_xlfn.MINIFS(Sch_idx,Sch_n,H$5,Sch_bmax,"&gt;="&amp;($A9-0.000000001),Sch_P0,"&gt;="&amp;(H9+Beta_y*$A9-0.000000001)),"")</f>
        <v>63</v>
      </c>
      <c r="Z9" s="15" t="n">
        <f aca="false">IF(J9=1,IF(COUNTIFS(K9:$P9,1,C9:$H9,"&gt;="&amp;(B9-0.000000001))&gt;0,0,1),"")</f>
        <v>0</v>
      </c>
      <c r="AA9" s="15" t="n">
        <f aca="false">IF(K9=1,IF(COUNTIFS(L9:$P9,1,D9:$H9,"&gt;="&amp;(C9-0.000000001))&gt;0,0,1),"")</f>
        <v>0</v>
      </c>
      <c r="AB9" s="15" t="n">
        <f aca="false">IF(L9=1,IF(COUNTIFS(M9:$P9,1,E9:$H9,"&gt;="&amp;(D9-0.000000001))&gt;0,0,1),"")</f>
        <v>1</v>
      </c>
      <c r="AC9" s="15" t="n">
        <f aca="false">IF(M9=1,IF(COUNTIFS(N9:$P9,1,F9:$H9,"&gt;="&amp;(E9-0.000000001))&gt;0,0,1),"")</f>
        <v>1</v>
      </c>
      <c r="AD9" s="15" t="n">
        <f aca="false">IF(N9=1,IF(COUNTIFS(O9:$P9,1,G9:$H9,"&gt;="&amp;(F9-0.000000001))&gt;0,0,1),"")</f>
        <v>1</v>
      </c>
      <c r="AE9" s="15" t="n">
        <f aca="false">IF(O9=1,IF(COUNTIFS(P9:$P9,1,H9:$H9,"&gt;="&amp;(G9-0.000000001))&gt;0,0,1),"")</f>
        <v>1</v>
      </c>
      <c r="AF9" s="15" t="n">
        <f aca="false">IF(P9=1,1,"")</f>
        <v>1</v>
      </c>
    </row>
    <row r="10" customFormat="false" ht="15" hidden="false" customHeight="false" outlineLevel="0" collapsed="false">
      <c r="A10" s="2" t="n">
        <v>4</v>
      </c>
      <c r="B10" s="16" t="n">
        <f aca="false">IF(COUNTIFS(Sch_n,B$5,Sch_bmax,"&gt;="&amp;($A10-0.000000001))&gt;0,_xlfn.MAXIFS(Sch_P0,Sch_n,B$5,Sch_bmax,"&gt;="&amp;($A10-0.000000001))-Beta_y*$A10,"")</f>
        <v>132.727272727273</v>
      </c>
      <c r="C10" s="16" t="n">
        <f aca="false">IF(COUNTIFS(Sch_n,C$5,Sch_bmax,"&gt;="&amp;($A10-0.000000001))&gt;0,_xlfn.MAXIFS(Sch_P0,Sch_n,C$5,Sch_bmax,"&gt;="&amp;($A10-0.000000001))-Beta_y*$A10,"")</f>
        <v>367.036280432906</v>
      </c>
      <c r="D10" s="16" t="n">
        <f aca="false">IF(COUNTIFS(Sch_n,D$5,Sch_bmax,"&gt;="&amp;($A10-0.000000001))&gt;0,_xlfn.MAXIFS(Sch_P0,Sch_n,D$5,Sch_bmax,"&gt;="&amp;($A10-0.000000001))-Beta_y*$A10,"")</f>
        <v>380.536972760182</v>
      </c>
      <c r="E10" s="16" t="n">
        <f aca="false">IF(COUNTIFS(Sch_n,E$5,Sch_bmax,"&gt;="&amp;($A10-0.000000001))&gt;0,_xlfn.MAXIFS(Sch_P0,Sch_n,E$5,Sch_bmax,"&gt;="&amp;($A10-0.000000001))-Beta_y*$A10,"")</f>
        <v>326.815621928909</v>
      </c>
      <c r="F10" s="16" t="n">
        <f aca="false">IF(COUNTIFS(Sch_n,F$5,Sch_bmax,"&gt;="&amp;($A10-0.000000001))&gt;0,_xlfn.MAXIFS(Sch_P0,Sch_n,F$5,Sch_bmax,"&gt;="&amp;($A10-0.000000001))-Beta_y*$A10,"")</f>
        <v>257.244210049781</v>
      </c>
      <c r="G10" s="16" t="n">
        <f aca="false">IF(COUNTIFS(Sch_n,G$5,Sch_bmax,"&gt;="&amp;($A10-0.000000001))&gt;0,_xlfn.MAXIFS(Sch_P0,Sch_n,G$5,Sch_bmax,"&gt;="&amp;($A10-0.000000001))-Beta_y*$A10,"")</f>
        <v>183.185230426725</v>
      </c>
      <c r="H10" s="16" t="n">
        <f aca="false">IF(COUNTIFS(Sch_n,H$5,Sch_bmax,"&gt;="&amp;($A10-0.000000001))&gt;0,_xlfn.MAXIFS(Sch_P0,Sch_n,H$5,Sch_bmax,"&gt;="&amp;($A10-0.000000001))-Beta_y*$A10,"")</f>
        <v>102.955139563357</v>
      </c>
      <c r="J10" s="15" t="n">
        <f aca="false">IF(ISNUMBER(B10),1,0)</f>
        <v>1</v>
      </c>
      <c r="K10" s="15" t="n">
        <f aca="false">IF(ISNUMBER(C10),1,0)</f>
        <v>1</v>
      </c>
      <c r="L10" s="15" t="n">
        <f aca="false">IF(ISNUMBER(D10),1,0)</f>
        <v>1</v>
      </c>
      <c r="M10" s="15" t="n">
        <f aca="false">IF(ISNUMBER(E10),1,0)</f>
        <v>1</v>
      </c>
      <c r="N10" s="15" t="n">
        <f aca="false">IF(ISNUMBER(F10),1,0)</f>
        <v>1</v>
      </c>
      <c r="O10" s="15" t="n">
        <f aca="false">IF(ISNUMBER(G10),1,0)</f>
        <v>1</v>
      </c>
      <c r="P10" s="15" t="n">
        <f aca="false">IF(ISNUMBER(H10),1,0)</f>
        <v>1</v>
      </c>
      <c r="R10" s="15" t="n">
        <f aca="false">IF(J10=1,_xlfn.MINIFS(Sch_idx,Sch_n,B$5,Sch_bmax,"&gt;="&amp;($A10-0.000000001),Sch_P0,"&gt;="&amp;(B10+Beta_y*$A10-0.000000001)),"")</f>
        <v>0</v>
      </c>
      <c r="S10" s="15" t="n">
        <f aca="false">IF(K10=1,_xlfn.MINIFS(Sch_idx,Sch_n,C$5,Sch_bmax,"&gt;="&amp;($A10-0.000000001),Sch_P0,"&gt;="&amp;(C10+Beta_y*$A10-0.000000001)),"")</f>
        <v>32</v>
      </c>
      <c r="T10" s="15" t="n">
        <f aca="false">IF(L10=1,_xlfn.MINIFS(Sch_idx,Sch_n,D$5,Sch_bmax,"&gt;="&amp;($A10-0.000000001),Sch_P0,"&gt;="&amp;(D10+Beta_y*$A10-0.000000001)),"")</f>
        <v>48</v>
      </c>
      <c r="U10" s="15" t="n">
        <f aca="false">IF(M10=1,_xlfn.MINIFS(Sch_idx,Sch_n,E$5,Sch_bmax,"&gt;="&amp;($A10-0.000000001),Sch_P0,"&gt;="&amp;(E10+Beta_y*$A10-0.000000001)),"")</f>
        <v>56</v>
      </c>
      <c r="V10" s="15" t="n">
        <f aca="false">IF(N10=1,_xlfn.MINIFS(Sch_idx,Sch_n,F$5,Sch_bmax,"&gt;="&amp;($A10-0.000000001),Sch_P0,"&gt;="&amp;(F10+Beta_y*$A10-0.000000001)),"")</f>
        <v>57</v>
      </c>
      <c r="W10" s="15" t="n">
        <f aca="false">IF(O10=1,_xlfn.MINIFS(Sch_idx,Sch_n,G$5,Sch_bmax,"&gt;="&amp;($A10-0.000000001),Sch_P0,"&gt;="&amp;(G10+Beta_y*$A10-0.000000001)),"")</f>
        <v>59</v>
      </c>
      <c r="X10" s="15" t="n">
        <f aca="false">IF(P10=1,_xlfn.MINIFS(Sch_idx,Sch_n,H$5,Sch_bmax,"&gt;="&amp;($A10-0.000000001),Sch_P0,"&gt;="&amp;(H10+Beta_y*$A10-0.000000001)),"")</f>
        <v>63</v>
      </c>
      <c r="Z10" s="15" t="n">
        <f aca="false">IF(J10=1,IF(COUNTIFS(K10:$P10,1,C10:$H10,"&gt;="&amp;(B10-0.000000001))&gt;0,0,1),"")</f>
        <v>0</v>
      </c>
      <c r="AA10" s="15" t="n">
        <f aca="false">IF(K10=1,IF(COUNTIFS(L10:$P10,1,D10:$H10,"&gt;="&amp;(C10-0.000000001))&gt;0,0,1),"")</f>
        <v>0</v>
      </c>
      <c r="AB10" s="15" t="n">
        <f aca="false">IF(L10=1,IF(COUNTIFS(M10:$P10,1,E10:$H10,"&gt;="&amp;(D10-0.000000001))&gt;0,0,1),"")</f>
        <v>1</v>
      </c>
      <c r="AC10" s="15" t="n">
        <f aca="false">IF(M10=1,IF(COUNTIFS(N10:$P10,1,F10:$H10,"&gt;="&amp;(E10-0.000000001))&gt;0,0,1),"")</f>
        <v>1</v>
      </c>
      <c r="AD10" s="15" t="n">
        <f aca="false">IF(N10=1,IF(COUNTIFS(O10:$P10,1,G10:$H10,"&gt;="&amp;(F10-0.000000001))&gt;0,0,1),"")</f>
        <v>1</v>
      </c>
      <c r="AE10" s="15" t="n">
        <f aca="false">IF(O10=1,IF(COUNTIFS(P10:$P10,1,H10:$H10,"&gt;="&amp;(G10-0.000000001))&gt;0,0,1),"")</f>
        <v>1</v>
      </c>
      <c r="AF10" s="15" t="n">
        <f aca="false">IF(P10=1,1,"")</f>
        <v>1</v>
      </c>
    </row>
    <row r="11" customFormat="false" ht="15" hidden="false" customHeight="false" outlineLevel="0" collapsed="false">
      <c r="A11" s="2" t="n">
        <v>5</v>
      </c>
      <c r="B11" s="16" t="n">
        <f aca="false">IF(COUNTIFS(Sch_n,B$5,Sch_bmax,"&gt;="&amp;($A11-0.000000001))&gt;0,_xlfn.MAXIFS(Sch_P0,Sch_n,B$5,Sch_bmax,"&gt;="&amp;($A11-0.000000001))-Beta_y*$A11,"")</f>
        <v>131.818181818182</v>
      </c>
      <c r="C11" s="16" t="n">
        <f aca="false">IF(COUNTIFS(Sch_n,C$5,Sch_bmax,"&gt;="&amp;($A11-0.000000001))&gt;0,_xlfn.MAXIFS(Sch_P0,Sch_n,C$5,Sch_bmax,"&gt;="&amp;($A11-0.000000001))-Beta_y*$A11,"")</f>
        <v>366.127189523815</v>
      </c>
      <c r="D11" s="16" t="n">
        <f aca="false">IF(COUNTIFS(Sch_n,D$5,Sch_bmax,"&gt;="&amp;($A11-0.000000001))&gt;0,_xlfn.MAXIFS(Sch_P0,Sch_n,D$5,Sch_bmax,"&gt;="&amp;($A11-0.000000001))-Beta_y*$A11,"")</f>
        <v>379.627881851091</v>
      </c>
      <c r="E11" s="16" t="n">
        <f aca="false">IF(COUNTIFS(Sch_n,E$5,Sch_bmax,"&gt;="&amp;($A11-0.000000001))&gt;0,_xlfn.MAXIFS(Sch_P0,Sch_n,E$5,Sch_bmax,"&gt;="&amp;($A11-0.000000001))-Beta_y*$A11,"")</f>
        <v>325.906531019818</v>
      </c>
      <c r="F11" s="16" t="n">
        <f aca="false">IF(COUNTIFS(Sch_n,F$5,Sch_bmax,"&gt;="&amp;($A11-0.000000001))&gt;0,_xlfn.MAXIFS(Sch_P0,Sch_n,F$5,Sch_bmax,"&gt;="&amp;($A11-0.000000001))-Beta_y*$A11,"")</f>
        <v>256.33511914069</v>
      </c>
      <c r="G11" s="16" t="n">
        <f aca="false">IF(COUNTIFS(Sch_n,G$5,Sch_bmax,"&gt;="&amp;($A11-0.000000001))&gt;0,_xlfn.MAXIFS(Sch_P0,Sch_n,G$5,Sch_bmax,"&gt;="&amp;($A11-0.000000001))-Beta_y*$A11,"")</f>
        <v>182.276139517634</v>
      </c>
      <c r="H11" s="16" t="n">
        <f aca="false">IF(COUNTIFS(Sch_n,H$5,Sch_bmax,"&gt;="&amp;($A11-0.000000001))&gt;0,_xlfn.MAXIFS(Sch_P0,Sch_n,H$5,Sch_bmax,"&gt;="&amp;($A11-0.000000001))-Beta_y*$A11,"")</f>
        <v>102.046048654266</v>
      </c>
      <c r="J11" s="15" t="n">
        <f aca="false">IF(ISNUMBER(B11),1,0)</f>
        <v>1</v>
      </c>
      <c r="K11" s="15" t="n">
        <f aca="false">IF(ISNUMBER(C11),1,0)</f>
        <v>1</v>
      </c>
      <c r="L11" s="15" t="n">
        <f aca="false">IF(ISNUMBER(D11),1,0)</f>
        <v>1</v>
      </c>
      <c r="M11" s="15" t="n">
        <f aca="false">IF(ISNUMBER(E11),1,0)</f>
        <v>1</v>
      </c>
      <c r="N11" s="15" t="n">
        <f aca="false">IF(ISNUMBER(F11),1,0)</f>
        <v>1</v>
      </c>
      <c r="O11" s="15" t="n">
        <f aca="false">IF(ISNUMBER(G11),1,0)</f>
        <v>1</v>
      </c>
      <c r="P11" s="15" t="n">
        <f aca="false">IF(ISNUMBER(H11),1,0)</f>
        <v>1</v>
      </c>
      <c r="R11" s="15" t="n">
        <f aca="false">IF(J11=1,_xlfn.MINIFS(Sch_idx,Sch_n,B$5,Sch_bmax,"&gt;="&amp;($A11-0.000000001),Sch_P0,"&gt;="&amp;(B11+Beta_y*$A11-0.000000001)),"")</f>
        <v>0</v>
      </c>
      <c r="S11" s="15" t="n">
        <f aca="false">IF(K11=1,_xlfn.MINIFS(Sch_idx,Sch_n,C$5,Sch_bmax,"&gt;="&amp;($A11-0.000000001),Sch_P0,"&gt;="&amp;(C11+Beta_y*$A11-0.000000001)),"")</f>
        <v>32</v>
      </c>
      <c r="T11" s="15" t="n">
        <f aca="false">IF(L11=1,_xlfn.MINIFS(Sch_idx,Sch_n,D$5,Sch_bmax,"&gt;="&amp;($A11-0.000000001),Sch_P0,"&gt;="&amp;(D11+Beta_y*$A11-0.000000001)),"")</f>
        <v>48</v>
      </c>
      <c r="U11" s="15" t="n">
        <f aca="false">IF(M11=1,_xlfn.MINIFS(Sch_idx,Sch_n,E$5,Sch_bmax,"&gt;="&amp;($A11-0.000000001),Sch_P0,"&gt;="&amp;(E11+Beta_y*$A11-0.000000001)),"")</f>
        <v>56</v>
      </c>
      <c r="V11" s="15" t="n">
        <f aca="false">IF(N11=1,_xlfn.MINIFS(Sch_idx,Sch_n,F$5,Sch_bmax,"&gt;="&amp;($A11-0.000000001),Sch_P0,"&gt;="&amp;(F11+Beta_y*$A11-0.000000001)),"")</f>
        <v>57</v>
      </c>
      <c r="W11" s="15" t="n">
        <f aca="false">IF(O11=1,_xlfn.MINIFS(Sch_idx,Sch_n,G$5,Sch_bmax,"&gt;="&amp;($A11-0.000000001),Sch_P0,"&gt;="&amp;(G11+Beta_y*$A11-0.000000001)),"")</f>
        <v>59</v>
      </c>
      <c r="X11" s="15" t="n">
        <f aca="false">IF(P11=1,_xlfn.MINIFS(Sch_idx,Sch_n,H$5,Sch_bmax,"&gt;="&amp;($A11-0.000000001),Sch_P0,"&gt;="&amp;(H11+Beta_y*$A11-0.000000001)),"")</f>
        <v>63</v>
      </c>
      <c r="Z11" s="15" t="n">
        <f aca="false">IF(J11=1,IF(COUNTIFS(K11:$P11,1,C11:$H11,"&gt;="&amp;(B11-0.000000001))&gt;0,0,1),"")</f>
        <v>0</v>
      </c>
      <c r="AA11" s="15" t="n">
        <f aca="false">IF(K11=1,IF(COUNTIFS(L11:$P11,1,D11:$H11,"&gt;="&amp;(C11-0.000000001))&gt;0,0,1),"")</f>
        <v>0</v>
      </c>
      <c r="AB11" s="15" t="n">
        <f aca="false">IF(L11=1,IF(COUNTIFS(M11:$P11,1,E11:$H11,"&gt;="&amp;(D11-0.000000001))&gt;0,0,1),"")</f>
        <v>1</v>
      </c>
      <c r="AC11" s="15" t="n">
        <f aca="false">IF(M11=1,IF(COUNTIFS(N11:$P11,1,F11:$H11,"&gt;="&amp;(E11-0.000000001))&gt;0,0,1),"")</f>
        <v>1</v>
      </c>
      <c r="AD11" s="15" t="n">
        <f aca="false">IF(N11=1,IF(COUNTIFS(O11:$P11,1,G11:$H11,"&gt;="&amp;(F11-0.000000001))&gt;0,0,1),"")</f>
        <v>1</v>
      </c>
      <c r="AE11" s="15" t="n">
        <f aca="false">IF(O11=1,IF(COUNTIFS(P11:$P11,1,H11:$H11,"&gt;="&amp;(G11-0.000000001))&gt;0,0,1),"")</f>
        <v>1</v>
      </c>
      <c r="AF11" s="15" t="n">
        <f aca="false">IF(P11=1,1,"")</f>
        <v>1</v>
      </c>
    </row>
    <row r="12" customFormat="false" ht="15" hidden="false" customHeight="false" outlineLevel="0" collapsed="false">
      <c r="A12" s="2" t="n">
        <v>6</v>
      </c>
      <c r="B12" s="16" t="n">
        <f aca="false">IF(COUNTIFS(Sch_n,B$5,Sch_bmax,"&gt;="&amp;($A12-0.000000001))&gt;0,_xlfn.MAXIFS(Sch_P0,Sch_n,B$5,Sch_bmax,"&gt;="&amp;($A12-0.000000001))-Beta_y*$A12,"")</f>
        <v>130.909090909091</v>
      </c>
      <c r="C12" s="16" t="n">
        <f aca="false">IF(COUNTIFS(Sch_n,C$5,Sch_bmax,"&gt;="&amp;($A12-0.000000001))&gt;0,_xlfn.MAXIFS(Sch_P0,Sch_n,C$5,Sch_bmax,"&gt;="&amp;($A12-0.000000001))-Beta_y*$A12,"")</f>
        <v>365.218098614725</v>
      </c>
      <c r="D12" s="16" t="n">
        <f aca="false">IF(COUNTIFS(Sch_n,D$5,Sch_bmax,"&gt;="&amp;($A12-0.000000001))&gt;0,_xlfn.MAXIFS(Sch_P0,Sch_n,D$5,Sch_bmax,"&gt;="&amp;($A12-0.000000001))-Beta_y*$A12,"")</f>
        <v>378.718790942</v>
      </c>
      <c r="E12" s="16" t="n">
        <f aca="false">IF(COUNTIFS(Sch_n,E$5,Sch_bmax,"&gt;="&amp;($A12-0.000000001))&gt;0,_xlfn.MAXIFS(Sch_P0,Sch_n,E$5,Sch_bmax,"&gt;="&amp;($A12-0.000000001))-Beta_y*$A12,"")</f>
        <v>324.997440110727</v>
      </c>
      <c r="F12" s="16" t="n">
        <f aca="false">IF(COUNTIFS(Sch_n,F$5,Sch_bmax,"&gt;="&amp;($A12-0.000000001))&gt;0,_xlfn.MAXIFS(Sch_P0,Sch_n,F$5,Sch_bmax,"&gt;="&amp;($A12-0.000000001))-Beta_y*$A12,"")</f>
        <v>255.426028231599</v>
      </c>
      <c r="G12" s="16" t="n">
        <f aca="false">IF(COUNTIFS(Sch_n,G$5,Sch_bmax,"&gt;="&amp;($A12-0.000000001))&gt;0,_xlfn.MAXIFS(Sch_P0,Sch_n,G$5,Sch_bmax,"&gt;="&amp;($A12-0.000000001))-Beta_y*$A12,"")</f>
        <v>181.367048608544</v>
      </c>
      <c r="H12" s="16" t="n">
        <f aca="false">IF(COUNTIFS(Sch_n,H$5,Sch_bmax,"&gt;="&amp;($A12-0.000000001))&gt;0,_xlfn.MAXIFS(Sch_P0,Sch_n,H$5,Sch_bmax,"&gt;="&amp;($A12-0.000000001))-Beta_y*$A12,"")</f>
        <v>101.136957745175</v>
      </c>
      <c r="J12" s="15" t="n">
        <f aca="false">IF(ISNUMBER(B12),1,0)</f>
        <v>1</v>
      </c>
      <c r="K12" s="15" t="n">
        <f aca="false">IF(ISNUMBER(C12),1,0)</f>
        <v>1</v>
      </c>
      <c r="L12" s="15" t="n">
        <f aca="false">IF(ISNUMBER(D12),1,0)</f>
        <v>1</v>
      </c>
      <c r="M12" s="15" t="n">
        <f aca="false">IF(ISNUMBER(E12),1,0)</f>
        <v>1</v>
      </c>
      <c r="N12" s="15" t="n">
        <f aca="false">IF(ISNUMBER(F12),1,0)</f>
        <v>1</v>
      </c>
      <c r="O12" s="15" t="n">
        <f aca="false">IF(ISNUMBER(G12),1,0)</f>
        <v>1</v>
      </c>
      <c r="P12" s="15" t="n">
        <f aca="false">IF(ISNUMBER(H12),1,0)</f>
        <v>1</v>
      </c>
      <c r="R12" s="15" t="n">
        <f aca="false">IF(J12=1,_xlfn.MINIFS(Sch_idx,Sch_n,B$5,Sch_bmax,"&gt;="&amp;($A12-0.000000001),Sch_P0,"&gt;="&amp;(B12+Beta_y*$A12-0.000000001)),"")</f>
        <v>0</v>
      </c>
      <c r="S12" s="15" t="n">
        <f aca="false">IF(K12=1,_xlfn.MINIFS(Sch_idx,Sch_n,C$5,Sch_bmax,"&gt;="&amp;($A12-0.000000001),Sch_P0,"&gt;="&amp;(C12+Beta_y*$A12-0.000000001)),"")</f>
        <v>32</v>
      </c>
      <c r="T12" s="15" t="n">
        <f aca="false">IF(L12=1,_xlfn.MINIFS(Sch_idx,Sch_n,D$5,Sch_bmax,"&gt;="&amp;($A12-0.000000001),Sch_P0,"&gt;="&amp;(D12+Beta_y*$A12-0.000000001)),"")</f>
        <v>48</v>
      </c>
      <c r="U12" s="15" t="n">
        <f aca="false">IF(M12=1,_xlfn.MINIFS(Sch_idx,Sch_n,E$5,Sch_bmax,"&gt;="&amp;($A12-0.000000001),Sch_P0,"&gt;="&amp;(E12+Beta_y*$A12-0.000000001)),"")</f>
        <v>56</v>
      </c>
      <c r="V12" s="15" t="n">
        <f aca="false">IF(N12=1,_xlfn.MINIFS(Sch_idx,Sch_n,F$5,Sch_bmax,"&gt;="&amp;($A12-0.000000001),Sch_P0,"&gt;="&amp;(F12+Beta_y*$A12-0.000000001)),"")</f>
        <v>57</v>
      </c>
      <c r="W12" s="15" t="n">
        <f aca="false">IF(O12=1,_xlfn.MINIFS(Sch_idx,Sch_n,G$5,Sch_bmax,"&gt;="&amp;($A12-0.000000001),Sch_P0,"&gt;="&amp;(G12+Beta_y*$A12-0.000000001)),"")</f>
        <v>59</v>
      </c>
      <c r="X12" s="15" t="n">
        <f aca="false">IF(P12=1,_xlfn.MINIFS(Sch_idx,Sch_n,H$5,Sch_bmax,"&gt;="&amp;($A12-0.000000001),Sch_P0,"&gt;="&amp;(H12+Beta_y*$A12-0.000000001)),"")</f>
        <v>63</v>
      </c>
      <c r="Z12" s="15" t="n">
        <f aca="false">IF(J12=1,IF(COUNTIFS(K12:$P12,1,C12:$H12,"&gt;="&amp;(B12-0.000000001))&gt;0,0,1),"")</f>
        <v>0</v>
      </c>
      <c r="AA12" s="15" t="n">
        <f aca="false">IF(K12=1,IF(COUNTIFS(L12:$P12,1,D12:$H12,"&gt;="&amp;(C12-0.000000001))&gt;0,0,1),"")</f>
        <v>0</v>
      </c>
      <c r="AB12" s="15" t="n">
        <f aca="false">IF(L12=1,IF(COUNTIFS(M12:$P12,1,E12:$H12,"&gt;="&amp;(D12-0.000000001))&gt;0,0,1),"")</f>
        <v>1</v>
      </c>
      <c r="AC12" s="15" t="n">
        <f aca="false">IF(M12=1,IF(COUNTIFS(N12:$P12,1,F12:$H12,"&gt;="&amp;(E12-0.000000001))&gt;0,0,1),"")</f>
        <v>1</v>
      </c>
      <c r="AD12" s="15" t="n">
        <f aca="false">IF(N12=1,IF(COUNTIFS(O12:$P12,1,G12:$H12,"&gt;="&amp;(F12-0.000000001))&gt;0,0,1),"")</f>
        <v>1</v>
      </c>
      <c r="AE12" s="15" t="n">
        <f aca="false">IF(O12=1,IF(COUNTIFS(P12:$P12,1,H12:$H12,"&gt;="&amp;(G12-0.000000001))&gt;0,0,1),"")</f>
        <v>1</v>
      </c>
      <c r="AF12" s="15" t="n">
        <f aca="false">IF(P12=1,1,"")</f>
        <v>1</v>
      </c>
    </row>
    <row r="13" customFormat="false" ht="15" hidden="false" customHeight="false" outlineLevel="0" collapsed="false">
      <c r="A13" s="2" t="n">
        <v>7</v>
      </c>
      <c r="B13" s="16" t="n">
        <f aca="false">IF(COUNTIFS(Sch_n,B$5,Sch_bmax,"&gt;="&amp;($A13-0.000000001))&gt;0,_xlfn.MAXIFS(Sch_P0,Sch_n,B$5,Sch_bmax,"&gt;="&amp;($A13-0.000000001))-Beta_y*$A13,"")</f>
        <v>130</v>
      </c>
      <c r="C13" s="16" t="n">
        <f aca="false">IF(COUNTIFS(Sch_n,C$5,Sch_bmax,"&gt;="&amp;($A13-0.000000001))&gt;0,_xlfn.MAXIFS(Sch_P0,Sch_n,C$5,Sch_bmax,"&gt;="&amp;($A13-0.000000001))-Beta_y*$A13,"")</f>
        <v>364.309007705634</v>
      </c>
      <c r="D13" s="16" t="n">
        <f aca="false">IF(COUNTIFS(Sch_n,D$5,Sch_bmax,"&gt;="&amp;($A13-0.000000001))&gt;0,_xlfn.MAXIFS(Sch_P0,Sch_n,D$5,Sch_bmax,"&gt;="&amp;($A13-0.000000001))-Beta_y*$A13,"")</f>
        <v>377.809700032909</v>
      </c>
      <c r="E13" s="16" t="n">
        <f aca="false">IF(COUNTIFS(Sch_n,E$5,Sch_bmax,"&gt;="&amp;($A13-0.000000001))&gt;0,_xlfn.MAXIFS(Sch_P0,Sch_n,E$5,Sch_bmax,"&gt;="&amp;($A13-0.000000001))-Beta_y*$A13,"")</f>
        <v>324.088349201636</v>
      </c>
      <c r="F13" s="16" t="n">
        <f aca="false">IF(COUNTIFS(Sch_n,F$5,Sch_bmax,"&gt;="&amp;($A13-0.000000001))&gt;0,_xlfn.MAXIFS(Sch_P0,Sch_n,F$5,Sch_bmax,"&gt;="&amp;($A13-0.000000001))-Beta_y*$A13,"")</f>
        <v>254.516937322508</v>
      </c>
      <c r="G13" s="16" t="n">
        <f aca="false">IF(COUNTIFS(Sch_n,G$5,Sch_bmax,"&gt;="&amp;($A13-0.000000001))&gt;0,_xlfn.MAXIFS(Sch_P0,Sch_n,G$5,Sch_bmax,"&gt;="&amp;($A13-0.000000001))-Beta_y*$A13,"")</f>
        <v>180.457957699453</v>
      </c>
      <c r="H13" s="16" t="n">
        <f aca="false">IF(COUNTIFS(Sch_n,H$5,Sch_bmax,"&gt;="&amp;($A13-0.000000001))&gt;0,_xlfn.MAXIFS(Sch_P0,Sch_n,H$5,Sch_bmax,"&gt;="&amp;($A13-0.000000001))-Beta_y*$A13,"")</f>
        <v>100.227866836084</v>
      </c>
      <c r="J13" s="15" t="n">
        <f aca="false">IF(ISNUMBER(B13),1,0)</f>
        <v>1</v>
      </c>
      <c r="K13" s="15" t="n">
        <f aca="false">IF(ISNUMBER(C13),1,0)</f>
        <v>1</v>
      </c>
      <c r="L13" s="15" t="n">
        <f aca="false">IF(ISNUMBER(D13),1,0)</f>
        <v>1</v>
      </c>
      <c r="M13" s="15" t="n">
        <f aca="false">IF(ISNUMBER(E13),1,0)</f>
        <v>1</v>
      </c>
      <c r="N13" s="15" t="n">
        <f aca="false">IF(ISNUMBER(F13),1,0)</f>
        <v>1</v>
      </c>
      <c r="O13" s="15" t="n">
        <f aca="false">IF(ISNUMBER(G13),1,0)</f>
        <v>1</v>
      </c>
      <c r="P13" s="15" t="n">
        <f aca="false">IF(ISNUMBER(H13),1,0)</f>
        <v>1</v>
      </c>
      <c r="R13" s="15" t="n">
        <f aca="false">IF(J13=1,_xlfn.MINIFS(Sch_idx,Sch_n,B$5,Sch_bmax,"&gt;="&amp;($A13-0.000000001),Sch_P0,"&gt;="&amp;(B13+Beta_y*$A13-0.000000001)),"")</f>
        <v>0</v>
      </c>
      <c r="S13" s="15" t="n">
        <f aca="false">IF(K13=1,_xlfn.MINIFS(Sch_idx,Sch_n,C$5,Sch_bmax,"&gt;="&amp;($A13-0.000000001),Sch_P0,"&gt;="&amp;(C13+Beta_y*$A13-0.000000001)),"")</f>
        <v>32</v>
      </c>
      <c r="T13" s="15" t="n">
        <f aca="false">IF(L13=1,_xlfn.MINIFS(Sch_idx,Sch_n,D$5,Sch_bmax,"&gt;="&amp;($A13-0.000000001),Sch_P0,"&gt;="&amp;(D13+Beta_y*$A13-0.000000001)),"")</f>
        <v>48</v>
      </c>
      <c r="U13" s="15" t="n">
        <f aca="false">IF(M13=1,_xlfn.MINIFS(Sch_idx,Sch_n,E$5,Sch_bmax,"&gt;="&amp;($A13-0.000000001),Sch_P0,"&gt;="&amp;(E13+Beta_y*$A13-0.000000001)),"")</f>
        <v>56</v>
      </c>
      <c r="V13" s="15" t="n">
        <f aca="false">IF(N13=1,_xlfn.MINIFS(Sch_idx,Sch_n,F$5,Sch_bmax,"&gt;="&amp;($A13-0.000000001),Sch_P0,"&gt;="&amp;(F13+Beta_y*$A13-0.000000001)),"")</f>
        <v>57</v>
      </c>
      <c r="W13" s="15" t="n">
        <f aca="false">IF(O13=1,_xlfn.MINIFS(Sch_idx,Sch_n,G$5,Sch_bmax,"&gt;="&amp;($A13-0.000000001),Sch_P0,"&gt;="&amp;(G13+Beta_y*$A13-0.000000001)),"")</f>
        <v>59</v>
      </c>
      <c r="X13" s="15" t="n">
        <f aca="false">IF(P13=1,_xlfn.MINIFS(Sch_idx,Sch_n,H$5,Sch_bmax,"&gt;="&amp;($A13-0.000000001),Sch_P0,"&gt;="&amp;(H13+Beta_y*$A13-0.000000001)),"")</f>
        <v>63</v>
      </c>
      <c r="Z13" s="15" t="n">
        <f aca="false">IF(J13=1,IF(COUNTIFS(K13:$P13,1,C13:$H13,"&gt;="&amp;(B13-0.000000001))&gt;0,0,1),"")</f>
        <v>0</v>
      </c>
      <c r="AA13" s="15" t="n">
        <f aca="false">IF(K13=1,IF(COUNTIFS(L13:$P13,1,D13:$H13,"&gt;="&amp;(C13-0.000000001))&gt;0,0,1),"")</f>
        <v>0</v>
      </c>
      <c r="AB13" s="15" t="n">
        <f aca="false">IF(L13=1,IF(COUNTIFS(M13:$P13,1,E13:$H13,"&gt;="&amp;(D13-0.000000001))&gt;0,0,1),"")</f>
        <v>1</v>
      </c>
      <c r="AC13" s="15" t="n">
        <f aca="false">IF(M13=1,IF(COUNTIFS(N13:$P13,1,F13:$H13,"&gt;="&amp;(E13-0.000000001))&gt;0,0,1),"")</f>
        <v>1</v>
      </c>
      <c r="AD13" s="15" t="n">
        <f aca="false">IF(N13=1,IF(COUNTIFS(O13:$P13,1,G13:$H13,"&gt;="&amp;(F13-0.000000001))&gt;0,0,1),"")</f>
        <v>1</v>
      </c>
      <c r="AE13" s="15" t="n">
        <f aca="false">IF(O13=1,IF(COUNTIFS(P13:$P13,1,H13:$H13,"&gt;="&amp;(G13-0.000000001))&gt;0,0,1),"")</f>
        <v>1</v>
      </c>
      <c r="AF13" s="15" t="n">
        <f aca="false">IF(P13=1,1,"")</f>
        <v>1</v>
      </c>
    </row>
    <row r="14" customFormat="false" ht="15" hidden="false" customHeight="false" outlineLevel="0" collapsed="false">
      <c r="A14" s="2" t="n">
        <v>8</v>
      </c>
      <c r="B14" s="16" t="n">
        <f aca="false">IF(COUNTIFS(Sch_n,B$5,Sch_bmax,"&gt;="&amp;($A14-0.000000001))&gt;0,_xlfn.MAXIFS(Sch_P0,Sch_n,B$5,Sch_bmax,"&gt;="&amp;($A14-0.000000001))-Beta_y*$A14,"")</f>
        <v>129.090909090909</v>
      </c>
      <c r="C14" s="16" t="n">
        <f aca="false">IF(COUNTIFS(Sch_n,C$5,Sch_bmax,"&gt;="&amp;($A14-0.000000001))&gt;0,_xlfn.MAXIFS(Sch_P0,Sch_n,C$5,Sch_bmax,"&gt;="&amp;($A14-0.000000001))-Beta_y*$A14,"")</f>
        <v>363.399916796543</v>
      </c>
      <c r="D14" s="16" t="n">
        <f aca="false">IF(COUNTIFS(Sch_n,D$5,Sch_bmax,"&gt;="&amp;($A14-0.000000001))&gt;0,_xlfn.MAXIFS(Sch_P0,Sch_n,D$5,Sch_bmax,"&gt;="&amp;($A14-0.000000001))-Beta_y*$A14,"")</f>
        <v>376.900609123818</v>
      </c>
      <c r="E14" s="16" t="n">
        <f aca="false">IF(COUNTIFS(Sch_n,E$5,Sch_bmax,"&gt;="&amp;($A14-0.000000001))&gt;0,_xlfn.MAXIFS(Sch_P0,Sch_n,E$5,Sch_bmax,"&gt;="&amp;($A14-0.000000001))-Beta_y*$A14,"")</f>
        <v>323.179258292545</v>
      </c>
      <c r="F14" s="16" t="n">
        <f aca="false">IF(COUNTIFS(Sch_n,F$5,Sch_bmax,"&gt;="&amp;($A14-0.000000001))&gt;0,_xlfn.MAXIFS(Sch_P0,Sch_n,F$5,Sch_bmax,"&gt;="&amp;($A14-0.000000001))-Beta_y*$A14,"")</f>
        <v>253.607846413417</v>
      </c>
      <c r="G14" s="16" t="n">
        <f aca="false">IF(COUNTIFS(Sch_n,G$5,Sch_bmax,"&gt;="&amp;($A14-0.000000001))&gt;0,_xlfn.MAXIFS(Sch_P0,Sch_n,G$5,Sch_bmax,"&gt;="&amp;($A14-0.000000001))-Beta_y*$A14,"")</f>
        <v>179.548866790362</v>
      </c>
      <c r="H14" s="16" t="n">
        <f aca="false">IF(COUNTIFS(Sch_n,H$5,Sch_bmax,"&gt;="&amp;($A14-0.000000001))&gt;0,_xlfn.MAXIFS(Sch_P0,Sch_n,H$5,Sch_bmax,"&gt;="&amp;($A14-0.000000001))-Beta_y*$A14,"")</f>
        <v>99.3187759269932</v>
      </c>
      <c r="J14" s="15" t="n">
        <f aca="false">IF(ISNUMBER(B14),1,0)</f>
        <v>1</v>
      </c>
      <c r="K14" s="15" t="n">
        <f aca="false">IF(ISNUMBER(C14),1,0)</f>
        <v>1</v>
      </c>
      <c r="L14" s="15" t="n">
        <f aca="false">IF(ISNUMBER(D14),1,0)</f>
        <v>1</v>
      </c>
      <c r="M14" s="15" t="n">
        <f aca="false">IF(ISNUMBER(E14),1,0)</f>
        <v>1</v>
      </c>
      <c r="N14" s="15" t="n">
        <f aca="false">IF(ISNUMBER(F14),1,0)</f>
        <v>1</v>
      </c>
      <c r="O14" s="15" t="n">
        <f aca="false">IF(ISNUMBER(G14),1,0)</f>
        <v>1</v>
      </c>
      <c r="P14" s="15" t="n">
        <f aca="false">IF(ISNUMBER(H14),1,0)</f>
        <v>1</v>
      </c>
      <c r="R14" s="15" t="n">
        <f aca="false">IF(J14=1,_xlfn.MINIFS(Sch_idx,Sch_n,B$5,Sch_bmax,"&gt;="&amp;($A14-0.000000001),Sch_P0,"&gt;="&amp;(B14+Beta_y*$A14-0.000000001)),"")</f>
        <v>0</v>
      </c>
      <c r="S14" s="15" t="n">
        <f aca="false">IF(K14=1,_xlfn.MINIFS(Sch_idx,Sch_n,C$5,Sch_bmax,"&gt;="&amp;($A14-0.000000001),Sch_P0,"&gt;="&amp;(C14+Beta_y*$A14-0.000000001)),"")</f>
        <v>32</v>
      </c>
      <c r="T14" s="15" t="n">
        <f aca="false">IF(L14=1,_xlfn.MINIFS(Sch_idx,Sch_n,D$5,Sch_bmax,"&gt;="&amp;($A14-0.000000001),Sch_P0,"&gt;="&amp;(D14+Beta_y*$A14-0.000000001)),"")</f>
        <v>48</v>
      </c>
      <c r="U14" s="15" t="n">
        <f aca="false">IF(M14=1,_xlfn.MINIFS(Sch_idx,Sch_n,E$5,Sch_bmax,"&gt;="&amp;($A14-0.000000001),Sch_P0,"&gt;="&amp;(E14+Beta_y*$A14-0.000000001)),"")</f>
        <v>56</v>
      </c>
      <c r="V14" s="15" t="n">
        <f aca="false">IF(N14=1,_xlfn.MINIFS(Sch_idx,Sch_n,F$5,Sch_bmax,"&gt;="&amp;($A14-0.000000001),Sch_P0,"&gt;="&amp;(F14+Beta_y*$A14-0.000000001)),"")</f>
        <v>57</v>
      </c>
      <c r="W14" s="15" t="n">
        <f aca="false">IF(O14=1,_xlfn.MINIFS(Sch_idx,Sch_n,G$5,Sch_bmax,"&gt;="&amp;($A14-0.000000001),Sch_P0,"&gt;="&amp;(G14+Beta_y*$A14-0.000000001)),"")</f>
        <v>59</v>
      </c>
      <c r="X14" s="15" t="n">
        <f aca="false">IF(P14=1,_xlfn.MINIFS(Sch_idx,Sch_n,H$5,Sch_bmax,"&gt;="&amp;($A14-0.000000001),Sch_P0,"&gt;="&amp;(H14+Beta_y*$A14-0.000000001)),"")</f>
        <v>63</v>
      </c>
      <c r="Z14" s="15" t="n">
        <f aca="false">IF(J14=1,IF(COUNTIFS(K14:$P14,1,C14:$H14,"&gt;="&amp;(B14-0.000000001))&gt;0,0,1),"")</f>
        <v>0</v>
      </c>
      <c r="AA14" s="15" t="n">
        <f aca="false">IF(K14=1,IF(COUNTIFS(L14:$P14,1,D14:$H14,"&gt;="&amp;(C14-0.000000001))&gt;0,0,1),"")</f>
        <v>0</v>
      </c>
      <c r="AB14" s="15" t="n">
        <f aca="false">IF(L14=1,IF(COUNTIFS(M14:$P14,1,E14:$H14,"&gt;="&amp;(D14-0.000000001))&gt;0,0,1),"")</f>
        <v>1</v>
      </c>
      <c r="AC14" s="15" t="n">
        <f aca="false">IF(M14=1,IF(COUNTIFS(N14:$P14,1,F14:$H14,"&gt;="&amp;(E14-0.000000001))&gt;0,0,1),"")</f>
        <v>1</v>
      </c>
      <c r="AD14" s="15" t="n">
        <f aca="false">IF(N14=1,IF(COUNTIFS(O14:$P14,1,G14:$H14,"&gt;="&amp;(F14-0.000000001))&gt;0,0,1),"")</f>
        <v>1</v>
      </c>
      <c r="AE14" s="15" t="n">
        <f aca="false">IF(O14=1,IF(COUNTIFS(P14:$P14,1,H14:$H14,"&gt;="&amp;(G14-0.000000001))&gt;0,0,1),"")</f>
        <v>1</v>
      </c>
      <c r="AF14" s="15" t="n">
        <f aca="false">IF(P14=1,1,"")</f>
        <v>1</v>
      </c>
    </row>
    <row r="15" customFormat="false" ht="15" hidden="false" customHeight="false" outlineLevel="0" collapsed="false">
      <c r="A15" s="2" t="n">
        <v>9</v>
      </c>
      <c r="B15" s="16" t="n">
        <f aca="false">IF(COUNTIFS(Sch_n,B$5,Sch_bmax,"&gt;="&amp;($A15-0.000000001))&gt;0,_xlfn.MAXIFS(Sch_P0,Sch_n,B$5,Sch_bmax,"&gt;="&amp;($A15-0.000000001))-Beta_y*$A15,"")</f>
        <v>128.181818181818</v>
      </c>
      <c r="C15" s="16" t="n">
        <f aca="false">IF(COUNTIFS(Sch_n,C$5,Sch_bmax,"&gt;="&amp;($A15-0.000000001))&gt;0,_xlfn.MAXIFS(Sch_P0,Sch_n,C$5,Sch_bmax,"&gt;="&amp;($A15-0.000000001))-Beta_y*$A15,"")</f>
        <v>362.490825887452</v>
      </c>
      <c r="D15" s="16" t="n">
        <f aca="false">IF(COUNTIFS(Sch_n,D$5,Sch_bmax,"&gt;="&amp;($A15-0.000000001))&gt;0,_xlfn.MAXIFS(Sch_P0,Sch_n,D$5,Sch_bmax,"&gt;="&amp;($A15-0.000000001))-Beta_y*$A15,"")</f>
        <v>375.991518214727</v>
      </c>
      <c r="E15" s="16" t="n">
        <f aca="false">IF(COUNTIFS(Sch_n,E$5,Sch_bmax,"&gt;="&amp;($A15-0.000000001))&gt;0,_xlfn.MAXIFS(Sch_P0,Sch_n,E$5,Sch_bmax,"&gt;="&amp;($A15-0.000000001))-Beta_y*$A15,"")</f>
        <v>322.270167383454</v>
      </c>
      <c r="F15" s="16" t="n">
        <f aca="false">IF(COUNTIFS(Sch_n,F$5,Sch_bmax,"&gt;="&amp;($A15-0.000000001))&gt;0,_xlfn.MAXIFS(Sch_P0,Sch_n,F$5,Sch_bmax,"&gt;="&amp;($A15-0.000000001))-Beta_y*$A15,"")</f>
        <v>252.698755504326</v>
      </c>
      <c r="G15" s="16" t="n">
        <f aca="false">IF(COUNTIFS(Sch_n,G$5,Sch_bmax,"&gt;="&amp;($A15-0.000000001))&gt;0,_xlfn.MAXIFS(Sch_P0,Sch_n,G$5,Sch_bmax,"&gt;="&amp;($A15-0.000000001))-Beta_y*$A15,"")</f>
        <v>178.639775881271</v>
      </c>
      <c r="H15" s="16" t="n">
        <f aca="false">IF(COUNTIFS(Sch_n,H$5,Sch_bmax,"&gt;="&amp;($A15-0.000000001))&gt;0,_xlfn.MAXIFS(Sch_P0,Sch_n,H$5,Sch_bmax,"&gt;="&amp;($A15-0.000000001))-Beta_y*$A15,"")</f>
        <v>98.4096850179023</v>
      </c>
      <c r="J15" s="15" t="n">
        <f aca="false">IF(ISNUMBER(B15),1,0)</f>
        <v>1</v>
      </c>
      <c r="K15" s="15" t="n">
        <f aca="false">IF(ISNUMBER(C15),1,0)</f>
        <v>1</v>
      </c>
      <c r="L15" s="15" t="n">
        <f aca="false">IF(ISNUMBER(D15),1,0)</f>
        <v>1</v>
      </c>
      <c r="M15" s="15" t="n">
        <f aca="false">IF(ISNUMBER(E15),1,0)</f>
        <v>1</v>
      </c>
      <c r="N15" s="15" t="n">
        <f aca="false">IF(ISNUMBER(F15),1,0)</f>
        <v>1</v>
      </c>
      <c r="O15" s="15" t="n">
        <f aca="false">IF(ISNUMBER(G15),1,0)</f>
        <v>1</v>
      </c>
      <c r="P15" s="15" t="n">
        <f aca="false">IF(ISNUMBER(H15),1,0)</f>
        <v>1</v>
      </c>
      <c r="R15" s="15" t="n">
        <f aca="false">IF(J15=1,_xlfn.MINIFS(Sch_idx,Sch_n,B$5,Sch_bmax,"&gt;="&amp;($A15-0.000000001),Sch_P0,"&gt;="&amp;(B15+Beta_y*$A15-0.000000001)),"")</f>
        <v>0</v>
      </c>
      <c r="S15" s="15" t="n">
        <f aca="false">IF(K15=1,_xlfn.MINIFS(Sch_idx,Sch_n,C$5,Sch_bmax,"&gt;="&amp;($A15-0.000000001),Sch_P0,"&gt;="&amp;(C15+Beta_y*$A15-0.000000001)),"")</f>
        <v>32</v>
      </c>
      <c r="T15" s="15" t="n">
        <f aca="false">IF(L15=1,_xlfn.MINIFS(Sch_idx,Sch_n,D$5,Sch_bmax,"&gt;="&amp;($A15-0.000000001),Sch_P0,"&gt;="&amp;(D15+Beta_y*$A15-0.000000001)),"")</f>
        <v>48</v>
      </c>
      <c r="U15" s="15" t="n">
        <f aca="false">IF(M15=1,_xlfn.MINIFS(Sch_idx,Sch_n,E$5,Sch_bmax,"&gt;="&amp;($A15-0.000000001),Sch_P0,"&gt;="&amp;(E15+Beta_y*$A15-0.000000001)),"")</f>
        <v>56</v>
      </c>
      <c r="V15" s="15" t="n">
        <f aca="false">IF(N15=1,_xlfn.MINIFS(Sch_idx,Sch_n,F$5,Sch_bmax,"&gt;="&amp;($A15-0.000000001),Sch_P0,"&gt;="&amp;(F15+Beta_y*$A15-0.000000001)),"")</f>
        <v>57</v>
      </c>
      <c r="W15" s="15" t="n">
        <f aca="false">IF(O15=1,_xlfn.MINIFS(Sch_idx,Sch_n,G$5,Sch_bmax,"&gt;="&amp;($A15-0.000000001),Sch_P0,"&gt;="&amp;(G15+Beta_y*$A15-0.000000001)),"")</f>
        <v>59</v>
      </c>
      <c r="X15" s="15" t="n">
        <f aca="false">IF(P15=1,_xlfn.MINIFS(Sch_idx,Sch_n,H$5,Sch_bmax,"&gt;="&amp;($A15-0.000000001),Sch_P0,"&gt;="&amp;(H15+Beta_y*$A15-0.000000001)),"")</f>
        <v>63</v>
      </c>
      <c r="Z15" s="15" t="n">
        <f aca="false">IF(J15=1,IF(COUNTIFS(K15:$P15,1,C15:$H15,"&gt;="&amp;(B15-0.000000001))&gt;0,0,1),"")</f>
        <v>0</v>
      </c>
      <c r="AA15" s="15" t="n">
        <f aca="false">IF(K15=1,IF(COUNTIFS(L15:$P15,1,D15:$H15,"&gt;="&amp;(C15-0.000000001))&gt;0,0,1),"")</f>
        <v>0</v>
      </c>
      <c r="AB15" s="15" t="n">
        <f aca="false">IF(L15=1,IF(COUNTIFS(M15:$P15,1,E15:$H15,"&gt;="&amp;(D15-0.000000001))&gt;0,0,1),"")</f>
        <v>1</v>
      </c>
      <c r="AC15" s="15" t="n">
        <f aca="false">IF(M15=1,IF(COUNTIFS(N15:$P15,1,F15:$H15,"&gt;="&amp;(E15-0.000000001))&gt;0,0,1),"")</f>
        <v>1</v>
      </c>
      <c r="AD15" s="15" t="n">
        <f aca="false">IF(N15=1,IF(COUNTIFS(O15:$P15,1,G15:$H15,"&gt;="&amp;(F15-0.000000001))&gt;0,0,1),"")</f>
        <v>1</v>
      </c>
      <c r="AE15" s="15" t="n">
        <f aca="false">IF(O15=1,IF(COUNTIFS(P15:$P15,1,H15:$H15,"&gt;="&amp;(G15-0.000000001))&gt;0,0,1),"")</f>
        <v>1</v>
      </c>
      <c r="AF15" s="15" t="n">
        <f aca="false">IF(P15=1,1,"")</f>
        <v>1</v>
      </c>
    </row>
    <row r="16" customFormat="false" ht="15" hidden="false" customHeight="false" outlineLevel="0" collapsed="false">
      <c r="A16" s="2" t="n">
        <v>10</v>
      </c>
      <c r="B16" s="16" t="n">
        <f aca="false">IF(COUNTIFS(Sch_n,B$5,Sch_bmax,"&gt;="&amp;($A16-0.000000001))&gt;0,_xlfn.MAXIFS(Sch_P0,Sch_n,B$5,Sch_bmax,"&gt;="&amp;($A16-0.000000001))-Beta_y*$A16,"")</f>
        <v>127.272727272727</v>
      </c>
      <c r="C16" s="16" t="n">
        <f aca="false">IF(COUNTIFS(Sch_n,C$5,Sch_bmax,"&gt;="&amp;($A16-0.000000001))&gt;0,_xlfn.MAXIFS(Sch_P0,Sch_n,C$5,Sch_bmax,"&gt;="&amp;($A16-0.000000001))-Beta_y*$A16,"")</f>
        <v>361.581734978361</v>
      </c>
      <c r="D16" s="16" t="n">
        <f aca="false">IF(COUNTIFS(Sch_n,D$5,Sch_bmax,"&gt;="&amp;($A16-0.000000001))&gt;0,_xlfn.MAXIFS(Sch_P0,Sch_n,D$5,Sch_bmax,"&gt;="&amp;($A16-0.000000001))-Beta_y*$A16,"")</f>
        <v>375.082427305636</v>
      </c>
      <c r="E16" s="16" t="n">
        <f aca="false">IF(COUNTIFS(Sch_n,E$5,Sch_bmax,"&gt;="&amp;($A16-0.000000001))&gt;0,_xlfn.MAXIFS(Sch_P0,Sch_n,E$5,Sch_bmax,"&gt;="&amp;($A16-0.000000001))-Beta_y*$A16,"")</f>
        <v>321.361076474364</v>
      </c>
      <c r="F16" s="16" t="n">
        <f aca="false">IF(COUNTIFS(Sch_n,F$5,Sch_bmax,"&gt;="&amp;($A16-0.000000001))&gt;0,_xlfn.MAXIFS(Sch_P0,Sch_n,F$5,Sch_bmax,"&gt;="&amp;($A16-0.000000001))-Beta_y*$A16,"")</f>
        <v>251.789664595236</v>
      </c>
      <c r="G16" s="16" t="n">
        <f aca="false">IF(COUNTIFS(Sch_n,G$5,Sch_bmax,"&gt;="&amp;($A16-0.000000001))&gt;0,_xlfn.MAXIFS(Sch_P0,Sch_n,G$5,Sch_bmax,"&gt;="&amp;($A16-0.000000001))-Beta_y*$A16,"")</f>
        <v>177.73068497218</v>
      </c>
      <c r="H16" s="16" t="n">
        <f aca="false">IF(COUNTIFS(Sch_n,H$5,Sch_bmax,"&gt;="&amp;($A16-0.000000001))&gt;0,_xlfn.MAXIFS(Sch_P0,Sch_n,H$5,Sch_bmax,"&gt;="&amp;($A16-0.000000001))-Beta_y*$A16,"")</f>
        <v>97.5005941088114</v>
      </c>
      <c r="J16" s="15" t="n">
        <f aca="false">IF(ISNUMBER(B16),1,0)</f>
        <v>1</v>
      </c>
      <c r="K16" s="15" t="n">
        <f aca="false">IF(ISNUMBER(C16),1,0)</f>
        <v>1</v>
      </c>
      <c r="L16" s="15" t="n">
        <f aca="false">IF(ISNUMBER(D16),1,0)</f>
        <v>1</v>
      </c>
      <c r="M16" s="15" t="n">
        <f aca="false">IF(ISNUMBER(E16),1,0)</f>
        <v>1</v>
      </c>
      <c r="N16" s="15" t="n">
        <f aca="false">IF(ISNUMBER(F16),1,0)</f>
        <v>1</v>
      </c>
      <c r="O16" s="15" t="n">
        <f aca="false">IF(ISNUMBER(G16),1,0)</f>
        <v>1</v>
      </c>
      <c r="P16" s="15" t="n">
        <f aca="false">IF(ISNUMBER(H16),1,0)</f>
        <v>1</v>
      </c>
      <c r="R16" s="15" t="n">
        <f aca="false">IF(J16=1,_xlfn.MINIFS(Sch_idx,Sch_n,B$5,Sch_bmax,"&gt;="&amp;($A16-0.000000001),Sch_P0,"&gt;="&amp;(B16+Beta_y*$A16-0.000000001)),"")</f>
        <v>0</v>
      </c>
      <c r="S16" s="15" t="n">
        <f aca="false">IF(K16=1,_xlfn.MINIFS(Sch_idx,Sch_n,C$5,Sch_bmax,"&gt;="&amp;($A16-0.000000001),Sch_P0,"&gt;="&amp;(C16+Beta_y*$A16-0.000000001)),"")</f>
        <v>32</v>
      </c>
      <c r="T16" s="15" t="n">
        <f aca="false">IF(L16=1,_xlfn.MINIFS(Sch_idx,Sch_n,D$5,Sch_bmax,"&gt;="&amp;($A16-0.000000001),Sch_P0,"&gt;="&amp;(D16+Beta_y*$A16-0.000000001)),"")</f>
        <v>48</v>
      </c>
      <c r="U16" s="15" t="n">
        <f aca="false">IF(M16=1,_xlfn.MINIFS(Sch_idx,Sch_n,E$5,Sch_bmax,"&gt;="&amp;($A16-0.000000001),Sch_P0,"&gt;="&amp;(E16+Beta_y*$A16-0.000000001)),"")</f>
        <v>56</v>
      </c>
      <c r="V16" s="15" t="n">
        <f aca="false">IF(N16=1,_xlfn.MINIFS(Sch_idx,Sch_n,F$5,Sch_bmax,"&gt;="&amp;($A16-0.000000001),Sch_P0,"&gt;="&amp;(F16+Beta_y*$A16-0.000000001)),"")</f>
        <v>57</v>
      </c>
      <c r="W16" s="15" t="n">
        <f aca="false">IF(O16=1,_xlfn.MINIFS(Sch_idx,Sch_n,G$5,Sch_bmax,"&gt;="&amp;($A16-0.000000001),Sch_P0,"&gt;="&amp;(G16+Beta_y*$A16-0.000000001)),"")</f>
        <v>59</v>
      </c>
      <c r="X16" s="15" t="n">
        <f aca="false">IF(P16=1,_xlfn.MINIFS(Sch_idx,Sch_n,H$5,Sch_bmax,"&gt;="&amp;($A16-0.000000001),Sch_P0,"&gt;="&amp;(H16+Beta_y*$A16-0.000000001)),"")</f>
        <v>63</v>
      </c>
      <c r="Z16" s="15" t="n">
        <f aca="false">IF(J16=1,IF(COUNTIFS(K16:$P16,1,C16:$H16,"&gt;="&amp;(B16-0.000000001))&gt;0,0,1),"")</f>
        <v>0</v>
      </c>
      <c r="AA16" s="15" t="n">
        <f aca="false">IF(K16=1,IF(COUNTIFS(L16:$P16,1,D16:$H16,"&gt;="&amp;(C16-0.000000001))&gt;0,0,1),"")</f>
        <v>0</v>
      </c>
      <c r="AB16" s="15" t="n">
        <f aca="false">IF(L16=1,IF(COUNTIFS(M16:$P16,1,E16:$H16,"&gt;="&amp;(D16-0.000000001))&gt;0,0,1),"")</f>
        <v>1</v>
      </c>
      <c r="AC16" s="15" t="n">
        <f aca="false">IF(M16=1,IF(COUNTIFS(N16:$P16,1,F16:$H16,"&gt;="&amp;(E16-0.000000001))&gt;0,0,1),"")</f>
        <v>1</v>
      </c>
      <c r="AD16" s="15" t="n">
        <f aca="false">IF(N16=1,IF(COUNTIFS(O16:$P16,1,G16:$H16,"&gt;="&amp;(F16-0.000000001))&gt;0,0,1),"")</f>
        <v>1</v>
      </c>
      <c r="AE16" s="15" t="n">
        <f aca="false">IF(O16=1,IF(COUNTIFS(P16:$P16,1,H16:$H16,"&gt;="&amp;(G16-0.000000001))&gt;0,0,1),"")</f>
        <v>1</v>
      </c>
      <c r="AF16" s="15" t="n">
        <f aca="false">IF(P16=1,1,"")</f>
        <v>1</v>
      </c>
    </row>
    <row r="17" customFormat="false" ht="15" hidden="false" customHeight="false" outlineLevel="0" collapsed="false">
      <c r="A17" s="2" t="n">
        <v>11</v>
      </c>
      <c r="B17" s="16" t="n">
        <f aca="false">IF(COUNTIFS(Sch_n,B$5,Sch_bmax,"&gt;="&amp;($A17-0.000000001))&gt;0,_xlfn.MAXIFS(Sch_P0,Sch_n,B$5,Sch_bmax,"&gt;="&amp;($A17-0.000000001))-Beta_y*$A17,"")</f>
        <v>126.363636363636</v>
      </c>
      <c r="C17" s="16" t="n">
        <f aca="false">IF(COUNTIFS(Sch_n,C$5,Sch_bmax,"&gt;="&amp;($A17-0.000000001))&gt;0,_xlfn.MAXIFS(Sch_P0,Sch_n,C$5,Sch_bmax,"&gt;="&amp;($A17-0.000000001))-Beta_y*$A17,"")</f>
        <v>360.67264406927</v>
      </c>
      <c r="D17" s="16" t="n">
        <f aca="false">IF(COUNTIFS(Sch_n,D$5,Sch_bmax,"&gt;="&amp;($A17-0.000000001))&gt;0,_xlfn.MAXIFS(Sch_P0,Sch_n,D$5,Sch_bmax,"&gt;="&amp;($A17-0.000000001))-Beta_y*$A17,"")</f>
        <v>374.173336396545</v>
      </c>
      <c r="E17" s="16" t="n">
        <f aca="false">IF(COUNTIFS(Sch_n,E$5,Sch_bmax,"&gt;="&amp;($A17-0.000000001))&gt;0,_xlfn.MAXIFS(Sch_P0,Sch_n,E$5,Sch_bmax,"&gt;="&amp;($A17-0.000000001))-Beta_y*$A17,"")</f>
        <v>320.451985565273</v>
      </c>
      <c r="F17" s="16" t="n">
        <f aca="false">IF(COUNTIFS(Sch_n,F$5,Sch_bmax,"&gt;="&amp;($A17-0.000000001))&gt;0,_xlfn.MAXIFS(Sch_P0,Sch_n,F$5,Sch_bmax,"&gt;="&amp;($A17-0.000000001))-Beta_y*$A17,"")</f>
        <v>250.880573686145</v>
      </c>
      <c r="G17" s="16" t="n">
        <f aca="false">IF(COUNTIFS(Sch_n,G$5,Sch_bmax,"&gt;="&amp;($A17-0.000000001))&gt;0,_xlfn.MAXIFS(Sch_P0,Sch_n,G$5,Sch_bmax,"&gt;="&amp;($A17-0.000000001))-Beta_y*$A17,"")</f>
        <v>176.821594063089</v>
      </c>
      <c r="H17" s="16" t="n">
        <f aca="false">IF(COUNTIFS(Sch_n,H$5,Sch_bmax,"&gt;="&amp;($A17-0.000000001))&gt;0,_xlfn.MAXIFS(Sch_P0,Sch_n,H$5,Sch_bmax,"&gt;="&amp;($A17-0.000000001))-Beta_y*$A17,"")</f>
        <v>96.5915031997205</v>
      </c>
      <c r="J17" s="15" t="n">
        <f aca="false">IF(ISNUMBER(B17),1,0)</f>
        <v>1</v>
      </c>
      <c r="K17" s="15" t="n">
        <f aca="false">IF(ISNUMBER(C17),1,0)</f>
        <v>1</v>
      </c>
      <c r="L17" s="15" t="n">
        <f aca="false">IF(ISNUMBER(D17),1,0)</f>
        <v>1</v>
      </c>
      <c r="M17" s="15" t="n">
        <f aca="false">IF(ISNUMBER(E17),1,0)</f>
        <v>1</v>
      </c>
      <c r="N17" s="15" t="n">
        <f aca="false">IF(ISNUMBER(F17),1,0)</f>
        <v>1</v>
      </c>
      <c r="O17" s="15" t="n">
        <f aca="false">IF(ISNUMBER(G17),1,0)</f>
        <v>1</v>
      </c>
      <c r="P17" s="15" t="n">
        <f aca="false">IF(ISNUMBER(H17),1,0)</f>
        <v>1</v>
      </c>
      <c r="R17" s="15" t="n">
        <f aca="false">IF(J17=1,_xlfn.MINIFS(Sch_idx,Sch_n,B$5,Sch_bmax,"&gt;="&amp;($A17-0.000000001),Sch_P0,"&gt;="&amp;(B17+Beta_y*$A17-0.000000001)),"")</f>
        <v>0</v>
      </c>
      <c r="S17" s="15" t="n">
        <f aca="false">IF(K17=1,_xlfn.MINIFS(Sch_idx,Sch_n,C$5,Sch_bmax,"&gt;="&amp;($A17-0.000000001),Sch_P0,"&gt;="&amp;(C17+Beta_y*$A17-0.000000001)),"")</f>
        <v>32</v>
      </c>
      <c r="T17" s="15" t="n">
        <f aca="false">IF(L17=1,_xlfn.MINIFS(Sch_idx,Sch_n,D$5,Sch_bmax,"&gt;="&amp;($A17-0.000000001),Sch_P0,"&gt;="&amp;(D17+Beta_y*$A17-0.000000001)),"")</f>
        <v>48</v>
      </c>
      <c r="U17" s="15" t="n">
        <f aca="false">IF(M17=1,_xlfn.MINIFS(Sch_idx,Sch_n,E$5,Sch_bmax,"&gt;="&amp;($A17-0.000000001),Sch_P0,"&gt;="&amp;(E17+Beta_y*$A17-0.000000001)),"")</f>
        <v>56</v>
      </c>
      <c r="V17" s="15" t="n">
        <f aca="false">IF(N17=1,_xlfn.MINIFS(Sch_idx,Sch_n,F$5,Sch_bmax,"&gt;="&amp;($A17-0.000000001),Sch_P0,"&gt;="&amp;(F17+Beta_y*$A17-0.000000001)),"")</f>
        <v>57</v>
      </c>
      <c r="W17" s="15" t="n">
        <f aca="false">IF(O17=1,_xlfn.MINIFS(Sch_idx,Sch_n,G$5,Sch_bmax,"&gt;="&amp;($A17-0.000000001),Sch_P0,"&gt;="&amp;(G17+Beta_y*$A17-0.000000001)),"")</f>
        <v>59</v>
      </c>
      <c r="X17" s="15" t="n">
        <f aca="false">IF(P17=1,_xlfn.MINIFS(Sch_idx,Sch_n,H$5,Sch_bmax,"&gt;="&amp;($A17-0.000000001),Sch_P0,"&gt;="&amp;(H17+Beta_y*$A17-0.000000001)),"")</f>
        <v>63</v>
      </c>
      <c r="Z17" s="15" t="n">
        <f aca="false">IF(J17=1,IF(COUNTIFS(K17:$P17,1,C17:$H17,"&gt;="&amp;(B17-0.000000001))&gt;0,0,1),"")</f>
        <v>0</v>
      </c>
      <c r="AA17" s="15" t="n">
        <f aca="false">IF(K17=1,IF(COUNTIFS(L17:$P17,1,D17:$H17,"&gt;="&amp;(C17-0.000000001))&gt;0,0,1),"")</f>
        <v>0</v>
      </c>
      <c r="AB17" s="15" t="n">
        <f aca="false">IF(L17=1,IF(COUNTIFS(M17:$P17,1,E17:$H17,"&gt;="&amp;(D17-0.000000001))&gt;0,0,1),"")</f>
        <v>1</v>
      </c>
      <c r="AC17" s="15" t="n">
        <f aca="false">IF(M17=1,IF(COUNTIFS(N17:$P17,1,F17:$H17,"&gt;="&amp;(E17-0.000000001))&gt;0,0,1),"")</f>
        <v>1</v>
      </c>
      <c r="AD17" s="15" t="n">
        <f aca="false">IF(N17=1,IF(COUNTIFS(O17:$P17,1,G17:$H17,"&gt;="&amp;(F17-0.000000001))&gt;0,0,1),"")</f>
        <v>1</v>
      </c>
      <c r="AE17" s="15" t="n">
        <f aca="false">IF(O17=1,IF(COUNTIFS(P17:$P17,1,H17:$H17,"&gt;="&amp;(G17-0.000000001))&gt;0,0,1),"")</f>
        <v>1</v>
      </c>
      <c r="AF17" s="15" t="n">
        <f aca="false">IF(P17=1,1,"")</f>
        <v>1</v>
      </c>
    </row>
    <row r="18" customFormat="false" ht="15" hidden="false" customHeight="false" outlineLevel="0" collapsed="false">
      <c r="A18" s="2" t="n">
        <v>12</v>
      </c>
      <c r="B18" s="16" t="n">
        <f aca="false">IF(COUNTIFS(Sch_n,B$5,Sch_bmax,"&gt;="&amp;($A18-0.000000001))&gt;0,_xlfn.MAXIFS(Sch_P0,Sch_n,B$5,Sch_bmax,"&gt;="&amp;($A18-0.000000001))-Beta_y*$A18,"")</f>
        <v>125.454545454545</v>
      </c>
      <c r="C18" s="16" t="n">
        <f aca="false">IF(COUNTIFS(Sch_n,C$5,Sch_bmax,"&gt;="&amp;($A18-0.000000001))&gt;0,_xlfn.MAXIFS(Sch_P0,Sch_n,C$5,Sch_bmax,"&gt;="&amp;($A18-0.000000001))-Beta_y*$A18,"")</f>
        <v>359.763553160179</v>
      </c>
      <c r="D18" s="16" t="n">
        <f aca="false">IF(COUNTIFS(Sch_n,D$5,Sch_bmax,"&gt;="&amp;($A18-0.000000001))&gt;0,_xlfn.MAXIFS(Sch_P0,Sch_n,D$5,Sch_bmax,"&gt;="&amp;($A18-0.000000001))-Beta_y*$A18,"")</f>
        <v>373.264245487454</v>
      </c>
      <c r="E18" s="16" t="n">
        <f aca="false">IF(COUNTIFS(Sch_n,E$5,Sch_bmax,"&gt;="&amp;($A18-0.000000001))&gt;0,_xlfn.MAXIFS(Sch_P0,Sch_n,E$5,Sch_bmax,"&gt;="&amp;($A18-0.000000001))-Beta_y*$A18,"")</f>
        <v>319.542894656182</v>
      </c>
      <c r="F18" s="16" t="n">
        <f aca="false">IF(COUNTIFS(Sch_n,F$5,Sch_bmax,"&gt;="&amp;($A18-0.000000001))&gt;0,_xlfn.MAXIFS(Sch_P0,Sch_n,F$5,Sch_bmax,"&gt;="&amp;($A18-0.000000001))-Beta_y*$A18,"")</f>
        <v>249.971482777054</v>
      </c>
      <c r="G18" s="16" t="n">
        <f aca="false">IF(COUNTIFS(Sch_n,G$5,Sch_bmax,"&gt;="&amp;($A18-0.000000001))&gt;0,_xlfn.MAXIFS(Sch_P0,Sch_n,G$5,Sch_bmax,"&gt;="&amp;($A18-0.000000001))-Beta_y*$A18,"")</f>
        <v>175.912503153998</v>
      </c>
      <c r="H18" s="16" t="n">
        <f aca="false">IF(COUNTIFS(Sch_n,H$5,Sch_bmax,"&gt;="&amp;($A18-0.000000001))&gt;0,_xlfn.MAXIFS(Sch_P0,Sch_n,H$5,Sch_bmax,"&gt;="&amp;($A18-0.000000001))-Beta_y*$A18,"")</f>
        <v>95.6824122906296</v>
      </c>
      <c r="J18" s="15" t="n">
        <f aca="false">IF(ISNUMBER(B18),1,0)</f>
        <v>1</v>
      </c>
      <c r="K18" s="15" t="n">
        <f aca="false">IF(ISNUMBER(C18),1,0)</f>
        <v>1</v>
      </c>
      <c r="L18" s="15" t="n">
        <f aca="false">IF(ISNUMBER(D18),1,0)</f>
        <v>1</v>
      </c>
      <c r="M18" s="15" t="n">
        <f aca="false">IF(ISNUMBER(E18),1,0)</f>
        <v>1</v>
      </c>
      <c r="N18" s="15" t="n">
        <f aca="false">IF(ISNUMBER(F18),1,0)</f>
        <v>1</v>
      </c>
      <c r="O18" s="15" t="n">
        <f aca="false">IF(ISNUMBER(G18),1,0)</f>
        <v>1</v>
      </c>
      <c r="P18" s="15" t="n">
        <f aca="false">IF(ISNUMBER(H18),1,0)</f>
        <v>1</v>
      </c>
      <c r="R18" s="15" t="n">
        <f aca="false">IF(J18=1,_xlfn.MINIFS(Sch_idx,Sch_n,B$5,Sch_bmax,"&gt;="&amp;($A18-0.000000001),Sch_P0,"&gt;="&amp;(B18+Beta_y*$A18-0.000000001)),"")</f>
        <v>0</v>
      </c>
      <c r="S18" s="15" t="n">
        <f aca="false">IF(K18=1,_xlfn.MINIFS(Sch_idx,Sch_n,C$5,Sch_bmax,"&gt;="&amp;($A18-0.000000001),Sch_P0,"&gt;="&amp;(C18+Beta_y*$A18-0.000000001)),"")</f>
        <v>32</v>
      </c>
      <c r="T18" s="15" t="n">
        <f aca="false">IF(L18=1,_xlfn.MINIFS(Sch_idx,Sch_n,D$5,Sch_bmax,"&gt;="&amp;($A18-0.000000001),Sch_P0,"&gt;="&amp;(D18+Beta_y*$A18-0.000000001)),"")</f>
        <v>48</v>
      </c>
      <c r="U18" s="15" t="n">
        <f aca="false">IF(M18=1,_xlfn.MINIFS(Sch_idx,Sch_n,E$5,Sch_bmax,"&gt;="&amp;($A18-0.000000001),Sch_P0,"&gt;="&amp;(E18+Beta_y*$A18-0.000000001)),"")</f>
        <v>56</v>
      </c>
      <c r="V18" s="15" t="n">
        <f aca="false">IF(N18=1,_xlfn.MINIFS(Sch_idx,Sch_n,F$5,Sch_bmax,"&gt;="&amp;($A18-0.000000001),Sch_P0,"&gt;="&amp;(F18+Beta_y*$A18-0.000000001)),"")</f>
        <v>57</v>
      </c>
      <c r="W18" s="15" t="n">
        <f aca="false">IF(O18=1,_xlfn.MINIFS(Sch_idx,Sch_n,G$5,Sch_bmax,"&gt;="&amp;($A18-0.000000001),Sch_P0,"&gt;="&amp;(G18+Beta_y*$A18-0.000000001)),"")</f>
        <v>59</v>
      </c>
      <c r="X18" s="15" t="n">
        <f aca="false">IF(P18=1,_xlfn.MINIFS(Sch_idx,Sch_n,H$5,Sch_bmax,"&gt;="&amp;($A18-0.000000001),Sch_P0,"&gt;="&amp;(H18+Beta_y*$A18-0.000000001)),"")</f>
        <v>63</v>
      </c>
      <c r="Z18" s="15" t="n">
        <f aca="false">IF(J18=1,IF(COUNTIFS(K18:$P18,1,C18:$H18,"&gt;="&amp;(B18-0.000000001))&gt;0,0,1),"")</f>
        <v>0</v>
      </c>
      <c r="AA18" s="15" t="n">
        <f aca="false">IF(K18=1,IF(COUNTIFS(L18:$P18,1,D18:$H18,"&gt;="&amp;(C18-0.000000001))&gt;0,0,1),"")</f>
        <v>0</v>
      </c>
      <c r="AB18" s="15" t="n">
        <f aca="false">IF(L18=1,IF(COUNTIFS(M18:$P18,1,E18:$H18,"&gt;="&amp;(D18-0.000000001))&gt;0,0,1),"")</f>
        <v>1</v>
      </c>
      <c r="AC18" s="15" t="n">
        <f aca="false">IF(M18=1,IF(COUNTIFS(N18:$P18,1,F18:$H18,"&gt;="&amp;(E18-0.000000001))&gt;0,0,1),"")</f>
        <v>1</v>
      </c>
      <c r="AD18" s="15" t="n">
        <f aca="false">IF(N18=1,IF(COUNTIFS(O18:$P18,1,G18:$H18,"&gt;="&amp;(F18-0.000000001))&gt;0,0,1),"")</f>
        <v>1</v>
      </c>
      <c r="AE18" s="15" t="n">
        <f aca="false">IF(O18=1,IF(COUNTIFS(P18:$P18,1,H18:$H18,"&gt;="&amp;(G18-0.000000001))&gt;0,0,1),"")</f>
        <v>1</v>
      </c>
      <c r="AF18" s="15" t="n">
        <f aca="false">IF(P18=1,1,"")</f>
        <v>1</v>
      </c>
    </row>
    <row r="19" customFormat="false" ht="15" hidden="false" customHeight="false" outlineLevel="0" collapsed="false">
      <c r="A19" s="2" t="n">
        <v>13</v>
      </c>
      <c r="B19" s="16" t="n">
        <f aca="false">IF(COUNTIFS(Sch_n,B$5,Sch_bmax,"&gt;="&amp;($A19-0.000000001))&gt;0,_xlfn.MAXIFS(Sch_P0,Sch_n,B$5,Sch_bmax,"&gt;="&amp;($A19-0.000000001))-Beta_y*$A19,"")</f>
        <v>124.545454545455</v>
      </c>
      <c r="C19" s="16" t="n">
        <f aca="false">IF(COUNTIFS(Sch_n,C$5,Sch_bmax,"&gt;="&amp;($A19-0.000000001))&gt;0,_xlfn.MAXIFS(Sch_P0,Sch_n,C$5,Sch_bmax,"&gt;="&amp;($A19-0.000000001))-Beta_y*$A19,"")</f>
        <v>358.854462251088</v>
      </c>
      <c r="D19" s="16" t="n">
        <f aca="false">IF(COUNTIFS(Sch_n,D$5,Sch_bmax,"&gt;="&amp;($A19-0.000000001))&gt;0,_xlfn.MAXIFS(Sch_P0,Sch_n,D$5,Sch_bmax,"&gt;="&amp;($A19-0.000000001))-Beta_y*$A19,"")</f>
        <v>372.355154578363</v>
      </c>
      <c r="E19" s="16" t="n">
        <f aca="false">IF(COUNTIFS(Sch_n,E$5,Sch_bmax,"&gt;="&amp;($A19-0.000000001))&gt;0,_xlfn.MAXIFS(Sch_P0,Sch_n,E$5,Sch_bmax,"&gt;="&amp;($A19-0.000000001))-Beta_y*$A19,"")</f>
        <v>318.633803747091</v>
      </c>
      <c r="F19" s="16" t="n">
        <f aca="false">IF(COUNTIFS(Sch_n,F$5,Sch_bmax,"&gt;="&amp;($A19-0.000000001))&gt;0,_xlfn.MAXIFS(Sch_P0,Sch_n,F$5,Sch_bmax,"&gt;="&amp;($A19-0.000000001))-Beta_y*$A19,"")</f>
        <v>249.062391867963</v>
      </c>
      <c r="G19" s="16" t="n">
        <f aca="false">IF(COUNTIFS(Sch_n,G$5,Sch_bmax,"&gt;="&amp;($A19-0.000000001))&gt;0,_xlfn.MAXIFS(Sch_P0,Sch_n,G$5,Sch_bmax,"&gt;="&amp;($A19-0.000000001))-Beta_y*$A19,"")</f>
        <v>175.003412244907</v>
      </c>
      <c r="H19" s="16" t="n">
        <f aca="false">IF(COUNTIFS(Sch_n,H$5,Sch_bmax,"&gt;="&amp;($A19-0.000000001))&gt;0,_xlfn.MAXIFS(Sch_P0,Sch_n,H$5,Sch_bmax,"&gt;="&amp;($A19-0.000000001))-Beta_y*$A19,"")</f>
        <v>94.7733213815387</v>
      </c>
      <c r="J19" s="15" t="n">
        <f aca="false">IF(ISNUMBER(B19),1,0)</f>
        <v>1</v>
      </c>
      <c r="K19" s="15" t="n">
        <f aca="false">IF(ISNUMBER(C19),1,0)</f>
        <v>1</v>
      </c>
      <c r="L19" s="15" t="n">
        <f aca="false">IF(ISNUMBER(D19),1,0)</f>
        <v>1</v>
      </c>
      <c r="M19" s="15" t="n">
        <f aca="false">IF(ISNUMBER(E19),1,0)</f>
        <v>1</v>
      </c>
      <c r="N19" s="15" t="n">
        <f aca="false">IF(ISNUMBER(F19),1,0)</f>
        <v>1</v>
      </c>
      <c r="O19" s="15" t="n">
        <f aca="false">IF(ISNUMBER(G19),1,0)</f>
        <v>1</v>
      </c>
      <c r="P19" s="15" t="n">
        <f aca="false">IF(ISNUMBER(H19),1,0)</f>
        <v>1</v>
      </c>
      <c r="R19" s="15" t="n">
        <f aca="false">IF(J19=1,_xlfn.MINIFS(Sch_idx,Sch_n,B$5,Sch_bmax,"&gt;="&amp;($A19-0.000000001),Sch_P0,"&gt;="&amp;(B19+Beta_y*$A19-0.000000001)),"")</f>
        <v>0</v>
      </c>
      <c r="S19" s="15" t="n">
        <f aca="false">IF(K19=1,_xlfn.MINIFS(Sch_idx,Sch_n,C$5,Sch_bmax,"&gt;="&amp;($A19-0.000000001),Sch_P0,"&gt;="&amp;(C19+Beta_y*$A19-0.000000001)),"")</f>
        <v>32</v>
      </c>
      <c r="T19" s="15" t="n">
        <f aca="false">IF(L19=1,_xlfn.MINIFS(Sch_idx,Sch_n,D$5,Sch_bmax,"&gt;="&amp;($A19-0.000000001),Sch_P0,"&gt;="&amp;(D19+Beta_y*$A19-0.000000001)),"")</f>
        <v>48</v>
      </c>
      <c r="U19" s="15" t="n">
        <f aca="false">IF(M19=1,_xlfn.MINIFS(Sch_idx,Sch_n,E$5,Sch_bmax,"&gt;="&amp;($A19-0.000000001),Sch_P0,"&gt;="&amp;(E19+Beta_y*$A19-0.000000001)),"")</f>
        <v>56</v>
      </c>
      <c r="V19" s="15" t="n">
        <f aca="false">IF(N19=1,_xlfn.MINIFS(Sch_idx,Sch_n,F$5,Sch_bmax,"&gt;="&amp;($A19-0.000000001),Sch_P0,"&gt;="&amp;(F19+Beta_y*$A19-0.000000001)),"")</f>
        <v>57</v>
      </c>
      <c r="W19" s="15" t="n">
        <f aca="false">IF(O19=1,_xlfn.MINIFS(Sch_idx,Sch_n,G$5,Sch_bmax,"&gt;="&amp;($A19-0.000000001),Sch_P0,"&gt;="&amp;(G19+Beta_y*$A19-0.000000001)),"")</f>
        <v>59</v>
      </c>
      <c r="X19" s="15" t="n">
        <f aca="false">IF(P19=1,_xlfn.MINIFS(Sch_idx,Sch_n,H$5,Sch_bmax,"&gt;="&amp;($A19-0.000000001),Sch_P0,"&gt;="&amp;(H19+Beta_y*$A19-0.000000001)),"")</f>
        <v>63</v>
      </c>
      <c r="Z19" s="15" t="n">
        <f aca="false">IF(J19=1,IF(COUNTIFS(K19:$P19,1,C19:$H19,"&gt;="&amp;(B19-0.000000001))&gt;0,0,1),"")</f>
        <v>0</v>
      </c>
      <c r="AA19" s="15" t="n">
        <f aca="false">IF(K19=1,IF(COUNTIFS(L19:$P19,1,D19:$H19,"&gt;="&amp;(C19-0.000000001))&gt;0,0,1),"")</f>
        <v>0</v>
      </c>
      <c r="AB19" s="15" t="n">
        <f aca="false">IF(L19=1,IF(COUNTIFS(M19:$P19,1,E19:$H19,"&gt;="&amp;(D19-0.000000001))&gt;0,0,1),"")</f>
        <v>1</v>
      </c>
      <c r="AC19" s="15" t="n">
        <f aca="false">IF(M19=1,IF(COUNTIFS(N19:$P19,1,F19:$H19,"&gt;="&amp;(E19-0.000000001))&gt;0,0,1),"")</f>
        <v>1</v>
      </c>
      <c r="AD19" s="15" t="n">
        <f aca="false">IF(N19=1,IF(COUNTIFS(O19:$P19,1,G19:$H19,"&gt;="&amp;(F19-0.000000001))&gt;0,0,1),"")</f>
        <v>1</v>
      </c>
      <c r="AE19" s="15" t="n">
        <f aca="false">IF(O19=1,IF(COUNTIFS(P19:$P19,1,H19:$H19,"&gt;="&amp;(G19-0.000000001))&gt;0,0,1),"")</f>
        <v>1</v>
      </c>
      <c r="AF19" s="15" t="n">
        <f aca="false">IF(P19=1,1,"")</f>
        <v>1</v>
      </c>
    </row>
    <row r="20" customFormat="false" ht="15" hidden="false" customHeight="false" outlineLevel="0" collapsed="false">
      <c r="A20" s="2" t="n">
        <v>14</v>
      </c>
      <c r="B20" s="16" t="n">
        <f aca="false">IF(COUNTIFS(Sch_n,B$5,Sch_bmax,"&gt;="&amp;($A20-0.000000001))&gt;0,_xlfn.MAXIFS(Sch_P0,Sch_n,B$5,Sch_bmax,"&gt;="&amp;($A20-0.000000001))-Beta_y*$A20,"")</f>
        <v>123.636363636364</v>
      </c>
      <c r="C20" s="16" t="n">
        <f aca="false">IF(COUNTIFS(Sch_n,C$5,Sch_bmax,"&gt;="&amp;($A20-0.000000001))&gt;0,_xlfn.MAXIFS(Sch_P0,Sch_n,C$5,Sch_bmax,"&gt;="&amp;($A20-0.000000001))-Beta_y*$A20,"")</f>
        <v>357.945371341997</v>
      </c>
      <c r="D20" s="16" t="n">
        <f aca="false">IF(COUNTIFS(Sch_n,D$5,Sch_bmax,"&gt;="&amp;($A20-0.000000001))&gt;0,_xlfn.MAXIFS(Sch_P0,Sch_n,D$5,Sch_bmax,"&gt;="&amp;($A20-0.000000001))-Beta_y*$A20,"")</f>
        <v>371.446063669272</v>
      </c>
      <c r="E20" s="16" t="n">
        <f aca="false">IF(COUNTIFS(Sch_n,E$5,Sch_bmax,"&gt;="&amp;($A20-0.000000001))&gt;0,_xlfn.MAXIFS(Sch_P0,Sch_n,E$5,Sch_bmax,"&gt;="&amp;($A20-0.000000001))-Beta_y*$A20,"")</f>
        <v>317.724712838</v>
      </c>
      <c r="F20" s="16" t="n">
        <f aca="false">IF(COUNTIFS(Sch_n,F$5,Sch_bmax,"&gt;="&amp;($A20-0.000000001))&gt;0,_xlfn.MAXIFS(Sch_P0,Sch_n,F$5,Sch_bmax,"&gt;="&amp;($A20-0.000000001))-Beta_y*$A20,"")</f>
        <v>248.153300958872</v>
      </c>
      <c r="G20" s="16" t="n">
        <f aca="false">IF(COUNTIFS(Sch_n,G$5,Sch_bmax,"&gt;="&amp;($A20-0.000000001))&gt;0,_xlfn.MAXIFS(Sch_P0,Sch_n,G$5,Sch_bmax,"&gt;="&amp;($A20-0.000000001))-Beta_y*$A20,"")</f>
        <v>174.094321335816</v>
      </c>
      <c r="H20" s="16" t="n">
        <f aca="false">IF(COUNTIFS(Sch_n,H$5,Sch_bmax,"&gt;="&amp;($A20-0.000000001))&gt;0,_xlfn.MAXIFS(Sch_P0,Sch_n,H$5,Sch_bmax,"&gt;="&amp;($A20-0.000000001))-Beta_y*$A20,"")</f>
        <v>93.8642304724477</v>
      </c>
      <c r="J20" s="15" t="n">
        <f aca="false">IF(ISNUMBER(B20),1,0)</f>
        <v>1</v>
      </c>
      <c r="K20" s="15" t="n">
        <f aca="false">IF(ISNUMBER(C20),1,0)</f>
        <v>1</v>
      </c>
      <c r="L20" s="15" t="n">
        <f aca="false">IF(ISNUMBER(D20),1,0)</f>
        <v>1</v>
      </c>
      <c r="M20" s="15" t="n">
        <f aca="false">IF(ISNUMBER(E20),1,0)</f>
        <v>1</v>
      </c>
      <c r="N20" s="15" t="n">
        <f aca="false">IF(ISNUMBER(F20),1,0)</f>
        <v>1</v>
      </c>
      <c r="O20" s="15" t="n">
        <f aca="false">IF(ISNUMBER(G20),1,0)</f>
        <v>1</v>
      </c>
      <c r="P20" s="15" t="n">
        <f aca="false">IF(ISNUMBER(H20),1,0)</f>
        <v>1</v>
      </c>
      <c r="R20" s="15" t="n">
        <f aca="false">IF(J20=1,_xlfn.MINIFS(Sch_idx,Sch_n,B$5,Sch_bmax,"&gt;="&amp;($A20-0.000000001),Sch_P0,"&gt;="&amp;(B20+Beta_y*$A20-0.000000001)),"")</f>
        <v>0</v>
      </c>
      <c r="S20" s="15" t="n">
        <f aca="false">IF(K20=1,_xlfn.MINIFS(Sch_idx,Sch_n,C$5,Sch_bmax,"&gt;="&amp;($A20-0.000000001),Sch_P0,"&gt;="&amp;(C20+Beta_y*$A20-0.000000001)),"")</f>
        <v>32</v>
      </c>
      <c r="T20" s="15" t="n">
        <f aca="false">IF(L20=1,_xlfn.MINIFS(Sch_idx,Sch_n,D$5,Sch_bmax,"&gt;="&amp;($A20-0.000000001),Sch_P0,"&gt;="&amp;(D20+Beta_y*$A20-0.000000001)),"")</f>
        <v>48</v>
      </c>
      <c r="U20" s="15" t="n">
        <f aca="false">IF(M20=1,_xlfn.MINIFS(Sch_idx,Sch_n,E$5,Sch_bmax,"&gt;="&amp;($A20-0.000000001),Sch_P0,"&gt;="&amp;(E20+Beta_y*$A20-0.000000001)),"")</f>
        <v>56</v>
      </c>
      <c r="V20" s="15" t="n">
        <f aca="false">IF(N20=1,_xlfn.MINIFS(Sch_idx,Sch_n,F$5,Sch_bmax,"&gt;="&amp;($A20-0.000000001),Sch_P0,"&gt;="&amp;(F20+Beta_y*$A20-0.000000001)),"")</f>
        <v>57</v>
      </c>
      <c r="W20" s="15" t="n">
        <f aca="false">IF(O20=1,_xlfn.MINIFS(Sch_idx,Sch_n,G$5,Sch_bmax,"&gt;="&amp;($A20-0.000000001),Sch_P0,"&gt;="&amp;(G20+Beta_y*$A20-0.000000001)),"")</f>
        <v>59</v>
      </c>
      <c r="X20" s="15" t="n">
        <f aca="false">IF(P20=1,_xlfn.MINIFS(Sch_idx,Sch_n,H$5,Sch_bmax,"&gt;="&amp;($A20-0.000000001),Sch_P0,"&gt;="&amp;(H20+Beta_y*$A20-0.000000001)),"")</f>
        <v>63</v>
      </c>
      <c r="Z20" s="15" t="n">
        <f aca="false">IF(J20=1,IF(COUNTIFS(K20:$P20,1,C20:$H20,"&gt;="&amp;(B20-0.000000001))&gt;0,0,1),"")</f>
        <v>0</v>
      </c>
      <c r="AA20" s="15" t="n">
        <f aca="false">IF(K20=1,IF(COUNTIFS(L20:$P20,1,D20:$H20,"&gt;="&amp;(C20-0.000000001))&gt;0,0,1),"")</f>
        <v>0</v>
      </c>
      <c r="AB20" s="15" t="n">
        <f aca="false">IF(L20=1,IF(COUNTIFS(M20:$P20,1,E20:$H20,"&gt;="&amp;(D20-0.000000001))&gt;0,0,1),"")</f>
        <v>1</v>
      </c>
      <c r="AC20" s="15" t="n">
        <f aca="false">IF(M20=1,IF(COUNTIFS(N20:$P20,1,F20:$H20,"&gt;="&amp;(E20-0.000000001))&gt;0,0,1),"")</f>
        <v>1</v>
      </c>
      <c r="AD20" s="15" t="n">
        <f aca="false">IF(N20=1,IF(COUNTIFS(O20:$P20,1,G20:$H20,"&gt;="&amp;(F20-0.000000001))&gt;0,0,1),"")</f>
        <v>1</v>
      </c>
      <c r="AE20" s="15" t="n">
        <f aca="false">IF(O20=1,IF(COUNTIFS(P20:$P20,1,H20:$H20,"&gt;="&amp;(G20-0.000000001))&gt;0,0,1),"")</f>
        <v>1</v>
      </c>
      <c r="AF20" s="15" t="n">
        <f aca="false">IF(P20=1,1,"")</f>
        <v>1</v>
      </c>
    </row>
    <row r="21" customFormat="false" ht="15" hidden="false" customHeight="false" outlineLevel="0" collapsed="false">
      <c r="A21" s="2" t="n">
        <v>15</v>
      </c>
      <c r="B21" s="16" t="n">
        <f aca="false">IF(COUNTIFS(Sch_n,B$5,Sch_bmax,"&gt;="&amp;($A21-0.000000001))&gt;0,_xlfn.MAXIFS(Sch_P0,Sch_n,B$5,Sch_bmax,"&gt;="&amp;($A21-0.000000001))-Beta_y*$A21,"")</f>
        <v>122.727272727273</v>
      </c>
      <c r="C21" s="16" t="n">
        <f aca="false">IF(COUNTIFS(Sch_n,C$5,Sch_bmax,"&gt;="&amp;($A21-0.000000001))&gt;0,_xlfn.MAXIFS(Sch_P0,Sch_n,C$5,Sch_bmax,"&gt;="&amp;($A21-0.000000001))-Beta_y*$A21,"")</f>
        <v>357.036280432906</v>
      </c>
      <c r="D21" s="16" t="n">
        <f aca="false">IF(COUNTIFS(Sch_n,D$5,Sch_bmax,"&gt;="&amp;($A21-0.000000001))&gt;0,_xlfn.MAXIFS(Sch_P0,Sch_n,D$5,Sch_bmax,"&gt;="&amp;($A21-0.000000001))-Beta_y*$A21,"")</f>
        <v>370.536972760182</v>
      </c>
      <c r="E21" s="16" t="n">
        <f aca="false">IF(COUNTIFS(Sch_n,E$5,Sch_bmax,"&gt;="&amp;($A21-0.000000001))&gt;0,_xlfn.MAXIFS(Sch_P0,Sch_n,E$5,Sch_bmax,"&gt;="&amp;($A21-0.000000001))-Beta_y*$A21,"")</f>
        <v>316.815621928909</v>
      </c>
      <c r="F21" s="16" t="n">
        <f aca="false">IF(COUNTIFS(Sch_n,F$5,Sch_bmax,"&gt;="&amp;($A21-0.000000001))&gt;0,_xlfn.MAXIFS(Sch_P0,Sch_n,F$5,Sch_bmax,"&gt;="&amp;($A21-0.000000001))-Beta_y*$A21,"")</f>
        <v>247.244210049781</v>
      </c>
      <c r="G21" s="16" t="n">
        <f aca="false">IF(COUNTIFS(Sch_n,G$5,Sch_bmax,"&gt;="&amp;($A21-0.000000001))&gt;0,_xlfn.MAXIFS(Sch_P0,Sch_n,G$5,Sch_bmax,"&gt;="&amp;($A21-0.000000001))-Beta_y*$A21,"")</f>
        <v>173.185230426725</v>
      </c>
      <c r="H21" s="16" t="n">
        <f aca="false">IF(COUNTIFS(Sch_n,H$5,Sch_bmax,"&gt;="&amp;($A21-0.000000001))&gt;0,_xlfn.MAXIFS(Sch_P0,Sch_n,H$5,Sch_bmax,"&gt;="&amp;($A21-0.000000001))-Beta_y*$A21,"")</f>
        <v>92.9551395633568</v>
      </c>
      <c r="J21" s="15" t="n">
        <f aca="false">IF(ISNUMBER(B21),1,0)</f>
        <v>1</v>
      </c>
      <c r="K21" s="15" t="n">
        <f aca="false">IF(ISNUMBER(C21),1,0)</f>
        <v>1</v>
      </c>
      <c r="L21" s="15" t="n">
        <f aca="false">IF(ISNUMBER(D21),1,0)</f>
        <v>1</v>
      </c>
      <c r="M21" s="15" t="n">
        <f aca="false">IF(ISNUMBER(E21),1,0)</f>
        <v>1</v>
      </c>
      <c r="N21" s="15" t="n">
        <f aca="false">IF(ISNUMBER(F21),1,0)</f>
        <v>1</v>
      </c>
      <c r="O21" s="15" t="n">
        <f aca="false">IF(ISNUMBER(G21),1,0)</f>
        <v>1</v>
      </c>
      <c r="P21" s="15" t="n">
        <f aca="false">IF(ISNUMBER(H21),1,0)</f>
        <v>1</v>
      </c>
      <c r="R21" s="15" t="n">
        <f aca="false">IF(J21=1,_xlfn.MINIFS(Sch_idx,Sch_n,B$5,Sch_bmax,"&gt;="&amp;($A21-0.000000001),Sch_P0,"&gt;="&amp;(B21+Beta_y*$A21-0.000000001)),"")</f>
        <v>0</v>
      </c>
      <c r="S21" s="15" t="n">
        <f aca="false">IF(K21=1,_xlfn.MINIFS(Sch_idx,Sch_n,C$5,Sch_bmax,"&gt;="&amp;($A21-0.000000001),Sch_P0,"&gt;="&amp;(C21+Beta_y*$A21-0.000000001)),"")</f>
        <v>32</v>
      </c>
      <c r="T21" s="15" t="n">
        <f aca="false">IF(L21=1,_xlfn.MINIFS(Sch_idx,Sch_n,D$5,Sch_bmax,"&gt;="&amp;($A21-0.000000001),Sch_P0,"&gt;="&amp;(D21+Beta_y*$A21-0.000000001)),"")</f>
        <v>48</v>
      </c>
      <c r="U21" s="15" t="n">
        <f aca="false">IF(M21=1,_xlfn.MINIFS(Sch_idx,Sch_n,E$5,Sch_bmax,"&gt;="&amp;($A21-0.000000001),Sch_P0,"&gt;="&amp;(E21+Beta_y*$A21-0.000000001)),"")</f>
        <v>56</v>
      </c>
      <c r="V21" s="15" t="n">
        <f aca="false">IF(N21=1,_xlfn.MINIFS(Sch_idx,Sch_n,F$5,Sch_bmax,"&gt;="&amp;($A21-0.000000001),Sch_P0,"&gt;="&amp;(F21+Beta_y*$A21-0.000000001)),"")</f>
        <v>57</v>
      </c>
      <c r="W21" s="15" t="n">
        <f aca="false">IF(O21=1,_xlfn.MINIFS(Sch_idx,Sch_n,G$5,Sch_bmax,"&gt;="&amp;($A21-0.000000001),Sch_P0,"&gt;="&amp;(G21+Beta_y*$A21-0.000000001)),"")</f>
        <v>59</v>
      </c>
      <c r="X21" s="15" t="n">
        <f aca="false">IF(P21=1,_xlfn.MINIFS(Sch_idx,Sch_n,H$5,Sch_bmax,"&gt;="&amp;($A21-0.000000001),Sch_P0,"&gt;="&amp;(H21+Beta_y*$A21-0.000000001)),"")</f>
        <v>63</v>
      </c>
      <c r="Z21" s="15" t="n">
        <f aca="false">IF(J21=1,IF(COUNTIFS(K21:$P21,1,C21:$H21,"&gt;="&amp;(B21-0.000000001))&gt;0,0,1),"")</f>
        <v>0</v>
      </c>
      <c r="AA21" s="15" t="n">
        <f aca="false">IF(K21=1,IF(COUNTIFS(L21:$P21,1,D21:$H21,"&gt;="&amp;(C21-0.000000001))&gt;0,0,1),"")</f>
        <v>0</v>
      </c>
      <c r="AB21" s="15" t="n">
        <f aca="false">IF(L21=1,IF(COUNTIFS(M21:$P21,1,E21:$H21,"&gt;="&amp;(D21-0.000000001))&gt;0,0,1),"")</f>
        <v>1</v>
      </c>
      <c r="AC21" s="15" t="n">
        <f aca="false">IF(M21=1,IF(COUNTIFS(N21:$P21,1,F21:$H21,"&gt;="&amp;(E21-0.000000001))&gt;0,0,1),"")</f>
        <v>1</v>
      </c>
      <c r="AD21" s="15" t="n">
        <f aca="false">IF(N21=1,IF(COUNTIFS(O21:$P21,1,G21:$H21,"&gt;="&amp;(F21-0.000000001))&gt;0,0,1),"")</f>
        <v>1</v>
      </c>
      <c r="AE21" s="15" t="n">
        <f aca="false">IF(O21=1,IF(COUNTIFS(P21:$P21,1,H21:$H21,"&gt;="&amp;(G21-0.000000001))&gt;0,0,1),"")</f>
        <v>1</v>
      </c>
      <c r="AF21" s="15" t="n">
        <f aca="false">IF(P21=1,1,"")</f>
        <v>1</v>
      </c>
    </row>
    <row r="22" customFormat="false" ht="15" hidden="false" customHeight="false" outlineLevel="0" collapsed="false">
      <c r="A22" s="2" t="n">
        <v>16</v>
      </c>
      <c r="B22" s="16" t="n">
        <f aca="false">IF(COUNTIFS(Sch_n,B$5,Sch_bmax,"&gt;="&amp;($A22-0.000000001))&gt;0,_xlfn.MAXIFS(Sch_P0,Sch_n,B$5,Sch_bmax,"&gt;="&amp;($A22-0.000000001))-Beta_y*$A22,"")</f>
        <v>121.818181818182</v>
      </c>
      <c r="C22" s="16" t="n">
        <f aca="false">IF(COUNTIFS(Sch_n,C$5,Sch_bmax,"&gt;="&amp;($A22-0.000000001))&gt;0,_xlfn.MAXIFS(Sch_P0,Sch_n,C$5,Sch_bmax,"&gt;="&amp;($A22-0.000000001))-Beta_y*$A22,"")</f>
        <v>356.127189523815</v>
      </c>
      <c r="D22" s="16" t="n">
        <f aca="false">IF(COUNTIFS(Sch_n,D$5,Sch_bmax,"&gt;="&amp;($A22-0.000000001))&gt;0,_xlfn.MAXIFS(Sch_P0,Sch_n,D$5,Sch_bmax,"&gt;="&amp;($A22-0.000000001))-Beta_y*$A22,"")</f>
        <v>369.627881851091</v>
      </c>
      <c r="E22" s="16" t="n">
        <f aca="false">IF(COUNTIFS(Sch_n,E$5,Sch_bmax,"&gt;="&amp;($A22-0.000000001))&gt;0,_xlfn.MAXIFS(Sch_P0,Sch_n,E$5,Sch_bmax,"&gt;="&amp;($A22-0.000000001))-Beta_y*$A22,"")</f>
        <v>315.906531019818</v>
      </c>
      <c r="F22" s="16" t="n">
        <f aca="false">IF(COUNTIFS(Sch_n,F$5,Sch_bmax,"&gt;="&amp;($A22-0.000000001))&gt;0,_xlfn.MAXIFS(Sch_P0,Sch_n,F$5,Sch_bmax,"&gt;="&amp;($A22-0.000000001))-Beta_y*$A22,"")</f>
        <v>246.33511914069</v>
      </c>
      <c r="G22" s="16" t="n">
        <f aca="false">IF(COUNTIFS(Sch_n,G$5,Sch_bmax,"&gt;="&amp;($A22-0.000000001))&gt;0,_xlfn.MAXIFS(Sch_P0,Sch_n,G$5,Sch_bmax,"&gt;="&amp;($A22-0.000000001))-Beta_y*$A22,"")</f>
        <v>172.276139517634</v>
      </c>
      <c r="H22" s="16" t="n">
        <f aca="false">IF(COUNTIFS(Sch_n,H$5,Sch_bmax,"&gt;="&amp;($A22-0.000000001))&gt;0,_xlfn.MAXIFS(Sch_P0,Sch_n,H$5,Sch_bmax,"&gt;="&amp;($A22-0.000000001))-Beta_y*$A22,"")</f>
        <v>92.0460486542659</v>
      </c>
      <c r="J22" s="15" t="n">
        <f aca="false">IF(ISNUMBER(B22),1,0)</f>
        <v>1</v>
      </c>
      <c r="K22" s="15" t="n">
        <f aca="false">IF(ISNUMBER(C22),1,0)</f>
        <v>1</v>
      </c>
      <c r="L22" s="15" t="n">
        <f aca="false">IF(ISNUMBER(D22),1,0)</f>
        <v>1</v>
      </c>
      <c r="M22" s="15" t="n">
        <f aca="false">IF(ISNUMBER(E22),1,0)</f>
        <v>1</v>
      </c>
      <c r="N22" s="15" t="n">
        <f aca="false">IF(ISNUMBER(F22),1,0)</f>
        <v>1</v>
      </c>
      <c r="O22" s="15" t="n">
        <f aca="false">IF(ISNUMBER(G22),1,0)</f>
        <v>1</v>
      </c>
      <c r="P22" s="15" t="n">
        <f aca="false">IF(ISNUMBER(H22),1,0)</f>
        <v>1</v>
      </c>
      <c r="R22" s="15" t="n">
        <f aca="false">IF(J22=1,_xlfn.MINIFS(Sch_idx,Sch_n,B$5,Sch_bmax,"&gt;="&amp;($A22-0.000000001),Sch_P0,"&gt;="&amp;(B22+Beta_y*$A22-0.000000001)),"")</f>
        <v>0</v>
      </c>
      <c r="S22" s="15" t="n">
        <f aca="false">IF(K22=1,_xlfn.MINIFS(Sch_idx,Sch_n,C$5,Sch_bmax,"&gt;="&amp;($A22-0.000000001),Sch_P0,"&gt;="&amp;(C22+Beta_y*$A22-0.000000001)),"")</f>
        <v>32</v>
      </c>
      <c r="T22" s="15" t="n">
        <f aca="false">IF(L22=1,_xlfn.MINIFS(Sch_idx,Sch_n,D$5,Sch_bmax,"&gt;="&amp;($A22-0.000000001),Sch_P0,"&gt;="&amp;(D22+Beta_y*$A22-0.000000001)),"")</f>
        <v>48</v>
      </c>
      <c r="U22" s="15" t="n">
        <f aca="false">IF(M22=1,_xlfn.MINIFS(Sch_idx,Sch_n,E$5,Sch_bmax,"&gt;="&amp;($A22-0.000000001),Sch_P0,"&gt;="&amp;(E22+Beta_y*$A22-0.000000001)),"")</f>
        <v>56</v>
      </c>
      <c r="V22" s="15" t="n">
        <f aca="false">IF(N22=1,_xlfn.MINIFS(Sch_idx,Sch_n,F$5,Sch_bmax,"&gt;="&amp;($A22-0.000000001),Sch_P0,"&gt;="&amp;(F22+Beta_y*$A22-0.000000001)),"")</f>
        <v>57</v>
      </c>
      <c r="W22" s="15" t="n">
        <f aca="false">IF(O22=1,_xlfn.MINIFS(Sch_idx,Sch_n,G$5,Sch_bmax,"&gt;="&amp;($A22-0.000000001),Sch_P0,"&gt;="&amp;(G22+Beta_y*$A22-0.000000001)),"")</f>
        <v>59</v>
      </c>
      <c r="X22" s="15" t="n">
        <f aca="false">IF(P22=1,_xlfn.MINIFS(Sch_idx,Sch_n,H$5,Sch_bmax,"&gt;="&amp;($A22-0.000000001),Sch_P0,"&gt;="&amp;(H22+Beta_y*$A22-0.000000001)),"")</f>
        <v>63</v>
      </c>
      <c r="Z22" s="15" t="n">
        <f aca="false">IF(J22=1,IF(COUNTIFS(K22:$P22,1,C22:$H22,"&gt;="&amp;(B22-0.000000001))&gt;0,0,1),"")</f>
        <v>0</v>
      </c>
      <c r="AA22" s="15" t="n">
        <f aca="false">IF(K22=1,IF(COUNTIFS(L22:$P22,1,D22:$H22,"&gt;="&amp;(C22-0.000000001))&gt;0,0,1),"")</f>
        <v>0</v>
      </c>
      <c r="AB22" s="15" t="n">
        <f aca="false">IF(L22=1,IF(COUNTIFS(M22:$P22,1,E22:$H22,"&gt;="&amp;(D22-0.000000001))&gt;0,0,1),"")</f>
        <v>1</v>
      </c>
      <c r="AC22" s="15" t="n">
        <f aca="false">IF(M22=1,IF(COUNTIFS(N22:$P22,1,F22:$H22,"&gt;="&amp;(E22-0.000000001))&gt;0,0,1),"")</f>
        <v>1</v>
      </c>
      <c r="AD22" s="15" t="n">
        <f aca="false">IF(N22=1,IF(COUNTIFS(O22:$P22,1,G22:$H22,"&gt;="&amp;(F22-0.000000001))&gt;0,0,1),"")</f>
        <v>1</v>
      </c>
      <c r="AE22" s="15" t="n">
        <f aca="false">IF(O22=1,IF(COUNTIFS(P22:$P22,1,H22:$H22,"&gt;="&amp;(G22-0.000000001))&gt;0,0,1),"")</f>
        <v>1</v>
      </c>
      <c r="AF22" s="15" t="n">
        <f aca="false">IF(P22=1,1,"")</f>
        <v>1</v>
      </c>
    </row>
    <row r="23" customFormat="false" ht="15" hidden="false" customHeight="false" outlineLevel="0" collapsed="false">
      <c r="A23" s="2" t="n">
        <v>17</v>
      </c>
      <c r="B23" s="16" t="n">
        <f aca="false">IF(COUNTIFS(Sch_n,B$5,Sch_bmax,"&gt;="&amp;($A23-0.000000001))&gt;0,_xlfn.MAXIFS(Sch_P0,Sch_n,B$5,Sch_bmax,"&gt;="&amp;($A23-0.000000001))-Beta_y*$A23,"")</f>
        <v>120.909090909091</v>
      </c>
      <c r="C23" s="16" t="n">
        <f aca="false">IF(COUNTIFS(Sch_n,C$5,Sch_bmax,"&gt;="&amp;($A23-0.000000001))&gt;0,_xlfn.MAXIFS(Sch_P0,Sch_n,C$5,Sch_bmax,"&gt;="&amp;($A23-0.000000001))-Beta_y*$A23,"")</f>
        <v>355.218098614725</v>
      </c>
      <c r="D23" s="16" t="n">
        <f aca="false">IF(COUNTIFS(Sch_n,D$5,Sch_bmax,"&gt;="&amp;($A23-0.000000001))&gt;0,_xlfn.MAXIFS(Sch_P0,Sch_n,D$5,Sch_bmax,"&gt;="&amp;($A23-0.000000001))-Beta_y*$A23,"")</f>
        <v>368.718790942</v>
      </c>
      <c r="E23" s="16" t="n">
        <f aca="false">IF(COUNTIFS(Sch_n,E$5,Sch_bmax,"&gt;="&amp;($A23-0.000000001))&gt;0,_xlfn.MAXIFS(Sch_P0,Sch_n,E$5,Sch_bmax,"&gt;="&amp;($A23-0.000000001))-Beta_y*$A23,"")</f>
        <v>314.997440110727</v>
      </c>
      <c r="F23" s="16" t="n">
        <f aca="false">IF(COUNTIFS(Sch_n,F$5,Sch_bmax,"&gt;="&amp;($A23-0.000000001))&gt;0,_xlfn.MAXIFS(Sch_P0,Sch_n,F$5,Sch_bmax,"&gt;="&amp;($A23-0.000000001))-Beta_y*$A23,"")</f>
        <v>245.426028231599</v>
      </c>
      <c r="G23" s="16" t="n">
        <f aca="false">IF(COUNTIFS(Sch_n,G$5,Sch_bmax,"&gt;="&amp;($A23-0.000000001))&gt;0,_xlfn.MAXIFS(Sch_P0,Sch_n,G$5,Sch_bmax,"&gt;="&amp;($A23-0.000000001))-Beta_y*$A23,"")</f>
        <v>171.367048608544</v>
      </c>
      <c r="H23" s="16" t="n">
        <f aca="false">IF(COUNTIFS(Sch_n,H$5,Sch_bmax,"&gt;="&amp;($A23-0.000000001))&gt;0,_xlfn.MAXIFS(Sch_P0,Sch_n,H$5,Sch_bmax,"&gt;="&amp;($A23-0.000000001))-Beta_y*$A23,"")</f>
        <v>91.136957745175</v>
      </c>
      <c r="J23" s="15" t="n">
        <f aca="false">IF(ISNUMBER(B23),1,0)</f>
        <v>1</v>
      </c>
      <c r="K23" s="15" t="n">
        <f aca="false">IF(ISNUMBER(C23),1,0)</f>
        <v>1</v>
      </c>
      <c r="L23" s="15" t="n">
        <f aca="false">IF(ISNUMBER(D23),1,0)</f>
        <v>1</v>
      </c>
      <c r="M23" s="15" t="n">
        <f aca="false">IF(ISNUMBER(E23),1,0)</f>
        <v>1</v>
      </c>
      <c r="N23" s="15" t="n">
        <f aca="false">IF(ISNUMBER(F23),1,0)</f>
        <v>1</v>
      </c>
      <c r="O23" s="15" t="n">
        <f aca="false">IF(ISNUMBER(G23),1,0)</f>
        <v>1</v>
      </c>
      <c r="P23" s="15" t="n">
        <f aca="false">IF(ISNUMBER(H23),1,0)</f>
        <v>1</v>
      </c>
      <c r="R23" s="15" t="n">
        <f aca="false">IF(J23=1,_xlfn.MINIFS(Sch_idx,Sch_n,B$5,Sch_bmax,"&gt;="&amp;($A23-0.000000001),Sch_P0,"&gt;="&amp;(B23+Beta_y*$A23-0.000000001)),"")</f>
        <v>0</v>
      </c>
      <c r="S23" s="15" t="n">
        <f aca="false">IF(K23=1,_xlfn.MINIFS(Sch_idx,Sch_n,C$5,Sch_bmax,"&gt;="&amp;($A23-0.000000001),Sch_P0,"&gt;="&amp;(C23+Beta_y*$A23-0.000000001)),"")</f>
        <v>32</v>
      </c>
      <c r="T23" s="15" t="n">
        <f aca="false">IF(L23=1,_xlfn.MINIFS(Sch_idx,Sch_n,D$5,Sch_bmax,"&gt;="&amp;($A23-0.000000001),Sch_P0,"&gt;="&amp;(D23+Beta_y*$A23-0.000000001)),"")</f>
        <v>48</v>
      </c>
      <c r="U23" s="15" t="n">
        <f aca="false">IF(M23=1,_xlfn.MINIFS(Sch_idx,Sch_n,E$5,Sch_bmax,"&gt;="&amp;($A23-0.000000001),Sch_P0,"&gt;="&amp;(E23+Beta_y*$A23-0.000000001)),"")</f>
        <v>56</v>
      </c>
      <c r="V23" s="15" t="n">
        <f aca="false">IF(N23=1,_xlfn.MINIFS(Sch_idx,Sch_n,F$5,Sch_bmax,"&gt;="&amp;($A23-0.000000001),Sch_P0,"&gt;="&amp;(F23+Beta_y*$A23-0.000000001)),"")</f>
        <v>57</v>
      </c>
      <c r="W23" s="15" t="n">
        <f aca="false">IF(O23=1,_xlfn.MINIFS(Sch_idx,Sch_n,G$5,Sch_bmax,"&gt;="&amp;($A23-0.000000001),Sch_P0,"&gt;="&amp;(G23+Beta_y*$A23-0.000000001)),"")</f>
        <v>59</v>
      </c>
      <c r="X23" s="15" t="n">
        <f aca="false">IF(P23=1,_xlfn.MINIFS(Sch_idx,Sch_n,H$5,Sch_bmax,"&gt;="&amp;($A23-0.000000001),Sch_P0,"&gt;="&amp;(H23+Beta_y*$A23-0.000000001)),"")</f>
        <v>63</v>
      </c>
      <c r="Z23" s="15" t="n">
        <f aca="false">IF(J23=1,IF(COUNTIFS(K23:$P23,1,C23:$H23,"&gt;="&amp;(B23-0.000000001))&gt;0,0,1),"")</f>
        <v>0</v>
      </c>
      <c r="AA23" s="15" t="n">
        <f aca="false">IF(K23=1,IF(COUNTIFS(L23:$P23,1,D23:$H23,"&gt;="&amp;(C23-0.000000001))&gt;0,0,1),"")</f>
        <v>0</v>
      </c>
      <c r="AB23" s="15" t="n">
        <f aca="false">IF(L23=1,IF(COUNTIFS(M23:$P23,1,E23:$H23,"&gt;="&amp;(D23-0.000000001))&gt;0,0,1),"")</f>
        <v>1</v>
      </c>
      <c r="AC23" s="15" t="n">
        <f aca="false">IF(M23=1,IF(COUNTIFS(N23:$P23,1,F23:$H23,"&gt;="&amp;(E23-0.000000001))&gt;0,0,1),"")</f>
        <v>1</v>
      </c>
      <c r="AD23" s="15" t="n">
        <f aca="false">IF(N23=1,IF(COUNTIFS(O23:$P23,1,G23:$H23,"&gt;="&amp;(F23-0.000000001))&gt;0,0,1),"")</f>
        <v>1</v>
      </c>
      <c r="AE23" s="15" t="n">
        <f aca="false">IF(O23=1,IF(COUNTIFS(P23:$P23,1,H23:$H23,"&gt;="&amp;(G23-0.000000001))&gt;0,0,1),"")</f>
        <v>1</v>
      </c>
      <c r="AF23" s="15" t="n">
        <f aca="false">IF(P23=1,1,"")</f>
        <v>1</v>
      </c>
    </row>
    <row r="24" customFormat="false" ht="15" hidden="false" customHeight="false" outlineLevel="0" collapsed="false">
      <c r="A24" s="2" t="n">
        <v>18</v>
      </c>
      <c r="B24" s="16" t="n">
        <f aca="false">IF(COUNTIFS(Sch_n,B$5,Sch_bmax,"&gt;="&amp;($A24-0.000000001))&gt;0,_xlfn.MAXIFS(Sch_P0,Sch_n,B$5,Sch_bmax,"&gt;="&amp;($A24-0.000000001))-Beta_y*$A24,"")</f>
        <v>120</v>
      </c>
      <c r="C24" s="16" t="n">
        <f aca="false">IF(COUNTIFS(Sch_n,C$5,Sch_bmax,"&gt;="&amp;($A24-0.000000001))&gt;0,_xlfn.MAXIFS(Sch_P0,Sch_n,C$5,Sch_bmax,"&gt;="&amp;($A24-0.000000001))-Beta_y*$A24,"")</f>
        <v>354.309007705634</v>
      </c>
      <c r="D24" s="16" t="n">
        <f aca="false">IF(COUNTIFS(Sch_n,D$5,Sch_bmax,"&gt;="&amp;($A24-0.000000001))&gt;0,_xlfn.MAXIFS(Sch_P0,Sch_n,D$5,Sch_bmax,"&gt;="&amp;($A24-0.000000001))-Beta_y*$A24,"")</f>
        <v>367.809700032909</v>
      </c>
      <c r="E24" s="16" t="n">
        <f aca="false">IF(COUNTIFS(Sch_n,E$5,Sch_bmax,"&gt;="&amp;($A24-0.000000001))&gt;0,_xlfn.MAXIFS(Sch_P0,Sch_n,E$5,Sch_bmax,"&gt;="&amp;($A24-0.000000001))-Beta_y*$A24,"")</f>
        <v>314.088349201636</v>
      </c>
      <c r="F24" s="16" t="n">
        <f aca="false">IF(COUNTIFS(Sch_n,F$5,Sch_bmax,"&gt;="&amp;($A24-0.000000001))&gt;0,_xlfn.MAXIFS(Sch_P0,Sch_n,F$5,Sch_bmax,"&gt;="&amp;($A24-0.000000001))-Beta_y*$A24,"")</f>
        <v>244.516937322508</v>
      </c>
      <c r="G24" s="16" t="n">
        <f aca="false">IF(COUNTIFS(Sch_n,G$5,Sch_bmax,"&gt;="&amp;($A24-0.000000001))&gt;0,_xlfn.MAXIFS(Sch_P0,Sch_n,G$5,Sch_bmax,"&gt;="&amp;($A24-0.000000001))-Beta_y*$A24,"")</f>
        <v>170.457957699453</v>
      </c>
      <c r="H24" s="16" t="n">
        <f aca="false">IF(COUNTIFS(Sch_n,H$5,Sch_bmax,"&gt;="&amp;($A24-0.000000001))&gt;0,_xlfn.MAXIFS(Sch_P0,Sch_n,H$5,Sch_bmax,"&gt;="&amp;($A24-0.000000001))-Beta_y*$A24,"")</f>
        <v>90.2278668360841</v>
      </c>
      <c r="J24" s="15" t="n">
        <f aca="false">IF(ISNUMBER(B24),1,0)</f>
        <v>1</v>
      </c>
      <c r="K24" s="15" t="n">
        <f aca="false">IF(ISNUMBER(C24),1,0)</f>
        <v>1</v>
      </c>
      <c r="L24" s="15" t="n">
        <f aca="false">IF(ISNUMBER(D24),1,0)</f>
        <v>1</v>
      </c>
      <c r="M24" s="15" t="n">
        <f aca="false">IF(ISNUMBER(E24),1,0)</f>
        <v>1</v>
      </c>
      <c r="N24" s="15" t="n">
        <f aca="false">IF(ISNUMBER(F24),1,0)</f>
        <v>1</v>
      </c>
      <c r="O24" s="15" t="n">
        <f aca="false">IF(ISNUMBER(G24),1,0)</f>
        <v>1</v>
      </c>
      <c r="P24" s="15" t="n">
        <f aca="false">IF(ISNUMBER(H24),1,0)</f>
        <v>1</v>
      </c>
      <c r="R24" s="15" t="n">
        <f aca="false">IF(J24=1,_xlfn.MINIFS(Sch_idx,Sch_n,B$5,Sch_bmax,"&gt;="&amp;($A24-0.000000001),Sch_P0,"&gt;="&amp;(B24+Beta_y*$A24-0.000000001)),"")</f>
        <v>0</v>
      </c>
      <c r="S24" s="15" t="n">
        <f aca="false">IF(K24=1,_xlfn.MINIFS(Sch_idx,Sch_n,C$5,Sch_bmax,"&gt;="&amp;($A24-0.000000001),Sch_P0,"&gt;="&amp;(C24+Beta_y*$A24-0.000000001)),"")</f>
        <v>32</v>
      </c>
      <c r="T24" s="15" t="n">
        <f aca="false">IF(L24=1,_xlfn.MINIFS(Sch_idx,Sch_n,D$5,Sch_bmax,"&gt;="&amp;($A24-0.000000001),Sch_P0,"&gt;="&amp;(D24+Beta_y*$A24-0.000000001)),"")</f>
        <v>48</v>
      </c>
      <c r="U24" s="15" t="n">
        <f aca="false">IF(M24=1,_xlfn.MINIFS(Sch_idx,Sch_n,E$5,Sch_bmax,"&gt;="&amp;($A24-0.000000001),Sch_P0,"&gt;="&amp;(E24+Beta_y*$A24-0.000000001)),"")</f>
        <v>56</v>
      </c>
      <c r="V24" s="15" t="n">
        <f aca="false">IF(N24=1,_xlfn.MINIFS(Sch_idx,Sch_n,F$5,Sch_bmax,"&gt;="&amp;($A24-0.000000001),Sch_P0,"&gt;="&amp;(F24+Beta_y*$A24-0.000000001)),"")</f>
        <v>57</v>
      </c>
      <c r="W24" s="15" t="n">
        <f aca="false">IF(O24=1,_xlfn.MINIFS(Sch_idx,Sch_n,G$5,Sch_bmax,"&gt;="&amp;($A24-0.000000001),Sch_P0,"&gt;="&amp;(G24+Beta_y*$A24-0.000000001)),"")</f>
        <v>59</v>
      </c>
      <c r="X24" s="15" t="n">
        <f aca="false">IF(P24=1,_xlfn.MINIFS(Sch_idx,Sch_n,H$5,Sch_bmax,"&gt;="&amp;($A24-0.000000001),Sch_P0,"&gt;="&amp;(H24+Beta_y*$A24-0.000000001)),"")</f>
        <v>63</v>
      </c>
      <c r="Z24" s="15" t="n">
        <f aca="false">IF(J24=1,IF(COUNTIFS(K24:$P24,1,C24:$H24,"&gt;="&amp;(B24-0.000000001))&gt;0,0,1),"")</f>
        <v>0</v>
      </c>
      <c r="AA24" s="15" t="n">
        <f aca="false">IF(K24=1,IF(COUNTIFS(L24:$P24,1,D24:$H24,"&gt;="&amp;(C24-0.000000001))&gt;0,0,1),"")</f>
        <v>0</v>
      </c>
      <c r="AB24" s="15" t="n">
        <f aca="false">IF(L24=1,IF(COUNTIFS(M24:$P24,1,E24:$H24,"&gt;="&amp;(D24-0.000000001))&gt;0,0,1),"")</f>
        <v>1</v>
      </c>
      <c r="AC24" s="15" t="n">
        <f aca="false">IF(M24=1,IF(COUNTIFS(N24:$P24,1,F24:$H24,"&gt;="&amp;(E24-0.000000001))&gt;0,0,1),"")</f>
        <v>1</v>
      </c>
      <c r="AD24" s="15" t="n">
        <f aca="false">IF(N24=1,IF(COUNTIFS(O24:$P24,1,G24:$H24,"&gt;="&amp;(F24-0.000000001))&gt;0,0,1),"")</f>
        <v>1</v>
      </c>
      <c r="AE24" s="15" t="n">
        <f aca="false">IF(O24=1,IF(COUNTIFS(P24:$P24,1,H24:$H24,"&gt;="&amp;(G24-0.000000001))&gt;0,0,1),"")</f>
        <v>1</v>
      </c>
      <c r="AF24" s="15" t="n">
        <f aca="false">IF(P24=1,1,"")</f>
        <v>1</v>
      </c>
    </row>
    <row r="25" customFormat="false" ht="15" hidden="false" customHeight="false" outlineLevel="0" collapsed="false">
      <c r="A25" s="2" t="n">
        <v>19</v>
      </c>
      <c r="B25" s="16" t="n">
        <f aca="false">IF(COUNTIFS(Sch_n,B$5,Sch_bmax,"&gt;="&amp;($A25-0.000000001))&gt;0,_xlfn.MAXIFS(Sch_P0,Sch_n,B$5,Sch_bmax,"&gt;="&amp;($A25-0.000000001))-Beta_y*$A25,"")</f>
        <v>119.090909090909</v>
      </c>
      <c r="C25" s="16" t="n">
        <f aca="false">IF(COUNTIFS(Sch_n,C$5,Sch_bmax,"&gt;="&amp;($A25-0.000000001))&gt;0,_xlfn.MAXIFS(Sch_P0,Sch_n,C$5,Sch_bmax,"&gt;="&amp;($A25-0.000000001))-Beta_y*$A25,"")</f>
        <v>353.399916796543</v>
      </c>
      <c r="D25" s="16" t="n">
        <f aca="false">IF(COUNTIFS(Sch_n,D$5,Sch_bmax,"&gt;="&amp;($A25-0.000000001))&gt;0,_xlfn.MAXIFS(Sch_P0,Sch_n,D$5,Sch_bmax,"&gt;="&amp;($A25-0.000000001))-Beta_y*$A25,"")</f>
        <v>366.900609123818</v>
      </c>
      <c r="E25" s="16" t="n">
        <f aca="false">IF(COUNTIFS(Sch_n,E$5,Sch_bmax,"&gt;="&amp;($A25-0.000000001))&gt;0,_xlfn.MAXIFS(Sch_P0,Sch_n,E$5,Sch_bmax,"&gt;="&amp;($A25-0.000000001))-Beta_y*$A25,"")</f>
        <v>313.179258292545</v>
      </c>
      <c r="F25" s="16" t="n">
        <f aca="false">IF(COUNTIFS(Sch_n,F$5,Sch_bmax,"&gt;="&amp;($A25-0.000000001))&gt;0,_xlfn.MAXIFS(Sch_P0,Sch_n,F$5,Sch_bmax,"&gt;="&amp;($A25-0.000000001))-Beta_y*$A25,"")</f>
        <v>243.607846413417</v>
      </c>
      <c r="G25" s="16" t="n">
        <f aca="false">IF(COUNTIFS(Sch_n,G$5,Sch_bmax,"&gt;="&amp;($A25-0.000000001))&gt;0,_xlfn.MAXIFS(Sch_P0,Sch_n,G$5,Sch_bmax,"&gt;="&amp;($A25-0.000000001))-Beta_y*$A25,"")</f>
        <v>169.548866790362</v>
      </c>
      <c r="H25" s="16" t="n">
        <f aca="false">IF(COUNTIFS(Sch_n,H$5,Sch_bmax,"&gt;="&amp;($A25-0.000000001))&gt;0,_xlfn.MAXIFS(Sch_P0,Sch_n,H$5,Sch_bmax,"&gt;="&amp;($A25-0.000000001))-Beta_y*$A25,"")</f>
        <v>89.3187759269932</v>
      </c>
      <c r="J25" s="15" t="n">
        <f aca="false">IF(ISNUMBER(B25),1,0)</f>
        <v>1</v>
      </c>
      <c r="K25" s="15" t="n">
        <f aca="false">IF(ISNUMBER(C25),1,0)</f>
        <v>1</v>
      </c>
      <c r="L25" s="15" t="n">
        <f aca="false">IF(ISNUMBER(D25),1,0)</f>
        <v>1</v>
      </c>
      <c r="M25" s="15" t="n">
        <f aca="false">IF(ISNUMBER(E25),1,0)</f>
        <v>1</v>
      </c>
      <c r="N25" s="15" t="n">
        <f aca="false">IF(ISNUMBER(F25),1,0)</f>
        <v>1</v>
      </c>
      <c r="O25" s="15" t="n">
        <f aca="false">IF(ISNUMBER(G25),1,0)</f>
        <v>1</v>
      </c>
      <c r="P25" s="15" t="n">
        <f aca="false">IF(ISNUMBER(H25),1,0)</f>
        <v>1</v>
      </c>
      <c r="R25" s="15" t="n">
        <f aca="false">IF(J25=1,_xlfn.MINIFS(Sch_idx,Sch_n,B$5,Sch_bmax,"&gt;="&amp;($A25-0.000000001),Sch_P0,"&gt;="&amp;(B25+Beta_y*$A25-0.000000001)),"")</f>
        <v>0</v>
      </c>
      <c r="S25" s="15" t="n">
        <f aca="false">IF(K25=1,_xlfn.MINIFS(Sch_idx,Sch_n,C$5,Sch_bmax,"&gt;="&amp;($A25-0.000000001),Sch_P0,"&gt;="&amp;(C25+Beta_y*$A25-0.000000001)),"")</f>
        <v>32</v>
      </c>
      <c r="T25" s="15" t="n">
        <f aca="false">IF(L25=1,_xlfn.MINIFS(Sch_idx,Sch_n,D$5,Sch_bmax,"&gt;="&amp;($A25-0.000000001),Sch_P0,"&gt;="&amp;(D25+Beta_y*$A25-0.000000001)),"")</f>
        <v>48</v>
      </c>
      <c r="U25" s="15" t="n">
        <f aca="false">IF(M25=1,_xlfn.MINIFS(Sch_idx,Sch_n,E$5,Sch_bmax,"&gt;="&amp;($A25-0.000000001),Sch_P0,"&gt;="&amp;(E25+Beta_y*$A25-0.000000001)),"")</f>
        <v>56</v>
      </c>
      <c r="V25" s="15" t="n">
        <f aca="false">IF(N25=1,_xlfn.MINIFS(Sch_idx,Sch_n,F$5,Sch_bmax,"&gt;="&amp;($A25-0.000000001),Sch_P0,"&gt;="&amp;(F25+Beta_y*$A25-0.000000001)),"")</f>
        <v>57</v>
      </c>
      <c r="W25" s="15" t="n">
        <f aca="false">IF(O25=1,_xlfn.MINIFS(Sch_idx,Sch_n,G$5,Sch_bmax,"&gt;="&amp;($A25-0.000000001),Sch_P0,"&gt;="&amp;(G25+Beta_y*$A25-0.000000001)),"")</f>
        <v>59</v>
      </c>
      <c r="X25" s="15" t="n">
        <f aca="false">IF(P25=1,_xlfn.MINIFS(Sch_idx,Sch_n,H$5,Sch_bmax,"&gt;="&amp;($A25-0.000000001),Sch_P0,"&gt;="&amp;(H25+Beta_y*$A25-0.000000001)),"")</f>
        <v>63</v>
      </c>
      <c r="Z25" s="15" t="n">
        <f aca="false">IF(J25=1,IF(COUNTIFS(K25:$P25,1,C25:$H25,"&gt;="&amp;(B25-0.000000001))&gt;0,0,1),"")</f>
        <v>0</v>
      </c>
      <c r="AA25" s="15" t="n">
        <f aca="false">IF(K25=1,IF(COUNTIFS(L25:$P25,1,D25:$H25,"&gt;="&amp;(C25-0.000000001))&gt;0,0,1),"")</f>
        <v>0</v>
      </c>
      <c r="AB25" s="15" t="n">
        <f aca="false">IF(L25=1,IF(COUNTIFS(M25:$P25,1,E25:$H25,"&gt;="&amp;(D25-0.000000001))&gt;0,0,1),"")</f>
        <v>1</v>
      </c>
      <c r="AC25" s="15" t="n">
        <f aca="false">IF(M25=1,IF(COUNTIFS(N25:$P25,1,F25:$H25,"&gt;="&amp;(E25-0.000000001))&gt;0,0,1),"")</f>
        <v>1</v>
      </c>
      <c r="AD25" s="15" t="n">
        <f aca="false">IF(N25=1,IF(COUNTIFS(O25:$P25,1,G25:$H25,"&gt;="&amp;(F25-0.000000001))&gt;0,0,1),"")</f>
        <v>1</v>
      </c>
      <c r="AE25" s="15" t="n">
        <f aca="false">IF(O25=1,IF(COUNTIFS(P25:$P25,1,H25:$H25,"&gt;="&amp;(G25-0.000000001))&gt;0,0,1),"")</f>
        <v>1</v>
      </c>
      <c r="AF25" s="15" t="n">
        <f aca="false">IF(P25=1,1,"")</f>
        <v>1</v>
      </c>
    </row>
    <row r="26" customFormat="false" ht="15" hidden="false" customHeight="false" outlineLevel="0" collapsed="false">
      <c r="A26" s="2" t="n">
        <v>20</v>
      </c>
      <c r="B26" s="16" t="n">
        <f aca="false">IF(COUNTIFS(Sch_n,B$5,Sch_bmax,"&gt;="&amp;($A26-0.000000001))&gt;0,_xlfn.MAXIFS(Sch_P0,Sch_n,B$5,Sch_bmax,"&gt;="&amp;($A26-0.000000001))-Beta_y*$A26,"")</f>
        <v>118.181818181818</v>
      </c>
      <c r="C26" s="16" t="n">
        <f aca="false">IF(COUNTIFS(Sch_n,C$5,Sch_bmax,"&gt;="&amp;($A26-0.000000001))&gt;0,_xlfn.MAXIFS(Sch_P0,Sch_n,C$5,Sch_bmax,"&gt;="&amp;($A26-0.000000001))-Beta_y*$A26,"")</f>
        <v>352.490825887452</v>
      </c>
      <c r="D26" s="16" t="n">
        <f aca="false">IF(COUNTIFS(Sch_n,D$5,Sch_bmax,"&gt;="&amp;($A26-0.000000001))&gt;0,_xlfn.MAXIFS(Sch_P0,Sch_n,D$5,Sch_bmax,"&gt;="&amp;($A26-0.000000001))-Beta_y*$A26,"")</f>
        <v>365.991518214727</v>
      </c>
      <c r="E26" s="16" t="n">
        <f aca="false">IF(COUNTIFS(Sch_n,E$5,Sch_bmax,"&gt;="&amp;($A26-0.000000001))&gt;0,_xlfn.MAXIFS(Sch_P0,Sch_n,E$5,Sch_bmax,"&gt;="&amp;($A26-0.000000001))-Beta_y*$A26,"")</f>
        <v>312.270167383454</v>
      </c>
      <c r="F26" s="16" t="n">
        <f aca="false">IF(COUNTIFS(Sch_n,F$5,Sch_bmax,"&gt;="&amp;($A26-0.000000001))&gt;0,_xlfn.MAXIFS(Sch_P0,Sch_n,F$5,Sch_bmax,"&gt;="&amp;($A26-0.000000001))-Beta_y*$A26,"")</f>
        <v>242.698755504326</v>
      </c>
      <c r="G26" s="16" t="n">
        <f aca="false">IF(COUNTIFS(Sch_n,G$5,Sch_bmax,"&gt;="&amp;($A26-0.000000001))&gt;0,_xlfn.MAXIFS(Sch_P0,Sch_n,G$5,Sch_bmax,"&gt;="&amp;($A26-0.000000001))-Beta_y*$A26,"")</f>
        <v>168.639775881271</v>
      </c>
      <c r="H26" s="16" t="n">
        <f aca="false">IF(COUNTIFS(Sch_n,H$5,Sch_bmax,"&gt;="&amp;($A26-0.000000001))&gt;0,_xlfn.MAXIFS(Sch_P0,Sch_n,H$5,Sch_bmax,"&gt;="&amp;($A26-0.000000001))-Beta_y*$A26,"")</f>
        <v>88.4096850179023</v>
      </c>
      <c r="J26" s="15" t="n">
        <f aca="false">IF(ISNUMBER(B26),1,0)</f>
        <v>1</v>
      </c>
      <c r="K26" s="15" t="n">
        <f aca="false">IF(ISNUMBER(C26),1,0)</f>
        <v>1</v>
      </c>
      <c r="L26" s="15" t="n">
        <f aca="false">IF(ISNUMBER(D26),1,0)</f>
        <v>1</v>
      </c>
      <c r="M26" s="15" t="n">
        <f aca="false">IF(ISNUMBER(E26),1,0)</f>
        <v>1</v>
      </c>
      <c r="N26" s="15" t="n">
        <f aca="false">IF(ISNUMBER(F26),1,0)</f>
        <v>1</v>
      </c>
      <c r="O26" s="15" t="n">
        <f aca="false">IF(ISNUMBER(G26),1,0)</f>
        <v>1</v>
      </c>
      <c r="P26" s="15" t="n">
        <f aca="false">IF(ISNUMBER(H26),1,0)</f>
        <v>1</v>
      </c>
      <c r="R26" s="15" t="n">
        <f aca="false">IF(J26=1,_xlfn.MINIFS(Sch_idx,Sch_n,B$5,Sch_bmax,"&gt;="&amp;($A26-0.000000001),Sch_P0,"&gt;="&amp;(B26+Beta_y*$A26-0.000000001)),"")</f>
        <v>0</v>
      </c>
      <c r="S26" s="15" t="n">
        <f aca="false">IF(K26=1,_xlfn.MINIFS(Sch_idx,Sch_n,C$5,Sch_bmax,"&gt;="&amp;($A26-0.000000001),Sch_P0,"&gt;="&amp;(C26+Beta_y*$A26-0.000000001)),"")</f>
        <v>32</v>
      </c>
      <c r="T26" s="15" t="n">
        <f aca="false">IF(L26=1,_xlfn.MINIFS(Sch_idx,Sch_n,D$5,Sch_bmax,"&gt;="&amp;($A26-0.000000001),Sch_P0,"&gt;="&amp;(D26+Beta_y*$A26-0.000000001)),"")</f>
        <v>48</v>
      </c>
      <c r="U26" s="15" t="n">
        <f aca="false">IF(M26=1,_xlfn.MINIFS(Sch_idx,Sch_n,E$5,Sch_bmax,"&gt;="&amp;($A26-0.000000001),Sch_P0,"&gt;="&amp;(E26+Beta_y*$A26-0.000000001)),"")</f>
        <v>56</v>
      </c>
      <c r="V26" s="15" t="n">
        <f aca="false">IF(N26=1,_xlfn.MINIFS(Sch_idx,Sch_n,F$5,Sch_bmax,"&gt;="&amp;($A26-0.000000001),Sch_P0,"&gt;="&amp;(F26+Beta_y*$A26-0.000000001)),"")</f>
        <v>57</v>
      </c>
      <c r="W26" s="15" t="n">
        <f aca="false">IF(O26=1,_xlfn.MINIFS(Sch_idx,Sch_n,G$5,Sch_bmax,"&gt;="&amp;($A26-0.000000001),Sch_P0,"&gt;="&amp;(G26+Beta_y*$A26-0.000000001)),"")</f>
        <v>59</v>
      </c>
      <c r="X26" s="15" t="n">
        <f aca="false">IF(P26=1,_xlfn.MINIFS(Sch_idx,Sch_n,H$5,Sch_bmax,"&gt;="&amp;($A26-0.000000001),Sch_P0,"&gt;="&amp;(H26+Beta_y*$A26-0.000000001)),"")</f>
        <v>63</v>
      </c>
      <c r="Z26" s="15" t="n">
        <f aca="false">IF(J26=1,IF(COUNTIFS(K26:$P26,1,C26:$H26,"&gt;="&amp;(B26-0.000000001))&gt;0,0,1),"")</f>
        <v>0</v>
      </c>
      <c r="AA26" s="15" t="n">
        <f aca="false">IF(K26=1,IF(COUNTIFS(L26:$P26,1,D26:$H26,"&gt;="&amp;(C26-0.000000001))&gt;0,0,1),"")</f>
        <v>0</v>
      </c>
      <c r="AB26" s="15" t="n">
        <f aca="false">IF(L26=1,IF(COUNTIFS(M26:$P26,1,E26:$H26,"&gt;="&amp;(D26-0.000000001))&gt;0,0,1),"")</f>
        <v>1</v>
      </c>
      <c r="AC26" s="15" t="n">
        <f aca="false">IF(M26=1,IF(COUNTIFS(N26:$P26,1,F26:$H26,"&gt;="&amp;(E26-0.000000001))&gt;0,0,1),"")</f>
        <v>1</v>
      </c>
      <c r="AD26" s="15" t="n">
        <f aca="false">IF(N26=1,IF(COUNTIFS(O26:$P26,1,G26:$H26,"&gt;="&amp;(F26-0.000000001))&gt;0,0,1),"")</f>
        <v>1</v>
      </c>
      <c r="AE26" s="15" t="n">
        <f aca="false">IF(O26=1,IF(COUNTIFS(P26:$P26,1,H26:$H26,"&gt;="&amp;(G26-0.000000001))&gt;0,0,1),"")</f>
        <v>1</v>
      </c>
      <c r="AF26" s="15" t="n">
        <f aca="false">IF(P26=1,1,"")</f>
        <v>1</v>
      </c>
    </row>
    <row r="27" customFormat="false" ht="15" hidden="false" customHeight="false" outlineLevel="0" collapsed="false">
      <c r="A27" s="2" t="n">
        <v>21</v>
      </c>
      <c r="B27" s="16" t="n">
        <f aca="false">IF(COUNTIFS(Sch_n,B$5,Sch_bmax,"&gt;="&amp;($A27-0.000000001))&gt;0,_xlfn.MAXIFS(Sch_P0,Sch_n,B$5,Sch_bmax,"&gt;="&amp;($A27-0.000000001))-Beta_y*$A27,"")</f>
        <v>117.272727272727</v>
      </c>
      <c r="C27" s="16" t="n">
        <f aca="false">IF(COUNTIFS(Sch_n,C$5,Sch_bmax,"&gt;="&amp;($A27-0.000000001))&gt;0,_xlfn.MAXIFS(Sch_P0,Sch_n,C$5,Sch_bmax,"&gt;="&amp;($A27-0.000000001))-Beta_y*$A27,"")</f>
        <v>351.581734978361</v>
      </c>
      <c r="D27" s="16" t="n">
        <f aca="false">IF(COUNTIFS(Sch_n,D$5,Sch_bmax,"&gt;="&amp;($A27-0.000000001))&gt;0,_xlfn.MAXIFS(Sch_P0,Sch_n,D$5,Sch_bmax,"&gt;="&amp;($A27-0.000000001))-Beta_y*$A27,"")</f>
        <v>365.082427305636</v>
      </c>
      <c r="E27" s="16" t="n">
        <f aca="false">IF(COUNTIFS(Sch_n,E$5,Sch_bmax,"&gt;="&amp;($A27-0.000000001))&gt;0,_xlfn.MAXIFS(Sch_P0,Sch_n,E$5,Sch_bmax,"&gt;="&amp;($A27-0.000000001))-Beta_y*$A27,"")</f>
        <v>311.361076474364</v>
      </c>
      <c r="F27" s="16" t="n">
        <f aca="false">IF(COUNTIFS(Sch_n,F$5,Sch_bmax,"&gt;="&amp;($A27-0.000000001))&gt;0,_xlfn.MAXIFS(Sch_P0,Sch_n,F$5,Sch_bmax,"&gt;="&amp;($A27-0.000000001))-Beta_y*$A27,"")</f>
        <v>241.789664595236</v>
      </c>
      <c r="G27" s="16" t="n">
        <f aca="false">IF(COUNTIFS(Sch_n,G$5,Sch_bmax,"&gt;="&amp;($A27-0.000000001))&gt;0,_xlfn.MAXIFS(Sch_P0,Sch_n,G$5,Sch_bmax,"&gt;="&amp;($A27-0.000000001))-Beta_y*$A27,"")</f>
        <v>167.73068497218</v>
      </c>
      <c r="H27" s="16" t="n">
        <f aca="false">IF(COUNTIFS(Sch_n,H$5,Sch_bmax,"&gt;="&amp;($A27-0.000000001))&gt;0,_xlfn.MAXIFS(Sch_P0,Sch_n,H$5,Sch_bmax,"&gt;="&amp;($A27-0.000000001))-Beta_y*$A27,"")</f>
        <v>87.5005941088114</v>
      </c>
      <c r="J27" s="15" t="n">
        <f aca="false">IF(ISNUMBER(B27),1,0)</f>
        <v>1</v>
      </c>
      <c r="K27" s="15" t="n">
        <f aca="false">IF(ISNUMBER(C27),1,0)</f>
        <v>1</v>
      </c>
      <c r="L27" s="15" t="n">
        <f aca="false">IF(ISNUMBER(D27),1,0)</f>
        <v>1</v>
      </c>
      <c r="M27" s="15" t="n">
        <f aca="false">IF(ISNUMBER(E27),1,0)</f>
        <v>1</v>
      </c>
      <c r="N27" s="15" t="n">
        <f aca="false">IF(ISNUMBER(F27),1,0)</f>
        <v>1</v>
      </c>
      <c r="O27" s="15" t="n">
        <f aca="false">IF(ISNUMBER(G27),1,0)</f>
        <v>1</v>
      </c>
      <c r="P27" s="15" t="n">
        <f aca="false">IF(ISNUMBER(H27),1,0)</f>
        <v>1</v>
      </c>
      <c r="R27" s="15" t="n">
        <f aca="false">IF(J27=1,_xlfn.MINIFS(Sch_idx,Sch_n,B$5,Sch_bmax,"&gt;="&amp;($A27-0.000000001),Sch_P0,"&gt;="&amp;(B27+Beta_y*$A27-0.000000001)),"")</f>
        <v>0</v>
      </c>
      <c r="S27" s="15" t="n">
        <f aca="false">IF(K27=1,_xlfn.MINIFS(Sch_idx,Sch_n,C$5,Sch_bmax,"&gt;="&amp;($A27-0.000000001),Sch_P0,"&gt;="&amp;(C27+Beta_y*$A27-0.000000001)),"")</f>
        <v>32</v>
      </c>
      <c r="T27" s="15" t="n">
        <f aca="false">IF(L27=1,_xlfn.MINIFS(Sch_idx,Sch_n,D$5,Sch_bmax,"&gt;="&amp;($A27-0.000000001),Sch_P0,"&gt;="&amp;(D27+Beta_y*$A27-0.000000001)),"")</f>
        <v>48</v>
      </c>
      <c r="U27" s="15" t="n">
        <f aca="false">IF(M27=1,_xlfn.MINIFS(Sch_idx,Sch_n,E$5,Sch_bmax,"&gt;="&amp;($A27-0.000000001),Sch_P0,"&gt;="&amp;(E27+Beta_y*$A27-0.000000001)),"")</f>
        <v>56</v>
      </c>
      <c r="V27" s="15" t="n">
        <f aca="false">IF(N27=1,_xlfn.MINIFS(Sch_idx,Sch_n,F$5,Sch_bmax,"&gt;="&amp;($A27-0.000000001),Sch_P0,"&gt;="&amp;(F27+Beta_y*$A27-0.000000001)),"")</f>
        <v>57</v>
      </c>
      <c r="W27" s="15" t="n">
        <f aca="false">IF(O27=1,_xlfn.MINIFS(Sch_idx,Sch_n,G$5,Sch_bmax,"&gt;="&amp;($A27-0.000000001),Sch_P0,"&gt;="&amp;(G27+Beta_y*$A27-0.000000001)),"")</f>
        <v>59</v>
      </c>
      <c r="X27" s="15" t="n">
        <f aca="false">IF(P27=1,_xlfn.MINIFS(Sch_idx,Sch_n,H$5,Sch_bmax,"&gt;="&amp;($A27-0.000000001),Sch_P0,"&gt;="&amp;(H27+Beta_y*$A27-0.000000001)),"")</f>
        <v>63</v>
      </c>
      <c r="Z27" s="15" t="n">
        <f aca="false">IF(J27=1,IF(COUNTIFS(K27:$P27,1,C27:$H27,"&gt;="&amp;(B27-0.000000001))&gt;0,0,1),"")</f>
        <v>0</v>
      </c>
      <c r="AA27" s="15" t="n">
        <f aca="false">IF(K27=1,IF(COUNTIFS(L27:$P27,1,D27:$H27,"&gt;="&amp;(C27-0.000000001))&gt;0,0,1),"")</f>
        <v>0</v>
      </c>
      <c r="AB27" s="15" t="n">
        <f aca="false">IF(L27=1,IF(COUNTIFS(M27:$P27,1,E27:$H27,"&gt;="&amp;(D27-0.000000001))&gt;0,0,1),"")</f>
        <v>1</v>
      </c>
      <c r="AC27" s="15" t="n">
        <f aca="false">IF(M27=1,IF(COUNTIFS(N27:$P27,1,F27:$H27,"&gt;="&amp;(E27-0.000000001))&gt;0,0,1),"")</f>
        <v>1</v>
      </c>
      <c r="AD27" s="15" t="n">
        <f aca="false">IF(N27=1,IF(COUNTIFS(O27:$P27,1,G27:$H27,"&gt;="&amp;(F27-0.000000001))&gt;0,0,1),"")</f>
        <v>1</v>
      </c>
      <c r="AE27" s="15" t="n">
        <f aca="false">IF(O27=1,IF(COUNTIFS(P27:$P27,1,H27:$H27,"&gt;="&amp;(G27-0.000000001))&gt;0,0,1),"")</f>
        <v>1</v>
      </c>
      <c r="AF27" s="15" t="n">
        <f aca="false">IF(P27=1,1,"")</f>
        <v>1</v>
      </c>
    </row>
    <row r="28" customFormat="false" ht="15" hidden="false" customHeight="false" outlineLevel="0" collapsed="false">
      <c r="A28" s="2" t="n">
        <v>22</v>
      </c>
      <c r="B28" s="16" t="n">
        <f aca="false">IF(COUNTIFS(Sch_n,B$5,Sch_bmax,"&gt;="&amp;($A28-0.000000001))&gt;0,_xlfn.MAXIFS(Sch_P0,Sch_n,B$5,Sch_bmax,"&gt;="&amp;($A28-0.000000001))-Beta_y*$A28,"")</f>
        <v>116.363636363636</v>
      </c>
      <c r="C28" s="16" t="n">
        <f aca="false">IF(COUNTIFS(Sch_n,C$5,Sch_bmax,"&gt;="&amp;($A28-0.000000001))&gt;0,_xlfn.MAXIFS(Sch_P0,Sch_n,C$5,Sch_bmax,"&gt;="&amp;($A28-0.000000001))-Beta_y*$A28,"")</f>
        <v>350.67264406927</v>
      </c>
      <c r="D28" s="16" t="n">
        <f aca="false">IF(COUNTIFS(Sch_n,D$5,Sch_bmax,"&gt;="&amp;($A28-0.000000001))&gt;0,_xlfn.MAXIFS(Sch_P0,Sch_n,D$5,Sch_bmax,"&gt;="&amp;($A28-0.000000001))-Beta_y*$A28,"")</f>
        <v>364.173336396545</v>
      </c>
      <c r="E28" s="16" t="n">
        <f aca="false">IF(COUNTIFS(Sch_n,E$5,Sch_bmax,"&gt;="&amp;($A28-0.000000001))&gt;0,_xlfn.MAXIFS(Sch_P0,Sch_n,E$5,Sch_bmax,"&gt;="&amp;($A28-0.000000001))-Beta_y*$A28,"")</f>
        <v>310.451985565273</v>
      </c>
      <c r="F28" s="16" t="n">
        <f aca="false">IF(COUNTIFS(Sch_n,F$5,Sch_bmax,"&gt;="&amp;($A28-0.000000001))&gt;0,_xlfn.MAXIFS(Sch_P0,Sch_n,F$5,Sch_bmax,"&gt;="&amp;($A28-0.000000001))-Beta_y*$A28,"")</f>
        <v>240.880573686145</v>
      </c>
      <c r="G28" s="16" t="n">
        <f aca="false">IF(COUNTIFS(Sch_n,G$5,Sch_bmax,"&gt;="&amp;($A28-0.000000001))&gt;0,_xlfn.MAXIFS(Sch_P0,Sch_n,G$5,Sch_bmax,"&gt;="&amp;($A28-0.000000001))-Beta_y*$A28,"")</f>
        <v>166.821594063089</v>
      </c>
      <c r="H28" s="16" t="n">
        <f aca="false">IF(COUNTIFS(Sch_n,H$5,Sch_bmax,"&gt;="&amp;($A28-0.000000001))&gt;0,_xlfn.MAXIFS(Sch_P0,Sch_n,H$5,Sch_bmax,"&gt;="&amp;($A28-0.000000001))-Beta_y*$A28,"")</f>
        <v>86.5915031997205</v>
      </c>
      <c r="J28" s="15" t="n">
        <f aca="false">IF(ISNUMBER(B28),1,0)</f>
        <v>1</v>
      </c>
      <c r="K28" s="15" t="n">
        <f aca="false">IF(ISNUMBER(C28),1,0)</f>
        <v>1</v>
      </c>
      <c r="L28" s="15" t="n">
        <f aca="false">IF(ISNUMBER(D28),1,0)</f>
        <v>1</v>
      </c>
      <c r="M28" s="15" t="n">
        <f aca="false">IF(ISNUMBER(E28),1,0)</f>
        <v>1</v>
      </c>
      <c r="N28" s="15" t="n">
        <f aca="false">IF(ISNUMBER(F28),1,0)</f>
        <v>1</v>
      </c>
      <c r="O28" s="15" t="n">
        <f aca="false">IF(ISNUMBER(G28),1,0)</f>
        <v>1</v>
      </c>
      <c r="P28" s="15" t="n">
        <f aca="false">IF(ISNUMBER(H28),1,0)</f>
        <v>1</v>
      </c>
      <c r="R28" s="15" t="n">
        <f aca="false">IF(J28=1,_xlfn.MINIFS(Sch_idx,Sch_n,B$5,Sch_bmax,"&gt;="&amp;($A28-0.000000001),Sch_P0,"&gt;="&amp;(B28+Beta_y*$A28-0.000000001)),"")</f>
        <v>0</v>
      </c>
      <c r="S28" s="15" t="n">
        <f aca="false">IF(K28=1,_xlfn.MINIFS(Sch_idx,Sch_n,C$5,Sch_bmax,"&gt;="&amp;($A28-0.000000001),Sch_P0,"&gt;="&amp;(C28+Beta_y*$A28-0.000000001)),"")</f>
        <v>32</v>
      </c>
      <c r="T28" s="15" t="n">
        <f aca="false">IF(L28=1,_xlfn.MINIFS(Sch_idx,Sch_n,D$5,Sch_bmax,"&gt;="&amp;($A28-0.000000001),Sch_P0,"&gt;="&amp;(D28+Beta_y*$A28-0.000000001)),"")</f>
        <v>48</v>
      </c>
      <c r="U28" s="15" t="n">
        <f aca="false">IF(M28=1,_xlfn.MINIFS(Sch_idx,Sch_n,E$5,Sch_bmax,"&gt;="&amp;($A28-0.000000001),Sch_P0,"&gt;="&amp;(E28+Beta_y*$A28-0.000000001)),"")</f>
        <v>56</v>
      </c>
      <c r="V28" s="15" t="n">
        <f aca="false">IF(N28=1,_xlfn.MINIFS(Sch_idx,Sch_n,F$5,Sch_bmax,"&gt;="&amp;($A28-0.000000001),Sch_P0,"&gt;="&amp;(F28+Beta_y*$A28-0.000000001)),"")</f>
        <v>57</v>
      </c>
      <c r="W28" s="15" t="n">
        <f aca="false">IF(O28=1,_xlfn.MINIFS(Sch_idx,Sch_n,G$5,Sch_bmax,"&gt;="&amp;($A28-0.000000001),Sch_P0,"&gt;="&amp;(G28+Beta_y*$A28-0.000000001)),"")</f>
        <v>59</v>
      </c>
      <c r="X28" s="15" t="n">
        <f aca="false">IF(P28=1,_xlfn.MINIFS(Sch_idx,Sch_n,H$5,Sch_bmax,"&gt;="&amp;($A28-0.000000001),Sch_P0,"&gt;="&amp;(H28+Beta_y*$A28-0.000000001)),"")</f>
        <v>63</v>
      </c>
      <c r="Z28" s="15" t="n">
        <f aca="false">IF(J28=1,IF(COUNTIFS(K28:$P28,1,C28:$H28,"&gt;="&amp;(B28-0.000000001))&gt;0,0,1),"")</f>
        <v>0</v>
      </c>
      <c r="AA28" s="15" t="n">
        <f aca="false">IF(K28=1,IF(COUNTIFS(L28:$P28,1,D28:$H28,"&gt;="&amp;(C28-0.000000001))&gt;0,0,1),"")</f>
        <v>0</v>
      </c>
      <c r="AB28" s="15" t="n">
        <f aca="false">IF(L28=1,IF(COUNTIFS(M28:$P28,1,E28:$H28,"&gt;="&amp;(D28-0.000000001))&gt;0,0,1),"")</f>
        <v>1</v>
      </c>
      <c r="AC28" s="15" t="n">
        <f aca="false">IF(M28=1,IF(COUNTIFS(N28:$P28,1,F28:$H28,"&gt;="&amp;(E28-0.000000001))&gt;0,0,1),"")</f>
        <v>1</v>
      </c>
      <c r="AD28" s="15" t="n">
        <f aca="false">IF(N28=1,IF(COUNTIFS(O28:$P28,1,G28:$H28,"&gt;="&amp;(F28-0.000000001))&gt;0,0,1),"")</f>
        <v>1</v>
      </c>
      <c r="AE28" s="15" t="n">
        <f aca="false">IF(O28=1,IF(COUNTIFS(P28:$P28,1,H28:$H28,"&gt;="&amp;(G28-0.000000001))&gt;0,0,1),"")</f>
        <v>1</v>
      </c>
      <c r="AF28" s="15" t="n">
        <f aca="false">IF(P28=1,1,"")</f>
        <v>1</v>
      </c>
    </row>
    <row r="29" customFormat="false" ht="15" hidden="false" customHeight="false" outlineLevel="0" collapsed="false">
      <c r="A29" s="2" t="n">
        <v>23</v>
      </c>
      <c r="B29" s="16" t="n">
        <f aca="false">IF(COUNTIFS(Sch_n,B$5,Sch_bmax,"&gt;="&amp;($A29-0.000000001))&gt;0,_xlfn.MAXIFS(Sch_P0,Sch_n,B$5,Sch_bmax,"&gt;="&amp;($A29-0.000000001))-Beta_y*$A29,"")</f>
        <v>115.454545454545</v>
      </c>
      <c r="C29" s="16" t="n">
        <f aca="false">IF(COUNTIFS(Sch_n,C$5,Sch_bmax,"&gt;="&amp;($A29-0.000000001))&gt;0,_xlfn.MAXIFS(Sch_P0,Sch_n,C$5,Sch_bmax,"&gt;="&amp;($A29-0.000000001))-Beta_y*$A29,"")</f>
        <v>349.763553160179</v>
      </c>
      <c r="D29" s="16" t="n">
        <f aca="false">IF(COUNTIFS(Sch_n,D$5,Sch_bmax,"&gt;="&amp;($A29-0.000000001))&gt;0,_xlfn.MAXIFS(Sch_P0,Sch_n,D$5,Sch_bmax,"&gt;="&amp;($A29-0.000000001))-Beta_y*$A29,"")</f>
        <v>363.264245487454</v>
      </c>
      <c r="E29" s="16" t="n">
        <f aca="false">IF(COUNTIFS(Sch_n,E$5,Sch_bmax,"&gt;="&amp;($A29-0.000000001))&gt;0,_xlfn.MAXIFS(Sch_P0,Sch_n,E$5,Sch_bmax,"&gt;="&amp;($A29-0.000000001))-Beta_y*$A29,"")</f>
        <v>309.542894656182</v>
      </c>
      <c r="F29" s="16" t="n">
        <f aca="false">IF(COUNTIFS(Sch_n,F$5,Sch_bmax,"&gt;="&amp;($A29-0.000000001))&gt;0,_xlfn.MAXIFS(Sch_P0,Sch_n,F$5,Sch_bmax,"&gt;="&amp;($A29-0.000000001))-Beta_y*$A29,"")</f>
        <v>239.971482777054</v>
      </c>
      <c r="G29" s="16" t="n">
        <f aca="false">IF(COUNTIFS(Sch_n,G$5,Sch_bmax,"&gt;="&amp;($A29-0.000000001))&gt;0,_xlfn.MAXIFS(Sch_P0,Sch_n,G$5,Sch_bmax,"&gt;="&amp;($A29-0.000000001))-Beta_y*$A29,"")</f>
        <v>165.912503153998</v>
      </c>
      <c r="H29" s="16" t="n">
        <f aca="false">IF(COUNTIFS(Sch_n,H$5,Sch_bmax,"&gt;="&amp;($A29-0.000000001))&gt;0,_xlfn.MAXIFS(Sch_P0,Sch_n,H$5,Sch_bmax,"&gt;="&amp;($A29-0.000000001))-Beta_y*$A29,"")</f>
        <v>85.6824122906296</v>
      </c>
      <c r="J29" s="15" t="n">
        <f aca="false">IF(ISNUMBER(B29),1,0)</f>
        <v>1</v>
      </c>
      <c r="K29" s="15" t="n">
        <f aca="false">IF(ISNUMBER(C29),1,0)</f>
        <v>1</v>
      </c>
      <c r="L29" s="15" t="n">
        <f aca="false">IF(ISNUMBER(D29),1,0)</f>
        <v>1</v>
      </c>
      <c r="M29" s="15" t="n">
        <f aca="false">IF(ISNUMBER(E29),1,0)</f>
        <v>1</v>
      </c>
      <c r="N29" s="15" t="n">
        <f aca="false">IF(ISNUMBER(F29),1,0)</f>
        <v>1</v>
      </c>
      <c r="O29" s="15" t="n">
        <f aca="false">IF(ISNUMBER(G29),1,0)</f>
        <v>1</v>
      </c>
      <c r="P29" s="15" t="n">
        <f aca="false">IF(ISNUMBER(H29),1,0)</f>
        <v>1</v>
      </c>
      <c r="R29" s="15" t="n">
        <f aca="false">IF(J29=1,_xlfn.MINIFS(Sch_idx,Sch_n,B$5,Sch_bmax,"&gt;="&amp;($A29-0.000000001),Sch_P0,"&gt;="&amp;(B29+Beta_y*$A29-0.000000001)),"")</f>
        <v>0</v>
      </c>
      <c r="S29" s="15" t="n">
        <f aca="false">IF(K29=1,_xlfn.MINIFS(Sch_idx,Sch_n,C$5,Sch_bmax,"&gt;="&amp;($A29-0.000000001),Sch_P0,"&gt;="&amp;(C29+Beta_y*$A29-0.000000001)),"")</f>
        <v>32</v>
      </c>
      <c r="T29" s="15" t="n">
        <f aca="false">IF(L29=1,_xlfn.MINIFS(Sch_idx,Sch_n,D$5,Sch_bmax,"&gt;="&amp;($A29-0.000000001),Sch_P0,"&gt;="&amp;(D29+Beta_y*$A29-0.000000001)),"")</f>
        <v>48</v>
      </c>
      <c r="U29" s="15" t="n">
        <f aca="false">IF(M29=1,_xlfn.MINIFS(Sch_idx,Sch_n,E$5,Sch_bmax,"&gt;="&amp;($A29-0.000000001),Sch_P0,"&gt;="&amp;(E29+Beta_y*$A29-0.000000001)),"")</f>
        <v>56</v>
      </c>
      <c r="V29" s="15" t="n">
        <f aca="false">IF(N29=1,_xlfn.MINIFS(Sch_idx,Sch_n,F$5,Sch_bmax,"&gt;="&amp;($A29-0.000000001),Sch_P0,"&gt;="&amp;(F29+Beta_y*$A29-0.000000001)),"")</f>
        <v>57</v>
      </c>
      <c r="W29" s="15" t="n">
        <f aca="false">IF(O29=1,_xlfn.MINIFS(Sch_idx,Sch_n,G$5,Sch_bmax,"&gt;="&amp;($A29-0.000000001),Sch_P0,"&gt;="&amp;(G29+Beta_y*$A29-0.000000001)),"")</f>
        <v>59</v>
      </c>
      <c r="X29" s="15" t="n">
        <f aca="false">IF(P29=1,_xlfn.MINIFS(Sch_idx,Sch_n,H$5,Sch_bmax,"&gt;="&amp;($A29-0.000000001),Sch_P0,"&gt;="&amp;(H29+Beta_y*$A29-0.000000001)),"")</f>
        <v>63</v>
      </c>
      <c r="Z29" s="15" t="n">
        <f aca="false">IF(J29=1,IF(COUNTIFS(K29:$P29,1,C29:$H29,"&gt;="&amp;(B29-0.000000001))&gt;0,0,1),"")</f>
        <v>0</v>
      </c>
      <c r="AA29" s="15" t="n">
        <f aca="false">IF(K29=1,IF(COUNTIFS(L29:$P29,1,D29:$H29,"&gt;="&amp;(C29-0.000000001))&gt;0,0,1),"")</f>
        <v>0</v>
      </c>
      <c r="AB29" s="15" t="n">
        <f aca="false">IF(L29=1,IF(COUNTIFS(M29:$P29,1,E29:$H29,"&gt;="&amp;(D29-0.000000001))&gt;0,0,1),"")</f>
        <v>1</v>
      </c>
      <c r="AC29" s="15" t="n">
        <f aca="false">IF(M29=1,IF(COUNTIFS(N29:$P29,1,F29:$H29,"&gt;="&amp;(E29-0.000000001))&gt;0,0,1),"")</f>
        <v>1</v>
      </c>
      <c r="AD29" s="15" t="n">
        <f aca="false">IF(N29=1,IF(COUNTIFS(O29:$P29,1,G29:$H29,"&gt;="&amp;(F29-0.000000001))&gt;0,0,1),"")</f>
        <v>1</v>
      </c>
      <c r="AE29" s="15" t="n">
        <f aca="false">IF(O29=1,IF(COUNTIFS(P29:$P29,1,H29:$H29,"&gt;="&amp;(G29-0.000000001))&gt;0,0,1),"")</f>
        <v>1</v>
      </c>
      <c r="AF29" s="15" t="n">
        <f aca="false">IF(P29=1,1,"")</f>
        <v>1</v>
      </c>
    </row>
    <row r="30" customFormat="false" ht="15" hidden="false" customHeight="false" outlineLevel="0" collapsed="false">
      <c r="A30" s="2" t="n">
        <v>24</v>
      </c>
      <c r="B30" s="16" t="n">
        <f aca="false">IF(COUNTIFS(Sch_n,B$5,Sch_bmax,"&gt;="&amp;($A30-0.000000001))&gt;0,_xlfn.MAXIFS(Sch_P0,Sch_n,B$5,Sch_bmax,"&gt;="&amp;($A30-0.000000001))-Beta_y*$A30,"")</f>
        <v>114.545454545455</v>
      </c>
      <c r="C30" s="16" t="n">
        <f aca="false">IF(COUNTIFS(Sch_n,C$5,Sch_bmax,"&gt;="&amp;($A30-0.000000001))&gt;0,_xlfn.MAXIFS(Sch_P0,Sch_n,C$5,Sch_bmax,"&gt;="&amp;($A30-0.000000001))-Beta_y*$A30,"")</f>
        <v>348.854462251088</v>
      </c>
      <c r="D30" s="16" t="n">
        <f aca="false">IF(COUNTIFS(Sch_n,D$5,Sch_bmax,"&gt;="&amp;($A30-0.000000001))&gt;0,_xlfn.MAXIFS(Sch_P0,Sch_n,D$5,Sch_bmax,"&gt;="&amp;($A30-0.000000001))-Beta_y*$A30,"")</f>
        <v>362.355154578363</v>
      </c>
      <c r="E30" s="16" t="n">
        <f aca="false">IF(COUNTIFS(Sch_n,E$5,Sch_bmax,"&gt;="&amp;($A30-0.000000001))&gt;0,_xlfn.MAXIFS(Sch_P0,Sch_n,E$5,Sch_bmax,"&gt;="&amp;($A30-0.000000001))-Beta_y*$A30,"")</f>
        <v>308.633803747091</v>
      </c>
      <c r="F30" s="16" t="n">
        <f aca="false">IF(COUNTIFS(Sch_n,F$5,Sch_bmax,"&gt;="&amp;($A30-0.000000001))&gt;0,_xlfn.MAXIFS(Sch_P0,Sch_n,F$5,Sch_bmax,"&gt;="&amp;($A30-0.000000001))-Beta_y*$A30,"")</f>
        <v>239.062391867963</v>
      </c>
      <c r="G30" s="16" t="n">
        <f aca="false">IF(COUNTIFS(Sch_n,G$5,Sch_bmax,"&gt;="&amp;($A30-0.000000001))&gt;0,_xlfn.MAXIFS(Sch_P0,Sch_n,G$5,Sch_bmax,"&gt;="&amp;($A30-0.000000001))-Beta_y*$A30,"")</f>
        <v>165.003412244907</v>
      </c>
      <c r="H30" s="16" t="n">
        <f aca="false">IF(COUNTIFS(Sch_n,H$5,Sch_bmax,"&gt;="&amp;($A30-0.000000001))&gt;0,_xlfn.MAXIFS(Sch_P0,Sch_n,H$5,Sch_bmax,"&gt;="&amp;($A30-0.000000001))-Beta_y*$A30,"")</f>
        <v>84.7733213815387</v>
      </c>
      <c r="J30" s="15" t="n">
        <f aca="false">IF(ISNUMBER(B30),1,0)</f>
        <v>1</v>
      </c>
      <c r="K30" s="15" t="n">
        <f aca="false">IF(ISNUMBER(C30),1,0)</f>
        <v>1</v>
      </c>
      <c r="L30" s="15" t="n">
        <f aca="false">IF(ISNUMBER(D30),1,0)</f>
        <v>1</v>
      </c>
      <c r="M30" s="15" t="n">
        <f aca="false">IF(ISNUMBER(E30),1,0)</f>
        <v>1</v>
      </c>
      <c r="N30" s="15" t="n">
        <f aca="false">IF(ISNUMBER(F30),1,0)</f>
        <v>1</v>
      </c>
      <c r="O30" s="15" t="n">
        <f aca="false">IF(ISNUMBER(G30),1,0)</f>
        <v>1</v>
      </c>
      <c r="P30" s="15" t="n">
        <f aca="false">IF(ISNUMBER(H30),1,0)</f>
        <v>1</v>
      </c>
      <c r="R30" s="15" t="n">
        <f aca="false">IF(J30=1,_xlfn.MINIFS(Sch_idx,Sch_n,B$5,Sch_bmax,"&gt;="&amp;($A30-0.000000001),Sch_P0,"&gt;="&amp;(B30+Beta_y*$A30-0.000000001)),"")</f>
        <v>0</v>
      </c>
      <c r="S30" s="15" t="n">
        <f aca="false">IF(K30=1,_xlfn.MINIFS(Sch_idx,Sch_n,C$5,Sch_bmax,"&gt;="&amp;($A30-0.000000001),Sch_P0,"&gt;="&amp;(C30+Beta_y*$A30-0.000000001)),"")</f>
        <v>32</v>
      </c>
      <c r="T30" s="15" t="n">
        <f aca="false">IF(L30=1,_xlfn.MINIFS(Sch_idx,Sch_n,D$5,Sch_bmax,"&gt;="&amp;($A30-0.000000001),Sch_P0,"&gt;="&amp;(D30+Beta_y*$A30-0.000000001)),"")</f>
        <v>48</v>
      </c>
      <c r="U30" s="15" t="n">
        <f aca="false">IF(M30=1,_xlfn.MINIFS(Sch_idx,Sch_n,E$5,Sch_bmax,"&gt;="&amp;($A30-0.000000001),Sch_P0,"&gt;="&amp;(E30+Beta_y*$A30-0.000000001)),"")</f>
        <v>56</v>
      </c>
      <c r="V30" s="15" t="n">
        <f aca="false">IF(N30=1,_xlfn.MINIFS(Sch_idx,Sch_n,F$5,Sch_bmax,"&gt;="&amp;($A30-0.000000001),Sch_P0,"&gt;="&amp;(F30+Beta_y*$A30-0.000000001)),"")</f>
        <v>57</v>
      </c>
      <c r="W30" s="15" t="n">
        <f aca="false">IF(O30=1,_xlfn.MINIFS(Sch_idx,Sch_n,G$5,Sch_bmax,"&gt;="&amp;($A30-0.000000001),Sch_P0,"&gt;="&amp;(G30+Beta_y*$A30-0.000000001)),"")</f>
        <v>59</v>
      </c>
      <c r="X30" s="15" t="n">
        <f aca="false">IF(P30=1,_xlfn.MINIFS(Sch_idx,Sch_n,H$5,Sch_bmax,"&gt;="&amp;($A30-0.000000001),Sch_P0,"&gt;="&amp;(H30+Beta_y*$A30-0.000000001)),"")</f>
        <v>63</v>
      </c>
      <c r="Z30" s="15" t="n">
        <f aca="false">IF(J30=1,IF(COUNTIFS(K30:$P30,1,C30:$H30,"&gt;="&amp;(B30-0.000000001))&gt;0,0,1),"")</f>
        <v>0</v>
      </c>
      <c r="AA30" s="15" t="n">
        <f aca="false">IF(K30=1,IF(COUNTIFS(L30:$P30,1,D30:$H30,"&gt;="&amp;(C30-0.000000001))&gt;0,0,1),"")</f>
        <v>0</v>
      </c>
      <c r="AB30" s="15" t="n">
        <f aca="false">IF(L30=1,IF(COUNTIFS(M30:$P30,1,E30:$H30,"&gt;="&amp;(D30-0.000000001))&gt;0,0,1),"")</f>
        <v>1</v>
      </c>
      <c r="AC30" s="15" t="n">
        <f aca="false">IF(M30=1,IF(COUNTIFS(N30:$P30,1,F30:$H30,"&gt;="&amp;(E30-0.000000001))&gt;0,0,1),"")</f>
        <v>1</v>
      </c>
      <c r="AD30" s="15" t="n">
        <f aca="false">IF(N30=1,IF(COUNTIFS(O30:$P30,1,G30:$H30,"&gt;="&amp;(F30-0.000000001))&gt;0,0,1),"")</f>
        <v>1</v>
      </c>
      <c r="AE30" s="15" t="n">
        <f aca="false">IF(O30=1,IF(COUNTIFS(P30:$P30,1,H30:$H30,"&gt;="&amp;(G30-0.000000001))&gt;0,0,1),"")</f>
        <v>1</v>
      </c>
      <c r="AF30" s="15" t="n">
        <f aca="false">IF(P30=1,1,"")</f>
        <v>1</v>
      </c>
    </row>
    <row r="31" customFormat="false" ht="15" hidden="false" customHeight="false" outlineLevel="0" collapsed="false">
      <c r="A31" s="2" t="n">
        <v>25</v>
      </c>
      <c r="B31" s="16" t="n">
        <f aca="false">IF(COUNTIFS(Sch_n,B$5,Sch_bmax,"&gt;="&amp;($A31-0.000000001))&gt;0,_xlfn.MAXIFS(Sch_P0,Sch_n,B$5,Sch_bmax,"&gt;="&amp;($A31-0.000000001))-Beta_y*$A31,"")</f>
        <v>113.636363636364</v>
      </c>
      <c r="C31" s="16" t="n">
        <f aca="false">IF(COUNTIFS(Sch_n,C$5,Sch_bmax,"&gt;="&amp;($A31-0.000000001))&gt;0,_xlfn.MAXIFS(Sch_P0,Sch_n,C$5,Sch_bmax,"&gt;="&amp;($A31-0.000000001))-Beta_y*$A31,"")</f>
        <v>347.945371341997</v>
      </c>
      <c r="D31" s="16" t="n">
        <f aca="false">IF(COUNTIFS(Sch_n,D$5,Sch_bmax,"&gt;="&amp;($A31-0.000000001))&gt;0,_xlfn.MAXIFS(Sch_P0,Sch_n,D$5,Sch_bmax,"&gt;="&amp;($A31-0.000000001))-Beta_y*$A31,"")</f>
        <v>361.446063669272</v>
      </c>
      <c r="E31" s="16" t="n">
        <f aca="false">IF(COUNTIFS(Sch_n,E$5,Sch_bmax,"&gt;="&amp;($A31-0.000000001))&gt;0,_xlfn.MAXIFS(Sch_P0,Sch_n,E$5,Sch_bmax,"&gt;="&amp;($A31-0.000000001))-Beta_y*$A31,"")</f>
        <v>307.724712838</v>
      </c>
      <c r="F31" s="16" t="n">
        <f aca="false">IF(COUNTIFS(Sch_n,F$5,Sch_bmax,"&gt;="&amp;($A31-0.000000001))&gt;0,_xlfn.MAXIFS(Sch_P0,Sch_n,F$5,Sch_bmax,"&gt;="&amp;($A31-0.000000001))-Beta_y*$A31,"")</f>
        <v>238.153300958872</v>
      </c>
      <c r="G31" s="16" t="n">
        <f aca="false">IF(COUNTIFS(Sch_n,G$5,Sch_bmax,"&gt;="&amp;($A31-0.000000001))&gt;0,_xlfn.MAXIFS(Sch_P0,Sch_n,G$5,Sch_bmax,"&gt;="&amp;($A31-0.000000001))-Beta_y*$A31,"")</f>
        <v>164.094321335816</v>
      </c>
      <c r="H31" s="16" t="n">
        <f aca="false">IF(COUNTIFS(Sch_n,H$5,Sch_bmax,"&gt;="&amp;($A31-0.000000001))&gt;0,_xlfn.MAXIFS(Sch_P0,Sch_n,H$5,Sch_bmax,"&gt;="&amp;($A31-0.000000001))-Beta_y*$A31,"")</f>
        <v>83.8642304724477</v>
      </c>
      <c r="J31" s="15" t="n">
        <f aca="false">IF(ISNUMBER(B31),1,0)</f>
        <v>1</v>
      </c>
      <c r="K31" s="15" t="n">
        <f aca="false">IF(ISNUMBER(C31),1,0)</f>
        <v>1</v>
      </c>
      <c r="L31" s="15" t="n">
        <f aca="false">IF(ISNUMBER(D31),1,0)</f>
        <v>1</v>
      </c>
      <c r="M31" s="15" t="n">
        <f aca="false">IF(ISNUMBER(E31),1,0)</f>
        <v>1</v>
      </c>
      <c r="N31" s="15" t="n">
        <f aca="false">IF(ISNUMBER(F31),1,0)</f>
        <v>1</v>
      </c>
      <c r="O31" s="15" t="n">
        <f aca="false">IF(ISNUMBER(G31),1,0)</f>
        <v>1</v>
      </c>
      <c r="P31" s="15" t="n">
        <f aca="false">IF(ISNUMBER(H31),1,0)</f>
        <v>1</v>
      </c>
      <c r="R31" s="15" t="n">
        <f aca="false">IF(J31=1,_xlfn.MINIFS(Sch_idx,Sch_n,B$5,Sch_bmax,"&gt;="&amp;($A31-0.000000001),Sch_P0,"&gt;="&amp;(B31+Beta_y*$A31-0.000000001)),"")</f>
        <v>0</v>
      </c>
      <c r="S31" s="15" t="n">
        <f aca="false">IF(K31=1,_xlfn.MINIFS(Sch_idx,Sch_n,C$5,Sch_bmax,"&gt;="&amp;($A31-0.000000001),Sch_P0,"&gt;="&amp;(C31+Beta_y*$A31-0.000000001)),"")</f>
        <v>32</v>
      </c>
      <c r="T31" s="15" t="n">
        <f aca="false">IF(L31=1,_xlfn.MINIFS(Sch_idx,Sch_n,D$5,Sch_bmax,"&gt;="&amp;($A31-0.000000001),Sch_P0,"&gt;="&amp;(D31+Beta_y*$A31-0.000000001)),"")</f>
        <v>48</v>
      </c>
      <c r="U31" s="15" t="n">
        <f aca="false">IF(M31=1,_xlfn.MINIFS(Sch_idx,Sch_n,E$5,Sch_bmax,"&gt;="&amp;($A31-0.000000001),Sch_P0,"&gt;="&amp;(E31+Beta_y*$A31-0.000000001)),"")</f>
        <v>56</v>
      </c>
      <c r="V31" s="15" t="n">
        <f aca="false">IF(N31=1,_xlfn.MINIFS(Sch_idx,Sch_n,F$5,Sch_bmax,"&gt;="&amp;($A31-0.000000001),Sch_P0,"&gt;="&amp;(F31+Beta_y*$A31-0.000000001)),"")</f>
        <v>57</v>
      </c>
      <c r="W31" s="15" t="n">
        <f aca="false">IF(O31=1,_xlfn.MINIFS(Sch_idx,Sch_n,G$5,Sch_bmax,"&gt;="&amp;($A31-0.000000001),Sch_P0,"&gt;="&amp;(G31+Beta_y*$A31-0.000000001)),"")</f>
        <v>59</v>
      </c>
      <c r="X31" s="15" t="n">
        <f aca="false">IF(P31=1,_xlfn.MINIFS(Sch_idx,Sch_n,H$5,Sch_bmax,"&gt;="&amp;($A31-0.000000001),Sch_P0,"&gt;="&amp;(H31+Beta_y*$A31-0.000000001)),"")</f>
        <v>63</v>
      </c>
      <c r="Z31" s="15" t="n">
        <f aca="false">IF(J31=1,IF(COUNTIFS(K31:$P31,1,C31:$H31,"&gt;="&amp;(B31-0.000000001))&gt;0,0,1),"")</f>
        <v>0</v>
      </c>
      <c r="AA31" s="15" t="n">
        <f aca="false">IF(K31=1,IF(COUNTIFS(L31:$P31,1,D31:$H31,"&gt;="&amp;(C31-0.000000001))&gt;0,0,1),"")</f>
        <v>0</v>
      </c>
      <c r="AB31" s="15" t="n">
        <f aca="false">IF(L31=1,IF(COUNTIFS(M31:$P31,1,E31:$H31,"&gt;="&amp;(D31-0.000000001))&gt;0,0,1),"")</f>
        <v>1</v>
      </c>
      <c r="AC31" s="15" t="n">
        <f aca="false">IF(M31=1,IF(COUNTIFS(N31:$P31,1,F31:$H31,"&gt;="&amp;(E31-0.000000001))&gt;0,0,1),"")</f>
        <v>1</v>
      </c>
      <c r="AD31" s="15" t="n">
        <f aca="false">IF(N31=1,IF(COUNTIFS(O31:$P31,1,G31:$H31,"&gt;="&amp;(F31-0.000000001))&gt;0,0,1),"")</f>
        <v>1</v>
      </c>
      <c r="AE31" s="15" t="n">
        <f aca="false">IF(O31=1,IF(COUNTIFS(P31:$P31,1,H31:$H31,"&gt;="&amp;(G31-0.000000001))&gt;0,0,1),"")</f>
        <v>1</v>
      </c>
      <c r="AF31" s="15" t="n">
        <f aca="false">IF(P31=1,1,"")</f>
        <v>1</v>
      </c>
    </row>
    <row r="32" customFormat="false" ht="15" hidden="false" customHeight="false" outlineLevel="0" collapsed="false">
      <c r="A32" s="2" t="n">
        <v>26</v>
      </c>
      <c r="B32" s="16" t="n">
        <f aca="false">IF(COUNTIFS(Sch_n,B$5,Sch_bmax,"&gt;="&amp;($A32-0.000000001))&gt;0,_xlfn.MAXIFS(Sch_P0,Sch_n,B$5,Sch_bmax,"&gt;="&amp;($A32-0.000000001))-Beta_y*$A32,"")</f>
        <v>112.727272727273</v>
      </c>
      <c r="C32" s="16" t="n">
        <f aca="false">IF(COUNTIFS(Sch_n,C$5,Sch_bmax,"&gt;="&amp;($A32-0.000000001))&gt;0,_xlfn.MAXIFS(Sch_P0,Sch_n,C$5,Sch_bmax,"&gt;="&amp;($A32-0.000000001))-Beta_y*$A32,"")</f>
        <v>347.036280432906</v>
      </c>
      <c r="D32" s="16" t="n">
        <f aca="false">IF(COUNTIFS(Sch_n,D$5,Sch_bmax,"&gt;="&amp;($A32-0.000000001))&gt;0,_xlfn.MAXIFS(Sch_P0,Sch_n,D$5,Sch_bmax,"&gt;="&amp;($A32-0.000000001))-Beta_y*$A32,"")</f>
        <v>360.536972760182</v>
      </c>
      <c r="E32" s="16" t="n">
        <f aca="false">IF(COUNTIFS(Sch_n,E$5,Sch_bmax,"&gt;="&amp;($A32-0.000000001))&gt;0,_xlfn.MAXIFS(Sch_P0,Sch_n,E$5,Sch_bmax,"&gt;="&amp;($A32-0.000000001))-Beta_y*$A32,"")</f>
        <v>306.815621928909</v>
      </c>
      <c r="F32" s="16" t="n">
        <f aca="false">IF(COUNTIFS(Sch_n,F$5,Sch_bmax,"&gt;="&amp;($A32-0.000000001))&gt;0,_xlfn.MAXIFS(Sch_P0,Sch_n,F$5,Sch_bmax,"&gt;="&amp;($A32-0.000000001))-Beta_y*$A32,"")</f>
        <v>237.244210049781</v>
      </c>
      <c r="G32" s="16" t="n">
        <f aca="false">IF(COUNTIFS(Sch_n,G$5,Sch_bmax,"&gt;="&amp;($A32-0.000000001))&gt;0,_xlfn.MAXIFS(Sch_P0,Sch_n,G$5,Sch_bmax,"&gt;="&amp;($A32-0.000000001))-Beta_y*$A32,"")</f>
        <v>163.185230426725</v>
      </c>
      <c r="H32" s="16" t="n">
        <f aca="false">IF(COUNTIFS(Sch_n,H$5,Sch_bmax,"&gt;="&amp;($A32-0.000000001))&gt;0,_xlfn.MAXIFS(Sch_P0,Sch_n,H$5,Sch_bmax,"&gt;="&amp;($A32-0.000000001))-Beta_y*$A32,"")</f>
        <v>82.9551395633568</v>
      </c>
      <c r="J32" s="15" t="n">
        <f aca="false">IF(ISNUMBER(B32),1,0)</f>
        <v>1</v>
      </c>
      <c r="K32" s="15" t="n">
        <f aca="false">IF(ISNUMBER(C32),1,0)</f>
        <v>1</v>
      </c>
      <c r="L32" s="15" t="n">
        <f aca="false">IF(ISNUMBER(D32),1,0)</f>
        <v>1</v>
      </c>
      <c r="M32" s="15" t="n">
        <f aca="false">IF(ISNUMBER(E32),1,0)</f>
        <v>1</v>
      </c>
      <c r="N32" s="15" t="n">
        <f aca="false">IF(ISNUMBER(F32),1,0)</f>
        <v>1</v>
      </c>
      <c r="O32" s="15" t="n">
        <f aca="false">IF(ISNUMBER(G32),1,0)</f>
        <v>1</v>
      </c>
      <c r="P32" s="15" t="n">
        <f aca="false">IF(ISNUMBER(H32),1,0)</f>
        <v>1</v>
      </c>
      <c r="R32" s="15" t="n">
        <f aca="false">IF(J32=1,_xlfn.MINIFS(Sch_idx,Sch_n,B$5,Sch_bmax,"&gt;="&amp;($A32-0.000000001),Sch_P0,"&gt;="&amp;(B32+Beta_y*$A32-0.000000001)),"")</f>
        <v>0</v>
      </c>
      <c r="S32" s="15" t="n">
        <f aca="false">IF(K32=1,_xlfn.MINIFS(Sch_idx,Sch_n,C$5,Sch_bmax,"&gt;="&amp;($A32-0.000000001),Sch_P0,"&gt;="&amp;(C32+Beta_y*$A32-0.000000001)),"")</f>
        <v>32</v>
      </c>
      <c r="T32" s="15" t="n">
        <f aca="false">IF(L32=1,_xlfn.MINIFS(Sch_idx,Sch_n,D$5,Sch_bmax,"&gt;="&amp;($A32-0.000000001),Sch_P0,"&gt;="&amp;(D32+Beta_y*$A32-0.000000001)),"")</f>
        <v>48</v>
      </c>
      <c r="U32" s="15" t="n">
        <f aca="false">IF(M32=1,_xlfn.MINIFS(Sch_idx,Sch_n,E$5,Sch_bmax,"&gt;="&amp;($A32-0.000000001),Sch_P0,"&gt;="&amp;(E32+Beta_y*$A32-0.000000001)),"")</f>
        <v>56</v>
      </c>
      <c r="V32" s="15" t="n">
        <f aca="false">IF(N32=1,_xlfn.MINIFS(Sch_idx,Sch_n,F$5,Sch_bmax,"&gt;="&amp;($A32-0.000000001),Sch_P0,"&gt;="&amp;(F32+Beta_y*$A32-0.000000001)),"")</f>
        <v>57</v>
      </c>
      <c r="W32" s="15" t="n">
        <f aca="false">IF(O32=1,_xlfn.MINIFS(Sch_idx,Sch_n,G$5,Sch_bmax,"&gt;="&amp;($A32-0.000000001),Sch_P0,"&gt;="&amp;(G32+Beta_y*$A32-0.000000001)),"")</f>
        <v>59</v>
      </c>
      <c r="X32" s="15" t="n">
        <f aca="false">IF(P32=1,_xlfn.MINIFS(Sch_idx,Sch_n,H$5,Sch_bmax,"&gt;="&amp;($A32-0.000000001),Sch_P0,"&gt;="&amp;(H32+Beta_y*$A32-0.000000001)),"")</f>
        <v>63</v>
      </c>
      <c r="Z32" s="15" t="n">
        <f aca="false">IF(J32=1,IF(COUNTIFS(K32:$P32,1,C32:$H32,"&gt;="&amp;(B32-0.000000001))&gt;0,0,1),"")</f>
        <v>0</v>
      </c>
      <c r="AA32" s="15" t="n">
        <f aca="false">IF(K32=1,IF(COUNTIFS(L32:$P32,1,D32:$H32,"&gt;="&amp;(C32-0.000000001))&gt;0,0,1),"")</f>
        <v>0</v>
      </c>
      <c r="AB32" s="15" t="n">
        <f aca="false">IF(L32=1,IF(COUNTIFS(M32:$P32,1,E32:$H32,"&gt;="&amp;(D32-0.000000001))&gt;0,0,1),"")</f>
        <v>1</v>
      </c>
      <c r="AC32" s="15" t="n">
        <f aca="false">IF(M32=1,IF(COUNTIFS(N32:$P32,1,F32:$H32,"&gt;="&amp;(E32-0.000000001))&gt;0,0,1),"")</f>
        <v>1</v>
      </c>
      <c r="AD32" s="15" t="n">
        <f aca="false">IF(N32=1,IF(COUNTIFS(O32:$P32,1,G32:$H32,"&gt;="&amp;(F32-0.000000001))&gt;0,0,1),"")</f>
        <v>1</v>
      </c>
      <c r="AE32" s="15" t="n">
        <f aca="false">IF(O32=1,IF(COUNTIFS(P32:$P32,1,H32:$H32,"&gt;="&amp;(G32-0.000000001))&gt;0,0,1),"")</f>
        <v>1</v>
      </c>
      <c r="AF32" s="15" t="n">
        <f aca="false">IF(P32=1,1,"")</f>
        <v>1</v>
      </c>
    </row>
    <row r="33" customFormat="false" ht="15" hidden="false" customHeight="false" outlineLevel="0" collapsed="false">
      <c r="A33" s="2" t="n">
        <v>27</v>
      </c>
      <c r="B33" s="16" t="n">
        <f aca="false">IF(COUNTIFS(Sch_n,B$5,Sch_bmax,"&gt;="&amp;($A33-0.000000001))&gt;0,_xlfn.MAXIFS(Sch_P0,Sch_n,B$5,Sch_bmax,"&gt;="&amp;($A33-0.000000001))-Beta_y*$A33,"")</f>
        <v>111.818181818182</v>
      </c>
      <c r="C33" s="16" t="n">
        <f aca="false">IF(COUNTIFS(Sch_n,C$5,Sch_bmax,"&gt;="&amp;($A33-0.000000001))&gt;0,_xlfn.MAXIFS(Sch_P0,Sch_n,C$5,Sch_bmax,"&gt;="&amp;($A33-0.000000001))-Beta_y*$A33,"")</f>
        <v>346.127189523815</v>
      </c>
      <c r="D33" s="16" t="n">
        <f aca="false">IF(COUNTIFS(Sch_n,D$5,Sch_bmax,"&gt;="&amp;($A33-0.000000001))&gt;0,_xlfn.MAXIFS(Sch_P0,Sch_n,D$5,Sch_bmax,"&gt;="&amp;($A33-0.000000001))-Beta_y*$A33,"")</f>
        <v>359.627881851091</v>
      </c>
      <c r="E33" s="16" t="n">
        <f aca="false">IF(COUNTIFS(Sch_n,E$5,Sch_bmax,"&gt;="&amp;($A33-0.000000001))&gt;0,_xlfn.MAXIFS(Sch_P0,Sch_n,E$5,Sch_bmax,"&gt;="&amp;($A33-0.000000001))-Beta_y*$A33,"")</f>
        <v>305.906531019818</v>
      </c>
      <c r="F33" s="16" t="n">
        <f aca="false">IF(COUNTIFS(Sch_n,F$5,Sch_bmax,"&gt;="&amp;($A33-0.000000001))&gt;0,_xlfn.MAXIFS(Sch_P0,Sch_n,F$5,Sch_bmax,"&gt;="&amp;($A33-0.000000001))-Beta_y*$A33,"")</f>
        <v>236.33511914069</v>
      </c>
      <c r="G33" s="16" t="n">
        <f aca="false">IF(COUNTIFS(Sch_n,G$5,Sch_bmax,"&gt;="&amp;($A33-0.000000001))&gt;0,_xlfn.MAXIFS(Sch_P0,Sch_n,G$5,Sch_bmax,"&gt;="&amp;($A33-0.000000001))-Beta_y*$A33,"")</f>
        <v>162.276139517634</v>
      </c>
      <c r="H33" s="16" t="n">
        <f aca="false">IF(COUNTIFS(Sch_n,H$5,Sch_bmax,"&gt;="&amp;($A33-0.000000001))&gt;0,_xlfn.MAXIFS(Sch_P0,Sch_n,H$5,Sch_bmax,"&gt;="&amp;($A33-0.000000001))-Beta_y*$A33,"")</f>
        <v>82.0460486542659</v>
      </c>
      <c r="J33" s="15" t="n">
        <f aca="false">IF(ISNUMBER(B33),1,0)</f>
        <v>1</v>
      </c>
      <c r="K33" s="15" t="n">
        <f aca="false">IF(ISNUMBER(C33),1,0)</f>
        <v>1</v>
      </c>
      <c r="L33" s="15" t="n">
        <f aca="false">IF(ISNUMBER(D33),1,0)</f>
        <v>1</v>
      </c>
      <c r="M33" s="15" t="n">
        <f aca="false">IF(ISNUMBER(E33),1,0)</f>
        <v>1</v>
      </c>
      <c r="N33" s="15" t="n">
        <f aca="false">IF(ISNUMBER(F33),1,0)</f>
        <v>1</v>
      </c>
      <c r="O33" s="15" t="n">
        <f aca="false">IF(ISNUMBER(G33),1,0)</f>
        <v>1</v>
      </c>
      <c r="P33" s="15" t="n">
        <f aca="false">IF(ISNUMBER(H33),1,0)</f>
        <v>1</v>
      </c>
      <c r="R33" s="15" t="n">
        <f aca="false">IF(J33=1,_xlfn.MINIFS(Sch_idx,Sch_n,B$5,Sch_bmax,"&gt;="&amp;($A33-0.000000001),Sch_P0,"&gt;="&amp;(B33+Beta_y*$A33-0.000000001)),"")</f>
        <v>0</v>
      </c>
      <c r="S33" s="15" t="n">
        <f aca="false">IF(K33=1,_xlfn.MINIFS(Sch_idx,Sch_n,C$5,Sch_bmax,"&gt;="&amp;($A33-0.000000001),Sch_P0,"&gt;="&amp;(C33+Beta_y*$A33-0.000000001)),"")</f>
        <v>32</v>
      </c>
      <c r="T33" s="15" t="n">
        <f aca="false">IF(L33=1,_xlfn.MINIFS(Sch_idx,Sch_n,D$5,Sch_bmax,"&gt;="&amp;($A33-0.000000001),Sch_P0,"&gt;="&amp;(D33+Beta_y*$A33-0.000000001)),"")</f>
        <v>48</v>
      </c>
      <c r="U33" s="15" t="n">
        <f aca="false">IF(M33=1,_xlfn.MINIFS(Sch_idx,Sch_n,E$5,Sch_bmax,"&gt;="&amp;($A33-0.000000001),Sch_P0,"&gt;="&amp;(E33+Beta_y*$A33-0.000000001)),"")</f>
        <v>56</v>
      </c>
      <c r="V33" s="15" t="n">
        <f aca="false">IF(N33=1,_xlfn.MINIFS(Sch_idx,Sch_n,F$5,Sch_bmax,"&gt;="&amp;($A33-0.000000001),Sch_P0,"&gt;="&amp;(F33+Beta_y*$A33-0.000000001)),"")</f>
        <v>57</v>
      </c>
      <c r="W33" s="15" t="n">
        <f aca="false">IF(O33=1,_xlfn.MINIFS(Sch_idx,Sch_n,G$5,Sch_bmax,"&gt;="&amp;($A33-0.000000001),Sch_P0,"&gt;="&amp;(G33+Beta_y*$A33-0.000000001)),"")</f>
        <v>59</v>
      </c>
      <c r="X33" s="15" t="n">
        <f aca="false">IF(P33=1,_xlfn.MINIFS(Sch_idx,Sch_n,H$5,Sch_bmax,"&gt;="&amp;($A33-0.000000001),Sch_P0,"&gt;="&amp;(H33+Beta_y*$A33-0.000000001)),"")</f>
        <v>63</v>
      </c>
      <c r="Z33" s="15" t="n">
        <f aca="false">IF(J33=1,IF(COUNTIFS(K33:$P33,1,C33:$H33,"&gt;="&amp;(B33-0.000000001))&gt;0,0,1),"")</f>
        <v>0</v>
      </c>
      <c r="AA33" s="15" t="n">
        <f aca="false">IF(K33=1,IF(COUNTIFS(L33:$P33,1,D33:$H33,"&gt;="&amp;(C33-0.000000001))&gt;0,0,1),"")</f>
        <v>0</v>
      </c>
      <c r="AB33" s="15" t="n">
        <f aca="false">IF(L33=1,IF(COUNTIFS(M33:$P33,1,E33:$H33,"&gt;="&amp;(D33-0.000000001))&gt;0,0,1),"")</f>
        <v>1</v>
      </c>
      <c r="AC33" s="15" t="n">
        <f aca="false">IF(M33=1,IF(COUNTIFS(N33:$P33,1,F33:$H33,"&gt;="&amp;(E33-0.000000001))&gt;0,0,1),"")</f>
        <v>1</v>
      </c>
      <c r="AD33" s="15" t="n">
        <f aca="false">IF(N33=1,IF(COUNTIFS(O33:$P33,1,G33:$H33,"&gt;="&amp;(F33-0.000000001))&gt;0,0,1),"")</f>
        <v>1</v>
      </c>
      <c r="AE33" s="15" t="n">
        <f aca="false">IF(O33=1,IF(COUNTIFS(P33:$P33,1,H33:$H33,"&gt;="&amp;(G33-0.000000001))&gt;0,0,1),"")</f>
        <v>1</v>
      </c>
      <c r="AF33" s="15" t="n">
        <f aca="false">IF(P33=1,1,"")</f>
        <v>1</v>
      </c>
    </row>
    <row r="34" customFormat="false" ht="15" hidden="false" customHeight="false" outlineLevel="0" collapsed="false">
      <c r="A34" s="2" t="n">
        <v>28</v>
      </c>
      <c r="B34" s="16" t="n">
        <f aca="false">IF(COUNTIFS(Sch_n,B$5,Sch_bmax,"&gt;="&amp;($A34-0.000000001))&gt;0,_xlfn.MAXIFS(Sch_P0,Sch_n,B$5,Sch_bmax,"&gt;="&amp;($A34-0.000000001))-Beta_y*$A34,"")</f>
        <v>110.909090909091</v>
      </c>
      <c r="C34" s="16" t="n">
        <f aca="false">IF(COUNTIFS(Sch_n,C$5,Sch_bmax,"&gt;="&amp;($A34-0.000000001))&gt;0,_xlfn.MAXIFS(Sch_P0,Sch_n,C$5,Sch_bmax,"&gt;="&amp;($A34-0.000000001))-Beta_y*$A34,"")</f>
        <v>345.218098614725</v>
      </c>
      <c r="D34" s="16" t="n">
        <f aca="false">IF(COUNTIFS(Sch_n,D$5,Sch_bmax,"&gt;="&amp;($A34-0.000000001))&gt;0,_xlfn.MAXIFS(Sch_P0,Sch_n,D$5,Sch_bmax,"&gt;="&amp;($A34-0.000000001))-Beta_y*$A34,"")</f>
        <v>358.718790942</v>
      </c>
      <c r="E34" s="16" t="n">
        <f aca="false">IF(COUNTIFS(Sch_n,E$5,Sch_bmax,"&gt;="&amp;($A34-0.000000001))&gt;0,_xlfn.MAXIFS(Sch_P0,Sch_n,E$5,Sch_bmax,"&gt;="&amp;($A34-0.000000001))-Beta_y*$A34,"")</f>
        <v>304.997440110727</v>
      </c>
      <c r="F34" s="16" t="n">
        <f aca="false">IF(COUNTIFS(Sch_n,F$5,Sch_bmax,"&gt;="&amp;($A34-0.000000001))&gt;0,_xlfn.MAXIFS(Sch_P0,Sch_n,F$5,Sch_bmax,"&gt;="&amp;($A34-0.000000001))-Beta_y*$A34,"")</f>
        <v>235.426028231599</v>
      </c>
      <c r="G34" s="16" t="n">
        <f aca="false">IF(COUNTIFS(Sch_n,G$5,Sch_bmax,"&gt;="&amp;($A34-0.000000001))&gt;0,_xlfn.MAXIFS(Sch_P0,Sch_n,G$5,Sch_bmax,"&gt;="&amp;($A34-0.000000001))-Beta_y*$A34,"")</f>
        <v>161.367048608544</v>
      </c>
      <c r="H34" s="16" t="n">
        <f aca="false">IF(COUNTIFS(Sch_n,H$5,Sch_bmax,"&gt;="&amp;($A34-0.000000001))&gt;0,_xlfn.MAXIFS(Sch_P0,Sch_n,H$5,Sch_bmax,"&gt;="&amp;($A34-0.000000001))-Beta_y*$A34,"")</f>
        <v>81.136957745175</v>
      </c>
      <c r="J34" s="15" t="n">
        <f aca="false">IF(ISNUMBER(B34),1,0)</f>
        <v>1</v>
      </c>
      <c r="K34" s="15" t="n">
        <f aca="false">IF(ISNUMBER(C34),1,0)</f>
        <v>1</v>
      </c>
      <c r="L34" s="15" t="n">
        <f aca="false">IF(ISNUMBER(D34),1,0)</f>
        <v>1</v>
      </c>
      <c r="M34" s="15" t="n">
        <f aca="false">IF(ISNUMBER(E34),1,0)</f>
        <v>1</v>
      </c>
      <c r="N34" s="15" t="n">
        <f aca="false">IF(ISNUMBER(F34),1,0)</f>
        <v>1</v>
      </c>
      <c r="O34" s="15" t="n">
        <f aca="false">IF(ISNUMBER(G34),1,0)</f>
        <v>1</v>
      </c>
      <c r="P34" s="15" t="n">
        <f aca="false">IF(ISNUMBER(H34),1,0)</f>
        <v>1</v>
      </c>
      <c r="R34" s="15" t="n">
        <f aca="false">IF(J34=1,_xlfn.MINIFS(Sch_idx,Sch_n,B$5,Sch_bmax,"&gt;="&amp;($A34-0.000000001),Sch_P0,"&gt;="&amp;(B34+Beta_y*$A34-0.000000001)),"")</f>
        <v>0</v>
      </c>
      <c r="S34" s="15" t="n">
        <f aca="false">IF(K34=1,_xlfn.MINIFS(Sch_idx,Sch_n,C$5,Sch_bmax,"&gt;="&amp;($A34-0.000000001),Sch_P0,"&gt;="&amp;(C34+Beta_y*$A34-0.000000001)),"")</f>
        <v>32</v>
      </c>
      <c r="T34" s="15" t="n">
        <f aca="false">IF(L34=1,_xlfn.MINIFS(Sch_idx,Sch_n,D$5,Sch_bmax,"&gt;="&amp;($A34-0.000000001),Sch_P0,"&gt;="&amp;(D34+Beta_y*$A34-0.000000001)),"")</f>
        <v>48</v>
      </c>
      <c r="U34" s="15" t="n">
        <f aca="false">IF(M34=1,_xlfn.MINIFS(Sch_idx,Sch_n,E$5,Sch_bmax,"&gt;="&amp;($A34-0.000000001),Sch_P0,"&gt;="&amp;(E34+Beta_y*$A34-0.000000001)),"")</f>
        <v>56</v>
      </c>
      <c r="V34" s="15" t="n">
        <f aca="false">IF(N34=1,_xlfn.MINIFS(Sch_idx,Sch_n,F$5,Sch_bmax,"&gt;="&amp;($A34-0.000000001),Sch_P0,"&gt;="&amp;(F34+Beta_y*$A34-0.000000001)),"")</f>
        <v>57</v>
      </c>
      <c r="W34" s="15" t="n">
        <f aca="false">IF(O34=1,_xlfn.MINIFS(Sch_idx,Sch_n,G$5,Sch_bmax,"&gt;="&amp;($A34-0.000000001),Sch_P0,"&gt;="&amp;(G34+Beta_y*$A34-0.000000001)),"")</f>
        <v>59</v>
      </c>
      <c r="X34" s="15" t="n">
        <f aca="false">IF(P34=1,_xlfn.MINIFS(Sch_idx,Sch_n,H$5,Sch_bmax,"&gt;="&amp;($A34-0.000000001),Sch_P0,"&gt;="&amp;(H34+Beta_y*$A34-0.000000001)),"")</f>
        <v>63</v>
      </c>
      <c r="Z34" s="15" t="n">
        <f aca="false">IF(J34=1,IF(COUNTIFS(K34:$P34,1,C34:$H34,"&gt;="&amp;(B34-0.000000001))&gt;0,0,1),"")</f>
        <v>0</v>
      </c>
      <c r="AA34" s="15" t="n">
        <f aca="false">IF(K34=1,IF(COUNTIFS(L34:$P34,1,D34:$H34,"&gt;="&amp;(C34-0.000000001))&gt;0,0,1),"")</f>
        <v>0</v>
      </c>
      <c r="AB34" s="15" t="n">
        <f aca="false">IF(L34=1,IF(COUNTIFS(M34:$P34,1,E34:$H34,"&gt;="&amp;(D34-0.000000001))&gt;0,0,1),"")</f>
        <v>1</v>
      </c>
      <c r="AC34" s="15" t="n">
        <f aca="false">IF(M34=1,IF(COUNTIFS(N34:$P34,1,F34:$H34,"&gt;="&amp;(E34-0.000000001))&gt;0,0,1),"")</f>
        <v>1</v>
      </c>
      <c r="AD34" s="15" t="n">
        <f aca="false">IF(N34=1,IF(COUNTIFS(O34:$P34,1,G34:$H34,"&gt;="&amp;(F34-0.000000001))&gt;0,0,1),"")</f>
        <v>1</v>
      </c>
      <c r="AE34" s="15" t="n">
        <f aca="false">IF(O34=1,IF(COUNTIFS(P34:$P34,1,H34:$H34,"&gt;="&amp;(G34-0.000000001))&gt;0,0,1),"")</f>
        <v>1</v>
      </c>
      <c r="AF34" s="15" t="n">
        <f aca="false">IF(P34=1,1,"")</f>
        <v>1</v>
      </c>
    </row>
    <row r="35" customFormat="false" ht="15" hidden="false" customHeight="false" outlineLevel="0" collapsed="false">
      <c r="A35" s="2" t="n">
        <v>29</v>
      </c>
      <c r="B35" s="16" t="n">
        <f aca="false">IF(COUNTIFS(Sch_n,B$5,Sch_bmax,"&gt;="&amp;($A35-0.000000001))&gt;0,_xlfn.MAXIFS(Sch_P0,Sch_n,B$5,Sch_bmax,"&gt;="&amp;($A35-0.000000001))-Beta_y*$A35,"")</f>
        <v>110</v>
      </c>
      <c r="C35" s="16" t="n">
        <f aca="false">IF(COUNTIFS(Sch_n,C$5,Sch_bmax,"&gt;="&amp;($A35-0.000000001))&gt;0,_xlfn.MAXIFS(Sch_P0,Sch_n,C$5,Sch_bmax,"&gt;="&amp;($A35-0.000000001))-Beta_y*$A35,"")</f>
        <v>344.309007705634</v>
      </c>
      <c r="D35" s="16" t="n">
        <f aca="false">IF(COUNTIFS(Sch_n,D$5,Sch_bmax,"&gt;="&amp;($A35-0.000000001))&gt;0,_xlfn.MAXIFS(Sch_P0,Sch_n,D$5,Sch_bmax,"&gt;="&amp;($A35-0.000000001))-Beta_y*$A35,"")</f>
        <v>357.809700032909</v>
      </c>
      <c r="E35" s="16" t="n">
        <f aca="false">IF(COUNTIFS(Sch_n,E$5,Sch_bmax,"&gt;="&amp;($A35-0.000000001))&gt;0,_xlfn.MAXIFS(Sch_P0,Sch_n,E$5,Sch_bmax,"&gt;="&amp;($A35-0.000000001))-Beta_y*$A35,"")</f>
        <v>304.088349201636</v>
      </c>
      <c r="F35" s="16" t="n">
        <f aca="false">IF(COUNTIFS(Sch_n,F$5,Sch_bmax,"&gt;="&amp;($A35-0.000000001))&gt;0,_xlfn.MAXIFS(Sch_P0,Sch_n,F$5,Sch_bmax,"&gt;="&amp;($A35-0.000000001))-Beta_y*$A35,"")</f>
        <v>234.516937322508</v>
      </c>
      <c r="G35" s="16" t="n">
        <f aca="false">IF(COUNTIFS(Sch_n,G$5,Sch_bmax,"&gt;="&amp;($A35-0.000000001))&gt;0,_xlfn.MAXIFS(Sch_P0,Sch_n,G$5,Sch_bmax,"&gt;="&amp;($A35-0.000000001))-Beta_y*$A35,"")</f>
        <v>160.457957699453</v>
      </c>
      <c r="H35" s="16" t="n">
        <f aca="false">IF(COUNTIFS(Sch_n,H$5,Sch_bmax,"&gt;="&amp;($A35-0.000000001))&gt;0,_xlfn.MAXIFS(Sch_P0,Sch_n,H$5,Sch_bmax,"&gt;="&amp;($A35-0.000000001))-Beta_y*$A35,"")</f>
        <v>80.2278668360841</v>
      </c>
      <c r="J35" s="15" t="n">
        <f aca="false">IF(ISNUMBER(B35),1,0)</f>
        <v>1</v>
      </c>
      <c r="K35" s="15" t="n">
        <f aca="false">IF(ISNUMBER(C35),1,0)</f>
        <v>1</v>
      </c>
      <c r="L35" s="15" t="n">
        <f aca="false">IF(ISNUMBER(D35),1,0)</f>
        <v>1</v>
      </c>
      <c r="M35" s="15" t="n">
        <f aca="false">IF(ISNUMBER(E35),1,0)</f>
        <v>1</v>
      </c>
      <c r="N35" s="15" t="n">
        <f aca="false">IF(ISNUMBER(F35),1,0)</f>
        <v>1</v>
      </c>
      <c r="O35" s="15" t="n">
        <f aca="false">IF(ISNUMBER(G35),1,0)</f>
        <v>1</v>
      </c>
      <c r="P35" s="15" t="n">
        <f aca="false">IF(ISNUMBER(H35),1,0)</f>
        <v>1</v>
      </c>
      <c r="R35" s="15" t="n">
        <f aca="false">IF(J35=1,_xlfn.MINIFS(Sch_idx,Sch_n,B$5,Sch_bmax,"&gt;="&amp;($A35-0.000000001),Sch_P0,"&gt;="&amp;(B35+Beta_y*$A35-0.000000001)),"")</f>
        <v>0</v>
      </c>
      <c r="S35" s="15" t="n">
        <f aca="false">IF(K35=1,_xlfn.MINIFS(Sch_idx,Sch_n,C$5,Sch_bmax,"&gt;="&amp;($A35-0.000000001),Sch_P0,"&gt;="&amp;(C35+Beta_y*$A35-0.000000001)),"")</f>
        <v>32</v>
      </c>
      <c r="T35" s="15" t="n">
        <f aca="false">IF(L35=1,_xlfn.MINIFS(Sch_idx,Sch_n,D$5,Sch_bmax,"&gt;="&amp;($A35-0.000000001),Sch_P0,"&gt;="&amp;(D35+Beta_y*$A35-0.000000001)),"")</f>
        <v>48</v>
      </c>
      <c r="U35" s="15" t="n">
        <f aca="false">IF(M35=1,_xlfn.MINIFS(Sch_idx,Sch_n,E$5,Sch_bmax,"&gt;="&amp;($A35-0.000000001),Sch_P0,"&gt;="&amp;(E35+Beta_y*$A35-0.000000001)),"")</f>
        <v>56</v>
      </c>
      <c r="V35" s="15" t="n">
        <f aca="false">IF(N35=1,_xlfn.MINIFS(Sch_idx,Sch_n,F$5,Sch_bmax,"&gt;="&amp;($A35-0.000000001),Sch_P0,"&gt;="&amp;(F35+Beta_y*$A35-0.000000001)),"")</f>
        <v>57</v>
      </c>
      <c r="W35" s="15" t="n">
        <f aca="false">IF(O35=1,_xlfn.MINIFS(Sch_idx,Sch_n,G$5,Sch_bmax,"&gt;="&amp;($A35-0.000000001),Sch_P0,"&gt;="&amp;(G35+Beta_y*$A35-0.000000001)),"")</f>
        <v>59</v>
      </c>
      <c r="X35" s="15" t="n">
        <f aca="false">IF(P35=1,_xlfn.MINIFS(Sch_idx,Sch_n,H$5,Sch_bmax,"&gt;="&amp;($A35-0.000000001),Sch_P0,"&gt;="&amp;(H35+Beta_y*$A35-0.000000001)),"")</f>
        <v>63</v>
      </c>
      <c r="Z35" s="15" t="n">
        <f aca="false">IF(J35=1,IF(COUNTIFS(K35:$P35,1,C35:$H35,"&gt;="&amp;(B35-0.000000001))&gt;0,0,1),"")</f>
        <v>0</v>
      </c>
      <c r="AA35" s="15" t="n">
        <f aca="false">IF(K35=1,IF(COUNTIFS(L35:$P35,1,D35:$H35,"&gt;="&amp;(C35-0.000000001))&gt;0,0,1),"")</f>
        <v>0</v>
      </c>
      <c r="AB35" s="15" t="n">
        <f aca="false">IF(L35=1,IF(COUNTIFS(M35:$P35,1,E35:$H35,"&gt;="&amp;(D35-0.000000001))&gt;0,0,1),"")</f>
        <v>1</v>
      </c>
      <c r="AC35" s="15" t="n">
        <f aca="false">IF(M35=1,IF(COUNTIFS(N35:$P35,1,F35:$H35,"&gt;="&amp;(E35-0.000000001))&gt;0,0,1),"")</f>
        <v>1</v>
      </c>
      <c r="AD35" s="15" t="n">
        <f aca="false">IF(N35=1,IF(COUNTIFS(O35:$P35,1,G35:$H35,"&gt;="&amp;(F35-0.000000001))&gt;0,0,1),"")</f>
        <v>1</v>
      </c>
      <c r="AE35" s="15" t="n">
        <f aca="false">IF(O35=1,IF(COUNTIFS(P35:$P35,1,H35:$H35,"&gt;="&amp;(G35-0.000000001))&gt;0,0,1),"")</f>
        <v>1</v>
      </c>
      <c r="AF35" s="15" t="n">
        <f aca="false">IF(P35=1,1,"")</f>
        <v>1</v>
      </c>
    </row>
    <row r="36" customFormat="false" ht="15" hidden="false" customHeight="false" outlineLevel="0" collapsed="false">
      <c r="A36" s="2" t="n">
        <v>30</v>
      </c>
      <c r="B36" s="16" t="n">
        <f aca="false">IF(COUNTIFS(Sch_n,B$5,Sch_bmax,"&gt;="&amp;($A36-0.000000001))&gt;0,_xlfn.MAXIFS(Sch_P0,Sch_n,B$5,Sch_bmax,"&gt;="&amp;($A36-0.000000001))-Beta_y*$A36,"")</f>
        <v>109.090909090909</v>
      </c>
      <c r="C36" s="16" t="n">
        <f aca="false">IF(COUNTIFS(Sch_n,C$5,Sch_bmax,"&gt;="&amp;($A36-0.000000001))&gt;0,_xlfn.MAXIFS(Sch_P0,Sch_n,C$5,Sch_bmax,"&gt;="&amp;($A36-0.000000001))-Beta_y*$A36,"")</f>
        <v>343.399916796543</v>
      </c>
      <c r="D36" s="16" t="n">
        <f aca="false">IF(COUNTIFS(Sch_n,D$5,Sch_bmax,"&gt;="&amp;($A36-0.000000001))&gt;0,_xlfn.MAXIFS(Sch_P0,Sch_n,D$5,Sch_bmax,"&gt;="&amp;($A36-0.000000001))-Beta_y*$A36,"")</f>
        <v>356.900609123818</v>
      </c>
      <c r="E36" s="16" t="n">
        <f aca="false">IF(COUNTIFS(Sch_n,E$5,Sch_bmax,"&gt;="&amp;($A36-0.000000001))&gt;0,_xlfn.MAXIFS(Sch_P0,Sch_n,E$5,Sch_bmax,"&gt;="&amp;($A36-0.000000001))-Beta_y*$A36,"")</f>
        <v>303.179258292545</v>
      </c>
      <c r="F36" s="16" t="n">
        <f aca="false">IF(COUNTIFS(Sch_n,F$5,Sch_bmax,"&gt;="&amp;($A36-0.000000001))&gt;0,_xlfn.MAXIFS(Sch_P0,Sch_n,F$5,Sch_bmax,"&gt;="&amp;($A36-0.000000001))-Beta_y*$A36,"")</f>
        <v>233.607846413417</v>
      </c>
      <c r="G36" s="16" t="n">
        <f aca="false">IF(COUNTIFS(Sch_n,G$5,Sch_bmax,"&gt;="&amp;($A36-0.000000001))&gt;0,_xlfn.MAXIFS(Sch_P0,Sch_n,G$5,Sch_bmax,"&gt;="&amp;($A36-0.000000001))-Beta_y*$A36,"")</f>
        <v>159.548866790362</v>
      </c>
      <c r="H36" s="16" t="n">
        <f aca="false">IF(COUNTIFS(Sch_n,H$5,Sch_bmax,"&gt;="&amp;($A36-0.000000001))&gt;0,_xlfn.MAXIFS(Sch_P0,Sch_n,H$5,Sch_bmax,"&gt;="&amp;($A36-0.000000001))-Beta_y*$A36,"")</f>
        <v>79.3187759269932</v>
      </c>
      <c r="J36" s="15" t="n">
        <f aca="false">IF(ISNUMBER(B36),1,0)</f>
        <v>1</v>
      </c>
      <c r="K36" s="15" t="n">
        <f aca="false">IF(ISNUMBER(C36),1,0)</f>
        <v>1</v>
      </c>
      <c r="L36" s="15" t="n">
        <f aca="false">IF(ISNUMBER(D36),1,0)</f>
        <v>1</v>
      </c>
      <c r="M36" s="15" t="n">
        <f aca="false">IF(ISNUMBER(E36),1,0)</f>
        <v>1</v>
      </c>
      <c r="N36" s="15" t="n">
        <f aca="false">IF(ISNUMBER(F36),1,0)</f>
        <v>1</v>
      </c>
      <c r="O36" s="15" t="n">
        <f aca="false">IF(ISNUMBER(G36),1,0)</f>
        <v>1</v>
      </c>
      <c r="P36" s="15" t="n">
        <f aca="false">IF(ISNUMBER(H36),1,0)</f>
        <v>1</v>
      </c>
      <c r="R36" s="15" t="n">
        <f aca="false">IF(J36=1,_xlfn.MINIFS(Sch_idx,Sch_n,B$5,Sch_bmax,"&gt;="&amp;($A36-0.000000001),Sch_P0,"&gt;="&amp;(B36+Beta_y*$A36-0.000000001)),"")</f>
        <v>0</v>
      </c>
      <c r="S36" s="15" t="n">
        <f aca="false">IF(K36=1,_xlfn.MINIFS(Sch_idx,Sch_n,C$5,Sch_bmax,"&gt;="&amp;($A36-0.000000001),Sch_P0,"&gt;="&amp;(C36+Beta_y*$A36-0.000000001)),"")</f>
        <v>32</v>
      </c>
      <c r="T36" s="15" t="n">
        <f aca="false">IF(L36=1,_xlfn.MINIFS(Sch_idx,Sch_n,D$5,Sch_bmax,"&gt;="&amp;($A36-0.000000001),Sch_P0,"&gt;="&amp;(D36+Beta_y*$A36-0.000000001)),"")</f>
        <v>48</v>
      </c>
      <c r="U36" s="15" t="n">
        <f aca="false">IF(M36=1,_xlfn.MINIFS(Sch_idx,Sch_n,E$5,Sch_bmax,"&gt;="&amp;($A36-0.000000001),Sch_P0,"&gt;="&amp;(E36+Beta_y*$A36-0.000000001)),"")</f>
        <v>56</v>
      </c>
      <c r="V36" s="15" t="n">
        <f aca="false">IF(N36=1,_xlfn.MINIFS(Sch_idx,Sch_n,F$5,Sch_bmax,"&gt;="&amp;($A36-0.000000001),Sch_P0,"&gt;="&amp;(F36+Beta_y*$A36-0.000000001)),"")</f>
        <v>57</v>
      </c>
      <c r="W36" s="15" t="n">
        <f aca="false">IF(O36=1,_xlfn.MINIFS(Sch_idx,Sch_n,G$5,Sch_bmax,"&gt;="&amp;($A36-0.000000001),Sch_P0,"&gt;="&amp;(G36+Beta_y*$A36-0.000000001)),"")</f>
        <v>59</v>
      </c>
      <c r="X36" s="15" t="n">
        <f aca="false">IF(P36=1,_xlfn.MINIFS(Sch_idx,Sch_n,H$5,Sch_bmax,"&gt;="&amp;($A36-0.000000001),Sch_P0,"&gt;="&amp;(H36+Beta_y*$A36-0.000000001)),"")</f>
        <v>63</v>
      </c>
      <c r="Z36" s="15" t="n">
        <f aca="false">IF(J36=1,IF(COUNTIFS(K36:$P36,1,C36:$H36,"&gt;="&amp;(B36-0.000000001))&gt;0,0,1),"")</f>
        <v>0</v>
      </c>
      <c r="AA36" s="15" t="n">
        <f aca="false">IF(K36=1,IF(COUNTIFS(L36:$P36,1,D36:$H36,"&gt;="&amp;(C36-0.000000001))&gt;0,0,1),"")</f>
        <v>0</v>
      </c>
      <c r="AB36" s="15" t="n">
        <f aca="false">IF(L36=1,IF(COUNTIFS(M36:$P36,1,E36:$H36,"&gt;="&amp;(D36-0.000000001))&gt;0,0,1),"")</f>
        <v>1</v>
      </c>
      <c r="AC36" s="15" t="n">
        <f aca="false">IF(M36=1,IF(COUNTIFS(N36:$P36,1,F36:$H36,"&gt;="&amp;(E36-0.000000001))&gt;0,0,1),"")</f>
        <v>1</v>
      </c>
      <c r="AD36" s="15" t="n">
        <f aca="false">IF(N36=1,IF(COUNTIFS(O36:$P36,1,G36:$H36,"&gt;="&amp;(F36-0.000000001))&gt;0,0,1),"")</f>
        <v>1</v>
      </c>
      <c r="AE36" s="15" t="n">
        <f aca="false">IF(O36=1,IF(COUNTIFS(P36:$P36,1,H36:$H36,"&gt;="&amp;(G36-0.000000001))&gt;0,0,1),"")</f>
        <v>1</v>
      </c>
      <c r="AF36" s="15" t="n">
        <f aca="false">IF(P36=1,1,"")</f>
        <v>1</v>
      </c>
    </row>
    <row r="37" customFormat="false" ht="15" hidden="false" customHeight="false" outlineLevel="0" collapsed="false">
      <c r="A37" s="2" t="n">
        <v>31</v>
      </c>
      <c r="B37" s="16" t="n">
        <f aca="false">IF(COUNTIFS(Sch_n,B$5,Sch_bmax,"&gt;="&amp;($A37-0.000000001))&gt;0,_xlfn.MAXIFS(Sch_P0,Sch_n,B$5,Sch_bmax,"&gt;="&amp;($A37-0.000000001))-Beta_y*$A37,"")</f>
        <v>108.181818181818</v>
      </c>
      <c r="C37" s="16" t="n">
        <f aca="false">IF(COUNTIFS(Sch_n,C$5,Sch_bmax,"&gt;="&amp;($A37-0.000000001))&gt;0,_xlfn.MAXIFS(Sch_P0,Sch_n,C$5,Sch_bmax,"&gt;="&amp;($A37-0.000000001))-Beta_y*$A37,"")</f>
        <v>342.490825887452</v>
      </c>
      <c r="D37" s="16" t="n">
        <f aca="false">IF(COUNTIFS(Sch_n,D$5,Sch_bmax,"&gt;="&amp;($A37-0.000000001))&gt;0,_xlfn.MAXIFS(Sch_P0,Sch_n,D$5,Sch_bmax,"&gt;="&amp;($A37-0.000000001))-Beta_y*$A37,"")</f>
        <v>355.991518214727</v>
      </c>
      <c r="E37" s="16" t="n">
        <f aca="false">IF(COUNTIFS(Sch_n,E$5,Sch_bmax,"&gt;="&amp;($A37-0.000000001))&gt;0,_xlfn.MAXIFS(Sch_P0,Sch_n,E$5,Sch_bmax,"&gt;="&amp;($A37-0.000000001))-Beta_y*$A37,"")</f>
        <v>302.270167383454</v>
      </c>
      <c r="F37" s="16" t="n">
        <f aca="false">IF(COUNTIFS(Sch_n,F$5,Sch_bmax,"&gt;="&amp;($A37-0.000000001))&gt;0,_xlfn.MAXIFS(Sch_P0,Sch_n,F$5,Sch_bmax,"&gt;="&amp;($A37-0.000000001))-Beta_y*$A37,"")</f>
        <v>232.698755504326</v>
      </c>
      <c r="G37" s="16" t="n">
        <f aca="false">IF(COUNTIFS(Sch_n,G$5,Sch_bmax,"&gt;="&amp;($A37-0.000000001))&gt;0,_xlfn.MAXIFS(Sch_P0,Sch_n,G$5,Sch_bmax,"&gt;="&amp;($A37-0.000000001))-Beta_y*$A37,"")</f>
        <v>158.639775881271</v>
      </c>
      <c r="H37" s="16" t="n">
        <f aca="false">IF(COUNTIFS(Sch_n,H$5,Sch_bmax,"&gt;="&amp;($A37-0.000000001))&gt;0,_xlfn.MAXIFS(Sch_P0,Sch_n,H$5,Sch_bmax,"&gt;="&amp;($A37-0.000000001))-Beta_y*$A37,"")</f>
        <v>78.4096850179023</v>
      </c>
      <c r="J37" s="15" t="n">
        <f aca="false">IF(ISNUMBER(B37),1,0)</f>
        <v>1</v>
      </c>
      <c r="K37" s="15" t="n">
        <f aca="false">IF(ISNUMBER(C37),1,0)</f>
        <v>1</v>
      </c>
      <c r="L37" s="15" t="n">
        <f aca="false">IF(ISNUMBER(D37),1,0)</f>
        <v>1</v>
      </c>
      <c r="M37" s="15" t="n">
        <f aca="false">IF(ISNUMBER(E37),1,0)</f>
        <v>1</v>
      </c>
      <c r="N37" s="15" t="n">
        <f aca="false">IF(ISNUMBER(F37),1,0)</f>
        <v>1</v>
      </c>
      <c r="O37" s="15" t="n">
        <f aca="false">IF(ISNUMBER(G37),1,0)</f>
        <v>1</v>
      </c>
      <c r="P37" s="15" t="n">
        <f aca="false">IF(ISNUMBER(H37),1,0)</f>
        <v>1</v>
      </c>
      <c r="R37" s="15" t="n">
        <f aca="false">IF(J37=1,_xlfn.MINIFS(Sch_idx,Sch_n,B$5,Sch_bmax,"&gt;="&amp;($A37-0.000000001),Sch_P0,"&gt;="&amp;(B37+Beta_y*$A37-0.000000001)),"")</f>
        <v>0</v>
      </c>
      <c r="S37" s="15" t="n">
        <f aca="false">IF(K37=1,_xlfn.MINIFS(Sch_idx,Sch_n,C$5,Sch_bmax,"&gt;="&amp;($A37-0.000000001),Sch_P0,"&gt;="&amp;(C37+Beta_y*$A37-0.000000001)),"")</f>
        <v>32</v>
      </c>
      <c r="T37" s="15" t="n">
        <f aca="false">IF(L37=1,_xlfn.MINIFS(Sch_idx,Sch_n,D$5,Sch_bmax,"&gt;="&amp;($A37-0.000000001),Sch_P0,"&gt;="&amp;(D37+Beta_y*$A37-0.000000001)),"")</f>
        <v>48</v>
      </c>
      <c r="U37" s="15" t="n">
        <f aca="false">IF(M37=1,_xlfn.MINIFS(Sch_idx,Sch_n,E$5,Sch_bmax,"&gt;="&amp;($A37-0.000000001),Sch_P0,"&gt;="&amp;(E37+Beta_y*$A37-0.000000001)),"")</f>
        <v>56</v>
      </c>
      <c r="V37" s="15" t="n">
        <f aca="false">IF(N37=1,_xlfn.MINIFS(Sch_idx,Sch_n,F$5,Sch_bmax,"&gt;="&amp;($A37-0.000000001),Sch_P0,"&gt;="&amp;(F37+Beta_y*$A37-0.000000001)),"")</f>
        <v>57</v>
      </c>
      <c r="W37" s="15" t="n">
        <f aca="false">IF(O37=1,_xlfn.MINIFS(Sch_idx,Sch_n,G$5,Sch_bmax,"&gt;="&amp;($A37-0.000000001),Sch_P0,"&gt;="&amp;(G37+Beta_y*$A37-0.000000001)),"")</f>
        <v>59</v>
      </c>
      <c r="X37" s="15" t="n">
        <f aca="false">IF(P37=1,_xlfn.MINIFS(Sch_idx,Sch_n,H$5,Sch_bmax,"&gt;="&amp;($A37-0.000000001),Sch_P0,"&gt;="&amp;(H37+Beta_y*$A37-0.000000001)),"")</f>
        <v>63</v>
      </c>
      <c r="Z37" s="15" t="n">
        <f aca="false">IF(J37=1,IF(COUNTIFS(K37:$P37,1,C37:$H37,"&gt;="&amp;(B37-0.000000001))&gt;0,0,1),"")</f>
        <v>0</v>
      </c>
      <c r="AA37" s="15" t="n">
        <f aca="false">IF(K37=1,IF(COUNTIFS(L37:$P37,1,D37:$H37,"&gt;="&amp;(C37-0.000000001))&gt;0,0,1),"")</f>
        <v>0</v>
      </c>
      <c r="AB37" s="15" t="n">
        <f aca="false">IF(L37=1,IF(COUNTIFS(M37:$P37,1,E37:$H37,"&gt;="&amp;(D37-0.000000001))&gt;0,0,1),"")</f>
        <v>1</v>
      </c>
      <c r="AC37" s="15" t="n">
        <f aca="false">IF(M37=1,IF(COUNTIFS(N37:$P37,1,F37:$H37,"&gt;="&amp;(E37-0.000000001))&gt;0,0,1),"")</f>
        <v>1</v>
      </c>
      <c r="AD37" s="15" t="n">
        <f aca="false">IF(N37=1,IF(COUNTIFS(O37:$P37,1,G37:$H37,"&gt;="&amp;(F37-0.000000001))&gt;0,0,1),"")</f>
        <v>1</v>
      </c>
      <c r="AE37" s="15" t="n">
        <f aca="false">IF(O37=1,IF(COUNTIFS(P37:$P37,1,H37:$H37,"&gt;="&amp;(G37-0.000000001))&gt;0,0,1),"")</f>
        <v>1</v>
      </c>
      <c r="AF37" s="15" t="n">
        <f aca="false">IF(P37=1,1,"")</f>
        <v>1</v>
      </c>
    </row>
    <row r="38" customFormat="false" ht="15" hidden="false" customHeight="false" outlineLevel="0" collapsed="false">
      <c r="A38" s="2" t="n">
        <v>32</v>
      </c>
      <c r="B38" s="16" t="n">
        <f aca="false">IF(COUNTIFS(Sch_n,B$5,Sch_bmax,"&gt;="&amp;($A38-0.000000001))&gt;0,_xlfn.MAXIFS(Sch_P0,Sch_n,B$5,Sch_bmax,"&gt;="&amp;($A38-0.000000001))-Beta_y*$A38,"")</f>
        <v>107.272727272727</v>
      </c>
      <c r="C38" s="16" t="n">
        <f aca="false">IF(COUNTIFS(Sch_n,C$5,Sch_bmax,"&gt;="&amp;($A38-0.000000001))&gt;0,_xlfn.MAXIFS(Sch_P0,Sch_n,C$5,Sch_bmax,"&gt;="&amp;($A38-0.000000001))-Beta_y*$A38,"")</f>
        <v>341.581734978361</v>
      </c>
      <c r="D38" s="16" t="n">
        <f aca="false">IF(COUNTIFS(Sch_n,D$5,Sch_bmax,"&gt;="&amp;($A38-0.000000001))&gt;0,_xlfn.MAXIFS(Sch_P0,Sch_n,D$5,Sch_bmax,"&gt;="&amp;($A38-0.000000001))-Beta_y*$A38,"")</f>
        <v>355.082427305636</v>
      </c>
      <c r="E38" s="16" t="n">
        <f aca="false">IF(COUNTIFS(Sch_n,E$5,Sch_bmax,"&gt;="&amp;($A38-0.000000001))&gt;0,_xlfn.MAXIFS(Sch_P0,Sch_n,E$5,Sch_bmax,"&gt;="&amp;($A38-0.000000001))-Beta_y*$A38,"")</f>
        <v>301.361076474364</v>
      </c>
      <c r="F38" s="16" t="n">
        <f aca="false">IF(COUNTIFS(Sch_n,F$5,Sch_bmax,"&gt;="&amp;($A38-0.000000001))&gt;0,_xlfn.MAXIFS(Sch_P0,Sch_n,F$5,Sch_bmax,"&gt;="&amp;($A38-0.000000001))-Beta_y*$A38,"")</f>
        <v>231.789664595236</v>
      </c>
      <c r="G38" s="16" t="n">
        <f aca="false">IF(COUNTIFS(Sch_n,G$5,Sch_bmax,"&gt;="&amp;($A38-0.000000001))&gt;0,_xlfn.MAXIFS(Sch_P0,Sch_n,G$5,Sch_bmax,"&gt;="&amp;($A38-0.000000001))-Beta_y*$A38,"")</f>
        <v>157.73068497218</v>
      </c>
      <c r="H38" s="16" t="n">
        <f aca="false">IF(COUNTIFS(Sch_n,H$5,Sch_bmax,"&gt;="&amp;($A38-0.000000001))&gt;0,_xlfn.MAXIFS(Sch_P0,Sch_n,H$5,Sch_bmax,"&gt;="&amp;($A38-0.000000001))-Beta_y*$A38,"")</f>
        <v>77.5005941088114</v>
      </c>
      <c r="J38" s="15" t="n">
        <f aca="false">IF(ISNUMBER(B38),1,0)</f>
        <v>1</v>
      </c>
      <c r="K38" s="15" t="n">
        <f aca="false">IF(ISNUMBER(C38),1,0)</f>
        <v>1</v>
      </c>
      <c r="L38" s="15" t="n">
        <f aca="false">IF(ISNUMBER(D38),1,0)</f>
        <v>1</v>
      </c>
      <c r="M38" s="15" t="n">
        <f aca="false">IF(ISNUMBER(E38),1,0)</f>
        <v>1</v>
      </c>
      <c r="N38" s="15" t="n">
        <f aca="false">IF(ISNUMBER(F38),1,0)</f>
        <v>1</v>
      </c>
      <c r="O38" s="15" t="n">
        <f aca="false">IF(ISNUMBER(G38),1,0)</f>
        <v>1</v>
      </c>
      <c r="P38" s="15" t="n">
        <f aca="false">IF(ISNUMBER(H38),1,0)</f>
        <v>1</v>
      </c>
      <c r="R38" s="15" t="n">
        <f aca="false">IF(J38=1,_xlfn.MINIFS(Sch_idx,Sch_n,B$5,Sch_bmax,"&gt;="&amp;($A38-0.000000001),Sch_P0,"&gt;="&amp;(B38+Beta_y*$A38-0.000000001)),"")</f>
        <v>0</v>
      </c>
      <c r="S38" s="15" t="n">
        <f aca="false">IF(K38=1,_xlfn.MINIFS(Sch_idx,Sch_n,C$5,Sch_bmax,"&gt;="&amp;($A38-0.000000001),Sch_P0,"&gt;="&amp;(C38+Beta_y*$A38-0.000000001)),"")</f>
        <v>32</v>
      </c>
      <c r="T38" s="15" t="n">
        <f aca="false">IF(L38=1,_xlfn.MINIFS(Sch_idx,Sch_n,D$5,Sch_bmax,"&gt;="&amp;($A38-0.000000001),Sch_P0,"&gt;="&amp;(D38+Beta_y*$A38-0.000000001)),"")</f>
        <v>48</v>
      </c>
      <c r="U38" s="15" t="n">
        <f aca="false">IF(M38=1,_xlfn.MINIFS(Sch_idx,Sch_n,E$5,Sch_bmax,"&gt;="&amp;($A38-0.000000001),Sch_P0,"&gt;="&amp;(E38+Beta_y*$A38-0.000000001)),"")</f>
        <v>56</v>
      </c>
      <c r="V38" s="15" t="n">
        <f aca="false">IF(N38=1,_xlfn.MINIFS(Sch_idx,Sch_n,F$5,Sch_bmax,"&gt;="&amp;($A38-0.000000001),Sch_P0,"&gt;="&amp;(F38+Beta_y*$A38-0.000000001)),"")</f>
        <v>57</v>
      </c>
      <c r="W38" s="15" t="n">
        <f aca="false">IF(O38=1,_xlfn.MINIFS(Sch_idx,Sch_n,G$5,Sch_bmax,"&gt;="&amp;($A38-0.000000001),Sch_P0,"&gt;="&amp;(G38+Beta_y*$A38-0.000000001)),"")</f>
        <v>59</v>
      </c>
      <c r="X38" s="15" t="n">
        <f aca="false">IF(P38=1,_xlfn.MINIFS(Sch_idx,Sch_n,H$5,Sch_bmax,"&gt;="&amp;($A38-0.000000001),Sch_P0,"&gt;="&amp;(H38+Beta_y*$A38-0.000000001)),"")</f>
        <v>63</v>
      </c>
      <c r="Z38" s="15" t="n">
        <f aca="false">IF(J38=1,IF(COUNTIFS(K38:$P38,1,C38:$H38,"&gt;="&amp;(B38-0.000000001))&gt;0,0,1),"")</f>
        <v>0</v>
      </c>
      <c r="AA38" s="15" t="n">
        <f aca="false">IF(K38=1,IF(COUNTIFS(L38:$P38,1,D38:$H38,"&gt;="&amp;(C38-0.000000001))&gt;0,0,1),"")</f>
        <v>0</v>
      </c>
      <c r="AB38" s="15" t="n">
        <f aca="false">IF(L38=1,IF(COUNTIFS(M38:$P38,1,E38:$H38,"&gt;="&amp;(D38-0.000000001))&gt;0,0,1),"")</f>
        <v>1</v>
      </c>
      <c r="AC38" s="15" t="n">
        <f aca="false">IF(M38=1,IF(COUNTIFS(N38:$P38,1,F38:$H38,"&gt;="&amp;(E38-0.000000001))&gt;0,0,1),"")</f>
        <v>1</v>
      </c>
      <c r="AD38" s="15" t="n">
        <f aca="false">IF(N38=1,IF(COUNTIFS(O38:$P38,1,G38:$H38,"&gt;="&amp;(F38-0.000000001))&gt;0,0,1),"")</f>
        <v>1</v>
      </c>
      <c r="AE38" s="15" t="n">
        <f aca="false">IF(O38=1,IF(COUNTIFS(P38:$P38,1,H38:$H38,"&gt;="&amp;(G38-0.000000001))&gt;0,0,1),"")</f>
        <v>1</v>
      </c>
      <c r="AF38" s="15" t="n">
        <f aca="false">IF(P38=1,1,"")</f>
        <v>1</v>
      </c>
    </row>
    <row r="39" customFormat="false" ht="15" hidden="false" customHeight="false" outlineLevel="0" collapsed="false">
      <c r="A39" s="2" t="n">
        <v>33</v>
      </c>
      <c r="B39" s="16" t="n">
        <f aca="false">IF(COUNTIFS(Sch_n,B$5,Sch_bmax,"&gt;="&amp;($A39-0.000000001))&gt;0,_xlfn.MAXIFS(Sch_P0,Sch_n,B$5,Sch_bmax,"&gt;="&amp;($A39-0.000000001))-Beta_y*$A39,"")</f>
        <v>106.363636363636</v>
      </c>
      <c r="C39" s="16" t="n">
        <f aca="false">IF(COUNTIFS(Sch_n,C$5,Sch_bmax,"&gt;="&amp;($A39-0.000000001))&gt;0,_xlfn.MAXIFS(Sch_P0,Sch_n,C$5,Sch_bmax,"&gt;="&amp;($A39-0.000000001))-Beta_y*$A39,"")</f>
        <v>340.67264406927</v>
      </c>
      <c r="D39" s="16" t="n">
        <f aca="false">IF(COUNTIFS(Sch_n,D$5,Sch_bmax,"&gt;="&amp;($A39-0.000000001))&gt;0,_xlfn.MAXIFS(Sch_P0,Sch_n,D$5,Sch_bmax,"&gt;="&amp;($A39-0.000000001))-Beta_y*$A39,"")</f>
        <v>354.173336396545</v>
      </c>
      <c r="E39" s="16" t="n">
        <f aca="false">IF(COUNTIFS(Sch_n,E$5,Sch_bmax,"&gt;="&amp;($A39-0.000000001))&gt;0,_xlfn.MAXIFS(Sch_P0,Sch_n,E$5,Sch_bmax,"&gt;="&amp;($A39-0.000000001))-Beta_y*$A39,"")</f>
        <v>300.451985565273</v>
      </c>
      <c r="F39" s="16" t="n">
        <f aca="false">IF(COUNTIFS(Sch_n,F$5,Sch_bmax,"&gt;="&amp;($A39-0.000000001))&gt;0,_xlfn.MAXIFS(Sch_P0,Sch_n,F$5,Sch_bmax,"&gt;="&amp;($A39-0.000000001))-Beta_y*$A39,"")</f>
        <v>230.880573686145</v>
      </c>
      <c r="G39" s="16" t="n">
        <f aca="false">IF(COUNTIFS(Sch_n,G$5,Sch_bmax,"&gt;="&amp;($A39-0.000000001))&gt;0,_xlfn.MAXIFS(Sch_P0,Sch_n,G$5,Sch_bmax,"&gt;="&amp;($A39-0.000000001))-Beta_y*$A39,"")</f>
        <v>156.821594063089</v>
      </c>
      <c r="H39" s="16" t="n">
        <f aca="false">IF(COUNTIFS(Sch_n,H$5,Sch_bmax,"&gt;="&amp;($A39-0.000000001))&gt;0,_xlfn.MAXIFS(Sch_P0,Sch_n,H$5,Sch_bmax,"&gt;="&amp;($A39-0.000000001))-Beta_y*$A39,"")</f>
        <v>76.5915031997205</v>
      </c>
      <c r="J39" s="15" t="n">
        <f aca="false">IF(ISNUMBER(B39),1,0)</f>
        <v>1</v>
      </c>
      <c r="K39" s="15" t="n">
        <f aca="false">IF(ISNUMBER(C39),1,0)</f>
        <v>1</v>
      </c>
      <c r="L39" s="15" t="n">
        <f aca="false">IF(ISNUMBER(D39),1,0)</f>
        <v>1</v>
      </c>
      <c r="M39" s="15" t="n">
        <f aca="false">IF(ISNUMBER(E39),1,0)</f>
        <v>1</v>
      </c>
      <c r="N39" s="15" t="n">
        <f aca="false">IF(ISNUMBER(F39),1,0)</f>
        <v>1</v>
      </c>
      <c r="O39" s="15" t="n">
        <f aca="false">IF(ISNUMBER(G39),1,0)</f>
        <v>1</v>
      </c>
      <c r="P39" s="15" t="n">
        <f aca="false">IF(ISNUMBER(H39),1,0)</f>
        <v>1</v>
      </c>
      <c r="R39" s="15" t="n">
        <f aca="false">IF(J39=1,_xlfn.MINIFS(Sch_idx,Sch_n,B$5,Sch_bmax,"&gt;="&amp;($A39-0.000000001),Sch_P0,"&gt;="&amp;(B39+Beta_y*$A39-0.000000001)),"")</f>
        <v>0</v>
      </c>
      <c r="S39" s="15" t="n">
        <f aca="false">IF(K39=1,_xlfn.MINIFS(Sch_idx,Sch_n,C$5,Sch_bmax,"&gt;="&amp;($A39-0.000000001),Sch_P0,"&gt;="&amp;(C39+Beta_y*$A39-0.000000001)),"")</f>
        <v>32</v>
      </c>
      <c r="T39" s="15" t="n">
        <f aca="false">IF(L39=1,_xlfn.MINIFS(Sch_idx,Sch_n,D$5,Sch_bmax,"&gt;="&amp;($A39-0.000000001),Sch_P0,"&gt;="&amp;(D39+Beta_y*$A39-0.000000001)),"")</f>
        <v>48</v>
      </c>
      <c r="U39" s="15" t="n">
        <f aca="false">IF(M39=1,_xlfn.MINIFS(Sch_idx,Sch_n,E$5,Sch_bmax,"&gt;="&amp;($A39-0.000000001),Sch_P0,"&gt;="&amp;(E39+Beta_y*$A39-0.000000001)),"")</f>
        <v>56</v>
      </c>
      <c r="V39" s="15" t="n">
        <f aca="false">IF(N39=1,_xlfn.MINIFS(Sch_idx,Sch_n,F$5,Sch_bmax,"&gt;="&amp;($A39-0.000000001),Sch_P0,"&gt;="&amp;(F39+Beta_y*$A39-0.000000001)),"")</f>
        <v>57</v>
      </c>
      <c r="W39" s="15" t="n">
        <f aca="false">IF(O39=1,_xlfn.MINIFS(Sch_idx,Sch_n,G$5,Sch_bmax,"&gt;="&amp;($A39-0.000000001),Sch_P0,"&gt;="&amp;(G39+Beta_y*$A39-0.000000001)),"")</f>
        <v>59</v>
      </c>
      <c r="X39" s="15" t="n">
        <f aca="false">IF(P39=1,_xlfn.MINIFS(Sch_idx,Sch_n,H$5,Sch_bmax,"&gt;="&amp;($A39-0.000000001),Sch_P0,"&gt;="&amp;(H39+Beta_y*$A39-0.000000001)),"")</f>
        <v>63</v>
      </c>
      <c r="Z39" s="15" t="n">
        <f aca="false">IF(J39=1,IF(COUNTIFS(K39:$P39,1,C39:$H39,"&gt;="&amp;(B39-0.000000001))&gt;0,0,1),"")</f>
        <v>0</v>
      </c>
      <c r="AA39" s="15" t="n">
        <f aca="false">IF(K39=1,IF(COUNTIFS(L39:$P39,1,D39:$H39,"&gt;="&amp;(C39-0.000000001))&gt;0,0,1),"")</f>
        <v>0</v>
      </c>
      <c r="AB39" s="15" t="n">
        <f aca="false">IF(L39=1,IF(COUNTIFS(M39:$P39,1,E39:$H39,"&gt;="&amp;(D39-0.000000001))&gt;0,0,1),"")</f>
        <v>1</v>
      </c>
      <c r="AC39" s="15" t="n">
        <f aca="false">IF(M39=1,IF(COUNTIFS(N39:$P39,1,F39:$H39,"&gt;="&amp;(E39-0.000000001))&gt;0,0,1),"")</f>
        <v>1</v>
      </c>
      <c r="AD39" s="15" t="n">
        <f aca="false">IF(N39=1,IF(COUNTIFS(O39:$P39,1,G39:$H39,"&gt;="&amp;(F39-0.000000001))&gt;0,0,1),"")</f>
        <v>1</v>
      </c>
      <c r="AE39" s="15" t="n">
        <f aca="false">IF(O39=1,IF(COUNTIFS(P39:$P39,1,H39:$H39,"&gt;="&amp;(G39-0.000000001))&gt;0,0,1),"")</f>
        <v>1</v>
      </c>
      <c r="AF39" s="15" t="n">
        <f aca="false">IF(P39=1,1,"")</f>
        <v>1</v>
      </c>
    </row>
    <row r="40" customFormat="false" ht="15" hidden="false" customHeight="false" outlineLevel="0" collapsed="false">
      <c r="A40" s="2" t="n">
        <v>34</v>
      </c>
      <c r="B40" s="16" t="n">
        <f aca="false">IF(COUNTIFS(Sch_n,B$5,Sch_bmax,"&gt;="&amp;($A40-0.000000001))&gt;0,_xlfn.MAXIFS(Sch_P0,Sch_n,B$5,Sch_bmax,"&gt;="&amp;($A40-0.000000001))-Beta_y*$A40,"")</f>
        <v>105.454545454545</v>
      </c>
      <c r="C40" s="16" t="n">
        <f aca="false">IF(COUNTIFS(Sch_n,C$5,Sch_bmax,"&gt;="&amp;($A40-0.000000001))&gt;0,_xlfn.MAXIFS(Sch_P0,Sch_n,C$5,Sch_bmax,"&gt;="&amp;($A40-0.000000001))-Beta_y*$A40,"")</f>
        <v>339.763553160179</v>
      </c>
      <c r="D40" s="16" t="n">
        <f aca="false">IF(COUNTIFS(Sch_n,D$5,Sch_bmax,"&gt;="&amp;($A40-0.000000001))&gt;0,_xlfn.MAXIFS(Sch_P0,Sch_n,D$5,Sch_bmax,"&gt;="&amp;($A40-0.000000001))-Beta_y*$A40,"")</f>
        <v>353.264245487454</v>
      </c>
      <c r="E40" s="16" t="n">
        <f aca="false">IF(COUNTIFS(Sch_n,E$5,Sch_bmax,"&gt;="&amp;($A40-0.000000001))&gt;0,_xlfn.MAXIFS(Sch_P0,Sch_n,E$5,Sch_bmax,"&gt;="&amp;($A40-0.000000001))-Beta_y*$A40,"")</f>
        <v>299.542894656182</v>
      </c>
      <c r="F40" s="16" t="n">
        <f aca="false">IF(COUNTIFS(Sch_n,F$5,Sch_bmax,"&gt;="&amp;($A40-0.000000001))&gt;0,_xlfn.MAXIFS(Sch_P0,Sch_n,F$5,Sch_bmax,"&gt;="&amp;($A40-0.000000001))-Beta_y*$A40,"")</f>
        <v>229.971482777054</v>
      </c>
      <c r="G40" s="16" t="n">
        <f aca="false">IF(COUNTIFS(Sch_n,G$5,Sch_bmax,"&gt;="&amp;($A40-0.000000001))&gt;0,_xlfn.MAXIFS(Sch_P0,Sch_n,G$5,Sch_bmax,"&gt;="&amp;($A40-0.000000001))-Beta_y*$A40,"")</f>
        <v>155.912503153998</v>
      </c>
      <c r="H40" s="16" t="n">
        <f aca="false">IF(COUNTIFS(Sch_n,H$5,Sch_bmax,"&gt;="&amp;($A40-0.000000001))&gt;0,_xlfn.MAXIFS(Sch_P0,Sch_n,H$5,Sch_bmax,"&gt;="&amp;($A40-0.000000001))-Beta_y*$A40,"")</f>
        <v>75.6824122906296</v>
      </c>
      <c r="J40" s="15" t="n">
        <f aca="false">IF(ISNUMBER(B40),1,0)</f>
        <v>1</v>
      </c>
      <c r="K40" s="15" t="n">
        <f aca="false">IF(ISNUMBER(C40),1,0)</f>
        <v>1</v>
      </c>
      <c r="L40" s="15" t="n">
        <f aca="false">IF(ISNUMBER(D40),1,0)</f>
        <v>1</v>
      </c>
      <c r="M40" s="15" t="n">
        <f aca="false">IF(ISNUMBER(E40),1,0)</f>
        <v>1</v>
      </c>
      <c r="N40" s="15" t="n">
        <f aca="false">IF(ISNUMBER(F40),1,0)</f>
        <v>1</v>
      </c>
      <c r="O40" s="15" t="n">
        <f aca="false">IF(ISNUMBER(G40),1,0)</f>
        <v>1</v>
      </c>
      <c r="P40" s="15" t="n">
        <f aca="false">IF(ISNUMBER(H40),1,0)</f>
        <v>1</v>
      </c>
      <c r="R40" s="15" t="n">
        <f aca="false">IF(J40=1,_xlfn.MINIFS(Sch_idx,Sch_n,B$5,Sch_bmax,"&gt;="&amp;($A40-0.000000001),Sch_P0,"&gt;="&amp;(B40+Beta_y*$A40-0.000000001)),"")</f>
        <v>0</v>
      </c>
      <c r="S40" s="15" t="n">
        <f aca="false">IF(K40=1,_xlfn.MINIFS(Sch_idx,Sch_n,C$5,Sch_bmax,"&gt;="&amp;($A40-0.000000001),Sch_P0,"&gt;="&amp;(C40+Beta_y*$A40-0.000000001)),"")</f>
        <v>32</v>
      </c>
      <c r="T40" s="15" t="n">
        <f aca="false">IF(L40=1,_xlfn.MINIFS(Sch_idx,Sch_n,D$5,Sch_bmax,"&gt;="&amp;($A40-0.000000001),Sch_P0,"&gt;="&amp;(D40+Beta_y*$A40-0.000000001)),"")</f>
        <v>48</v>
      </c>
      <c r="U40" s="15" t="n">
        <f aca="false">IF(M40=1,_xlfn.MINIFS(Sch_idx,Sch_n,E$5,Sch_bmax,"&gt;="&amp;($A40-0.000000001),Sch_P0,"&gt;="&amp;(E40+Beta_y*$A40-0.000000001)),"")</f>
        <v>56</v>
      </c>
      <c r="V40" s="15" t="n">
        <f aca="false">IF(N40=1,_xlfn.MINIFS(Sch_idx,Sch_n,F$5,Sch_bmax,"&gt;="&amp;($A40-0.000000001),Sch_P0,"&gt;="&amp;(F40+Beta_y*$A40-0.000000001)),"")</f>
        <v>57</v>
      </c>
      <c r="W40" s="15" t="n">
        <f aca="false">IF(O40=1,_xlfn.MINIFS(Sch_idx,Sch_n,G$5,Sch_bmax,"&gt;="&amp;($A40-0.000000001),Sch_P0,"&gt;="&amp;(G40+Beta_y*$A40-0.000000001)),"")</f>
        <v>59</v>
      </c>
      <c r="X40" s="15" t="n">
        <f aca="false">IF(P40=1,_xlfn.MINIFS(Sch_idx,Sch_n,H$5,Sch_bmax,"&gt;="&amp;($A40-0.000000001),Sch_P0,"&gt;="&amp;(H40+Beta_y*$A40-0.000000001)),"")</f>
        <v>63</v>
      </c>
      <c r="Z40" s="15" t="n">
        <f aca="false">IF(J40=1,IF(COUNTIFS(K40:$P40,1,C40:$H40,"&gt;="&amp;(B40-0.000000001))&gt;0,0,1),"")</f>
        <v>0</v>
      </c>
      <c r="AA40" s="15" t="n">
        <f aca="false">IF(K40=1,IF(COUNTIFS(L40:$P40,1,D40:$H40,"&gt;="&amp;(C40-0.000000001))&gt;0,0,1),"")</f>
        <v>0</v>
      </c>
      <c r="AB40" s="15" t="n">
        <f aca="false">IF(L40=1,IF(COUNTIFS(M40:$P40,1,E40:$H40,"&gt;="&amp;(D40-0.000000001))&gt;0,0,1),"")</f>
        <v>1</v>
      </c>
      <c r="AC40" s="15" t="n">
        <f aca="false">IF(M40=1,IF(COUNTIFS(N40:$P40,1,F40:$H40,"&gt;="&amp;(E40-0.000000001))&gt;0,0,1),"")</f>
        <v>1</v>
      </c>
      <c r="AD40" s="15" t="n">
        <f aca="false">IF(N40=1,IF(COUNTIFS(O40:$P40,1,G40:$H40,"&gt;="&amp;(F40-0.000000001))&gt;0,0,1),"")</f>
        <v>1</v>
      </c>
      <c r="AE40" s="15" t="n">
        <f aca="false">IF(O40=1,IF(COUNTIFS(P40:$P40,1,H40:$H40,"&gt;="&amp;(G40-0.000000001))&gt;0,0,1),"")</f>
        <v>1</v>
      </c>
      <c r="AF40" s="15" t="n">
        <f aca="false">IF(P40=1,1,"")</f>
        <v>1</v>
      </c>
    </row>
    <row r="41" customFormat="false" ht="15" hidden="false" customHeight="false" outlineLevel="0" collapsed="false">
      <c r="A41" s="2" t="n">
        <v>35</v>
      </c>
      <c r="B41" s="16" t="n">
        <f aca="false">IF(COUNTIFS(Sch_n,B$5,Sch_bmax,"&gt;="&amp;($A41-0.000000001))&gt;0,_xlfn.MAXIFS(Sch_P0,Sch_n,B$5,Sch_bmax,"&gt;="&amp;($A41-0.000000001))-Beta_y*$A41,"")</f>
        <v>104.545454545455</v>
      </c>
      <c r="C41" s="16" t="n">
        <f aca="false">IF(COUNTIFS(Sch_n,C$5,Sch_bmax,"&gt;="&amp;($A41-0.000000001))&gt;0,_xlfn.MAXIFS(Sch_P0,Sch_n,C$5,Sch_bmax,"&gt;="&amp;($A41-0.000000001))-Beta_y*$A41,"")</f>
        <v>338.854462251088</v>
      </c>
      <c r="D41" s="16" t="n">
        <f aca="false">IF(COUNTIFS(Sch_n,D$5,Sch_bmax,"&gt;="&amp;($A41-0.000000001))&gt;0,_xlfn.MAXIFS(Sch_P0,Sch_n,D$5,Sch_bmax,"&gt;="&amp;($A41-0.000000001))-Beta_y*$A41,"")</f>
        <v>352.355154578363</v>
      </c>
      <c r="E41" s="16" t="n">
        <f aca="false">IF(COUNTIFS(Sch_n,E$5,Sch_bmax,"&gt;="&amp;($A41-0.000000001))&gt;0,_xlfn.MAXIFS(Sch_P0,Sch_n,E$5,Sch_bmax,"&gt;="&amp;($A41-0.000000001))-Beta_y*$A41,"")</f>
        <v>298.633803747091</v>
      </c>
      <c r="F41" s="16" t="n">
        <f aca="false">IF(COUNTIFS(Sch_n,F$5,Sch_bmax,"&gt;="&amp;($A41-0.000000001))&gt;0,_xlfn.MAXIFS(Sch_P0,Sch_n,F$5,Sch_bmax,"&gt;="&amp;($A41-0.000000001))-Beta_y*$A41,"")</f>
        <v>229.062391867963</v>
      </c>
      <c r="G41" s="16" t="n">
        <f aca="false">IF(COUNTIFS(Sch_n,G$5,Sch_bmax,"&gt;="&amp;($A41-0.000000001))&gt;0,_xlfn.MAXIFS(Sch_P0,Sch_n,G$5,Sch_bmax,"&gt;="&amp;($A41-0.000000001))-Beta_y*$A41,"")</f>
        <v>155.003412244907</v>
      </c>
      <c r="H41" s="16" t="n">
        <f aca="false">IF(COUNTIFS(Sch_n,H$5,Sch_bmax,"&gt;="&amp;($A41-0.000000001))&gt;0,_xlfn.MAXIFS(Sch_P0,Sch_n,H$5,Sch_bmax,"&gt;="&amp;($A41-0.000000001))-Beta_y*$A41,"")</f>
        <v>74.7733213815387</v>
      </c>
      <c r="J41" s="15" t="n">
        <f aca="false">IF(ISNUMBER(B41),1,0)</f>
        <v>1</v>
      </c>
      <c r="K41" s="15" t="n">
        <f aca="false">IF(ISNUMBER(C41),1,0)</f>
        <v>1</v>
      </c>
      <c r="L41" s="15" t="n">
        <f aca="false">IF(ISNUMBER(D41),1,0)</f>
        <v>1</v>
      </c>
      <c r="M41" s="15" t="n">
        <f aca="false">IF(ISNUMBER(E41),1,0)</f>
        <v>1</v>
      </c>
      <c r="N41" s="15" t="n">
        <f aca="false">IF(ISNUMBER(F41),1,0)</f>
        <v>1</v>
      </c>
      <c r="O41" s="15" t="n">
        <f aca="false">IF(ISNUMBER(G41),1,0)</f>
        <v>1</v>
      </c>
      <c r="P41" s="15" t="n">
        <f aca="false">IF(ISNUMBER(H41),1,0)</f>
        <v>1</v>
      </c>
      <c r="R41" s="15" t="n">
        <f aca="false">IF(J41=1,_xlfn.MINIFS(Sch_idx,Sch_n,B$5,Sch_bmax,"&gt;="&amp;($A41-0.000000001),Sch_P0,"&gt;="&amp;(B41+Beta_y*$A41-0.000000001)),"")</f>
        <v>0</v>
      </c>
      <c r="S41" s="15" t="n">
        <f aca="false">IF(K41=1,_xlfn.MINIFS(Sch_idx,Sch_n,C$5,Sch_bmax,"&gt;="&amp;($A41-0.000000001),Sch_P0,"&gt;="&amp;(C41+Beta_y*$A41-0.000000001)),"")</f>
        <v>32</v>
      </c>
      <c r="T41" s="15" t="n">
        <f aca="false">IF(L41=1,_xlfn.MINIFS(Sch_idx,Sch_n,D$5,Sch_bmax,"&gt;="&amp;($A41-0.000000001),Sch_P0,"&gt;="&amp;(D41+Beta_y*$A41-0.000000001)),"")</f>
        <v>48</v>
      </c>
      <c r="U41" s="15" t="n">
        <f aca="false">IF(M41=1,_xlfn.MINIFS(Sch_idx,Sch_n,E$5,Sch_bmax,"&gt;="&amp;($A41-0.000000001),Sch_P0,"&gt;="&amp;(E41+Beta_y*$A41-0.000000001)),"")</f>
        <v>56</v>
      </c>
      <c r="V41" s="15" t="n">
        <f aca="false">IF(N41=1,_xlfn.MINIFS(Sch_idx,Sch_n,F$5,Sch_bmax,"&gt;="&amp;($A41-0.000000001),Sch_P0,"&gt;="&amp;(F41+Beta_y*$A41-0.000000001)),"")</f>
        <v>57</v>
      </c>
      <c r="W41" s="15" t="n">
        <f aca="false">IF(O41=1,_xlfn.MINIFS(Sch_idx,Sch_n,G$5,Sch_bmax,"&gt;="&amp;($A41-0.000000001),Sch_P0,"&gt;="&amp;(G41+Beta_y*$A41-0.000000001)),"")</f>
        <v>59</v>
      </c>
      <c r="X41" s="15" t="n">
        <f aca="false">IF(P41=1,_xlfn.MINIFS(Sch_idx,Sch_n,H$5,Sch_bmax,"&gt;="&amp;($A41-0.000000001),Sch_P0,"&gt;="&amp;(H41+Beta_y*$A41-0.000000001)),"")</f>
        <v>63</v>
      </c>
      <c r="Z41" s="15" t="n">
        <f aca="false">IF(J41=1,IF(COUNTIFS(K41:$P41,1,C41:$H41,"&gt;="&amp;(B41-0.000000001))&gt;0,0,1),"")</f>
        <v>0</v>
      </c>
      <c r="AA41" s="15" t="n">
        <f aca="false">IF(K41=1,IF(COUNTIFS(L41:$P41,1,D41:$H41,"&gt;="&amp;(C41-0.000000001))&gt;0,0,1),"")</f>
        <v>0</v>
      </c>
      <c r="AB41" s="15" t="n">
        <f aca="false">IF(L41=1,IF(COUNTIFS(M41:$P41,1,E41:$H41,"&gt;="&amp;(D41-0.000000001))&gt;0,0,1),"")</f>
        <v>1</v>
      </c>
      <c r="AC41" s="15" t="n">
        <f aca="false">IF(M41=1,IF(COUNTIFS(N41:$P41,1,F41:$H41,"&gt;="&amp;(E41-0.000000001))&gt;0,0,1),"")</f>
        <v>1</v>
      </c>
      <c r="AD41" s="15" t="n">
        <f aca="false">IF(N41=1,IF(COUNTIFS(O41:$P41,1,G41:$H41,"&gt;="&amp;(F41-0.000000001))&gt;0,0,1),"")</f>
        <v>1</v>
      </c>
      <c r="AE41" s="15" t="n">
        <f aca="false">IF(O41=1,IF(COUNTIFS(P41:$P41,1,H41:$H41,"&gt;="&amp;(G41-0.000000001))&gt;0,0,1),"")</f>
        <v>1</v>
      </c>
      <c r="AF41" s="15" t="n">
        <f aca="false">IF(P41=1,1,"")</f>
        <v>1</v>
      </c>
    </row>
    <row r="42" customFormat="false" ht="15" hidden="false" customHeight="false" outlineLevel="0" collapsed="false">
      <c r="A42" s="2" t="n">
        <v>36</v>
      </c>
      <c r="B42" s="16" t="n">
        <f aca="false">IF(COUNTIFS(Sch_n,B$5,Sch_bmax,"&gt;="&amp;($A42-0.000000001))&gt;0,_xlfn.MAXIFS(Sch_P0,Sch_n,B$5,Sch_bmax,"&gt;="&amp;($A42-0.000000001))-Beta_y*$A42,"")</f>
        <v>103.636363636364</v>
      </c>
      <c r="C42" s="16" t="n">
        <f aca="false">IF(COUNTIFS(Sch_n,C$5,Sch_bmax,"&gt;="&amp;($A42-0.000000001))&gt;0,_xlfn.MAXIFS(Sch_P0,Sch_n,C$5,Sch_bmax,"&gt;="&amp;($A42-0.000000001))-Beta_y*$A42,"")</f>
        <v>337.945371341997</v>
      </c>
      <c r="D42" s="16" t="n">
        <f aca="false">IF(COUNTIFS(Sch_n,D$5,Sch_bmax,"&gt;="&amp;($A42-0.000000001))&gt;0,_xlfn.MAXIFS(Sch_P0,Sch_n,D$5,Sch_bmax,"&gt;="&amp;($A42-0.000000001))-Beta_y*$A42,"")</f>
        <v>351.446063669272</v>
      </c>
      <c r="E42" s="16" t="n">
        <f aca="false">IF(COUNTIFS(Sch_n,E$5,Sch_bmax,"&gt;="&amp;($A42-0.000000001))&gt;0,_xlfn.MAXIFS(Sch_P0,Sch_n,E$5,Sch_bmax,"&gt;="&amp;($A42-0.000000001))-Beta_y*$A42,"")</f>
        <v>297.724712838</v>
      </c>
      <c r="F42" s="16" t="n">
        <f aca="false">IF(COUNTIFS(Sch_n,F$5,Sch_bmax,"&gt;="&amp;($A42-0.000000001))&gt;0,_xlfn.MAXIFS(Sch_P0,Sch_n,F$5,Sch_bmax,"&gt;="&amp;($A42-0.000000001))-Beta_y*$A42,"")</f>
        <v>228.153300958872</v>
      </c>
      <c r="G42" s="16" t="n">
        <f aca="false">IF(COUNTIFS(Sch_n,G$5,Sch_bmax,"&gt;="&amp;($A42-0.000000001))&gt;0,_xlfn.MAXIFS(Sch_P0,Sch_n,G$5,Sch_bmax,"&gt;="&amp;($A42-0.000000001))-Beta_y*$A42,"")</f>
        <v>154.094321335816</v>
      </c>
      <c r="H42" s="16" t="n">
        <f aca="false">IF(COUNTIFS(Sch_n,H$5,Sch_bmax,"&gt;="&amp;($A42-0.000000001))&gt;0,_xlfn.MAXIFS(Sch_P0,Sch_n,H$5,Sch_bmax,"&gt;="&amp;($A42-0.000000001))-Beta_y*$A42,"")</f>
        <v>73.8642304724477</v>
      </c>
      <c r="J42" s="15" t="n">
        <f aca="false">IF(ISNUMBER(B42),1,0)</f>
        <v>1</v>
      </c>
      <c r="K42" s="15" t="n">
        <f aca="false">IF(ISNUMBER(C42),1,0)</f>
        <v>1</v>
      </c>
      <c r="L42" s="15" t="n">
        <f aca="false">IF(ISNUMBER(D42),1,0)</f>
        <v>1</v>
      </c>
      <c r="M42" s="15" t="n">
        <f aca="false">IF(ISNUMBER(E42),1,0)</f>
        <v>1</v>
      </c>
      <c r="N42" s="15" t="n">
        <f aca="false">IF(ISNUMBER(F42),1,0)</f>
        <v>1</v>
      </c>
      <c r="O42" s="15" t="n">
        <f aca="false">IF(ISNUMBER(G42),1,0)</f>
        <v>1</v>
      </c>
      <c r="P42" s="15" t="n">
        <f aca="false">IF(ISNUMBER(H42),1,0)</f>
        <v>1</v>
      </c>
      <c r="R42" s="15" t="n">
        <f aca="false">IF(J42=1,_xlfn.MINIFS(Sch_idx,Sch_n,B$5,Sch_bmax,"&gt;="&amp;($A42-0.000000001),Sch_P0,"&gt;="&amp;(B42+Beta_y*$A42-0.000000001)),"")</f>
        <v>0</v>
      </c>
      <c r="S42" s="15" t="n">
        <f aca="false">IF(K42=1,_xlfn.MINIFS(Sch_idx,Sch_n,C$5,Sch_bmax,"&gt;="&amp;($A42-0.000000001),Sch_P0,"&gt;="&amp;(C42+Beta_y*$A42-0.000000001)),"")</f>
        <v>32</v>
      </c>
      <c r="T42" s="15" t="n">
        <f aca="false">IF(L42=1,_xlfn.MINIFS(Sch_idx,Sch_n,D$5,Sch_bmax,"&gt;="&amp;($A42-0.000000001),Sch_P0,"&gt;="&amp;(D42+Beta_y*$A42-0.000000001)),"")</f>
        <v>48</v>
      </c>
      <c r="U42" s="15" t="n">
        <f aca="false">IF(M42=1,_xlfn.MINIFS(Sch_idx,Sch_n,E$5,Sch_bmax,"&gt;="&amp;($A42-0.000000001),Sch_P0,"&gt;="&amp;(E42+Beta_y*$A42-0.000000001)),"")</f>
        <v>56</v>
      </c>
      <c r="V42" s="15" t="n">
        <f aca="false">IF(N42=1,_xlfn.MINIFS(Sch_idx,Sch_n,F$5,Sch_bmax,"&gt;="&amp;($A42-0.000000001),Sch_P0,"&gt;="&amp;(F42+Beta_y*$A42-0.000000001)),"")</f>
        <v>57</v>
      </c>
      <c r="W42" s="15" t="n">
        <f aca="false">IF(O42=1,_xlfn.MINIFS(Sch_idx,Sch_n,G$5,Sch_bmax,"&gt;="&amp;($A42-0.000000001),Sch_P0,"&gt;="&amp;(G42+Beta_y*$A42-0.000000001)),"")</f>
        <v>59</v>
      </c>
      <c r="X42" s="15" t="n">
        <f aca="false">IF(P42=1,_xlfn.MINIFS(Sch_idx,Sch_n,H$5,Sch_bmax,"&gt;="&amp;($A42-0.000000001),Sch_P0,"&gt;="&amp;(H42+Beta_y*$A42-0.000000001)),"")</f>
        <v>63</v>
      </c>
      <c r="Z42" s="15" t="n">
        <f aca="false">IF(J42=1,IF(COUNTIFS(K42:$P42,1,C42:$H42,"&gt;="&amp;(B42-0.000000001))&gt;0,0,1),"")</f>
        <v>0</v>
      </c>
      <c r="AA42" s="15" t="n">
        <f aca="false">IF(K42=1,IF(COUNTIFS(L42:$P42,1,D42:$H42,"&gt;="&amp;(C42-0.000000001))&gt;0,0,1),"")</f>
        <v>0</v>
      </c>
      <c r="AB42" s="15" t="n">
        <f aca="false">IF(L42=1,IF(COUNTIFS(M42:$P42,1,E42:$H42,"&gt;="&amp;(D42-0.000000001))&gt;0,0,1),"")</f>
        <v>1</v>
      </c>
      <c r="AC42" s="15" t="n">
        <f aca="false">IF(M42=1,IF(COUNTIFS(N42:$P42,1,F42:$H42,"&gt;="&amp;(E42-0.000000001))&gt;0,0,1),"")</f>
        <v>1</v>
      </c>
      <c r="AD42" s="15" t="n">
        <f aca="false">IF(N42=1,IF(COUNTIFS(O42:$P42,1,G42:$H42,"&gt;="&amp;(F42-0.000000001))&gt;0,0,1),"")</f>
        <v>1</v>
      </c>
      <c r="AE42" s="15" t="n">
        <f aca="false">IF(O42=1,IF(COUNTIFS(P42:$P42,1,H42:$H42,"&gt;="&amp;(G42-0.000000001))&gt;0,0,1),"")</f>
        <v>1</v>
      </c>
      <c r="AF42" s="15" t="n">
        <f aca="false">IF(P42=1,1,"")</f>
        <v>1</v>
      </c>
    </row>
    <row r="43" customFormat="false" ht="15" hidden="false" customHeight="false" outlineLevel="0" collapsed="false">
      <c r="A43" s="2" t="n">
        <v>37</v>
      </c>
      <c r="B43" s="16" t="n">
        <f aca="false">IF(COUNTIFS(Sch_n,B$5,Sch_bmax,"&gt;="&amp;($A43-0.000000001))&gt;0,_xlfn.MAXIFS(Sch_P0,Sch_n,B$5,Sch_bmax,"&gt;="&amp;($A43-0.000000001))-Beta_y*$A43,"")</f>
        <v>102.727272727273</v>
      </c>
      <c r="C43" s="16" t="n">
        <f aca="false">IF(COUNTIFS(Sch_n,C$5,Sch_bmax,"&gt;="&amp;($A43-0.000000001))&gt;0,_xlfn.MAXIFS(Sch_P0,Sch_n,C$5,Sch_bmax,"&gt;="&amp;($A43-0.000000001))-Beta_y*$A43,"")</f>
        <v>337.036280432906</v>
      </c>
      <c r="D43" s="16" t="n">
        <f aca="false">IF(COUNTIFS(Sch_n,D$5,Sch_bmax,"&gt;="&amp;($A43-0.000000001))&gt;0,_xlfn.MAXIFS(Sch_P0,Sch_n,D$5,Sch_bmax,"&gt;="&amp;($A43-0.000000001))-Beta_y*$A43,"")</f>
        <v>350.536972760182</v>
      </c>
      <c r="E43" s="16" t="n">
        <f aca="false">IF(COUNTIFS(Sch_n,E$5,Sch_bmax,"&gt;="&amp;($A43-0.000000001))&gt;0,_xlfn.MAXIFS(Sch_P0,Sch_n,E$5,Sch_bmax,"&gt;="&amp;($A43-0.000000001))-Beta_y*$A43,"")</f>
        <v>296.815621928909</v>
      </c>
      <c r="F43" s="16" t="n">
        <f aca="false">IF(COUNTIFS(Sch_n,F$5,Sch_bmax,"&gt;="&amp;($A43-0.000000001))&gt;0,_xlfn.MAXIFS(Sch_P0,Sch_n,F$5,Sch_bmax,"&gt;="&amp;($A43-0.000000001))-Beta_y*$A43,"")</f>
        <v>227.244210049781</v>
      </c>
      <c r="G43" s="16" t="n">
        <f aca="false">IF(COUNTIFS(Sch_n,G$5,Sch_bmax,"&gt;="&amp;($A43-0.000000001))&gt;0,_xlfn.MAXIFS(Sch_P0,Sch_n,G$5,Sch_bmax,"&gt;="&amp;($A43-0.000000001))-Beta_y*$A43,"")</f>
        <v>153.185230426725</v>
      </c>
      <c r="H43" s="16" t="n">
        <f aca="false">IF(COUNTIFS(Sch_n,H$5,Sch_bmax,"&gt;="&amp;($A43-0.000000001))&gt;0,_xlfn.MAXIFS(Sch_P0,Sch_n,H$5,Sch_bmax,"&gt;="&amp;($A43-0.000000001))-Beta_y*$A43,"")</f>
        <v>72.9551395633568</v>
      </c>
      <c r="J43" s="15" t="n">
        <f aca="false">IF(ISNUMBER(B43),1,0)</f>
        <v>1</v>
      </c>
      <c r="K43" s="15" t="n">
        <f aca="false">IF(ISNUMBER(C43),1,0)</f>
        <v>1</v>
      </c>
      <c r="L43" s="15" t="n">
        <f aca="false">IF(ISNUMBER(D43),1,0)</f>
        <v>1</v>
      </c>
      <c r="M43" s="15" t="n">
        <f aca="false">IF(ISNUMBER(E43),1,0)</f>
        <v>1</v>
      </c>
      <c r="N43" s="15" t="n">
        <f aca="false">IF(ISNUMBER(F43),1,0)</f>
        <v>1</v>
      </c>
      <c r="O43" s="15" t="n">
        <f aca="false">IF(ISNUMBER(G43),1,0)</f>
        <v>1</v>
      </c>
      <c r="P43" s="15" t="n">
        <f aca="false">IF(ISNUMBER(H43),1,0)</f>
        <v>1</v>
      </c>
      <c r="R43" s="15" t="n">
        <f aca="false">IF(J43=1,_xlfn.MINIFS(Sch_idx,Sch_n,B$5,Sch_bmax,"&gt;="&amp;($A43-0.000000001),Sch_P0,"&gt;="&amp;(B43+Beta_y*$A43-0.000000001)),"")</f>
        <v>0</v>
      </c>
      <c r="S43" s="15" t="n">
        <f aca="false">IF(K43=1,_xlfn.MINIFS(Sch_idx,Sch_n,C$5,Sch_bmax,"&gt;="&amp;($A43-0.000000001),Sch_P0,"&gt;="&amp;(C43+Beta_y*$A43-0.000000001)),"")</f>
        <v>32</v>
      </c>
      <c r="T43" s="15" t="n">
        <f aca="false">IF(L43=1,_xlfn.MINIFS(Sch_idx,Sch_n,D$5,Sch_bmax,"&gt;="&amp;($A43-0.000000001),Sch_P0,"&gt;="&amp;(D43+Beta_y*$A43-0.000000001)),"")</f>
        <v>48</v>
      </c>
      <c r="U43" s="15" t="n">
        <f aca="false">IF(M43=1,_xlfn.MINIFS(Sch_idx,Sch_n,E$5,Sch_bmax,"&gt;="&amp;($A43-0.000000001),Sch_P0,"&gt;="&amp;(E43+Beta_y*$A43-0.000000001)),"")</f>
        <v>56</v>
      </c>
      <c r="V43" s="15" t="n">
        <f aca="false">IF(N43=1,_xlfn.MINIFS(Sch_idx,Sch_n,F$5,Sch_bmax,"&gt;="&amp;($A43-0.000000001),Sch_P0,"&gt;="&amp;(F43+Beta_y*$A43-0.000000001)),"")</f>
        <v>57</v>
      </c>
      <c r="W43" s="15" t="n">
        <f aca="false">IF(O43=1,_xlfn.MINIFS(Sch_idx,Sch_n,G$5,Sch_bmax,"&gt;="&amp;($A43-0.000000001),Sch_P0,"&gt;="&amp;(G43+Beta_y*$A43-0.000000001)),"")</f>
        <v>59</v>
      </c>
      <c r="X43" s="15" t="n">
        <f aca="false">IF(P43=1,_xlfn.MINIFS(Sch_idx,Sch_n,H$5,Sch_bmax,"&gt;="&amp;($A43-0.000000001),Sch_P0,"&gt;="&amp;(H43+Beta_y*$A43-0.000000001)),"")</f>
        <v>63</v>
      </c>
      <c r="Z43" s="15" t="n">
        <f aca="false">IF(J43=1,IF(COUNTIFS(K43:$P43,1,C43:$H43,"&gt;="&amp;(B43-0.000000001))&gt;0,0,1),"")</f>
        <v>0</v>
      </c>
      <c r="AA43" s="15" t="n">
        <f aca="false">IF(K43=1,IF(COUNTIFS(L43:$P43,1,D43:$H43,"&gt;="&amp;(C43-0.000000001))&gt;0,0,1),"")</f>
        <v>0</v>
      </c>
      <c r="AB43" s="15" t="n">
        <f aca="false">IF(L43=1,IF(COUNTIFS(M43:$P43,1,E43:$H43,"&gt;="&amp;(D43-0.000000001))&gt;0,0,1),"")</f>
        <v>1</v>
      </c>
      <c r="AC43" s="15" t="n">
        <f aca="false">IF(M43=1,IF(COUNTIFS(N43:$P43,1,F43:$H43,"&gt;="&amp;(E43-0.000000001))&gt;0,0,1),"")</f>
        <v>1</v>
      </c>
      <c r="AD43" s="15" t="n">
        <f aca="false">IF(N43=1,IF(COUNTIFS(O43:$P43,1,G43:$H43,"&gt;="&amp;(F43-0.000000001))&gt;0,0,1),"")</f>
        <v>1</v>
      </c>
      <c r="AE43" s="15" t="n">
        <f aca="false">IF(O43=1,IF(COUNTIFS(P43:$P43,1,H43:$H43,"&gt;="&amp;(G43-0.000000001))&gt;0,0,1),"")</f>
        <v>1</v>
      </c>
      <c r="AF43" s="15" t="n">
        <f aca="false">IF(P43=1,1,"")</f>
        <v>1</v>
      </c>
    </row>
    <row r="44" customFormat="false" ht="15" hidden="false" customHeight="false" outlineLevel="0" collapsed="false">
      <c r="A44" s="2" t="n">
        <v>38</v>
      </c>
      <c r="B44" s="16" t="n">
        <f aca="false">IF(COUNTIFS(Sch_n,B$5,Sch_bmax,"&gt;="&amp;($A44-0.000000001))&gt;0,_xlfn.MAXIFS(Sch_P0,Sch_n,B$5,Sch_bmax,"&gt;="&amp;($A44-0.000000001))-Beta_y*$A44,"")</f>
        <v>101.818181818182</v>
      </c>
      <c r="C44" s="16" t="n">
        <f aca="false">IF(COUNTIFS(Sch_n,C$5,Sch_bmax,"&gt;="&amp;($A44-0.000000001))&gt;0,_xlfn.MAXIFS(Sch_P0,Sch_n,C$5,Sch_bmax,"&gt;="&amp;($A44-0.000000001))-Beta_y*$A44,"")</f>
        <v>336.127189523815</v>
      </c>
      <c r="D44" s="16" t="n">
        <f aca="false">IF(COUNTIFS(Sch_n,D$5,Sch_bmax,"&gt;="&amp;($A44-0.000000001))&gt;0,_xlfn.MAXIFS(Sch_P0,Sch_n,D$5,Sch_bmax,"&gt;="&amp;($A44-0.000000001))-Beta_y*$A44,"")</f>
        <v>349.627881851091</v>
      </c>
      <c r="E44" s="16" t="n">
        <f aca="false">IF(COUNTIFS(Sch_n,E$5,Sch_bmax,"&gt;="&amp;($A44-0.000000001))&gt;0,_xlfn.MAXIFS(Sch_P0,Sch_n,E$5,Sch_bmax,"&gt;="&amp;($A44-0.000000001))-Beta_y*$A44,"")</f>
        <v>295.906531019818</v>
      </c>
      <c r="F44" s="16" t="n">
        <f aca="false">IF(COUNTIFS(Sch_n,F$5,Sch_bmax,"&gt;="&amp;($A44-0.000000001))&gt;0,_xlfn.MAXIFS(Sch_P0,Sch_n,F$5,Sch_bmax,"&gt;="&amp;($A44-0.000000001))-Beta_y*$A44,"")</f>
        <v>226.33511914069</v>
      </c>
      <c r="G44" s="16" t="n">
        <f aca="false">IF(COUNTIFS(Sch_n,G$5,Sch_bmax,"&gt;="&amp;($A44-0.000000001))&gt;0,_xlfn.MAXIFS(Sch_P0,Sch_n,G$5,Sch_bmax,"&gt;="&amp;($A44-0.000000001))-Beta_y*$A44,"")</f>
        <v>152.276139517634</v>
      </c>
      <c r="H44" s="16" t="n">
        <f aca="false">IF(COUNTIFS(Sch_n,H$5,Sch_bmax,"&gt;="&amp;($A44-0.000000001))&gt;0,_xlfn.MAXIFS(Sch_P0,Sch_n,H$5,Sch_bmax,"&gt;="&amp;($A44-0.000000001))-Beta_y*$A44,"")</f>
        <v>72.0460486542659</v>
      </c>
      <c r="J44" s="15" t="n">
        <f aca="false">IF(ISNUMBER(B44),1,0)</f>
        <v>1</v>
      </c>
      <c r="K44" s="15" t="n">
        <f aca="false">IF(ISNUMBER(C44),1,0)</f>
        <v>1</v>
      </c>
      <c r="L44" s="15" t="n">
        <f aca="false">IF(ISNUMBER(D44),1,0)</f>
        <v>1</v>
      </c>
      <c r="M44" s="15" t="n">
        <f aca="false">IF(ISNUMBER(E44),1,0)</f>
        <v>1</v>
      </c>
      <c r="N44" s="15" t="n">
        <f aca="false">IF(ISNUMBER(F44),1,0)</f>
        <v>1</v>
      </c>
      <c r="O44" s="15" t="n">
        <f aca="false">IF(ISNUMBER(G44),1,0)</f>
        <v>1</v>
      </c>
      <c r="P44" s="15" t="n">
        <f aca="false">IF(ISNUMBER(H44),1,0)</f>
        <v>1</v>
      </c>
      <c r="R44" s="15" t="n">
        <f aca="false">IF(J44=1,_xlfn.MINIFS(Sch_idx,Sch_n,B$5,Sch_bmax,"&gt;="&amp;($A44-0.000000001),Sch_P0,"&gt;="&amp;(B44+Beta_y*$A44-0.000000001)),"")</f>
        <v>0</v>
      </c>
      <c r="S44" s="15" t="n">
        <f aca="false">IF(K44=1,_xlfn.MINIFS(Sch_idx,Sch_n,C$5,Sch_bmax,"&gt;="&amp;($A44-0.000000001),Sch_P0,"&gt;="&amp;(C44+Beta_y*$A44-0.000000001)),"")</f>
        <v>32</v>
      </c>
      <c r="T44" s="15" t="n">
        <f aca="false">IF(L44=1,_xlfn.MINIFS(Sch_idx,Sch_n,D$5,Sch_bmax,"&gt;="&amp;($A44-0.000000001),Sch_P0,"&gt;="&amp;(D44+Beta_y*$A44-0.000000001)),"")</f>
        <v>48</v>
      </c>
      <c r="U44" s="15" t="n">
        <f aca="false">IF(M44=1,_xlfn.MINIFS(Sch_idx,Sch_n,E$5,Sch_bmax,"&gt;="&amp;($A44-0.000000001),Sch_P0,"&gt;="&amp;(E44+Beta_y*$A44-0.000000001)),"")</f>
        <v>56</v>
      </c>
      <c r="V44" s="15" t="n">
        <f aca="false">IF(N44=1,_xlfn.MINIFS(Sch_idx,Sch_n,F$5,Sch_bmax,"&gt;="&amp;($A44-0.000000001),Sch_P0,"&gt;="&amp;(F44+Beta_y*$A44-0.000000001)),"")</f>
        <v>57</v>
      </c>
      <c r="W44" s="15" t="n">
        <f aca="false">IF(O44=1,_xlfn.MINIFS(Sch_idx,Sch_n,G$5,Sch_bmax,"&gt;="&amp;($A44-0.000000001),Sch_P0,"&gt;="&amp;(G44+Beta_y*$A44-0.000000001)),"")</f>
        <v>59</v>
      </c>
      <c r="X44" s="15" t="n">
        <f aca="false">IF(P44=1,_xlfn.MINIFS(Sch_idx,Sch_n,H$5,Sch_bmax,"&gt;="&amp;($A44-0.000000001),Sch_P0,"&gt;="&amp;(H44+Beta_y*$A44-0.000000001)),"")</f>
        <v>63</v>
      </c>
      <c r="Z44" s="15" t="n">
        <f aca="false">IF(J44=1,IF(COUNTIFS(K44:$P44,1,C44:$H44,"&gt;="&amp;(B44-0.000000001))&gt;0,0,1),"")</f>
        <v>0</v>
      </c>
      <c r="AA44" s="15" t="n">
        <f aca="false">IF(K44=1,IF(COUNTIFS(L44:$P44,1,D44:$H44,"&gt;="&amp;(C44-0.000000001))&gt;0,0,1),"")</f>
        <v>0</v>
      </c>
      <c r="AB44" s="15" t="n">
        <f aca="false">IF(L44=1,IF(COUNTIFS(M44:$P44,1,E44:$H44,"&gt;="&amp;(D44-0.000000001))&gt;0,0,1),"")</f>
        <v>1</v>
      </c>
      <c r="AC44" s="15" t="n">
        <f aca="false">IF(M44=1,IF(COUNTIFS(N44:$P44,1,F44:$H44,"&gt;="&amp;(E44-0.000000001))&gt;0,0,1),"")</f>
        <v>1</v>
      </c>
      <c r="AD44" s="15" t="n">
        <f aca="false">IF(N44=1,IF(COUNTIFS(O44:$P44,1,G44:$H44,"&gt;="&amp;(F44-0.000000001))&gt;0,0,1),"")</f>
        <v>1</v>
      </c>
      <c r="AE44" s="15" t="n">
        <f aca="false">IF(O44=1,IF(COUNTIFS(P44:$P44,1,H44:$H44,"&gt;="&amp;(G44-0.000000001))&gt;0,0,1),"")</f>
        <v>1</v>
      </c>
      <c r="AF44" s="15" t="n">
        <f aca="false">IF(P44=1,1,"")</f>
        <v>1</v>
      </c>
    </row>
    <row r="45" customFormat="false" ht="15" hidden="false" customHeight="false" outlineLevel="0" collapsed="false">
      <c r="A45" s="2" t="n">
        <v>39</v>
      </c>
      <c r="B45" s="16" t="n">
        <f aca="false">IF(COUNTIFS(Sch_n,B$5,Sch_bmax,"&gt;="&amp;($A45-0.000000001))&gt;0,_xlfn.MAXIFS(Sch_P0,Sch_n,B$5,Sch_bmax,"&gt;="&amp;($A45-0.000000001))-Beta_y*$A45,"")</f>
        <v>100.909090909091</v>
      </c>
      <c r="C45" s="16" t="n">
        <f aca="false">IF(COUNTIFS(Sch_n,C$5,Sch_bmax,"&gt;="&amp;($A45-0.000000001))&gt;0,_xlfn.MAXIFS(Sch_P0,Sch_n,C$5,Sch_bmax,"&gt;="&amp;($A45-0.000000001))-Beta_y*$A45,"")</f>
        <v>335.218098614725</v>
      </c>
      <c r="D45" s="16" t="n">
        <f aca="false">IF(COUNTIFS(Sch_n,D$5,Sch_bmax,"&gt;="&amp;($A45-0.000000001))&gt;0,_xlfn.MAXIFS(Sch_P0,Sch_n,D$5,Sch_bmax,"&gt;="&amp;($A45-0.000000001))-Beta_y*$A45,"")</f>
        <v>348.718790942</v>
      </c>
      <c r="E45" s="16" t="n">
        <f aca="false">IF(COUNTIFS(Sch_n,E$5,Sch_bmax,"&gt;="&amp;($A45-0.000000001))&gt;0,_xlfn.MAXIFS(Sch_P0,Sch_n,E$5,Sch_bmax,"&gt;="&amp;($A45-0.000000001))-Beta_y*$A45,"")</f>
        <v>294.997440110727</v>
      </c>
      <c r="F45" s="16" t="n">
        <f aca="false">IF(COUNTIFS(Sch_n,F$5,Sch_bmax,"&gt;="&amp;($A45-0.000000001))&gt;0,_xlfn.MAXIFS(Sch_P0,Sch_n,F$5,Sch_bmax,"&gt;="&amp;($A45-0.000000001))-Beta_y*$A45,"")</f>
        <v>225.426028231599</v>
      </c>
      <c r="G45" s="16" t="n">
        <f aca="false">IF(COUNTIFS(Sch_n,G$5,Sch_bmax,"&gt;="&amp;($A45-0.000000001))&gt;0,_xlfn.MAXIFS(Sch_P0,Sch_n,G$5,Sch_bmax,"&gt;="&amp;($A45-0.000000001))-Beta_y*$A45,"")</f>
        <v>151.367048608544</v>
      </c>
      <c r="H45" s="16" t="n">
        <f aca="false">IF(COUNTIFS(Sch_n,H$5,Sch_bmax,"&gt;="&amp;($A45-0.000000001))&gt;0,_xlfn.MAXIFS(Sch_P0,Sch_n,H$5,Sch_bmax,"&gt;="&amp;($A45-0.000000001))-Beta_y*$A45,"")</f>
        <v>71.136957745175</v>
      </c>
      <c r="J45" s="15" t="n">
        <f aca="false">IF(ISNUMBER(B45),1,0)</f>
        <v>1</v>
      </c>
      <c r="K45" s="15" t="n">
        <f aca="false">IF(ISNUMBER(C45),1,0)</f>
        <v>1</v>
      </c>
      <c r="L45" s="15" t="n">
        <f aca="false">IF(ISNUMBER(D45),1,0)</f>
        <v>1</v>
      </c>
      <c r="M45" s="15" t="n">
        <f aca="false">IF(ISNUMBER(E45),1,0)</f>
        <v>1</v>
      </c>
      <c r="N45" s="15" t="n">
        <f aca="false">IF(ISNUMBER(F45),1,0)</f>
        <v>1</v>
      </c>
      <c r="O45" s="15" t="n">
        <f aca="false">IF(ISNUMBER(G45),1,0)</f>
        <v>1</v>
      </c>
      <c r="P45" s="15" t="n">
        <f aca="false">IF(ISNUMBER(H45),1,0)</f>
        <v>1</v>
      </c>
      <c r="R45" s="15" t="n">
        <f aca="false">IF(J45=1,_xlfn.MINIFS(Sch_idx,Sch_n,B$5,Sch_bmax,"&gt;="&amp;($A45-0.000000001),Sch_P0,"&gt;="&amp;(B45+Beta_y*$A45-0.000000001)),"")</f>
        <v>0</v>
      </c>
      <c r="S45" s="15" t="n">
        <f aca="false">IF(K45=1,_xlfn.MINIFS(Sch_idx,Sch_n,C$5,Sch_bmax,"&gt;="&amp;($A45-0.000000001),Sch_P0,"&gt;="&amp;(C45+Beta_y*$A45-0.000000001)),"")</f>
        <v>32</v>
      </c>
      <c r="T45" s="15" t="n">
        <f aca="false">IF(L45=1,_xlfn.MINIFS(Sch_idx,Sch_n,D$5,Sch_bmax,"&gt;="&amp;($A45-0.000000001),Sch_P0,"&gt;="&amp;(D45+Beta_y*$A45-0.000000001)),"")</f>
        <v>48</v>
      </c>
      <c r="U45" s="15" t="n">
        <f aca="false">IF(M45=1,_xlfn.MINIFS(Sch_idx,Sch_n,E$5,Sch_bmax,"&gt;="&amp;($A45-0.000000001),Sch_P0,"&gt;="&amp;(E45+Beta_y*$A45-0.000000001)),"")</f>
        <v>56</v>
      </c>
      <c r="V45" s="15" t="n">
        <f aca="false">IF(N45=1,_xlfn.MINIFS(Sch_idx,Sch_n,F$5,Sch_bmax,"&gt;="&amp;($A45-0.000000001),Sch_P0,"&gt;="&amp;(F45+Beta_y*$A45-0.000000001)),"")</f>
        <v>57</v>
      </c>
      <c r="W45" s="15" t="n">
        <f aca="false">IF(O45=1,_xlfn.MINIFS(Sch_idx,Sch_n,G$5,Sch_bmax,"&gt;="&amp;($A45-0.000000001),Sch_P0,"&gt;="&amp;(G45+Beta_y*$A45-0.000000001)),"")</f>
        <v>59</v>
      </c>
      <c r="X45" s="15" t="n">
        <f aca="false">IF(P45=1,_xlfn.MINIFS(Sch_idx,Sch_n,H$5,Sch_bmax,"&gt;="&amp;($A45-0.000000001),Sch_P0,"&gt;="&amp;(H45+Beta_y*$A45-0.000000001)),"")</f>
        <v>63</v>
      </c>
      <c r="Z45" s="15" t="n">
        <f aca="false">IF(J45=1,IF(COUNTIFS(K45:$P45,1,C45:$H45,"&gt;="&amp;(B45-0.000000001))&gt;0,0,1),"")</f>
        <v>0</v>
      </c>
      <c r="AA45" s="15" t="n">
        <f aca="false">IF(K45=1,IF(COUNTIFS(L45:$P45,1,D45:$H45,"&gt;="&amp;(C45-0.000000001))&gt;0,0,1),"")</f>
        <v>0</v>
      </c>
      <c r="AB45" s="15" t="n">
        <f aca="false">IF(L45=1,IF(COUNTIFS(M45:$P45,1,E45:$H45,"&gt;="&amp;(D45-0.000000001))&gt;0,0,1),"")</f>
        <v>1</v>
      </c>
      <c r="AC45" s="15" t="n">
        <f aca="false">IF(M45=1,IF(COUNTIFS(N45:$P45,1,F45:$H45,"&gt;="&amp;(E45-0.000000001))&gt;0,0,1),"")</f>
        <v>1</v>
      </c>
      <c r="AD45" s="15" t="n">
        <f aca="false">IF(N45=1,IF(COUNTIFS(O45:$P45,1,G45:$H45,"&gt;="&amp;(F45-0.000000001))&gt;0,0,1),"")</f>
        <v>1</v>
      </c>
      <c r="AE45" s="15" t="n">
        <f aca="false">IF(O45=1,IF(COUNTIFS(P45:$P45,1,H45:$H45,"&gt;="&amp;(G45-0.000000001))&gt;0,0,1),"")</f>
        <v>1</v>
      </c>
      <c r="AF45" s="15" t="n">
        <f aca="false">IF(P45=1,1,"")</f>
        <v>1</v>
      </c>
    </row>
    <row r="46" customFormat="false" ht="15" hidden="false" customHeight="false" outlineLevel="0" collapsed="false">
      <c r="A46" s="2" t="n">
        <v>40</v>
      </c>
      <c r="B46" s="16" t="n">
        <f aca="false">IF(COUNTIFS(Sch_n,B$5,Sch_bmax,"&gt;="&amp;($A46-0.000000001))&gt;0,_xlfn.MAXIFS(Sch_P0,Sch_n,B$5,Sch_bmax,"&gt;="&amp;($A46-0.000000001))-Beta_y*$A46,"")</f>
        <v>100</v>
      </c>
      <c r="C46" s="16" t="n">
        <f aca="false">IF(COUNTIFS(Sch_n,C$5,Sch_bmax,"&gt;="&amp;($A46-0.000000001))&gt;0,_xlfn.MAXIFS(Sch_P0,Sch_n,C$5,Sch_bmax,"&gt;="&amp;($A46-0.000000001))-Beta_y*$A46,"")</f>
        <v>334.309007705634</v>
      </c>
      <c r="D46" s="16" t="n">
        <f aca="false">IF(COUNTIFS(Sch_n,D$5,Sch_bmax,"&gt;="&amp;($A46-0.000000001))&gt;0,_xlfn.MAXIFS(Sch_P0,Sch_n,D$5,Sch_bmax,"&gt;="&amp;($A46-0.000000001))-Beta_y*$A46,"")</f>
        <v>347.809700032909</v>
      </c>
      <c r="E46" s="16" t="n">
        <f aca="false">IF(COUNTIFS(Sch_n,E$5,Sch_bmax,"&gt;="&amp;($A46-0.000000001))&gt;0,_xlfn.MAXIFS(Sch_P0,Sch_n,E$5,Sch_bmax,"&gt;="&amp;($A46-0.000000001))-Beta_y*$A46,"")</f>
        <v>294.088349201636</v>
      </c>
      <c r="F46" s="16" t="n">
        <f aca="false">IF(COUNTIFS(Sch_n,F$5,Sch_bmax,"&gt;="&amp;($A46-0.000000001))&gt;0,_xlfn.MAXIFS(Sch_P0,Sch_n,F$5,Sch_bmax,"&gt;="&amp;($A46-0.000000001))-Beta_y*$A46,"")</f>
        <v>224.516937322508</v>
      </c>
      <c r="G46" s="16" t="n">
        <f aca="false">IF(COUNTIFS(Sch_n,G$5,Sch_bmax,"&gt;="&amp;($A46-0.000000001))&gt;0,_xlfn.MAXIFS(Sch_P0,Sch_n,G$5,Sch_bmax,"&gt;="&amp;($A46-0.000000001))-Beta_y*$A46,"")</f>
        <v>150.457957699453</v>
      </c>
      <c r="H46" s="16" t="n">
        <f aca="false">IF(COUNTIFS(Sch_n,H$5,Sch_bmax,"&gt;="&amp;($A46-0.000000001))&gt;0,_xlfn.MAXIFS(Sch_P0,Sch_n,H$5,Sch_bmax,"&gt;="&amp;($A46-0.000000001))-Beta_y*$A46,"")</f>
        <v>70.2278668360841</v>
      </c>
      <c r="J46" s="15" t="n">
        <f aca="false">IF(ISNUMBER(B46),1,0)</f>
        <v>1</v>
      </c>
      <c r="K46" s="15" t="n">
        <f aca="false">IF(ISNUMBER(C46),1,0)</f>
        <v>1</v>
      </c>
      <c r="L46" s="15" t="n">
        <f aca="false">IF(ISNUMBER(D46),1,0)</f>
        <v>1</v>
      </c>
      <c r="M46" s="15" t="n">
        <f aca="false">IF(ISNUMBER(E46),1,0)</f>
        <v>1</v>
      </c>
      <c r="N46" s="15" t="n">
        <f aca="false">IF(ISNUMBER(F46),1,0)</f>
        <v>1</v>
      </c>
      <c r="O46" s="15" t="n">
        <f aca="false">IF(ISNUMBER(G46),1,0)</f>
        <v>1</v>
      </c>
      <c r="P46" s="15" t="n">
        <f aca="false">IF(ISNUMBER(H46),1,0)</f>
        <v>1</v>
      </c>
      <c r="R46" s="15" t="n">
        <f aca="false">IF(J46=1,_xlfn.MINIFS(Sch_idx,Sch_n,B$5,Sch_bmax,"&gt;="&amp;($A46-0.000000001),Sch_P0,"&gt;="&amp;(B46+Beta_y*$A46-0.000000001)),"")</f>
        <v>0</v>
      </c>
      <c r="S46" s="15" t="n">
        <f aca="false">IF(K46=1,_xlfn.MINIFS(Sch_idx,Sch_n,C$5,Sch_bmax,"&gt;="&amp;($A46-0.000000001),Sch_P0,"&gt;="&amp;(C46+Beta_y*$A46-0.000000001)),"")</f>
        <v>32</v>
      </c>
      <c r="T46" s="15" t="n">
        <f aca="false">IF(L46=1,_xlfn.MINIFS(Sch_idx,Sch_n,D$5,Sch_bmax,"&gt;="&amp;($A46-0.000000001),Sch_P0,"&gt;="&amp;(D46+Beta_y*$A46-0.000000001)),"")</f>
        <v>48</v>
      </c>
      <c r="U46" s="15" t="n">
        <f aca="false">IF(M46=1,_xlfn.MINIFS(Sch_idx,Sch_n,E$5,Sch_bmax,"&gt;="&amp;($A46-0.000000001),Sch_P0,"&gt;="&amp;(E46+Beta_y*$A46-0.000000001)),"")</f>
        <v>56</v>
      </c>
      <c r="V46" s="15" t="n">
        <f aca="false">IF(N46=1,_xlfn.MINIFS(Sch_idx,Sch_n,F$5,Sch_bmax,"&gt;="&amp;($A46-0.000000001),Sch_P0,"&gt;="&amp;(F46+Beta_y*$A46-0.000000001)),"")</f>
        <v>57</v>
      </c>
      <c r="W46" s="15" t="n">
        <f aca="false">IF(O46=1,_xlfn.MINIFS(Sch_idx,Sch_n,G$5,Sch_bmax,"&gt;="&amp;($A46-0.000000001),Sch_P0,"&gt;="&amp;(G46+Beta_y*$A46-0.000000001)),"")</f>
        <v>59</v>
      </c>
      <c r="X46" s="15" t="n">
        <f aca="false">IF(P46=1,_xlfn.MINIFS(Sch_idx,Sch_n,H$5,Sch_bmax,"&gt;="&amp;($A46-0.000000001),Sch_P0,"&gt;="&amp;(H46+Beta_y*$A46-0.000000001)),"")</f>
        <v>63</v>
      </c>
      <c r="Z46" s="15" t="n">
        <f aca="false">IF(J46=1,IF(COUNTIFS(K46:$P46,1,C46:$H46,"&gt;="&amp;(B46-0.000000001))&gt;0,0,1),"")</f>
        <v>0</v>
      </c>
      <c r="AA46" s="15" t="n">
        <f aca="false">IF(K46=1,IF(COUNTIFS(L46:$P46,1,D46:$H46,"&gt;="&amp;(C46-0.000000001))&gt;0,0,1),"")</f>
        <v>0</v>
      </c>
      <c r="AB46" s="15" t="n">
        <f aca="false">IF(L46=1,IF(COUNTIFS(M46:$P46,1,E46:$H46,"&gt;="&amp;(D46-0.000000001))&gt;0,0,1),"")</f>
        <v>1</v>
      </c>
      <c r="AC46" s="15" t="n">
        <f aca="false">IF(M46=1,IF(COUNTIFS(N46:$P46,1,F46:$H46,"&gt;="&amp;(E46-0.000000001))&gt;0,0,1),"")</f>
        <v>1</v>
      </c>
      <c r="AD46" s="15" t="n">
        <f aca="false">IF(N46=1,IF(COUNTIFS(O46:$P46,1,G46:$H46,"&gt;="&amp;(F46-0.000000001))&gt;0,0,1),"")</f>
        <v>1</v>
      </c>
      <c r="AE46" s="15" t="n">
        <f aca="false">IF(O46=1,IF(COUNTIFS(P46:$P46,1,H46:$H46,"&gt;="&amp;(G46-0.000000001))&gt;0,0,1),"")</f>
        <v>1</v>
      </c>
      <c r="AF46" s="15" t="n">
        <f aca="false">IF(P46=1,1,"")</f>
        <v>1</v>
      </c>
    </row>
    <row r="47" customFormat="false" ht="15" hidden="false" customHeight="false" outlineLevel="0" collapsed="false">
      <c r="A47" s="2" t="n">
        <v>41</v>
      </c>
      <c r="B47" s="16" t="n">
        <f aca="false">IF(COUNTIFS(Sch_n,B$5,Sch_bmax,"&gt;="&amp;($A47-0.000000001))&gt;0,_xlfn.MAXIFS(Sch_P0,Sch_n,B$5,Sch_bmax,"&gt;="&amp;($A47-0.000000001))-Beta_y*$A47,"")</f>
        <v>99.0909090909091</v>
      </c>
      <c r="C47" s="16" t="n">
        <f aca="false">IF(COUNTIFS(Sch_n,C$5,Sch_bmax,"&gt;="&amp;($A47-0.000000001))&gt;0,_xlfn.MAXIFS(Sch_P0,Sch_n,C$5,Sch_bmax,"&gt;="&amp;($A47-0.000000001))-Beta_y*$A47,"")</f>
        <v>333.399916796543</v>
      </c>
      <c r="D47" s="16" t="n">
        <f aca="false">IF(COUNTIFS(Sch_n,D$5,Sch_bmax,"&gt;="&amp;($A47-0.000000001))&gt;0,_xlfn.MAXIFS(Sch_P0,Sch_n,D$5,Sch_bmax,"&gt;="&amp;($A47-0.000000001))-Beta_y*$A47,"")</f>
        <v>346.900609123818</v>
      </c>
      <c r="E47" s="16" t="n">
        <f aca="false">IF(COUNTIFS(Sch_n,E$5,Sch_bmax,"&gt;="&amp;($A47-0.000000001))&gt;0,_xlfn.MAXIFS(Sch_P0,Sch_n,E$5,Sch_bmax,"&gt;="&amp;($A47-0.000000001))-Beta_y*$A47,"")</f>
        <v>293.179258292545</v>
      </c>
      <c r="F47" s="16" t="n">
        <f aca="false">IF(COUNTIFS(Sch_n,F$5,Sch_bmax,"&gt;="&amp;($A47-0.000000001))&gt;0,_xlfn.MAXIFS(Sch_P0,Sch_n,F$5,Sch_bmax,"&gt;="&amp;($A47-0.000000001))-Beta_y*$A47,"")</f>
        <v>223.607846413417</v>
      </c>
      <c r="G47" s="16" t="n">
        <f aca="false">IF(COUNTIFS(Sch_n,G$5,Sch_bmax,"&gt;="&amp;($A47-0.000000001))&gt;0,_xlfn.MAXIFS(Sch_P0,Sch_n,G$5,Sch_bmax,"&gt;="&amp;($A47-0.000000001))-Beta_y*$A47,"")</f>
        <v>149.548866790362</v>
      </c>
      <c r="H47" s="16" t="n">
        <f aca="false">IF(COUNTIFS(Sch_n,H$5,Sch_bmax,"&gt;="&amp;($A47-0.000000001))&gt;0,_xlfn.MAXIFS(Sch_P0,Sch_n,H$5,Sch_bmax,"&gt;="&amp;($A47-0.000000001))-Beta_y*$A47,"")</f>
        <v>69.3187759269932</v>
      </c>
      <c r="J47" s="15" t="n">
        <f aca="false">IF(ISNUMBER(B47),1,0)</f>
        <v>1</v>
      </c>
      <c r="K47" s="15" t="n">
        <f aca="false">IF(ISNUMBER(C47),1,0)</f>
        <v>1</v>
      </c>
      <c r="L47" s="15" t="n">
        <f aca="false">IF(ISNUMBER(D47),1,0)</f>
        <v>1</v>
      </c>
      <c r="M47" s="15" t="n">
        <f aca="false">IF(ISNUMBER(E47),1,0)</f>
        <v>1</v>
      </c>
      <c r="N47" s="15" t="n">
        <f aca="false">IF(ISNUMBER(F47),1,0)</f>
        <v>1</v>
      </c>
      <c r="O47" s="15" t="n">
        <f aca="false">IF(ISNUMBER(G47),1,0)</f>
        <v>1</v>
      </c>
      <c r="P47" s="15" t="n">
        <f aca="false">IF(ISNUMBER(H47),1,0)</f>
        <v>1</v>
      </c>
      <c r="R47" s="15" t="n">
        <f aca="false">IF(J47=1,_xlfn.MINIFS(Sch_idx,Sch_n,B$5,Sch_bmax,"&gt;="&amp;($A47-0.000000001),Sch_P0,"&gt;="&amp;(B47+Beta_y*$A47-0.000000001)),"")</f>
        <v>0</v>
      </c>
      <c r="S47" s="15" t="n">
        <f aca="false">IF(K47=1,_xlfn.MINIFS(Sch_idx,Sch_n,C$5,Sch_bmax,"&gt;="&amp;($A47-0.000000001),Sch_P0,"&gt;="&amp;(C47+Beta_y*$A47-0.000000001)),"")</f>
        <v>32</v>
      </c>
      <c r="T47" s="15" t="n">
        <f aca="false">IF(L47=1,_xlfn.MINIFS(Sch_idx,Sch_n,D$5,Sch_bmax,"&gt;="&amp;($A47-0.000000001),Sch_P0,"&gt;="&amp;(D47+Beta_y*$A47-0.000000001)),"")</f>
        <v>48</v>
      </c>
      <c r="U47" s="15" t="n">
        <f aca="false">IF(M47=1,_xlfn.MINIFS(Sch_idx,Sch_n,E$5,Sch_bmax,"&gt;="&amp;($A47-0.000000001),Sch_P0,"&gt;="&amp;(E47+Beta_y*$A47-0.000000001)),"")</f>
        <v>56</v>
      </c>
      <c r="V47" s="15" t="n">
        <f aca="false">IF(N47=1,_xlfn.MINIFS(Sch_idx,Sch_n,F$5,Sch_bmax,"&gt;="&amp;($A47-0.000000001),Sch_P0,"&gt;="&amp;(F47+Beta_y*$A47-0.000000001)),"")</f>
        <v>57</v>
      </c>
      <c r="W47" s="15" t="n">
        <f aca="false">IF(O47=1,_xlfn.MINIFS(Sch_idx,Sch_n,G$5,Sch_bmax,"&gt;="&amp;($A47-0.000000001),Sch_P0,"&gt;="&amp;(G47+Beta_y*$A47-0.000000001)),"")</f>
        <v>59</v>
      </c>
      <c r="X47" s="15" t="n">
        <f aca="false">IF(P47=1,_xlfn.MINIFS(Sch_idx,Sch_n,H$5,Sch_bmax,"&gt;="&amp;($A47-0.000000001),Sch_P0,"&gt;="&amp;(H47+Beta_y*$A47-0.000000001)),"")</f>
        <v>63</v>
      </c>
      <c r="Z47" s="15" t="n">
        <f aca="false">IF(J47=1,IF(COUNTIFS(K47:$P47,1,C47:$H47,"&gt;="&amp;(B47-0.000000001))&gt;0,0,1),"")</f>
        <v>0</v>
      </c>
      <c r="AA47" s="15" t="n">
        <f aca="false">IF(K47=1,IF(COUNTIFS(L47:$P47,1,D47:$H47,"&gt;="&amp;(C47-0.000000001))&gt;0,0,1),"")</f>
        <v>0</v>
      </c>
      <c r="AB47" s="15" t="n">
        <f aca="false">IF(L47=1,IF(COUNTIFS(M47:$P47,1,E47:$H47,"&gt;="&amp;(D47-0.000000001))&gt;0,0,1),"")</f>
        <v>1</v>
      </c>
      <c r="AC47" s="15" t="n">
        <f aca="false">IF(M47=1,IF(COUNTIFS(N47:$P47,1,F47:$H47,"&gt;="&amp;(E47-0.000000001))&gt;0,0,1),"")</f>
        <v>1</v>
      </c>
      <c r="AD47" s="15" t="n">
        <f aca="false">IF(N47=1,IF(COUNTIFS(O47:$P47,1,G47:$H47,"&gt;="&amp;(F47-0.000000001))&gt;0,0,1),"")</f>
        <v>1</v>
      </c>
      <c r="AE47" s="15" t="n">
        <f aca="false">IF(O47=1,IF(COUNTIFS(P47:$P47,1,H47:$H47,"&gt;="&amp;(G47-0.000000001))&gt;0,0,1),"")</f>
        <v>1</v>
      </c>
      <c r="AF47" s="15" t="n">
        <f aca="false">IF(P47=1,1,"")</f>
        <v>1</v>
      </c>
    </row>
    <row r="48" customFormat="false" ht="15" hidden="false" customHeight="false" outlineLevel="0" collapsed="false">
      <c r="A48" s="2" t="n">
        <v>42</v>
      </c>
      <c r="B48" s="16" t="n">
        <f aca="false">IF(COUNTIFS(Sch_n,B$5,Sch_bmax,"&gt;="&amp;($A48-0.000000001))&gt;0,_xlfn.MAXIFS(Sch_P0,Sch_n,B$5,Sch_bmax,"&gt;="&amp;($A48-0.000000001))-Beta_y*$A48,"")</f>
        <v>98.1818181818182</v>
      </c>
      <c r="C48" s="16" t="n">
        <f aca="false">IF(COUNTIFS(Sch_n,C$5,Sch_bmax,"&gt;="&amp;($A48-0.000000001))&gt;0,_xlfn.MAXIFS(Sch_P0,Sch_n,C$5,Sch_bmax,"&gt;="&amp;($A48-0.000000001))-Beta_y*$A48,"")</f>
        <v>332.490825887452</v>
      </c>
      <c r="D48" s="16" t="n">
        <f aca="false">IF(COUNTIFS(Sch_n,D$5,Sch_bmax,"&gt;="&amp;($A48-0.000000001))&gt;0,_xlfn.MAXIFS(Sch_P0,Sch_n,D$5,Sch_bmax,"&gt;="&amp;($A48-0.000000001))-Beta_y*$A48,"")</f>
        <v>345.991518214727</v>
      </c>
      <c r="E48" s="16" t="n">
        <f aca="false">IF(COUNTIFS(Sch_n,E$5,Sch_bmax,"&gt;="&amp;($A48-0.000000001))&gt;0,_xlfn.MAXIFS(Sch_P0,Sch_n,E$5,Sch_bmax,"&gt;="&amp;($A48-0.000000001))-Beta_y*$A48,"")</f>
        <v>292.270167383454</v>
      </c>
      <c r="F48" s="16" t="n">
        <f aca="false">IF(COUNTIFS(Sch_n,F$5,Sch_bmax,"&gt;="&amp;($A48-0.000000001))&gt;0,_xlfn.MAXIFS(Sch_P0,Sch_n,F$5,Sch_bmax,"&gt;="&amp;($A48-0.000000001))-Beta_y*$A48,"")</f>
        <v>222.698755504326</v>
      </c>
      <c r="G48" s="16" t="n">
        <f aca="false">IF(COUNTIFS(Sch_n,G$5,Sch_bmax,"&gt;="&amp;($A48-0.000000001))&gt;0,_xlfn.MAXIFS(Sch_P0,Sch_n,G$5,Sch_bmax,"&gt;="&amp;($A48-0.000000001))-Beta_y*$A48,"")</f>
        <v>148.639775881271</v>
      </c>
      <c r="H48" s="16" t="n">
        <f aca="false">IF(COUNTIFS(Sch_n,H$5,Sch_bmax,"&gt;="&amp;($A48-0.000000001))&gt;0,_xlfn.MAXIFS(Sch_P0,Sch_n,H$5,Sch_bmax,"&gt;="&amp;($A48-0.000000001))-Beta_y*$A48,"")</f>
        <v>68.4096850179023</v>
      </c>
      <c r="J48" s="15" t="n">
        <f aca="false">IF(ISNUMBER(B48),1,0)</f>
        <v>1</v>
      </c>
      <c r="K48" s="15" t="n">
        <f aca="false">IF(ISNUMBER(C48),1,0)</f>
        <v>1</v>
      </c>
      <c r="L48" s="15" t="n">
        <f aca="false">IF(ISNUMBER(D48),1,0)</f>
        <v>1</v>
      </c>
      <c r="M48" s="15" t="n">
        <f aca="false">IF(ISNUMBER(E48),1,0)</f>
        <v>1</v>
      </c>
      <c r="N48" s="15" t="n">
        <f aca="false">IF(ISNUMBER(F48),1,0)</f>
        <v>1</v>
      </c>
      <c r="O48" s="15" t="n">
        <f aca="false">IF(ISNUMBER(G48),1,0)</f>
        <v>1</v>
      </c>
      <c r="P48" s="15" t="n">
        <f aca="false">IF(ISNUMBER(H48),1,0)</f>
        <v>1</v>
      </c>
      <c r="R48" s="15" t="n">
        <f aca="false">IF(J48=1,_xlfn.MINIFS(Sch_idx,Sch_n,B$5,Sch_bmax,"&gt;="&amp;($A48-0.000000001),Sch_P0,"&gt;="&amp;(B48+Beta_y*$A48-0.000000001)),"")</f>
        <v>0</v>
      </c>
      <c r="S48" s="15" t="n">
        <f aca="false">IF(K48=1,_xlfn.MINIFS(Sch_idx,Sch_n,C$5,Sch_bmax,"&gt;="&amp;($A48-0.000000001),Sch_P0,"&gt;="&amp;(C48+Beta_y*$A48-0.000000001)),"")</f>
        <v>32</v>
      </c>
      <c r="T48" s="15" t="n">
        <f aca="false">IF(L48=1,_xlfn.MINIFS(Sch_idx,Sch_n,D$5,Sch_bmax,"&gt;="&amp;($A48-0.000000001),Sch_P0,"&gt;="&amp;(D48+Beta_y*$A48-0.000000001)),"")</f>
        <v>48</v>
      </c>
      <c r="U48" s="15" t="n">
        <f aca="false">IF(M48=1,_xlfn.MINIFS(Sch_idx,Sch_n,E$5,Sch_bmax,"&gt;="&amp;($A48-0.000000001),Sch_P0,"&gt;="&amp;(E48+Beta_y*$A48-0.000000001)),"")</f>
        <v>56</v>
      </c>
      <c r="V48" s="15" t="n">
        <f aca="false">IF(N48=1,_xlfn.MINIFS(Sch_idx,Sch_n,F$5,Sch_bmax,"&gt;="&amp;($A48-0.000000001),Sch_P0,"&gt;="&amp;(F48+Beta_y*$A48-0.000000001)),"")</f>
        <v>57</v>
      </c>
      <c r="W48" s="15" t="n">
        <f aca="false">IF(O48=1,_xlfn.MINIFS(Sch_idx,Sch_n,G$5,Sch_bmax,"&gt;="&amp;($A48-0.000000001),Sch_P0,"&gt;="&amp;(G48+Beta_y*$A48-0.000000001)),"")</f>
        <v>59</v>
      </c>
      <c r="X48" s="15" t="n">
        <f aca="false">IF(P48=1,_xlfn.MINIFS(Sch_idx,Sch_n,H$5,Sch_bmax,"&gt;="&amp;($A48-0.000000001),Sch_P0,"&gt;="&amp;(H48+Beta_y*$A48-0.000000001)),"")</f>
        <v>63</v>
      </c>
      <c r="Z48" s="15" t="n">
        <f aca="false">IF(J48=1,IF(COUNTIFS(K48:$P48,1,C48:$H48,"&gt;="&amp;(B48-0.000000001))&gt;0,0,1),"")</f>
        <v>0</v>
      </c>
      <c r="AA48" s="15" t="n">
        <f aca="false">IF(K48=1,IF(COUNTIFS(L48:$P48,1,D48:$H48,"&gt;="&amp;(C48-0.000000001))&gt;0,0,1),"")</f>
        <v>0</v>
      </c>
      <c r="AB48" s="15" t="n">
        <f aca="false">IF(L48=1,IF(COUNTIFS(M48:$P48,1,E48:$H48,"&gt;="&amp;(D48-0.000000001))&gt;0,0,1),"")</f>
        <v>1</v>
      </c>
      <c r="AC48" s="15" t="n">
        <f aca="false">IF(M48=1,IF(COUNTIFS(N48:$P48,1,F48:$H48,"&gt;="&amp;(E48-0.000000001))&gt;0,0,1),"")</f>
        <v>1</v>
      </c>
      <c r="AD48" s="15" t="n">
        <f aca="false">IF(N48=1,IF(COUNTIFS(O48:$P48,1,G48:$H48,"&gt;="&amp;(F48-0.000000001))&gt;0,0,1),"")</f>
        <v>1</v>
      </c>
      <c r="AE48" s="15" t="n">
        <f aca="false">IF(O48=1,IF(COUNTIFS(P48:$P48,1,H48:$H48,"&gt;="&amp;(G48-0.000000001))&gt;0,0,1),"")</f>
        <v>1</v>
      </c>
      <c r="AF48" s="15" t="n">
        <f aca="false">IF(P48=1,1,"")</f>
        <v>1</v>
      </c>
    </row>
    <row r="49" customFormat="false" ht="15" hidden="false" customHeight="false" outlineLevel="0" collapsed="false">
      <c r="A49" s="2" t="n">
        <v>43</v>
      </c>
      <c r="B49" s="16" t="n">
        <f aca="false">IF(COUNTIFS(Sch_n,B$5,Sch_bmax,"&gt;="&amp;($A49-0.000000001))&gt;0,_xlfn.MAXIFS(Sch_P0,Sch_n,B$5,Sch_bmax,"&gt;="&amp;($A49-0.000000001))-Beta_y*$A49,"")</f>
        <v>97.2727272727273</v>
      </c>
      <c r="C49" s="16" t="n">
        <f aca="false">IF(COUNTIFS(Sch_n,C$5,Sch_bmax,"&gt;="&amp;($A49-0.000000001))&gt;0,_xlfn.MAXIFS(Sch_P0,Sch_n,C$5,Sch_bmax,"&gt;="&amp;($A49-0.000000001))-Beta_y*$A49,"")</f>
        <v>331.581734978361</v>
      </c>
      <c r="D49" s="16" t="n">
        <f aca="false">IF(COUNTIFS(Sch_n,D$5,Sch_bmax,"&gt;="&amp;($A49-0.000000001))&gt;0,_xlfn.MAXIFS(Sch_P0,Sch_n,D$5,Sch_bmax,"&gt;="&amp;($A49-0.000000001))-Beta_y*$A49,"")</f>
        <v>345.082427305636</v>
      </c>
      <c r="E49" s="16" t="n">
        <f aca="false">IF(COUNTIFS(Sch_n,E$5,Sch_bmax,"&gt;="&amp;($A49-0.000000001))&gt;0,_xlfn.MAXIFS(Sch_P0,Sch_n,E$5,Sch_bmax,"&gt;="&amp;($A49-0.000000001))-Beta_y*$A49,"")</f>
        <v>291.361076474364</v>
      </c>
      <c r="F49" s="16" t="n">
        <f aca="false">IF(COUNTIFS(Sch_n,F$5,Sch_bmax,"&gt;="&amp;($A49-0.000000001))&gt;0,_xlfn.MAXIFS(Sch_P0,Sch_n,F$5,Sch_bmax,"&gt;="&amp;($A49-0.000000001))-Beta_y*$A49,"")</f>
        <v>221.789664595236</v>
      </c>
      <c r="G49" s="16" t="n">
        <f aca="false">IF(COUNTIFS(Sch_n,G$5,Sch_bmax,"&gt;="&amp;($A49-0.000000001))&gt;0,_xlfn.MAXIFS(Sch_P0,Sch_n,G$5,Sch_bmax,"&gt;="&amp;($A49-0.000000001))-Beta_y*$A49,"")</f>
        <v>147.73068497218</v>
      </c>
      <c r="H49" s="16" t="n">
        <f aca="false">IF(COUNTIFS(Sch_n,H$5,Sch_bmax,"&gt;="&amp;($A49-0.000000001))&gt;0,_xlfn.MAXIFS(Sch_P0,Sch_n,H$5,Sch_bmax,"&gt;="&amp;($A49-0.000000001))-Beta_y*$A49,"")</f>
        <v>67.5005941088114</v>
      </c>
      <c r="J49" s="15" t="n">
        <f aca="false">IF(ISNUMBER(B49),1,0)</f>
        <v>1</v>
      </c>
      <c r="K49" s="15" t="n">
        <f aca="false">IF(ISNUMBER(C49),1,0)</f>
        <v>1</v>
      </c>
      <c r="L49" s="15" t="n">
        <f aca="false">IF(ISNUMBER(D49),1,0)</f>
        <v>1</v>
      </c>
      <c r="M49" s="15" t="n">
        <f aca="false">IF(ISNUMBER(E49),1,0)</f>
        <v>1</v>
      </c>
      <c r="N49" s="15" t="n">
        <f aca="false">IF(ISNUMBER(F49),1,0)</f>
        <v>1</v>
      </c>
      <c r="O49" s="15" t="n">
        <f aca="false">IF(ISNUMBER(G49),1,0)</f>
        <v>1</v>
      </c>
      <c r="P49" s="15" t="n">
        <f aca="false">IF(ISNUMBER(H49),1,0)</f>
        <v>1</v>
      </c>
      <c r="R49" s="15" t="n">
        <f aca="false">IF(J49=1,_xlfn.MINIFS(Sch_idx,Sch_n,B$5,Sch_bmax,"&gt;="&amp;($A49-0.000000001),Sch_P0,"&gt;="&amp;(B49+Beta_y*$A49-0.000000001)),"")</f>
        <v>0</v>
      </c>
      <c r="S49" s="15" t="n">
        <f aca="false">IF(K49=1,_xlfn.MINIFS(Sch_idx,Sch_n,C$5,Sch_bmax,"&gt;="&amp;($A49-0.000000001),Sch_P0,"&gt;="&amp;(C49+Beta_y*$A49-0.000000001)),"")</f>
        <v>32</v>
      </c>
      <c r="T49" s="15" t="n">
        <f aca="false">IF(L49=1,_xlfn.MINIFS(Sch_idx,Sch_n,D$5,Sch_bmax,"&gt;="&amp;($A49-0.000000001),Sch_P0,"&gt;="&amp;(D49+Beta_y*$A49-0.000000001)),"")</f>
        <v>48</v>
      </c>
      <c r="U49" s="15" t="n">
        <f aca="false">IF(M49=1,_xlfn.MINIFS(Sch_idx,Sch_n,E$5,Sch_bmax,"&gt;="&amp;($A49-0.000000001),Sch_P0,"&gt;="&amp;(E49+Beta_y*$A49-0.000000001)),"")</f>
        <v>56</v>
      </c>
      <c r="V49" s="15" t="n">
        <f aca="false">IF(N49=1,_xlfn.MINIFS(Sch_idx,Sch_n,F$5,Sch_bmax,"&gt;="&amp;($A49-0.000000001),Sch_P0,"&gt;="&amp;(F49+Beta_y*$A49-0.000000001)),"")</f>
        <v>57</v>
      </c>
      <c r="W49" s="15" t="n">
        <f aca="false">IF(O49=1,_xlfn.MINIFS(Sch_idx,Sch_n,G$5,Sch_bmax,"&gt;="&amp;($A49-0.000000001),Sch_P0,"&gt;="&amp;(G49+Beta_y*$A49-0.000000001)),"")</f>
        <v>59</v>
      </c>
      <c r="X49" s="15" t="n">
        <f aca="false">IF(P49=1,_xlfn.MINIFS(Sch_idx,Sch_n,H$5,Sch_bmax,"&gt;="&amp;($A49-0.000000001),Sch_P0,"&gt;="&amp;(H49+Beta_y*$A49-0.000000001)),"")</f>
        <v>63</v>
      </c>
      <c r="Z49" s="15" t="n">
        <f aca="false">IF(J49=1,IF(COUNTIFS(K49:$P49,1,C49:$H49,"&gt;="&amp;(B49-0.000000001))&gt;0,0,1),"")</f>
        <v>0</v>
      </c>
      <c r="AA49" s="15" t="n">
        <f aca="false">IF(K49=1,IF(COUNTIFS(L49:$P49,1,D49:$H49,"&gt;="&amp;(C49-0.000000001))&gt;0,0,1),"")</f>
        <v>0</v>
      </c>
      <c r="AB49" s="15" t="n">
        <f aca="false">IF(L49=1,IF(COUNTIFS(M49:$P49,1,E49:$H49,"&gt;="&amp;(D49-0.000000001))&gt;0,0,1),"")</f>
        <v>1</v>
      </c>
      <c r="AC49" s="15" t="n">
        <f aca="false">IF(M49=1,IF(COUNTIFS(N49:$P49,1,F49:$H49,"&gt;="&amp;(E49-0.000000001))&gt;0,0,1),"")</f>
        <v>1</v>
      </c>
      <c r="AD49" s="15" t="n">
        <f aca="false">IF(N49=1,IF(COUNTIFS(O49:$P49,1,G49:$H49,"&gt;="&amp;(F49-0.000000001))&gt;0,0,1),"")</f>
        <v>1</v>
      </c>
      <c r="AE49" s="15" t="n">
        <f aca="false">IF(O49=1,IF(COUNTIFS(P49:$P49,1,H49:$H49,"&gt;="&amp;(G49-0.000000001))&gt;0,0,1),"")</f>
        <v>1</v>
      </c>
      <c r="AF49" s="15" t="n">
        <f aca="false">IF(P49=1,1,"")</f>
        <v>1</v>
      </c>
    </row>
    <row r="50" customFormat="false" ht="15" hidden="false" customHeight="false" outlineLevel="0" collapsed="false">
      <c r="A50" s="2" t="n">
        <v>44</v>
      </c>
      <c r="B50" s="16" t="n">
        <f aca="false">IF(COUNTIFS(Sch_n,B$5,Sch_bmax,"&gt;="&amp;($A50-0.000000001))&gt;0,_xlfn.MAXIFS(Sch_P0,Sch_n,B$5,Sch_bmax,"&gt;="&amp;($A50-0.000000001))-Beta_y*$A50,"")</f>
        <v>96.3636363636364</v>
      </c>
      <c r="C50" s="16" t="n">
        <f aca="false">IF(COUNTIFS(Sch_n,C$5,Sch_bmax,"&gt;="&amp;($A50-0.000000001))&gt;0,_xlfn.MAXIFS(Sch_P0,Sch_n,C$5,Sch_bmax,"&gt;="&amp;($A50-0.000000001))-Beta_y*$A50,"")</f>
        <v>330.67264406927</v>
      </c>
      <c r="D50" s="16" t="n">
        <f aca="false">IF(COUNTIFS(Sch_n,D$5,Sch_bmax,"&gt;="&amp;($A50-0.000000001))&gt;0,_xlfn.MAXIFS(Sch_P0,Sch_n,D$5,Sch_bmax,"&gt;="&amp;($A50-0.000000001))-Beta_y*$A50,"")</f>
        <v>344.173336396545</v>
      </c>
      <c r="E50" s="16" t="n">
        <f aca="false">IF(COUNTIFS(Sch_n,E$5,Sch_bmax,"&gt;="&amp;($A50-0.000000001))&gt;0,_xlfn.MAXIFS(Sch_P0,Sch_n,E$5,Sch_bmax,"&gt;="&amp;($A50-0.000000001))-Beta_y*$A50,"")</f>
        <v>290.451985565273</v>
      </c>
      <c r="F50" s="16" t="n">
        <f aca="false">IF(COUNTIFS(Sch_n,F$5,Sch_bmax,"&gt;="&amp;($A50-0.000000001))&gt;0,_xlfn.MAXIFS(Sch_P0,Sch_n,F$5,Sch_bmax,"&gt;="&amp;($A50-0.000000001))-Beta_y*$A50,"")</f>
        <v>220.880573686145</v>
      </c>
      <c r="G50" s="16" t="n">
        <f aca="false">IF(COUNTIFS(Sch_n,G$5,Sch_bmax,"&gt;="&amp;($A50-0.000000001))&gt;0,_xlfn.MAXIFS(Sch_P0,Sch_n,G$5,Sch_bmax,"&gt;="&amp;($A50-0.000000001))-Beta_y*$A50,"")</f>
        <v>146.821594063089</v>
      </c>
      <c r="H50" s="16" t="n">
        <f aca="false">IF(COUNTIFS(Sch_n,H$5,Sch_bmax,"&gt;="&amp;($A50-0.000000001))&gt;0,_xlfn.MAXIFS(Sch_P0,Sch_n,H$5,Sch_bmax,"&gt;="&amp;($A50-0.000000001))-Beta_y*$A50,"")</f>
        <v>66.5915031997205</v>
      </c>
      <c r="J50" s="15" t="n">
        <f aca="false">IF(ISNUMBER(B50),1,0)</f>
        <v>1</v>
      </c>
      <c r="K50" s="15" t="n">
        <f aca="false">IF(ISNUMBER(C50),1,0)</f>
        <v>1</v>
      </c>
      <c r="L50" s="15" t="n">
        <f aca="false">IF(ISNUMBER(D50),1,0)</f>
        <v>1</v>
      </c>
      <c r="M50" s="15" t="n">
        <f aca="false">IF(ISNUMBER(E50),1,0)</f>
        <v>1</v>
      </c>
      <c r="N50" s="15" t="n">
        <f aca="false">IF(ISNUMBER(F50),1,0)</f>
        <v>1</v>
      </c>
      <c r="O50" s="15" t="n">
        <f aca="false">IF(ISNUMBER(G50),1,0)</f>
        <v>1</v>
      </c>
      <c r="P50" s="15" t="n">
        <f aca="false">IF(ISNUMBER(H50),1,0)</f>
        <v>1</v>
      </c>
      <c r="R50" s="15" t="n">
        <f aca="false">IF(J50=1,_xlfn.MINIFS(Sch_idx,Sch_n,B$5,Sch_bmax,"&gt;="&amp;($A50-0.000000001),Sch_P0,"&gt;="&amp;(B50+Beta_y*$A50-0.000000001)),"")</f>
        <v>0</v>
      </c>
      <c r="S50" s="15" t="n">
        <f aca="false">IF(K50=1,_xlfn.MINIFS(Sch_idx,Sch_n,C$5,Sch_bmax,"&gt;="&amp;($A50-0.000000001),Sch_P0,"&gt;="&amp;(C50+Beta_y*$A50-0.000000001)),"")</f>
        <v>32</v>
      </c>
      <c r="T50" s="15" t="n">
        <f aca="false">IF(L50=1,_xlfn.MINIFS(Sch_idx,Sch_n,D$5,Sch_bmax,"&gt;="&amp;($A50-0.000000001),Sch_P0,"&gt;="&amp;(D50+Beta_y*$A50-0.000000001)),"")</f>
        <v>48</v>
      </c>
      <c r="U50" s="15" t="n">
        <f aca="false">IF(M50=1,_xlfn.MINIFS(Sch_idx,Sch_n,E$5,Sch_bmax,"&gt;="&amp;($A50-0.000000001),Sch_P0,"&gt;="&amp;(E50+Beta_y*$A50-0.000000001)),"")</f>
        <v>56</v>
      </c>
      <c r="V50" s="15" t="n">
        <f aca="false">IF(N50=1,_xlfn.MINIFS(Sch_idx,Sch_n,F$5,Sch_bmax,"&gt;="&amp;($A50-0.000000001),Sch_P0,"&gt;="&amp;(F50+Beta_y*$A50-0.000000001)),"")</f>
        <v>57</v>
      </c>
      <c r="W50" s="15" t="n">
        <f aca="false">IF(O50=1,_xlfn.MINIFS(Sch_idx,Sch_n,G$5,Sch_bmax,"&gt;="&amp;($A50-0.000000001),Sch_P0,"&gt;="&amp;(G50+Beta_y*$A50-0.000000001)),"")</f>
        <v>59</v>
      </c>
      <c r="X50" s="15" t="n">
        <f aca="false">IF(P50=1,_xlfn.MINIFS(Sch_idx,Sch_n,H$5,Sch_bmax,"&gt;="&amp;($A50-0.000000001),Sch_P0,"&gt;="&amp;(H50+Beta_y*$A50-0.000000001)),"")</f>
        <v>63</v>
      </c>
      <c r="Z50" s="15" t="n">
        <f aca="false">IF(J50=1,IF(COUNTIFS(K50:$P50,1,C50:$H50,"&gt;="&amp;(B50-0.000000001))&gt;0,0,1),"")</f>
        <v>0</v>
      </c>
      <c r="AA50" s="15" t="n">
        <f aca="false">IF(K50=1,IF(COUNTIFS(L50:$P50,1,D50:$H50,"&gt;="&amp;(C50-0.000000001))&gt;0,0,1),"")</f>
        <v>0</v>
      </c>
      <c r="AB50" s="15" t="n">
        <f aca="false">IF(L50=1,IF(COUNTIFS(M50:$P50,1,E50:$H50,"&gt;="&amp;(D50-0.000000001))&gt;0,0,1),"")</f>
        <v>1</v>
      </c>
      <c r="AC50" s="15" t="n">
        <f aca="false">IF(M50=1,IF(COUNTIFS(N50:$P50,1,F50:$H50,"&gt;="&amp;(E50-0.000000001))&gt;0,0,1),"")</f>
        <v>1</v>
      </c>
      <c r="AD50" s="15" t="n">
        <f aca="false">IF(N50=1,IF(COUNTIFS(O50:$P50,1,G50:$H50,"&gt;="&amp;(F50-0.000000001))&gt;0,0,1),"")</f>
        <v>1</v>
      </c>
      <c r="AE50" s="15" t="n">
        <f aca="false">IF(O50=1,IF(COUNTIFS(P50:$P50,1,H50:$H50,"&gt;="&amp;(G50-0.000000001))&gt;0,0,1),"")</f>
        <v>1</v>
      </c>
      <c r="AF50" s="15" t="n">
        <f aca="false">IF(P50=1,1,"")</f>
        <v>1</v>
      </c>
    </row>
    <row r="51" customFormat="false" ht="15" hidden="false" customHeight="false" outlineLevel="0" collapsed="false">
      <c r="A51" s="2" t="n">
        <v>45</v>
      </c>
      <c r="B51" s="16" t="n">
        <f aca="false">IF(COUNTIFS(Sch_n,B$5,Sch_bmax,"&gt;="&amp;($A51-0.000000001))&gt;0,_xlfn.MAXIFS(Sch_P0,Sch_n,B$5,Sch_bmax,"&gt;="&amp;($A51-0.000000001))-Beta_y*$A51,"")</f>
        <v>95.4545454545454</v>
      </c>
      <c r="C51" s="16" t="n">
        <f aca="false">IF(COUNTIFS(Sch_n,C$5,Sch_bmax,"&gt;="&amp;($A51-0.000000001))&gt;0,_xlfn.MAXIFS(Sch_P0,Sch_n,C$5,Sch_bmax,"&gt;="&amp;($A51-0.000000001))-Beta_y*$A51,"")</f>
        <v>329.763553160179</v>
      </c>
      <c r="D51" s="16" t="n">
        <f aca="false">IF(COUNTIFS(Sch_n,D$5,Sch_bmax,"&gt;="&amp;($A51-0.000000001))&gt;0,_xlfn.MAXIFS(Sch_P0,Sch_n,D$5,Sch_bmax,"&gt;="&amp;($A51-0.000000001))-Beta_y*$A51,"")</f>
        <v>343.264245487454</v>
      </c>
      <c r="E51" s="16" t="n">
        <f aca="false">IF(COUNTIFS(Sch_n,E$5,Sch_bmax,"&gt;="&amp;($A51-0.000000001))&gt;0,_xlfn.MAXIFS(Sch_P0,Sch_n,E$5,Sch_bmax,"&gt;="&amp;($A51-0.000000001))-Beta_y*$A51,"")</f>
        <v>289.542894656182</v>
      </c>
      <c r="F51" s="16" t="n">
        <f aca="false">IF(COUNTIFS(Sch_n,F$5,Sch_bmax,"&gt;="&amp;($A51-0.000000001))&gt;0,_xlfn.MAXIFS(Sch_P0,Sch_n,F$5,Sch_bmax,"&gt;="&amp;($A51-0.000000001))-Beta_y*$A51,"")</f>
        <v>219.971482777054</v>
      </c>
      <c r="G51" s="16" t="n">
        <f aca="false">IF(COUNTIFS(Sch_n,G$5,Sch_bmax,"&gt;="&amp;($A51-0.000000001))&gt;0,_xlfn.MAXIFS(Sch_P0,Sch_n,G$5,Sch_bmax,"&gt;="&amp;($A51-0.000000001))-Beta_y*$A51,"")</f>
        <v>145.912503153998</v>
      </c>
      <c r="H51" s="16" t="n">
        <f aca="false">IF(COUNTIFS(Sch_n,H$5,Sch_bmax,"&gt;="&amp;($A51-0.000000001))&gt;0,_xlfn.MAXIFS(Sch_P0,Sch_n,H$5,Sch_bmax,"&gt;="&amp;($A51-0.000000001))-Beta_y*$A51,"")</f>
        <v>65.6824122906296</v>
      </c>
      <c r="J51" s="15" t="n">
        <f aca="false">IF(ISNUMBER(B51),1,0)</f>
        <v>1</v>
      </c>
      <c r="K51" s="15" t="n">
        <f aca="false">IF(ISNUMBER(C51),1,0)</f>
        <v>1</v>
      </c>
      <c r="L51" s="15" t="n">
        <f aca="false">IF(ISNUMBER(D51),1,0)</f>
        <v>1</v>
      </c>
      <c r="M51" s="15" t="n">
        <f aca="false">IF(ISNUMBER(E51),1,0)</f>
        <v>1</v>
      </c>
      <c r="N51" s="15" t="n">
        <f aca="false">IF(ISNUMBER(F51),1,0)</f>
        <v>1</v>
      </c>
      <c r="O51" s="15" t="n">
        <f aca="false">IF(ISNUMBER(G51),1,0)</f>
        <v>1</v>
      </c>
      <c r="P51" s="15" t="n">
        <f aca="false">IF(ISNUMBER(H51),1,0)</f>
        <v>1</v>
      </c>
      <c r="R51" s="15" t="n">
        <f aca="false">IF(J51=1,_xlfn.MINIFS(Sch_idx,Sch_n,B$5,Sch_bmax,"&gt;="&amp;($A51-0.000000001),Sch_P0,"&gt;="&amp;(B51+Beta_y*$A51-0.000000001)),"")</f>
        <v>0</v>
      </c>
      <c r="S51" s="15" t="n">
        <f aca="false">IF(K51=1,_xlfn.MINIFS(Sch_idx,Sch_n,C$5,Sch_bmax,"&gt;="&amp;($A51-0.000000001),Sch_P0,"&gt;="&amp;(C51+Beta_y*$A51-0.000000001)),"")</f>
        <v>32</v>
      </c>
      <c r="T51" s="15" t="n">
        <f aca="false">IF(L51=1,_xlfn.MINIFS(Sch_idx,Sch_n,D$5,Sch_bmax,"&gt;="&amp;($A51-0.000000001),Sch_P0,"&gt;="&amp;(D51+Beta_y*$A51-0.000000001)),"")</f>
        <v>48</v>
      </c>
      <c r="U51" s="15" t="n">
        <f aca="false">IF(M51=1,_xlfn.MINIFS(Sch_idx,Sch_n,E$5,Sch_bmax,"&gt;="&amp;($A51-0.000000001),Sch_P0,"&gt;="&amp;(E51+Beta_y*$A51-0.000000001)),"")</f>
        <v>56</v>
      </c>
      <c r="V51" s="15" t="n">
        <f aca="false">IF(N51=1,_xlfn.MINIFS(Sch_idx,Sch_n,F$5,Sch_bmax,"&gt;="&amp;($A51-0.000000001),Sch_P0,"&gt;="&amp;(F51+Beta_y*$A51-0.000000001)),"")</f>
        <v>57</v>
      </c>
      <c r="W51" s="15" t="n">
        <f aca="false">IF(O51=1,_xlfn.MINIFS(Sch_idx,Sch_n,G$5,Sch_bmax,"&gt;="&amp;($A51-0.000000001),Sch_P0,"&gt;="&amp;(G51+Beta_y*$A51-0.000000001)),"")</f>
        <v>59</v>
      </c>
      <c r="X51" s="15" t="n">
        <f aca="false">IF(P51=1,_xlfn.MINIFS(Sch_idx,Sch_n,H$5,Sch_bmax,"&gt;="&amp;($A51-0.000000001),Sch_P0,"&gt;="&amp;(H51+Beta_y*$A51-0.000000001)),"")</f>
        <v>63</v>
      </c>
      <c r="Z51" s="15" t="n">
        <f aca="false">IF(J51=1,IF(COUNTIFS(K51:$P51,1,C51:$H51,"&gt;="&amp;(B51-0.000000001))&gt;0,0,1),"")</f>
        <v>0</v>
      </c>
      <c r="AA51" s="15" t="n">
        <f aca="false">IF(K51=1,IF(COUNTIFS(L51:$P51,1,D51:$H51,"&gt;="&amp;(C51-0.000000001))&gt;0,0,1),"")</f>
        <v>0</v>
      </c>
      <c r="AB51" s="15" t="n">
        <f aca="false">IF(L51=1,IF(COUNTIFS(M51:$P51,1,E51:$H51,"&gt;="&amp;(D51-0.000000001))&gt;0,0,1),"")</f>
        <v>1</v>
      </c>
      <c r="AC51" s="15" t="n">
        <f aca="false">IF(M51=1,IF(COUNTIFS(N51:$P51,1,F51:$H51,"&gt;="&amp;(E51-0.000000001))&gt;0,0,1),"")</f>
        <v>1</v>
      </c>
      <c r="AD51" s="15" t="n">
        <f aca="false">IF(N51=1,IF(COUNTIFS(O51:$P51,1,G51:$H51,"&gt;="&amp;(F51-0.000000001))&gt;0,0,1),"")</f>
        <v>1</v>
      </c>
      <c r="AE51" s="15" t="n">
        <f aca="false">IF(O51=1,IF(COUNTIFS(P51:$P51,1,H51:$H51,"&gt;="&amp;(G51-0.000000001))&gt;0,0,1),"")</f>
        <v>1</v>
      </c>
      <c r="AF51" s="15" t="n">
        <f aca="false">IF(P51=1,1,"")</f>
        <v>1</v>
      </c>
    </row>
    <row r="52" customFormat="false" ht="15" hidden="false" customHeight="false" outlineLevel="0" collapsed="false">
      <c r="A52" s="2" t="n">
        <v>46</v>
      </c>
      <c r="B52" s="16" t="n">
        <f aca="false">IF(COUNTIFS(Sch_n,B$5,Sch_bmax,"&gt;="&amp;($A52-0.000000001))&gt;0,_xlfn.MAXIFS(Sch_P0,Sch_n,B$5,Sch_bmax,"&gt;="&amp;($A52-0.000000001))-Beta_y*$A52,"")</f>
        <v>94.5454545454545</v>
      </c>
      <c r="C52" s="16" t="n">
        <f aca="false">IF(COUNTIFS(Sch_n,C$5,Sch_bmax,"&gt;="&amp;($A52-0.000000001))&gt;0,_xlfn.MAXIFS(Sch_P0,Sch_n,C$5,Sch_bmax,"&gt;="&amp;($A52-0.000000001))-Beta_y*$A52,"")</f>
        <v>328.854462251088</v>
      </c>
      <c r="D52" s="16" t="n">
        <f aca="false">IF(COUNTIFS(Sch_n,D$5,Sch_bmax,"&gt;="&amp;($A52-0.000000001))&gt;0,_xlfn.MAXIFS(Sch_P0,Sch_n,D$5,Sch_bmax,"&gt;="&amp;($A52-0.000000001))-Beta_y*$A52,"")</f>
        <v>342.355154578363</v>
      </c>
      <c r="E52" s="16" t="n">
        <f aca="false">IF(COUNTIFS(Sch_n,E$5,Sch_bmax,"&gt;="&amp;($A52-0.000000001))&gt;0,_xlfn.MAXIFS(Sch_P0,Sch_n,E$5,Sch_bmax,"&gt;="&amp;($A52-0.000000001))-Beta_y*$A52,"")</f>
        <v>288.633803747091</v>
      </c>
      <c r="F52" s="16" t="n">
        <f aca="false">IF(COUNTIFS(Sch_n,F$5,Sch_bmax,"&gt;="&amp;($A52-0.000000001))&gt;0,_xlfn.MAXIFS(Sch_P0,Sch_n,F$5,Sch_bmax,"&gt;="&amp;($A52-0.000000001))-Beta_y*$A52,"")</f>
        <v>219.062391867963</v>
      </c>
      <c r="G52" s="16" t="n">
        <f aca="false">IF(COUNTIFS(Sch_n,G$5,Sch_bmax,"&gt;="&amp;($A52-0.000000001))&gt;0,_xlfn.MAXIFS(Sch_P0,Sch_n,G$5,Sch_bmax,"&gt;="&amp;($A52-0.000000001))-Beta_y*$A52,"")</f>
        <v>145.003412244907</v>
      </c>
      <c r="H52" s="16" t="n">
        <f aca="false">IF(COUNTIFS(Sch_n,H$5,Sch_bmax,"&gt;="&amp;($A52-0.000000001))&gt;0,_xlfn.MAXIFS(Sch_P0,Sch_n,H$5,Sch_bmax,"&gt;="&amp;($A52-0.000000001))-Beta_y*$A52,"")</f>
        <v>64.7733213815386</v>
      </c>
      <c r="J52" s="15" t="n">
        <f aca="false">IF(ISNUMBER(B52),1,0)</f>
        <v>1</v>
      </c>
      <c r="K52" s="15" t="n">
        <f aca="false">IF(ISNUMBER(C52),1,0)</f>
        <v>1</v>
      </c>
      <c r="L52" s="15" t="n">
        <f aca="false">IF(ISNUMBER(D52),1,0)</f>
        <v>1</v>
      </c>
      <c r="M52" s="15" t="n">
        <f aca="false">IF(ISNUMBER(E52),1,0)</f>
        <v>1</v>
      </c>
      <c r="N52" s="15" t="n">
        <f aca="false">IF(ISNUMBER(F52),1,0)</f>
        <v>1</v>
      </c>
      <c r="O52" s="15" t="n">
        <f aca="false">IF(ISNUMBER(G52),1,0)</f>
        <v>1</v>
      </c>
      <c r="P52" s="15" t="n">
        <f aca="false">IF(ISNUMBER(H52),1,0)</f>
        <v>1</v>
      </c>
      <c r="R52" s="15" t="n">
        <f aca="false">IF(J52=1,_xlfn.MINIFS(Sch_idx,Sch_n,B$5,Sch_bmax,"&gt;="&amp;($A52-0.000000001),Sch_P0,"&gt;="&amp;(B52+Beta_y*$A52-0.000000001)),"")</f>
        <v>0</v>
      </c>
      <c r="S52" s="15" t="n">
        <f aca="false">IF(K52=1,_xlfn.MINIFS(Sch_idx,Sch_n,C$5,Sch_bmax,"&gt;="&amp;($A52-0.000000001),Sch_P0,"&gt;="&amp;(C52+Beta_y*$A52-0.000000001)),"")</f>
        <v>32</v>
      </c>
      <c r="T52" s="15" t="n">
        <f aca="false">IF(L52=1,_xlfn.MINIFS(Sch_idx,Sch_n,D$5,Sch_bmax,"&gt;="&amp;($A52-0.000000001),Sch_P0,"&gt;="&amp;(D52+Beta_y*$A52-0.000000001)),"")</f>
        <v>48</v>
      </c>
      <c r="U52" s="15" t="n">
        <f aca="false">IF(M52=1,_xlfn.MINIFS(Sch_idx,Sch_n,E$5,Sch_bmax,"&gt;="&amp;($A52-0.000000001),Sch_P0,"&gt;="&amp;(E52+Beta_y*$A52-0.000000001)),"")</f>
        <v>56</v>
      </c>
      <c r="V52" s="15" t="n">
        <f aca="false">IF(N52=1,_xlfn.MINIFS(Sch_idx,Sch_n,F$5,Sch_bmax,"&gt;="&amp;($A52-0.000000001),Sch_P0,"&gt;="&amp;(F52+Beta_y*$A52-0.000000001)),"")</f>
        <v>57</v>
      </c>
      <c r="W52" s="15" t="n">
        <f aca="false">IF(O52=1,_xlfn.MINIFS(Sch_idx,Sch_n,G$5,Sch_bmax,"&gt;="&amp;($A52-0.000000001),Sch_P0,"&gt;="&amp;(G52+Beta_y*$A52-0.000000001)),"")</f>
        <v>59</v>
      </c>
      <c r="X52" s="15" t="n">
        <f aca="false">IF(P52=1,_xlfn.MINIFS(Sch_idx,Sch_n,H$5,Sch_bmax,"&gt;="&amp;($A52-0.000000001),Sch_P0,"&gt;="&amp;(H52+Beta_y*$A52-0.000000001)),"")</f>
        <v>63</v>
      </c>
      <c r="Z52" s="15" t="n">
        <f aca="false">IF(J52=1,IF(COUNTIFS(K52:$P52,1,C52:$H52,"&gt;="&amp;(B52-0.000000001))&gt;0,0,1),"")</f>
        <v>0</v>
      </c>
      <c r="AA52" s="15" t="n">
        <f aca="false">IF(K52=1,IF(COUNTIFS(L52:$P52,1,D52:$H52,"&gt;="&amp;(C52-0.000000001))&gt;0,0,1),"")</f>
        <v>0</v>
      </c>
      <c r="AB52" s="15" t="n">
        <f aca="false">IF(L52=1,IF(COUNTIFS(M52:$P52,1,E52:$H52,"&gt;="&amp;(D52-0.000000001))&gt;0,0,1),"")</f>
        <v>1</v>
      </c>
      <c r="AC52" s="15" t="n">
        <f aca="false">IF(M52=1,IF(COUNTIFS(N52:$P52,1,F52:$H52,"&gt;="&amp;(E52-0.000000001))&gt;0,0,1),"")</f>
        <v>1</v>
      </c>
      <c r="AD52" s="15" t="n">
        <f aca="false">IF(N52=1,IF(COUNTIFS(O52:$P52,1,G52:$H52,"&gt;="&amp;(F52-0.000000001))&gt;0,0,1),"")</f>
        <v>1</v>
      </c>
      <c r="AE52" s="15" t="n">
        <f aca="false">IF(O52=1,IF(COUNTIFS(P52:$P52,1,H52:$H52,"&gt;="&amp;(G52-0.000000001))&gt;0,0,1),"")</f>
        <v>1</v>
      </c>
      <c r="AF52" s="15" t="n">
        <f aca="false">IF(P52=1,1,"")</f>
        <v>1</v>
      </c>
    </row>
    <row r="53" customFormat="false" ht="15" hidden="false" customHeight="false" outlineLevel="0" collapsed="false">
      <c r="A53" s="2" t="n">
        <v>47</v>
      </c>
      <c r="B53" s="16" t="n">
        <f aca="false">IF(COUNTIFS(Sch_n,B$5,Sch_bmax,"&gt;="&amp;($A53-0.000000001))&gt;0,_xlfn.MAXIFS(Sch_P0,Sch_n,B$5,Sch_bmax,"&gt;="&amp;($A53-0.000000001))-Beta_y*$A53,"")</f>
        <v>93.6363636363636</v>
      </c>
      <c r="C53" s="16" t="n">
        <f aca="false">IF(COUNTIFS(Sch_n,C$5,Sch_bmax,"&gt;="&amp;($A53-0.000000001))&gt;0,_xlfn.MAXIFS(Sch_P0,Sch_n,C$5,Sch_bmax,"&gt;="&amp;($A53-0.000000001))-Beta_y*$A53,"")</f>
        <v>327.945371341997</v>
      </c>
      <c r="D53" s="16" t="n">
        <f aca="false">IF(COUNTIFS(Sch_n,D$5,Sch_bmax,"&gt;="&amp;($A53-0.000000001))&gt;0,_xlfn.MAXIFS(Sch_P0,Sch_n,D$5,Sch_bmax,"&gt;="&amp;($A53-0.000000001))-Beta_y*$A53,"")</f>
        <v>341.446063669272</v>
      </c>
      <c r="E53" s="16" t="n">
        <f aca="false">IF(COUNTIFS(Sch_n,E$5,Sch_bmax,"&gt;="&amp;($A53-0.000000001))&gt;0,_xlfn.MAXIFS(Sch_P0,Sch_n,E$5,Sch_bmax,"&gt;="&amp;($A53-0.000000001))-Beta_y*$A53,"")</f>
        <v>287.724712838</v>
      </c>
      <c r="F53" s="16" t="n">
        <f aca="false">IF(COUNTIFS(Sch_n,F$5,Sch_bmax,"&gt;="&amp;($A53-0.000000001))&gt;0,_xlfn.MAXIFS(Sch_P0,Sch_n,F$5,Sch_bmax,"&gt;="&amp;($A53-0.000000001))-Beta_y*$A53,"")</f>
        <v>218.153300958872</v>
      </c>
      <c r="G53" s="16" t="n">
        <f aca="false">IF(COUNTIFS(Sch_n,G$5,Sch_bmax,"&gt;="&amp;($A53-0.000000001))&gt;0,_xlfn.MAXIFS(Sch_P0,Sch_n,G$5,Sch_bmax,"&gt;="&amp;($A53-0.000000001))-Beta_y*$A53,"")</f>
        <v>144.094321335816</v>
      </c>
      <c r="H53" s="16" t="n">
        <f aca="false">IF(COUNTIFS(Sch_n,H$5,Sch_bmax,"&gt;="&amp;($A53-0.000000001))&gt;0,_xlfn.MAXIFS(Sch_P0,Sch_n,H$5,Sch_bmax,"&gt;="&amp;($A53-0.000000001))-Beta_y*$A53,"")</f>
        <v>63.8642304724477</v>
      </c>
      <c r="J53" s="15" t="n">
        <f aca="false">IF(ISNUMBER(B53),1,0)</f>
        <v>1</v>
      </c>
      <c r="K53" s="15" t="n">
        <f aca="false">IF(ISNUMBER(C53),1,0)</f>
        <v>1</v>
      </c>
      <c r="L53" s="15" t="n">
        <f aca="false">IF(ISNUMBER(D53),1,0)</f>
        <v>1</v>
      </c>
      <c r="M53" s="15" t="n">
        <f aca="false">IF(ISNUMBER(E53),1,0)</f>
        <v>1</v>
      </c>
      <c r="N53" s="15" t="n">
        <f aca="false">IF(ISNUMBER(F53),1,0)</f>
        <v>1</v>
      </c>
      <c r="O53" s="15" t="n">
        <f aca="false">IF(ISNUMBER(G53),1,0)</f>
        <v>1</v>
      </c>
      <c r="P53" s="15" t="n">
        <f aca="false">IF(ISNUMBER(H53),1,0)</f>
        <v>1</v>
      </c>
      <c r="R53" s="15" t="n">
        <f aca="false">IF(J53=1,_xlfn.MINIFS(Sch_idx,Sch_n,B$5,Sch_bmax,"&gt;="&amp;($A53-0.000000001),Sch_P0,"&gt;="&amp;(B53+Beta_y*$A53-0.000000001)),"")</f>
        <v>0</v>
      </c>
      <c r="S53" s="15" t="n">
        <f aca="false">IF(K53=1,_xlfn.MINIFS(Sch_idx,Sch_n,C$5,Sch_bmax,"&gt;="&amp;($A53-0.000000001),Sch_P0,"&gt;="&amp;(C53+Beta_y*$A53-0.000000001)),"")</f>
        <v>32</v>
      </c>
      <c r="T53" s="15" t="n">
        <f aca="false">IF(L53=1,_xlfn.MINIFS(Sch_idx,Sch_n,D$5,Sch_bmax,"&gt;="&amp;($A53-0.000000001),Sch_P0,"&gt;="&amp;(D53+Beta_y*$A53-0.000000001)),"")</f>
        <v>48</v>
      </c>
      <c r="U53" s="15" t="n">
        <f aca="false">IF(M53=1,_xlfn.MINIFS(Sch_idx,Sch_n,E$5,Sch_bmax,"&gt;="&amp;($A53-0.000000001),Sch_P0,"&gt;="&amp;(E53+Beta_y*$A53-0.000000001)),"")</f>
        <v>56</v>
      </c>
      <c r="V53" s="15" t="n">
        <f aca="false">IF(N53=1,_xlfn.MINIFS(Sch_idx,Sch_n,F$5,Sch_bmax,"&gt;="&amp;($A53-0.000000001),Sch_P0,"&gt;="&amp;(F53+Beta_y*$A53-0.000000001)),"")</f>
        <v>57</v>
      </c>
      <c r="W53" s="15" t="n">
        <f aca="false">IF(O53=1,_xlfn.MINIFS(Sch_idx,Sch_n,G$5,Sch_bmax,"&gt;="&amp;($A53-0.000000001),Sch_P0,"&gt;="&amp;(G53+Beta_y*$A53-0.000000001)),"")</f>
        <v>59</v>
      </c>
      <c r="X53" s="15" t="n">
        <f aca="false">IF(P53=1,_xlfn.MINIFS(Sch_idx,Sch_n,H$5,Sch_bmax,"&gt;="&amp;($A53-0.000000001),Sch_P0,"&gt;="&amp;(H53+Beta_y*$A53-0.000000001)),"")</f>
        <v>63</v>
      </c>
      <c r="Z53" s="15" t="n">
        <f aca="false">IF(J53=1,IF(COUNTIFS(K53:$P53,1,C53:$H53,"&gt;="&amp;(B53-0.000000001))&gt;0,0,1),"")</f>
        <v>0</v>
      </c>
      <c r="AA53" s="15" t="n">
        <f aca="false">IF(K53=1,IF(COUNTIFS(L53:$P53,1,D53:$H53,"&gt;="&amp;(C53-0.000000001))&gt;0,0,1),"")</f>
        <v>0</v>
      </c>
      <c r="AB53" s="15" t="n">
        <f aca="false">IF(L53=1,IF(COUNTIFS(M53:$P53,1,E53:$H53,"&gt;="&amp;(D53-0.000000001))&gt;0,0,1),"")</f>
        <v>1</v>
      </c>
      <c r="AC53" s="15" t="n">
        <f aca="false">IF(M53=1,IF(COUNTIFS(N53:$P53,1,F53:$H53,"&gt;="&amp;(E53-0.000000001))&gt;0,0,1),"")</f>
        <v>1</v>
      </c>
      <c r="AD53" s="15" t="n">
        <f aca="false">IF(N53=1,IF(COUNTIFS(O53:$P53,1,G53:$H53,"&gt;="&amp;(F53-0.000000001))&gt;0,0,1),"")</f>
        <v>1</v>
      </c>
      <c r="AE53" s="15" t="n">
        <f aca="false">IF(O53=1,IF(COUNTIFS(P53:$P53,1,H53:$H53,"&gt;="&amp;(G53-0.000000001))&gt;0,0,1),"")</f>
        <v>1</v>
      </c>
      <c r="AF53" s="15" t="n">
        <f aca="false">IF(P53=1,1,"")</f>
        <v>1</v>
      </c>
    </row>
    <row r="54" customFormat="false" ht="15" hidden="false" customHeight="false" outlineLevel="0" collapsed="false">
      <c r="A54" s="2" t="n">
        <v>48</v>
      </c>
      <c r="B54" s="16" t="n">
        <f aca="false">IF(COUNTIFS(Sch_n,B$5,Sch_bmax,"&gt;="&amp;($A54-0.000000001))&gt;0,_xlfn.MAXIFS(Sch_P0,Sch_n,B$5,Sch_bmax,"&gt;="&amp;($A54-0.000000001))-Beta_y*$A54,"")</f>
        <v>92.7272727272727</v>
      </c>
      <c r="C54" s="16" t="n">
        <f aca="false">IF(COUNTIFS(Sch_n,C$5,Sch_bmax,"&gt;="&amp;($A54-0.000000001))&gt;0,_xlfn.MAXIFS(Sch_P0,Sch_n,C$5,Sch_bmax,"&gt;="&amp;($A54-0.000000001))-Beta_y*$A54,"")</f>
        <v>327.036280432906</v>
      </c>
      <c r="D54" s="16" t="n">
        <f aca="false">IF(COUNTIFS(Sch_n,D$5,Sch_bmax,"&gt;="&amp;($A54-0.000000001))&gt;0,_xlfn.MAXIFS(Sch_P0,Sch_n,D$5,Sch_bmax,"&gt;="&amp;($A54-0.000000001))-Beta_y*$A54,"")</f>
        <v>340.536972760182</v>
      </c>
      <c r="E54" s="16" t="n">
        <f aca="false">IF(COUNTIFS(Sch_n,E$5,Sch_bmax,"&gt;="&amp;($A54-0.000000001))&gt;0,_xlfn.MAXIFS(Sch_P0,Sch_n,E$5,Sch_bmax,"&gt;="&amp;($A54-0.000000001))-Beta_y*$A54,"")</f>
        <v>286.815621928909</v>
      </c>
      <c r="F54" s="16" t="n">
        <f aca="false">IF(COUNTIFS(Sch_n,F$5,Sch_bmax,"&gt;="&amp;($A54-0.000000001))&gt;0,_xlfn.MAXIFS(Sch_P0,Sch_n,F$5,Sch_bmax,"&gt;="&amp;($A54-0.000000001))-Beta_y*$A54,"")</f>
        <v>217.244210049781</v>
      </c>
      <c r="G54" s="16" t="n">
        <f aca="false">IF(COUNTIFS(Sch_n,G$5,Sch_bmax,"&gt;="&amp;($A54-0.000000001))&gt;0,_xlfn.MAXIFS(Sch_P0,Sch_n,G$5,Sch_bmax,"&gt;="&amp;($A54-0.000000001))-Beta_y*$A54,"")</f>
        <v>143.185230426725</v>
      </c>
      <c r="H54" s="16" t="n">
        <f aca="false">IF(COUNTIFS(Sch_n,H$5,Sch_bmax,"&gt;="&amp;($A54-0.000000001))&gt;0,_xlfn.MAXIFS(Sch_P0,Sch_n,H$5,Sch_bmax,"&gt;="&amp;($A54-0.000000001))-Beta_y*$A54,"")</f>
        <v>62.9551395633568</v>
      </c>
      <c r="J54" s="15" t="n">
        <f aca="false">IF(ISNUMBER(B54),1,0)</f>
        <v>1</v>
      </c>
      <c r="K54" s="15" t="n">
        <f aca="false">IF(ISNUMBER(C54),1,0)</f>
        <v>1</v>
      </c>
      <c r="L54" s="15" t="n">
        <f aca="false">IF(ISNUMBER(D54),1,0)</f>
        <v>1</v>
      </c>
      <c r="M54" s="15" t="n">
        <f aca="false">IF(ISNUMBER(E54),1,0)</f>
        <v>1</v>
      </c>
      <c r="N54" s="15" t="n">
        <f aca="false">IF(ISNUMBER(F54),1,0)</f>
        <v>1</v>
      </c>
      <c r="O54" s="15" t="n">
        <f aca="false">IF(ISNUMBER(G54),1,0)</f>
        <v>1</v>
      </c>
      <c r="P54" s="15" t="n">
        <f aca="false">IF(ISNUMBER(H54),1,0)</f>
        <v>1</v>
      </c>
      <c r="R54" s="15" t="n">
        <f aca="false">IF(J54=1,_xlfn.MINIFS(Sch_idx,Sch_n,B$5,Sch_bmax,"&gt;="&amp;($A54-0.000000001),Sch_P0,"&gt;="&amp;(B54+Beta_y*$A54-0.000000001)),"")</f>
        <v>0</v>
      </c>
      <c r="S54" s="15" t="n">
        <f aca="false">IF(K54=1,_xlfn.MINIFS(Sch_idx,Sch_n,C$5,Sch_bmax,"&gt;="&amp;($A54-0.000000001),Sch_P0,"&gt;="&amp;(C54+Beta_y*$A54-0.000000001)),"")</f>
        <v>32</v>
      </c>
      <c r="T54" s="15" t="n">
        <f aca="false">IF(L54=1,_xlfn.MINIFS(Sch_idx,Sch_n,D$5,Sch_bmax,"&gt;="&amp;($A54-0.000000001),Sch_P0,"&gt;="&amp;(D54+Beta_y*$A54-0.000000001)),"")</f>
        <v>48</v>
      </c>
      <c r="U54" s="15" t="n">
        <f aca="false">IF(M54=1,_xlfn.MINIFS(Sch_idx,Sch_n,E$5,Sch_bmax,"&gt;="&amp;($A54-0.000000001),Sch_P0,"&gt;="&amp;(E54+Beta_y*$A54-0.000000001)),"")</f>
        <v>56</v>
      </c>
      <c r="V54" s="15" t="n">
        <f aca="false">IF(N54=1,_xlfn.MINIFS(Sch_idx,Sch_n,F$5,Sch_bmax,"&gt;="&amp;($A54-0.000000001),Sch_P0,"&gt;="&amp;(F54+Beta_y*$A54-0.000000001)),"")</f>
        <v>57</v>
      </c>
      <c r="W54" s="15" t="n">
        <f aca="false">IF(O54=1,_xlfn.MINIFS(Sch_idx,Sch_n,G$5,Sch_bmax,"&gt;="&amp;($A54-0.000000001),Sch_P0,"&gt;="&amp;(G54+Beta_y*$A54-0.000000001)),"")</f>
        <v>59</v>
      </c>
      <c r="X54" s="15" t="n">
        <f aca="false">IF(P54=1,_xlfn.MINIFS(Sch_idx,Sch_n,H$5,Sch_bmax,"&gt;="&amp;($A54-0.000000001),Sch_P0,"&gt;="&amp;(H54+Beta_y*$A54-0.000000001)),"")</f>
        <v>63</v>
      </c>
      <c r="Z54" s="15" t="n">
        <f aca="false">IF(J54=1,IF(COUNTIFS(K54:$P54,1,C54:$H54,"&gt;="&amp;(B54-0.000000001))&gt;0,0,1),"")</f>
        <v>0</v>
      </c>
      <c r="AA54" s="15" t="n">
        <f aca="false">IF(K54=1,IF(COUNTIFS(L54:$P54,1,D54:$H54,"&gt;="&amp;(C54-0.000000001))&gt;0,0,1),"")</f>
        <v>0</v>
      </c>
      <c r="AB54" s="15" t="n">
        <f aca="false">IF(L54=1,IF(COUNTIFS(M54:$P54,1,E54:$H54,"&gt;="&amp;(D54-0.000000001))&gt;0,0,1),"")</f>
        <v>1</v>
      </c>
      <c r="AC54" s="15" t="n">
        <f aca="false">IF(M54=1,IF(COUNTIFS(N54:$P54,1,F54:$H54,"&gt;="&amp;(E54-0.000000001))&gt;0,0,1),"")</f>
        <v>1</v>
      </c>
      <c r="AD54" s="15" t="n">
        <f aca="false">IF(N54=1,IF(COUNTIFS(O54:$P54,1,G54:$H54,"&gt;="&amp;(F54-0.000000001))&gt;0,0,1),"")</f>
        <v>1</v>
      </c>
      <c r="AE54" s="15" t="n">
        <f aca="false">IF(O54=1,IF(COUNTIFS(P54:$P54,1,H54:$H54,"&gt;="&amp;(G54-0.000000001))&gt;0,0,1),"")</f>
        <v>1</v>
      </c>
      <c r="AF54" s="15" t="n">
        <f aca="false">IF(P54=1,1,"")</f>
        <v>1</v>
      </c>
    </row>
    <row r="55" customFormat="false" ht="15" hidden="false" customHeight="false" outlineLevel="0" collapsed="false">
      <c r="A55" s="2" t="n">
        <v>49</v>
      </c>
      <c r="B55" s="16" t="n">
        <f aca="false">IF(COUNTIFS(Sch_n,B$5,Sch_bmax,"&gt;="&amp;($A55-0.000000001))&gt;0,_xlfn.MAXIFS(Sch_P0,Sch_n,B$5,Sch_bmax,"&gt;="&amp;($A55-0.000000001))-Beta_y*$A55,"")</f>
        <v>91.8181818181818</v>
      </c>
      <c r="C55" s="16" t="n">
        <f aca="false">IF(COUNTIFS(Sch_n,C$5,Sch_bmax,"&gt;="&amp;($A55-0.000000001))&gt;0,_xlfn.MAXIFS(Sch_P0,Sch_n,C$5,Sch_bmax,"&gt;="&amp;($A55-0.000000001))-Beta_y*$A55,"")</f>
        <v>326.127189523815</v>
      </c>
      <c r="D55" s="16" t="n">
        <f aca="false">IF(COUNTIFS(Sch_n,D$5,Sch_bmax,"&gt;="&amp;($A55-0.000000001))&gt;0,_xlfn.MAXIFS(Sch_P0,Sch_n,D$5,Sch_bmax,"&gt;="&amp;($A55-0.000000001))-Beta_y*$A55,"")</f>
        <v>339.627881851091</v>
      </c>
      <c r="E55" s="16" t="n">
        <f aca="false">IF(COUNTIFS(Sch_n,E$5,Sch_bmax,"&gt;="&amp;($A55-0.000000001))&gt;0,_xlfn.MAXIFS(Sch_P0,Sch_n,E$5,Sch_bmax,"&gt;="&amp;($A55-0.000000001))-Beta_y*$A55,"")</f>
        <v>285.906531019818</v>
      </c>
      <c r="F55" s="16" t="n">
        <f aca="false">IF(COUNTIFS(Sch_n,F$5,Sch_bmax,"&gt;="&amp;($A55-0.000000001))&gt;0,_xlfn.MAXIFS(Sch_P0,Sch_n,F$5,Sch_bmax,"&gt;="&amp;($A55-0.000000001))-Beta_y*$A55,"")</f>
        <v>216.33511914069</v>
      </c>
      <c r="G55" s="16" t="n">
        <f aca="false">IF(COUNTIFS(Sch_n,G$5,Sch_bmax,"&gt;="&amp;($A55-0.000000001))&gt;0,_xlfn.MAXIFS(Sch_P0,Sch_n,G$5,Sch_bmax,"&gt;="&amp;($A55-0.000000001))-Beta_y*$A55,"")</f>
        <v>142.276139517634</v>
      </c>
      <c r="H55" s="16" t="n">
        <f aca="false">IF(COUNTIFS(Sch_n,H$5,Sch_bmax,"&gt;="&amp;($A55-0.000000001))&gt;0,_xlfn.MAXIFS(Sch_P0,Sch_n,H$5,Sch_bmax,"&gt;="&amp;($A55-0.000000001))-Beta_y*$A55,"")</f>
        <v>62.0460486542659</v>
      </c>
      <c r="J55" s="15" t="n">
        <f aca="false">IF(ISNUMBER(B55),1,0)</f>
        <v>1</v>
      </c>
      <c r="K55" s="15" t="n">
        <f aca="false">IF(ISNUMBER(C55),1,0)</f>
        <v>1</v>
      </c>
      <c r="L55" s="15" t="n">
        <f aca="false">IF(ISNUMBER(D55),1,0)</f>
        <v>1</v>
      </c>
      <c r="M55" s="15" t="n">
        <f aca="false">IF(ISNUMBER(E55),1,0)</f>
        <v>1</v>
      </c>
      <c r="N55" s="15" t="n">
        <f aca="false">IF(ISNUMBER(F55),1,0)</f>
        <v>1</v>
      </c>
      <c r="O55" s="15" t="n">
        <f aca="false">IF(ISNUMBER(G55),1,0)</f>
        <v>1</v>
      </c>
      <c r="P55" s="15" t="n">
        <f aca="false">IF(ISNUMBER(H55),1,0)</f>
        <v>1</v>
      </c>
      <c r="R55" s="15" t="n">
        <f aca="false">IF(J55=1,_xlfn.MINIFS(Sch_idx,Sch_n,B$5,Sch_bmax,"&gt;="&amp;($A55-0.000000001),Sch_P0,"&gt;="&amp;(B55+Beta_y*$A55-0.000000001)),"")</f>
        <v>0</v>
      </c>
      <c r="S55" s="15" t="n">
        <f aca="false">IF(K55=1,_xlfn.MINIFS(Sch_idx,Sch_n,C$5,Sch_bmax,"&gt;="&amp;($A55-0.000000001),Sch_P0,"&gt;="&amp;(C55+Beta_y*$A55-0.000000001)),"")</f>
        <v>32</v>
      </c>
      <c r="T55" s="15" t="n">
        <f aca="false">IF(L55=1,_xlfn.MINIFS(Sch_idx,Sch_n,D$5,Sch_bmax,"&gt;="&amp;($A55-0.000000001),Sch_P0,"&gt;="&amp;(D55+Beta_y*$A55-0.000000001)),"")</f>
        <v>48</v>
      </c>
      <c r="U55" s="15" t="n">
        <f aca="false">IF(M55=1,_xlfn.MINIFS(Sch_idx,Sch_n,E$5,Sch_bmax,"&gt;="&amp;($A55-0.000000001),Sch_P0,"&gt;="&amp;(E55+Beta_y*$A55-0.000000001)),"")</f>
        <v>56</v>
      </c>
      <c r="V55" s="15" t="n">
        <f aca="false">IF(N55=1,_xlfn.MINIFS(Sch_idx,Sch_n,F$5,Sch_bmax,"&gt;="&amp;($A55-0.000000001),Sch_P0,"&gt;="&amp;(F55+Beta_y*$A55-0.000000001)),"")</f>
        <v>57</v>
      </c>
      <c r="W55" s="15" t="n">
        <f aca="false">IF(O55=1,_xlfn.MINIFS(Sch_idx,Sch_n,G$5,Sch_bmax,"&gt;="&amp;($A55-0.000000001),Sch_P0,"&gt;="&amp;(G55+Beta_y*$A55-0.000000001)),"")</f>
        <v>59</v>
      </c>
      <c r="X55" s="15" t="n">
        <f aca="false">IF(P55=1,_xlfn.MINIFS(Sch_idx,Sch_n,H$5,Sch_bmax,"&gt;="&amp;($A55-0.000000001),Sch_P0,"&gt;="&amp;(H55+Beta_y*$A55-0.000000001)),"")</f>
        <v>63</v>
      </c>
      <c r="Z55" s="15" t="n">
        <f aca="false">IF(J55=1,IF(COUNTIFS(K55:$P55,1,C55:$H55,"&gt;="&amp;(B55-0.000000001))&gt;0,0,1),"")</f>
        <v>0</v>
      </c>
      <c r="AA55" s="15" t="n">
        <f aca="false">IF(K55=1,IF(COUNTIFS(L55:$P55,1,D55:$H55,"&gt;="&amp;(C55-0.000000001))&gt;0,0,1),"")</f>
        <v>0</v>
      </c>
      <c r="AB55" s="15" t="n">
        <f aca="false">IF(L55=1,IF(COUNTIFS(M55:$P55,1,E55:$H55,"&gt;="&amp;(D55-0.000000001))&gt;0,0,1),"")</f>
        <v>1</v>
      </c>
      <c r="AC55" s="15" t="n">
        <f aca="false">IF(M55=1,IF(COUNTIFS(N55:$P55,1,F55:$H55,"&gt;="&amp;(E55-0.000000001))&gt;0,0,1),"")</f>
        <v>1</v>
      </c>
      <c r="AD55" s="15" t="n">
        <f aca="false">IF(N55=1,IF(COUNTIFS(O55:$P55,1,G55:$H55,"&gt;="&amp;(F55-0.000000001))&gt;0,0,1),"")</f>
        <v>1</v>
      </c>
      <c r="AE55" s="15" t="n">
        <f aca="false">IF(O55=1,IF(COUNTIFS(P55:$P55,1,H55:$H55,"&gt;="&amp;(G55-0.000000001))&gt;0,0,1),"")</f>
        <v>1</v>
      </c>
      <c r="AF55" s="15" t="n">
        <f aca="false">IF(P55=1,1,"")</f>
        <v>1</v>
      </c>
    </row>
    <row r="56" customFormat="false" ht="15" hidden="false" customHeight="false" outlineLevel="0" collapsed="false">
      <c r="A56" s="2" t="n">
        <v>50</v>
      </c>
      <c r="B56" s="16" t="n">
        <f aca="false">IF(COUNTIFS(Sch_n,B$5,Sch_bmax,"&gt;="&amp;($A56-0.000000001))&gt;0,_xlfn.MAXIFS(Sch_P0,Sch_n,B$5,Sch_bmax,"&gt;="&amp;($A56-0.000000001))-Beta_y*$A56,"")</f>
        <v>90.9090909090909</v>
      </c>
      <c r="C56" s="16" t="n">
        <f aca="false">IF(COUNTIFS(Sch_n,C$5,Sch_bmax,"&gt;="&amp;($A56-0.000000001))&gt;0,_xlfn.MAXIFS(Sch_P0,Sch_n,C$5,Sch_bmax,"&gt;="&amp;($A56-0.000000001))-Beta_y*$A56,"")</f>
        <v>325.218098614725</v>
      </c>
      <c r="D56" s="16" t="n">
        <f aca="false">IF(COUNTIFS(Sch_n,D$5,Sch_bmax,"&gt;="&amp;($A56-0.000000001))&gt;0,_xlfn.MAXIFS(Sch_P0,Sch_n,D$5,Sch_bmax,"&gt;="&amp;($A56-0.000000001))-Beta_y*$A56,"")</f>
        <v>338.718790942</v>
      </c>
      <c r="E56" s="16" t="n">
        <f aca="false">IF(COUNTIFS(Sch_n,E$5,Sch_bmax,"&gt;="&amp;($A56-0.000000001))&gt;0,_xlfn.MAXIFS(Sch_P0,Sch_n,E$5,Sch_bmax,"&gt;="&amp;($A56-0.000000001))-Beta_y*$A56,"")</f>
        <v>284.997440110727</v>
      </c>
      <c r="F56" s="16" t="n">
        <f aca="false">IF(COUNTIFS(Sch_n,F$5,Sch_bmax,"&gt;="&amp;($A56-0.000000001))&gt;0,_xlfn.MAXIFS(Sch_P0,Sch_n,F$5,Sch_bmax,"&gt;="&amp;($A56-0.000000001))-Beta_y*$A56,"")</f>
        <v>215.426028231599</v>
      </c>
      <c r="G56" s="16" t="n">
        <f aca="false">IF(COUNTIFS(Sch_n,G$5,Sch_bmax,"&gt;="&amp;($A56-0.000000001))&gt;0,_xlfn.MAXIFS(Sch_P0,Sch_n,G$5,Sch_bmax,"&gt;="&amp;($A56-0.000000001))-Beta_y*$A56,"")</f>
        <v>141.367048608544</v>
      </c>
      <c r="H56" s="16" t="n">
        <f aca="false">IF(COUNTIFS(Sch_n,H$5,Sch_bmax,"&gt;="&amp;($A56-0.000000001))&gt;0,_xlfn.MAXIFS(Sch_P0,Sch_n,H$5,Sch_bmax,"&gt;="&amp;($A56-0.000000001))-Beta_y*$A56,"")</f>
        <v>61.136957745175</v>
      </c>
      <c r="J56" s="15" t="n">
        <f aca="false">IF(ISNUMBER(B56),1,0)</f>
        <v>1</v>
      </c>
      <c r="K56" s="15" t="n">
        <f aca="false">IF(ISNUMBER(C56),1,0)</f>
        <v>1</v>
      </c>
      <c r="L56" s="15" t="n">
        <f aca="false">IF(ISNUMBER(D56),1,0)</f>
        <v>1</v>
      </c>
      <c r="M56" s="15" t="n">
        <f aca="false">IF(ISNUMBER(E56),1,0)</f>
        <v>1</v>
      </c>
      <c r="N56" s="15" t="n">
        <f aca="false">IF(ISNUMBER(F56),1,0)</f>
        <v>1</v>
      </c>
      <c r="O56" s="15" t="n">
        <f aca="false">IF(ISNUMBER(G56),1,0)</f>
        <v>1</v>
      </c>
      <c r="P56" s="15" t="n">
        <f aca="false">IF(ISNUMBER(H56),1,0)</f>
        <v>1</v>
      </c>
      <c r="R56" s="15" t="n">
        <f aca="false">IF(J56=1,_xlfn.MINIFS(Sch_idx,Sch_n,B$5,Sch_bmax,"&gt;="&amp;($A56-0.000000001),Sch_P0,"&gt;="&amp;(B56+Beta_y*$A56-0.000000001)),"")</f>
        <v>0</v>
      </c>
      <c r="S56" s="15" t="n">
        <f aca="false">IF(K56=1,_xlfn.MINIFS(Sch_idx,Sch_n,C$5,Sch_bmax,"&gt;="&amp;($A56-0.000000001),Sch_P0,"&gt;="&amp;(C56+Beta_y*$A56-0.000000001)),"")</f>
        <v>32</v>
      </c>
      <c r="T56" s="15" t="n">
        <f aca="false">IF(L56=1,_xlfn.MINIFS(Sch_idx,Sch_n,D$5,Sch_bmax,"&gt;="&amp;($A56-0.000000001),Sch_P0,"&gt;="&amp;(D56+Beta_y*$A56-0.000000001)),"")</f>
        <v>48</v>
      </c>
      <c r="U56" s="15" t="n">
        <f aca="false">IF(M56=1,_xlfn.MINIFS(Sch_idx,Sch_n,E$5,Sch_bmax,"&gt;="&amp;($A56-0.000000001),Sch_P0,"&gt;="&amp;(E56+Beta_y*$A56-0.000000001)),"")</f>
        <v>56</v>
      </c>
      <c r="V56" s="15" t="n">
        <f aca="false">IF(N56=1,_xlfn.MINIFS(Sch_idx,Sch_n,F$5,Sch_bmax,"&gt;="&amp;($A56-0.000000001),Sch_P0,"&gt;="&amp;(F56+Beta_y*$A56-0.000000001)),"")</f>
        <v>57</v>
      </c>
      <c r="W56" s="15" t="n">
        <f aca="false">IF(O56=1,_xlfn.MINIFS(Sch_idx,Sch_n,G$5,Sch_bmax,"&gt;="&amp;($A56-0.000000001),Sch_P0,"&gt;="&amp;(G56+Beta_y*$A56-0.000000001)),"")</f>
        <v>59</v>
      </c>
      <c r="X56" s="15" t="n">
        <f aca="false">IF(P56=1,_xlfn.MINIFS(Sch_idx,Sch_n,H$5,Sch_bmax,"&gt;="&amp;($A56-0.000000001),Sch_P0,"&gt;="&amp;(H56+Beta_y*$A56-0.000000001)),"")</f>
        <v>63</v>
      </c>
      <c r="Z56" s="15" t="n">
        <f aca="false">IF(J56=1,IF(COUNTIFS(K56:$P56,1,C56:$H56,"&gt;="&amp;(B56-0.000000001))&gt;0,0,1),"")</f>
        <v>0</v>
      </c>
      <c r="AA56" s="15" t="n">
        <f aca="false">IF(K56=1,IF(COUNTIFS(L56:$P56,1,D56:$H56,"&gt;="&amp;(C56-0.000000001))&gt;0,0,1),"")</f>
        <v>0</v>
      </c>
      <c r="AB56" s="15" t="n">
        <f aca="false">IF(L56=1,IF(COUNTIFS(M56:$P56,1,E56:$H56,"&gt;="&amp;(D56-0.000000001))&gt;0,0,1),"")</f>
        <v>1</v>
      </c>
      <c r="AC56" s="15" t="n">
        <f aca="false">IF(M56=1,IF(COUNTIFS(N56:$P56,1,F56:$H56,"&gt;="&amp;(E56-0.000000001))&gt;0,0,1),"")</f>
        <v>1</v>
      </c>
      <c r="AD56" s="15" t="n">
        <f aca="false">IF(N56=1,IF(COUNTIFS(O56:$P56,1,G56:$H56,"&gt;="&amp;(F56-0.000000001))&gt;0,0,1),"")</f>
        <v>1</v>
      </c>
      <c r="AE56" s="15" t="n">
        <f aca="false">IF(O56=1,IF(COUNTIFS(P56:$P56,1,H56:$H56,"&gt;="&amp;(G56-0.000000001))&gt;0,0,1),"")</f>
        <v>1</v>
      </c>
      <c r="AF56" s="15" t="n">
        <f aca="false">IF(P56=1,1,"")</f>
        <v>1</v>
      </c>
    </row>
    <row r="57" customFormat="false" ht="15" hidden="false" customHeight="false" outlineLevel="0" collapsed="false">
      <c r="A57" s="2" t="n">
        <v>51</v>
      </c>
      <c r="B57" s="16" t="n">
        <f aca="false">IF(COUNTIFS(Sch_n,B$5,Sch_bmax,"&gt;="&amp;($A57-0.000000001))&gt;0,_xlfn.MAXIFS(Sch_P0,Sch_n,B$5,Sch_bmax,"&gt;="&amp;($A57-0.000000001))-Beta_y*$A57,"")</f>
        <v>90</v>
      </c>
      <c r="C57" s="16" t="n">
        <f aca="false">IF(COUNTIFS(Sch_n,C$5,Sch_bmax,"&gt;="&amp;($A57-0.000000001))&gt;0,_xlfn.MAXIFS(Sch_P0,Sch_n,C$5,Sch_bmax,"&gt;="&amp;($A57-0.000000001))-Beta_y*$A57,"")</f>
        <v>324.309007705634</v>
      </c>
      <c r="D57" s="16" t="n">
        <f aca="false">IF(COUNTIFS(Sch_n,D$5,Sch_bmax,"&gt;="&amp;($A57-0.000000001))&gt;0,_xlfn.MAXIFS(Sch_P0,Sch_n,D$5,Sch_bmax,"&gt;="&amp;($A57-0.000000001))-Beta_y*$A57,"")</f>
        <v>337.809700032909</v>
      </c>
      <c r="E57" s="16" t="n">
        <f aca="false">IF(COUNTIFS(Sch_n,E$5,Sch_bmax,"&gt;="&amp;($A57-0.000000001))&gt;0,_xlfn.MAXIFS(Sch_P0,Sch_n,E$5,Sch_bmax,"&gt;="&amp;($A57-0.000000001))-Beta_y*$A57,"")</f>
        <v>284.088349201636</v>
      </c>
      <c r="F57" s="16" t="n">
        <f aca="false">IF(COUNTIFS(Sch_n,F$5,Sch_bmax,"&gt;="&amp;($A57-0.000000001))&gt;0,_xlfn.MAXIFS(Sch_P0,Sch_n,F$5,Sch_bmax,"&gt;="&amp;($A57-0.000000001))-Beta_y*$A57,"")</f>
        <v>214.516937322508</v>
      </c>
      <c r="G57" s="16" t="n">
        <f aca="false">IF(COUNTIFS(Sch_n,G$5,Sch_bmax,"&gt;="&amp;($A57-0.000000001))&gt;0,_xlfn.MAXIFS(Sch_P0,Sch_n,G$5,Sch_bmax,"&gt;="&amp;($A57-0.000000001))-Beta_y*$A57,"")</f>
        <v>140.457957699453</v>
      </c>
      <c r="H57" s="16" t="n">
        <f aca="false">IF(COUNTIFS(Sch_n,H$5,Sch_bmax,"&gt;="&amp;($A57-0.000000001))&gt;0,_xlfn.MAXIFS(Sch_P0,Sch_n,H$5,Sch_bmax,"&gt;="&amp;($A57-0.000000001))-Beta_y*$A57,"")</f>
        <v>60.2278668360841</v>
      </c>
      <c r="J57" s="15" t="n">
        <f aca="false">IF(ISNUMBER(B57),1,0)</f>
        <v>1</v>
      </c>
      <c r="K57" s="15" t="n">
        <f aca="false">IF(ISNUMBER(C57),1,0)</f>
        <v>1</v>
      </c>
      <c r="L57" s="15" t="n">
        <f aca="false">IF(ISNUMBER(D57),1,0)</f>
        <v>1</v>
      </c>
      <c r="M57" s="15" t="n">
        <f aca="false">IF(ISNUMBER(E57),1,0)</f>
        <v>1</v>
      </c>
      <c r="N57" s="15" t="n">
        <f aca="false">IF(ISNUMBER(F57),1,0)</f>
        <v>1</v>
      </c>
      <c r="O57" s="15" t="n">
        <f aca="false">IF(ISNUMBER(G57),1,0)</f>
        <v>1</v>
      </c>
      <c r="P57" s="15" t="n">
        <f aca="false">IF(ISNUMBER(H57),1,0)</f>
        <v>1</v>
      </c>
      <c r="R57" s="15" t="n">
        <f aca="false">IF(J57=1,_xlfn.MINIFS(Sch_idx,Sch_n,B$5,Sch_bmax,"&gt;="&amp;($A57-0.000000001),Sch_P0,"&gt;="&amp;(B57+Beta_y*$A57-0.000000001)),"")</f>
        <v>0</v>
      </c>
      <c r="S57" s="15" t="n">
        <f aca="false">IF(K57=1,_xlfn.MINIFS(Sch_idx,Sch_n,C$5,Sch_bmax,"&gt;="&amp;($A57-0.000000001),Sch_P0,"&gt;="&amp;(C57+Beta_y*$A57-0.000000001)),"")</f>
        <v>32</v>
      </c>
      <c r="T57" s="15" t="n">
        <f aca="false">IF(L57=1,_xlfn.MINIFS(Sch_idx,Sch_n,D$5,Sch_bmax,"&gt;="&amp;($A57-0.000000001),Sch_P0,"&gt;="&amp;(D57+Beta_y*$A57-0.000000001)),"")</f>
        <v>48</v>
      </c>
      <c r="U57" s="15" t="n">
        <f aca="false">IF(M57=1,_xlfn.MINIFS(Sch_idx,Sch_n,E$5,Sch_bmax,"&gt;="&amp;($A57-0.000000001),Sch_P0,"&gt;="&amp;(E57+Beta_y*$A57-0.000000001)),"")</f>
        <v>56</v>
      </c>
      <c r="V57" s="15" t="n">
        <f aca="false">IF(N57=1,_xlfn.MINIFS(Sch_idx,Sch_n,F$5,Sch_bmax,"&gt;="&amp;($A57-0.000000001),Sch_P0,"&gt;="&amp;(F57+Beta_y*$A57-0.000000001)),"")</f>
        <v>57</v>
      </c>
      <c r="W57" s="15" t="n">
        <f aca="false">IF(O57=1,_xlfn.MINIFS(Sch_idx,Sch_n,G$5,Sch_bmax,"&gt;="&amp;($A57-0.000000001),Sch_P0,"&gt;="&amp;(G57+Beta_y*$A57-0.000000001)),"")</f>
        <v>59</v>
      </c>
      <c r="X57" s="15" t="n">
        <f aca="false">IF(P57=1,_xlfn.MINIFS(Sch_idx,Sch_n,H$5,Sch_bmax,"&gt;="&amp;($A57-0.000000001),Sch_P0,"&gt;="&amp;(H57+Beta_y*$A57-0.000000001)),"")</f>
        <v>63</v>
      </c>
      <c r="Z57" s="15" t="n">
        <f aca="false">IF(J57=1,IF(COUNTIFS(K57:$P57,1,C57:$H57,"&gt;="&amp;(B57-0.000000001))&gt;0,0,1),"")</f>
        <v>0</v>
      </c>
      <c r="AA57" s="15" t="n">
        <f aca="false">IF(K57=1,IF(COUNTIFS(L57:$P57,1,D57:$H57,"&gt;="&amp;(C57-0.000000001))&gt;0,0,1),"")</f>
        <v>0</v>
      </c>
      <c r="AB57" s="15" t="n">
        <f aca="false">IF(L57=1,IF(COUNTIFS(M57:$P57,1,E57:$H57,"&gt;="&amp;(D57-0.000000001))&gt;0,0,1),"")</f>
        <v>1</v>
      </c>
      <c r="AC57" s="15" t="n">
        <f aca="false">IF(M57=1,IF(COUNTIFS(N57:$P57,1,F57:$H57,"&gt;="&amp;(E57-0.000000001))&gt;0,0,1),"")</f>
        <v>1</v>
      </c>
      <c r="AD57" s="15" t="n">
        <f aca="false">IF(N57=1,IF(COUNTIFS(O57:$P57,1,G57:$H57,"&gt;="&amp;(F57-0.000000001))&gt;0,0,1),"")</f>
        <v>1</v>
      </c>
      <c r="AE57" s="15" t="n">
        <f aca="false">IF(O57=1,IF(COUNTIFS(P57:$P57,1,H57:$H57,"&gt;="&amp;(G57-0.000000001))&gt;0,0,1),"")</f>
        <v>1</v>
      </c>
      <c r="AF57" s="15" t="n">
        <f aca="false">IF(P57=1,1,"")</f>
        <v>1</v>
      </c>
    </row>
    <row r="58" customFormat="false" ht="15" hidden="false" customHeight="false" outlineLevel="0" collapsed="false">
      <c r="A58" s="2" t="n">
        <v>52</v>
      </c>
      <c r="B58" s="16" t="n">
        <f aca="false">IF(COUNTIFS(Sch_n,B$5,Sch_bmax,"&gt;="&amp;($A58-0.000000001))&gt;0,_xlfn.MAXIFS(Sch_P0,Sch_n,B$5,Sch_bmax,"&gt;="&amp;($A58-0.000000001))-Beta_y*$A58,"")</f>
        <v>89.0909090909091</v>
      </c>
      <c r="C58" s="16" t="n">
        <f aca="false">IF(COUNTIFS(Sch_n,C$5,Sch_bmax,"&gt;="&amp;($A58-0.000000001))&gt;0,_xlfn.MAXIFS(Sch_P0,Sch_n,C$5,Sch_bmax,"&gt;="&amp;($A58-0.000000001))-Beta_y*$A58,"")</f>
        <v>323.399916796543</v>
      </c>
      <c r="D58" s="16" t="n">
        <f aca="false">IF(COUNTIFS(Sch_n,D$5,Sch_bmax,"&gt;="&amp;($A58-0.000000001))&gt;0,_xlfn.MAXIFS(Sch_P0,Sch_n,D$5,Sch_bmax,"&gt;="&amp;($A58-0.000000001))-Beta_y*$A58,"")</f>
        <v>336.900609123818</v>
      </c>
      <c r="E58" s="16" t="n">
        <f aca="false">IF(COUNTIFS(Sch_n,E$5,Sch_bmax,"&gt;="&amp;($A58-0.000000001))&gt;0,_xlfn.MAXIFS(Sch_P0,Sch_n,E$5,Sch_bmax,"&gt;="&amp;($A58-0.000000001))-Beta_y*$A58,"")</f>
        <v>283.179258292545</v>
      </c>
      <c r="F58" s="16" t="n">
        <f aca="false">IF(COUNTIFS(Sch_n,F$5,Sch_bmax,"&gt;="&amp;($A58-0.000000001))&gt;0,_xlfn.MAXIFS(Sch_P0,Sch_n,F$5,Sch_bmax,"&gt;="&amp;($A58-0.000000001))-Beta_y*$A58,"")</f>
        <v>213.607846413417</v>
      </c>
      <c r="G58" s="16" t="n">
        <f aca="false">IF(COUNTIFS(Sch_n,G$5,Sch_bmax,"&gt;="&amp;($A58-0.000000001))&gt;0,_xlfn.MAXIFS(Sch_P0,Sch_n,G$5,Sch_bmax,"&gt;="&amp;($A58-0.000000001))-Beta_y*$A58,"")</f>
        <v>139.548866790362</v>
      </c>
      <c r="H58" s="16" t="n">
        <f aca="false">IF(COUNTIFS(Sch_n,H$5,Sch_bmax,"&gt;="&amp;($A58-0.000000001))&gt;0,_xlfn.MAXIFS(Sch_P0,Sch_n,H$5,Sch_bmax,"&gt;="&amp;($A58-0.000000001))-Beta_y*$A58,"")</f>
        <v>59.3187759269932</v>
      </c>
      <c r="J58" s="15" t="n">
        <f aca="false">IF(ISNUMBER(B58),1,0)</f>
        <v>1</v>
      </c>
      <c r="K58" s="15" t="n">
        <f aca="false">IF(ISNUMBER(C58),1,0)</f>
        <v>1</v>
      </c>
      <c r="L58" s="15" t="n">
        <f aca="false">IF(ISNUMBER(D58),1,0)</f>
        <v>1</v>
      </c>
      <c r="M58" s="15" t="n">
        <f aca="false">IF(ISNUMBER(E58),1,0)</f>
        <v>1</v>
      </c>
      <c r="N58" s="15" t="n">
        <f aca="false">IF(ISNUMBER(F58),1,0)</f>
        <v>1</v>
      </c>
      <c r="O58" s="15" t="n">
        <f aca="false">IF(ISNUMBER(G58),1,0)</f>
        <v>1</v>
      </c>
      <c r="P58" s="15" t="n">
        <f aca="false">IF(ISNUMBER(H58),1,0)</f>
        <v>1</v>
      </c>
      <c r="R58" s="15" t="n">
        <f aca="false">IF(J58=1,_xlfn.MINIFS(Sch_idx,Sch_n,B$5,Sch_bmax,"&gt;="&amp;($A58-0.000000001),Sch_P0,"&gt;="&amp;(B58+Beta_y*$A58-0.000000001)),"")</f>
        <v>0</v>
      </c>
      <c r="S58" s="15" t="n">
        <f aca="false">IF(K58=1,_xlfn.MINIFS(Sch_idx,Sch_n,C$5,Sch_bmax,"&gt;="&amp;($A58-0.000000001),Sch_P0,"&gt;="&amp;(C58+Beta_y*$A58-0.000000001)),"")</f>
        <v>32</v>
      </c>
      <c r="T58" s="15" t="n">
        <f aca="false">IF(L58=1,_xlfn.MINIFS(Sch_idx,Sch_n,D$5,Sch_bmax,"&gt;="&amp;($A58-0.000000001),Sch_P0,"&gt;="&amp;(D58+Beta_y*$A58-0.000000001)),"")</f>
        <v>48</v>
      </c>
      <c r="U58" s="15" t="n">
        <f aca="false">IF(M58=1,_xlfn.MINIFS(Sch_idx,Sch_n,E$5,Sch_bmax,"&gt;="&amp;($A58-0.000000001),Sch_P0,"&gt;="&amp;(E58+Beta_y*$A58-0.000000001)),"")</f>
        <v>56</v>
      </c>
      <c r="V58" s="15" t="n">
        <f aca="false">IF(N58=1,_xlfn.MINIFS(Sch_idx,Sch_n,F$5,Sch_bmax,"&gt;="&amp;($A58-0.000000001),Sch_P0,"&gt;="&amp;(F58+Beta_y*$A58-0.000000001)),"")</f>
        <v>57</v>
      </c>
      <c r="W58" s="15" t="n">
        <f aca="false">IF(O58=1,_xlfn.MINIFS(Sch_idx,Sch_n,G$5,Sch_bmax,"&gt;="&amp;($A58-0.000000001),Sch_P0,"&gt;="&amp;(G58+Beta_y*$A58-0.000000001)),"")</f>
        <v>59</v>
      </c>
      <c r="X58" s="15" t="n">
        <f aca="false">IF(P58=1,_xlfn.MINIFS(Sch_idx,Sch_n,H$5,Sch_bmax,"&gt;="&amp;($A58-0.000000001),Sch_P0,"&gt;="&amp;(H58+Beta_y*$A58-0.000000001)),"")</f>
        <v>63</v>
      </c>
      <c r="Z58" s="15" t="n">
        <f aca="false">IF(J58=1,IF(COUNTIFS(K58:$P58,1,C58:$H58,"&gt;="&amp;(B58-0.000000001))&gt;0,0,1),"")</f>
        <v>0</v>
      </c>
      <c r="AA58" s="15" t="n">
        <f aca="false">IF(K58=1,IF(COUNTIFS(L58:$P58,1,D58:$H58,"&gt;="&amp;(C58-0.000000001))&gt;0,0,1),"")</f>
        <v>0</v>
      </c>
      <c r="AB58" s="15" t="n">
        <f aca="false">IF(L58=1,IF(COUNTIFS(M58:$P58,1,E58:$H58,"&gt;="&amp;(D58-0.000000001))&gt;0,0,1),"")</f>
        <v>1</v>
      </c>
      <c r="AC58" s="15" t="n">
        <f aca="false">IF(M58=1,IF(COUNTIFS(N58:$P58,1,F58:$H58,"&gt;="&amp;(E58-0.000000001))&gt;0,0,1),"")</f>
        <v>1</v>
      </c>
      <c r="AD58" s="15" t="n">
        <f aca="false">IF(N58=1,IF(COUNTIFS(O58:$P58,1,G58:$H58,"&gt;="&amp;(F58-0.000000001))&gt;0,0,1),"")</f>
        <v>1</v>
      </c>
      <c r="AE58" s="15" t="n">
        <f aca="false">IF(O58=1,IF(COUNTIFS(P58:$P58,1,H58:$H58,"&gt;="&amp;(G58-0.000000001))&gt;0,0,1),"")</f>
        <v>1</v>
      </c>
      <c r="AF58" s="15" t="n">
        <f aca="false">IF(P58=1,1,"")</f>
        <v>1</v>
      </c>
    </row>
    <row r="59" customFormat="false" ht="15" hidden="false" customHeight="false" outlineLevel="0" collapsed="false">
      <c r="A59" s="2" t="n">
        <v>53</v>
      </c>
      <c r="B59" s="16" t="n">
        <f aca="false">IF(COUNTIFS(Sch_n,B$5,Sch_bmax,"&gt;="&amp;($A59-0.000000001))&gt;0,_xlfn.MAXIFS(Sch_P0,Sch_n,B$5,Sch_bmax,"&gt;="&amp;($A59-0.000000001))-Beta_y*$A59,"")</f>
        <v>88.1818181818182</v>
      </c>
      <c r="C59" s="16" t="n">
        <f aca="false">IF(COUNTIFS(Sch_n,C$5,Sch_bmax,"&gt;="&amp;($A59-0.000000001))&gt;0,_xlfn.MAXIFS(Sch_P0,Sch_n,C$5,Sch_bmax,"&gt;="&amp;($A59-0.000000001))-Beta_y*$A59,"")</f>
        <v>322.490825887452</v>
      </c>
      <c r="D59" s="16" t="n">
        <f aca="false">IF(COUNTIFS(Sch_n,D$5,Sch_bmax,"&gt;="&amp;($A59-0.000000001))&gt;0,_xlfn.MAXIFS(Sch_P0,Sch_n,D$5,Sch_bmax,"&gt;="&amp;($A59-0.000000001))-Beta_y*$A59,"")</f>
        <v>335.991518214727</v>
      </c>
      <c r="E59" s="16" t="n">
        <f aca="false">IF(COUNTIFS(Sch_n,E$5,Sch_bmax,"&gt;="&amp;($A59-0.000000001))&gt;0,_xlfn.MAXIFS(Sch_P0,Sch_n,E$5,Sch_bmax,"&gt;="&amp;($A59-0.000000001))-Beta_y*$A59,"")</f>
        <v>282.270167383454</v>
      </c>
      <c r="F59" s="16" t="n">
        <f aca="false">IF(COUNTIFS(Sch_n,F$5,Sch_bmax,"&gt;="&amp;($A59-0.000000001))&gt;0,_xlfn.MAXIFS(Sch_P0,Sch_n,F$5,Sch_bmax,"&gt;="&amp;($A59-0.000000001))-Beta_y*$A59,"")</f>
        <v>212.698755504326</v>
      </c>
      <c r="G59" s="16" t="n">
        <f aca="false">IF(COUNTIFS(Sch_n,G$5,Sch_bmax,"&gt;="&amp;($A59-0.000000001))&gt;0,_xlfn.MAXIFS(Sch_P0,Sch_n,G$5,Sch_bmax,"&gt;="&amp;($A59-0.000000001))-Beta_y*$A59,"")</f>
        <v>138.639775881271</v>
      </c>
      <c r="H59" s="16" t="n">
        <f aca="false">IF(COUNTIFS(Sch_n,H$5,Sch_bmax,"&gt;="&amp;($A59-0.000000001))&gt;0,_xlfn.MAXIFS(Sch_P0,Sch_n,H$5,Sch_bmax,"&gt;="&amp;($A59-0.000000001))-Beta_y*$A59,"")</f>
        <v>58.4096850179023</v>
      </c>
      <c r="J59" s="15" t="n">
        <f aca="false">IF(ISNUMBER(B59),1,0)</f>
        <v>1</v>
      </c>
      <c r="K59" s="15" t="n">
        <f aca="false">IF(ISNUMBER(C59),1,0)</f>
        <v>1</v>
      </c>
      <c r="L59" s="15" t="n">
        <f aca="false">IF(ISNUMBER(D59),1,0)</f>
        <v>1</v>
      </c>
      <c r="M59" s="15" t="n">
        <f aca="false">IF(ISNUMBER(E59),1,0)</f>
        <v>1</v>
      </c>
      <c r="N59" s="15" t="n">
        <f aca="false">IF(ISNUMBER(F59),1,0)</f>
        <v>1</v>
      </c>
      <c r="O59" s="15" t="n">
        <f aca="false">IF(ISNUMBER(G59),1,0)</f>
        <v>1</v>
      </c>
      <c r="P59" s="15" t="n">
        <f aca="false">IF(ISNUMBER(H59),1,0)</f>
        <v>1</v>
      </c>
      <c r="R59" s="15" t="n">
        <f aca="false">IF(J59=1,_xlfn.MINIFS(Sch_idx,Sch_n,B$5,Sch_bmax,"&gt;="&amp;($A59-0.000000001),Sch_P0,"&gt;="&amp;(B59+Beta_y*$A59-0.000000001)),"")</f>
        <v>0</v>
      </c>
      <c r="S59" s="15" t="n">
        <f aca="false">IF(K59=1,_xlfn.MINIFS(Sch_idx,Sch_n,C$5,Sch_bmax,"&gt;="&amp;($A59-0.000000001),Sch_P0,"&gt;="&amp;(C59+Beta_y*$A59-0.000000001)),"")</f>
        <v>32</v>
      </c>
      <c r="T59" s="15" t="n">
        <f aca="false">IF(L59=1,_xlfn.MINIFS(Sch_idx,Sch_n,D$5,Sch_bmax,"&gt;="&amp;($A59-0.000000001),Sch_P0,"&gt;="&amp;(D59+Beta_y*$A59-0.000000001)),"")</f>
        <v>48</v>
      </c>
      <c r="U59" s="15" t="n">
        <f aca="false">IF(M59=1,_xlfn.MINIFS(Sch_idx,Sch_n,E$5,Sch_bmax,"&gt;="&amp;($A59-0.000000001),Sch_P0,"&gt;="&amp;(E59+Beta_y*$A59-0.000000001)),"")</f>
        <v>56</v>
      </c>
      <c r="V59" s="15" t="n">
        <f aca="false">IF(N59=1,_xlfn.MINIFS(Sch_idx,Sch_n,F$5,Sch_bmax,"&gt;="&amp;($A59-0.000000001),Sch_P0,"&gt;="&amp;(F59+Beta_y*$A59-0.000000001)),"")</f>
        <v>57</v>
      </c>
      <c r="W59" s="15" t="n">
        <f aca="false">IF(O59=1,_xlfn.MINIFS(Sch_idx,Sch_n,G$5,Sch_bmax,"&gt;="&amp;($A59-0.000000001),Sch_P0,"&gt;="&amp;(G59+Beta_y*$A59-0.000000001)),"")</f>
        <v>59</v>
      </c>
      <c r="X59" s="15" t="n">
        <f aca="false">IF(P59=1,_xlfn.MINIFS(Sch_idx,Sch_n,H$5,Sch_bmax,"&gt;="&amp;($A59-0.000000001),Sch_P0,"&gt;="&amp;(H59+Beta_y*$A59-0.000000001)),"")</f>
        <v>63</v>
      </c>
      <c r="Z59" s="15" t="n">
        <f aca="false">IF(J59=1,IF(COUNTIFS(K59:$P59,1,C59:$H59,"&gt;="&amp;(B59-0.000000001))&gt;0,0,1),"")</f>
        <v>0</v>
      </c>
      <c r="AA59" s="15" t="n">
        <f aca="false">IF(K59=1,IF(COUNTIFS(L59:$P59,1,D59:$H59,"&gt;="&amp;(C59-0.000000001))&gt;0,0,1),"")</f>
        <v>0</v>
      </c>
      <c r="AB59" s="15" t="n">
        <f aca="false">IF(L59=1,IF(COUNTIFS(M59:$P59,1,E59:$H59,"&gt;="&amp;(D59-0.000000001))&gt;0,0,1),"")</f>
        <v>1</v>
      </c>
      <c r="AC59" s="15" t="n">
        <f aca="false">IF(M59=1,IF(COUNTIFS(N59:$P59,1,F59:$H59,"&gt;="&amp;(E59-0.000000001))&gt;0,0,1),"")</f>
        <v>1</v>
      </c>
      <c r="AD59" s="15" t="n">
        <f aca="false">IF(N59=1,IF(COUNTIFS(O59:$P59,1,G59:$H59,"&gt;="&amp;(F59-0.000000001))&gt;0,0,1),"")</f>
        <v>1</v>
      </c>
      <c r="AE59" s="15" t="n">
        <f aca="false">IF(O59=1,IF(COUNTIFS(P59:$P59,1,H59:$H59,"&gt;="&amp;(G59-0.000000001))&gt;0,0,1),"")</f>
        <v>1</v>
      </c>
      <c r="AF59" s="15" t="n">
        <f aca="false">IF(P59=1,1,"")</f>
        <v>1</v>
      </c>
    </row>
    <row r="60" customFormat="false" ht="15" hidden="false" customHeight="false" outlineLevel="0" collapsed="false">
      <c r="A60" s="2" t="n">
        <v>54</v>
      </c>
      <c r="B60" s="16" t="n">
        <f aca="false">IF(COUNTIFS(Sch_n,B$5,Sch_bmax,"&gt;="&amp;($A60-0.000000001))&gt;0,_xlfn.MAXIFS(Sch_P0,Sch_n,B$5,Sch_bmax,"&gt;="&amp;($A60-0.000000001))-Beta_y*$A60,"")</f>
        <v>87.2727272727273</v>
      </c>
      <c r="C60" s="16" t="n">
        <f aca="false">IF(COUNTIFS(Sch_n,C$5,Sch_bmax,"&gt;="&amp;($A60-0.000000001))&gt;0,_xlfn.MAXIFS(Sch_P0,Sch_n,C$5,Sch_bmax,"&gt;="&amp;($A60-0.000000001))-Beta_y*$A60,"")</f>
        <v>321.581734978361</v>
      </c>
      <c r="D60" s="16" t="n">
        <f aca="false">IF(COUNTIFS(Sch_n,D$5,Sch_bmax,"&gt;="&amp;($A60-0.000000001))&gt;0,_xlfn.MAXIFS(Sch_P0,Sch_n,D$5,Sch_bmax,"&gt;="&amp;($A60-0.000000001))-Beta_y*$A60,"")</f>
        <v>335.082427305636</v>
      </c>
      <c r="E60" s="16" t="n">
        <f aca="false">IF(COUNTIFS(Sch_n,E$5,Sch_bmax,"&gt;="&amp;($A60-0.000000001))&gt;0,_xlfn.MAXIFS(Sch_P0,Sch_n,E$5,Sch_bmax,"&gt;="&amp;($A60-0.000000001))-Beta_y*$A60,"")</f>
        <v>281.361076474364</v>
      </c>
      <c r="F60" s="16" t="n">
        <f aca="false">IF(COUNTIFS(Sch_n,F$5,Sch_bmax,"&gt;="&amp;($A60-0.000000001))&gt;0,_xlfn.MAXIFS(Sch_P0,Sch_n,F$5,Sch_bmax,"&gt;="&amp;($A60-0.000000001))-Beta_y*$A60,"")</f>
        <v>211.789664595236</v>
      </c>
      <c r="G60" s="16" t="n">
        <f aca="false">IF(COUNTIFS(Sch_n,G$5,Sch_bmax,"&gt;="&amp;($A60-0.000000001))&gt;0,_xlfn.MAXIFS(Sch_P0,Sch_n,G$5,Sch_bmax,"&gt;="&amp;($A60-0.000000001))-Beta_y*$A60,"")</f>
        <v>137.73068497218</v>
      </c>
      <c r="H60" s="16" t="n">
        <f aca="false">IF(COUNTIFS(Sch_n,H$5,Sch_bmax,"&gt;="&amp;($A60-0.000000001))&gt;0,_xlfn.MAXIFS(Sch_P0,Sch_n,H$5,Sch_bmax,"&gt;="&amp;($A60-0.000000001))-Beta_y*$A60,"")</f>
        <v>57.5005941088114</v>
      </c>
      <c r="J60" s="15" t="n">
        <f aca="false">IF(ISNUMBER(B60),1,0)</f>
        <v>1</v>
      </c>
      <c r="K60" s="15" t="n">
        <f aca="false">IF(ISNUMBER(C60),1,0)</f>
        <v>1</v>
      </c>
      <c r="L60" s="15" t="n">
        <f aca="false">IF(ISNUMBER(D60),1,0)</f>
        <v>1</v>
      </c>
      <c r="M60" s="15" t="n">
        <f aca="false">IF(ISNUMBER(E60),1,0)</f>
        <v>1</v>
      </c>
      <c r="N60" s="15" t="n">
        <f aca="false">IF(ISNUMBER(F60),1,0)</f>
        <v>1</v>
      </c>
      <c r="O60" s="15" t="n">
        <f aca="false">IF(ISNUMBER(G60),1,0)</f>
        <v>1</v>
      </c>
      <c r="P60" s="15" t="n">
        <f aca="false">IF(ISNUMBER(H60),1,0)</f>
        <v>1</v>
      </c>
      <c r="R60" s="15" t="n">
        <f aca="false">IF(J60=1,_xlfn.MINIFS(Sch_idx,Sch_n,B$5,Sch_bmax,"&gt;="&amp;($A60-0.000000001),Sch_P0,"&gt;="&amp;(B60+Beta_y*$A60-0.000000001)),"")</f>
        <v>0</v>
      </c>
      <c r="S60" s="15" t="n">
        <f aca="false">IF(K60=1,_xlfn.MINIFS(Sch_idx,Sch_n,C$5,Sch_bmax,"&gt;="&amp;($A60-0.000000001),Sch_P0,"&gt;="&amp;(C60+Beta_y*$A60-0.000000001)),"")</f>
        <v>32</v>
      </c>
      <c r="T60" s="15" t="n">
        <f aca="false">IF(L60=1,_xlfn.MINIFS(Sch_idx,Sch_n,D$5,Sch_bmax,"&gt;="&amp;($A60-0.000000001),Sch_P0,"&gt;="&amp;(D60+Beta_y*$A60-0.000000001)),"")</f>
        <v>48</v>
      </c>
      <c r="U60" s="15" t="n">
        <f aca="false">IF(M60=1,_xlfn.MINIFS(Sch_idx,Sch_n,E$5,Sch_bmax,"&gt;="&amp;($A60-0.000000001),Sch_P0,"&gt;="&amp;(E60+Beta_y*$A60-0.000000001)),"")</f>
        <v>56</v>
      </c>
      <c r="V60" s="15" t="n">
        <f aca="false">IF(N60=1,_xlfn.MINIFS(Sch_idx,Sch_n,F$5,Sch_bmax,"&gt;="&amp;($A60-0.000000001),Sch_P0,"&gt;="&amp;(F60+Beta_y*$A60-0.000000001)),"")</f>
        <v>57</v>
      </c>
      <c r="W60" s="15" t="n">
        <f aca="false">IF(O60=1,_xlfn.MINIFS(Sch_idx,Sch_n,G$5,Sch_bmax,"&gt;="&amp;($A60-0.000000001),Sch_P0,"&gt;="&amp;(G60+Beta_y*$A60-0.000000001)),"")</f>
        <v>59</v>
      </c>
      <c r="X60" s="15" t="n">
        <f aca="false">IF(P60=1,_xlfn.MINIFS(Sch_idx,Sch_n,H$5,Sch_bmax,"&gt;="&amp;($A60-0.000000001),Sch_P0,"&gt;="&amp;(H60+Beta_y*$A60-0.000000001)),"")</f>
        <v>63</v>
      </c>
      <c r="Z60" s="15" t="n">
        <f aca="false">IF(J60=1,IF(COUNTIFS(K60:$P60,1,C60:$H60,"&gt;="&amp;(B60-0.000000001))&gt;0,0,1),"")</f>
        <v>0</v>
      </c>
      <c r="AA60" s="15" t="n">
        <f aca="false">IF(K60=1,IF(COUNTIFS(L60:$P60,1,D60:$H60,"&gt;="&amp;(C60-0.000000001))&gt;0,0,1),"")</f>
        <v>0</v>
      </c>
      <c r="AB60" s="15" t="n">
        <f aca="false">IF(L60=1,IF(COUNTIFS(M60:$P60,1,E60:$H60,"&gt;="&amp;(D60-0.000000001))&gt;0,0,1),"")</f>
        <v>1</v>
      </c>
      <c r="AC60" s="15" t="n">
        <f aca="false">IF(M60=1,IF(COUNTIFS(N60:$P60,1,F60:$H60,"&gt;="&amp;(E60-0.000000001))&gt;0,0,1),"")</f>
        <v>1</v>
      </c>
      <c r="AD60" s="15" t="n">
        <f aca="false">IF(N60=1,IF(COUNTIFS(O60:$P60,1,G60:$H60,"&gt;="&amp;(F60-0.000000001))&gt;0,0,1),"")</f>
        <v>1</v>
      </c>
      <c r="AE60" s="15" t="n">
        <f aca="false">IF(O60=1,IF(COUNTIFS(P60:$P60,1,H60:$H60,"&gt;="&amp;(G60-0.000000001))&gt;0,0,1),"")</f>
        <v>1</v>
      </c>
      <c r="AF60" s="15" t="n">
        <f aca="false">IF(P60=1,1,"")</f>
        <v>1</v>
      </c>
    </row>
    <row r="61" customFormat="false" ht="15" hidden="false" customHeight="false" outlineLevel="0" collapsed="false">
      <c r="A61" s="2" t="n">
        <v>55</v>
      </c>
      <c r="B61" s="16" t="n">
        <f aca="false">IF(COUNTIFS(Sch_n,B$5,Sch_bmax,"&gt;="&amp;($A61-0.000000001))&gt;0,_xlfn.MAXIFS(Sch_P0,Sch_n,B$5,Sch_bmax,"&gt;="&amp;($A61-0.000000001))-Beta_y*$A61,"")</f>
        <v>86.3636363636364</v>
      </c>
      <c r="C61" s="16" t="n">
        <f aca="false">IF(COUNTIFS(Sch_n,C$5,Sch_bmax,"&gt;="&amp;($A61-0.000000001))&gt;0,_xlfn.MAXIFS(Sch_P0,Sch_n,C$5,Sch_bmax,"&gt;="&amp;($A61-0.000000001))-Beta_y*$A61,"")</f>
        <v>320.67264406927</v>
      </c>
      <c r="D61" s="16" t="n">
        <f aca="false">IF(COUNTIFS(Sch_n,D$5,Sch_bmax,"&gt;="&amp;($A61-0.000000001))&gt;0,_xlfn.MAXIFS(Sch_P0,Sch_n,D$5,Sch_bmax,"&gt;="&amp;($A61-0.000000001))-Beta_y*$A61,"")</f>
        <v>334.173336396545</v>
      </c>
      <c r="E61" s="16" t="n">
        <f aca="false">IF(COUNTIFS(Sch_n,E$5,Sch_bmax,"&gt;="&amp;($A61-0.000000001))&gt;0,_xlfn.MAXIFS(Sch_P0,Sch_n,E$5,Sch_bmax,"&gt;="&amp;($A61-0.000000001))-Beta_y*$A61,"")</f>
        <v>280.451985565273</v>
      </c>
      <c r="F61" s="16" t="n">
        <f aca="false">IF(COUNTIFS(Sch_n,F$5,Sch_bmax,"&gt;="&amp;($A61-0.000000001))&gt;0,_xlfn.MAXIFS(Sch_P0,Sch_n,F$5,Sch_bmax,"&gt;="&amp;($A61-0.000000001))-Beta_y*$A61,"")</f>
        <v>210.880573686145</v>
      </c>
      <c r="G61" s="16" t="n">
        <f aca="false">IF(COUNTIFS(Sch_n,G$5,Sch_bmax,"&gt;="&amp;($A61-0.000000001))&gt;0,_xlfn.MAXIFS(Sch_P0,Sch_n,G$5,Sch_bmax,"&gt;="&amp;($A61-0.000000001))-Beta_y*$A61,"")</f>
        <v>136.821594063089</v>
      </c>
      <c r="H61" s="16" t="n">
        <f aca="false">IF(COUNTIFS(Sch_n,H$5,Sch_bmax,"&gt;="&amp;($A61-0.000000001))&gt;0,_xlfn.MAXIFS(Sch_P0,Sch_n,H$5,Sch_bmax,"&gt;="&amp;($A61-0.000000001))-Beta_y*$A61,"")</f>
        <v>56.5915031997205</v>
      </c>
      <c r="J61" s="15" t="n">
        <f aca="false">IF(ISNUMBER(B61),1,0)</f>
        <v>1</v>
      </c>
      <c r="K61" s="15" t="n">
        <f aca="false">IF(ISNUMBER(C61),1,0)</f>
        <v>1</v>
      </c>
      <c r="L61" s="15" t="n">
        <f aca="false">IF(ISNUMBER(D61),1,0)</f>
        <v>1</v>
      </c>
      <c r="M61" s="15" t="n">
        <f aca="false">IF(ISNUMBER(E61),1,0)</f>
        <v>1</v>
      </c>
      <c r="N61" s="15" t="n">
        <f aca="false">IF(ISNUMBER(F61),1,0)</f>
        <v>1</v>
      </c>
      <c r="O61" s="15" t="n">
        <f aca="false">IF(ISNUMBER(G61),1,0)</f>
        <v>1</v>
      </c>
      <c r="P61" s="15" t="n">
        <f aca="false">IF(ISNUMBER(H61),1,0)</f>
        <v>1</v>
      </c>
      <c r="R61" s="15" t="n">
        <f aca="false">IF(J61=1,_xlfn.MINIFS(Sch_idx,Sch_n,B$5,Sch_bmax,"&gt;="&amp;($A61-0.000000001),Sch_P0,"&gt;="&amp;(B61+Beta_y*$A61-0.000000001)),"")</f>
        <v>0</v>
      </c>
      <c r="S61" s="15" t="n">
        <f aca="false">IF(K61=1,_xlfn.MINIFS(Sch_idx,Sch_n,C$5,Sch_bmax,"&gt;="&amp;($A61-0.000000001),Sch_P0,"&gt;="&amp;(C61+Beta_y*$A61-0.000000001)),"")</f>
        <v>32</v>
      </c>
      <c r="T61" s="15" t="n">
        <f aca="false">IF(L61=1,_xlfn.MINIFS(Sch_idx,Sch_n,D$5,Sch_bmax,"&gt;="&amp;($A61-0.000000001),Sch_P0,"&gt;="&amp;(D61+Beta_y*$A61-0.000000001)),"")</f>
        <v>48</v>
      </c>
      <c r="U61" s="15" t="n">
        <f aca="false">IF(M61=1,_xlfn.MINIFS(Sch_idx,Sch_n,E$5,Sch_bmax,"&gt;="&amp;($A61-0.000000001),Sch_P0,"&gt;="&amp;(E61+Beta_y*$A61-0.000000001)),"")</f>
        <v>56</v>
      </c>
      <c r="V61" s="15" t="n">
        <f aca="false">IF(N61=1,_xlfn.MINIFS(Sch_idx,Sch_n,F$5,Sch_bmax,"&gt;="&amp;($A61-0.000000001),Sch_P0,"&gt;="&amp;(F61+Beta_y*$A61-0.000000001)),"")</f>
        <v>57</v>
      </c>
      <c r="W61" s="15" t="n">
        <f aca="false">IF(O61=1,_xlfn.MINIFS(Sch_idx,Sch_n,G$5,Sch_bmax,"&gt;="&amp;($A61-0.000000001),Sch_P0,"&gt;="&amp;(G61+Beta_y*$A61-0.000000001)),"")</f>
        <v>59</v>
      </c>
      <c r="X61" s="15" t="n">
        <f aca="false">IF(P61=1,_xlfn.MINIFS(Sch_idx,Sch_n,H$5,Sch_bmax,"&gt;="&amp;($A61-0.000000001),Sch_P0,"&gt;="&amp;(H61+Beta_y*$A61-0.000000001)),"")</f>
        <v>63</v>
      </c>
      <c r="Z61" s="15" t="n">
        <f aca="false">IF(J61=1,IF(COUNTIFS(K61:$P61,1,C61:$H61,"&gt;="&amp;(B61-0.000000001))&gt;0,0,1),"")</f>
        <v>0</v>
      </c>
      <c r="AA61" s="15" t="n">
        <f aca="false">IF(K61=1,IF(COUNTIFS(L61:$P61,1,D61:$H61,"&gt;="&amp;(C61-0.000000001))&gt;0,0,1),"")</f>
        <v>0</v>
      </c>
      <c r="AB61" s="15" t="n">
        <f aca="false">IF(L61=1,IF(COUNTIFS(M61:$P61,1,E61:$H61,"&gt;="&amp;(D61-0.000000001))&gt;0,0,1),"")</f>
        <v>1</v>
      </c>
      <c r="AC61" s="15" t="n">
        <f aca="false">IF(M61=1,IF(COUNTIFS(N61:$P61,1,F61:$H61,"&gt;="&amp;(E61-0.000000001))&gt;0,0,1),"")</f>
        <v>1</v>
      </c>
      <c r="AD61" s="15" t="n">
        <f aca="false">IF(N61=1,IF(COUNTIFS(O61:$P61,1,G61:$H61,"&gt;="&amp;(F61-0.000000001))&gt;0,0,1),"")</f>
        <v>1</v>
      </c>
      <c r="AE61" s="15" t="n">
        <f aca="false">IF(O61=1,IF(COUNTIFS(P61:$P61,1,H61:$H61,"&gt;="&amp;(G61-0.000000001))&gt;0,0,1),"")</f>
        <v>1</v>
      </c>
      <c r="AF61" s="15" t="n">
        <f aca="false">IF(P61=1,1,"")</f>
        <v>1</v>
      </c>
    </row>
    <row r="62" customFormat="false" ht="15" hidden="false" customHeight="false" outlineLevel="0" collapsed="false">
      <c r="A62" s="2" t="n">
        <v>56</v>
      </c>
      <c r="B62" s="16" t="n">
        <f aca="false">IF(COUNTIFS(Sch_n,B$5,Sch_bmax,"&gt;="&amp;($A62-0.000000001))&gt;0,_xlfn.MAXIFS(Sch_P0,Sch_n,B$5,Sch_bmax,"&gt;="&amp;($A62-0.000000001))-Beta_y*$A62,"")</f>
        <v>85.4545454545454</v>
      </c>
      <c r="C62" s="16" t="n">
        <f aca="false">IF(COUNTIFS(Sch_n,C$5,Sch_bmax,"&gt;="&amp;($A62-0.000000001))&gt;0,_xlfn.MAXIFS(Sch_P0,Sch_n,C$5,Sch_bmax,"&gt;="&amp;($A62-0.000000001))-Beta_y*$A62,"")</f>
        <v>319.763553160179</v>
      </c>
      <c r="D62" s="16" t="n">
        <f aca="false">IF(COUNTIFS(Sch_n,D$5,Sch_bmax,"&gt;="&amp;($A62-0.000000001))&gt;0,_xlfn.MAXIFS(Sch_P0,Sch_n,D$5,Sch_bmax,"&gt;="&amp;($A62-0.000000001))-Beta_y*$A62,"")</f>
        <v>333.264245487454</v>
      </c>
      <c r="E62" s="16" t="n">
        <f aca="false">IF(COUNTIFS(Sch_n,E$5,Sch_bmax,"&gt;="&amp;($A62-0.000000001))&gt;0,_xlfn.MAXIFS(Sch_P0,Sch_n,E$5,Sch_bmax,"&gt;="&amp;($A62-0.000000001))-Beta_y*$A62,"")</f>
        <v>279.542894656182</v>
      </c>
      <c r="F62" s="16" t="n">
        <f aca="false">IF(COUNTIFS(Sch_n,F$5,Sch_bmax,"&gt;="&amp;($A62-0.000000001))&gt;0,_xlfn.MAXIFS(Sch_P0,Sch_n,F$5,Sch_bmax,"&gt;="&amp;($A62-0.000000001))-Beta_y*$A62,"")</f>
        <v>209.971482777054</v>
      </c>
      <c r="G62" s="16" t="n">
        <f aca="false">IF(COUNTIFS(Sch_n,G$5,Sch_bmax,"&gt;="&amp;($A62-0.000000001))&gt;0,_xlfn.MAXIFS(Sch_P0,Sch_n,G$5,Sch_bmax,"&gt;="&amp;($A62-0.000000001))-Beta_y*$A62,"")</f>
        <v>135.912503153998</v>
      </c>
      <c r="H62" s="16" t="n">
        <f aca="false">IF(COUNTIFS(Sch_n,H$5,Sch_bmax,"&gt;="&amp;($A62-0.000000001))&gt;0,_xlfn.MAXIFS(Sch_P0,Sch_n,H$5,Sch_bmax,"&gt;="&amp;($A62-0.000000001))-Beta_y*$A62,"")</f>
        <v>55.6824122906296</v>
      </c>
      <c r="J62" s="15" t="n">
        <f aca="false">IF(ISNUMBER(B62),1,0)</f>
        <v>1</v>
      </c>
      <c r="K62" s="15" t="n">
        <f aca="false">IF(ISNUMBER(C62),1,0)</f>
        <v>1</v>
      </c>
      <c r="L62" s="15" t="n">
        <f aca="false">IF(ISNUMBER(D62),1,0)</f>
        <v>1</v>
      </c>
      <c r="M62" s="15" t="n">
        <f aca="false">IF(ISNUMBER(E62),1,0)</f>
        <v>1</v>
      </c>
      <c r="N62" s="15" t="n">
        <f aca="false">IF(ISNUMBER(F62),1,0)</f>
        <v>1</v>
      </c>
      <c r="O62" s="15" t="n">
        <f aca="false">IF(ISNUMBER(G62),1,0)</f>
        <v>1</v>
      </c>
      <c r="P62" s="15" t="n">
        <f aca="false">IF(ISNUMBER(H62),1,0)</f>
        <v>1</v>
      </c>
      <c r="R62" s="15" t="n">
        <f aca="false">IF(J62=1,_xlfn.MINIFS(Sch_idx,Sch_n,B$5,Sch_bmax,"&gt;="&amp;($A62-0.000000001),Sch_P0,"&gt;="&amp;(B62+Beta_y*$A62-0.000000001)),"")</f>
        <v>0</v>
      </c>
      <c r="S62" s="15" t="n">
        <f aca="false">IF(K62=1,_xlfn.MINIFS(Sch_idx,Sch_n,C$5,Sch_bmax,"&gt;="&amp;($A62-0.000000001),Sch_P0,"&gt;="&amp;(C62+Beta_y*$A62-0.000000001)),"")</f>
        <v>32</v>
      </c>
      <c r="T62" s="15" t="n">
        <f aca="false">IF(L62=1,_xlfn.MINIFS(Sch_idx,Sch_n,D$5,Sch_bmax,"&gt;="&amp;($A62-0.000000001),Sch_P0,"&gt;="&amp;(D62+Beta_y*$A62-0.000000001)),"")</f>
        <v>48</v>
      </c>
      <c r="U62" s="15" t="n">
        <f aca="false">IF(M62=1,_xlfn.MINIFS(Sch_idx,Sch_n,E$5,Sch_bmax,"&gt;="&amp;($A62-0.000000001),Sch_P0,"&gt;="&amp;(E62+Beta_y*$A62-0.000000001)),"")</f>
        <v>56</v>
      </c>
      <c r="V62" s="15" t="n">
        <f aca="false">IF(N62=1,_xlfn.MINIFS(Sch_idx,Sch_n,F$5,Sch_bmax,"&gt;="&amp;($A62-0.000000001),Sch_P0,"&gt;="&amp;(F62+Beta_y*$A62-0.000000001)),"")</f>
        <v>57</v>
      </c>
      <c r="W62" s="15" t="n">
        <f aca="false">IF(O62=1,_xlfn.MINIFS(Sch_idx,Sch_n,G$5,Sch_bmax,"&gt;="&amp;($A62-0.000000001),Sch_P0,"&gt;="&amp;(G62+Beta_y*$A62-0.000000001)),"")</f>
        <v>59</v>
      </c>
      <c r="X62" s="15" t="n">
        <f aca="false">IF(P62=1,_xlfn.MINIFS(Sch_idx,Sch_n,H$5,Sch_bmax,"&gt;="&amp;($A62-0.000000001),Sch_P0,"&gt;="&amp;(H62+Beta_y*$A62-0.000000001)),"")</f>
        <v>63</v>
      </c>
      <c r="Z62" s="15" t="n">
        <f aca="false">IF(J62=1,IF(COUNTIFS(K62:$P62,1,C62:$H62,"&gt;="&amp;(B62-0.000000001))&gt;0,0,1),"")</f>
        <v>0</v>
      </c>
      <c r="AA62" s="15" t="n">
        <f aca="false">IF(K62=1,IF(COUNTIFS(L62:$P62,1,D62:$H62,"&gt;="&amp;(C62-0.000000001))&gt;0,0,1),"")</f>
        <v>0</v>
      </c>
      <c r="AB62" s="15" t="n">
        <f aca="false">IF(L62=1,IF(COUNTIFS(M62:$P62,1,E62:$H62,"&gt;="&amp;(D62-0.000000001))&gt;0,0,1),"")</f>
        <v>1</v>
      </c>
      <c r="AC62" s="15" t="n">
        <f aca="false">IF(M62=1,IF(COUNTIFS(N62:$P62,1,F62:$H62,"&gt;="&amp;(E62-0.000000001))&gt;0,0,1),"")</f>
        <v>1</v>
      </c>
      <c r="AD62" s="15" t="n">
        <f aca="false">IF(N62=1,IF(COUNTIFS(O62:$P62,1,G62:$H62,"&gt;="&amp;(F62-0.000000001))&gt;0,0,1),"")</f>
        <v>1</v>
      </c>
      <c r="AE62" s="15" t="n">
        <f aca="false">IF(O62=1,IF(COUNTIFS(P62:$P62,1,H62:$H62,"&gt;="&amp;(G62-0.000000001))&gt;0,0,1),"")</f>
        <v>1</v>
      </c>
      <c r="AF62" s="15" t="n">
        <f aca="false">IF(P62=1,1,"")</f>
        <v>1</v>
      </c>
    </row>
    <row r="63" customFormat="false" ht="15" hidden="false" customHeight="false" outlineLevel="0" collapsed="false">
      <c r="A63" s="2" t="n">
        <v>57</v>
      </c>
      <c r="B63" s="16" t="n">
        <f aca="false">IF(COUNTIFS(Sch_n,B$5,Sch_bmax,"&gt;="&amp;($A63-0.000000001))&gt;0,_xlfn.MAXIFS(Sch_P0,Sch_n,B$5,Sch_bmax,"&gt;="&amp;($A63-0.000000001))-Beta_y*$A63,"")</f>
        <v>84.5454545454545</v>
      </c>
      <c r="C63" s="16" t="n">
        <f aca="false">IF(COUNTIFS(Sch_n,C$5,Sch_bmax,"&gt;="&amp;($A63-0.000000001))&gt;0,_xlfn.MAXIFS(Sch_P0,Sch_n,C$5,Sch_bmax,"&gt;="&amp;($A63-0.000000001))-Beta_y*$A63,"")</f>
        <v>318.854462251088</v>
      </c>
      <c r="D63" s="16" t="n">
        <f aca="false">IF(COUNTIFS(Sch_n,D$5,Sch_bmax,"&gt;="&amp;($A63-0.000000001))&gt;0,_xlfn.MAXIFS(Sch_P0,Sch_n,D$5,Sch_bmax,"&gt;="&amp;($A63-0.000000001))-Beta_y*$A63,"")</f>
        <v>332.355154578363</v>
      </c>
      <c r="E63" s="16" t="n">
        <f aca="false">IF(COUNTIFS(Sch_n,E$5,Sch_bmax,"&gt;="&amp;($A63-0.000000001))&gt;0,_xlfn.MAXIFS(Sch_P0,Sch_n,E$5,Sch_bmax,"&gt;="&amp;($A63-0.000000001))-Beta_y*$A63,"")</f>
        <v>278.633803747091</v>
      </c>
      <c r="F63" s="16" t="n">
        <f aca="false">IF(COUNTIFS(Sch_n,F$5,Sch_bmax,"&gt;="&amp;($A63-0.000000001))&gt;0,_xlfn.MAXIFS(Sch_P0,Sch_n,F$5,Sch_bmax,"&gt;="&amp;($A63-0.000000001))-Beta_y*$A63,"")</f>
        <v>209.062391867963</v>
      </c>
      <c r="G63" s="16" t="n">
        <f aca="false">IF(COUNTIFS(Sch_n,G$5,Sch_bmax,"&gt;="&amp;($A63-0.000000001))&gt;0,_xlfn.MAXIFS(Sch_P0,Sch_n,G$5,Sch_bmax,"&gt;="&amp;($A63-0.000000001))-Beta_y*$A63,"")</f>
        <v>135.003412244907</v>
      </c>
      <c r="H63" s="16" t="n">
        <f aca="false">IF(COUNTIFS(Sch_n,H$5,Sch_bmax,"&gt;="&amp;($A63-0.000000001))&gt;0,_xlfn.MAXIFS(Sch_P0,Sch_n,H$5,Sch_bmax,"&gt;="&amp;($A63-0.000000001))-Beta_y*$A63,"")</f>
        <v>54.7733213815387</v>
      </c>
      <c r="J63" s="15" t="n">
        <f aca="false">IF(ISNUMBER(B63),1,0)</f>
        <v>1</v>
      </c>
      <c r="K63" s="15" t="n">
        <f aca="false">IF(ISNUMBER(C63),1,0)</f>
        <v>1</v>
      </c>
      <c r="L63" s="15" t="n">
        <f aca="false">IF(ISNUMBER(D63),1,0)</f>
        <v>1</v>
      </c>
      <c r="M63" s="15" t="n">
        <f aca="false">IF(ISNUMBER(E63),1,0)</f>
        <v>1</v>
      </c>
      <c r="N63" s="15" t="n">
        <f aca="false">IF(ISNUMBER(F63),1,0)</f>
        <v>1</v>
      </c>
      <c r="O63" s="15" t="n">
        <f aca="false">IF(ISNUMBER(G63),1,0)</f>
        <v>1</v>
      </c>
      <c r="P63" s="15" t="n">
        <f aca="false">IF(ISNUMBER(H63),1,0)</f>
        <v>1</v>
      </c>
      <c r="R63" s="15" t="n">
        <f aca="false">IF(J63=1,_xlfn.MINIFS(Sch_idx,Sch_n,B$5,Sch_bmax,"&gt;="&amp;($A63-0.000000001),Sch_P0,"&gt;="&amp;(B63+Beta_y*$A63-0.000000001)),"")</f>
        <v>0</v>
      </c>
      <c r="S63" s="15" t="n">
        <f aca="false">IF(K63=1,_xlfn.MINIFS(Sch_idx,Sch_n,C$5,Sch_bmax,"&gt;="&amp;($A63-0.000000001),Sch_P0,"&gt;="&amp;(C63+Beta_y*$A63-0.000000001)),"")</f>
        <v>32</v>
      </c>
      <c r="T63" s="15" t="n">
        <f aca="false">IF(L63=1,_xlfn.MINIFS(Sch_idx,Sch_n,D$5,Sch_bmax,"&gt;="&amp;($A63-0.000000001),Sch_P0,"&gt;="&amp;(D63+Beta_y*$A63-0.000000001)),"")</f>
        <v>48</v>
      </c>
      <c r="U63" s="15" t="n">
        <f aca="false">IF(M63=1,_xlfn.MINIFS(Sch_idx,Sch_n,E$5,Sch_bmax,"&gt;="&amp;($A63-0.000000001),Sch_P0,"&gt;="&amp;(E63+Beta_y*$A63-0.000000001)),"")</f>
        <v>56</v>
      </c>
      <c r="V63" s="15" t="n">
        <f aca="false">IF(N63=1,_xlfn.MINIFS(Sch_idx,Sch_n,F$5,Sch_bmax,"&gt;="&amp;($A63-0.000000001),Sch_P0,"&gt;="&amp;(F63+Beta_y*$A63-0.000000001)),"")</f>
        <v>57</v>
      </c>
      <c r="W63" s="15" t="n">
        <f aca="false">IF(O63=1,_xlfn.MINIFS(Sch_idx,Sch_n,G$5,Sch_bmax,"&gt;="&amp;($A63-0.000000001),Sch_P0,"&gt;="&amp;(G63+Beta_y*$A63-0.000000001)),"")</f>
        <v>59</v>
      </c>
      <c r="X63" s="15" t="n">
        <f aca="false">IF(P63=1,_xlfn.MINIFS(Sch_idx,Sch_n,H$5,Sch_bmax,"&gt;="&amp;($A63-0.000000001),Sch_P0,"&gt;="&amp;(H63+Beta_y*$A63-0.000000001)),"")</f>
        <v>63</v>
      </c>
      <c r="Z63" s="15" t="n">
        <f aca="false">IF(J63=1,IF(COUNTIFS(K63:$P63,1,C63:$H63,"&gt;="&amp;(B63-0.000000001))&gt;0,0,1),"")</f>
        <v>0</v>
      </c>
      <c r="AA63" s="15" t="n">
        <f aca="false">IF(K63=1,IF(COUNTIFS(L63:$P63,1,D63:$H63,"&gt;="&amp;(C63-0.000000001))&gt;0,0,1),"")</f>
        <v>0</v>
      </c>
      <c r="AB63" s="15" t="n">
        <f aca="false">IF(L63=1,IF(COUNTIFS(M63:$P63,1,E63:$H63,"&gt;="&amp;(D63-0.000000001))&gt;0,0,1),"")</f>
        <v>1</v>
      </c>
      <c r="AC63" s="15" t="n">
        <f aca="false">IF(M63=1,IF(COUNTIFS(N63:$P63,1,F63:$H63,"&gt;="&amp;(E63-0.000000001))&gt;0,0,1),"")</f>
        <v>1</v>
      </c>
      <c r="AD63" s="15" t="n">
        <f aca="false">IF(N63=1,IF(COUNTIFS(O63:$P63,1,G63:$H63,"&gt;="&amp;(F63-0.000000001))&gt;0,0,1),"")</f>
        <v>1</v>
      </c>
      <c r="AE63" s="15" t="n">
        <f aca="false">IF(O63=1,IF(COUNTIFS(P63:$P63,1,H63:$H63,"&gt;="&amp;(G63-0.000000001))&gt;0,0,1),"")</f>
        <v>1</v>
      </c>
      <c r="AF63" s="15" t="n">
        <f aca="false">IF(P63=1,1,"")</f>
        <v>1</v>
      </c>
    </row>
    <row r="64" customFormat="false" ht="15" hidden="false" customHeight="false" outlineLevel="0" collapsed="false">
      <c r="A64" s="2" t="n">
        <v>58</v>
      </c>
      <c r="B64" s="16" t="n">
        <f aca="false">IF(COUNTIFS(Sch_n,B$5,Sch_bmax,"&gt;="&amp;($A64-0.000000001))&gt;0,_xlfn.MAXIFS(Sch_P0,Sch_n,B$5,Sch_bmax,"&gt;="&amp;($A64-0.000000001))-Beta_y*$A64,"")</f>
        <v>83.6363636363636</v>
      </c>
      <c r="C64" s="16" t="n">
        <f aca="false">IF(COUNTIFS(Sch_n,C$5,Sch_bmax,"&gt;="&amp;($A64-0.000000001))&gt;0,_xlfn.MAXIFS(Sch_P0,Sch_n,C$5,Sch_bmax,"&gt;="&amp;($A64-0.000000001))-Beta_y*$A64,"")</f>
        <v>317.945371341997</v>
      </c>
      <c r="D64" s="16" t="n">
        <f aca="false">IF(COUNTIFS(Sch_n,D$5,Sch_bmax,"&gt;="&amp;($A64-0.000000001))&gt;0,_xlfn.MAXIFS(Sch_P0,Sch_n,D$5,Sch_bmax,"&gt;="&amp;($A64-0.000000001))-Beta_y*$A64,"")</f>
        <v>331.446063669272</v>
      </c>
      <c r="E64" s="16" t="n">
        <f aca="false">IF(COUNTIFS(Sch_n,E$5,Sch_bmax,"&gt;="&amp;($A64-0.000000001))&gt;0,_xlfn.MAXIFS(Sch_P0,Sch_n,E$5,Sch_bmax,"&gt;="&amp;($A64-0.000000001))-Beta_y*$A64,"")</f>
        <v>277.724712838</v>
      </c>
      <c r="F64" s="16" t="n">
        <f aca="false">IF(COUNTIFS(Sch_n,F$5,Sch_bmax,"&gt;="&amp;($A64-0.000000001))&gt;0,_xlfn.MAXIFS(Sch_P0,Sch_n,F$5,Sch_bmax,"&gt;="&amp;($A64-0.000000001))-Beta_y*$A64,"")</f>
        <v>208.153300958872</v>
      </c>
      <c r="G64" s="16" t="n">
        <f aca="false">IF(COUNTIFS(Sch_n,G$5,Sch_bmax,"&gt;="&amp;($A64-0.000000001))&gt;0,_xlfn.MAXIFS(Sch_P0,Sch_n,G$5,Sch_bmax,"&gt;="&amp;($A64-0.000000001))-Beta_y*$A64,"")</f>
        <v>134.094321335816</v>
      </c>
      <c r="H64" s="16" t="n">
        <f aca="false">IF(COUNTIFS(Sch_n,H$5,Sch_bmax,"&gt;="&amp;($A64-0.000000001))&gt;0,_xlfn.MAXIFS(Sch_P0,Sch_n,H$5,Sch_bmax,"&gt;="&amp;($A64-0.000000001))-Beta_y*$A64,"")</f>
        <v>53.8642304724477</v>
      </c>
      <c r="J64" s="15" t="n">
        <f aca="false">IF(ISNUMBER(B64),1,0)</f>
        <v>1</v>
      </c>
      <c r="K64" s="15" t="n">
        <f aca="false">IF(ISNUMBER(C64),1,0)</f>
        <v>1</v>
      </c>
      <c r="L64" s="15" t="n">
        <f aca="false">IF(ISNUMBER(D64),1,0)</f>
        <v>1</v>
      </c>
      <c r="M64" s="15" t="n">
        <f aca="false">IF(ISNUMBER(E64),1,0)</f>
        <v>1</v>
      </c>
      <c r="N64" s="15" t="n">
        <f aca="false">IF(ISNUMBER(F64),1,0)</f>
        <v>1</v>
      </c>
      <c r="O64" s="15" t="n">
        <f aca="false">IF(ISNUMBER(G64),1,0)</f>
        <v>1</v>
      </c>
      <c r="P64" s="15" t="n">
        <f aca="false">IF(ISNUMBER(H64),1,0)</f>
        <v>1</v>
      </c>
      <c r="R64" s="15" t="n">
        <f aca="false">IF(J64=1,_xlfn.MINIFS(Sch_idx,Sch_n,B$5,Sch_bmax,"&gt;="&amp;($A64-0.000000001),Sch_P0,"&gt;="&amp;(B64+Beta_y*$A64-0.000000001)),"")</f>
        <v>0</v>
      </c>
      <c r="S64" s="15" t="n">
        <f aca="false">IF(K64=1,_xlfn.MINIFS(Sch_idx,Sch_n,C$5,Sch_bmax,"&gt;="&amp;($A64-0.000000001),Sch_P0,"&gt;="&amp;(C64+Beta_y*$A64-0.000000001)),"")</f>
        <v>32</v>
      </c>
      <c r="T64" s="15" t="n">
        <f aca="false">IF(L64=1,_xlfn.MINIFS(Sch_idx,Sch_n,D$5,Sch_bmax,"&gt;="&amp;($A64-0.000000001),Sch_P0,"&gt;="&amp;(D64+Beta_y*$A64-0.000000001)),"")</f>
        <v>48</v>
      </c>
      <c r="U64" s="15" t="n">
        <f aca="false">IF(M64=1,_xlfn.MINIFS(Sch_idx,Sch_n,E$5,Sch_bmax,"&gt;="&amp;($A64-0.000000001),Sch_P0,"&gt;="&amp;(E64+Beta_y*$A64-0.000000001)),"")</f>
        <v>56</v>
      </c>
      <c r="V64" s="15" t="n">
        <f aca="false">IF(N64=1,_xlfn.MINIFS(Sch_idx,Sch_n,F$5,Sch_bmax,"&gt;="&amp;($A64-0.000000001),Sch_P0,"&gt;="&amp;(F64+Beta_y*$A64-0.000000001)),"")</f>
        <v>57</v>
      </c>
      <c r="W64" s="15" t="n">
        <f aca="false">IF(O64=1,_xlfn.MINIFS(Sch_idx,Sch_n,G$5,Sch_bmax,"&gt;="&amp;($A64-0.000000001),Sch_P0,"&gt;="&amp;(G64+Beta_y*$A64-0.000000001)),"")</f>
        <v>59</v>
      </c>
      <c r="X64" s="15" t="n">
        <f aca="false">IF(P64=1,_xlfn.MINIFS(Sch_idx,Sch_n,H$5,Sch_bmax,"&gt;="&amp;($A64-0.000000001),Sch_P0,"&gt;="&amp;(H64+Beta_y*$A64-0.000000001)),"")</f>
        <v>63</v>
      </c>
      <c r="Z64" s="15" t="n">
        <f aca="false">IF(J64=1,IF(COUNTIFS(K64:$P64,1,C64:$H64,"&gt;="&amp;(B64-0.000000001))&gt;0,0,1),"")</f>
        <v>0</v>
      </c>
      <c r="AA64" s="15" t="n">
        <f aca="false">IF(K64=1,IF(COUNTIFS(L64:$P64,1,D64:$H64,"&gt;="&amp;(C64-0.000000001))&gt;0,0,1),"")</f>
        <v>0</v>
      </c>
      <c r="AB64" s="15" t="n">
        <f aca="false">IF(L64=1,IF(COUNTIFS(M64:$P64,1,E64:$H64,"&gt;="&amp;(D64-0.000000001))&gt;0,0,1),"")</f>
        <v>1</v>
      </c>
      <c r="AC64" s="15" t="n">
        <f aca="false">IF(M64=1,IF(COUNTIFS(N64:$P64,1,F64:$H64,"&gt;="&amp;(E64-0.000000001))&gt;0,0,1),"")</f>
        <v>1</v>
      </c>
      <c r="AD64" s="15" t="n">
        <f aca="false">IF(N64=1,IF(COUNTIFS(O64:$P64,1,G64:$H64,"&gt;="&amp;(F64-0.000000001))&gt;0,0,1),"")</f>
        <v>1</v>
      </c>
      <c r="AE64" s="15" t="n">
        <f aca="false">IF(O64=1,IF(COUNTIFS(P64:$P64,1,H64:$H64,"&gt;="&amp;(G64-0.000000001))&gt;0,0,1),"")</f>
        <v>1</v>
      </c>
      <c r="AF64" s="15" t="n">
        <f aca="false">IF(P64=1,1,"")</f>
        <v>1</v>
      </c>
    </row>
    <row r="65" customFormat="false" ht="15" hidden="false" customHeight="false" outlineLevel="0" collapsed="false">
      <c r="A65" s="2" t="n">
        <v>59</v>
      </c>
      <c r="B65" s="16" t="n">
        <f aca="false">IF(COUNTIFS(Sch_n,B$5,Sch_bmax,"&gt;="&amp;($A65-0.000000001))&gt;0,_xlfn.MAXIFS(Sch_P0,Sch_n,B$5,Sch_bmax,"&gt;="&amp;($A65-0.000000001))-Beta_y*$A65,"")</f>
        <v>82.7272727272727</v>
      </c>
      <c r="C65" s="16" t="n">
        <f aca="false">IF(COUNTIFS(Sch_n,C$5,Sch_bmax,"&gt;="&amp;($A65-0.000000001))&gt;0,_xlfn.MAXIFS(Sch_P0,Sch_n,C$5,Sch_bmax,"&gt;="&amp;($A65-0.000000001))-Beta_y*$A65,"")</f>
        <v>317.036280432906</v>
      </c>
      <c r="D65" s="16" t="n">
        <f aca="false">IF(COUNTIFS(Sch_n,D$5,Sch_bmax,"&gt;="&amp;($A65-0.000000001))&gt;0,_xlfn.MAXIFS(Sch_P0,Sch_n,D$5,Sch_bmax,"&gt;="&amp;($A65-0.000000001))-Beta_y*$A65,"")</f>
        <v>330.536972760182</v>
      </c>
      <c r="E65" s="16" t="n">
        <f aca="false">IF(COUNTIFS(Sch_n,E$5,Sch_bmax,"&gt;="&amp;($A65-0.000000001))&gt;0,_xlfn.MAXIFS(Sch_P0,Sch_n,E$5,Sch_bmax,"&gt;="&amp;($A65-0.000000001))-Beta_y*$A65,"")</f>
        <v>276.815621928909</v>
      </c>
      <c r="F65" s="16" t="n">
        <f aca="false">IF(COUNTIFS(Sch_n,F$5,Sch_bmax,"&gt;="&amp;($A65-0.000000001))&gt;0,_xlfn.MAXIFS(Sch_P0,Sch_n,F$5,Sch_bmax,"&gt;="&amp;($A65-0.000000001))-Beta_y*$A65,"")</f>
        <v>207.244210049781</v>
      </c>
      <c r="G65" s="16" t="n">
        <f aca="false">IF(COUNTIFS(Sch_n,G$5,Sch_bmax,"&gt;="&amp;($A65-0.000000001))&gt;0,_xlfn.MAXIFS(Sch_P0,Sch_n,G$5,Sch_bmax,"&gt;="&amp;($A65-0.000000001))-Beta_y*$A65,"")</f>
        <v>133.185230426725</v>
      </c>
      <c r="H65" s="16" t="n">
        <f aca="false">IF(COUNTIFS(Sch_n,H$5,Sch_bmax,"&gt;="&amp;($A65-0.000000001))&gt;0,_xlfn.MAXIFS(Sch_P0,Sch_n,H$5,Sch_bmax,"&gt;="&amp;($A65-0.000000001))-Beta_y*$A65,"")</f>
        <v>52.9551395633568</v>
      </c>
      <c r="J65" s="15" t="n">
        <f aca="false">IF(ISNUMBER(B65),1,0)</f>
        <v>1</v>
      </c>
      <c r="K65" s="15" t="n">
        <f aca="false">IF(ISNUMBER(C65),1,0)</f>
        <v>1</v>
      </c>
      <c r="L65" s="15" t="n">
        <f aca="false">IF(ISNUMBER(D65),1,0)</f>
        <v>1</v>
      </c>
      <c r="M65" s="15" t="n">
        <f aca="false">IF(ISNUMBER(E65),1,0)</f>
        <v>1</v>
      </c>
      <c r="N65" s="15" t="n">
        <f aca="false">IF(ISNUMBER(F65),1,0)</f>
        <v>1</v>
      </c>
      <c r="O65" s="15" t="n">
        <f aca="false">IF(ISNUMBER(G65),1,0)</f>
        <v>1</v>
      </c>
      <c r="P65" s="15" t="n">
        <f aca="false">IF(ISNUMBER(H65),1,0)</f>
        <v>1</v>
      </c>
      <c r="R65" s="15" t="n">
        <f aca="false">IF(J65=1,_xlfn.MINIFS(Sch_idx,Sch_n,B$5,Sch_bmax,"&gt;="&amp;($A65-0.000000001),Sch_P0,"&gt;="&amp;(B65+Beta_y*$A65-0.000000001)),"")</f>
        <v>0</v>
      </c>
      <c r="S65" s="15" t="n">
        <f aca="false">IF(K65=1,_xlfn.MINIFS(Sch_idx,Sch_n,C$5,Sch_bmax,"&gt;="&amp;($A65-0.000000001),Sch_P0,"&gt;="&amp;(C65+Beta_y*$A65-0.000000001)),"")</f>
        <v>32</v>
      </c>
      <c r="T65" s="15" t="n">
        <f aca="false">IF(L65=1,_xlfn.MINIFS(Sch_idx,Sch_n,D$5,Sch_bmax,"&gt;="&amp;($A65-0.000000001),Sch_P0,"&gt;="&amp;(D65+Beta_y*$A65-0.000000001)),"")</f>
        <v>48</v>
      </c>
      <c r="U65" s="15" t="n">
        <f aca="false">IF(M65=1,_xlfn.MINIFS(Sch_idx,Sch_n,E$5,Sch_bmax,"&gt;="&amp;($A65-0.000000001),Sch_P0,"&gt;="&amp;(E65+Beta_y*$A65-0.000000001)),"")</f>
        <v>56</v>
      </c>
      <c r="V65" s="15" t="n">
        <f aca="false">IF(N65=1,_xlfn.MINIFS(Sch_idx,Sch_n,F$5,Sch_bmax,"&gt;="&amp;($A65-0.000000001),Sch_P0,"&gt;="&amp;(F65+Beta_y*$A65-0.000000001)),"")</f>
        <v>57</v>
      </c>
      <c r="W65" s="15" t="n">
        <f aca="false">IF(O65=1,_xlfn.MINIFS(Sch_idx,Sch_n,G$5,Sch_bmax,"&gt;="&amp;($A65-0.000000001),Sch_P0,"&gt;="&amp;(G65+Beta_y*$A65-0.000000001)),"")</f>
        <v>59</v>
      </c>
      <c r="X65" s="15" t="n">
        <f aca="false">IF(P65=1,_xlfn.MINIFS(Sch_idx,Sch_n,H$5,Sch_bmax,"&gt;="&amp;($A65-0.000000001),Sch_P0,"&gt;="&amp;(H65+Beta_y*$A65-0.000000001)),"")</f>
        <v>63</v>
      </c>
      <c r="Z65" s="15" t="n">
        <f aca="false">IF(J65=1,IF(COUNTIFS(K65:$P65,1,C65:$H65,"&gt;="&amp;(B65-0.000000001))&gt;0,0,1),"")</f>
        <v>0</v>
      </c>
      <c r="AA65" s="15" t="n">
        <f aca="false">IF(K65=1,IF(COUNTIFS(L65:$P65,1,D65:$H65,"&gt;="&amp;(C65-0.000000001))&gt;0,0,1),"")</f>
        <v>0</v>
      </c>
      <c r="AB65" s="15" t="n">
        <f aca="false">IF(L65=1,IF(COUNTIFS(M65:$P65,1,E65:$H65,"&gt;="&amp;(D65-0.000000001))&gt;0,0,1),"")</f>
        <v>1</v>
      </c>
      <c r="AC65" s="15" t="n">
        <f aca="false">IF(M65=1,IF(COUNTIFS(N65:$P65,1,F65:$H65,"&gt;="&amp;(E65-0.000000001))&gt;0,0,1),"")</f>
        <v>1</v>
      </c>
      <c r="AD65" s="15" t="n">
        <f aca="false">IF(N65=1,IF(COUNTIFS(O65:$P65,1,G65:$H65,"&gt;="&amp;(F65-0.000000001))&gt;0,0,1),"")</f>
        <v>1</v>
      </c>
      <c r="AE65" s="15" t="n">
        <f aca="false">IF(O65=1,IF(COUNTIFS(P65:$P65,1,H65:$H65,"&gt;="&amp;(G65-0.000000001))&gt;0,0,1),"")</f>
        <v>1</v>
      </c>
      <c r="AF65" s="15" t="n">
        <f aca="false">IF(P65=1,1,"")</f>
        <v>1</v>
      </c>
    </row>
    <row r="66" customFormat="false" ht="15" hidden="false" customHeight="false" outlineLevel="0" collapsed="false">
      <c r="A66" s="2" t="n">
        <v>60</v>
      </c>
      <c r="B66" s="16" t="n">
        <f aca="false">IF(COUNTIFS(Sch_n,B$5,Sch_bmax,"&gt;="&amp;($A66-0.000000001))&gt;0,_xlfn.MAXIFS(Sch_P0,Sch_n,B$5,Sch_bmax,"&gt;="&amp;($A66-0.000000001))-Beta_y*$A66,"")</f>
        <v>81.8181818181818</v>
      </c>
      <c r="C66" s="16" t="n">
        <f aca="false">IF(COUNTIFS(Sch_n,C$5,Sch_bmax,"&gt;="&amp;($A66-0.000000001))&gt;0,_xlfn.MAXIFS(Sch_P0,Sch_n,C$5,Sch_bmax,"&gt;="&amp;($A66-0.000000001))-Beta_y*$A66,"")</f>
        <v>316.127189523815</v>
      </c>
      <c r="D66" s="16" t="n">
        <f aca="false">IF(COUNTIFS(Sch_n,D$5,Sch_bmax,"&gt;="&amp;($A66-0.000000001))&gt;0,_xlfn.MAXIFS(Sch_P0,Sch_n,D$5,Sch_bmax,"&gt;="&amp;($A66-0.000000001))-Beta_y*$A66,"")</f>
        <v>329.627881851091</v>
      </c>
      <c r="E66" s="16" t="n">
        <f aca="false">IF(COUNTIFS(Sch_n,E$5,Sch_bmax,"&gt;="&amp;($A66-0.000000001))&gt;0,_xlfn.MAXIFS(Sch_P0,Sch_n,E$5,Sch_bmax,"&gt;="&amp;($A66-0.000000001))-Beta_y*$A66,"")</f>
        <v>275.906531019818</v>
      </c>
      <c r="F66" s="16" t="n">
        <f aca="false">IF(COUNTIFS(Sch_n,F$5,Sch_bmax,"&gt;="&amp;($A66-0.000000001))&gt;0,_xlfn.MAXIFS(Sch_P0,Sch_n,F$5,Sch_bmax,"&gt;="&amp;($A66-0.000000001))-Beta_y*$A66,"")</f>
        <v>206.33511914069</v>
      </c>
      <c r="G66" s="16" t="n">
        <f aca="false">IF(COUNTIFS(Sch_n,G$5,Sch_bmax,"&gt;="&amp;($A66-0.000000001))&gt;0,_xlfn.MAXIFS(Sch_P0,Sch_n,G$5,Sch_bmax,"&gt;="&amp;($A66-0.000000001))-Beta_y*$A66,"")</f>
        <v>132.276139517634</v>
      </c>
      <c r="H66" s="16" t="n">
        <f aca="false">IF(COUNTIFS(Sch_n,H$5,Sch_bmax,"&gt;="&amp;($A66-0.000000001))&gt;0,_xlfn.MAXIFS(Sch_P0,Sch_n,H$5,Sch_bmax,"&gt;="&amp;($A66-0.000000001))-Beta_y*$A66,"")</f>
        <v>52.0460486542659</v>
      </c>
      <c r="J66" s="15" t="n">
        <f aca="false">IF(ISNUMBER(B66),1,0)</f>
        <v>1</v>
      </c>
      <c r="K66" s="15" t="n">
        <f aca="false">IF(ISNUMBER(C66),1,0)</f>
        <v>1</v>
      </c>
      <c r="L66" s="15" t="n">
        <f aca="false">IF(ISNUMBER(D66),1,0)</f>
        <v>1</v>
      </c>
      <c r="M66" s="15" t="n">
        <f aca="false">IF(ISNUMBER(E66),1,0)</f>
        <v>1</v>
      </c>
      <c r="N66" s="15" t="n">
        <f aca="false">IF(ISNUMBER(F66),1,0)</f>
        <v>1</v>
      </c>
      <c r="O66" s="15" t="n">
        <f aca="false">IF(ISNUMBER(G66),1,0)</f>
        <v>1</v>
      </c>
      <c r="P66" s="15" t="n">
        <f aca="false">IF(ISNUMBER(H66),1,0)</f>
        <v>1</v>
      </c>
      <c r="R66" s="15" t="n">
        <f aca="false">IF(J66=1,_xlfn.MINIFS(Sch_idx,Sch_n,B$5,Sch_bmax,"&gt;="&amp;($A66-0.000000001),Sch_P0,"&gt;="&amp;(B66+Beta_y*$A66-0.000000001)),"")</f>
        <v>0</v>
      </c>
      <c r="S66" s="15" t="n">
        <f aca="false">IF(K66=1,_xlfn.MINIFS(Sch_idx,Sch_n,C$5,Sch_bmax,"&gt;="&amp;($A66-0.000000001),Sch_P0,"&gt;="&amp;(C66+Beta_y*$A66-0.000000001)),"")</f>
        <v>32</v>
      </c>
      <c r="T66" s="15" t="n">
        <f aca="false">IF(L66=1,_xlfn.MINIFS(Sch_idx,Sch_n,D$5,Sch_bmax,"&gt;="&amp;($A66-0.000000001),Sch_P0,"&gt;="&amp;(D66+Beta_y*$A66-0.000000001)),"")</f>
        <v>48</v>
      </c>
      <c r="U66" s="15" t="n">
        <f aca="false">IF(M66=1,_xlfn.MINIFS(Sch_idx,Sch_n,E$5,Sch_bmax,"&gt;="&amp;($A66-0.000000001),Sch_P0,"&gt;="&amp;(E66+Beta_y*$A66-0.000000001)),"")</f>
        <v>56</v>
      </c>
      <c r="V66" s="15" t="n">
        <f aca="false">IF(N66=1,_xlfn.MINIFS(Sch_idx,Sch_n,F$5,Sch_bmax,"&gt;="&amp;($A66-0.000000001),Sch_P0,"&gt;="&amp;(F66+Beta_y*$A66-0.000000001)),"")</f>
        <v>57</v>
      </c>
      <c r="W66" s="15" t="n">
        <f aca="false">IF(O66=1,_xlfn.MINIFS(Sch_idx,Sch_n,G$5,Sch_bmax,"&gt;="&amp;($A66-0.000000001),Sch_P0,"&gt;="&amp;(G66+Beta_y*$A66-0.000000001)),"")</f>
        <v>59</v>
      </c>
      <c r="X66" s="15" t="n">
        <f aca="false">IF(P66=1,_xlfn.MINIFS(Sch_idx,Sch_n,H$5,Sch_bmax,"&gt;="&amp;($A66-0.000000001),Sch_P0,"&gt;="&amp;(H66+Beta_y*$A66-0.000000001)),"")</f>
        <v>63</v>
      </c>
      <c r="Z66" s="15" t="n">
        <f aca="false">IF(J66=1,IF(COUNTIFS(K66:$P66,1,C66:$H66,"&gt;="&amp;(B66-0.000000001))&gt;0,0,1),"")</f>
        <v>0</v>
      </c>
      <c r="AA66" s="15" t="n">
        <f aca="false">IF(K66=1,IF(COUNTIFS(L66:$P66,1,D66:$H66,"&gt;="&amp;(C66-0.000000001))&gt;0,0,1),"")</f>
        <v>0</v>
      </c>
      <c r="AB66" s="15" t="n">
        <f aca="false">IF(L66=1,IF(COUNTIFS(M66:$P66,1,E66:$H66,"&gt;="&amp;(D66-0.000000001))&gt;0,0,1),"")</f>
        <v>1</v>
      </c>
      <c r="AC66" s="15" t="n">
        <f aca="false">IF(M66=1,IF(COUNTIFS(N66:$P66,1,F66:$H66,"&gt;="&amp;(E66-0.000000001))&gt;0,0,1),"")</f>
        <v>1</v>
      </c>
      <c r="AD66" s="15" t="n">
        <f aca="false">IF(N66=1,IF(COUNTIFS(O66:$P66,1,G66:$H66,"&gt;="&amp;(F66-0.000000001))&gt;0,0,1),"")</f>
        <v>1</v>
      </c>
      <c r="AE66" s="15" t="n">
        <f aca="false">IF(O66=1,IF(COUNTIFS(P66:$P66,1,H66:$H66,"&gt;="&amp;(G66-0.000000001))&gt;0,0,1),"")</f>
        <v>1</v>
      </c>
      <c r="AF66" s="15" t="n">
        <f aca="false">IF(P66=1,1,"")</f>
        <v>1</v>
      </c>
    </row>
    <row r="67" customFormat="false" ht="15" hidden="false" customHeight="false" outlineLevel="0" collapsed="false">
      <c r="A67" s="2" t="n">
        <v>61</v>
      </c>
      <c r="B67" s="16" t="n">
        <f aca="false">IF(COUNTIFS(Sch_n,B$5,Sch_bmax,"&gt;="&amp;($A67-0.000000001))&gt;0,_xlfn.MAXIFS(Sch_P0,Sch_n,B$5,Sch_bmax,"&gt;="&amp;($A67-0.000000001))-Beta_y*$A67,"")</f>
        <v>80.9090909090909</v>
      </c>
      <c r="C67" s="16" t="n">
        <f aca="false">IF(COUNTIFS(Sch_n,C$5,Sch_bmax,"&gt;="&amp;($A67-0.000000001))&gt;0,_xlfn.MAXIFS(Sch_P0,Sch_n,C$5,Sch_bmax,"&gt;="&amp;($A67-0.000000001))-Beta_y*$A67,"")</f>
        <v>315.218098614725</v>
      </c>
      <c r="D67" s="16" t="n">
        <f aca="false">IF(COUNTIFS(Sch_n,D$5,Sch_bmax,"&gt;="&amp;($A67-0.000000001))&gt;0,_xlfn.MAXIFS(Sch_P0,Sch_n,D$5,Sch_bmax,"&gt;="&amp;($A67-0.000000001))-Beta_y*$A67,"")</f>
        <v>328.718790942</v>
      </c>
      <c r="E67" s="16" t="n">
        <f aca="false">IF(COUNTIFS(Sch_n,E$5,Sch_bmax,"&gt;="&amp;($A67-0.000000001))&gt;0,_xlfn.MAXIFS(Sch_P0,Sch_n,E$5,Sch_bmax,"&gt;="&amp;($A67-0.000000001))-Beta_y*$A67,"")</f>
        <v>274.997440110727</v>
      </c>
      <c r="F67" s="16" t="n">
        <f aca="false">IF(COUNTIFS(Sch_n,F$5,Sch_bmax,"&gt;="&amp;($A67-0.000000001))&gt;0,_xlfn.MAXIFS(Sch_P0,Sch_n,F$5,Sch_bmax,"&gt;="&amp;($A67-0.000000001))-Beta_y*$A67,"")</f>
        <v>205.426028231599</v>
      </c>
      <c r="G67" s="16" t="n">
        <f aca="false">IF(COUNTIFS(Sch_n,G$5,Sch_bmax,"&gt;="&amp;($A67-0.000000001))&gt;0,_xlfn.MAXIFS(Sch_P0,Sch_n,G$5,Sch_bmax,"&gt;="&amp;($A67-0.000000001))-Beta_y*$A67,"")</f>
        <v>131.367048608544</v>
      </c>
      <c r="H67" s="16" t="n">
        <f aca="false">IF(COUNTIFS(Sch_n,H$5,Sch_bmax,"&gt;="&amp;($A67-0.000000001))&gt;0,_xlfn.MAXIFS(Sch_P0,Sch_n,H$5,Sch_bmax,"&gt;="&amp;($A67-0.000000001))-Beta_y*$A67,"")</f>
        <v>51.136957745175</v>
      </c>
      <c r="J67" s="15" t="n">
        <f aca="false">IF(ISNUMBER(B67),1,0)</f>
        <v>1</v>
      </c>
      <c r="K67" s="15" t="n">
        <f aca="false">IF(ISNUMBER(C67),1,0)</f>
        <v>1</v>
      </c>
      <c r="L67" s="15" t="n">
        <f aca="false">IF(ISNUMBER(D67),1,0)</f>
        <v>1</v>
      </c>
      <c r="M67" s="15" t="n">
        <f aca="false">IF(ISNUMBER(E67),1,0)</f>
        <v>1</v>
      </c>
      <c r="N67" s="15" t="n">
        <f aca="false">IF(ISNUMBER(F67),1,0)</f>
        <v>1</v>
      </c>
      <c r="O67" s="15" t="n">
        <f aca="false">IF(ISNUMBER(G67),1,0)</f>
        <v>1</v>
      </c>
      <c r="P67" s="15" t="n">
        <f aca="false">IF(ISNUMBER(H67),1,0)</f>
        <v>1</v>
      </c>
      <c r="R67" s="15" t="n">
        <f aca="false">IF(J67=1,_xlfn.MINIFS(Sch_idx,Sch_n,B$5,Sch_bmax,"&gt;="&amp;($A67-0.000000001),Sch_P0,"&gt;="&amp;(B67+Beta_y*$A67-0.000000001)),"")</f>
        <v>0</v>
      </c>
      <c r="S67" s="15" t="n">
        <f aca="false">IF(K67=1,_xlfn.MINIFS(Sch_idx,Sch_n,C$5,Sch_bmax,"&gt;="&amp;($A67-0.000000001),Sch_P0,"&gt;="&amp;(C67+Beta_y*$A67-0.000000001)),"")</f>
        <v>32</v>
      </c>
      <c r="T67" s="15" t="n">
        <f aca="false">IF(L67=1,_xlfn.MINIFS(Sch_idx,Sch_n,D$5,Sch_bmax,"&gt;="&amp;($A67-0.000000001),Sch_P0,"&gt;="&amp;(D67+Beta_y*$A67-0.000000001)),"")</f>
        <v>48</v>
      </c>
      <c r="U67" s="15" t="n">
        <f aca="false">IF(M67=1,_xlfn.MINIFS(Sch_idx,Sch_n,E$5,Sch_bmax,"&gt;="&amp;($A67-0.000000001),Sch_P0,"&gt;="&amp;(E67+Beta_y*$A67-0.000000001)),"")</f>
        <v>56</v>
      </c>
      <c r="V67" s="15" t="n">
        <f aca="false">IF(N67=1,_xlfn.MINIFS(Sch_idx,Sch_n,F$5,Sch_bmax,"&gt;="&amp;($A67-0.000000001),Sch_P0,"&gt;="&amp;(F67+Beta_y*$A67-0.000000001)),"")</f>
        <v>57</v>
      </c>
      <c r="W67" s="15" t="n">
        <f aca="false">IF(O67=1,_xlfn.MINIFS(Sch_idx,Sch_n,G$5,Sch_bmax,"&gt;="&amp;($A67-0.000000001),Sch_P0,"&gt;="&amp;(G67+Beta_y*$A67-0.000000001)),"")</f>
        <v>59</v>
      </c>
      <c r="X67" s="15" t="n">
        <f aca="false">IF(P67=1,_xlfn.MINIFS(Sch_idx,Sch_n,H$5,Sch_bmax,"&gt;="&amp;($A67-0.000000001),Sch_P0,"&gt;="&amp;(H67+Beta_y*$A67-0.000000001)),"")</f>
        <v>63</v>
      </c>
      <c r="Z67" s="15" t="n">
        <f aca="false">IF(J67=1,IF(COUNTIFS(K67:$P67,1,C67:$H67,"&gt;="&amp;(B67-0.000000001))&gt;0,0,1),"")</f>
        <v>0</v>
      </c>
      <c r="AA67" s="15" t="n">
        <f aca="false">IF(K67=1,IF(COUNTIFS(L67:$P67,1,D67:$H67,"&gt;="&amp;(C67-0.000000001))&gt;0,0,1),"")</f>
        <v>0</v>
      </c>
      <c r="AB67" s="15" t="n">
        <f aca="false">IF(L67=1,IF(COUNTIFS(M67:$P67,1,E67:$H67,"&gt;="&amp;(D67-0.000000001))&gt;0,0,1),"")</f>
        <v>1</v>
      </c>
      <c r="AC67" s="15" t="n">
        <f aca="false">IF(M67=1,IF(COUNTIFS(N67:$P67,1,F67:$H67,"&gt;="&amp;(E67-0.000000001))&gt;0,0,1),"")</f>
        <v>1</v>
      </c>
      <c r="AD67" s="15" t="n">
        <f aca="false">IF(N67=1,IF(COUNTIFS(O67:$P67,1,G67:$H67,"&gt;="&amp;(F67-0.000000001))&gt;0,0,1),"")</f>
        <v>1</v>
      </c>
      <c r="AE67" s="15" t="n">
        <f aca="false">IF(O67=1,IF(COUNTIFS(P67:$P67,1,H67:$H67,"&gt;="&amp;(G67-0.000000001))&gt;0,0,1),"")</f>
        <v>1</v>
      </c>
      <c r="AF67" s="15" t="n">
        <f aca="false">IF(P67=1,1,"")</f>
        <v>1</v>
      </c>
    </row>
    <row r="68" customFormat="false" ht="15" hidden="false" customHeight="false" outlineLevel="0" collapsed="false">
      <c r="A68" s="2" t="n">
        <v>62</v>
      </c>
      <c r="B68" s="16" t="n">
        <f aca="false">IF(COUNTIFS(Sch_n,B$5,Sch_bmax,"&gt;="&amp;($A68-0.000000001))&gt;0,_xlfn.MAXIFS(Sch_P0,Sch_n,B$5,Sch_bmax,"&gt;="&amp;($A68-0.000000001))-Beta_y*$A68,"")</f>
        <v>80</v>
      </c>
      <c r="C68" s="16" t="n">
        <f aca="false">IF(COUNTIFS(Sch_n,C$5,Sch_bmax,"&gt;="&amp;($A68-0.000000001))&gt;0,_xlfn.MAXIFS(Sch_P0,Sch_n,C$5,Sch_bmax,"&gt;="&amp;($A68-0.000000001))-Beta_y*$A68,"")</f>
        <v>314.309007705634</v>
      </c>
      <c r="D68" s="16" t="n">
        <f aca="false">IF(COUNTIFS(Sch_n,D$5,Sch_bmax,"&gt;="&amp;($A68-0.000000001))&gt;0,_xlfn.MAXIFS(Sch_P0,Sch_n,D$5,Sch_bmax,"&gt;="&amp;($A68-0.000000001))-Beta_y*$A68,"")</f>
        <v>327.809700032909</v>
      </c>
      <c r="E68" s="16" t="n">
        <f aca="false">IF(COUNTIFS(Sch_n,E$5,Sch_bmax,"&gt;="&amp;($A68-0.000000001))&gt;0,_xlfn.MAXIFS(Sch_P0,Sch_n,E$5,Sch_bmax,"&gt;="&amp;($A68-0.000000001))-Beta_y*$A68,"")</f>
        <v>274.088349201636</v>
      </c>
      <c r="F68" s="16" t="n">
        <f aca="false">IF(COUNTIFS(Sch_n,F$5,Sch_bmax,"&gt;="&amp;($A68-0.000000001))&gt;0,_xlfn.MAXIFS(Sch_P0,Sch_n,F$5,Sch_bmax,"&gt;="&amp;($A68-0.000000001))-Beta_y*$A68,"")</f>
        <v>204.516937322508</v>
      </c>
      <c r="G68" s="16" t="n">
        <f aca="false">IF(COUNTIFS(Sch_n,G$5,Sch_bmax,"&gt;="&amp;($A68-0.000000001))&gt;0,_xlfn.MAXIFS(Sch_P0,Sch_n,G$5,Sch_bmax,"&gt;="&amp;($A68-0.000000001))-Beta_y*$A68,"")</f>
        <v>130.457957699453</v>
      </c>
      <c r="H68" s="16" t="n">
        <f aca="false">IF(COUNTIFS(Sch_n,H$5,Sch_bmax,"&gt;="&amp;($A68-0.000000001))&gt;0,_xlfn.MAXIFS(Sch_P0,Sch_n,H$5,Sch_bmax,"&gt;="&amp;($A68-0.000000001))-Beta_y*$A68,"")</f>
        <v>50.2278668360841</v>
      </c>
      <c r="J68" s="15" t="n">
        <f aca="false">IF(ISNUMBER(B68),1,0)</f>
        <v>1</v>
      </c>
      <c r="K68" s="15" t="n">
        <f aca="false">IF(ISNUMBER(C68),1,0)</f>
        <v>1</v>
      </c>
      <c r="L68" s="15" t="n">
        <f aca="false">IF(ISNUMBER(D68),1,0)</f>
        <v>1</v>
      </c>
      <c r="M68" s="15" t="n">
        <f aca="false">IF(ISNUMBER(E68),1,0)</f>
        <v>1</v>
      </c>
      <c r="N68" s="15" t="n">
        <f aca="false">IF(ISNUMBER(F68),1,0)</f>
        <v>1</v>
      </c>
      <c r="O68" s="15" t="n">
        <f aca="false">IF(ISNUMBER(G68),1,0)</f>
        <v>1</v>
      </c>
      <c r="P68" s="15" t="n">
        <f aca="false">IF(ISNUMBER(H68),1,0)</f>
        <v>1</v>
      </c>
      <c r="R68" s="15" t="n">
        <f aca="false">IF(J68=1,_xlfn.MINIFS(Sch_idx,Sch_n,B$5,Sch_bmax,"&gt;="&amp;($A68-0.000000001),Sch_P0,"&gt;="&amp;(B68+Beta_y*$A68-0.000000001)),"")</f>
        <v>0</v>
      </c>
      <c r="S68" s="15" t="n">
        <f aca="false">IF(K68=1,_xlfn.MINIFS(Sch_idx,Sch_n,C$5,Sch_bmax,"&gt;="&amp;($A68-0.000000001),Sch_P0,"&gt;="&amp;(C68+Beta_y*$A68-0.000000001)),"")</f>
        <v>32</v>
      </c>
      <c r="T68" s="15" t="n">
        <f aca="false">IF(L68=1,_xlfn.MINIFS(Sch_idx,Sch_n,D$5,Sch_bmax,"&gt;="&amp;($A68-0.000000001),Sch_P0,"&gt;="&amp;(D68+Beta_y*$A68-0.000000001)),"")</f>
        <v>48</v>
      </c>
      <c r="U68" s="15" t="n">
        <f aca="false">IF(M68=1,_xlfn.MINIFS(Sch_idx,Sch_n,E$5,Sch_bmax,"&gt;="&amp;($A68-0.000000001),Sch_P0,"&gt;="&amp;(E68+Beta_y*$A68-0.000000001)),"")</f>
        <v>56</v>
      </c>
      <c r="V68" s="15" t="n">
        <f aca="false">IF(N68=1,_xlfn.MINIFS(Sch_idx,Sch_n,F$5,Sch_bmax,"&gt;="&amp;($A68-0.000000001),Sch_P0,"&gt;="&amp;(F68+Beta_y*$A68-0.000000001)),"")</f>
        <v>57</v>
      </c>
      <c r="W68" s="15" t="n">
        <f aca="false">IF(O68=1,_xlfn.MINIFS(Sch_idx,Sch_n,G$5,Sch_bmax,"&gt;="&amp;($A68-0.000000001),Sch_P0,"&gt;="&amp;(G68+Beta_y*$A68-0.000000001)),"")</f>
        <v>59</v>
      </c>
      <c r="X68" s="15" t="n">
        <f aca="false">IF(P68=1,_xlfn.MINIFS(Sch_idx,Sch_n,H$5,Sch_bmax,"&gt;="&amp;($A68-0.000000001),Sch_P0,"&gt;="&amp;(H68+Beta_y*$A68-0.000000001)),"")</f>
        <v>63</v>
      </c>
      <c r="Z68" s="15" t="n">
        <f aca="false">IF(J68=1,IF(COUNTIFS(K68:$P68,1,C68:$H68,"&gt;="&amp;(B68-0.000000001))&gt;0,0,1),"")</f>
        <v>0</v>
      </c>
      <c r="AA68" s="15" t="n">
        <f aca="false">IF(K68=1,IF(COUNTIFS(L68:$P68,1,D68:$H68,"&gt;="&amp;(C68-0.000000001))&gt;0,0,1),"")</f>
        <v>0</v>
      </c>
      <c r="AB68" s="15" t="n">
        <f aca="false">IF(L68=1,IF(COUNTIFS(M68:$P68,1,E68:$H68,"&gt;="&amp;(D68-0.000000001))&gt;0,0,1),"")</f>
        <v>1</v>
      </c>
      <c r="AC68" s="15" t="n">
        <f aca="false">IF(M68=1,IF(COUNTIFS(N68:$P68,1,F68:$H68,"&gt;="&amp;(E68-0.000000001))&gt;0,0,1),"")</f>
        <v>1</v>
      </c>
      <c r="AD68" s="15" t="n">
        <f aca="false">IF(N68=1,IF(COUNTIFS(O68:$P68,1,G68:$H68,"&gt;="&amp;(F68-0.000000001))&gt;0,0,1),"")</f>
        <v>1</v>
      </c>
      <c r="AE68" s="15" t="n">
        <f aca="false">IF(O68=1,IF(COUNTIFS(P68:$P68,1,H68:$H68,"&gt;="&amp;(G68-0.000000001))&gt;0,0,1),"")</f>
        <v>1</v>
      </c>
      <c r="AF68" s="15" t="n">
        <f aca="false">IF(P68=1,1,"")</f>
        <v>1</v>
      </c>
    </row>
    <row r="69" customFormat="false" ht="15" hidden="false" customHeight="false" outlineLevel="0" collapsed="false">
      <c r="A69" s="2" t="n">
        <v>63</v>
      </c>
      <c r="B69" s="16" t="n">
        <f aca="false">IF(COUNTIFS(Sch_n,B$5,Sch_bmax,"&gt;="&amp;($A69-0.000000001))&gt;0,_xlfn.MAXIFS(Sch_P0,Sch_n,B$5,Sch_bmax,"&gt;="&amp;($A69-0.000000001))-Beta_y*$A69,"")</f>
        <v>79.0909090909091</v>
      </c>
      <c r="C69" s="16" t="n">
        <f aca="false">IF(COUNTIFS(Sch_n,C$5,Sch_bmax,"&gt;="&amp;($A69-0.000000001))&gt;0,_xlfn.MAXIFS(Sch_P0,Sch_n,C$5,Sch_bmax,"&gt;="&amp;($A69-0.000000001))-Beta_y*$A69,"")</f>
        <v>313.399916796543</v>
      </c>
      <c r="D69" s="16" t="n">
        <f aca="false">IF(COUNTIFS(Sch_n,D$5,Sch_bmax,"&gt;="&amp;($A69-0.000000001))&gt;0,_xlfn.MAXIFS(Sch_P0,Sch_n,D$5,Sch_bmax,"&gt;="&amp;($A69-0.000000001))-Beta_y*$A69,"")</f>
        <v>326.900609123818</v>
      </c>
      <c r="E69" s="16" t="n">
        <f aca="false">IF(COUNTIFS(Sch_n,E$5,Sch_bmax,"&gt;="&amp;($A69-0.000000001))&gt;0,_xlfn.MAXIFS(Sch_P0,Sch_n,E$5,Sch_bmax,"&gt;="&amp;($A69-0.000000001))-Beta_y*$A69,"")</f>
        <v>273.179258292545</v>
      </c>
      <c r="F69" s="16" t="n">
        <f aca="false">IF(COUNTIFS(Sch_n,F$5,Sch_bmax,"&gt;="&amp;($A69-0.000000001))&gt;0,_xlfn.MAXIFS(Sch_P0,Sch_n,F$5,Sch_bmax,"&gt;="&amp;($A69-0.000000001))-Beta_y*$A69,"")</f>
        <v>203.607846413417</v>
      </c>
      <c r="G69" s="16" t="n">
        <f aca="false">IF(COUNTIFS(Sch_n,G$5,Sch_bmax,"&gt;="&amp;($A69-0.000000001))&gt;0,_xlfn.MAXIFS(Sch_P0,Sch_n,G$5,Sch_bmax,"&gt;="&amp;($A69-0.000000001))-Beta_y*$A69,"")</f>
        <v>129.548866790362</v>
      </c>
      <c r="H69" s="16" t="n">
        <f aca="false">IF(COUNTIFS(Sch_n,H$5,Sch_bmax,"&gt;="&amp;($A69-0.000000001))&gt;0,_xlfn.MAXIFS(Sch_P0,Sch_n,H$5,Sch_bmax,"&gt;="&amp;($A69-0.000000001))-Beta_y*$A69,"")</f>
        <v>49.3187759269932</v>
      </c>
      <c r="J69" s="15" t="n">
        <f aca="false">IF(ISNUMBER(B69),1,0)</f>
        <v>1</v>
      </c>
      <c r="K69" s="15" t="n">
        <f aca="false">IF(ISNUMBER(C69),1,0)</f>
        <v>1</v>
      </c>
      <c r="L69" s="15" t="n">
        <f aca="false">IF(ISNUMBER(D69),1,0)</f>
        <v>1</v>
      </c>
      <c r="M69" s="15" t="n">
        <f aca="false">IF(ISNUMBER(E69),1,0)</f>
        <v>1</v>
      </c>
      <c r="N69" s="15" t="n">
        <f aca="false">IF(ISNUMBER(F69),1,0)</f>
        <v>1</v>
      </c>
      <c r="O69" s="15" t="n">
        <f aca="false">IF(ISNUMBER(G69),1,0)</f>
        <v>1</v>
      </c>
      <c r="P69" s="15" t="n">
        <f aca="false">IF(ISNUMBER(H69),1,0)</f>
        <v>1</v>
      </c>
      <c r="R69" s="15" t="n">
        <f aca="false">IF(J69=1,_xlfn.MINIFS(Sch_idx,Sch_n,B$5,Sch_bmax,"&gt;="&amp;($A69-0.000000001),Sch_P0,"&gt;="&amp;(B69+Beta_y*$A69-0.000000001)),"")</f>
        <v>0</v>
      </c>
      <c r="S69" s="15" t="n">
        <f aca="false">IF(K69=1,_xlfn.MINIFS(Sch_idx,Sch_n,C$5,Sch_bmax,"&gt;="&amp;($A69-0.000000001),Sch_P0,"&gt;="&amp;(C69+Beta_y*$A69-0.000000001)),"")</f>
        <v>32</v>
      </c>
      <c r="T69" s="15" t="n">
        <f aca="false">IF(L69=1,_xlfn.MINIFS(Sch_idx,Sch_n,D$5,Sch_bmax,"&gt;="&amp;($A69-0.000000001),Sch_P0,"&gt;="&amp;(D69+Beta_y*$A69-0.000000001)),"")</f>
        <v>48</v>
      </c>
      <c r="U69" s="15" t="n">
        <f aca="false">IF(M69=1,_xlfn.MINIFS(Sch_idx,Sch_n,E$5,Sch_bmax,"&gt;="&amp;($A69-0.000000001),Sch_P0,"&gt;="&amp;(E69+Beta_y*$A69-0.000000001)),"")</f>
        <v>56</v>
      </c>
      <c r="V69" s="15" t="n">
        <f aca="false">IF(N69=1,_xlfn.MINIFS(Sch_idx,Sch_n,F$5,Sch_bmax,"&gt;="&amp;($A69-0.000000001),Sch_P0,"&gt;="&amp;(F69+Beta_y*$A69-0.000000001)),"")</f>
        <v>57</v>
      </c>
      <c r="W69" s="15" t="n">
        <f aca="false">IF(O69=1,_xlfn.MINIFS(Sch_idx,Sch_n,G$5,Sch_bmax,"&gt;="&amp;($A69-0.000000001),Sch_P0,"&gt;="&amp;(G69+Beta_y*$A69-0.000000001)),"")</f>
        <v>59</v>
      </c>
      <c r="X69" s="15" t="n">
        <f aca="false">IF(P69=1,_xlfn.MINIFS(Sch_idx,Sch_n,H$5,Sch_bmax,"&gt;="&amp;($A69-0.000000001),Sch_P0,"&gt;="&amp;(H69+Beta_y*$A69-0.000000001)),"")</f>
        <v>63</v>
      </c>
      <c r="Z69" s="15" t="n">
        <f aca="false">IF(J69=1,IF(COUNTIFS(K69:$P69,1,C69:$H69,"&gt;="&amp;(B69-0.000000001))&gt;0,0,1),"")</f>
        <v>0</v>
      </c>
      <c r="AA69" s="15" t="n">
        <f aca="false">IF(K69=1,IF(COUNTIFS(L69:$P69,1,D69:$H69,"&gt;="&amp;(C69-0.000000001))&gt;0,0,1),"")</f>
        <v>0</v>
      </c>
      <c r="AB69" s="15" t="n">
        <f aca="false">IF(L69=1,IF(COUNTIFS(M69:$P69,1,E69:$H69,"&gt;="&amp;(D69-0.000000001))&gt;0,0,1),"")</f>
        <v>1</v>
      </c>
      <c r="AC69" s="15" t="n">
        <f aca="false">IF(M69=1,IF(COUNTIFS(N69:$P69,1,F69:$H69,"&gt;="&amp;(E69-0.000000001))&gt;0,0,1),"")</f>
        <v>1</v>
      </c>
      <c r="AD69" s="15" t="n">
        <f aca="false">IF(N69=1,IF(COUNTIFS(O69:$P69,1,G69:$H69,"&gt;="&amp;(F69-0.000000001))&gt;0,0,1),"")</f>
        <v>1</v>
      </c>
      <c r="AE69" s="15" t="n">
        <f aca="false">IF(O69=1,IF(COUNTIFS(P69:$P69,1,H69:$H69,"&gt;="&amp;(G69-0.000000001))&gt;0,0,1),"")</f>
        <v>1</v>
      </c>
      <c r="AF69" s="15" t="n">
        <f aca="false">IF(P69=1,1,"")</f>
        <v>1</v>
      </c>
    </row>
    <row r="70" customFormat="false" ht="15" hidden="false" customHeight="false" outlineLevel="0" collapsed="false">
      <c r="A70" s="2" t="n">
        <v>64</v>
      </c>
      <c r="B70" s="16" t="n">
        <f aca="false">IF(COUNTIFS(Sch_n,B$5,Sch_bmax,"&gt;="&amp;($A70-0.000000001))&gt;0,_xlfn.MAXIFS(Sch_P0,Sch_n,B$5,Sch_bmax,"&gt;="&amp;($A70-0.000000001))-Beta_y*$A70,"")</f>
        <v>78.1818181818182</v>
      </c>
      <c r="C70" s="16" t="n">
        <f aca="false">IF(COUNTIFS(Sch_n,C$5,Sch_bmax,"&gt;="&amp;($A70-0.000000001))&gt;0,_xlfn.MAXIFS(Sch_P0,Sch_n,C$5,Sch_bmax,"&gt;="&amp;($A70-0.000000001))-Beta_y*$A70,"")</f>
        <v>312.490825887452</v>
      </c>
      <c r="D70" s="16" t="n">
        <f aca="false">IF(COUNTIFS(Sch_n,D$5,Sch_bmax,"&gt;="&amp;($A70-0.000000001))&gt;0,_xlfn.MAXIFS(Sch_P0,Sch_n,D$5,Sch_bmax,"&gt;="&amp;($A70-0.000000001))-Beta_y*$A70,"")</f>
        <v>325.991518214727</v>
      </c>
      <c r="E70" s="16" t="n">
        <f aca="false">IF(COUNTIFS(Sch_n,E$5,Sch_bmax,"&gt;="&amp;($A70-0.000000001))&gt;0,_xlfn.MAXIFS(Sch_P0,Sch_n,E$5,Sch_bmax,"&gt;="&amp;($A70-0.000000001))-Beta_y*$A70,"")</f>
        <v>272.270167383454</v>
      </c>
      <c r="F70" s="16" t="n">
        <f aca="false">IF(COUNTIFS(Sch_n,F$5,Sch_bmax,"&gt;="&amp;($A70-0.000000001))&gt;0,_xlfn.MAXIFS(Sch_P0,Sch_n,F$5,Sch_bmax,"&gt;="&amp;($A70-0.000000001))-Beta_y*$A70,"")</f>
        <v>202.698755504326</v>
      </c>
      <c r="G70" s="16" t="n">
        <f aca="false">IF(COUNTIFS(Sch_n,G$5,Sch_bmax,"&gt;="&amp;($A70-0.000000001))&gt;0,_xlfn.MAXIFS(Sch_P0,Sch_n,G$5,Sch_bmax,"&gt;="&amp;($A70-0.000000001))-Beta_y*$A70,"")</f>
        <v>128.639775881271</v>
      </c>
      <c r="H70" s="16" t="n">
        <f aca="false">IF(COUNTIFS(Sch_n,H$5,Sch_bmax,"&gt;="&amp;($A70-0.000000001))&gt;0,_xlfn.MAXIFS(Sch_P0,Sch_n,H$5,Sch_bmax,"&gt;="&amp;($A70-0.000000001))-Beta_y*$A70,"")</f>
        <v>48.4096850179023</v>
      </c>
      <c r="J70" s="15" t="n">
        <f aca="false">IF(ISNUMBER(B70),1,0)</f>
        <v>1</v>
      </c>
      <c r="K70" s="15" t="n">
        <f aca="false">IF(ISNUMBER(C70),1,0)</f>
        <v>1</v>
      </c>
      <c r="L70" s="15" t="n">
        <f aca="false">IF(ISNUMBER(D70),1,0)</f>
        <v>1</v>
      </c>
      <c r="M70" s="15" t="n">
        <f aca="false">IF(ISNUMBER(E70),1,0)</f>
        <v>1</v>
      </c>
      <c r="N70" s="15" t="n">
        <f aca="false">IF(ISNUMBER(F70),1,0)</f>
        <v>1</v>
      </c>
      <c r="O70" s="15" t="n">
        <f aca="false">IF(ISNUMBER(G70),1,0)</f>
        <v>1</v>
      </c>
      <c r="P70" s="15" t="n">
        <f aca="false">IF(ISNUMBER(H70),1,0)</f>
        <v>1</v>
      </c>
      <c r="R70" s="15" t="n">
        <f aca="false">IF(J70=1,_xlfn.MINIFS(Sch_idx,Sch_n,B$5,Sch_bmax,"&gt;="&amp;($A70-0.000000001),Sch_P0,"&gt;="&amp;(B70+Beta_y*$A70-0.000000001)),"")</f>
        <v>0</v>
      </c>
      <c r="S70" s="15" t="n">
        <f aca="false">IF(K70=1,_xlfn.MINIFS(Sch_idx,Sch_n,C$5,Sch_bmax,"&gt;="&amp;($A70-0.000000001),Sch_P0,"&gt;="&amp;(C70+Beta_y*$A70-0.000000001)),"")</f>
        <v>32</v>
      </c>
      <c r="T70" s="15" t="n">
        <f aca="false">IF(L70=1,_xlfn.MINIFS(Sch_idx,Sch_n,D$5,Sch_bmax,"&gt;="&amp;($A70-0.000000001),Sch_P0,"&gt;="&amp;(D70+Beta_y*$A70-0.000000001)),"")</f>
        <v>48</v>
      </c>
      <c r="U70" s="15" t="n">
        <f aca="false">IF(M70=1,_xlfn.MINIFS(Sch_idx,Sch_n,E$5,Sch_bmax,"&gt;="&amp;($A70-0.000000001),Sch_P0,"&gt;="&amp;(E70+Beta_y*$A70-0.000000001)),"")</f>
        <v>56</v>
      </c>
      <c r="V70" s="15" t="n">
        <f aca="false">IF(N70=1,_xlfn.MINIFS(Sch_idx,Sch_n,F$5,Sch_bmax,"&gt;="&amp;($A70-0.000000001),Sch_P0,"&gt;="&amp;(F70+Beta_y*$A70-0.000000001)),"")</f>
        <v>57</v>
      </c>
      <c r="W70" s="15" t="n">
        <f aca="false">IF(O70=1,_xlfn.MINIFS(Sch_idx,Sch_n,G$5,Sch_bmax,"&gt;="&amp;($A70-0.000000001),Sch_P0,"&gt;="&amp;(G70+Beta_y*$A70-0.000000001)),"")</f>
        <v>59</v>
      </c>
      <c r="X70" s="15" t="n">
        <f aca="false">IF(P70=1,_xlfn.MINIFS(Sch_idx,Sch_n,H$5,Sch_bmax,"&gt;="&amp;($A70-0.000000001),Sch_P0,"&gt;="&amp;(H70+Beta_y*$A70-0.000000001)),"")</f>
        <v>63</v>
      </c>
      <c r="Z70" s="15" t="n">
        <f aca="false">IF(J70=1,IF(COUNTIFS(K70:$P70,1,C70:$H70,"&gt;="&amp;(B70-0.000000001))&gt;0,0,1),"")</f>
        <v>0</v>
      </c>
      <c r="AA70" s="15" t="n">
        <f aca="false">IF(K70=1,IF(COUNTIFS(L70:$P70,1,D70:$H70,"&gt;="&amp;(C70-0.000000001))&gt;0,0,1),"")</f>
        <v>0</v>
      </c>
      <c r="AB70" s="15" t="n">
        <f aca="false">IF(L70=1,IF(COUNTIFS(M70:$P70,1,E70:$H70,"&gt;="&amp;(D70-0.000000001))&gt;0,0,1),"")</f>
        <v>1</v>
      </c>
      <c r="AC70" s="15" t="n">
        <f aca="false">IF(M70=1,IF(COUNTIFS(N70:$P70,1,F70:$H70,"&gt;="&amp;(E70-0.000000001))&gt;0,0,1),"")</f>
        <v>1</v>
      </c>
      <c r="AD70" s="15" t="n">
        <f aca="false">IF(N70=1,IF(COUNTIFS(O70:$P70,1,G70:$H70,"&gt;="&amp;(F70-0.000000001))&gt;0,0,1),"")</f>
        <v>1</v>
      </c>
      <c r="AE70" s="15" t="n">
        <f aca="false">IF(O70=1,IF(COUNTIFS(P70:$P70,1,H70:$H70,"&gt;="&amp;(G70-0.000000001))&gt;0,0,1),"")</f>
        <v>1</v>
      </c>
      <c r="AF70" s="15" t="n">
        <f aca="false">IF(P70=1,1,"")</f>
        <v>1</v>
      </c>
    </row>
    <row r="71" customFormat="false" ht="15" hidden="false" customHeight="false" outlineLevel="0" collapsed="false">
      <c r="A71" s="2" t="n">
        <v>65</v>
      </c>
      <c r="B71" s="16" t="n">
        <f aca="false">IF(COUNTIFS(Sch_n,B$5,Sch_bmax,"&gt;="&amp;($A71-0.000000001))&gt;0,_xlfn.MAXIFS(Sch_P0,Sch_n,B$5,Sch_bmax,"&gt;="&amp;($A71-0.000000001))-Beta_y*$A71,"")</f>
        <v>77.2727272727273</v>
      </c>
      <c r="C71" s="16" t="n">
        <f aca="false">IF(COUNTIFS(Sch_n,C$5,Sch_bmax,"&gt;="&amp;($A71-0.000000001))&gt;0,_xlfn.MAXIFS(Sch_P0,Sch_n,C$5,Sch_bmax,"&gt;="&amp;($A71-0.000000001))-Beta_y*$A71,"")</f>
        <v>311.581734978361</v>
      </c>
      <c r="D71" s="16" t="n">
        <f aca="false">IF(COUNTIFS(Sch_n,D$5,Sch_bmax,"&gt;="&amp;($A71-0.000000001))&gt;0,_xlfn.MAXIFS(Sch_P0,Sch_n,D$5,Sch_bmax,"&gt;="&amp;($A71-0.000000001))-Beta_y*$A71,"")</f>
        <v>325.082427305636</v>
      </c>
      <c r="E71" s="16" t="n">
        <f aca="false">IF(COUNTIFS(Sch_n,E$5,Sch_bmax,"&gt;="&amp;($A71-0.000000001))&gt;0,_xlfn.MAXIFS(Sch_P0,Sch_n,E$5,Sch_bmax,"&gt;="&amp;($A71-0.000000001))-Beta_y*$A71,"")</f>
        <v>271.361076474364</v>
      </c>
      <c r="F71" s="16" t="n">
        <f aca="false">IF(COUNTIFS(Sch_n,F$5,Sch_bmax,"&gt;="&amp;($A71-0.000000001))&gt;0,_xlfn.MAXIFS(Sch_P0,Sch_n,F$5,Sch_bmax,"&gt;="&amp;($A71-0.000000001))-Beta_y*$A71,"")</f>
        <v>201.789664595236</v>
      </c>
      <c r="G71" s="16" t="n">
        <f aca="false">IF(COUNTIFS(Sch_n,G$5,Sch_bmax,"&gt;="&amp;($A71-0.000000001))&gt;0,_xlfn.MAXIFS(Sch_P0,Sch_n,G$5,Sch_bmax,"&gt;="&amp;($A71-0.000000001))-Beta_y*$A71,"")</f>
        <v>127.73068497218</v>
      </c>
      <c r="H71" s="16" t="n">
        <f aca="false">IF(COUNTIFS(Sch_n,H$5,Sch_bmax,"&gt;="&amp;($A71-0.000000001))&gt;0,_xlfn.MAXIFS(Sch_P0,Sch_n,H$5,Sch_bmax,"&gt;="&amp;($A71-0.000000001))-Beta_y*$A71,"")</f>
        <v>47.5005941088114</v>
      </c>
      <c r="J71" s="15" t="n">
        <f aca="false">IF(ISNUMBER(B71),1,0)</f>
        <v>1</v>
      </c>
      <c r="K71" s="15" t="n">
        <f aca="false">IF(ISNUMBER(C71),1,0)</f>
        <v>1</v>
      </c>
      <c r="L71" s="15" t="n">
        <f aca="false">IF(ISNUMBER(D71),1,0)</f>
        <v>1</v>
      </c>
      <c r="M71" s="15" t="n">
        <f aca="false">IF(ISNUMBER(E71),1,0)</f>
        <v>1</v>
      </c>
      <c r="N71" s="15" t="n">
        <f aca="false">IF(ISNUMBER(F71),1,0)</f>
        <v>1</v>
      </c>
      <c r="O71" s="15" t="n">
        <f aca="false">IF(ISNUMBER(G71),1,0)</f>
        <v>1</v>
      </c>
      <c r="P71" s="15" t="n">
        <f aca="false">IF(ISNUMBER(H71),1,0)</f>
        <v>1</v>
      </c>
      <c r="R71" s="15" t="n">
        <f aca="false">IF(J71=1,_xlfn.MINIFS(Sch_idx,Sch_n,B$5,Sch_bmax,"&gt;="&amp;($A71-0.000000001),Sch_P0,"&gt;="&amp;(B71+Beta_y*$A71-0.000000001)),"")</f>
        <v>0</v>
      </c>
      <c r="S71" s="15" t="n">
        <f aca="false">IF(K71=1,_xlfn.MINIFS(Sch_idx,Sch_n,C$5,Sch_bmax,"&gt;="&amp;($A71-0.000000001),Sch_P0,"&gt;="&amp;(C71+Beta_y*$A71-0.000000001)),"")</f>
        <v>32</v>
      </c>
      <c r="T71" s="15" t="n">
        <f aca="false">IF(L71=1,_xlfn.MINIFS(Sch_idx,Sch_n,D$5,Sch_bmax,"&gt;="&amp;($A71-0.000000001),Sch_P0,"&gt;="&amp;(D71+Beta_y*$A71-0.000000001)),"")</f>
        <v>48</v>
      </c>
      <c r="U71" s="15" t="n">
        <f aca="false">IF(M71=1,_xlfn.MINIFS(Sch_idx,Sch_n,E$5,Sch_bmax,"&gt;="&amp;($A71-0.000000001),Sch_P0,"&gt;="&amp;(E71+Beta_y*$A71-0.000000001)),"")</f>
        <v>56</v>
      </c>
      <c r="V71" s="15" t="n">
        <f aca="false">IF(N71=1,_xlfn.MINIFS(Sch_idx,Sch_n,F$5,Sch_bmax,"&gt;="&amp;($A71-0.000000001),Sch_P0,"&gt;="&amp;(F71+Beta_y*$A71-0.000000001)),"")</f>
        <v>57</v>
      </c>
      <c r="W71" s="15" t="n">
        <f aca="false">IF(O71=1,_xlfn.MINIFS(Sch_idx,Sch_n,G$5,Sch_bmax,"&gt;="&amp;($A71-0.000000001),Sch_P0,"&gt;="&amp;(G71+Beta_y*$A71-0.000000001)),"")</f>
        <v>59</v>
      </c>
      <c r="X71" s="15" t="n">
        <f aca="false">IF(P71=1,_xlfn.MINIFS(Sch_idx,Sch_n,H$5,Sch_bmax,"&gt;="&amp;($A71-0.000000001),Sch_P0,"&gt;="&amp;(H71+Beta_y*$A71-0.000000001)),"")</f>
        <v>63</v>
      </c>
      <c r="Z71" s="15" t="n">
        <f aca="false">IF(J71=1,IF(COUNTIFS(K71:$P71,1,C71:$H71,"&gt;="&amp;(B71-0.000000001))&gt;0,0,1),"")</f>
        <v>0</v>
      </c>
      <c r="AA71" s="15" t="n">
        <f aca="false">IF(K71=1,IF(COUNTIFS(L71:$P71,1,D71:$H71,"&gt;="&amp;(C71-0.000000001))&gt;0,0,1),"")</f>
        <v>0</v>
      </c>
      <c r="AB71" s="15" t="n">
        <f aca="false">IF(L71=1,IF(COUNTIFS(M71:$P71,1,E71:$H71,"&gt;="&amp;(D71-0.000000001))&gt;0,0,1),"")</f>
        <v>1</v>
      </c>
      <c r="AC71" s="15" t="n">
        <f aca="false">IF(M71=1,IF(COUNTIFS(N71:$P71,1,F71:$H71,"&gt;="&amp;(E71-0.000000001))&gt;0,0,1),"")</f>
        <v>1</v>
      </c>
      <c r="AD71" s="15" t="n">
        <f aca="false">IF(N71=1,IF(COUNTIFS(O71:$P71,1,G71:$H71,"&gt;="&amp;(F71-0.000000001))&gt;0,0,1),"")</f>
        <v>1</v>
      </c>
      <c r="AE71" s="15" t="n">
        <f aca="false">IF(O71=1,IF(COUNTIFS(P71:$P71,1,H71:$H71,"&gt;="&amp;(G71-0.000000001))&gt;0,0,1),"")</f>
        <v>1</v>
      </c>
      <c r="AF71" s="15" t="n">
        <f aca="false">IF(P71=1,1,"")</f>
        <v>1</v>
      </c>
    </row>
    <row r="72" customFormat="false" ht="15" hidden="false" customHeight="false" outlineLevel="0" collapsed="false">
      <c r="A72" s="2" t="n">
        <v>66</v>
      </c>
      <c r="B72" s="16" t="n">
        <f aca="false">IF(COUNTIFS(Sch_n,B$5,Sch_bmax,"&gt;="&amp;($A72-0.000000001))&gt;0,_xlfn.MAXIFS(Sch_P0,Sch_n,B$5,Sch_bmax,"&gt;="&amp;($A72-0.000000001))-Beta_y*$A72,"")</f>
        <v>76.3636363636364</v>
      </c>
      <c r="C72" s="16" t="n">
        <f aca="false">IF(COUNTIFS(Sch_n,C$5,Sch_bmax,"&gt;="&amp;($A72-0.000000001))&gt;0,_xlfn.MAXIFS(Sch_P0,Sch_n,C$5,Sch_bmax,"&gt;="&amp;($A72-0.000000001))-Beta_y*$A72,"")</f>
        <v>310.67264406927</v>
      </c>
      <c r="D72" s="16" t="n">
        <f aca="false">IF(COUNTIFS(Sch_n,D$5,Sch_bmax,"&gt;="&amp;($A72-0.000000001))&gt;0,_xlfn.MAXIFS(Sch_P0,Sch_n,D$5,Sch_bmax,"&gt;="&amp;($A72-0.000000001))-Beta_y*$A72,"")</f>
        <v>324.173336396545</v>
      </c>
      <c r="E72" s="16" t="n">
        <f aca="false">IF(COUNTIFS(Sch_n,E$5,Sch_bmax,"&gt;="&amp;($A72-0.000000001))&gt;0,_xlfn.MAXIFS(Sch_P0,Sch_n,E$5,Sch_bmax,"&gt;="&amp;($A72-0.000000001))-Beta_y*$A72,"")</f>
        <v>270.451985565273</v>
      </c>
      <c r="F72" s="16" t="n">
        <f aca="false">IF(COUNTIFS(Sch_n,F$5,Sch_bmax,"&gt;="&amp;($A72-0.000000001))&gt;0,_xlfn.MAXIFS(Sch_P0,Sch_n,F$5,Sch_bmax,"&gt;="&amp;($A72-0.000000001))-Beta_y*$A72,"")</f>
        <v>200.880573686145</v>
      </c>
      <c r="G72" s="16" t="n">
        <f aca="false">IF(COUNTIFS(Sch_n,G$5,Sch_bmax,"&gt;="&amp;($A72-0.000000001))&gt;0,_xlfn.MAXIFS(Sch_P0,Sch_n,G$5,Sch_bmax,"&gt;="&amp;($A72-0.000000001))-Beta_y*$A72,"")</f>
        <v>126.821594063089</v>
      </c>
      <c r="H72" s="16" t="n">
        <f aca="false">IF(COUNTIFS(Sch_n,H$5,Sch_bmax,"&gt;="&amp;($A72-0.000000001))&gt;0,_xlfn.MAXIFS(Sch_P0,Sch_n,H$5,Sch_bmax,"&gt;="&amp;($A72-0.000000001))-Beta_y*$A72,"")</f>
        <v>46.5915031997205</v>
      </c>
      <c r="J72" s="15" t="n">
        <f aca="false">IF(ISNUMBER(B72),1,0)</f>
        <v>1</v>
      </c>
      <c r="K72" s="15" t="n">
        <f aca="false">IF(ISNUMBER(C72),1,0)</f>
        <v>1</v>
      </c>
      <c r="L72" s="15" t="n">
        <f aca="false">IF(ISNUMBER(D72),1,0)</f>
        <v>1</v>
      </c>
      <c r="M72" s="15" t="n">
        <f aca="false">IF(ISNUMBER(E72),1,0)</f>
        <v>1</v>
      </c>
      <c r="N72" s="15" t="n">
        <f aca="false">IF(ISNUMBER(F72),1,0)</f>
        <v>1</v>
      </c>
      <c r="O72" s="15" t="n">
        <f aca="false">IF(ISNUMBER(G72),1,0)</f>
        <v>1</v>
      </c>
      <c r="P72" s="15" t="n">
        <f aca="false">IF(ISNUMBER(H72),1,0)</f>
        <v>1</v>
      </c>
      <c r="R72" s="15" t="n">
        <f aca="false">IF(J72=1,_xlfn.MINIFS(Sch_idx,Sch_n,B$5,Sch_bmax,"&gt;="&amp;($A72-0.000000001),Sch_P0,"&gt;="&amp;(B72+Beta_y*$A72-0.000000001)),"")</f>
        <v>0</v>
      </c>
      <c r="S72" s="15" t="n">
        <f aca="false">IF(K72=1,_xlfn.MINIFS(Sch_idx,Sch_n,C$5,Sch_bmax,"&gt;="&amp;($A72-0.000000001),Sch_P0,"&gt;="&amp;(C72+Beta_y*$A72-0.000000001)),"")</f>
        <v>32</v>
      </c>
      <c r="T72" s="15" t="n">
        <f aca="false">IF(L72=1,_xlfn.MINIFS(Sch_idx,Sch_n,D$5,Sch_bmax,"&gt;="&amp;($A72-0.000000001),Sch_P0,"&gt;="&amp;(D72+Beta_y*$A72-0.000000001)),"")</f>
        <v>48</v>
      </c>
      <c r="U72" s="15" t="n">
        <f aca="false">IF(M72=1,_xlfn.MINIFS(Sch_idx,Sch_n,E$5,Sch_bmax,"&gt;="&amp;($A72-0.000000001),Sch_P0,"&gt;="&amp;(E72+Beta_y*$A72-0.000000001)),"")</f>
        <v>56</v>
      </c>
      <c r="V72" s="15" t="n">
        <f aca="false">IF(N72=1,_xlfn.MINIFS(Sch_idx,Sch_n,F$5,Sch_bmax,"&gt;="&amp;($A72-0.000000001),Sch_P0,"&gt;="&amp;(F72+Beta_y*$A72-0.000000001)),"")</f>
        <v>57</v>
      </c>
      <c r="W72" s="15" t="n">
        <f aca="false">IF(O72=1,_xlfn.MINIFS(Sch_idx,Sch_n,G$5,Sch_bmax,"&gt;="&amp;($A72-0.000000001),Sch_P0,"&gt;="&amp;(G72+Beta_y*$A72-0.000000001)),"")</f>
        <v>59</v>
      </c>
      <c r="X72" s="15" t="n">
        <f aca="false">IF(P72=1,_xlfn.MINIFS(Sch_idx,Sch_n,H$5,Sch_bmax,"&gt;="&amp;($A72-0.000000001),Sch_P0,"&gt;="&amp;(H72+Beta_y*$A72-0.000000001)),"")</f>
        <v>63</v>
      </c>
      <c r="Z72" s="15" t="n">
        <f aca="false">IF(J72=1,IF(COUNTIFS(K72:$P72,1,C72:$H72,"&gt;="&amp;(B72-0.000000001))&gt;0,0,1),"")</f>
        <v>0</v>
      </c>
      <c r="AA72" s="15" t="n">
        <f aca="false">IF(K72=1,IF(COUNTIFS(L72:$P72,1,D72:$H72,"&gt;="&amp;(C72-0.000000001))&gt;0,0,1),"")</f>
        <v>0</v>
      </c>
      <c r="AB72" s="15" t="n">
        <f aca="false">IF(L72=1,IF(COUNTIFS(M72:$P72,1,E72:$H72,"&gt;="&amp;(D72-0.000000001))&gt;0,0,1),"")</f>
        <v>1</v>
      </c>
      <c r="AC72" s="15" t="n">
        <f aca="false">IF(M72=1,IF(COUNTIFS(N72:$P72,1,F72:$H72,"&gt;="&amp;(E72-0.000000001))&gt;0,0,1),"")</f>
        <v>1</v>
      </c>
      <c r="AD72" s="15" t="n">
        <f aca="false">IF(N72=1,IF(COUNTIFS(O72:$P72,1,G72:$H72,"&gt;="&amp;(F72-0.000000001))&gt;0,0,1),"")</f>
        <v>1</v>
      </c>
      <c r="AE72" s="15" t="n">
        <f aca="false">IF(O72=1,IF(COUNTIFS(P72:$P72,1,H72:$H72,"&gt;="&amp;(G72-0.000000001))&gt;0,0,1),"")</f>
        <v>1</v>
      </c>
      <c r="AF72" s="15" t="n">
        <f aca="false">IF(P72=1,1,"")</f>
        <v>1</v>
      </c>
    </row>
    <row r="73" customFormat="false" ht="15" hidden="false" customHeight="false" outlineLevel="0" collapsed="false">
      <c r="A73" s="2" t="n">
        <v>67</v>
      </c>
      <c r="B73" s="16" t="n">
        <f aca="false">IF(COUNTIFS(Sch_n,B$5,Sch_bmax,"&gt;="&amp;($A73-0.000000001))&gt;0,_xlfn.MAXIFS(Sch_P0,Sch_n,B$5,Sch_bmax,"&gt;="&amp;($A73-0.000000001))-Beta_y*$A73,"")</f>
        <v>75.4545454545454</v>
      </c>
      <c r="C73" s="16" t="n">
        <f aca="false">IF(COUNTIFS(Sch_n,C$5,Sch_bmax,"&gt;="&amp;($A73-0.000000001))&gt;0,_xlfn.MAXIFS(Sch_P0,Sch_n,C$5,Sch_bmax,"&gt;="&amp;($A73-0.000000001))-Beta_y*$A73,"")</f>
        <v>309.763553160179</v>
      </c>
      <c r="D73" s="16" t="n">
        <f aca="false">IF(COUNTIFS(Sch_n,D$5,Sch_bmax,"&gt;="&amp;($A73-0.000000001))&gt;0,_xlfn.MAXIFS(Sch_P0,Sch_n,D$5,Sch_bmax,"&gt;="&amp;($A73-0.000000001))-Beta_y*$A73,"")</f>
        <v>323.264245487454</v>
      </c>
      <c r="E73" s="16" t="n">
        <f aca="false">IF(COUNTIFS(Sch_n,E$5,Sch_bmax,"&gt;="&amp;($A73-0.000000001))&gt;0,_xlfn.MAXIFS(Sch_P0,Sch_n,E$5,Sch_bmax,"&gt;="&amp;($A73-0.000000001))-Beta_y*$A73,"")</f>
        <v>269.542894656182</v>
      </c>
      <c r="F73" s="16" t="n">
        <f aca="false">IF(COUNTIFS(Sch_n,F$5,Sch_bmax,"&gt;="&amp;($A73-0.000000001))&gt;0,_xlfn.MAXIFS(Sch_P0,Sch_n,F$5,Sch_bmax,"&gt;="&amp;($A73-0.000000001))-Beta_y*$A73,"")</f>
        <v>199.971482777054</v>
      </c>
      <c r="G73" s="16" t="n">
        <f aca="false">IF(COUNTIFS(Sch_n,G$5,Sch_bmax,"&gt;="&amp;($A73-0.000000001))&gt;0,_xlfn.MAXIFS(Sch_P0,Sch_n,G$5,Sch_bmax,"&gt;="&amp;($A73-0.000000001))-Beta_y*$A73,"")</f>
        <v>125.912503153998</v>
      </c>
      <c r="H73" s="16" t="n">
        <f aca="false">IF(COUNTIFS(Sch_n,H$5,Sch_bmax,"&gt;="&amp;($A73-0.000000001))&gt;0,_xlfn.MAXIFS(Sch_P0,Sch_n,H$5,Sch_bmax,"&gt;="&amp;($A73-0.000000001))-Beta_y*$A73,"")</f>
        <v>45.6824122906296</v>
      </c>
      <c r="J73" s="15" t="n">
        <f aca="false">IF(ISNUMBER(B73),1,0)</f>
        <v>1</v>
      </c>
      <c r="K73" s="15" t="n">
        <f aca="false">IF(ISNUMBER(C73),1,0)</f>
        <v>1</v>
      </c>
      <c r="L73" s="15" t="n">
        <f aca="false">IF(ISNUMBER(D73),1,0)</f>
        <v>1</v>
      </c>
      <c r="M73" s="15" t="n">
        <f aca="false">IF(ISNUMBER(E73),1,0)</f>
        <v>1</v>
      </c>
      <c r="N73" s="15" t="n">
        <f aca="false">IF(ISNUMBER(F73),1,0)</f>
        <v>1</v>
      </c>
      <c r="O73" s="15" t="n">
        <f aca="false">IF(ISNUMBER(G73),1,0)</f>
        <v>1</v>
      </c>
      <c r="P73" s="15" t="n">
        <f aca="false">IF(ISNUMBER(H73),1,0)</f>
        <v>1</v>
      </c>
      <c r="R73" s="15" t="n">
        <f aca="false">IF(J73=1,_xlfn.MINIFS(Sch_idx,Sch_n,B$5,Sch_bmax,"&gt;="&amp;($A73-0.000000001),Sch_P0,"&gt;="&amp;(B73+Beta_y*$A73-0.000000001)),"")</f>
        <v>0</v>
      </c>
      <c r="S73" s="15" t="n">
        <f aca="false">IF(K73=1,_xlfn.MINIFS(Sch_idx,Sch_n,C$5,Sch_bmax,"&gt;="&amp;($A73-0.000000001),Sch_P0,"&gt;="&amp;(C73+Beta_y*$A73-0.000000001)),"")</f>
        <v>32</v>
      </c>
      <c r="T73" s="15" t="n">
        <f aca="false">IF(L73=1,_xlfn.MINIFS(Sch_idx,Sch_n,D$5,Sch_bmax,"&gt;="&amp;($A73-0.000000001),Sch_P0,"&gt;="&amp;(D73+Beta_y*$A73-0.000000001)),"")</f>
        <v>48</v>
      </c>
      <c r="U73" s="15" t="n">
        <f aca="false">IF(M73=1,_xlfn.MINIFS(Sch_idx,Sch_n,E$5,Sch_bmax,"&gt;="&amp;($A73-0.000000001),Sch_P0,"&gt;="&amp;(E73+Beta_y*$A73-0.000000001)),"")</f>
        <v>56</v>
      </c>
      <c r="V73" s="15" t="n">
        <f aca="false">IF(N73=1,_xlfn.MINIFS(Sch_idx,Sch_n,F$5,Sch_bmax,"&gt;="&amp;($A73-0.000000001),Sch_P0,"&gt;="&amp;(F73+Beta_y*$A73-0.000000001)),"")</f>
        <v>57</v>
      </c>
      <c r="W73" s="15" t="n">
        <f aca="false">IF(O73=1,_xlfn.MINIFS(Sch_idx,Sch_n,G$5,Sch_bmax,"&gt;="&amp;($A73-0.000000001),Sch_P0,"&gt;="&amp;(G73+Beta_y*$A73-0.000000001)),"")</f>
        <v>59</v>
      </c>
      <c r="X73" s="15" t="n">
        <f aca="false">IF(P73=1,_xlfn.MINIFS(Sch_idx,Sch_n,H$5,Sch_bmax,"&gt;="&amp;($A73-0.000000001),Sch_P0,"&gt;="&amp;(H73+Beta_y*$A73-0.000000001)),"")</f>
        <v>63</v>
      </c>
      <c r="Z73" s="15" t="n">
        <f aca="false">IF(J73=1,IF(COUNTIFS(K73:$P73,1,C73:$H73,"&gt;="&amp;(B73-0.000000001))&gt;0,0,1),"")</f>
        <v>0</v>
      </c>
      <c r="AA73" s="15" t="n">
        <f aca="false">IF(K73=1,IF(COUNTIFS(L73:$P73,1,D73:$H73,"&gt;="&amp;(C73-0.000000001))&gt;0,0,1),"")</f>
        <v>0</v>
      </c>
      <c r="AB73" s="15" t="n">
        <f aca="false">IF(L73=1,IF(COUNTIFS(M73:$P73,1,E73:$H73,"&gt;="&amp;(D73-0.000000001))&gt;0,0,1),"")</f>
        <v>1</v>
      </c>
      <c r="AC73" s="15" t="n">
        <f aca="false">IF(M73=1,IF(COUNTIFS(N73:$P73,1,F73:$H73,"&gt;="&amp;(E73-0.000000001))&gt;0,0,1),"")</f>
        <v>1</v>
      </c>
      <c r="AD73" s="15" t="n">
        <f aca="false">IF(N73=1,IF(COUNTIFS(O73:$P73,1,G73:$H73,"&gt;="&amp;(F73-0.000000001))&gt;0,0,1),"")</f>
        <v>1</v>
      </c>
      <c r="AE73" s="15" t="n">
        <f aca="false">IF(O73=1,IF(COUNTIFS(P73:$P73,1,H73:$H73,"&gt;="&amp;(G73-0.000000001))&gt;0,0,1),"")</f>
        <v>1</v>
      </c>
      <c r="AF73" s="15" t="n">
        <f aca="false">IF(P73=1,1,"")</f>
        <v>1</v>
      </c>
    </row>
    <row r="74" customFormat="false" ht="15" hidden="false" customHeight="false" outlineLevel="0" collapsed="false">
      <c r="A74" s="2" t="n">
        <v>68</v>
      </c>
      <c r="B74" s="16" t="n">
        <f aca="false">IF(COUNTIFS(Sch_n,B$5,Sch_bmax,"&gt;="&amp;($A74-0.000000001))&gt;0,_xlfn.MAXIFS(Sch_P0,Sch_n,B$5,Sch_bmax,"&gt;="&amp;($A74-0.000000001))-Beta_y*$A74,"")</f>
        <v>74.5454545454545</v>
      </c>
      <c r="C74" s="16" t="n">
        <f aca="false">IF(COUNTIFS(Sch_n,C$5,Sch_bmax,"&gt;="&amp;($A74-0.000000001))&gt;0,_xlfn.MAXIFS(Sch_P0,Sch_n,C$5,Sch_bmax,"&gt;="&amp;($A74-0.000000001))-Beta_y*$A74,"")</f>
        <v>308.854462251088</v>
      </c>
      <c r="D74" s="16" t="n">
        <f aca="false">IF(COUNTIFS(Sch_n,D$5,Sch_bmax,"&gt;="&amp;($A74-0.000000001))&gt;0,_xlfn.MAXIFS(Sch_P0,Sch_n,D$5,Sch_bmax,"&gt;="&amp;($A74-0.000000001))-Beta_y*$A74,"")</f>
        <v>322.355154578363</v>
      </c>
      <c r="E74" s="16" t="n">
        <f aca="false">IF(COUNTIFS(Sch_n,E$5,Sch_bmax,"&gt;="&amp;($A74-0.000000001))&gt;0,_xlfn.MAXIFS(Sch_P0,Sch_n,E$5,Sch_bmax,"&gt;="&amp;($A74-0.000000001))-Beta_y*$A74,"")</f>
        <v>268.633803747091</v>
      </c>
      <c r="F74" s="16" t="n">
        <f aca="false">IF(COUNTIFS(Sch_n,F$5,Sch_bmax,"&gt;="&amp;($A74-0.000000001))&gt;0,_xlfn.MAXIFS(Sch_P0,Sch_n,F$5,Sch_bmax,"&gt;="&amp;($A74-0.000000001))-Beta_y*$A74,"")</f>
        <v>199.062391867963</v>
      </c>
      <c r="G74" s="16" t="n">
        <f aca="false">IF(COUNTIFS(Sch_n,G$5,Sch_bmax,"&gt;="&amp;($A74-0.000000001))&gt;0,_xlfn.MAXIFS(Sch_P0,Sch_n,G$5,Sch_bmax,"&gt;="&amp;($A74-0.000000001))-Beta_y*$A74,"")</f>
        <v>125.003412244907</v>
      </c>
      <c r="H74" s="16" t="n">
        <f aca="false">IF(COUNTIFS(Sch_n,H$5,Sch_bmax,"&gt;="&amp;($A74-0.000000001))&gt;0,_xlfn.MAXIFS(Sch_P0,Sch_n,H$5,Sch_bmax,"&gt;="&amp;($A74-0.000000001))-Beta_y*$A74,"")</f>
        <v>44.7733213815387</v>
      </c>
      <c r="J74" s="15" t="n">
        <f aca="false">IF(ISNUMBER(B74),1,0)</f>
        <v>1</v>
      </c>
      <c r="K74" s="15" t="n">
        <f aca="false">IF(ISNUMBER(C74),1,0)</f>
        <v>1</v>
      </c>
      <c r="L74" s="15" t="n">
        <f aca="false">IF(ISNUMBER(D74),1,0)</f>
        <v>1</v>
      </c>
      <c r="M74" s="15" t="n">
        <f aca="false">IF(ISNUMBER(E74),1,0)</f>
        <v>1</v>
      </c>
      <c r="N74" s="15" t="n">
        <f aca="false">IF(ISNUMBER(F74),1,0)</f>
        <v>1</v>
      </c>
      <c r="O74" s="15" t="n">
        <f aca="false">IF(ISNUMBER(G74),1,0)</f>
        <v>1</v>
      </c>
      <c r="P74" s="15" t="n">
        <f aca="false">IF(ISNUMBER(H74),1,0)</f>
        <v>1</v>
      </c>
      <c r="R74" s="15" t="n">
        <f aca="false">IF(J74=1,_xlfn.MINIFS(Sch_idx,Sch_n,B$5,Sch_bmax,"&gt;="&amp;($A74-0.000000001),Sch_P0,"&gt;="&amp;(B74+Beta_y*$A74-0.000000001)),"")</f>
        <v>0</v>
      </c>
      <c r="S74" s="15" t="n">
        <f aca="false">IF(K74=1,_xlfn.MINIFS(Sch_idx,Sch_n,C$5,Sch_bmax,"&gt;="&amp;($A74-0.000000001),Sch_P0,"&gt;="&amp;(C74+Beta_y*$A74-0.000000001)),"")</f>
        <v>32</v>
      </c>
      <c r="T74" s="15" t="n">
        <f aca="false">IF(L74=1,_xlfn.MINIFS(Sch_idx,Sch_n,D$5,Sch_bmax,"&gt;="&amp;($A74-0.000000001),Sch_P0,"&gt;="&amp;(D74+Beta_y*$A74-0.000000001)),"")</f>
        <v>48</v>
      </c>
      <c r="U74" s="15" t="n">
        <f aca="false">IF(M74=1,_xlfn.MINIFS(Sch_idx,Sch_n,E$5,Sch_bmax,"&gt;="&amp;($A74-0.000000001),Sch_P0,"&gt;="&amp;(E74+Beta_y*$A74-0.000000001)),"")</f>
        <v>56</v>
      </c>
      <c r="V74" s="15" t="n">
        <f aca="false">IF(N74=1,_xlfn.MINIFS(Sch_idx,Sch_n,F$5,Sch_bmax,"&gt;="&amp;($A74-0.000000001),Sch_P0,"&gt;="&amp;(F74+Beta_y*$A74-0.000000001)),"")</f>
        <v>57</v>
      </c>
      <c r="W74" s="15" t="n">
        <f aca="false">IF(O74=1,_xlfn.MINIFS(Sch_idx,Sch_n,G$5,Sch_bmax,"&gt;="&amp;($A74-0.000000001),Sch_P0,"&gt;="&amp;(G74+Beta_y*$A74-0.000000001)),"")</f>
        <v>59</v>
      </c>
      <c r="X74" s="15" t="n">
        <f aca="false">IF(P74=1,_xlfn.MINIFS(Sch_idx,Sch_n,H$5,Sch_bmax,"&gt;="&amp;($A74-0.000000001),Sch_P0,"&gt;="&amp;(H74+Beta_y*$A74-0.000000001)),"")</f>
        <v>63</v>
      </c>
      <c r="Z74" s="15" t="n">
        <f aca="false">IF(J74=1,IF(COUNTIFS(K74:$P74,1,C74:$H74,"&gt;="&amp;(B74-0.000000001))&gt;0,0,1),"")</f>
        <v>0</v>
      </c>
      <c r="AA74" s="15" t="n">
        <f aca="false">IF(K74=1,IF(COUNTIFS(L74:$P74,1,D74:$H74,"&gt;="&amp;(C74-0.000000001))&gt;0,0,1),"")</f>
        <v>0</v>
      </c>
      <c r="AB74" s="15" t="n">
        <f aca="false">IF(L74=1,IF(COUNTIFS(M74:$P74,1,E74:$H74,"&gt;="&amp;(D74-0.000000001))&gt;0,0,1),"")</f>
        <v>1</v>
      </c>
      <c r="AC74" s="15" t="n">
        <f aca="false">IF(M74=1,IF(COUNTIFS(N74:$P74,1,F74:$H74,"&gt;="&amp;(E74-0.000000001))&gt;0,0,1),"")</f>
        <v>1</v>
      </c>
      <c r="AD74" s="15" t="n">
        <f aca="false">IF(N74=1,IF(COUNTIFS(O74:$P74,1,G74:$H74,"&gt;="&amp;(F74-0.000000001))&gt;0,0,1),"")</f>
        <v>1</v>
      </c>
      <c r="AE74" s="15" t="n">
        <f aca="false">IF(O74=1,IF(COUNTIFS(P74:$P74,1,H74:$H74,"&gt;="&amp;(G74-0.000000001))&gt;0,0,1),"")</f>
        <v>1</v>
      </c>
      <c r="AF74" s="15" t="n">
        <f aca="false">IF(P74=1,1,"")</f>
        <v>1</v>
      </c>
    </row>
    <row r="75" customFormat="false" ht="15" hidden="false" customHeight="false" outlineLevel="0" collapsed="false">
      <c r="A75" s="2" t="n">
        <v>69</v>
      </c>
      <c r="B75" s="16" t="n">
        <f aca="false">IF(COUNTIFS(Sch_n,B$5,Sch_bmax,"&gt;="&amp;($A75-0.000000001))&gt;0,_xlfn.MAXIFS(Sch_P0,Sch_n,B$5,Sch_bmax,"&gt;="&amp;($A75-0.000000001))-Beta_y*$A75,"")</f>
        <v>73.6363636363636</v>
      </c>
      <c r="C75" s="16" t="n">
        <f aca="false">IF(COUNTIFS(Sch_n,C$5,Sch_bmax,"&gt;="&amp;($A75-0.000000001))&gt;0,_xlfn.MAXIFS(Sch_P0,Sch_n,C$5,Sch_bmax,"&gt;="&amp;($A75-0.000000001))-Beta_y*$A75,"")</f>
        <v>307.945371341997</v>
      </c>
      <c r="D75" s="16" t="n">
        <f aca="false">IF(COUNTIFS(Sch_n,D$5,Sch_bmax,"&gt;="&amp;($A75-0.000000001))&gt;0,_xlfn.MAXIFS(Sch_P0,Sch_n,D$5,Sch_bmax,"&gt;="&amp;($A75-0.000000001))-Beta_y*$A75,"")</f>
        <v>321.446063669272</v>
      </c>
      <c r="E75" s="16" t="n">
        <f aca="false">IF(COUNTIFS(Sch_n,E$5,Sch_bmax,"&gt;="&amp;($A75-0.000000001))&gt;0,_xlfn.MAXIFS(Sch_P0,Sch_n,E$5,Sch_bmax,"&gt;="&amp;($A75-0.000000001))-Beta_y*$A75,"")</f>
        <v>267.724712838</v>
      </c>
      <c r="F75" s="16" t="n">
        <f aca="false">IF(COUNTIFS(Sch_n,F$5,Sch_bmax,"&gt;="&amp;($A75-0.000000001))&gt;0,_xlfn.MAXIFS(Sch_P0,Sch_n,F$5,Sch_bmax,"&gt;="&amp;($A75-0.000000001))-Beta_y*$A75,"")</f>
        <v>198.153300958872</v>
      </c>
      <c r="G75" s="16" t="n">
        <f aca="false">IF(COUNTIFS(Sch_n,G$5,Sch_bmax,"&gt;="&amp;($A75-0.000000001))&gt;0,_xlfn.MAXIFS(Sch_P0,Sch_n,G$5,Sch_bmax,"&gt;="&amp;($A75-0.000000001))-Beta_y*$A75,"")</f>
        <v>124.094321335816</v>
      </c>
      <c r="H75" s="16" t="n">
        <f aca="false">IF(COUNTIFS(Sch_n,H$5,Sch_bmax,"&gt;="&amp;($A75-0.000000001))&gt;0,_xlfn.MAXIFS(Sch_P0,Sch_n,H$5,Sch_bmax,"&gt;="&amp;($A75-0.000000001))-Beta_y*$A75,"")</f>
        <v>43.8642304724477</v>
      </c>
      <c r="J75" s="15" t="n">
        <f aca="false">IF(ISNUMBER(B75),1,0)</f>
        <v>1</v>
      </c>
      <c r="K75" s="15" t="n">
        <f aca="false">IF(ISNUMBER(C75),1,0)</f>
        <v>1</v>
      </c>
      <c r="L75" s="15" t="n">
        <f aca="false">IF(ISNUMBER(D75),1,0)</f>
        <v>1</v>
      </c>
      <c r="M75" s="15" t="n">
        <f aca="false">IF(ISNUMBER(E75),1,0)</f>
        <v>1</v>
      </c>
      <c r="N75" s="15" t="n">
        <f aca="false">IF(ISNUMBER(F75),1,0)</f>
        <v>1</v>
      </c>
      <c r="O75" s="15" t="n">
        <f aca="false">IF(ISNUMBER(G75),1,0)</f>
        <v>1</v>
      </c>
      <c r="P75" s="15" t="n">
        <f aca="false">IF(ISNUMBER(H75),1,0)</f>
        <v>1</v>
      </c>
      <c r="R75" s="15" t="n">
        <f aca="false">IF(J75=1,_xlfn.MINIFS(Sch_idx,Sch_n,B$5,Sch_bmax,"&gt;="&amp;($A75-0.000000001),Sch_P0,"&gt;="&amp;(B75+Beta_y*$A75-0.000000001)),"")</f>
        <v>0</v>
      </c>
      <c r="S75" s="15" t="n">
        <f aca="false">IF(K75=1,_xlfn.MINIFS(Sch_idx,Sch_n,C$5,Sch_bmax,"&gt;="&amp;($A75-0.000000001),Sch_P0,"&gt;="&amp;(C75+Beta_y*$A75-0.000000001)),"")</f>
        <v>32</v>
      </c>
      <c r="T75" s="15" t="n">
        <f aca="false">IF(L75=1,_xlfn.MINIFS(Sch_idx,Sch_n,D$5,Sch_bmax,"&gt;="&amp;($A75-0.000000001),Sch_P0,"&gt;="&amp;(D75+Beta_y*$A75-0.000000001)),"")</f>
        <v>48</v>
      </c>
      <c r="U75" s="15" t="n">
        <f aca="false">IF(M75=1,_xlfn.MINIFS(Sch_idx,Sch_n,E$5,Sch_bmax,"&gt;="&amp;($A75-0.000000001),Sch_P0,"&gt;="&amp;(E75+Beta_y*$A75-0.000000001)),"")</f>
        <v>56</v>
      </c>
      <c r="V75" s="15" t="n">
        <f aca="false">IF(N75=1,_xlfn.MINIFS(Sch_idx,Sch_n,F$5,Sch_bmax,"&gt;="&amp;($A75-0.000000001),Sch_P0,"&gt;="&amp;(F75+Beta_y*$A75-0.000000001)),"")</f>
        <v>57</v>
      </c>
      <c r="W75" s="15" t="n">
        <f aca="false">IF(O75=1,_xlfn.MINIFS(Sch_idx,Sch_n,G$5,Sch_bmax,"&gt;="&amp;($A75-0.000000001),Sch_P0,"&gt;="&amp;(G75+Beta_y*$A75-0.000000001)),"")</f>
        <v>59</v>
      </c>
      <c r="X75" s="15" t="n">
        <f aca="false">IF(P75=1,_xlfn.MINIFS(Sch_idx,Sch_n,H$5,Sch_bmax,"&gt;="&amp;($A75-0.000000001),Sch_P0,"&gt;="&amp;(H75+Beta_y*$A75-0.000000001)),"")</f>
        <v>63</v>
      </c>
      <c r="Z75" s="15" t="n">
        <f aca="false">IF(J75=1,IF(COUNTIFS(K75:$P75,1,C75:$H75,"&gt;="&amp;(B75-0.000000001))&gt;0,0,1),"")</f>
        <v>0</v>
      </c>
      <c r="AA75" s="15" t="n">
        <f aca="false">IF(K75=1,IF(COUNTIFS(L75:$P75,1,D75:$H75,"&gt;="&amp;(C75-0.000000001))&gt;0,0,1),"")</f>
        <v>0</v>
      </c>
      <c r="AB75" s="15" t="n">
        <f aca="false">IF(L75=1,IF(COUNTIFS(M75:$P75,1,E75:$H75,"&gt;="&amp;(D75-0.000000001))&gt;0,0,1),"")</f>
        <v>1</v>
      </c>
      <c r="AC75" s="15" t="n">
        <f aca="false">IF(M75=1,IF(COUNTIFS(N75:$P75,1,F75:$H75,"&gt;="&amp;(E75-0.000000001))&gt;0,0,1),"")</f>
        <v>1</v>
      </c>
      <c r="AD75" s="15" t="n">
        <f aca="false">IF(N75=1,IF(COUNTIFS(O75:$P75,1,G75:$H75,"&gt;="&amp;(F75-0.000000001))&gt;0,0,1),"")</f>
        <v>1</v>
      </c>
      <c r="AE75" s="15" t="n">
        <f aca="false">IF(O75=1,IF(COUNTIFS(P75:$P75,1,H75:$H75,"&gt;="&amp;(G75-0.000000001))&gt;0,0,1),"")</f>
        <v>1</v>
      </c>
      <c r="AF75" s="15" t="n">
        <f aca="false">IF(P75=1,1,"")</f>
        <v>1</v>
      </c>
    </row>
    <row r="76" customFormat="false" ht="15" hidden="false" customHeight="false" outlineLevel="0" collapsed="false">
      <c r="A76" s="2" t="n">
        <v>70</v>
      </c>
      <c r="B76" s="16" t="n">
        <f aca="false">IF(COUNTIFS(Sch_n,B$5,Sch_bmax,"&gt;="&amp;($A76-0.000000001))&gt;0,_xlfn.MAXIFS(Sch_P0,Sch_n,B$5,Sch_bmax,"&gt;="&amp;($A76-0.000000001))-Beta_y*$A76,"")</f>
        <v>72.7272727272727</v>
      </c>
      <c r="C76" s="16" t="n">
        <f aca="false">IF(COUNTIFS(Sch_n,C$5,Sch_bmax,"&gt;="&amp;($A76-0.000000001))&gt;0,_xlfn.MAXIFS(Sch_P0,Sch_n,C$5,Sch_bmax,"&gt;="&amp;($A76-0.000000001))-Beta_y*$A76,"")</f>
        <v>307.036280432906</v>
      </c>
      <c r="D76" s="16" t="n">
        <f aca="false">IF(COUNTIFS(Sch_n,D$5,Sch_bmax,"&gt;="&amp;($A76-0.000000001))&gt;0,_xlfn.MAXIFS(Sch_P0,Sch_n,D$5,Sch_bmax,"&gt;="&amp;($A76-0.000000001))-Beta_y*$A76,"")</f>
        <v>320.536972760182</v>
      </c>
      <c r="E76" s="16" t="n">
        <f aca="false">IF(COUNTIFS(Sch_n,E$5,Sch_bmax,"&gt;="&amp;($A76-0.000000001))&gt;0,_xlfn.MAXIFS(Sch_P0,Sch_n,E$5,Sch_bmax,"&gt;="&amp;($A76-0.000000001))-Beta_y*$A76,"")</f>
        <v>266.815621928909</v>
      </c>
      <c r="F76" s="16" t="n">
        <f aca="false">IF(COUNTIFS(Sch_n,F$5,Sch_bmax,"&gt;="&amp;($A76-0.000000001))&gt;0,_xlfn.MAXIFS(Sch_P0,Sch_n,F$5,Sch_bmax,"&gt;="&amp;($A76-0.000000001))-Beta_y*$A76,"")</f>
        <v>197.244210049781</v>
      </c>
      <c r="G76" s="16" t="n">
        <f aca="false">IF(COUNTIFS(Sch_n,G$5,Sch_bmax,"&gt;="&amp;($A76-0.000000001))&gt;0,_xlfn.MAXIFS(Sch_P0,Sch_n,G$5,Sch_bmax,"&gt;="&amp;($A76-0.000000001))-Beta_y*$A76,"")</f>
        <v>123.185230426725</v>
      </c>
      <c r="H76" s="16" t="n">
        <f aca="false">IF(COUNTIFS(Sch_n,H$5,Sch_bmax,"&gt;="&amp;($A76-0.000000001))&gt;0,_xlfn.MAXIFS(Sch_P0,Sch_n,H$5,Sch_bmax,"&gt;="&amp;($A76-0.000000001))-Beta_y*$A76,"")</f>
        <v>42.9551395633568</v>
      </c>
      <c r="J76" s="15" t="n">
        <f aca="false">IF(ISNUMBER(B76),1,0)</f>
        <v>1</v>
      </c>
      <c r="K76" s="15" t="n">
        <f aca="false">IF(ISNUMBER(C76),1,0)</f>
        <v>1</v>
      </c>
      <c r="L76" s="15" t="n">
        <f aca="false">IF(ISNUMBER(D76),1,0)</f>
        <v>1</v>
      </c>
      <c r="M76" s="15" t="n">
        <f aca="false">IF(ISNUMBER(E76),1,0)</f>
        <v>1</v>
      </c>
      <c r="N76" s="15" t="n">
        <f aca="false">IF(ISNUMBER(F76),1,0)</f>
        <v>1</v>
      </c>
      <c r="O76" s="15" t="n">
        <f aca="false">IF(ISNUMBER(G76),1,0)</f>
        <v>1</v>
      </c>
      <c r="P76" s="15" t="n">
        <f aca="false">IF(ISNUMBER(H76),1,0)</f>
        <v>1</v>
      </c>
      <c r="R76" s="15" t="n">
        <f aca="false">IF(J76=1,_xlfn.MINIFS(Sch_idx,Sch_n,B$5,Sch_bmax,"&gt;="&amp;($A76-0.000000001),Sch_P0,"&gt;="&amp;(B76+Beta_y*$A76-0.000000001)),"")</f>
        <v>0</v>
      </c>
      <c r="S76" s="15" t="n">
        <f aca="false">IF(K76=1,_xlfn.MINIFS(Sch_idx,Sch_n,C$5,Sch_bmax,"&gt;="&amp;($A76-0.000000001),Sch_P0,"&gt;="&amp;(C76+Beta_y*$A76-0.000000001)),"")</f>
        <v>32</v>
      </c>
      <c r="T76" s="15" t="n">
        <f aca="false">IF(L76=1,_xlfn.MINIFS(Sch_idx,Sch_n,D$5,Sch_bmax,"&gt;="&amp;($A76-0.000000001),Sch_P0,"&gt;="&amp;(D76+Beta_y*$A76-0.000000001)),"")</f>
        <v>48</v>
      </c>
      <c r="U76" s="15" t="n">
        <f aca="false">IF(M76=1,_xlfn.MINIFS(Sch_idx,Sch_n,E$5,Sch_bmax,"&gt;="&amp;($A76-0.000000001),Sch_P0,"&gt;="&amp;(E76+Beta_y*$A76-0.000000001)),"")</f>
        <v>56</v>
      </c>
      <c r="V76" s="15" t="n">
        <f aca="false">IF(N76=1,_xlfn.MINIFS(Sch_idx,Sch_n,F$5,Sch_bmax,"&gt;="&amp;($A76-0.000000001),Sch_P0,"&gt;="&amp;(F76+Beta_y*$A76-0.000000001)),"")</f>
        <v>57</v>
      </c>
      <c r="W76" s="15" t="n">
        <f aca="false">IF(O76=1,_xlfn.MINIFS(Sch_idx,Sch_n,G$5,Sch_bmax,"&gt;="&amp;($A76-0.000000001),Sch_P0,"&gt;="&amp;(G76+Beta_y*$A76-0.000000001)),"")</f>
        <v>59</v>
      </c>
      <c r="X76" s="15" t="n">
        <f aca="false">IF(P76=1,_xlfn.MINIFS(Sch_idx,Sch_n,H$5,Sch_bmax,"&gt;="&amp;($A76-0.000000001),Sch_P0,"&gt;="&amp;(H76+Beta_y*$A76-0.000000001)),"")</f>
        <v>63</v>
      </c>
      <c r="Z76" s="15" t="n">
        <f aca="false">IF(J76=1,IF(COUNTIFS(K76:$P76,1,C76:$H76,"&gt;="&amp;(B76-0.000000001))&gt;0,0,1),"")</f>
        <v>0</v>
      </c>
      <c r="AA76" s="15" t="n">
        <f aca="false">IF(K76=1,IF(COUNTIFS(L76:$P76,1,D76:$H76,"&gt;="&amp;(C76-0.000000001))&gt;0,0,1),"")</f>
        <v>0</v>
      </c>
      <c r="AB76" s="15" t="n">
        <f aca="false">IF(L76=1,IF(COUNTIFS(M76:$P76,1,E76:$H76,"&gt;="&amp;(D76-0.000000001))&gt;0,0,1),"")</f>
        <v>1</v>
      </c>
      <c r="AC76" s="15" t="n">
        <f aca="false">IF(M76=1,IF(COUNTIFS(N76:$P76,1,F76:$H76,"&gt;="&amp;(E76-0.000000001))&gt;0,0,1),"")</f>
        <v>1</v>
      </c>
      <c r="AD76" s="15" t="n">
        <f aca="false">IF(N76=1,IF(COUNTIFS(O76:$P76,1,G76:$H76,"&gt;="&amp;(F76-0.000000001))&gt;0,0,1),"")</f>
        <v>1</v>
      </c>
      <c r="AE76" s="15" t="n">
        <f aca="false">IF(O76=1,IF(COUNTIFS(P76:$P76,1,H76:$H76,"&gt;="&amp;(G76-0.000000001))&gt;0,0,1),"")</f>
        <v>1</v>
      </c>
      <c r="AF76" s="15" t="n">
        <f aca="false">IF(P76=1,1,"")</f>
        <v>1</v>
      </c>
    </row>
    <row r="77" customFormat="false" ht="15" hidden="false" customHeight="false" outlineLevel="0" collapsed="false">
      <c r="A77" s="2" t="n">
        <v>71</v>
      </c>
      <c r="B77" s="16" t="n">
        <f aca="false">IF(COUNTIFS(Sch_n,B$5,Sch_bmax,"&gt;="&amp;($A77-0.000000001))&gt;0,_xlfn.MAXIFS(Sch_P0,Sch_n,B$5,Sch_bmax,"&gt;="&amp;($A77-0.000000001))-Beta_y*$A77,"")</f>
        <v>71.8181818181818</v>
      </c>
      <c r="C77" s="16" t="n">
        <f aca="false">IF(COUNTIFS(Sch_n,C$5,Sch_bmax,"&gt;="&amp;($A77-0.000000001))&gt;0,_xlfn.MAXIFS(Sch_P0,Sch_n,C$5,Sch_bmax,"&gt;="&amp;($A77-0.000000001))-Beta_y*$A77,"")</f>
        <v>306.127189523815</v>
      </c>
      <c r="D77" s="16" t="n">
        <f aca="false">IF(COUNTIFS(Sch_n,D$5,Sch_bmax,"&gt;="&amp;($A77-0.000000001))&gt;0,_xlfn.MAXIFS(Sch_P0,Sch_n,D$5,Sch_bmax,"&gt;="&amp;($A77-0.000000001))-Beta_y*$A77,"")</f>
        <v>319.627881851091</v>
      </c>
      <c r="E77" s="16" t="n">
        <f aca="false">IF(COUNTIFS(Sch_n,E$5,Sch_bmax,"&gt;="&amp;($A77-0.000000001))&gt;0,_xlfn.MAXIFS(Sch_P0,Sch_n,E$5,Sch_bmax,"&gt;="&amp;($A77-0.000000001))-Beta_y*$A77,"")</f>
        <v>265.906531019818</v>
      </c>
      <c r="F77" s="16" t="n">
        <f aca="false">IF(COUNTIFS(Sch_n,F$5,Sch_bmax,"&gt;="&amp;($A77-0.000000001))&gt;0,_xlfn.MAXIFS(Sch_P0,Sch_n,F$5,Sch_bmax,"&gt;="&amp;($A77-0.000000001))-Beta_y*$A77,"")</f>
        <v>196.33511914069</v>
      </c>
      <c r="G77" s="16" t="n">
        <f aca="false">IF(COUNTIFS(Sch_n,G$5,Sch_bmax,"&gt;="&amp;($A77-0.000000001))&gt;0,_xlfn.MAXIFS(Sch_P0,Sch_n,G$5,Sch_bmax,"&gt;="&amp;($A77-0.000000001))-Beta_y*$A77,"")</f>
        <v>122.276139517634</v>
      </c>
      <c r="H77" s="16" t="n">
        <f aca="false">IF(COUNTIFS(Sch_n,H$5,Sch_bmax,"&gt;="&amp;($A77-0.000000001))&gt;0,_xlfn.MAXIFS(Sch_P0,Sch_n,H$5,Sch_bmax,"&gt;="&amp;($A77-0.000000001))-Beta_y*$A77,"")</f>
        <v>42.0460486542659</v>
      </c>
      <c r="J77" s="15" t="n">
        <f aca="false">IF(ISNUMBER(B77),1,0)</f>
        <v>1</v>
      </c>
      <c r="K77" s="15" t="n">
        <f aca="false">IF(ISNUMBER(C77),1,0)</f>
        <v>1</v>
      </c>
      <c r="L77" s="15" t="n">
        <f aca="false">IF(ISNUMBER(D77),1,0)</f>
        <v>1</v>
      </c>
      <c r="M77" s="15" t="n">
        <f aca="false">IF(ISNUMBER(E77),1,0)</f>
        <v>1</v>
      </c>
      <c r="N77" s="15" t="n">
        <f aca="false">IF(ISNUMBER(F77),1,0)</f>
        <v>1</v>
      </c>
      <c r="O77" s="15" t="n">
        <f aca="false">IF(ISNUMBER(G77),1,0)</f>
        <v>1</v>
      </c>
      <c r="P77" s="15" t="n">
        <f aca="false">IF(ISNUMBER(H77),1,0)</f>
        <v>1</v>
      </c>
      <c r="R77" s="15" t="n">
        <f aca="false">IF(J77=1,_xlfn.MINIFS(Sch_idx,Sch_n,B$5,Sch_bmax,"&gt;="&amp;($A77-0.000000001),Sch_P0,"&gt;="&amp;(B77+Beta_y*$A77-0.000000001)),"")</f>
        <v>0</v>
      </c>
      <c r="S77" s="15" t="n">
        <f aca="false">IF(K77=1,_xlfn.MINIFS(Sch_idx,Sch_n,C$5,Sch_bmax,"&gt;="&amp;($A77-0.000000001),Sch_P0,"&gt;="&amp;(C77+Beta_y*$A77-0.000000001)),"")</f>
        <v>32</v>
      </c>
      <c r="T77" s="15" t="n">
        <f aca="false">IF(L77=1,_xlfn.MINIFS(Sch_idx,Sch_n,D$5,Sch_bmax,"&gt;="&amp;($A77-0.000000001),Sch_P0,"&gt;="&amp;(D77+Beta_y*$A77-0.000000001)),"")</f>
        <v>48</v>
      </c>
      <c r="U77" s="15" t="n">
        <f aca="false">IF(M77=1,_xlfn.MINIFS(Sch_idx,Sch_n,E$5,Sch_bmax,"&gt;="&amp;($A77-0.000000001),Sch_P0,"&gt;="&amp;(E77+Beta_y*$A77-0.000000001)),"")</f>
        <v>56</v>
      </c>
      <c r="V77" s="15" t="n">
        <f aca="false">IF(N77=1,_xlfn.MINIFS(Sch_idx,Sch_n,F$5,Sch_bmax,"&gt;="&amp;($A77-0.000000001),Sch_P0,"&gt;="&amp;(F77+Beta_y*$A77-0.000000001)),"")</f>
        <v>57</v>
      </c>
      <c r="W77" s="15" t="n">
        <f aca="false">IF(O77=1,_xlfn.MINIFS(Sch_idx,Sch_n,G$5,Sch_bmax,"&gt;="&amp;($A77-0.000000001),Sch_P0,"&gt;="&amp;(G77+Beta_y*$A77-0.000000001)),"")</f>
        <v>59</v>
      </c>
      <c r="X77" s="15" t="n">
        <f aca="false">IF(P77=1,_xlfn.MINIFS(Sch_idx,Sch_n,H$5,Sch_bmax,"&gt;="&amp;($A77-0.000000001),Sch_P0,"&gt;="&amp;(H77+Beta_y*$A77-0.000000001)),"")</f>
        <v>63</v>
      </c>
      <c r="Z77" s="15" t="n">
        <f aca="false">IF(J77=1,IF(COUNTIFS(K77:$P77,1,C77:$H77,"&gt;="&amp;(B77-0.000000001))&gt;0,0,1),"")</f>
        <v>0</v>
      </c>
      <c r="AA77" s="15" t="n">
        <f aca="false">IF(K77=1,IF(COUNTIFS(L77:$P77,1,D77:$H77,"&gt;="&amp;(C77-0.000000001))&gt;0,0,1),"")</f>
        <v>0</v>
      </c>
      <c r="AB77" s="15" t="n">
        <f aca="false">IF(L77=1,IF(COUNTIFS(M77:$P77,1,E77:$H77,"&gt;="&amp;(D77-0.000000001))&gt;0,0,1),"")</f>
        <v>1</v>
      </c>
      <c r="AC77" s="15" t="n">
        <f aca="false">IF(M77=1,IF(COUNTIFS(N77:$P77,1,F77:$H77,"&gt;="&amp;(E77-0.000000001))&gt;0,0,1),"")</f>
        <v>1</v>
      </c>
      <c r="AD77" s="15" t="n">
        <f aca="false">IF(N77=1,IF(COUNTIFS(O77:$P77,1,G77:$H77,"&gt;="&amp;(F77-0.000000001))&gt;0,0,1),"")</f>
        <v>1</v>
      </c>
      <c r="AE77" s="15" t="n">
        <f aca="false">IF(O77=1,IF(COUNTIFS(P77:$P77,1,H77:$H77,"&gt;="&amp;(G77-0.000000001))&gt;0,0,1),"")</f>
        <v>1</v>
      </c>
      <c r="AF77" s="15" t="n">
        <f aca="false">IF(P77=1,1,"")</f>
        <v>1</v>
      </c>
    </row>
    <row r="78" customFormat="false" ht="15" hidden="false" customHeight="false" outlineLevel="0" collapsed="false">
      <c r="A78" s="2" t="n">
        <v>72</v>
      </c>
      <c r="B78" s="16" t="n">
        <f aca="false">IF(COUNTIFS(Sch_n,B$5,Sch_bmax,"&gt;="&amp;($A78-0.000000001))&gt;0,_xlfn.MAXIFS(Sch_P0,Sch_n,B$5,Sch_bmax,"&gt;="&amp;($A78-0.000000001))-Beta_y*$A78,"")</f>
        <v>70.9090909090909</v>
      </c>
      <c r="C78" s="16" t="n">
        <f aca="false">IF(COUNTIFS(Sch_n,C$5,Sch_bmax,"&gt;="&amp;($A78-0.000000001))&gt;0,_xlfn.MAXIFS(Sch_P0,Sch_n,C$5,Sch_bmax,"&gt;="&amp;($A78-0.000000001))-Beta_y*$A78,"")</f>
        <v>305.218098614725</v>
      </c>
      <c r="D78" s="16" t="n">
        <f aca="false">IF(COUNTIFS(Sch_n,D$5,Sch_bmax,"&gt;="&amp;($A78-0.000000001))&gt;0,_xlfn.MAXIFS(Sch_P0,Sch_n,D$5,Sch_bmax,"&gt;="&amp;($A78-0.000000001))-Beta_y*$A78,"")</f>
        <v>318.718790942</v>
      </c>
      <c r="E78" s="16" t="n">
        <f aca="false">IF(COUNTIFS(Sch_n,E$5,Sch_bmax,"&gt;="&amp;($A78-0.000000001))&gt;0,_xlfn.MAXIFS(Sch_P0,Sch_n,E$5,Sch_bmax,"&gt;="&amp;($A78-0.000000001))-Beta_y*$A78,"")</f>
        <v>264.997440110727</v>
      </c>
      <c r="F78" s="16" t="n">
        <f aca="false">IF(COUNTIFS(Sch_n,F$5,Sch_bmax,"&gt;="&amp;($A78-0.000000001))&gt;0,_xlfn.MAXIFS(Sch_P0,Sch_n,F$5,Sch_bmax,"&gt;="&amp;($A78-0.000000001))-Beta_y*$A78,"")</f>
        <v>195.426028231599</v>
      </c>
      <c r="G78" s="16" t="n">
        <f aca="false">IF(COUNTIFS(Sch_n,G$5,Sch_bmax,"&gt;="&amp;($A78-0.000000001))&gt;0,_xlfn.MAXIFS(Sch_P0,Sch_n,G$5,Sch_bmax,"&gt;="&amp;($A78-0.000000001))-Beta_y*$A78,"")</f>
        <v>121.367048608544</v>
      </c>
      <c r="H78" s="16" t="n">
        <f aca="false">IF(COUNTIFS(Sch_n,H$5,Sch_bmax,"&gt;="&amp;($A78-0.000000001))&gt;0,_xlfn.MAXIFS(Sch_P0,Sch_n,H$5,Sch_bmax,"&gt;="&amp;($A78-0.000000001))-Beta_y*$A78,"")</f>
        <v>41.136957745175</v>
      </c>
      <c r="J78" s="15" t="n">
        <f aca="false">IF(ISNUMBER(B78),1,0)</f>
        <v>1</v>
      </c>
      <c r="K78" s="15" t="n">
        <f aca="false">IF(ISNUMBER(C78),1,0)</f>
        <v>1</v>
      </c>
      <c r="L78" s="15" t="n">
        <f aca="false">IF(ISNUMBER(D78),1,0)</f>
        <v>1</v>
      </c>
      <c r="M78" s="15" t="n">
        <f aca="false">IF(ISNUMBER(E78),1,0)</f>
        <v>1</v>
      </c>
      <c r="N78" s="15" t="n">
        <f aca="false">IF(ISNUMBER(F78),1,0)</f>
        <v>1</v>
      </c>
      <c r="O78" s="15" t="n">
        <f aca="false">IF(ISNUMBER(G78),1,0)</f>
        <v>1</v>
      </c>
      <c r="P78" s="15" t="n">
        <f aca="false">IF(ISNUMBER(H78),1,0)</f>
        <v>1</v>
      </c>
      <c r="R78" s="15" t="n">
        <f aca="false">IF(J78=1,_xlfn.MINIFS(Sch_idx,Sch_n,B$5,Sch_bmax,"&gt;="&amp;($A78-0.000000001),Sch_P0,"&gt;="&amp;(B78+Beta_y*$A78-0.000000001)),"")</f>
        <v>0</v>
      </c>
      <c r="S78" s="15" t="n">
        <f aca="false">IF(K78=1,_xlfn.MINIFS(Sch_idx,Sch_n,C$5,Sch_bmax,"&gt;="&amp;($A78-0.000000001),Sch_P0,"&gt;="&amp;(C78+Beta_y*$A78-0.000000001)),"")</f>
        <v>32</v>
      </c>
      <c r="T78" s="15" t="n">
        <f aca="false">IF(L78=1,_xlfn.MINIFS(Sch_idx,Sch_n,D$5,Sch_bmax,"&gt;="&amp;($A78-0.000000001),Sch_P0,"&gt;="&amp;(D78+Beta_y*$A78-0.000000001)),"")</f>
        <v>48</v>
      </c>
      <c r="U78" s="15" t="n">
        <f aca="false">IF(M78=1,_xlfn.MINIFS(Sch_idx,Sch_n,E$5,Sch_bmax,"&gt;="&amp;($A78-0.000000001),Sch_P0,"&gt;="&amp;(E78+Beta_y*$A78-0.000000001)),"")</f>
        <v>56</v>
      </c>
      <c r="V78" s="15" t="n">
        <f aca="false">IF(N78=1,_xlfn.MINIFS(Sch_idx,Sch_n,F$5,Sch_bmax,"&gt;="&amp;($A78-0.000000001),Sch_P0,"&gt;="&amp;(F78+Beta_y*$A78-0.000000001)),"")</f>
        <v>57</v>
      </c>
      <c r="W78" s="15" t="n">
        <f aca="false">IF(O78=1,_xlfn.MINIFS(Sch_idx,Sch_n,G$5,Sch_bmax,"&gt;="&amp;($A78-0.000000001),Sch_P0,"&gt;="&amp;(G78+Beta_y*$A78-0.000000001)),"")</f>
        <v>59</v>
      </c>
      <c r="X78" s="15" t="n">
        <f aca="false">IF(P78=1,_xlfn.MINIFS(Sch_idx,Sch_n,H$5,Sch_bmax,"&gt;="&amp;($A78-0.000000001),Sch_P0,"&gt;="&amp;(H78+Beta_y*$A78-0.000000001)),"")</f>
        <v>63</v>
      </c>
      <c r="Z78" s="15" t="n">
        <f aca="false">IF(J78=1,IF(COUNTIFS(K78:$P78,1,C78:$H78,"&gt;="&amp;(B78-0.000000001))&gt;0,0,1),"")</f>
        <v>0</v>
      </c>
      <c r="AA78" s="15" t="n">
        <f aca="false">IF(K78=1,IF(COUNTIFS(L78:$P78,1,D78:$H78,"&gt;="&amp;(C78-0.000000001))&gt;0,0,1),"")</f>
        <v>0</v>
      </c>
      <c r="AB78" s="15" t="n">
        <f aca="false">IF(L78=1,IF(COUNTIFS(M78:$P78,1,E78:$H78,"&gt;="&amp;(D78-0.000000001))&gt;0,0,1),"")</f>
        <v>1</v>
      </c>
      <c r="AC78" s="15" t="n">
        <f aca="false">IF(M78=1,IF(COUNTIFS(N78:$P78,1,F78:$H78,"&gt;="&amp;(E78-0.000000001))&gt;0,0,1),"")</f>
        <v>1</v>
      </c>
      <c r="AD78" s="15" t="n">
        <f aca="false">IF(N78=1,IF(COUNTIFS(O78:$P78,1,G78:$H78,"&gt;="&amp;(F78-0.000000001))&gt;0,0,1),"")</f>
        <v>1</v>
      </c>
      <c r="AE78" s="15" t="n">
        <f aca="false">IF(O78=1,IF(COUNTIFS(P78:$P78,1,H78:$H78,"&gt;="&amp;(G78-0.000000001))&gt;0,0,1),"")</f>
        <v>1</v>
      </c>
      <c r="AF78" s="15" t="n">
        <f aca="false">IF(P78=1,1,"")</f>
        <v>1</v>
      </c>
    </row>
    <row r="79" customFormat="false" ht="15" hidden="false" customHeight="false" outlineLevel="0" collapsed="false">
      <c r="A79" s="2" t="n">
        <v>73</v>
      </c>
      <c r="B79" s="16" t="n">
        <f aca="false">IF(COUNTIFS(Sch_n,B$5,Sch_bmax,"&gt;="&amp;($A79-0.000000001))&gt;0,_xlfn.MAXIFS(Sch_P0,Sch_n,B$5,Sch_bmax,"&gt;="&amp;($A79-0.000000001))-Beta_y*$A79,"")</f>
        <v>70</v>
      </c>
      <c r="C79" s="16" t="n">
        <f aca="false">IF(COUNTIFS(Sch_n,C$5,Sch_bmax,"&gt;="&amp;($A79-0.000000001))&gt;0,_xlfn.MAXIFS(Sch_P0,Sch_n,C$5,Sch_bmax,"&gt;="&amp;($A79-0.000000001))-Beta_y*$A79,"")</f>
        <v>304.309007705634</v>
      </c>
      <c r="D79" s="16" t="n">
        <f aca="false">IF(COUNTIFS(Sch_n,D$5,Sch_bmax,"&gt;="&amp;($A79-0.000000001))&gt;0,_xlfn.MAXIFS(Sch_P0,Sch_n,D$5,Sch_bmax,"&gt;="&amp;($A79-0.000000001))-Beta_y*$A79,"")</f>
        <v>317.809700032909</v>
      </c>
      <c r="E79" s="16" t="n">
        <f aca="false">IF(COUNTIFS(Sch_n,E$5,Sch_bmax,"&gt;="&amp;($A79-0.000000001))&gt;0,_xlfn.MAXIFS(Sch_P0,Sch_n,E$5,Sch_bmax,"&gt;="&amp;($A79-0.000000001))-Beta_y*$A79,"")</f>
        <v>264.088349201636</v>
      </c>
      <c r="F79" s="16" t="n">
        <f aca="false">IF(COUNTIFS(Sch_n,F$5,Sch_bmax,"&gt;="&amp;($A79-0.000000001))&gt;0,_xlfn.MAXIFS(Sch_P0,Sch_n,F$5,Sch_bmax,"&gt;="&amp;($A79-0.000000001))-Beta_y*$A79,"")</f>
        <v>194.516937322508</v>
      </c>
      <c r="G79" s="16" t="n">
        <f aca="false">IF(COUNTIFS(Sch_n,G$5,Sch_bmax,"&gt;="&amp;($A79-0.000000001))&gt;0,_xlfn.MAXIFS(Sch_P0,Sch_n,G$5,Sch_bmax,"&gt;="&amp;($A79-0.000000001))-Beta_y*$A79,"")</f>
        <v>120.457957699453</v>
      </c>
      <c r="H79" s="16" t="n">
        <f aca="false">IF(COUNTIFS(Sch_n,H$5,Sch_bmax,"&gt;="&amp;($A79-0.000000001))&gt;0,_xlfn.MAXIFS(Sch_P0,Sch_n,H$5,Sch_bmax,"&gt;="&amp;($A79-0.000000001))-Beta_y*$A79,"")</f>
        <v>40.2278668360841</v>
      </c>
      <c r="J79" s="15" t="n">
        <f aca="false">IF(ISNUMBER(B79),1,0)</f>
        <v>1</v>
      </c>
      <c r="K79" s="15" t="n">
        <f aca="false">IF(ISNUMBER(C79),1,0)</f>
        <v>1</v>
      </c>
      <c r="L79" s="15" t="n">
        <f aca="false">IF(ISNUMBER(D79),1,0)</f>
        <v>1</v>
      </c>
      <c r="M79" s="15" t="n">
        <f aca="false">IF(ISNUMBER(E79),1,0)</f>
        <v>1</v>
      </c>
      <c r="N79" s="15" t="n">
        <f aca="false">IF(ISNUMBER(F79),1,0)</f>
        <v>1</v>
      </c>
      <c r="O79" s="15" t="n">
        <f aca="false">IF(ISNUMBER(G79),1,0)</f>
        <v>1</v>
      </c>
      <c r="P79" s="15" t="n">
        <f aca="false">IF(ISNUMBER(H79),1,0)</f>
        <v>1</v>
      </c>
      <c r="R79" s="15" t="n">
        <f aca="false">IF(J79=1,_xlfn.MINIFS(Sch_idx,Sch_n,B$5,Sch_bmax,"&gt;="&amp;($A79-0.000000001),Sch_P0,"&gt;="&amp;(B79+Beta_y*$A79-0.000000001)),"")</f>
        <v>0</v>
      </c>
      <c r="S79" s="15" t="n">
        <f aca="false">IF(K79=1,_xlfn.MINIFS(Sch_idx,Sch_n,C$5,Sch_bmax,"&gt;="&amp;($A79-0.000000001),Sch_P0,"&gt;="&amp;(C79+Beta_y*$A79-0.000000001)),"")</f>
        <v>32</v>
      </c>
      <c r="T79" s="15" t="n">
        <f aca="false">IF(L79=1,_xlfn.MINIFS(Sch_idx,Sch_n,D$5,Sch_bmax,"&gt;="&amp;($A79-0.000000001),Sch_P0,"&gt;="&amp;(D79+Beta_y*$A79-0.000000001)),"")</f>
        <v>48</v>
      </c>
      <c r="U79" s="15" t="n">
        <f aca="false">IF(M79=1,_xlfn.MINIFS(Sch_idx,Sch_n,E$5,Sch_bmax,"&gt;="&amp;($A79-0.000000001),Sch_P0,"&gt;="&amp;(E79+Beta_y*$A79-0.000000001)),"")</f>
        <v>56</v>
      </c>
      <c r="V79" s="15" t="n">
        <f aca="false">IF(N79=1,_xlfn.MINIFS(Sch_idx,Sch_n,F$5,Sch_bmax,"&gt;="&amp;($A79-0.000000001),Sch_P0,"&gt;="&amp;(F79+Beta_y*$A79-0.000000001)),"")</f>
        <v>57</v>
      </c>
      <c r="W79" s="15" t="n">
        <f aca="false">IF(O79=1,_xlfn.MINIFS(Sch_idx,Sch_n,G$5,Sch_bmax,"&gt;="&amp;($A79-0.000000001),Sch_P0,"&gt;="&amp;(G79+Beta_y*$A79-0.000000001)),"")</f>
        <v>59</v>
      </c>
      <c r="X79" s="15" t="n">
        <f aca="false">IF(P79=1,_xlfn.MINIFS(Sch_idx,Sch_n,H$5,Sch_bmax,"&gt;="&amp;($A79-0.000000001),Sch_P0,"&gt;="&amp;(H79+Beta_y*$A79-0.000000001)),"")</f>
        <v>63</v>
      </c>
      <c r="Z79" s="15" t="n">
        <f aca="false">IF(J79=1,IF(COUNTIFS(K79:$P79,1,C79:$H79,"&gt;="&amp;(B79-0.000000001))&gt;0,0,1),"")</f>
        <v>0</v>
      </c>
      <c r="AA79" s="15" t="n">
        <f aca="false">IF(K79=1,IF(COUNTIFS(L79:$P79,1,D79:$H79,"&gt;="&amp;(C79-0.000000001))&gt;0,0,1),"")</f>
        <v>0</v>
      </c>
      <c r="AB79" s="15" t="n">
        <f aca="false">IF(L79=1,IF(COUNTIFS(M79:$P79,1,E79:$H79,"&gt;="&amp;(D79-0.000000001))&gt;0,0,1),"")</f>
        <v>1</v>
      </c>
      <c r="AC79" s="15" t="n">
        <f aca="false">IF(M79=1,IF(COUNTIFS(N79:$P79,1,F79:$H79,"&gt;="&amp;(E79-0.000000001))&gt;0,0,1),"")</f>
        <v>1</v>
      </c>
      <c r="AD79" s="15" t="n">
        <f aca="false">IF(N79=1,IF(COUNTIFS(O79:$P79,1,G79:$H79,"&gt;="&amp;(F79-0.000000001))&gt;0,0,1),"")</f>
        <v>1</v>
      </c>
      <c r="AE79" s="15" t="n">
        <f aca="false">IF(O79=1,IF(COUNTIFS(P79:$P79,1,H79:$H79,"&gt;="&amp;(G79-0.000000001))&gt;0,0,1),"")</f>
        <v>1</v>
      </c>
      <c r="AF79" s="15" t="n">
        <f aca="false">IF(P79=1,1,"")</f>
        <v>1</v>
      </c>
    </row>
    <row r="80" customFormat="false" ht="15" hidden="false" customHeight="false" outlineLevel="0" collapsed="false">
      <c r="A80" s="2" t="n">
        <v>74</v>
      </c>
      <c r="B80" s="16" t="n">
        <f aca="false">IF(COUNTIFS(Sch_n,B$5,Sch_bmax,"&gt;="&amp;($A80-0.000000001))&gt;0,_xlfn.MAXIFS(Sch_P0,Sch_n,B$5,Sch_bmax,"&gt;="&amp;($A80-0.000000001))-Beta_y*$A80,"")</f>
        <v>69.0909090909091</v>
      </c>
      <c r="C80" s="16" t="n">
        <f aca="false">IF(COUNTIFS(Sch_n,C$5,Sch_bmax,"&gt;="&amp;($A80-0.000000001))&gt;0,_xlfn.MAXIFS(Sch_P0,Sch_n,C$5,Sch_bmax,"&gt;="&amp;($A80-0.000000001))-Beta_y*$A80,"")</f>
        <v>303.399916796543</v>
      </c>
      <c r="D80" s="16" t="n">
        <f aca="false">IF(COUNTIFS(Sch_n,D$5,Sch_bmax,"&gt;="&amp;($A80-0.000000001))&gt;0,_xlfn.MAXIFS(Sch_P0,Sch_n,D$5,Sch_bmax,"&gt;="&amp;($A80-0.000000001))-Beta_y*$A80,"")</f>
        <v>316.900609123818</v>
      </c>
      <c r="E80" s="16" t="n">
        <f aca="false">IF(COUNTIFS(Sch_n,E$5,Sch_bmax,"&gt;="&amp;($A80-0.000000001))&gt;0,_xlfn.MAXIFS(Sch_P0,Sch_n,E$5,Sch_bmax,"&gt;="&amp;($A80-0.000000001))-Beta_y*$A80,"")</f>
        <v>263.179258292545</v>
      </c>
      <c r="F80" s="16" t="n">
        <f aca="false">IF(COUNTIFS(Sch_n,F$5,Sch_bmax,"&gt;="&amp;($A80-0.000000001))&gt;0,_xlfn.MAXIFS(Sch_P0,Sch_n,F$5,Sch_bmax,"&gt;="&amp;($A80-0.000000001))-Beta_y*$A80,"")</f>
        <v>193.607846413417</v>
      </c>
      <c r="G80" s="16" t="n">
        <f aca="false">IF(COUNTIFS(Sch_n,G$5,Sch_bmax,"&gt;="&amp;($A80-0.000000001))&gt;0,_xlfn.MAXIFS(Sch_P0,Sch_n,G$5,Sch_bmax,"&gt;="&amp;($A80-0.000000001))-Beta_y*$A80,"")</f>
        <v>119.548866790362</v>
      </c>
      <c r="H80" s="16" t="n">
        <f aca="false">IF(COUNTIFS(Sch_n,H$5,Sch_bmax,"&gt;="&amp;($A80-0.000000001))&gt;0,_xlfn.MAXIFS(Sch_P0,Sch_n,H$5,Sch_bmax,"&gt;="&amp;($A80-0.000000001))-Beta_y*$A80,"")</f>
        <v>39.3187759269932</v>
      </c>
      <c r="J80" s="15" t="n">
        <f aca="false">IF(ISNUMBER(B80),1,0)</f>
        <v>1</v>
      </c>
      <c r="K80" s="15" t="n">
        <f aca="false">IF(ISNUMBER(C80),1,0)</f>
        <v>1</v>
      </c>
      <c r="L80" s="15" t="n">
        <f aca="false">IF(ISNUMBER(D80),1,0)</f>
        <v>1</v>
      </c>
      <c r="M80" s="15" t="n">
        <f aca="false">IF(ISNUMBER(E80),1,0)</f>
        <v>1</v>
      </c>
      <c r="N80" s="15" t="n">
        <f aca="false">IF(ISNUMBER(F80),1,0)</f>
        <v>1</v>
      </c>
      <c r="O80" s="15" t="n">
        <f aca="false">IF(ISNUMBER(G80),1,0)</f>
        <v>1</v>
      </c>
      <c r="P80" s="15" t="n">
        <f aca="false">IF(ISNUMBER(H80),1,0)</f>
        <v>1</v>
      </c>
      <c r="R80" s="15" t="n">
        <f aca="false">IF(J80=1,_xlfn.MINIFS(Sch_idx,Sch_n,B$5,Sch_bmax,"&gt;="&amp;($A80-0.000000001),Sch_P0,"&gt;="&amp;(B80+Beta_y*$A80-0.000000001)),"")</f>
        <v>0</v>
      </c>
      <c r="S80" s="15" t="n">
        <f aca="false">IF(K80=1,_xlfn.MINIFS(Sch_idx,Sch_n,C$5,Sch_bmax,"&gt;="&amp;($A80-0.000000001),Sch_P0,"&gt;="&amp;(C80+Beta_y*$A80-0.000000001)),"")</f>
        <v>32</v>
      </c>
      <c r="T80" s="15" t="n">
        <f aca="false">IF(L80=1,_xlfn.MINIFS(Sch_idx,Sch_n,D$5,Sch_bmax,"&gt;="&amp;($A80-0.000000001),Sch_P0,"&gt;="&amp;(D80+Beta_y*$A80-0.000000001)),"")</f>
        <v>48</v>
      </c>
      <c r="U80" s="15" t="n">
        <f aca="false">IF(M80=1,_xlfn.MINIFS(Sch_idx,Sch_n,E$5,Sch_bmax,"&gt;="&amp;($A80-0.000000001),Sch_P0,"&gt;="&amp;(E80+Beta_y*$A80-0.000000001)),"")</f>
        <v>56</v>
      </c>
      <c r="V80" s="15" t="n">
        <f aca="false">IF(N80=1,_xlfn.MINIFS(Sch_idx,Sch_n,F$5,Sch_bmax,"&gt;="&amp;($A80-0.000000001),Sch_P0,"&gt;="&amp;(F80+Beta_y*$A80-0.000000001)),"")</f>
        <v>57</v>
      </c>
      <c r="W80" s="15" t="n">
        <f aca="false">IF(O80=1,_xlfn.MINIFS(Sch_idx,Sch_n,G$5,Sch_bmax,"&gt;="&amp;($A80-0.000000001),Sch_P0,"&gt;="&amp;(G80+Beta_y*$A80-0.000000001)),"")</f>
        <v>59</v>
      </c>
      <c r="X80" s="15" t="n">
        <f aca="false">IF(P80=1,_xlfn.MINIFS(Sch_idx,Sch_n,H$5,Sch_bmax,"&gt;="&amp;($A80-0.000000001),Sch_P0,"&gt;="&amp;(H80+Beta_y*$A80-0.000000001)),"")</f>
        <v>63</v>
      </c>
      <c r="Z80" s="15" t="n">
        <f aca="false">IF(J80=1,IF(COUNTIFS(K80:$P80,1,C80:$H80,"&gt;="&amp;(B80-0.000000001))&gt;0,0,1),"")</f>
        <v>0</v>
      </c>
      <c r="AA80" s="15" t="n">
        <f aca="false">IF(K80=1,IF(COUNTIFS(L80:$P80,1,D80:$H80,"&gt;="&amp;(C80-0.000000001))&gt;0,0,1),"")</f>
        <v>0</v>
      </c>
      <c r="AB80" s="15" t="n">
        <f aca="false">IF(L80=1,IF(COUNTIFS(M80:$P80,1,E80:$H80,"&gt;="&amp;(D80-0.000000001))&gt;0,0,1),"")</f>
        <v>1</v>
      </c>
      <c r="AC80" s="15" t="n">
        <f aca="false">IF(M80=1,IF(COUNTIFS(N80:$P80,1,F80:$H80,"&gt;="&amp;(E80-0.000000001))&gt;0,0,1),"")</f>
        <v>1</v>
      </c>
      <c r="AD80" s="15" t="n">
        <f aca="false">IF(N80=1,IF(COUNTIFS(O80:$P80,1,G80:$H80,"&gt;="&amp;(F80-0.000000001))&gt;0,0,1),"")</f>
        <v>1</v>
      </c>
      <c r="AE80" s="15" t="n">
        <f aca="false">IF(O80=1,IF(COUNTIFS(P80:$P80,1,H80:$H80,"&gt;="&amp;(G80-0.000000001))&gt;0,0,1),"")</f>
        <v>1</v>
      </c>
      <c r="AF80" s="15" t="n">
        <f aca="false">IF(P80=1,1,"")</f>
        <v>1</v>
      </c>
    </row>
    <row r="81" customFormat="false" ht="15" hidden="false" customHeight="false" outlineLevel="0" collapsed="false">
      <c r="A81" s="2" t="n">
        <v>75</v>
      </c>
      <c r="B81" s="16" t="n">
        <f aca="false">IF(COUNTIFS(Sch_n,B$5,Sch_bmax,"&gt;="&amp;($A81-0.000000001))&gt;0,_xlfn.MAXIFS(Sch_P0,Sch_n,B$5,Sch_bmax,"&gt;="&amp;($A81-0.000000001))-Beta_y*$A81,"")</f>
        <v>68.1818181818182</v>
      </c>
      <c r="C81" s="16" t="n">
        <f aca="false">IF(COUNTIFS(Sch_n,C$5,Sch_bmax,"&gt;="&amp;($A81-0.000000001))&gt;0,_xlfn.MAXIFS(Sch_P0,Sch_n,C$5,Sch_bmax,"&gt;="&amp;($A81-0.000000001))-Beta_y*$A81,"")</f>
        <v>302.490825887452</v>
      </c>
      <c r="D81" s="16" t="n">
        <f aca="false">IF(COUNTIFS(Sch_n,D$5,Sch_bmax,"&gt;="&amp;($A81-0.000000001))&gt;0,_xlfn.MAXIFS(Sch_P0,Sch_n,D$5,Sch_bmax,"&gt;="&amp;($A81-0.000000001))-Beta_y*$A81,"")</f>
        <v>315.991518214727</v>
      </c>
      <c r="E81" s="16" t="n">
        <f aca="false">IF(COUNTIFS(Sch_n,E$5,Sch_bmax,"&gt;="&amp;($A81-0.000000001))&gt;0,_xlfn.MAXIFS(Sch_P0,Sch_n,E$5,Sch_bmax,"&gt;="&amp;($A81-0.000000001))-Beta_y*$A81,"")</f>
        <v>262.270167383454</v>
      </c>
      <c r="F81" s="16" t="n">
        <f aca="false">IF(COUNTIFS(Sch_n,F$5,Sch_bmax,"&gt;="&amp;($A81-0.000000001))&gt;0,_xlfn.MAXIFS(Sch_P0,Sch_n,F$5,Sch_bmax,"&gt;="&amp;($A81-0.000000001))-Beta_y*$A81,"")</f>
        <v>192.698755504326</v>
      </c>
      <c r="G81" s="16" t="n">
        <f aca="false">IF(COUNTIFS(Sch_n,G$5,Sch_bmax,"&gt;="&amp;($A81-0.000000001))&gt;0,_xlfn.MAXIFS(Sch_P0,Sch_n,G$5,Sch_bmax,"&gt;="&amp;($A81-0.000000001))-Beta_y*$A81,"")</f>
        <v>118.639775881271</v>
      </c>
      <c r="H81" s="16" t="n">
        <f aca="false">IF(COUNTIFS(Sch_n,H$5,Sch_bmax,"&gt;="&amp;($A81-0.000000001))&gt;0,_xlfn.MAXIFS(Sch_P0,Sch_n,H$5,Sch_bmax,"&gt;="&amp;($A81-0.000000001))-Beta_y*$A81,"")</f>
        <v>38.4096850179023</v>
      </c>
      <c r="J81" s="15" t="n">
        <f aca="false">IF(ISNUMBER(B81),1,0)</f>
        <v>1</v>
      </c>
      <c r="K81" s="15" t="n">
        <f aca="false">IF(ISNUMBER(C81),1,0)</f>
        <v>1</v>
      </c>
      <c r="L81" s="15" t="n">
        <f aca="false">IF(ISNUMBER(D81),1,0)</f>
        <v>1</v>
      </c>
      <c r="M81" s="15" t="n">
        <f aca="false">IF(ISNUMBER(E81),1,0)</f>
        <v>1</v>
      </c>
      <c r="N81" s="15" t="n">
        <f aca="false">IF(ISNUMBER(F81),1,0)</f>
        <v>1</v>
      </c>
      <c r="O81" s="15" t="n">
        <f aca="false">IF(ISNUMBER(G81),1,0)</f>
        <v>1</v>
      </c>
      <c r="P81" s="15" t="n">
        <f aca="false">IF(ISNUMBER(H81),1,0)</f>
        <v>1</v>
      </c>
      <c r="R81" s="15" t="n">
        <f aca="false">IF(J81=1,_xlfn.MINIFS(Sch_idx,Sch_n,B$5,Sch_bmax,"&gt;="&amp;($A81-0.000000001),Sch_P0,"&gt;="&amp;(B81+Beta_y*$A81-0.000000001)),"")</f>
        <v>0</v>
      </c>
      <c r="S81" s="15" t="n">
        <f aca="false">IF(K81=1,_xlfn.MINIFS(Sch_idx,Sch_n,C$5,Sch_bmax,"&gt;="&amp;($A81-0.000000001),Sch_P0,"&gt;="&amp;(C81+Beta_y*$A81-0.000000001)),"")</f>
        <v>32</v>
      </c>
      <c r="T81" s="15" t="n">
        <f aca="false">IF(L81=1,_xlfn.MINIFS(Sch_idx,Sch_n,D$5,Sch_bmax,"&gt;="&amp;($A81-0.000000001),Sch_P0,"&gt;="&amp;(D81+Beta_y*$A81-0.000000001)),"")</f>
        <v>48</v>
      </c>
      <c r="U81" s="15" t="n">
        <f aca="false">IF(M81=1,_xlfn.MINIFS(Sch_idx,Sch_n,E$5,Sch_bmax,"&gt;="&amp;($A81-0.000000001),Sch_P0,"&gt;="&amp;(E81+Beta_y*$A81-0.000000001)),"")</f>
        <v>56</v>
      </c>
      <c r="V81" s="15" t="n">
        <f aca="false">IF(N81=1,_xlfn.MINIFS(Sch_idx,Sch_n,F$5,Sch_bmax,"&gt;="&amp;($A81-0.000000001),Sch_P0,"&gt;="&amp;(F81+Beta_y*$A81-0.000000001)),"")</f>
        <v>57</v>
      </c>
      <c r="W81" s="15" t="n">
        <f aca="false">IF(O81=1,_xlfn.MINIFS(Sch_idx,Sch_n,G$5,Sch_bmax,"&gt;="&amp;($A81-0.000000001),Sch_P0,"&gt;="&amp;(G81+Beta_y*$A81-0.000000001)),"")</f>
        <v>59</v>
      </c>
      <c r="X81" s="15" t="n">
        <f aca="false">IF(P81=1,_xlfn.MINIFS(Sch_idx,Sch_n,H$5,Sch_bmax,"&gt;="&amp;($A81-0.000000001),Sch_P0,"&gt;="&amp;(H81+Beta_y*$A81-0.000000001)),"")</f>
        <v>63</v>
      </c>
      <c r="Z81" s="15" t="n">
        <f aca="false">IF(J81=1,IF(COUNTIFS(K81:$P81,1,C81:$H81,"&gt;="&amp;(B81-0.000000001))&gt;0,0,1),"")</f>
        <v>0</v>
      </c>
      <c r="AA81" s="15" t="n">
        <f aca="false">IF(K81=1,IF(COUNTIFS(L81:$P81,1,D81:$H81,"&gt;="&amp;(C81-0.000000001))&gt;0,0,1),"")</f>
        <v>0</v>
      </c>
      <c r="AB81" s="15" t="n">
        <f aca="false">IF(L81=1,IF(COUNTIFS(M81:$P81,1,E81:$H81,"&gt;="&amp;(D81-0.000000001))&gt;0,0,1),"")</f>
        <v>1</v>
      </c>
      <c r="AC81" s="15" t="n">
        <f aca="false">IF(M81=1,IF(COUNTIFS(N81:$P81,1,F81:$H81,"&gt;="&amp;(E81-0.000000001))&gt;0,0,1),"")</f>
        <v>1</v>
      </c>
      <c r="AD81" s="15" t="n">
        <f aca="false">IF(N81=1,IF(COUNTIFS(O81:$P81,1,G81:$H81,"&gt;="&amp;(F81-0.000000001))&gt;0,0,1),"")</f>
        <v>1</v>
      </c>
      <c r="AE81" s="15" t="n">
        <f aca="false">IF(O81=1,IF(COUNTIFS(P81:$P81,1,H81:$H81,"&gt;="&amp;(G81-0.000000001))&gt;0,0,1),"")</f>
        <v>1</v>
      </c>
      <c r="AF81" s="15" t="n">
        <f aca="false">IF(P81=1,1,"")</f>
        <v>1</v>
      </c>
    </row>
    <row r="82" customFormat="false" ht="15" hidden="false" customHeight="false" outlineLevel="0" collapsed="false">
      <c r="A82" s="2" t="n">
        <v>76</v>
      </c>
      <c r="B82" s="16" t="n">
        <f aca="false">IF(COUNTIFS(Sch_n,B$5,Sch_bmax,"&gt;="&amp;($A82-0.000000001))&gt;0,_xlfn.MAXIFS(Sch_P0,Sch_n,B$5,Sch_bmax,"&gt;="&amp;($A82-0.000000001))-Beta_y*$A82,"")</f>
        <v>67.2727272727273</v>
      </c>
      <c r="C82" s="16" t="n">
        <f aca="false">IF(COUNTIFS(Sch_n,C$5,Sch_bmax,"&gt;="&amp;($A82-0.000000001))&gt;0,_xlfn.MAXIFS(Sch_P0,Sch_n,C$5,Sch_bmax,"&gt;="&amp;($A82-0.000000001))-Beta_y*$A82,"")</f>
        <v>301.581734978361</v>
      </c>
      <c r="D82" s="16" t="n">
        <f aca="false">IF(COUNTIFS(Sch_n,D$5,Sch_bmax,"&gt;="&amp;($A82-0.000000001))&gt;0,_xlfn.MAXIFS(Sch_P0,Sch_n,D$5,Sch_bmax,"&gt;="&amp;($A82-0.000000001))-Beta_y*$A82,"")</f>
        <v>315.082427305636</v>
      </c>
      <c r="E82" s="16" t="n">
        <f aca="false">IF(COUNTIFS(Sch_n,E$5,Sch_bmax,"&gt;="&amp;($A82-0.000000001))&gt;0,_xlfn.MAXIFS(Sch_P0,Sch_n,E$5,Sch_bmax,"&gt;="&amp;($A82-0.000000001))-Beta_y*$A82,"")</f>
        <v>261.361076474364</v>
      </c>
      <c r="F82" s="16" t="n">
        <f aca="false">IF(COUNTIFS(Sch_n,F$5,Sch_bmax,"&gt;="&amp;($A82-0.000000001))&gt;0,_xlfn.MAXIFS(Sch_P0,Sch_n,F$5,Sch_bmax,"&gt;="&amp;($A82-0.000000001))-Beta_y*$A82,"")</f>
        <v>191.789664595236</v>
      </c>
      <c r="G82" s="16" t="n">
        <f aca="false">IF(COUNTIFS(Sch_n,G$5,Sch_bmax,"&gt;="&amp;($A82-0.000000001))&gt;0,_xlfn.MAXIFS(Sch_P0,Sch_n,G$5,Sch_bmax,"&gt;="&amp;($A82-0.000000001))-Beta_y*$A82,"")</f>
        <v>117.73068497218</v>
      </c>
      <c r="H82" s="16" t="n">
        <f aca="false">IF(COUNTIFS(Sch_n,H$5,Sch_bmax,"&gt;="&amp;($A82-0.000000001))&gt;0,_xlfn.MAXIFS(Sch_P0,Sch_n,H$5,Sch_bmax,"&gt;="&amp;($A82-0.000000001))-Beta_y*$A82,"")</f>
        <v>37.5005941088114</v>
      </c>
      <c r="J82" s="15" t="n">
        <f aca="false">IF(ISNUMBER(B82),1,0)</f>
        <v>1</v>
      </c>
      <c r="K82" s="15" t="n">
        <f aca="false">IF(ISNUMBER(C82),1,0)</f>
        <v>1</v>
      </c>
      <c r="L82" s="15" t="n">
        <f aca="false">IF(ISNUMBER(D82),1,0)</f>
        <v>1</v>
      </c>
      <c r="M82" s="15" t="n">
        <f aca="false">IF(ISNUMBER(E82),1,0)</f>
        <v>1</v>
      </c>
      <c r="N82" s="15" t="n">
        <f aca="false">IF(ISNUMBER(F82),1,0)</f>
        <v>1</v>
      </c>
      <c r="O82" s="15" t="n">
        <f aca="false">IF(ISNUMBER(G82),1,0)</f>
        <v>1</v>
      </c>
      <c r="P82" s="15" t="n">
        <f aca="false">IF(ISNUMBER(H82),1,0)</f>
        <v>1</v>
      </c>
      <c r="R82" s="15" t="n">
        <f aca="false">IF(J82=1,_xlfn.MINIFS(Sch_idx,Sch_n,B$5,Sch_bmax,"&gt;="&amp;($A82-0.000000001),Sch_P0,"&gt;="&amp;(B82+Beta_y*$A82-0.000000001)),"")</f>
        <v>0</v>
      </c>
      <c r="S82" s="15" t="n">
        <f aca="false">IF(K82=1,_xlfn.MINIFS(Sch_idx,Sch_n,C$5,Sch_bmax,"&gt;="&amp;($A82-0.000000001),Sch_P0,"&gt;="&amp;(C82+Beta_y*$A82-0.000000001)),"")</f>
        <v>32</v>
      </c>
      <c r="T82" s="15" t="n">
        <f aca="false">IF(L82=1,_xlfn.MINIFS(Sch_idx,Sch_n,D$5,Sch_bmax,"&gt;="&amp;($A82-0.000000001),Sch_P0,"&gt;="&amp;(D82+Beta_y*$A82-0.000000001)),"")</f>
        <v>48</v>
      </c>
      <c r="U82" s="15" t="n">
        <f aca="false">IF(M82=1,_xlfn.MINIFS(Sch_idx,Sch_n,E$5,Sch_bmax,"&gt;="&amp;($A82-0.000000001),Sch_P0,"&gt;="&amp;(E82+Beta_y*$A82-0.000000001)),"")</f>
        <v>56</v>
      </c>
      <c r="V82" s="15" t="n">
        <f aca="false">IF(N82=1,_xlfn.MINIFS(Sch_idx,Sch_n,F$5,Sch_bmax,"&gt;="&amp;($A82-0.000000001),Sch_P0,"&gt;="&amp;(F82+Beta_y*$A82-0.000000001)),"")</f>
        <v>57</v>
      </c>
      <c r="W82" s="15" t="n">
        <f aca="false">IF(O82=1,_xlfn.MINIFS(Sch_idx,Sch_n,G$5,Sch_bmax,"&gt;="&amp;($A82-0.000000001),Sch_P0,"&gt;="&amp;(G82+Beta_y*$A82-0.000000001)),"")</f>
        <v>59</v>
      </c>
      <c r="X82" s="15" t="n">
        <f aca="false">IF(P82=1,_xlfn.MINIFS(Sch_idx,Sch_n,H$5,Sch_bmax,"&gt;="&amp;($A82-0.000000001),Sch_P0,"&gt;="&amp;(H82+Beta_y*$A82-0.000000001)),"")</f>
        <v>63</v>
      </c>
      <c r="Z82" s="15" t="n">
        <f aca="false">IF(J82=1,IF(COUNTIFS(K82:$P82,1,C82:$H82,"&gt;="&amp;(B82-0.000000001))&gt;0,0,1),"")</f>
        <v>0</v>
      </c>
      <c r="AA82" s="15" t="n">
        <f aca="false">IF(K82=1,IF(COUNTIFS(L82:$P82,1,D82:$H82,"&gt;="&amp;(C82-0.000000001))&gt;0,0,1),"")</f>
        <v>0</v>
      </c>
      <c r="AB82" s="15" t="n">
        <f aca="false">IF(L82=1,IF(COUNTIFS(M82:$P82,1,E82:$H82,"&gt;="&amp;(D82-0.000000001))&gt;0,0,1),"")</f>
        <v>1</v>
      </c>
      <c r="AC82" s="15" t="n">
        <f aca="false">IF(M82=1,IF(COUNTIFS(N82:$P82,1,F82:$H82,"&gt;="&amp;(E82-0.000000001))&gt;0,0,1),"")</f>
        <v>1</v>
      </c>
      <c r="AD82" s="15" t="n">
        <f aca="false">IF(N82=1,IF(COUNTIFS(O82:$P82,1,G82:$H82,"&gt;="&amp;(F82-0.000000001))&gt;0,0,1),"")</f>
        <v>1</v>
      </c>
      <c r="AE82" s="15" t="n">
        <f aca="false">IF(O82=1,IF(COUNTIFS(P82:$P82,1,H82:$H82,"&gt;="&amp;(G82-0.000000001))&gt;0,0,1),"")</f>
        <v>1</v>
      </c>
      <c r="AF82" s="15" t="n">
        <f aca="false">IF(P82=1,1,"")</f>
        <v>1</v>
      </c>
    </row>
    <row r="83" customFormat="false" ht="15" hidden="false" customHeight="false" outlineLevel="0" collapsed="false">
      <c r="A83" s="2" t="n">
        <v>77</v>
      </c>
      <c r="B83" s="16" t="n">
        <f aca="false">IF(COUNTIFS(Sch_n,B$5,Sch_bmax,"&gt;="&amp;($A83-0.000000001))&gt;0,_xlfn.MAXIFS(Sch_P0,Sch_n,B$5,Sch_bmax,"&gt;="&amp;($A83-0.000000001))-Beta_y*$A83,"")</f>
        <v>66.3636363636364</v>
      </c>
      <c r="C83" s="16" t="n">
        <f aca="false">IF(COUNTIFS(Sch_n,C$5,Sch_bmax,"&gt;="&amp;($A83-0.000000001))&gt;0,_xlfn.MAXIFS(Sch_P0,Sch_n,C$5,Sch_bmax,"&gt;="&amp;($A83-0.000000001))-Beta_y*$A83,"")</f>
        <v>300.67264406927</v>
      </c>
      <c r="D83" s="16" t="n">
        <f aca="false">IF(COUNTIFS(Sch_n,D$5,Sch_bmax,"&gt;="&amp;($A83-0.000000001))&gt;0,_xlfn.MAXIFS(Sch_P0,Sch_n,D$5,Sch_bmax,"&gt;="&amp;($A83-0.000000001))-Beta_y*$A83,"")</f>
        <v>314.173336396545</v>
      </c>
      <c r="E83" s="16" t="n">
        <f aca="false">IF(COUNTIFS(Sch_n,E$5,Sch_bmax,"&gt;="&amp;($A83-0.000000001))&gt;0,_xlfn.MAXIFS(Sch_P0,Sch_n,E$5,Sch_bmax,"&gt;="&amp;($A83-0.000000001))-Beta_y*$A83,"")</f>
        <v>260.451985565273</v>
      </c>
      <c r="F83" s="16" t="n">
        <f aca="false">IF(COUNTIFS(Sch_n,F$5,Sch_bmax,"&gt;="&amp;($A83-0.000000001))&gt;0,_xlfn.MAXIFS(Sch_P0,Sch_n,F$5,Sch_bmax,"&gt;="&amp;($A83-0.000000001))-Beta_y*$A83,"")</f>
        <v>190.880573686145</v>
      </c>
      <c r="G83" s="16" t="n">
        <f aca="false">IF(COUNTIFS(Sch_n,G$5,Sch_bmax,"&gt;="&amp;($A83-0.000000001))&gt;0,_xlfn.MAXIFS(Sch_P0,Sch_n,G$5,Sch_bmax,"&gt;="&amp;($A83-0.000000001))-Beta_y*$A83,"")</f>
        <v>116.821594063089</v>
      </c>
      <c r="H83" s="16" t="n">
        <f aca="false">IF(COUNTIFS(Sch_n,H$5,Sch_bmax,"&gt;="&amp;($A83-0.000000001))&gt;0,_xlfn.MAXIFS(Sch_P0,Sch_n,H$5,Sch_bmax,"&gt;="&amp;($A83-0.000000001))-Beta_y*$A83,"")</f>
        <v>36.5915031997205</v>
      </c>
      <c r="J83" s="15" t="n">
        <f aca="false">IF(ISNUMBER(B83),1,0)</f>
        <v>1</v>
      </c>
      <c r="K83" s="15" t="n">
        <f aca="false">IF(ISNUMBER(C83),1,0)</f>
        <v>1</v>
      </c>
      <c r="L83" s="15" t="n">
        <f aca="false">IF(ISNUMBER(D83),1,0)</f>
        <v>1</v>
      </c>
      <c r="M83" s="15" t="n">
        <f aca="false">IF(ISNUMBER(E83),1,0)</f>
        <v>1</v>
      </c>
      <c r="N83" s="15" t="n">
        <f aca="false">IF(ISNUMBER(F83),1,0)</f>
        <v>1</v>
      </c>
      <c r="O83" s="15" t="n">
        <f aca="false">IF(ISNUMBER(G83),1,0)</f>
        <v>1</v>
      </c>
      <c r="P83" s="15" t="n">
        <f aca="false">IF(ISNUMBER(H83),1,0)</f>
        <v>1</v>
      </c>
      <c r="R83" s="15" t="n">
        <f aca="false">IF(J83=1,_xlfn.MINIFS(Sch_idx,Sch_n,B$5,Sch_bmax,"&gt;="&amp;($A83-0.000000001),Sch_P0,"&gt;="&amp;(B83+Beta_y*$A83-0.000000001)),"")</f>
        <v>0</v>
      </c>
      <c r="S83" s="15" t="n">
        <f aca="false">IF(K83=1,_xlfn.MINIFS(Sch_idx,Sch_n,C$5,Sch_bmax,"&gt;="&amp;($A83-0.000000001),Sch_P0,"&gt;="&amp;(C83+Beta_y*$A83-0.000000001)),"")</f>
        <v>32</v>
      </c>
      <c r="T83" s="15" t="n">
        <f aca="false">IF(L83=1,_xlfn.MINIFS(Sch_idx,Sch_n,D$5,Sch_bmax,"&gt;="&amp;($A83-0.000000001),Sch_P0,"&gt;="&amp;(D83+Beta_y*$A83-0.000000001)),"")</f>
        <v>48</v>
      </c>
      <c r="U83" s="15" t="n">
        <f aca="false">IF(M83=1,_xlfn.MINIFS(Sch_idx,Sch_n,E$5,Sch_bmax,"&gt;="&amp;($A83-0.000000001),Sch_P0,"&gt;="&amp;(E83+Beta_y*$A83-0.000000001)),"")</f>
        <v>56</v>
      </c>
      <c r="V83" s="15" t="n">
        <f aca="false">IF(N83=1,_xlfn.MINIFS(Sch_idx,Sch_n,F$5,Sch_bmax,"&gt;="&amp;($A83-0.000000001),Sch_P0,"&gt;="&amp;(F83+Beta_y*$A83-0.000000001)),"")</f>
        <v>57</v>
      </c>
      <c r="W83" s="15" t="n">
        <f aca="false">IF(O83=1,_xlfn.MINIFS(Sch_idx,Sch_n,G$5,Sch_bmax,"&gt;="&amp;($A83-0.000000001),Sch_P0,"&gt;="&amp;(G83+Beta_y*$A83-0.000000001)),"")</f>
        <v>59</v>
      </c>
      <c r="X83" s="15" t="n">
        <f aca="false">IF(P83=1,_xlfn.MINIFS(Sch_idx,Sch_n,H$5,Sch_bmax,"&gt;="&amp;($A83-0.000000001),Sch_P0,"&gt;="&amp;(H83+Beta_y*$A83-0.000000001)),"")</f>
        <v>63</v>
      </c>
      <c r="Z83" s="15" t="n">
        <f aca="false">IF(J83=1,IF(COUNTIFS(K83:$P83,1,C83:$H83,"&gt;="&amp;(B83-0.000000001))&gt;0,0,1),"")</f>
        <v>0</v>
      </c>
      <c r="AA83" s="15" t="n">
        <f aca="false">IF(K83=1,IF(COUNTIFS(L83:$P83,1,D83:$H83,"&gt;="&amp;(C83-0.000000001))&gt;0,0,1),"")</f>
        <v>0</v>
      </c>
      <c r="AB83" s="15" t="n">
        <f aca="false">IF(L83=1,IF(COUNTIFS(M83:$P83,1,E83:$H83,"&gt;="&amp;(D83-0.000000001))&gt;0,0,1),"")</f>
        <v>1</v>
      </c>
      <c r="AC83" s="15" t="n">
        <f aca="false">IF(M83=1,IF(COUNTIFS(N83:$P83,1,F83:$H83,"&gt;="&amp;(E83-0.000000001))&gt;0,0,1),"")</f>
        <v>1</v>
      </c>
      <c r="AD83" s="15" t="n">
        <f aca="false">IF(N83=1,IF(COUNTIFS(O83:$P83,1,G83:$H83,"&gt;="&amp;(F83-0.000000001))&gt;0,0,1),"")</f>
        <v>1</v>
      </c>
      <c r="AE83" s="15" t="n">
        <f aca="false">IF(O83=1,IF(COUNTIFS(P83:$P83,1,H83:$H83,"&gt;="&amp;(G83-0.000000001))&gt;0,0,1),"")</f>
        <v>1</v>
      </c>
      <c r="AF83" s="15" t="n">
        <f aca="false">IF(P83=1,1,"")</f>
        <v>1</v>
      </c>
    </row>
    <row r="84" customFormat="false" ht="15" hidden="false" customHeight="false" outlineLevel="0" collapsed="false">
      <c r="A84" s="2" t="n">
        <v>78</v>
      </c>
      <c r="B84" s="16" t="n">
        <f aca="false">IF(COUNTIFS(Sch_n,B$5,Sch_bmax,"&gt;="&amp;($A84-0.000000001))&gt;0,_xlfn.MAXIFS(Sch_P0,Sch_n,B$5,Sch_bmax,"&gt;="&amp;($A84-0.000000001))-Beta_y*$A84,"")</f>
        <v>65.4545454545454</v>
      </c>
      <c r="C84" s="16" t="n">
        <f aca="false">IF(COUNTIFS(Sch_n,C$5,Sch_bmax,"&gt;="&amp;($A84-0.000000001))&gt;0,_xlfn.MAXIFS(Sch_P0,Sch_n,C$5,Sch_bmax,"&gt;="&amp;($A84-0.000000001))-Beta_y*$A84,"")</f>
        <v>299.763553160179</v>
      </c>
      <c r="D84" s="16" t="n">
        <f aca="false">IF(COUNTIFS(Sch_n,D$5,Sch_bmax,"&gt;="&amp;($A84-0.000000001))&gt;0,_xlfn.MAXIFS(Sch_P0,Sch_n,D$5,Sch_bmax,"&gt;="&amp;($A84-0.000000001))-Beta_y*$A84,"")</f>
        <v>313.264245487454</v>
      </c>
      <c r="E84" s="16" t="n">
        <f aca="false">IF(COUNTIFS(Sch_n,E$5,Sch_bmax,"&gt;="&amp;($A84-0.000000001))&gt;0,_xlfn.MAXIFS(Sch_P0,Sch_n,E$5,Sch_bmax,"&gt;="&amp;($A84-0.000000001))-Beta_y*$A84,"")</f>
        <v>259.542894656182</v>
      </c>
      <c r="F84" s="16" t="n">
        <f aca="false">IF(COUNTIFS(Sch_n,F$5,Sch_bmax,"&gt;="&amp;($A84-0.000000001))&gt;0,_xlfn.MAXIFS(Sch_P0,Sch_n,F$5,Sch_bmax,"&gt;="&amp;($A84-0.000000001))-Beta_y*$A84,"")</f>
        <v>189.971482777054</v>
      </c>
      <c r="G84" s="16" t="n">
        <f aca="false">IF(COUNTIFS(Sch_n,G$5,Sch_bmax,"&gt;="&amp;($A84-0.000000001))&gt;0,_xlfn.MAXIFS(Sch_P0,Sch_n,G$5,Sch_bmax,"&gt;="&amp;($A84-0.000000001))-Beta_y*$A84,"")</f>
        <v>115.912503153998</v>
      </c>
      <c r="H84" s="16" t="n">
        <f aca="false">IF(COUNTIFS(Sch_n,H$5,Sch_bmax,"&gt;="&amp;($A84-0.000000001))&gt;0,_xlfn.MAXIFS(Sch_P0,Sch_n,H$5,Sch_bmax,"&gt;="&amp;($A84-0.000000001))-Beta_y*$A84,"")</f>
        <v>35.6824122906296</v>
      </c>
      <c r="J84" s="15" t="n">
        <f aca="false">IF(ISNUMBER(B84),1,0)</f>
        <v>1</v>
      </c>
      <c r="K84" s="15" t="n">
        <f aca="false">IF(ISNUMBER(C84),1,0)</f>
        <v>1</v>
      </c>
      <c r="L84" s="15" t="n">
        <f aca="false">IF(ISNUMBER(D84),1,0)</f>
        <v>1</v>
      </c>
      <c r="M84" s="15" t="n">
        <f aca="false">IF(ISNUMBER(E84),1,0)</f>
        <v>1</v>
      </c>
      <c r="N84" s="15" t="n">
        <f aca="false">IF(ISNUMBER(F84),1,0)</f>
        <v>1</v>
      </c>
      <c r="O84" s="15" t="n">
        <f aca="false">IF(ISNUMBER(G84),1,0)</f>
        <v>1</v>
      </c>
      <c r="P84" s="15" t="n">
        <f aca="false">IF(ISNUMBER(H84),1,0)</f>
        <v>1</v>
      </c>
      <c r="R84" s="15" t="n">
        <f aca="false">IF(J84=1,_xlfn.MINIFS(Sch_idx,Sch_n,B$5,Sch_bmax,"&gt;="&amp;($A84-0.000000001),Sch_P0,"&gt;="&amp;(B84+Beta_y*$A84-0.000000001)),"")</f>
        <v>0</v>
      </c>
      <c r="S84" s="15" t="n">
        <f aca="false">IF(K84=1,_xlfn.MINIFS(Sch_idx,Sch_n,C$5,Sch_bmax,"&gt;="&amp;($A84-0.000000001),Sch_P0,"&gt;="&amp;(C84+Beta_y*$A84-0.000000001)),"")</f>
        <v>32</v>
      </c>
      <c r="T84" s="15" t="n">
        <f aca="false">IF(L84=1,_xlfn.MINIFS(Sch_idx,Sch_n,D$5,Sch_bmax,"&gt;="&amp;($A84-0.000000001),Sch_P0,"&gt;="&amp;(D84+Beta_y*$A84-0.000000001)),"")</f>
        <v>48</v>
      </c>
      <c r="U84" s="15" t="n">
        <f aca="false">IF(M84=1,_xlfn.MINIFS(Sch_idx,Sch_n,E$5,Sch_bmax,"&gt;="&amp;($A84-0.000000001),Sch_P0,"&gt;="&amp;(E84+Beta_y*$A84-0.000000001)),"")</f>
        <v>56</v>
      </c>
      <c r="V84" s="15" t="n">
        <f aca="false">IF(N84=1,_xlfn.MINIFS(Sch_idx,Sch_n,F$5,Sch_bmax,"&gt;="&amp;($A84-0.000000001),Sch_P0,"&gt;="&amp;(F84+Beta_y*$A84-0.000000001)),"")</f>
        <v>57</v>
      </c>
      <c r="W84" s="15" t="n">
        <f aca="false">IF(O84=1,_xlfn.MINIFS(Sch_idx,Sch_n,G$5,Sch_bmax,"&gt;="&amp;($A84-0.000000001),Sch_P0,"&gt;="&amp;(G84+Beta_y*$A84-0.000000001)),"")</f>
        <v>59</v>
      </c>
      <c r="X84" s="15" t="n">
        <f aca="false">IF(P84=1,_xlfn.MINIFS(Sch_idx,Sch_n,H$5,Sch_bmax,"&gt;="&amp;($A84-0.000000001),Sch_P0,"&gt;="&amp;(H84+Beta_y*$A84-0.000000001)),"")</f>
        <v>63</v>
      </c>
      <c r="Z84" s="15" t="n">
        <f aca="false">IF(J84=1,IF(COUNTIFS(K84:$P84,1,C84:$H84,"&gt;="&amp;(B84-0.000000001))&gt;0,0,1),"")</f>
        <v>0</v>
      </c>
      <c r="AA84" s="15" t="n">
        <f aca="false">IF(K84=1,IF(COUNTIFS(L84:$P84,1,D84:$H84,"&gt;="&amp;(C84-0.000000001))&gt;0,0,1),"")</f>
        <v>0</v>
      </c>
      <c r="AB84" s="15" t="n">
        <f aca="false">IF(L84=1,IF(COUNTIFS(M84:$P84,1,E84:$H84,"&gt;="&amp;(D84-0.000000001))&gt;0,0,1),"")</f>
        <v>1</v>
      </c>
      <c r="AC84" s="15" t="n">
        <f aca="false">IF(M84=1,IF(COUNTIFS(N84:$P84,1,F84:$H84,"&gt;="&amp;(E84-0.000000001))&gt;0,0,1),"")</f>
        <v>1</v>
      </c>
      <c r="AD84" s="15" t="n">
        <f aca="false">IF(N84=1,IF(COUNTIFS(O84:$P84,1,G84:$H84,"&gt;="&amp;(F84-0.000000001))&gt;0,0,1),"")</f>
        <v>1</v>
      </c>
      <c r="AE84" s="15" t="n">
        <f aca="false">IF(O84=1,IF(COUNTIFS(P84:$P84,1,H84:$H84,"&gt;="&amp;(G84-0.000000001))&gt;0,0,1),"")</f>
        <v>1</v>
      </c>
      <c r="AF84" s="15" t="n">
        <f aca="false">IF(P84=1,1,"")</f>
        <v>1</v>
      </c>
    </row>
    <row r="85" customFormat="false" ht="15" hidden="false" customHeight="false" outlineLevel="0" collapsed="false">
      <c r="A85" s="2" t="n">
        <v>79</v>
      </c>
      <c r="B85" s="16" t="n">
        <f aca="false">IF(COUNTIFS(Sch_n,B$5,Sch_bmax,"&gt;="&amp;($A85-0.000000001))&gt;0,_xlfn.MAXIFS(Sch_P0,Sch_n,B$5,Sch_bmax,"&gt;="&amp;($A85-0.000000001))-Beta_y*$A85,"")</f>
        <v>64.5454545454545</v>
      </c>
      <c r="C85" s="16" t="n">
        <f aca="false">IF(COUNTIFS(Sch_n,C$5,Sch_bmax,"&gt;="&amp;($A85-0.000000001))&gt;0,_xlfn.MAXIFS(Sch_P0,Sch_n,C$5,Sch_bmax,"&gt;="&amp;($A85-0.000000001))-Beta_y*$A85,"")</f>
        <v>298.854462251088</v>
      </c>
      <c r="D85" s="16" t="n">
        <f aca="false">IF(COUNTIFS(Sch_n,D$5,Sch_bmax,"&gt;="&amp;($A85-0.000000001))&gt;0,_xlfn.MAXIFS(Sch_P0,Sch_n,D$5,Sch_bmax,"&gt;="&amp;($A85-0.000000001))-Beta_y*$A85,"")</f>
        <v>312.355154578363</v>
      </c>
      <c r="E85" s="16" t="n">
        <f aca="false">IF(COUNTIFS(Sch_n,E$5,Sch_bmax,"&gt;="&amp;($A85-0.000000001))&gt;0,_xlfn.MAXIFS(Sch_P0,Sch_n,E$5,Sch_bmax,"&gt;="&amp;($A85-0.000000001))-Beta_y*$A85,"")</f>
        <v>258.633803747091</v>
      </c>
      <c r="F85" s="16" t="n">
        <f aca="false">IF(COUNTIFS(Sch_n,F$5,Sch_bmax,"&gt;="&amp;($A85-0.000000001))&gt;0,_xlfn.MAXIFS(Sch_P0,Sch_n,F$5,Sch_bmax,"&gt;="&amp;($A85-0.000000001))-Beta_y*$A85,"")</f>
        <v>189.062391867963</v>
      </c>
      <c r="G85" s="16" t="n">
        <f aca="false">IF(COUNTIFS(Sch_n,G$5,Sch_bmax,"&gt;="&amp;($A85-0.000000001))&gt;0,_xlfn.MAXIFS(Sch_P0,Sch_n,G$5,Sch_bmax,"&gt;="&amp;($A85-0.000000001))-Beta_y*$A85,"")</f>
        <v>115.003412244907</v>
      </c>
      <c r="H85" s="16" t="n">
        <f aca="false">IF(COUNTIFS(Sch_n,H$5,Sch_bmax,"&gt;="&amp;($A85-0.000000001))&gt;0,_xlfn.MAXIFS(Sch_P0,Sch_n,H$5,Sch_bmax,"&gt;="&amp;($A85-0.000000001))-Beta_y*$A85,"")</f>
        <v>34.7733213815387</v>
      </c>
      <c r="J85" s="15" t="n">
        <f aca="false">IF(ISNUMBER(B85),1,0)</f>
        <v>1</v>
      </c>
      <c r="K85" s="15" t="n">
        <f aca="false">IF(ISNUMBER(C85),1,0)</f>
        <v>1</v>
      </c>
      <c r="L85" s="15" t="n">
        <f aca="false">IF(ISNUMBER(D85),1,0)</f>
        <v>1</v>
      </c>
      <c r="M85" s="15" t="n">
        <f aca="false">IF(ISNUMBER(E85),1,0)</f>
        <v>1</v>
      </c>
      <c r="N85" s="15" t="n">
        <f aca="false">IF(ISNUMBER(F85),1,0)</f>
        <v>1</v>
      </c>
      <c r="O85" s="15" t="n">
        <f aca="false">IF(ISNUMBER(G85),1,0)</f>
        <v>1</v>
      </c>
      <c r="P85" s="15" t="n">
        <f aca="false">IF(ISNUMBER(H85),1,0)</f>
        <v>1</v>
      </c>
      <c r="R85" s="15" t="n">
        <f aca="false">IF(J85=1,_xlfn.MINIFS(Sch_idx,Sch_n,B$5,Sch_bmax,"&gt;="&amp;($A85-0.000000001),Sch_P0,"&gt;="&amp;(B85+Beta_y*$A85-0.000000001)),"")</f>
        <v>0</v>
      </c>
      <c r="S85" s="15" t="n">
        <f aca="false">IF(K85=1,_xlfn.MINIFS(Sch_idx,Sch_n,C$5,Sch_bmax,"&gt;="&amp;($A85-0.000000001),Sch_P0,"&gt;="&amp;(C85+Beta_y*$A85-0.000000001)),"")</f>
        <v>32</v>
      </c>
      <c r="T85" s="15" t="n">
        <f aca="false">IF(L85=1,_xlfn.MINIFS(Sch_idx,Sch_n,D$5,Sch_bmax,"&gt;="&amp;($A85-0.000000001),Sch_P0,"&gt;="&amp;(D85+Beta_y*$A85-0.000000001)),"")</f>
        <v>48</v>
      </c>
      <c r="U85" s="15" t="n">
        <f aca="false">IF(M85=1,_xlfn.MINIFS(Sch_idx,Sch_n,E$5,Sch_bmax,"&gt;="&amp;($A85-0.000000001),Sch_P0,"&gt;="&amp;(E85+Beta_y*$A85-0.000000001)),"")</f>
        <v>56</v>
      </c>
      <c r="V85" s="15" t="n">
        <f aca="false">IF(N85=1,_xlfn.MINIFS(Sch_idx,Sch_n,F$5,Sch_bmax,"&gt;="&amp;($A85-0.000000001),Sch_P0,"&gt;="&amp;(F85+Beta_y*$A85-0.000000001)),"")</f>
        <v>57</v>
      </c>
      <c r="W85" s="15" t="n">
        <f aca="false">IF(O85=1,_xlfn.MINIFS(Sch_idx,Sch_n,G$5,Sch_bmax,"&gt;="&amp;($A85-0.000000001),Sch_P0,"&gt;="&amp;(G85+Beta_y*$A85-0.000000001)),"")</f>
        <v>59</v>
      </c>
      <c r="X85" s="15" t="n">
        <f aca="false">IF(P85=1,_xlfn.MINIFS(Sch_idx,Sch_n,H$5,Sch_bmax,"&gt;="&amp;($A85-0.000000001),Sch_P0,"&gt;="&amp;(H85+Beta_y*$A85-0.000000001)),"")</f>
        <v>63</v>
      </c>
      <c r="Z85" s="15" t="n">
        <f aca="false">IF(J85=1,IF(COUNTIFS(K85:$P85,1,C85:$H85,"&gt;="&amp;(B85-0.000000001))&gt;0,0,1),"")</f>
        <v>0</v>
      </c>
      <c r="AA85" s="15" t="n">
        <f aca="false">IF(K85=1,IF(COUNTIFS(L85:$P85,1,D85:$H85,"&gt;="&amp;(C85-0.000000001))&gt;0,0,1),"")</f>
        <v>0</v>
      </c>
      <c r="AB85" s="15" t="n">
        <f aca="false">IF(L85=1,IF(COUNTIFS(M85:$P85,1,E85:$H85,"&gt;="&amp;(D85-0.000000001))&gt;0,0,1),"")</f>
        <v>1</v>
      </c>
      <c r="AC85" s="15" t="n">
        <f aca="false">IF(M85=1,IF(COUNTIFS(N85:$P85,1,F85:$H85,"&gt;="&amp;(E85-0.000000001))&gt;0,0,1),"")</f>
        <v>1</v>
      </c>
      <c r="AD85" s="15" t="n">
        <f aca="false">IF(N85=1,IF(COUNTIFS(O85:$P85,1,G85:$H85,"&gt;="&amp;(F85-0.000000001))&gt;0,0,1),"")</f>
        <v>1</v>
      </c>
      <c r="AE85" s="15" t="n">
        <f aca="false">IF(O85=1,IF(COUNTIFS(P85:$P85,1,H85:$H85,"&gt;="&amp;(G85-0.000000001))&gt;0,0,1),"")</f>
        <v>1</v>
      </c>
      <c r="AF85" s="15" t="n">
        <f aca="false">IF(P85=1,1,"")</f>
        <v>1</v>
      </c>
    </row>
    <row r="86" customFormat="false" ht="15" hidden="false" customHeight="false" outlineLevel="0" collapsed="false">
      <c r="A86" s="2" t="n">
        <v>80</v>
      </c>
      <c r="B86" s="16" t="n">
        <f aca="false">IF(COUNTIFS(Sch_n,B$5,Sch_bmax,"&gt;="&amp;($A86-0.000000001))&gt;0,_xlfn.MAXIFS(Sch_P0,Sch_n,B$5,Sch_bmax,"&gt;="&amp;($A86-0.000000001))-Beta_y*$A86,"")</f>
        <v>63.6363636363636</v>
      </c>
      <c r="C86" s="16" t="n">
        <f aca="false">IF(COUNTIFS(Sch_n,C$5,Sch_bmax,"&gt;="&amp;($A86-0.000000001))&gt;0,_xlfn.MAXIFS(Sch_P0,Sch_n,C$5,Sch_bmax,"&gt;="&amp;($A86-0.000000001))-Beta_y*$A86,"")</f>
        <v>297.945371341997</v>
      </c>
      <c r="D86" s="16" t="n">
        <f aca="false">IF(COUNTIFS(Sch_n,D$5,Sch_bmax,"&gt;="&amp;($A86-0.000000001))&gt;0,_xlfn.MAXIFS(Sch_P0,Sch_n,D$5,Sch_bmax,"&gt;="&amp;($A86-0.000000001))-Beta_y*$A86,"")</f>
        <v>311.446063669272</v>
      </c>
      <c r="E86" s="16" t="n">
        <f aca="false">IF(COUNTIFS(Sch_n,E$5,Sch_bmax,"&gt;="&amp;($A86-0.000000001))&gt;0,_xlfn.MAXIFS(Sch_P0,Sch_n,E$5,Sch_bmax,"&gt;="&amp;($A86-0.000000001))-Beta_y*$A86,"")</f>
        <v>257.724712838</v>
      </c>
      <c r="F86" s="16" t="n">
        <f aca="false">IF(COUNTIFS(Sch_n,F$5,Sch_bmax,"&gt;="&amp;($A86-0.000000001))&gt;0,_xlfn.MAXIFS(Sch_P0,Sch_n,F$5,Sch_bmax,"&gt;="&amp;($A86-0.000000001))-Beta_y*$A86,"")</f>
        <v>188.153300958872</v>
      </c>
      <c r="G86" s="16" t="n">
        <f aca="false">IF(COUNTIFS(Sch_n,G$5,Sch_bmax,"&gt;="&amp;($A86-0.000000001))&gt;0,_xlfn.MAXIFS(Sch_P0,Sch_n,G$5,Sch_bmax,"&gt;="&amp;($A86-0.000000001))-Beta_y*$A86,"")</f>
        <v>114.094321335816</v>
      </c>
      <c r="H86" s="16" t="n">
        <f aca="false">IF(COUNTIFS(Sch_n,H$5,Sch_bmax,"&gt;="&amp;($A86-0.000000001))&gt;0,_xlfn.MAXIFS(Sch_P0,Sch_n,H$5,Sch_bmax,"&gt;="&amp;($A86-0.000000001))-Beta_y*$A86,"")</f>
        <v>33.8642304724477</v>
      </c>
      <c r="J86" s="15" t="n">
        <f aca="false">IF(ISNUMBER(B86),1,0)</f>
        <v>1</v>
      </c>
      <c r="K86" s="15" t="n">
        <f aca="false">IF(ISNUMBER(C86),1,0)</f>
        <v>1</v>
      </c>
      <c r="L86" s="15" t="n">
        <f aca="false">IF(ISNUMBER(D86),1,0)</f>
        <v>1</v>
      </c>
      <c r="M86" s="15" t="n">
        <f aca="false">IF(ISNUMBER(E86),1,0)</f>
        <v>1</v>
      </c>
      <c r="N86" s="15" t="n">
        <f aca="false">IF(ISNUMBER(F86),1,0)</f>
        <v>1</v>
      </c>
      <c r="O86" s="15" t="n">
        <f aca="false">IF(ISNUMBER(G86),1,0)</f>
        <v>1</v>
      </c>
      <c r="P86" s="15" t="n">
        <f aca="false">IF(ISNUMBER(H86),1,0)</f>
        <v>1</v>
      </c>
      <c r="R86" s="15" t="n">
        <f aca="false">IF(J86=1,_xlfn.MINIFS(Sch_idx,Sch_n,B$5,Sch_bmax,"&gt;="&amp;($A86-0.000000001),Sch_P0,"&gt;="&amp;(B86+Beta_y*$A86-0.000000001)),"")</f>
        <v>0</v>
      </c>
      <c r="S86" s="15" t="n">
        <f aca="false">IF(K86=1,_xlfn.MINIFS(Sch_idx,Sch_n,C$5,Sch_bmax,"&gt;="&amp;($A86-0.000000001),Sch_P0,"&gt;="&amp;(C86+Beta_y*$A86-0.000000001)),"")</f>
        <v>32</v>
      </c>
      <c r="T86" s="15" t="n">
        <f aca="false">IF(L86=1,_xlfn.MINIFS(Sch_idx,Sch_n,D$5,Sch_bmax,"&gt;="&amp;($A86-0.000000001),Sch_P0,"&gt;="&amp;(D86+Beta_y*$A86-0.000000001)),"")</f>
        <v>48</v>
      </c>
      <c r="U86" s="15" t="n">
        <f aca="false">IF(M86=1,_xlfn.MINIFS(Sch_idx,Sch_n,E$5,Sch_bmax,"&gt;="&amp;($A86-0.000000001),Sch_P0,"&gt;="&amp;(E86+Beta_y*$A86-0.000000001)),"")</f>
        <v>56</v>
      </c>
      <c r="V86" s="15" t="n">
        <f aca="false">IF(N86=1,_xlfn.MINIFS(Sch_idx,Sch_n,F$5,Sch_bmax,"&gt;="&amp;($A86-0.000000001),Sch_P0,"&gt;="&amp;(F86+Beta_y*$A86-0.000000001)),"")</f>
        <v>57</v>
      </c>
      <c r="W86" s="15" t="n">
        <f aca="false">IF(O86=1,_xlfn.MINIFS(Sch_idx,Sch_n,G$5,Sch_bmax,"&gt;="&amp;($A86-0.000000001),Sch_P0,"&gt;="&amp;(G86+Beta_y*$A86-0.000000001)),"")</f>
        <v>59</v>
      </c>
      <c r="X86" s="15" t="n">
        <f aca="false">IF(P86=1,_xlfn.MINIFS(Sch_idx,Sch_n,H$5,Sch_bmax,"&gt;="&amp;($A86-0.000000001),Sch_P0,"&gt;="&amp;(H86+Beta_y*$A86-0.000000001)),"")</f>
        <v>63</v>
      </c>
      <c r="Z86" s="15" t="n">
        <f aca="false">IF(J86=1,IF(COUNTIFS(K86:$P86,1,C86:$H86,"&gt;="&amp;(B86-0.000000001))&gt;0,0,1),"")</f>
        <v>0</v>
      </c>
      <c r="AA86" s="15" t="n">
        <f aca="false">IF(K86=1,IF(COUNTIFS(L86:$P86,1,D86:$H86,"&gt;="&amp;(C86-0.000000001))&gt;0,0,1),"")</f>
        <v>0</v>
      </c>
      <c r="AB86" s="15" t="n">
        <f aca="false">IF(L86=1,IF(COUNTIFS(M86:$P86,1,E86:$H86,"&gt;="&amp;(D86-0.000000001))&gt;0,0,1),"")</f>
        <v>1</v>
      </c>
      <c r="AC86" s="15" t="n">
        <f aca="false">IF(M86=1,IF(COUNTIFS(N86:$P86,1,F86:$H86,"&gt;="&amp;(E86-0.000000001))&gt;0,0,1),"")</f>
        <v>1</v>
      </c>
      <c r="AD86" s="15" t="n">
        <f aca="false">IF(N86=1,IF(COUNTIFS(O86:$P86,1,G86:$H86,"&gt;="&amp;(F86-0.000000001))&gt;0,0,1),"")</f>
        <v>1</v>
      </c>
      <c r="AE86" s="15" t="n">
        <f aca="false">IF(O86=1,IF(COUNTIFS(P86:$P86,1,H86:$H86,"&gt;="&amp;(G86-0.000000001))&gt;0,0,1),"")</f>
        <v>1</v>
      </c>
      <c r="AF86" s="15" t="n">
        <f aca="false">IF(P86=1,1,"")</f>
        <v>1</v>
      </c>
    </row>
    <row r="87" customFormat="false" ht="15" hidden="false" customHeight="false" outlineLevel="0" collapsed="false">
      <c r="A87" s="2" t="n">
        <v>81</v>
      </c>
      <c r="B87" s="16" t="n">
        <f aca="false">IF(COUNTIFS(Sch_n,B$5,Sch_bmax,"&gt;="&amp;($A87-0.000000001))&gt;0,_xlfn.MAXIFS(Sch_P0,Sch_n,B$5,Sch_bmax,"&gt;="&amp;($A87-0.000000001))-Beta_y*$A87,"")</f>
        <v>62.7272727272727</v>
      </c>
      <c r="C87" s="16" t="n">
        <f aca="false">IF(COUNTIFS(Sch_n,C$5,Sch_bmax,"&gt;="&amp;($A87-0.000000001))&gt;0,_xlfn.MAXIFS(Sch_P0,Sch_n,C$5,Sch_bmax,"&gt;="&amp;($A87-0.000000001))-Beta_y*$A87,"")</f>
        <v>297.036280432906</v>
      </c>
      <c r="D87" s="16" t="n">
        <f aca="false">IF(COUNTIFS(Sch_n,D$5,Sch_bmax,"&gt;="&amp;($A87-0.000000001))&gt;0,_xlfn.MAXIFS(Sch_P0,Sch_n,D$5,Sch_bmax,"&gt;="&amp;($A87-0.000000001))-Beta_y*$A87,"")</f>
        <v>310.536972760182</v>
      </c>
      <c r="E87" s="16" t="n">
        <f aca="false">IF(COUNTIFS(Sch_n,E$5,Sch_bmax,"&gt;="&amp;($A87-0.000000001))&gt;0,_xlfn.MAXIFS(Sch_P0,Sch_n,E$5,Sch_bmax,"&gt;="&amp;($A87-0.000000001))-Beta_y*$A87,"")</f>
        <v>256.815621928909</v>
      </c>
      <c r="F87" s="16" t="n">
        <f aca="false">IF(COUNTIFS(Sch_n,F$5,Sch_bmax,"&gt;="&amp;($A87-0.000000001))&gt;0,_xlfn.MAXIFS(Sch_P0,Sch_n,F$5,Sch_bmax,"&gt;="&amp;($A87-0.000000001))-Beta_y*$A87,"")</f>
        <v>187.244210049781</v>
      </c>
      <c r="G87" s="16" t="n">
        <f aca="false">IF(COUNTIFS(Sch_n,G$5,Sch_bmax,"&gt;="&amp;($A87-0.000000001))&gt;0,_xlfn.MAXIFS(Sch_P0,Sch_n,G$5,Sch_bmax,"&gt;="&amp;($A87-0.000000001))-Beta_y*$A87,"")</f>
        <v>113.185230426725</v>
      </c>
      <c r="H87" s="16" t="n">
        <f aca="false">IF(COUNTIFS(Sch_n,H$5,Sch_bmax,"&gt;="&amp;($A87-0.000000001))&gt;0,_xlfn.MAXIFS(Sch_P0,Sch_n,H$5,Sch_bmax,"&gt;="&amp;($A87-0.000000001))-Beta_y*$A87,"")</f>
        <v>32.9551395633568</v>
      </c>
      <c r="J87" s="15" t="n">
        <f aca="false">IF(ISNUMBER(B87),1,0)</f>
        <v>1</v>
      </c>
      <c r="K87" s="15" t="n">
        <f aca="false">IF(ISNUMBER(C87),1,0)</f>
        <v>1</v>
      </c>
      <c r="L87" s="15" t="n">
        <f aca="false">IF(ISNUMBER(D87),1,0)</f>
        <v>1</v>
      </c>
      <c r="M87" s="15" t="n">
        <f aca="false">IF(ISNUMBER(E87),1,0)</f>
        <v>1</v>
      </c>
      <c r="N87" s="15" t="n">
        <f aca="false">IF(ISNUMBER(F87),1,0)</f>
        <v>1</v>
      </c>
      <c r="O87" s="15" t="n">
        <f aca="false">IF(ISNUMBER(G87),1,0)</f>
        <v>1</v>
      </c>
      <c r="P87" s="15" t="n">
        <f aca="false">IF(ISNUMBER(H87),1,0)</f>
        <v>1</v>
      </c>
      <c r="R87" s="15" t="n">
        <f aca="false">IF(J87=1,_xlfn.MINIFS(Sch_idx,Sch_n,B$5,Sch_bmax,"&gt;="&amp;($A87-0.000000001),Sch_P0,"&gt;="&amp;(B87+Beta_y*$A87-0.000000001)),"")</f>
        <v>0</v>
      </c>
      <c r="S87" s="15" t="n">
        <f aca="false">IF(K87=1,_xlfn.MINIFS(Sch_idx,Sch_n,C$5,Sch_bmax,"&gt;="&amp;($A87-0.000000001),Sch_P0,"&gt;="&amp;(C87+Beta_y*$A87-0.000000001)),"")</f>
        <v>32</v>
      </c>
      <c r="T87" s="15" t="n">
        <f aca="false">IF(L87=1,_xlfn.MINIFS(Sch_idx,Sch_n,D$5,Sch_bmax,"&gt;="&amp;($A87-0.000000001),Sch_P0,"&gt;="&amp;(D87+Beta_y*$A87-0.000000001)),"")</f>
        <v>48</v>
      </c>
      <c r="U87" s="15" t="n">
        <f aca="false">IF(M87=1,_xlfn.MINIFS(Sch_idx,Sch_n,E$5,Sch_bmax,"&gt;="&amp;($A87-0.000000001),Sch_P0,"&gt;="&amp;(E87+Beta_y*$A87-0.000000001)),"")</f>
        <v>56</v>
      </c>
      <c r="V87" s="15" t="n">
        <f aca="false">IF(N87=1,_xlfn.MINIFS(Sch_idx,Sch_n,F$5,Sch_bmax,"&gt;="&amp;($A87-0.000000001),Sch_P0,"&gt;="&amp;(F87+Beta_y*$A87-0.000000001)),"")</f>
        <v>57</v>
      </c>
      <c r="W87" s="15" t="n">
        <f aca="false">IF(O87=1,_xlfn.MINIFS(Sch_idx,Sch_n,G$5,Sch_bmax,"&gt;="&amp;($A87-0.000000001),Sch_P0,"&gt;="&amp;(G87+Beta_y*$A87-0.000000001)),"")</f>
        <v>59</v>
      </c>
      <c r="X87" s="15" t="n">
        <f aca="false">IF(P87=1,_xlfn.MINIFS(Sch_idx,Sch_n,H$5,Sch_bmax,"&gt;="&amp;($A87-0.000000001),Sch_P0,"&gt;="&amp;(H87+Beta_y*$A87-0.000000001)),"")</f>
        <v>63</v>
      </c>
      <c r="Z87" s="15" t="n">
        <f aca="false">IF(J87=1,IF(COUNTIFS(K87:$P87,1,C87:$H87,"&gt;="&amp;(B87-0.000000001))&gt;0,0,1),"")</f>
        <v>0</v>
      </c>
      <c r="AA87" s="15" t="n">
        <f aca="false">IF(K87=1,IF(COUNTIFS(L87:$P87,1,D87:$H87,"&gt;="&amp;(C87-0.000000001))&gt;0,0,1),"")</f>
        <v>0</v>
      </c>
      <c r="AB87" s="15" t="n">
        <f aca="false">IF(L87=1,IF(COUNTIFS(M87:$P87,1,E87:$H87,"&gt;="&amp;(D87-0.000000001))&gt;0,0,1),"")</f>
        <v>1</v>
      </c>
      <c r="AC87" s="15" t="n">
        <f aca="false">IF(M87=1,IF(COUNTIFS(N87:$P87,1,F87:$H87,"&gt;="&amp;(E87-0.000000001))&gt;0,0,1),"")</f>
        <v>1</v>
      </c>
      <c r="AD87" s="15" t="n">
        <f aca="false">IF(N87=1,IF(COUNTIFS(O87:$P87,1,G87:$H87,"&gt;="&amp;(F87-0.000000001))&gt;0,0,1),"")</f>
        <v>1</v>
      </c>
      <c r="AE87" s="15" t="n">
        <f aca="false">IF(O87=1,IF(COUNTIFS(P87:$P87,1,H87:$H87,"&gt;="&amp;(G87-0.000000001))&gt;0,0,1),"")</f>
        <v>1</v>
      </c>
      <c r="AF87" s="15" t="n">
        <f aca="false">IF(P87=1,1,"")</f>
        <v>1</v>
      </c>
    </row>
    <row r="88" customFormat="false" ht="15" hidden="false" customHeight="false" outlineLevel="0" collapsed="false">
      <c r="A88" s="2" t="n">
        <v>82</v>
      </c>
      <c r="B88" s="16" t="n">
        <f aca="false">IF(COUNTIFS(Sch_n,B$5,Sch_bmax,"&gt;="&amp;($A88-0.000000001))&gt;0,_xlfn.MAXIFS(Sch_P0,Sch_n,B$5,Sch_bmax,"&gt;="&amp;($A88-0.000000001))-Beta_y*$A88,"")</f>
        <v>61.8181818181818</v>
      </c>
      <c r="C88" s="16" t="n">
        <f aca="false">IF(COUNTIFS(Sch_n,C$5,Sch_bmax,"&gt;="&amp;($A88-0.000000001))&gt;0,_xlfn.MAXIFS(Sch_P0,Sch_n,C$5,Sch_bmax,"&gt;="&amp;($A88-0.000000001))-Beta_y*$A88,"")</f>
        <v>296.127189523815</v>
      </c>
      <c r="D88" s="16" t="n">
        <f aca="false">IF(COUNTIFS(Sch_n,D$5,Sch_bmax,"&gt;="&amp;($A88-0.000000001))&gt;0,_xlfn.MAXIFS(Sch_P0,Sch_n,D$5,Sch_bmax,"&gt;="&amp;($A88-0.000000001))-Beta_y*$A88,"")</f>
        <v>309.627881851091</v>
      </c>
      <c r="E88" s="16" t="n">
        <f aca="false">IF(COUNTIFS(Sch_n,E$5,Sch_bmax,"&gt;="&amp;($A88-0.000000001))&gt;0,_xlfn.MAXIFS(Sch_P0,Sch_n,E$5,Sch_bmax,"&gt;="&amp;($A88-0.000000001))-Beta_y*$A88,"")</f>
        <v>255.906531019818</v>
      </c>
      <c r="F88" s="16" t="n">
        <f aca="false">IF(COUNTIFS(Sch_n,F$5,Sch_bmax,"&gt;="&amp;($A88-0.000000001))&gt;0,_xlfn.MAXIFS(Sch_P0,Sch_n,F$5,Sch_bmax,"&gt;="&amp;($A88-0.000000001))-Beta_y*$A88,"")</f>
        <v>186.33511914069</v>
      </c>
      <c r="G88" s="16" t="n">
        <f aca="false">IF(COUNTIFS(Sch_n,G$5,Sch_bmax,"&gt;="&amp;($A88-0.000000001))&gt;0,_xlfn.MAXIFS(Sch_P0,Sch_n,G$5,Sch_bmax,"&gt;="&amp;($A88-0.000000001))-Beta_y*$A88,"")</f>
        <v>112.276139517634</v>
      </c>
      <c r="H88" s="16" t="n">
        <f aca="false">IF(COUNTIFS(Sch_n,H$5,Sch_bmax,"&gt;="&amp;($A88-0.000000001))&gt;0,_xlfn.MAXIFS(Sch_P0,Sch_n,H$5,Sch_bmax,"&gt;="&amp;($A88-0.000000001))-Beta_y*$A88,"")</f>
        <v>32.0460486542659</v>
      </c>
      <c r="J88" s="15" t="n">
        <f aca="false">IF(ISNUMBER(B88),1,0)</f>
        <v>1</v>
      </c>
      <c r="K88" s="15" t="n">
        <f aca="false">IF(ISNUMBER(C88),1,0)</f>
        <v>1</v>
      </c>
      <c r="L88" s="15" t="n">
        <f aca="false">IF(ISNUMBER(D88),1,0)</f>
        <v>1</v>
      </c>
      <c r="M88" s="15" t="n">
        <f aca="false">IF(ISNUMBER(E88),1,0)</f>
        <v>1</v>
      </c>
      <c r="N88" s="15" t="n">
        <f aca="false">IF(ISNUMBER(F88),1,0)</f>
        <v>1</v>
      </c>
      <c r="O88" s="15" t="n">
        <f aca="false">IF(ISNUMBER(G88),1,0)</f>
        <v>1</v>
      </c>
      <c r="P88" s="15" t="n">
        <f aca="false">IF(ISNUMBER(H88),1,0)</f>
        <v>1</v>
      </c>
      <c r="R88" s="15" t="n">
        <f aca="false">IF(J88=1,_xlfn.MINIFS(Sch_idx,Sch_n,B$5,Sch_bmax,"&gt;="&amp;($A88-0.000000001),Sch_P0,"&gt;="&amp;(B88+Beta_y*$A88-0.000000001)),"")</f>
        <v>0</v>
      </c>
      <c r="S88" s="15" t="n">
        <f aca="false">IF(K88=1,_xlfn.MINIFS(Sch_idx,Sch_n,C$5,Sch_bmax,"&gt;="&amp;($A88-0.000000001),Sch_P0,"&gt;="&amp;(C88+Beta_y*$A88-0.000000001)),"")</f>
        <v>32</v>
      </c>
      <c r="T88" s="15" t="n">
        <f aca="false">IF(L88=1,_xlfn.MINIFS(Sch_idx,Sch_n,D$5,Sch_bmax,"&gt;="&amp;($A88-0.000000001),Sch_P0,"&gt;="&amp;(D88+Beta_y*$A88-0.000000001)),"")</f>
        <v>48</v>
      </c>
      <c r="U88" s="15" t="n">
        <f aca="false">IF(M88=1,_xlfn.MINIFS(Sch_idx,Sch_n,E$5,Sch_bmax,"&gt;="&amp;($A88-0.000000001),Sch_P0,"&gt;="&amp;(E88+Beta_y*$A88-0.000000001)),"")</f>
        <v>56</v>
      </c>
      <c r="V88" s="15" t="n">
        <f aca="false">IF(N88=1,_xlfn.MINIFS(Sch_idx,Sch_n,F$5,Sch_bmax,"&gt;="&amp;($A88-0.000000001),Sch_P0,"&gt;="&amp;(F88+Beta_y*$A88-0.000000001)),"")</f>
        <v>57</v>
      </c>
      <c r="W88" s="15" t="n">
        <f aca="false">IF(O88=1,_xlfn.MINIFS(Sch_idx,Sch_n,G$5,Sch_bmax,"&gt;="&amp;($A88-0.000000001),Sch_P0,"&gt;="&amp;(G88+Beta_y*$A88-0.000000001)),"")</f>
        <v>59</v>
      </c>
      <c r="X88" s="15" t="n">
        <f aca="false">IF(P88=1,_xlfn.MINIFS(Sch_idx,Sch_n,H$5,Sch_bmax,"&gt;="&amp;($A88-0.000000001),Sch_P0,"&gt;="&amp;(H88+Beta_y*$A88-0.000000001)),"")</f>
        <v>63</v>
      </c>
      <c r="Z88" s="15" t="n">
        <f aca="false">IF(J88=1,IF(COUNTIFS(K88:$P88,1,C88:$H88,"&gt;="&amp;(B88-0.000000001))&gt;0,0,1),"")</f>
        <v>0</v>
      </c>
      <c r="AA88" s="15" t="n">
        <f aca="false">IF(K88=1,IF(COUNTIFS(L88:$P88,1,D88:$H88,"&gt;="&amp;(C88-0.000000001))&gt;0,0,1),"")</f>
        <v>0</v>
      </c>
      <c r="AB88" s="15" t="n">
        <f aca="false">IF(L88=1,IF(COUNTIFS(M88:$P88,1,E88:$H88,"&gt;="&amp;(D88-0.000000001))&gt;0,0,1),"")</f>
        <v>1</v>
      </c>
      <c r="AC88" s="15" t="n">
        <f aca="false">IF(M88=1,IF(COUNTIFS(N88:$P88,1,F88:$H88,"&gt;="&amp;(E88-0.000000001))&gt;0,0,1),"")</f>
        <v>1</v>
      </c>
      <c r="AD88" s="15" t="n">
        <f aca="false">IF(N88=1,IF(COUNTIFS(O88:$P88,1,G88:$H88,"&gt;="&amp;(F88-0.000000001))&gt;0,0,1),"")</f>
        <v>1</v>
      </c>
      <c r="AE88" s="15" t="n">
        <f aca="false">IF(O88=1,IF(COUNTIFS(P88:$P88,1,H88:$H88,"&gt;="&amp;(G88-0.000000001))&gt;0,0,1),"")</f>
        <v>1</v>
      </c>
      <c r="AF88" s="15" t="n">
        <f aca="false">IF(P88=1,1,"")</f>
        <v>1</v>
      </c>
    </row>
    <row r="89" customFormat="false" ht="15" hidden="false" customHeight="false" outlineLevel="0" collapsed="false">
      <c r="A89" s="2" t="n">
        <v>83</v>
      </c>
      <c r="B89" s="16" t="n">
        <f aca="false">IF(COUNTIFS(Sch_n,B$5,Sch_bmax,"&gt;="&amp;($A89-0.000000001))&gt;0,_xlfn.MAXIFS(Sch_P0,Sch_n,B$5,Sch_bmax,"&gt;="&amp;($A89-0.000000001))-Beta_y*$A89,"")</f>
        <v>60.9090909090909</v>
      </c>
      <c r="C89" s="16" t="n">
        <f aca="false">IF(COUNTIFS(Sch_n,C$5,Sch_bmax,"&gt;="&amp;($A89-0.000000001))&gt;0,_xlfn.MAXIFS(Sch_P0,Sch_n,C$5,Sch_bmax,"&gt;="&amp;($A89-0.000000001))-Beta_y*$A89,"")</f>
        <v>295.218098614725</v>
      </c>
      <c r="D89" s="16" t="n">
        <f aca="false">IF(COUNTIFS(Sch_n,D$5,Sch_bmax,"&gt;="&amp;($A89-0.000000001))&gt;0,_xlfn.MAXIFS(Sch_P0,Sch_n,D$5,Sch_bmax,"&gt;="&amp;($A89-0.000000001))-Beta_y*$A89,"")</f>
        <v>308.718790942</v>
      </c>
      <c r="E89" s="16" t="n">
        <f aca="false">IF(COUNTIFS(Sch_n,E$5,Sch_bmax,"&gt;="&amp;($A89-0.000000001))&gt;0,_xlfn.MAXIFS(Sch_P0,Sch_n,E$5,Sch_bmax,"&gt;="&amp;($A89-0.000000001))-Beta_y*$A89,"")</f>
        <v>254.997440110727</v>
      </c>
      <c r="F89" s="16" t="n">
        <f aca="false">IF(COUNTIFS(Sch_n,F$5,Sch_bmax,"&gt;="&amp;($A89-0.000000001))&gt;0,_xlfn.MAXIFS(Sch_P0,Sch_n,F$5,Sch_bmax,"&gt;="&amp;($A89-0.000000001))-Beta_y*$A89,"")</f>
        <v>185.426028231599</v>
      </c>
      <c r="G89" s="16" t="n">
        <f aca="false">IF(COUNTIFS(Sch_n,G$5,Sch_bmax,"&gt;="&amp;($A89-0.000000001))&gt;0,_xlfn.MAXIFS(Sch_P0,Sch_n,G$5,Sch_bmax,"&gt;="&amp;($A89-0.000000001))-Beta_y*$A89,"")</f>
        <v>111.367048608544</v>
      </c>
      <c r="H89" s="16" t="n">
        <f aca="false">IF(COUNTIFS(Sch_n,H$5,Sch_bmax,"&gt;="&amp;($A89-0.000000001))&gt;0,_xlfn.MAXIFS(Sch_P0,Sch_n,H$5,Sch_bmax,"&gt;="&amp;($A89-0.000000001))-Beta_y*$A89,"")</f>
        <v>31.136957745175</v>
      </c>
      <c r="J89" s="15" t="n">
        <f aca="false">IF(ISNUMBER(B89),1,0)</f>
        <v>1</v>
      </c>
      <c r="K89" s="15" t="n">
        <f aca="false">IF(ISNUMBER(C89),1,0)</f>
        <v>1</v>
      </c>
      <c r="L89" s="15" t="n">
        <f aca="false">IF(ISNUMBER(D89),1,0)</f>
        <v>1</v>
      </c>
      <c r="M89" s="15" t="n">
        <f aca="false">IF(ISNUMBER(E89),1,0)</f>
        <v>1</v>
      </c>
      <c r="N89" s="15" t="n">
        <f aca="false">IF(ISNUMBER(F89),1,0)</f>
        <v>1</v>
      </c>
      <c r="O89" s="15" t="n">
        <f aca="false">IF(ISNUMBER(G89),1,0)</f>
        <v>1</v>
      </c>
      <c r="P89" s="15" t="n">
        <f aca="false">IF(ISNUMBER(H89),1,0)</f>
        <v>1</v>
      </c>
      <c r="R89" s="15" t="n">
        <f aca="false">IF(J89=1,_xlfn.MINIFS(Sch_idx,Sch_n,B$5,Sch_bmax,"&gt;="&amp;($A89-0.000000001),Sch_P0,"&gt;="&amp;(B89+Beta_y*$A89-0.000000001)),"")</f>
        <v>0</v>
      </c>
      <c r="S89" s="15" t="n">
        <f aca="false">IF(K89=1,_xlfn.MINIFS(Sch_idx,Sch_n,C$5,Sch_bmax,"&gt;="&amp;($A89-0.000000001),Sch_P0,"&gt;="&amp;(C89+Beta_y*$A89-0.000000001)),"")</f>
        <v>32</v>
      </c>
      <c r="T89" s="15" t="n">
        <f aca="false">IF(L89=1,_xlfn.MINIFS(Sch_idx,Sch_n,D$5,Sch_bmax,"&gt;="&amp;($A89-0.000000001),Sch_P0,"&gt;="&amp;(D89+Beta_y*$A89-0.000000001)),"")</f>
        <v>48</v>
      </c>
      <c r="U89" s="15" t="n">
        <f aca="false">IF(M89=1,_xlfn.MINIFS(Sch_idx,Sch_n,E$5,Sch_bmax,"&gt;="&amp;($A89-0.000000001),Sch_P0,"&gt;="&amp;(E89+Beta_y*$A89-0.000000001)),"")</f>
        <v>56</v>
      </c>
      <c r="V89" s="15" t="n">
        <f aca="false">IF(N89=1,_xlfn.MINIFS(Sch_idx,Sch_n,F$5,Sch_bmax,"&gt;="&amp;($A89-0.000000001),Sch_P0,"&gt;="&amp;(F89+Beta_y*$A89-0.000000001)),"")</f>
        <v>57</v>
      </c>
      <c r="W89" s="15" t="n">
        <f aca="false">IF(O89=1,_xlfn.MINIFS(Sch_idx,Sch_n,G$5,Sch_bmax,"&gt;="&amp;($A89-0.000000001),Sch_P0,"&gt;="&amp;(G89+Beta_y*$A89-0.000000001)),"")</f>
        <v>59</v>
      </c>
      <c r="X89" s="15" t="n">
        <f aca="false">IF(P89=1,_xlfn.MINIFS(Sch_idx,Sch_n,H$5,Sch_bmax,"&gt;="&amp;($A89-0.000000001),Sch_P0,"&gt;="&amp;(H89+Beta_y*$A89-0.000000001)),"")</f>
        <v>63</v>
      </c>
      <c r="Z89" s="15" t="n">
        <f aca="false">IF(J89=1,IF(COUNTIFS(K89:$P89,1,C89:$H89,"&gt;="&amp;(B89-0.000000001))&gt;0,0,1),"")</f>
        <v>0</v>
      </c>
      <c r="AA89" s="15" t="n">
        <f aca="false">IF(K89=1,IF(COUNTIFS(L89:$P89,1,D89:$H89,"&gt;="&amp;(C89-0.000000001))&gt;0,0,1),"")</f>
        <v>0</v>
      </c>
      <c r="AB89" s="15" t="n">
        <f aca="false">IF(L89=1,IF(COUNTIFS(M89:$P89,1,E89:$H89,"&gt;="&amp;(D89-0.000000001))&gt;0,0,1),"")</f>
        <v>1</v>
      </c>
      <c r="AC89" s="15" t="n">
        <f aca="false">IF(M89=1,IF(COUNTIFS(N89:$P89,1,F89:$H89,"&gt;="&amp;(E89-0.000000001))&gt;0,0,1),"")</f>
        <v>1</v>
      </c>
      <c r="AD89" s="15" t="n">
        <f aca="false">IF(N89=1,IF(COUNTIFS(O89:$P89,1,G89:$H89,"&gt;="&amp;(F89-0.000000001))&gt;0,0,1),"")</f>
        <v>1</v>
      </c>
      <c r="AE89" s="15" t="n">
        <f aca="false">IF(O89=1,IF(COUNTIFS(P89:$P89,1,H89:$H89,"&gt;="&amp;(G89-0.000000001))&gt;0,0,1),"")</f>
        <v>1</v>
      </c>
      <c r="AF89" s="15" t="n">
        <f aca="false">IF(P89=1,1,"")</f>
        <v>1</v>
      </c>
    </row>
    <row r="90" customFormat="false" ht="15" hidden="false" customHeight="false" outlineLevel="0" collapsed="false">
      <c r="A90" s="2" t="n">
        <v>84</v>
      </c>
      <c r="B90" s="16" t="n">
        <f aca="false">IF(COUNTIFS(Sch_n,B$5,Sch_bmax,"&gt;="&amp;($A90-0.000000001))&gt;0,_xlfn.MAXIFS(Sch_P0,Sch_n,B$5,Sch_bmax,"&gt;="&amp;($A90-0.000000001))-Beta_y*$A90,"")</f>
        <v>60</v>
      </c>
      <c r="C90" s="16" t="n">
        <f aca="false">IF(COUNTIFS(Sch_n,C$5,Sch_bmax,"&gt;="&amp;($A90-0.000000001))&gt;0,_xlfn.MAXIFS(Sch_P0,Sch_n,C$5,Sch_bmax,"&gt;="&amp;($A90-0.000000001))-Beta_y*$A90,"")</f>
        <v>294.309007705634</v>
      </c>
      <c r="D90" s="16" t="n">
        <f aca="false">IF(COUNTIFS(Sch_n,D$5,Sch_bmax,"&gt;="&amp;($A90-0.000000001))&gt;0,_xlfn.MAXIFS(Sch_P0,Sch_n,D$5,Sch_bmax,"&gt;="&amp;($A90-0.000000001))-Beta_y*$A90,"")</f>
        <v>307.809700032909</v>
      </c>
      <c r="E90" s="16" t="n">
        <f aca="false">IF(COUNTIFS(Sch_n,E$5,Sch_bmax,"&gt;="&amp;($A90-0.000000001))&gt;0,_xlfn.MAXIFS(Sch_P0,Sch_n,E$5,Sch_bmax,"&gt;="&amp;($A90-0.000000001))-Beta_y*$A90,"")</f>
        <v>254.088349201636</v>
      </c>
      <c r="F90" s="16" t="n">
        <f aca="false">IF(COUNTIFS(Sch_n,F$5,Sch_bmax,"&gt;="&amp;($A90-0.000000001))&gt;0,_xlfn.MAXIFS(Sch_P0,Sch_n,F$5,Sch_bmax,"&gt;="&amp;($A90-0.000000001))-Beta_y*$A90,"")</f>
        <v>184.516937322508</v>
      </c>
      <c r="G90" s="16" t="n">
        <f aca="false">IF(COUNTIFS(Sch_n,G$5,Sch_bmax,"&gt;="&amp;($A90-0.000000001))&gt;0,_xlfn.MAXIFS(Sch_P0,Sch_n,G$5,Sch_bmax,"&gt;="&amp;($A90-0.000000001))-Beta_y*$A90,"")</f>
        <v>110.457957699453</v>
      </c>
      <c r="H90" s="16" t="n">
        <f aca="false">IF(COUNTIFS(Sch_n,H$5,Sch_bmax,"&gt;="&amp;($A90-0.000000001))&gt;0,_xlfn.MAXIFS(Sch_P0,Sch_n,H$5,Sch_bmax,"&gt;="&amp;($A90-0.000000001))-Beta_y*$A90,"")</f>
        <v>30.2278668360841</v>
      </c>
      <c r="J90" s="15" t="n">
        <f aca="false">IF(ISNUMBER(B90),1,0)</f>
        <v>1</v>
      </c>
      <c r="K90" s="15" t="n">
        <f aca="false">IF(ISNUMBER(C90),1,0)</f>
        <v>1</v>
      </c>
      <c r="L90" s="15" t="n">
        <f aca="false">IF(ISNUMBER(D90),1,0)</f>
        <v>1</v>
      </c>
      <c r="M90" s="15" t="n">
        <f aca="false">IF(ISNUMBER(E90),1,0)</f>
        <v>1</v>
      </c>
      <c r="N90" s="15" t="n">
        <f aca="false">IF(ISNUMBER(F90),1,0)</f>
        <v>1</v>
      </c>
      <c r="O90" s="15" t="n">
        <f aca="false">IF(ISNUMBER(G90),1,0)</f>
        <v>1</v>
      </c>
      <c r="P90" s="15" t="n">
        <f aca="false">IF(ISNUMBER(H90),1,0)</f>
        <v>1</v>
      </c>
      <c r="R90" s="15" t="n">
        <f aca="false">IF(J90=1,_xlfn.MINIFS(Sch_idx,Sch_n,B$5,Sch_bmax,"&gt;="&amp;($A90-0.000000001),Sch_P0,"&gt;="&amp;(B90+Beta_y*$A90-0.000000001)),"")</f>
        <v>0</v>
      </c>
      <c r="S90" s="15" t="n">
        <f aca="false">IF(K90=1,_xlfn.MINIFS(Sch_idx,Sch_n,C$5,Sch_bmax,"&gt;="&amp;($A90-0.000000001),Sch_P0,"&gt;="&amp;(C90+Beta_y*$A90-0.000000001)),"")</f>
        <v>32</v>
      </c>
      <c r="T90" s="15" t="n">
        <f aca="false">IF(L90=1,_xlfn.MINIFS(Sch_idx,Sch_n,D$5,Sch_bmax,"&gt;="&amp;($A90-0.000000001),Sch_P0,"&gt;="&amp;(D90+Beta_y*$A90-0.000000001)),"")</f>
        <v>48</v>
      </c>
      <c r="U90" s="15" t="n">
        <f aca="false">IF(M90=1,_xlfn.MINIFS(Sch_idx,Sch_n,E$5,Sch_bmax,"&gt;="&amp;($A90-0.000000001),Sch_P0,"&gt;="&amp;(E90+Beta_y*$A90-0.000000001)),"")</f>
        <v>56</v>
      </c>
      <c r="V90" s="15" t="n">
        <f aca="false">IF(N90=1,_xlfn.MINIFS(Sch_idx,Sch_n,F$5,Sch_bmax,"&gt;="&amp;($A90-0.000000001),Sch_P0,"&gt;="&amp;(F90+Beta_y*$A90-0.000000001)),"")</f>
        <v>57</v>
      </c>
      <c r="W90" s="15" t="n">
        <f aca="false">IF(O90=1,_xlfn.MINIFS(Sch_idx,Sch_n,G$5,Sch_bmax,"&gt;="&amp;($A90-0.000000001),Sch_P0,"&gt;="&amp;(G90+Beta_y*$A90-0.000000001)),"")</f>
        <v>59</v>
      </c>
      <c r="X90" s="15" t="n">
        <f aca="false">IF(P90=1,_xlfn.MINIFS(Sch_idx,Sch_n,H$5,Sch_bmax,"&gt;="&amp;($A90-0.000000001),Sch_P0,"&gt;="&amp;(H90+Beta_y*$A90-0.000000001)),"")</f>
        <v>63</v>
      </c>
      <c r="Z90" s="15" t="n">
        <f aca="false">IF(J90=1,IF(COUNTIFS(K90:$P90,1,C90:$H90,"&gt;="&amp;(B90-0.000000001))&gt;0,0,1),"")</f>
        <v>0</v>
      </c>
      <c r="AA90" s="15" t="n">
        <f aca="false">IF(K90=1,IF(COUNTIFS(L90:$P90,1,D90:$H90,"&gt;="&amp;(C90-0.000000001))&gt;0,0,1),"")</f>
        <v>0</v>
      </c>
      <c r="AB90" s="15" t="n">
        <f aca="false">IF(L90=1,IF(COUNTIFS(M90:$P90,1,E90:$H90,"&gt;="&amp;(D90-0.000000001))&gt;0,0,1),"")</f>
        <v>1</v>
      </c>
      <c r="AC90" s="15" t="n">
        <f aca="false">IF(M90=1,IF(COUNTIFS(N90:$P90,1,F90:$H90,"&gt;="&amp;(E90-0.000000001))&gt;0,0,1),"")</f>
        <v>1</v>
      </c>
      <c r="AD90" s="15" t="n">
        <f aca="false">IF(N90=1,IF(COUNTIFS(O90:$P90,1,G90:$H90,"&gt;="&amp;(F90-0.000000001))&gt;0,0,1),"")</f>
        <v>1</v>
      </c>
      <c r="AE90" s="15" t="n">
        <f aca="false">IF(O90=1,IF(COUNTIFS(P90:$P90,1,H90:$H90,"&gt;="&amp;(G90-0.000000001))&gt;0,0,1),"")</f>
        <v>1</v>
      </c>
      <c r="AF90" s="15" t="n">
        <f aca="false">IF(P90=1,1,"")</f>
        <v>1</v>
      </c>
    </row>
    <row r="91" customFormat="false" ht="15" hidden="false" customHeight="false" outlineLevel="0" collapsed="false">
      <c r="A91" s="2" t="n">
        <v>85</v>
      </c>
      <c r="B91" s="16" t="n">
        <f aca="false">IF(COUNTIFS(Sch_n,B$5,Sch_bmax,"&gt;="&amp;($A91-0.000000001))&gt;0,_xlfn.MAXIFS(Sch_P0,Sch_n,B$5,Sch_bmax,"&gt;="&amp;($A91-0.000000001))-Beta_y*$A91,"")</f>
        <v>59.0909090909091</v>
      </c>
      <c r="C91" s="16" t="n">
        <f aca="false">IF(COUNTIFS(Sch_n,C$5,Sch_bmax,"&gt;="&amp;($A91-0.000000001))&gt;0,_xlfn.MAXIFS(Sch_P0,Sch_n,C$5,Sch_bmax,"&gt;="&amp;($A91-0.000000001))-Beta_y*$A91,"")</f>
        <v>293.399916796543</v>
      </c>
      <c r="D91" s="16" t="n">
        <f aca="false">IF(COUNTIFS(Sch_n,D$5,Sch_bmax,"&gt;="&amp;($A91-0.000000001))&gt;0,_xlfn.MAXIFS(Sch_P0,Sch_n,D$5,Sch_bmax,"&gt;="&amp;($A91-0.000000001))-Beta_y*$A91,"")</f>
        <v>306.900609123818</v>
      </c>
      <c r="E91" s="16" t="n">
        <f aca="false">IF(COUNTIFS(Sch_n,E$5,Sch_bmax,"&gt;="&amp;($A91-0.000000001))&gt;0,_xlfn.MAXIFS(Sch_P0,Sch_n,E$5,Sch_bmax,"&gt;="&amp;($A91-0.000000001))-Beta_y*$A91,"")</f>
        <v>253.179258292545</v>
      </c>
      <c r="F91" s="16" t="n">
        <f aca="false">IF(COUNTIFS(Sch_n,F$5,Sch_bmax,"&gt;="&amp;($A91-0.000000001))&gt;0,_xlfn.MAXIFS(Sch_P0,Sch_n,F$5,Sch_bmax,"&gt;="&amp;($A91-0.000000001))-Beta_y*$A91,"")</f>
        <v>183.607846413417</v>
      </c>
      <c r="G91" s="16" t="n">
        <f aca="false">IF(COUNTIFS(Sch_n,G$5,Sch_bmax,"&gt;="&amp;($A91-0.000000001))&gt;0,_xlfn.MAXIFS(Sch_P0,Sch_n,G$5,Sch_bmax,"&gt;="&amp;($A91-0.000000001))-Beta_y*$A91,"")</f>
        <v>109.548866790362</v>
      </c>
      <c r="H91" s="16" t="n">
        <f aca="false">IF(COUNTIFS(Sch_n,H$5,Sch_bmax,"&gt;="&amp;($A91-0.000000001))&gt;0,_xlfn.MAXIFS(Sch_P0,Sch_n,H$5,Sch_bmax,"&gt;="&amp;($A91-0.000000001))-Beta_y*$A91,"")</f>
        <v>29.3187759269932</v>
      </c>
      <c r="J91" s="15" t="n">
        <f aca="false">IF(ISNUMBER(B91),1,0)</f>
        <v>1</v>
      </c>
      <c r="K91" s="15" t="n">
        <f aca="false">IF(ISNUMBER(C91),1,0)</f>
        <v>1</v>
      </c>
      <c r="L91" s="15" t="n">
        <f aca="false">IF(ISNUMBER(D91),1,0)</f>
        <v>1</v>
      </c>
      <c r="M91" s="15" t="n">
        <f aca="false">IF(ISNUMBER(E91),1,0)</f>
        <v>1</v>
      </c>
      <c r="N91" s="15" t="n">
        <f aca="false">IF(ISNUMBER(F91),1,0)</f>
        <v>1</v>
      </c>
      <c r="O91" s="15" t="n">
        <f aca="false">IF(ISNUMBER(G91),1,0)</f>
        <v>1</v>
      </c>
      <c r="P91" s="15" t="n">
        <f aca="false">IF(ISNUMBER(H91),1,0)</f>
        <v>1</v>
      </c>
      <c r="R91" s="15" t="n">
        <f aca="false">IF(J91=1,_xlfn.MINIFS(Sch_idx,Sch_n,B$5,Sch_bmax,"&gt;="&amp;($A91-0.000000001),Sch_P0,"&gt;="&amp;(B91+Beta_y*$A91-0.000000001)),"")</f>
        <v>0</v>
      </c>
      <c r="S91" s="15" t="n">
        <f aca="false">IF(K91=1,_xlfn.MINIFS(Sch_idx,Sch_n,C$5,Sch_bmax,"&gt;="&amp;($A91-0.000000001),Sch_P0,"&gt;="&amp;(C91+Beta_y*$A91-0.000000001)),"")</f>
        <v>32</v>
      </c>
      <c r="T91" s="15" t="n">
        <f aca="false">IF(L91=1,_xlfn.MINIFS(Sch_idx,Sch_n,D$5,Sch_bmax,"&gt;="&amp;($A91-0.000000001),Sch_P0,"&gt;="&amp;(D91+Beta_y*$A91-0.000000001)),"")</f>
        <v>48</v>
      </c>
      <c r="U91" s="15" t="n">
        <f aca="false">IF(M91=1,_xlfn.MINIFS(Sch_idx,Sch_n,E$5,Sch_bmax,"&gt;="&amp;($A91-0.000000001),Sch_P0,"&gt;="&amp;(E91+Beta_y*$A91-0.000000001)),"")</f>
        <v>56</v>
      </c>
      <c r="V91" s="15" t="n">
        <f aca="false">IF(N91=1,_xlfn.MINIFS(Sch_idx,Sch_n,F$5,Sch_bmax,"&gt;="&amp;($A91-0.000000001),Sch_P0,"&gt;="&amp;(F91+Beta_y*$A91-0.000000001)),"")</f>
        <v>57</v>
      </c>
      <c r="W91" s="15" t="n">
        <f aca="false">IF(O91=1,_xlfn.MINIFS(Sch_idx,Sch_n,G$5,Sch_bmax,"&gt;="&amp;($A91-0.000000001),Sch_P0,"&gt;="&amp;(G91+Beta_y*$A91-0.000000001)),"")</f>
        <v>59</v>
      </c>
      <c r="X91" s="15" t="n">
        <f aca="false">IF(P91=1,_xlfn.MINIFS(Sch_idx,Sch_n,H$5,Sch_bmax,"&gt;="&amp;($A91-0.000000001),Sch_P0,"&gt;="&amp;(H91+Beta_y*$A91-0.000000001)),"")</f>
        <v>63</v>
      </c>
      <c r="Z91" s="15" t="n">
        <f aca="false">IF(J91=1,IF(COUNTIFS(K91:$P91,1,C91:$H91,"&gt;="&amp;(B91-0.000000001))&gt;0,0,1),"")</f>
        <v>0</v>
      </c>
      <c r="AA91" s="15" t="n">
        <f aca="false">IF(K91=1,IF(COUNTIFS(L91:$P91,1,D91:$H91,"&gt;="&amp;(C91-0.000000001))&gt;0,0,1),"")</f>
        <v>0</v>
      </c>
      <c r="AB91" s="15" t="n">
        <f aca="false">IF(L91=1,IF(COUNTIFS(M91:$P91,1,E91:$H91,"&gt;="&amp;(D91-0.000000001))&gt;0,0,1),"")</f>
        <v>1</v>
      </c>
      <c r="AC91" s="15" t="n">
        <f aca="false">IF(M91=1,IF(COUNTIFS(N91:$P91,1,F91:$H91,"&gt;="&amp;(E91-0.000000001))&gt;0,0,1),"")</f>
        <v>1</v>
      </c>
      <c r="AD91" s="15" t="n">
        <f aca="false">IF(N91=1,IF(COUNTIFS(O91:$P91,1,G91:$H91,"&gt;="&amp;(F91-0.000000001))&gt;0,0,1),"")</f>
        <v>1</v>
      </c>
      <c r="AE91" s="15" t="n">
        <f aca="false">IF(O91=1,IF(COUNTIFS(P91:$P91,1,H91:$H91,"&gt;="&amp;(G91-0.000000001))&gt;0,0,1),"")</f>
        <v>1</v>
      </c>
      <c r="AF91" s="15" t="n">
        <f aca="false">IF(P91=1,1,"")</f>
        <v>1</v>
      </c>
    </row>
    <row r="92" customFormat="false" ht="15" hidden="false" customHeight="false" outlineLevel="0" collapsed="false">
      <c r="A92" s="2" t="n">
        <v>86</v>
      </c>
      <c r="B92" s="16" t="n">
        <f aca="false">IF(COUNTIFS(Sch_n,B$5,Sch_bmax,"&gt;="&amp;($A92-0.000000001))&gt;0,_xlfn.MAXIFS(Sch_P0,Sch_n,B$5,Sch_bmax,"&gt;="&amp;($A92-0.000000001))-Beta_y*$A92,"")</f>
        <v>58.1818181818182</v>
      </c>
      <c r="C92" s="16" t="n">
        <f aca="false">IF(COUNTIFS(Sch_n,C$5,Sch_bmax,"&gt;="&amp;($A92-0.000000001))&gt;0,_xlfn.MAXIFS(Sch_P0,Sch_n,C$5,Sch_bmax,"&gt;="&amp;($A92-0.000000001))-Beta_y*$A92,"")</f>
        <v>292.490825887452</v>
      </c>
      <c r="D92" s="16" t="n">
        <f aca="false">IF(COUNTIFS(Sch_n,D$5,Sch_bmax,"&gt;="&amp;($A92-0.000000001))&gt;0,_xlfn.MAXIFS(Sch_P0,Sch_n,D$5,Sch_bmax,"&gt;="&amp;($A92-0.000000001))-Beta_y*$A92,"")</f>
        <v>305.991518214727</v>
      </c>
      <c r="E92" s="16" t="n">
        <f aca="false">IF(COUNTIFS(Sch_n,E$5,Sch_bmax,"&gt;="&amp;($A92-0.000000001))&gt;0,_xlfn.MAXIFS(Sch_P0,Sch_n,E$5,Sch_bmax,"&gt;="&amp;($A92-0.000000001))-Beta_y*$A92,"")</f>
        <v>248.250633198631</v>
      </c>
      <c r="F92" s="16" t="n">
        <f aca="false">IF(COUNTIFS(Sch_n,F$5,Sch_bmax,"&gt;="&amp;($A92-0.000000001))&gt;0,_xlfn.MAXIFS(Sch_P0,Sch_n,F$5,Sch_bmax,"&gt;="&amp;($A92-0.000000001))-Beta_y*$A92,"")</f>
        <v>178.679221319503</v>
      </c>
      <c r="G92" s="16" t="n">
        <f aca="false">IF(COUNTIFS(Sch_n,G$5,Sch_bmax,"&gt;="&amp;($A92-0.000000001))&gt;0,_xlfn.MAXIFS(Sch_P0,Sch_n,G$5,Sch_bmax,"&gt;="&amp;($A92-0.000000001))-Beta_y*$A92,"")</f>
        <v>104.620241696447</v>
      </c>
      <c r="H92" s="16" t="str">
        <f aca="false">IF(COUNTIFS(Sch_n,H$5,Sch_bmax,"&gt;="&amp;($A92-0.000000001))&gt;0,_xlfn.MAXIFS(Sch_P0,Sch_n,H$5,Sch_bmax,"&gt;="&amp;($A92-0.000000001))-Beta_y*$A92,"")</f>
        <v/>
      </c>
      <c r="J92" s="15" t="n">
        <f aca="false">IF(ISNUMBER(B92),1,0)</f>
        <v>1</v>
      </c>
      <c r="K92" s="15" t="n">
        <f aca="false">IF(ISNUMBER(C92),1,0)</f>
        <v>1</v>
      </c>
      <c r="L92" s="15" t="n">
        <f aca="false">IF(ISNUMBER(D92),1,0)</f>
        <v>1</v>
      </c>
      <c r="M92" s="15" t="n">
        <f aca="false">IF(ISNUMBER(E92),1,0)</f>
        <v>1</v>
      </c>
      <c r="N92" s="15" t="n">
        <f aca="false">IF(ISNUMBER(F92),1,0)</f>
        <v>1</v>
      </c>
      <c r="O92" s="15" t="n">
        <f aca="false">IF(ISNUMBER(G92),1,0)</f>
        <v>1</v>
      </c>
      <c r="P92" s="15" t="n">
        <f aca="false">IF(ISNUMBER(H92),1,0)</f>
        <v>0</v>
      </c>
      <c r="R92" s="15" t="n">
        <f aca="false">IF(J92=1,_xlfn.MINIFS(Sch_idx,Sch_n,B$5,Sch_bmax,"&gt;="&amp;($A92-0.000000001),Sch_P0,"&gt;="&amp;(B92+Beta_y*$A92-0.000000001)),"")</f>
        <v>0</v>
      </c>
      <c r="S92" s="15" t="n">
        <f aca="false">IF(K92=1,_xlfn.MINIFS(Sch_idx,Sch_n,C$5,Sch_bmax,"&gt;="&amp;($A92-0.000000001),Sch_P0,"&gt;="&amp;(C92+Beta_y*$A92-0.000000001)),"")</f>
        <v>32</v>
      </c>
      <c r="T92" s="15" t="n">
        <f aca="false">IF(L92=1,_xlfn.MINIFS(Sch_idx,Sch_n,D$5,Sch_bmax,"&gt;="&amp;($A92-0.000000001),Sch_P0,"&gt;="&amp;(D92+Beta_y*$A92-0.000000001)),"")</f>
        <v>48</v>
      </c>
      <c r="U92" s="15" t="n">
        <f aca="false">IF(M92=1,_xlfn.MINIFS(Sch_idx,Sch_n,E$5,Sch_bmax,"&gt;="&amp;($A92-0.000000001),Sch_P0,"&gt;="&amp;(E92+Beta_y*$A92-0.000000001)),"")</f>
        <v>52</v>
      </c>
      <c r="V92" s="15" t="n">
        <f aca="false">IF(N92=1,_xlfn.MINIFS(Sch_idx,Sch_n,F$5,Sch_bmax,"&gt;="&amp;($A92-0.000000001),Sch_P0,"&gt;="&amp;(F92+Beta_y*$A92-0.000000001)),"")</f>
        <v>53</v>
      </c>
      <c r="W92" s="15" t="n">
        <f aca="false">IF(O92=1,_xlfn.MINIFS(Sch_idx,Sch_n,G$5,Sch_bmax,"&gt;="&amp;($A92-0.000000001),Sch_P0,"&gt;="&amp;(G92+Beta_y*$A92-0.000000001)),"")</f>
        <v>55</v>
      </c>
      <c r="X92" s="15" t="str">
        <f aca="false">IF(P92=1,_xlfn.MINIFS(Sch_idx,Sch_n,H$5,Sch_bmax,"&gt;="&amp;($A92-0.000000001),Sch_P0,"&gt;="&amp;(H92+Beta_y*$A92-0.000000001)),"")</f>
        <v/>
      </c>
      <c r="Z92" s="15" t="n">
        <f aca="false">IF(J92=1,IF(COUNTIFS(K92:$P92,1,C92:$H92,"&gt;="&amp;(B92-0.000000001))&gt;0,0,1),"")</f>
        <v>0</v>
      </c>
      <c r="AA92" s="15" t="n">
        <f aca="false">IF(K92=1,IF(COUNTIFS(L92:$P92,1,D92:$H92,"&gt;="&amp;(C92-0.000000001))&gt;0,0,1),"")</f>
        <v>0</v>
      </c>
      <c r="AB92" s="15" t="n">
        <f aca="false">IF(L92=1,IF(COUNTIFS(M92:$P92,1,E92:$H92,"&gt;="&amp;(D92-0.000000001))&gt;0,0,1),"")</f>
        <v>1</v>
      </c>
      <c r="AC92" s="15" t="n">
        <f aca="false">IF(M92=1,IF(COUNTIFS(N92:$P92,1,F92:$H92,"&gt;="&amp;(E92-0.000000001))&gt;0,0,1),"")</f>
        <v>1</v>
      </c>
      <c r="AD92" s="15" t="n">
        <f aca="false">IF(N92=1,IF(COUNTIFS(O92:$P92,1,G92:$H92,"&gt;="&amp;(F92-0.000000001))&gt;0,0,1),"")</f>
        <v>1</v>
      </c>
      <c r="AE92" s="15" t="n">
        <f aca="false">IF(O92=1,IF(COUNTIFS(P92:$P92,1,H92:$H92,"&gt;="&amp;(G92-0.000000001))&gt;0,0,1),"")</f>
        <v>1</v>
      </c>
      <c r="AF92" s="15" t="str">
        <f aca="false">IF(P92=1,1,"")</f>
        <v/>
      </c>
    </row>
    <row r="93" customFormat="false" ht="15" hidden="false" customHeight="false" outlineLevel="0" collapsed="false">
      <c r="A93" s="2" t="n">
        <v>87</v>
      </c>
      <c r="B93" s="16" t="n">
        <f aca="false">IF(COUNTIFS(Sch_n,B$5,Sch_bmax,"&gt;="&amp;($A93-0.000000001))&gt;0,_xlfn.MAXIFS(Sch_P0,Sch_n,B$5,Sch_bmax,"&gt;="&amp;($A93-0.000000001))-Beta_y*$A93,"")</f>
        <v>57.2727272727273</v>
      </c>
      <c r="C93" s="16" t="n">
        <f aca="false">IF(COUNTIFS(Sch_n,C$5,Sch_bmax,"&gt;="&amp;($A93-0.000000001))&gt;0,_xlfn.MAXIFS(Sch_P0,Sch_n,C$5,Sch_bmax,"&gt;="&amp;($A93-0.000000001))-Beta_y*$A93,"")</f>
        <v>291.581734978361</v>
      </c>
      <c r="D93" s="16" t="n">
        <f aca="false">IF(COUNTIFS(Sch_n,D$5,Sch_bmax,"&gt;="&amp;($A93-0.000000001))&gt;0,_xlfn.MAXIFS(Sch_P0,Sch_n,D$5,Sch_bmax,"&gt;="&amp;($A93-0.000000001))-Beta_y*$A93,"")</f>
        <v>305.082427305636</v>
      </c>
      <c r="E93" s="16" t="n">
        <f aca="false">IF(COUNTIFS(Sch_n,E$5,Sch_bmax,"&gt;="&amp;($A93-0.000000001))&gt;0,_xlfn.MAXIFS(Sch_P0,Sch_n,E$5,Sch_bmax,"&gt;="&amp;($A93-0.000000001))-Beta_y*$A93,"")</f>
        <v>247.34154228954</v>
      </c>
      <c r="F93" s="16" t="n">
        <f aca="false">IF(COUNTIFS(Sch_n,F$5,Sch_bmax,"&gt;="&amp;($A93-0.000000001))&gt;0,_xlfn.MAXIFS(Sch_P0,Sch_n,F$5,Sch_bmax,"&gt;="&amp;($A93-0.000000001))-Beta_y*$A93,"")</f>
        <v>177.770130410412</v>
      </c>
      <c r="G93" s="16" t="n">
        <f aca="false">IF(COUNTIFS(Sch_n,G$5,Sch_bmax,"&gt;="&amp;($A93-0.000000001))&gt;0,_xlfn.MAXIFS(Sch_P0,Sch_n,G$5,Sch_bmax,"&gt;="&amp;($A93-0.000000001))-Beta_y*$A93,"")</f>
        <v>103.711150787356</v>
      </c>
      <c r="H93" s="16" t="str">
        <f aca="false">IF(COUNTIFS(Sch_n,H$5,Sch_bmax,"&gt;="&amp;($A93-0.000000001))&gt;0,_xlfn.MAXIFS(Sch_P0,Sch_n,H$5,Sch_bmax,"&gt;="&amp;($A93-0.000000001))-Beta_y*$A93,"")</f>
        <v/>
      </c>
      <c r="J93" s="15" t="n">
        <f aca="false">IF(ISNUMBER(B93),1,0)</f>
        <v>1</v>
      </c>
      <c r="K93" s="15" t="n">
        <f aca="false">IF(ISNUMBER(C93),1,0)</f>
        <v>1</v>
      </c>
      <c r="L93" s="15" t="n">
        <f aca="false">IF(ISNUMBER(D93),1,0)</f>
        <v>1</v>
      </c>
      <c r="M93" s="15" t="n">
        <f aca="false">IF(ISNUMBER(E93),1,0)</f>
        <v>1</v>
      </c>
      <c r="N93" s="15" t="n">
        <f aca="false">IF(ISNUMBER(F93),1,0)</f>
        <v>1</v>
      </c>
      <c r="O93" s="15" t="n">
        <f aca="false">IF(ISNUMBER(G93),1,0)</f>
        <v>1</v>
      </c>
      <c r="P93" s="15" t="n">
        <f aca="false">IF(ISNUMBER(H93),1,0)</f>
        <v>0</v>
      </c>
      <c r="R93" s="15" t="n">
        <f aca="false">IF(J93=1,_xlfn.MINIFS(Sch_idx,Sch_n,B$5,Sch_bmax,"&gt;="&amp;($A93-0.000000001),Sch_P0,"&gt;="&amp;(B93+Beta_y*$A93-0.000000001)),"")</f>
        <v>0</v>
      </c>
      <c r="S93" s="15" t="n">
        <f aca="false">IF(K93=1,_xlfn.MINIFS(Sch_idx,Sch_n,C$5,Sch_bmax,"&gt;="&amp;($A93-0.000000001),Sch_P0,"&gt;="&amp;(C93+Beta_y*$A93-0.000000001)),"")</f>
        <v>32</v>
      </c>
      <c r="T93" s="15" t="n">
        <f aca="false">IF(L93=1,_xlfn.MINIFS(Sch_idx,Sch_n,D$5,Sch_bmax,"&gt;="&amp;($A93-0.000000001),Sch_P0,"&gt;="&amp;(D93+Beta_y*$A93-0.000000001)),"")</f>
        <v>48</v>
      </c>
      <c r="U93" s="15" t="n">
        <f aca="false">IF(M93=1,_xlfn.MINIFS(Sch_idx,Sch_n,E$5,Sch_bmax,"&gt;="&amp;($A93-0.000000001),Sch_P0,"&gt;="&amp;(E93+Beta_y*$A93-0.000000001)),"")</f>
        <v>52</v>
      </c>
      <c r="V93" s="15" t="n">
        <f aca="false">IF(N93=1,_xlfn.MINIFS(Sch_idx,Sch_n,F$5,Sch_bmax,"&gt;="&amp;($A93-0.000000001),Sch_P0,"&gt;="&amp;(F93+Beta_y*$A93-0.000000001)),"")</f>
        <v>53</v>
      </c>
      <c r="W93" s="15" t="n">
        <f aca="false">IF(O93=1,_xlfn.MINIFS(Sch_idx,Sch_n,G$5,Sch_bmax,"&gt;="&amp;($A93-0.000000001),Sch_P0,"&gt;="&amp;(G93+Beta_y*$A93-0.000000001)),"")</f>
        <v>55</v>
      </c>
      <c r="X93" s="15" t="str">
        <f aca="false">IF(P93=1,_xlfn.MINIFS(Sch_idx,Sch_n,H$5,Sch_bmax,"&gt;="&amp;($A93-0.000000001),Sch_P0,"&gt;="&amp;(H93+Beta_y*$A93-0.000000001)),"")</f>
        <v/>
      </c>
      <c r="Z93" s="15" t="n">
        <f aca="false">IF(J93=1,IF(COUNTIFS(K93:$P93,1,C93:$H93,"&gt;="&amp;(B93-0.000000001))&gt;0,0,1),"")</f>
        <v>0</v>
      </c>
      <c r="AA93" s="15" t="n">
        <f aca="false">IF(K93=1,IF(COUNTIFS(L93:$P93,1,D93:$H93,"&gt;="&amp;(C93-0.000000001))&gt;0,0,1),"")</f>
        <v>0</v>
      </c>
      <c r="AB93" s="15" t="n">
        <f aca="false">IF(L93=1,IF(COUNTIFS(M93:$P93,1,E93:$H93,"&gt;="&amp;(D93-0.000000001))&gt;0,0,1),"")</f>
        <v>1</v>
      </c>
      <c r="AC93" s="15" t="n">
        <f aca="false">IF(M93=1,IF(COUNTIFS(N93:$P93,1,F93:$H93,"&gt;="&amp;(E93-0.000000001))&gt;0,0,1),"")</f>
        <v>1</v>
      </c>
      <c r="AD93" s="15" t="n">
        <f aca="false">IF(N93=1,IF(COUNTIFS(O93:$P93,1,G93:$H93,"&gt;="&amp;(F93-0.000000001))&gt;0,0,1),"")</f>
        <v>1</v>
      </c>
      <c r="AE93" s="15" t="n">
        <f aca="false">IF(O93=1,IF(COUNTIFS(P93:$P93,1,H93:$H93,"&gt;="&amp;(G93-0.000000001))&gt;0,0,1),"")</f>
        <v>1</v>
      </c>
      <c r="AF93" s="15" t="str">
        <f aca="false">IF(P93=1,1,"")</f>
        <v/>
      </c>
    </row>
    <row r="94" customFormat="false" ht="15" hidden="false" customHeight="false" outlineLevel="0" collapsed="false">
      <c r="A94" s="2" t="n">
        <v>88</v>
      </c>
      <c r="B94" s="16" t="n">
        <f aca="false">IF(COUNTIFS(Sch_n,B$5,Sch_bmax,"&gt;="&amp;($A94-0.000000001))&gt;0,_xlfn.MAXIFS(Sch_P0,Sch_n,B$5,Sch_bmax,"&gt;="&amp;($A94-0.000000001))-Beta_y*$A94,"")</f>
        <v>56.3636363636363</v>
      </c>
      <c r="C94" s="16" t="n">
        <f aca="false">IF(COUNTIFS(Sch_n,C$5,Sch_bmax,"&gt;="&amp;($A94-0.000000001))&gt;0,_xlfn.MAXIFS(Sch_P0,Sch_n,C$5,Sch_bmax,"&gt;="&amp;($A94-0.000000001))-Beta_y*$A94,"")</f>
        <v>290.67264406927</v>
      </c>
      <c r="D94" s="16" t="n">
        <f aca="false">IF(COUNTIFS(Sch_n,D$5,Sch_bmax,"&gt;="&amp;($A94-0.000000001))&gt;0,_xlfn.MAXIFS(Sch_P0,Sch_n,D$5,Sch_bmax,"&gt;="&amp;($A94-0.000000001))-Beta_y*$A94,"")</f>
        <v>304.173336396545</v>
      </c>
      <c r="E94" s="16" t="n">
        <f aca="false">IF(COUNTIFS(Sch_n,E$5,Sch_bmax,"&gt;="&amp;($A94-0.000000001))&gt;0,_xlfn.MAXIFS(Sch_P0,Sch_n,E$5,Sch_bmax,"&gt;="&amp;($A94-0.000000001))-Beta_y*$A94,"")</f>
        <v>246.432451380449</v>
      </c>
      <c r="F94" s="16" t="n">
        <f aca="false">IF(COUNTIFS(Sch_n,F$5,Sch_bmax,"&gt;="&amp;($A94-0.000000001))&gt;0,_xlfn.MAXIFS(Sch_P0,Sch_n,F$5,Sch_bmax,"&gt;="&amp;($A94-0.000000001))-Beta_y*$A94,"")</f>
        <v>176.861039501321</v>
      </c>
      <c r="G94" s="16" t="n">
        <f aca="false">IF(COUNTIFS(Sch_n,G$5,Sch_bmax,"&gt;="&amp;($A94-0.000000001))&gt;0,_xlfn.MAXIFS(Sch_P0,Sch_n,G$5,Sch_bmax,"&gt;="&amp;($A94-0.000000001))-Beta_y*$A94,"")</f>
        <v>102.802059878266</v>
      </c>
      <c r="H94" s="16" t="str">
        <f aca="false">IF(COUNTIFS(Sch_n,H$5,Sch_bmax,"&gt;="&amp;($A94-0.000000001))&gt;0,_xlfn.MAXIFS(Sch_P0,Sch_n,H$5,Sch_bmax,"&gt;="&amp;($A94-0.000000001))-Beta_y*$A94,"")</f>
        <v/>
      </c>
      <c r="J94" s="15" t="n">
        <f aca="false">IF(ISNUMBER(B94),1,0)</f>
        <v>1</v>
      </c>
      <c r="K94" s="15" t="n">
        <f aca="false">IF(ISNUMBER(C94),1,0)</f>
        <v>1</v>
      </c>
      <c r="L94" s="15" t="n">
        <f aca="false">IF(ISNUMBER(D94),1,0)</f>
        <v>1</v>
      </c>
      <c r="M94" s="15" t="n">
        <f aca="false">IF(ISNUMBER(E94),1,0)</f>
        <v>1</v>
      </c>
      <c r="N94" s="15" t="n">
        <f aca="false">IF(ISNUMBER(F94),1,0)</f>
        <v>1</v>
      </c>
      <c r="O94" s="15" t="n">
        <f aca="false">IF(ISNUMBER(G94),1,0)</f>
        <v>1</v>
      </c>
      <c r="P94" s="15" t="n">
        <f aca="false">IF(ISNUMBER(H94),1,0)</f>
        <v>0</v>
      </c>
      <c r="R94" s="15" t="n">
        <f aca="false">IF(J94=1,_xlfn.MINIFS(Sch_idx,Sch_n,B$5,Sch_bmax,"&gt;="&amp;($A94-0.000000001),Sch_P0,"&gt;="&amp;(B94+Beta_y*$A94-0.000000001)),"")</f>
        <v>0</v>
      </c>
      <c r="S94" s="15" t="n">
        <f aca="false">IF(K94=1,_xlfn.MINIFS(Sch_idx,Sch_n,C$5,Sch_bmax,"&gt;="&amp;($A94-0.000000001),Sch_P0,"&gt;="&amp;(C94+Beta_y*$A94-0.000000001)),"")</f>
        <v>32</v>
      </c>
      <c r="T94" s="15" t="n">
        <f aca="false">IF(L94=1,_xlfn.MINIFS(Sch_idx,Sch_n,D$5,Sch_bmax,"&gt;="&amp;($A94-0.000000001),Sch_P0,"&gt;="&amp;(D94+Beta_y*$A94-0.000000001)),"")</f>
        <v>48</v>
      </c>
      <c r="U94" s="15" t="n">
        <f aca="false">IF(M94=1,_xlfn.MINIFS(Sch_idx,Sch_n,E$5,Sch_bmax,"&gt;="&amp;($A94-0.000000001),Sch_P0,"&gt;="&amp;(E94+Beta_y*$A94-0.000000001)),"")</f>
        <v>52</v>
      </c>
      <c r="V94" s="15" t="n">
        <f aca="false">IF(N94=1,_xlfn.MINIFS(Sch_idx,Sch_n,F$5,Sch_bmax,"&gt;="&amp;($A94-0.000000001),Sch_P0,"&gt;="&amp;(F94+Beta_y*$A94-0.000000001)),"")</f>
        <v>53</v>
      </c>
      <c r="W94" s="15" t="n">
        <f aca="false">IF(O94=1,_xlfn.MINIFS(Sch_idx,Sch_n,G$5,Sch_bmax,"&gt;="&amp;($A94-0.000000001),Sch_P0,"&gt;="&amp;(G94+Beta_y*$A94-0.000000001)),"")</f>
        <v>55</v>
      </c>
      <c r="X94" s="15" t="str">
        <f aca="false">IF(P94=1,_xlfn.MINIFS(Sch_idx,Sch_n,H$5,Sch_bmax,"&gt;="&amp;($A94-0.000000001),Sch_P0,"&gt;="&amp;(H94+Beta_y*$A94-0.000000001)),"")</f>
        <v/>
      </c>
      <c r="Z94" s="15" t="n">
        <f aca="false">IF(J94=1,IF(COUNTIFS(K94:$P94,1,C94:$H94,"&gt;="&amp;(B94-0.000000001))&gt;0,0,1),"")</f>
        <v>0</v>
      </c>
      <c r="AA94" s="15" t="n">
        <f aca="false">IF(K94=1,IF(COUNTIFS(L94:$P94,1,D94:$H94,"&gt;="&amp;(C94-0.000000001))&gt;0,0,1),"")</f>
        <v>0</v>
      </c>
      <c r="AB94" s="15" t="n">
        <f aca="false">IF(L94=1,IF(COUNTIFS(M94:$P94,1,E94:$H94,"&gt;="&amp;(D94-0.000000001))&gt;0,0,1),"")</f>
        <v>1</v>
      </c>
      <c r="AC94" s="15" t="n">
        <f aca="false">IF(M94=1,IF(COUNTIFS(N94:$P94,1,F94:$H94,"&gt;="&amp;(E94-0.000000001))&gt;0,0,1),"")</f>
        <v>1</v>
      </c>
      <c r="AD94" s="15" t="n">
        <f aca="false">IF(N94=1,IF(COUNTIFS(O94:$P94,1,G94:$H94,"&gt;="&amp;(F94-0.000000001))&gt;0,0,1),"")</f>
        <v>1</v>
      </c>
      <c r="AE94" s="15" t="n">
        <f aca="false">IF(O94=1,IF(COUNTIFS(P94:$P94,1,H94:$H94,"&gt;="&amp;(G94-0.000000001))&gt;0,0,1),"")</f>
        <v>1</v>
      </c>
      <c r="AF94" s="15" t="str">
        <f aca="false">IF(P94=1,1,"")</f>
        <v/>
      </c>
    </row>
    <row r="95" customFormat="false" ht="15" hidden="false" customHeight="false" outlineLevel="0" collapsed="false">
      <c r="A95" s="2" t="n">
        <v>89</v>
      </c>
      <c r="B95" s="16" t="n">
        <f aca="false">IF(COUNTIFS(Sch_n,B$5,Sch_bmax,"&gt;="&amp;($A95-0.000000001))&gt;0,_xlfn.MAXIFS(Sch_P0,Sch_n,B$5,Sch_bmax,"&gt;="&amp;($A95-0.000000001))-Beta_y*$A95,"")</f>
        <v>55.4545454545454</v>
      </c>
      <c r="C95" s="16" t="n">
        <f aca="false">IF(COUNTIFS(Sch_n,C$5,Sch_bmax,"&gt;="&amp;($A95-0.000000001))&gt;0,_xlfn.MAXIFS(Sch_P0,Sch_n,C$5,Sch_bmax,"&gt;="&amp;($A95-0.000000001))-Beta_y*$A95,"")</f>
        <v>289.763553160179</v>
      </c>
      <c r="D95" s="16" t="n">
        <f aca="false">IF(COUNTIFS(Sch_n,D$5,Sch_bmax,"&gt;="&amp;($A95-0.000000001))&gt;0,_xlfn.MAXIFS(Sch_P0,Sch_n,D$5,Sch_bmax,"&gt;="&amp;($A95-0.000000001))-Beta_y*$A95,"")</f>
        <v>303.264245487454</v>
      </c>
      <c r="E95" s="16" t="n">
        <f aca="false">IF(COUNTIFS(Sch_n,E$5,Sch_bmax,"&gt;="&amp;($A95-0.000000001))&gt;0,_xlfn.MAXIFS(Sch_P0,Sch_n,E$5,Sch_bmax,"&gt;="&amp;($A95-0.000000001))-Beta_y*$A95,"")</f>
        <v>245.523360471358</v>
      </c>
      <c r="F95" s="16" t="n">
        <f aca="false">IF(COUNTIFS(Sch_n,F$5,Sch_bmax,"&gt;="&amp;($A95-0.000000001))&gt;0,_xlfn.MAXIFS(Sch_P0,Sch_n,F$5,Sch_bmax,"&gt;="&amp;($A95-0.000000001))-Beta_y*$A95,"")</f>
        <v>175.95194859223</v>
      </c>
      <c r="G95" s="16" t="n">
        <f aca="false">IF(COUNTIFS(Sch_n,G$5,Sch_bmax,"&gt;="&amp;($A95-0.000000001))&gt;0,_xlfn.MAXIFS(Sch_P0,Sch_n,G$5,Sch_bmax,"&gt;="&amp;($A95-0.000000001))-Beta_y*$A95,"")</f>
        <v>101.892968969175</v>
      </c>
      <c r="H95" s="16" t="str">
        <f aca="false">IF(COUNTIFS(Sch_n,H$5,Sch_bmax,"&gt;="&amp;($A95-0.000000001))&gt;0,_xlfn.MAXIFS(Sch_P0,Sch_n,H$5,Sch_bmax,"&gt;="&amp;($A95-0.000000001))-Beta_y*$A95,"")</f>
        <v/>
      </c>
      <c r="J95" s="15" t="n">
        <f aca="false">IF(ISNUMBER(B95),1,0)</f>
        <v>1</v>
      </c>
      <c r="K95" s="15" t="n">
        <f aca="false">IF(ISNUMBER(C95),1,0)</f>
        <v>1</v>
      </c>
      <c r="L95" s="15" t="n">
        <f aca="false">IF(ISNUMBER(D95),1,0)</f>
        <v>1</v>
      </c>
      <c r="M95" s="15" t="n">
        <f aca="false">IF(ISNUMBER(E95),1,0)</f>
        <v>1</v>
      </c>
      <c r="N95" s="15" t="n">
        <f aca="false">IF(ISNUMBER(F95),1,0)</f>
        <v>1</v>
      </c>
      <c r="O95" s="15" t="n">
        <f aca="false">IF(ISNUMBER(G95),1,0)</f>
        <v>1</v>
      </c>
      <c r="P95" s="15" t="n">
        <f aca="false">IF(ISNUMBER(H95),1,0)</f>
        <v>0</v>
      </c>
      <c r="R95" s="15" t="n">
        <f aca="false">IF(J95=1,_xlfn.MINIFS(Sch_idx,Sch_n,B$5,Sch_bmax,"&gt;="&amp;($A95-0.000000001),Sch_P0,"&gt;="&amp;(B95+Beta_y*$A95-0.000000001)),"")</f>
        <v>0</v>
      </c>
      <c r="S95" s="15" t="n">
        <f aca="false">IF(K95=1,_xlfn.MINIFS(Sch_idx,Sch_n,C$5,Sch_bmax,"&gt;="&amp;($A95-0.000000001),Sch_P0,"&gt;="&amp;(C95+Beta_y*$A95-0.000000001)),"")</f>
        <v>32</v>
      </c>
      <c r="T95" s="15" t="n">
        <f aca="false">IF(L95=1,_xlfn.MINIFS(Sch_idx,Sch_n,D$5,Sch_bmax,"&gt;="&amp;($A95-0.000000001),Sch_P0,"&gt;="&amp;(D95+Beta_y*$A95-0.000000001)),"")</f>
        <v>48</v>
      </c>
      <c r="U95" s="15" t="n">
        <f aca="false">IF(M95=1,_xlfn.MINIFS(Sch_idx,Sch_n,E$5,Sch_bmax,"&gt;="&amp;($A95-0.000000001),Sch_P0,"&gt;="&amp;(E95+Beta_y*$A95-0.000000001)),"")</f>
        <v>52</v>
      </c>
      <c r="V95" s="15" t="n">
        <f aca="false">IF(N95=1,_xlfn.MINIFS(Sch_idx,Sch_n,F$5,Sch_bmax,"&gt;="&amp;($A95-0.000000001),Sch_P0,"&gt;="&amp;(F95+Beta_y*$A95-0.000000001)),"")</f>
        <v>53</v>
      </c>
      <c r="W95" s="15" t="n">
        <f aca="false">IF(O95=1,_xlfn.MINIFS(Sch_idx,Sch_n,G$5,Sch_bmax,"&gt;="&amp;($A95-0.000000001),Sch_P0,"&gt;="&amp;(G95+Beta_y*$A95-0.000000001)),"")</f>
        <v>55</v>
      </c>
      <c r="X95" s="15" t="str">
        <f aca="false">IF(P95=1,_xlfn.MINIFS(Sch_idx,Sch_n,H$5,Sch_bmax,"&gt;="&amp;($A95-0.000000001),Sch_P0,"&gt;="&amp;(H95+Beta_y*$A95-0.000000001)),"")</f>
        <v/>
      </c>
      <c r="Z95" s="15" t="n">
        <f aca="false">IF(J95=1,IF(COUNTIFS(K95:$P95,1,C95:$H95,"&gt;="&amp;(B95-0.000000001))&gt;0,0,1),"")</f>
        <v>0</v>
      </c>
      <c r="AA95" s="15" t="n">
        <f aca="false">IF(K95=1,IF(COUNTIFS(L95:$P95,1,D95:$H95,"&gt;="&amp;(C95-0.000000001))&gt;0,0,1),"")</f>
        <v>0</v>
      </c>
      <c r="AB95" s="15" t="n">
        <f aca="false">IF(L95=1,IF(COUNTIFS(M95:$P95,1,E95:$H95,"&gt;="&amp;(D95-0.000000001))&gt;0,0,1),"")</f>
        <v>1</v>
      </c>
      <c r="AC95" s="15" t="n">
        <f aca="false">IF(M95=1,IF(COUNTIFS(N95:$P95,1,F95:$H95,"&gt;="&amp;(E95-0.000000001))&gt;0,0,1),"")</f>
        <v>1</v>
      </c>
      <c r="AD95" s="15" t="n">
        <f aca="false">IF(N95=1,IF(COUNTIFS(O95:$P95,1,G95:$H95,"&gt;="&amp;(F95-0.000000001))&gt;0,0,1),"")</f>
        <v>1</v>
      </c>
      <c r="AE95" s="15" t="n">
        <f aca="false">IF(O95=1,IF(COUNTIFS(P95:$P95,1,H95:$H95,"&gt;="&amp;(G95-0.000000001))&gt;0,0,1),"")</f>
        <v>1</v>
      </c>
      <c r="AF95" s="15" t="str">
        <f aca="false">IF(P95=1,1,"")</f>
        <v/>
      </c>
    </row>
    <row r="96" customFormat="false" ht="15" hidden="false" customHeight="false" outlineLevel="0" collapsed="false">
      <c r="A96" s="2" t="n">
        <v>90</v>
      </c>
      <c r="B96" s="16" t="n">
        <f aca="false">IF(COUNTIFS(Sch_n,B$5,Sch_bmax,"&gt;="&amp;($A96-0.000000001))&gt;0,_xlfn.MAXIFS(Sch_P0,Sch_n,B$5,Sch_bmax,"&gt;="&amp;($A96-0.000000001))-Beta_y*$A96,"")</f>
        <v>54.5454545454545</v>
      </c>
      <c r="C96" s="16" t="n">
        <f aca="false">IF(COUNTIFS(Sch_n,C$5,Sch_bmax,"&gt;="&amp;($A96-0.000000001))&gt;0,_xlfn.MAXIFS(Sch_P0,Sch_n,C$5,Sch_bmax,"&gt;="&amp;($A96-0.000000001))-Beta_y*$A96,"")</f>
        <v>288.854462251088</v>
      </c>
      <c r="D96" s="16" t="n">
        <f aca="false">IF(COUNTIFS(Sch_n,D$5,Sch_bmax,"&gt;="&amp;($A96-0.000000001))&gt;0,_xlfn.MAXIFS(Sch_P0,Sch_n,D$5,Sch_bmax,"&gt;="&amp;($A96-0.000000001))-Beta_y*$A96,"")</f>
        <v>302.355154578363</v>
      </c>
      <c r="E96" s="16" t="n">
        <f aca="false">IF(COUNTIFS(Sch_n,E$5,Sch_bmax,"&gt;="&amp;($A96-0.000000001))&gt;0,_xlfn.MAXIFS(Sch_P0,Sch_n,E$5,Sch_bmax,"&gt;="&amp;($A96-0.000000001))-Beta_y*$A96,"")</f>
        <v>244.614269562267</v>
      </c>
      <c r="F96" s="16" t="n">
        <f aca="false">IF(COUNTIFS(Sch_n,F$5,Sch_bmax,"&gt;="&amp;($A96-0.000000001))&gt;0,_xlfn.MAXIFS(Sch_P0,Sch_n,F$5,Sch_bmax,"&gt;="&amp;($A96-0.000000001))-Beta_y*$A96,"")</f>
        <v>175.042857683139</v>
      </c>
      <c r="G96" s="16" t="n">
        <f aca="false">IF(COUNTIFS(Sch_n,G$5,Sch_bmax,"&gt;="&amp;($A96-0.000000001))&gt;0,_xlfn.MAXIFS(Sch_P0,Sch_n,G$5,Sch_bmax,"&gt;="&amp;($A96-0.000000001))-Beta_y*$A96,"")</f>
        <v>100.983878060084</v>
      </c>
      <c r="H96" s="16" t="str">
        <f aca="false">IF(COUNTIFS(Sch_n,H$5,Sch_bmax,"&gt;="&amp;($A96-0.000000001))&gt;0,_xlfn.MAXIFS(Sch_P0,Sch_n,H$5,Sch_bmax,"&gt;="&amp;($A96-0.000000001))-Beta_y*$A96,"")</f>
        <v/>
      </c>
      <c r="J96" s="15" t="n">
        <f aca="false">IF(ISNUMBER(B96),1,0)</f>
        <v>1</v>
      </c>
      <c r="K96" s="15" t="n">
        <f aca="false">IF(ISNUMBER(C96),1,0)</f>
        <v>1</v>
      </c>
      <c r="L96" s="15" t="n">
        <f aca="false">IF(ISNUMBER(D96),1,0)</f>
        <v>1</v>
      </c>
      <c r="M96" s="15" t="n">
        <f aca="false">IF(ISNUMBER(E96),1,0)</f>
        <v>1</v>
      </c>
      <c r="N96" s="15" t="n">
        <f aca="false">IF(ISNUMBER(F96),1,0)</f>
        <v>1</v>
      </c>
      <c r="O96" s="15" t="n">
        <f aca="false">IF(ISNUMBER(G96),1,0)</f>
        <v>1</v>
      </c>
      <c r="P96" s="15" t="n">
        <f aca="false">IF(ISNUMBER(H96),1,0)</f>
        <v>0</v>
      </c>
      <c r="R96" s="15" t="n">
        <f aca="false">IF(J96=1,_xlfn.MINIFS(Sch_idx,Sch_n,B$5,Sch_bmax,"&gt;="&amp;($A96-0.000000001),Sch_P0,"&gt;="&amp;(B96+Beta_y*$A96-0.000000001)),"")</f>
        <v>0</v>
      </c>
      <c r="S96" s="15" t="n">
        <f aca="false">IF(K96=1,_xlfn.MINIFS(Sch_idx,Sch_n,C$5,Sch_bmax,"&gt;="&amp;($A96-0.000000001),Sch_P0,"&gt;="&amp;(C96+Beta_y*$A96-0.000000001)),"")</f>
        <v>32</v>
      </c>
      <c r="T96" s="15" t="n">
        <f aca="false">IF(L96=1,_xlfn.MINIFS(Sch_idx,Sch_n,D$5,Sch_bmax,"&gt;="&amp;($A96-0.000000001),Sch_P0,"&gt;="&amp;(D96+Beta_y*$A96-0.000000001)),"")</f>
        <v>48</v>
      </c>
      <c r="U96" s="15" t="n">
        <f aca="false">IF(M96=1,_xlfn.MINIFS(Sch_idx,Sch_n,E$5,Sch_bmax,"&gt;="&amp;($A96-0.000000001),Sch_P0,"&gt;="&amp;(E96+Beta_y*$A96-0.000000001)),"")</f>
        <v>52</v>
      </c>
      <c r="V96" s="15" t="n">
        <f aca="false">IF(N96=1,_xlfn.MINIFS(Sch_idx,Sch_n,F$5,Sch_bmax,"&gt;="&amp;($A96-0.000000001),Sch_P0,"&gt;="&amp;(F96+Beta_y*$A96-0.000000001)),"")</f>
        <v>53</v>
      </c>
      <c r="W96" s="15" t="n">
        <f aca="false">IF(O96=1,_xlfn.MINIFS(Sch_idx,Sch_n,G$5,Sch_bmax,"&gt;="&amp;($A96-0.000000001),Sch_P0,"&gt;="&amp;(G96+Beta_y*$A96-0.000000001)),"")</f>
        <v>55</v>
      </c>
      <c r="X96" s="15" t="str">
        <f aca="false">IF(P96=1,_xlfn.MINIFS(Sch_idx,Sch_n,H$5,Sch_bmax,"&gt;="&amp;($A96-0.000000001),Sch_P0,"&gt;="&amp;(H96+Beta_y*$A96-0.000000001)),"")</f>
        <v/>
      </c>
      <c r="Z96" s="15" t="n">
        <f aca="false">IF(J96=1,IF(COUNTIFS(K96:$P96,1,C96:$H96,"&gt;="&amp;(B96-0.000000001))&gt;0,0,1),"")</f>
        <v>0</v>
      </c>
      <c r="AA96" s="15" t="n">
        <f aca="false">IF(K96=1,IF(COUNTIFS(L96:$P96,1,D96:$H96,"&gt;="&amp;(C96-0.000000001))&gt;0,0,1),"")</f>
        <v>0</v>
      </c>
      <c r="AB96" s="15" t="n">
        <f aca="false">IF(L96=1,IF(COUNTIFS(M96:$P96,1,E96:$H96,"&gt;="&amp;(D96-0.000000001))&gt;0,0,1),"")</f>
        <v>1</v>
      </c>
      <c r="AC96" s="15" t="n">
        <f aca="false">IF(M96=1,IF(COUNTIFS(N96:$P96,1,F96:$H96,"&gt;="&amp;(E96-0.000000001))&gt;0,0,1),"")</f>
        <v>1</v>
      </c>
      <c r="AD96" s="15" t="n">
        <f aca="false">IF(N96=1,IF(COUNTIFS(O96:$P96,1,G96:$H96,"&gt;="&amp;(F96-0.000000001))&gt;0,0,1),"")</f>
        <v>1</v>
      </c>
      <c r="AE96" s="15" t="n">
        <f aca="false">IF(O96=1,IF(COUNTIFS(P96:$P96,1,H96:$H96,"&gt;="&amp;(G96-0.000000001))&gt;0,0,1),"")</f>
        <v>1</v>
      </c>
      <c r="AF96" s="15" t="str">
        <f aca="false">IF(P96=1,1,"")</f>
        <v/>
      </c>
    </row>
    <row r="97" customFormat="false" ht="15" hidden="false" customHeight="false" outlineLevel="0" collapsed="false">
      <c r="A97" s="2" t="n">
        <v>91</v>
      </c>
      <c r="B97" s="16" t="n">
        <f aca="false">IF(COUNTIFS(Sch_n,B$5,Sch_bmax,"&gt;="&amp;($A97-0.000000001))&gt;0,_xlfn.MAXIFS(Sch_P0,Sch_n,B$5,Sch_bmax,"&gt;="&amp;($A97-0.000000001))-Beta_y*$A97,"")</f>
        <v>53.6363636363636</v>
      </c>
      <c r="C97" s="16" t="n">
        <f aca="false">IF(COUNTIFS(Sch_n,C$5,Sch_bmax,"&gt;="&amp;($A97-0.000000001))&gt;0,_xlfn.MAXIFS(Sch_P0,Sch_n,C$5,Sch_bmax,"&gt;="&amp;($A97-0.000000001))-Beta_y*$A97,"")</f>
        <v>287.945371341997</v>
      </c>
      <c r="D97" s="16" t="n">
        <f aca="false">IF(COUNTIFS(Sch_n,D$5,Sch_bmax,"&gt;="&amp;($A97-0.000000001))&gt;0,_xlfn.MAXIFS(Sch_P0,Sch_n,D$5,Sch_bmax,"&gt;="&amp;($A97-0.000000001))-Beta_y*$A97,"")</f>
        <v>301.446063669272</v>
      </c>
      <c r="E97" s="16" t="n">
        <f aca="false">IF(COUNTIFS(Sch_n,E$5,Sch_bmax,"&gt;="&amp;($A97-0.000000001))&gt;0,_xlfn.MAXIFS(Sch_P0,Sch_n,E$5,Sch_bmax,"&gt;="&amp;($A97-0.000000001))-Beta_y*$A97,"")</f>
        <v>243.705178653177</v>
      </c>
      <c r="F97" s="16" t="n">
        <f aca="false">IF(COUNTIFS(Sch_n,F$5,Sch_bmax,"&gt;="&amp;($A97-0.000000001))&gt;0,_xlfn.MAXIFS(Sch_P0,Sch_n,F$5,Sch_bmax,"&gt;="&amp;($A97-0.000000001))-Beta_y*$A97,"")</f>
        <v>174.133766774048</v>
      </c>
      <c r="G97" s="16" t="n">
        <f aca="false">IF(COUNTIFS(Sch_n,G$5,Sch_bmax,"&gt;="&amp;($A97-0.000000001))&gt;0,_xlfn.MAXIFS(Sch_P0,Sch_n,G$5,Sch_bmax,"&gt;="&amp;($A97-0.000000001))-Beta_y*$A97,"")</f>
        <v>100.074787150993</v>
      </c>
      <c r="H97" s="16" t="str">
        <f aca="false">IF(COUNTIFS(Sch_n,H$5,Sch_bmax,"&gt;="&amp;($A97-0.000000001))&gt;0,_xlfn.MAXIFS(Sch_P0,Sch_n,H$5,Sch_bmax,"&gt;="&amp;($A97-0.000000001))-Beta_y*$A97,"")</f>
        <v/>
      </c>
      <c r="J97" s="15" t="n">
        <f aca="false">IF(ISNUMBER(B97),1,0)</f>
        <v>1</v>
      </c>
      <c r="K97" s="15" t="n">
        <f aca="false">IF(ISNUMBER(C97),1,0)</f>
        <v>1</v>
      </c>
      <c r="L97" s="15" t="n">
        <f aca="false">IF(ISNUMBER(D97),1,0)</f>
        <v>1</v>
      </c>
      <c r="M97" s="15" t="n">
        <f aca="false">IF(ISNUMBER(E97),1,0)</f>
        <v>1</v>
      </c>
      <c r="N97" s="15" t="n">
        <f aca="false">IF(ISNUMBER(F97),1,0)</f>
        <v>1</v>
      </c>
      <c r="O97" s="15" t="n">
        <f aca="false">IF(ISNUMBER(G97),1,0)</f>
        <v>1</v>
      </c>
      <c r="P97" s="15" t="n">
        <f aca="false">IF(ISNUMBER(H97),1,0)</f>
        <v>0</v>
      </c>
      <c r="R97" s="15" t="n">
        <f aca="false">IF(J97=1,_xlfn.MINIFS(Sch_idx,Sch_n,B$5,Sch_bmax,"&gt;="&amp;($A97-0.000000001),Sch_P0,"&gt;="&amp;(B97+Beta_y*$A97-0.000000001)),"")</f>
        <v>0</v>
      </c>
      <c r="S97" s="15" t="n">
        <f aca="false">IF(K97=1,_xlfn.MINIFS(Sch_idx,Sch_n,C$5,Sch_bmax,"&gt;="&amp;($A97-0.000000001),Sch_P0,"&gt;="&amp;(C97+Beta_y*$A97-0.000000001)),"")</f>
        <v>32</v>
      </c>
      <c r="T97" s="15" t="n">
        <f aca="false">IF(L97=1,_xlfn.MINIFS(Sch_idx,Sch_n,D$5,Sch_bmax,"&gt;="&amp;($A97-0.000000001),Sch_P0,"&gt;="&amp;(D97+Beta_y*$A97-0.000000001)),"")</f>
        <v>48</v>
      </c>
      <c r="U97" s="15" t="n">
        <f aca="false">IF(M97=1,_xlfn.MINIFS(Sch_idx,Sch_n,E$5,Sch_bmax,"&gt;="&amp;($A97-0.000000001),Sch_P0,"&gt;="&amp;(E97+Beta_y*$A97-0.000000001)),"")</f>
        <v>52</v>
      </c>
      <c r="V97" s="15" t="n">
        <f aca="false">IF(N97=1,_xlfn.MINIFS(Sch_idx,Sch_n,F$5,Sch_bmax,"&gt;="&amp;($A97-0.000000001),Sch_P0,"&gt;="&amp;(F97+Beta_y*$A97-0.000000001)),"")</f>
        <v>53</v>
      </c>
      <c r="W97" s="15" t="n">
        <f aca="false">IF(O97=1,_xlfn.MINIFS(Sch_idx,Sch_n,G$5,Sch_bmax,"&gt;="&amp;($A97-0.000000001),Sch_P0,"&gt;="&amp;(G97+Beta_y*$A97-0.000000001)),"")</f>
        <v>55</v>
      </c>
      <c r="X97" s="15" t="str">
        <f aca="false">IF(P97=1,_xlfn.MINIFS(Sch_idx,Sch_n,H$5,Sch_bmax,"&gt;="&amp;($A97-0.000000001),Sch_P0,"&gt;="&amp;(H97+Beta_y*$A97-0.000000001)),"")</f>
        <v/>
      </c>
      <c r="Z97" s="15" t="n">
        <f aca="false">IF(J97=1,IF(COUNTIFS(K97:$P97,1,C97:$H97,"&gt;="&amp;(B97-0.000000001))&gt;0,0,1),"")</f>
        <v>0</v>
      </c>
      <c r="AA97" s="15" t="n">
        <f aca="false">IF(K97=1,IF(COUNTIFS(L97:$P97,1,D97:$H97,"&gt;="&amp;(C97-0.000000001))&gt;0,0,1),"")</f>
        <v>0</v>
      </c>
      <c r="AB97" s="15" t="n">
        <f aca="false">IF(L97=1,IF(COUNTIFS(M97:$P97,1,E97:$H97,"&gt;="&amp;(D97-0.000000001))&gt;0,0,1),"")</f>
        <v>1</v>
      </c>
      <c r="AC97" s="15" t="n">
        <f aca="false">IF(M97=1,IF(COUNTIFS(N97:$P97,1,F97:$H97,"&gt;="&amp;(E97-0.000000001))&gt;0,0,1),"")</f>
        <v>1</v>
      </c>
      <c r="AD97" s="15" t="n">
        <f aca="false">IF(N97=1,IF(COUNTIFS(O97:$P97,1,G97:$H97,"&gt;="&amp;(F97-0.000000001))&gt;0,0,1),"")</f>
        <v>1</v>
      </c>
      <c r="AE97" s="15" t="n">
        <f aca="false">IF(O97=1,IF(COUNTIFS(P97:$P97,1,H97:$H97,"&gt;="&amp;(G97-0.000000001))&gt;0,0,1),"")</f>
        <v>1</v>
      </c>
      <c r="AF97" s="15" t="str">
        <f aca="false">IF(P97=1,1,"")</f>
        <v/>
      </c>
    </row>
    <row r="98" customFormat="false" ht="15" hidden="false" customHeight="false" outlineLevel="0" collapsed="false">
      <c r="A98" s="2" t="n">
        <v>92</v>
      </c>
      <c r="B98" s="16" t="n">
        <f aca="false">IF(COUNTIFS(Sch_n,B$5,Sch_bmax,"&gt;="&amp;($A98-0.000000001))&gt;0,_xlfn.MAXIFS(Sch_P0,Sch_n,B$5,Sch_bmax,"&gt;="&amp;($A98-0.000000001))-Beta_y*$A98,"")</f>
        <v>52.7272727272727</v>
      </c>
      <c r="C98" s="16" t="n">
        <f aca="false">IF(COUNTIFS(Sch_n,C$5,Sch_bmax,"&gt;="&amp;($A98-0.000000001))&gt;0,_xlfn.MAXIFS(Sch_P0,Sch_n,C$5,Sch_bmax,"&gt;="&amp;($A98-0.000000001))-Beta_y*$A98,"")</f>
        <v>287.036280432906</v>
      </c>
      <c r="D98" s="16" t="n">
        <f aca="false">IF(COUNTIFS(Sch_n,D$5,Sch_bmax,"&gt;="&amp;($A98-0.000000001))&gt;0,_xlfn.MAXIFS(Sch_P0,Sch_n,D$5,Sch_bmax,"&gt;="&amp;($A98-0.000000001))-Beta_y*$A98,"")</f>
        <v>300.536972760182</v>
      </c>
      <c r="E98" s="16" t="n">
        <f aca="false">IF(COUNTIFS(Sch_n,E$5,Sch_bmax,"&gt;="&amp;($A98-0.000000001))&gt;0,_xlfn.MAXIFS(Sch_P0,Sch_n,E$5,Sch_bmax,"&gt;="&amp;($A98-0.000000001))-Beta_y*$A98,"")</f>
        <v>242.796087744086</v>
      </c>
      <c r="F98" s="16" t="n">
        <f aca="false">IF(COUNTIFS(Sch_n,F$5,Sch_bmax,"&gt;="&amp;($A98-0.000000001))&gt;0,_xlfn.MAXIFS(Sch_P0,Sch_n,F$5,Sch_bmax,"&gt;="&amp;($A98-0.000000001))-Beta_y*$A98,"")</f>
        <v>173.224675864958</v>
      </c>
      <c r="G98" s="16" t="n">
        <f aca="false">IF(COUNTIFS(Sch_n,G$5,Sch_bmax,"&gt;="&amp;($A98-0.000000001))&gt;0,_xlfn.MAXIFS(Sch_P0,Sch_n,G$5,Sch_bmax,"&gt;="&amp;($A98-0.000000001))-Beta_y*$A98,"")</f>
        <v>99.1656962419019</v>
      </c>
      <c r="H98" s="16" t="str">
        <f aca="false">IF(COUNTIFS(Sch_n,H$5,Sch_bmax,"&gt;="&amp;($A98-0.000000001))&gt;0,_xlfn.MAXIFS(Sch_P0,Sch_n,H$5,Sch_bmax,"&gt;="&amp;($A98-0.000000001))-Beta_y*$A98,"")</f>
        <v/>
      </c>
      <c r="J98" s="15" t="n">
        <f aca="false">IF(ISNUMBER(B98),1,0)</f>
        <v>1</v>
      </c>
      <c r="K98" s="15" t="n">
        <f aca="false">IF(ISNUMBER(C98),1,0)</f>
        <v>1</v>
      </c>
      <c r="L98" s="15" t="n">
        <f aca="false">IF(ISNUMBER(D98),1,0)</f>
        <v>1</v>
      </c>
      <c r="M98" s="15" t="n">
        <f aca="false">IF(ISNUMBER(E98),1,0)</f>
        <v>1</v>
      </c>
      <c r="N98" s="15" t="n">
        <f aca="false">IF(ISNUMBER(F98),1,0)</f>
        <v>1</v>
      </c>
      <c r="O98" s="15" t="n">
        <f aca="false">IF(ISNUMBER(G98),1,0)</f>
        <v>1</v>
      </c>
      <c r="P98" s="15" t="n">
        <f aca="false">IF(ISNUMBER(H98),1,0)</f>
        <v>0</v>
      </c>
      <c r="R98" s="15" t="n">
        <f aca="false">IF(J98=1,_xlfn.MINIFS(Sch_idx,Sch_n,B$5,Sch_bmax,"&gt;="&amp;($A98-0.000000001),Sch_P0,"&gt;="&amp;(B98+Beta_y*$A98-0.000000001)),"")</f>
        <v>0</v>
      </c>
      <c r="S98" s="15" t="n">
        <f aca="false">IF(K98=1,_xlfn.MINIFS(Sch_idx,Sch_n,C$5,Sch_bmax,"&gt;="&amp;($A98-0.000000001),Sch_P0,"&gt;="&amp;(C98+Beta_y*$A98-0.000000001)),"")</f>
        <v>32</v>
      </c>
      <c r="T98" s="15" t="n">
        <f aca="false">IF(L98=1,_xlfn.MINIFS(Sch_idx,Sch_n,D$5,Sch_bmax,"&gt;="&amp;($A98-0.000000001),Sch_P0,"&gt;="&amp;(D98+Beta_y*$A98-0.000000001)),"")</f>
        <v>48</v>
      </c>
      <c r="U98" s="15" t="n">
        <f aca="false">IF(M98=1,_xlfn.MINIFS(Sch_idx,Sch_n,E$5,Sch_bmax,"&gt;="&amp;($A98-0.000000001),Sch_P0,"&gt;="&amp;(E98+Beta_y*$A98-0.000000001)),"")</f>
        <v>52</v>
      </c>
      <c r="V98" s="15" t="n">
        <f aca="false">IF(N98=1,_xlfn.MINIFS(Sch_idx,Sch_n,F$5,Sch_bmax,"&gt;="&amp;($A98-0.000000001),Sch_P0,"&gt;="&amp;(F98+Beta_y*$A98-0.000000001)),"")</f>
        <v>53</v>
      </c>
      <c r="W98" s="15" t="n">
        <f aca="false">IF(O98=1,_xlfn.MINIFS(Sch_idx,Sch_n,G$5,Sch_bmax,"&gt;="&amp;($A98-0.000000001),Sch_P0,"&gt;="&amp;(G98+Beta_y*$A98-0.000000001)),"")</f>
        <v>55</v>
      </c>
      <c r="X98" s="15" t="str">
        <f aca="false">IF(P98=1,_xlfn.MINIFS(Sch_idx,Sch_n,H$5,Sch_bmax,"&gt;="&amp;($A98-0.000000001),Sch_P0,"&gt;="&amp;(H98+Beta_y*$A98-0.000000001)),"")</f>
        <v/>
      </c>
      <c r="Z98" s="15" t="n">
        <f aca="false">IF(J98=1,IF(COUNTIFS(K98:$P98,1,C98:$H98,"&gt;="&amp;(B98-0.000000001))&gt;0,0,1),"")</f>
        <v>0</v>
      </c>
      <c r="AA98" s="15" t="n">
        <f aca="false">IF(K98=1,IF(COUNTIFS(L98:$P98,1,D98:$H98,"&gt;="&amp;(C98-0.000000001))&gt;0,0,1),"")</f>
        <v>0</v>
      </c>
      <c r="AB98" s="15" t="n">
        <f aca="false">IF(L98=1,IF(COUNTIFS(M98:$P98,1,E98:$H98,"&gt;="&amp;(D98-0.000000001))&gt;0,0,1),"")</f>
        <v>1</v>
      </c>
      <c r="AC98" s="15" t="n">
        <f aca="false">IF(M98=1,IF(COUNTIFS(N98:$P98,1,F98:$H98,"&gt;="&amp;(E98-0.000000001))&gt;0,0,1),"")</f>
        <v>1</v>
      </c>
      <c r="AD98" s="15" t="n">
        <f aca="false">IF(N98=1,IF(COUNTIFS(O98:$P98,1,G98:$H98,"&gt;="&amp;(F98-0.000000001))&gt;0,0,1),"")</f>
        <v>1</v>
      </c>
      <c r="AE98" s="15" t="n">
        <f aca="false">IF(O98=1,IF(COUNTIFS(P98:$P98,1,H98:$H98,"&gt;="&amp;(G98-0.000000001))&gt;0,0,1),"")</f>
        <v>1</v>
      </c>
      <c r="AF98" s="15" t="str">
        <f aca="false">IF(P98=1,1,"")</f>
        <v/>
      </c>
    </row>
    <row r="99" customFormat="false" ht="15" hidden="false" customHeight="false" outlineLevel="0" collapsed="false">
      <c r="A99" s="2" t="n">
        <v>93</v>
      </c>
      <c r="B99" s="16" t="n">
        <f aca="false">IF(COUNTIFS(Sch_n,B$5,Sch_bmax,"&gt;="&amp;($A99-0.000000001))&gt;0,_xlfn.MAXIFS(Sch_P0,Sch_n,B$5,Sch_bmax,"&gt;="&amp;($A99-0.000000001))-Beta_y*$A99,"")</f>
        <v>51.8181818181818</v>
      </c>
      <c r="C99" s="16" t="n">
        <f aca="false">IF(COUNTIFS(Sch_n,C$5,Sch_bmax,"&gt;="&amp;($A99-0.000000001))&gt;0,_xlfn.MAXIFS(Sch_P0,Sch_n,C$5,Sch_bmax,"&gt;="&amp;($A99-0.000000001))-Beta_y*$A99,"")</f>
        <v>286.127189523815</v>
      </c>
      <c r="D99" s="16" t="n">
        <f aca="false">IF(COUNTIFS(Sch_n,D$5,Sch_bmax,"&gt;="&amp;($A99-0.000000001))&gt;0,_xlfn.MAXIFS(Sch_P0,Sch_n,D$5,Sch_bmax,"&gt;="&amp;($A99-0.000000001))-Beta_y*$A99,"")</f>
        <v>299.627881851091</v>
      </c>
      <c r="E99" s="16" t="n">
        <f aca="false">IF(COUNTIFS(Sch_n,E$5,Sch_bmax,"&gt;="&amp;($A99-0.000000001))&gt;0,_xlfn.MAXIFS(Sch_P0,Sch_n,E$5,Sch_bmax,"&gt;="&amp;($A99-0.000000001))-Beta_y*$A99,"")</f>
        <v>241.886996834995</v>
      </c>
      <c r="F99" s="16" t="n">
        <f aca="false">IF(COUNTIFS(Sch_n,F$5,Sch_bmax,"&gt;="&amp;($A99-0.000000001))&gt;0,_xlfn.MAXIFS(Sch_P0,Sch_n,F$5,Sch_bmax,"&gt;="&amp;($A99-0.000000001))-Beta_y*$A99,"")</f>
        <v>172.315584955867</v>
      </c>
      <c r="G99" s="16" t="n">
        <f aca="false">IF(COUNTIFS(Sch_n,G$5,Sch_bmax,"&gt;="&amp;($A99-0.000000001))&gt;0,_xlfn.MAXIFS(Sch_P0,Sch_n,G$5,Sch_bmax,"&gt;="&amp;($A99-0.000000001))-Beta_y*$A99,"")</f>
        <v>98.256605332811</v>
      </c>
      <c r="H99" s="16" t="str">
        <f aca="false">IF(COUNTIFS(Sch_n,H$5,Sch_bmax,"&gt;="&amp;($A99-0.000000001))&gt;0,_xlfn.MAXIFS(Sch_P0,Sch_n,H$5,Sch_bmax,"&gt;="&amp;($A99-0.000000001))-Beta_y*$A99,"")</f>
        <v/>
      </c>
      <c r="J99" s="15" t="n">
        <f aca="false">IF(ISNUMBER(B99),1,0)</f>
        <v>1</v>
      </c>
      <c r="K99" s="15" t="n">
        <f aca="false">IF(ISNUMBER(C99),1,0)</f>
        <v>1</v>
      </c>
      <c r="L99" s="15" t="n">
        <f aca="false">IF(ISNUMBER(D99),1,0)</f>
        <v>1</v>
      </c>
      <c r="M99" s="15" t="n">
        <f aca="false">IF(ISNUMBER(E99),1,0)</f>
        <v>1</v>
      </c>
      <c r="N99" s="15" t="n">
        <f aca="false">IF(ISNUMBER(F99),1,0)</f>
        <v>1</v>
      </c>
      <c r="O99" s="15" t="n">
        <f aca="false">IF(ISNUMBER(G99),1,0)</f>
        <v>1</v>
      </c>
      <c r="P99" s="15" t="n">
        <f aca="false">IF(ISNUMBER(H99),1,0)</f>
        <v>0</v>
      </c>
      <c r="R99" s="15" t="n">
        <f aca="false">IF(J99=1,_xlfn.MINIFS(Sch_idx,Sch_n,B$5,Sch_bmax,"&gt;="&amp;($A99-0.000000001),Sch_P0,"&gt;="&amp;(B99+Beta_y*$A99-0.000000001)),"")</f>
        <v>0</v>
      </c>
      <c r="S99" s="15" t="n">
        <f aca="false">IF(K99=1,_xlfn.MINIFS(Sch_idx,Sch_n,C$5,Sch_bmax,"&gt;="&amp;($A99-0.000000001),Sch_P0,"&gt;="&amp;(C99+Beta_y*$A99-0.000000001)),"")</f>
        <v>32</v>
      </c>
      <c r="T99" s="15" t="n">
        <f aca="false">IF(L99=1,_xlfn.MINIFS(Sch_idx,Sch_n,D$5,Sch_bmax,"&gt;="&amp;($A99-0.000000001),Sch_P0,"&gt;="&amp;(D99+Beta_y*$A99-0.000000001)),"")</f>
        <v>48</v>
      </c>
      <c r="U99" s="15" t="n">
        <f aca="false">IF(M99=1,_xlfn.MINIFS(Sch_idx,Sch_n,E$5,Sch_bmax,"&gt;="&amp;($A99-0.000000001),Sch_P0,"&gt;="&amp;(E99+Beta_y*$A99-0.000000001)),"")</f>
        <v>52</v>
      </c>
      <c r="V99" s="15" t="n">
        <f aca="false">IF(N99=1,_xlfn.MINIFS(Sch_idx,Sch_n,F$5,Sch_bmax,"&gt;="&amp;($A99-0.000000001),Sch_P0,"&gt;="&amp;(F99+Beta_y*$A99-0.000000001)),"")</f>
        <v>53</v>
      </c>
      <c r="W99" s="15" t="n">
        <f aca="false">IF(O99=1,_xlfn.MINIFS(Sch_idx,Sch_n,G$5,Sch_bmax,"&gt;="&amp;($A99-0.000000001),Sch_P0,"&gt;="&amp;(G99+Beta_y*$A99-0.000000001)),"")</f>
        <v>55</v>
      </c>
      <c r="X99" s="15" t="str">
        <f aca="false">IF(P99=1,_xlfn.MINIFS(Sch_idx,Sch_n,H$5,Sch_bmax,"&gt;="&amp;($A99-0.000000001),Sch_P0,"&gt;="&amp;(H99+Beta_y*$A99-0.000000001)),"")</f>
        <v/>
      </c>
      <c r="Z99" s="15" t="n">
        <f aca="false">IF(J99=1,IF(COUNTIFS(K99:$P99,1,C99:$H99,"&gt;="&amp;(B99-0.000000001))&gt;0,0,1),"")</f>
        <v>0</v>
      </c>
      <c r="AA99" s="15" t="n">
        <f aca="false">IF(K99=1,IF(COUNTIFS(L99:$P99,1,D99:$H99,"&gt;="&amp;(C99-0.000000001))&gt;0,0,1),"")</f>
        <v>0</v>
      </c>
      <c r="AB99" s="15" t="n">
        <f aca="false">IF(L99=1,IF(COUNTIFS(M99:$P99,1,E99:$H99,"&gt;="&amp;(D99-0.000000001))&gt;0,0,1),"")</f>
        <v>1</v>
      </c>
      <c r="AC99" s="15" t="n">
        <f aca="false">IF(M99=1,IF(COUNTIFS(N99:$P99,1,F99:$H99,"&gt;="&amp;(E99-0.000000001))&gt;0,0,1),"")</f>
        <v>1</v>
      </c>
      <c r="AD99" s="15" t="n">
        <f aca="false">IF(N99=1,IF(COUNTIFS(O99:$P99,1,G99:$H99,"&gt;="&amp;(F99-0.000000001))&gt;0,0,1),"")</f>
        <v>1</v>
      </c>
      <c r="AE99" s="15" t="n">
        <f aca="false">IF(O99=1,IF(COUNTIFS(P99:$P99,1,H99:$H99,"&gt;="&amp;(G99-0.000000001))&gt;0,0,1),"")</f>
        <v>1</v>
      </c>
      <c r="AF99" s="15" t="str">
        <f aca="false">IF(P99=1,1,"")</f>
        <v/>
      </c>
    </row>
    <row r="100" customFormat="false" ht="15" hidden="false" customHeight="false" outlineLevel="0" collapsed="false">
      <c r="A100" s="2" t="n">
        <v>94</v>
      </c>
      <c r="B100" s="16" t="n">
        <f aca="false">IF(COUNTIFS(Sch_n,B$5,Sch_bmax,"&gt;="&amp;($A100-0.000000001))&gt;0,_xlfn.MAXIFS(Sch_P0,Sch_n,B$5,Sch_bmax,"&gt;="&amp;($A100-0.000000001))-Beta_y*$A100,"")</f>
        <v>50.9090909090909</v>
      </c>
      <c r="C100" s="16" t="n">
        <f aca="false">IF(COUNTIFS(Sch_n,C$5,Sch_bmax,"&gt;="&amp;($A100-0.000000001))&gt;0,_xlfn.MAXIFS(Sch_P0,Sch_n,C$5,Sch_bmax,"&gt;="&amp;($A100-0.000000001))-Beta_y*$A100,"")</f>
        <v>285.218098614725</v>
      </c>
      <c r="D100" s="16" t="n">
        <f aca="false">IF(COUNTIFS(Sch_n,D$5,Sch_bmax,"&gt;="&amp;($A100-0.000000001))&gt;0,_xlfn.MAXIFS(Sch_P0,Sch_n,D$5,Sch_bmax,"&gt;="&amp;($A100-0.000000001))-Beta_y*$A100,"")</f>
        <v>298.718790942</v>
      </c>
      <c r="E100" s="16" t="n">
        <f aca="false">IF(COUNTIFS(Sch_n,E$5,Sch_bmax,"&gt;="&amp;($A100-0.000000001))&gt;0,_xlfn.MAXIFS(Sch_P0,Sch_n,E$5,Sch_bmax,"&gt;="&amp;($A100-0.000000001))-Beta_y*$A100,"")</f>
        <v>240.977905925904</v>
      </c>
      <c r="F100" s="16" t="n">
        <f aca="false">IF(COUNTIFS(Sch_n,F$5,Sch_bmax,"&gt;="&amp;($A100-0.000000001))&gt;0,_xlfn.MAXIFS(Sch_P0,Sch_n,F$5,Sch_bmax,"&gt;="&amp;($A100-0.000000001))-Beta_y*$A100,"")</f>
        <v>171.406494046776</v>
      </c>
      <c r="G100" s="16" t="n">
        <f aca="false">IF(COUNTIFS(Sch_n,G$5,Sch_bmax,"&gt;="&amp;($A100-0.000000001))&gt;0,_xlfn.MAXIFS(Sch_P0,Sch_n,G$5,Sch_bmax,"&gt;="&amp;($A100-0.000000001))-Beta_y*$A100,"")</f>
        <v>97.3475144237201</v>
      </c>
      <c r="H100" s="16" t="str">
        <f aca="false">IF(COUNTIFS(Sch_n,H$5,Sch_bmax,"&gt;="&amp;($A100-0.000000001))&gt;0,_xlfn.MAXIFS(Sch_P0,Sch_n,H$5,Sch_bmax,"&gt;="&amp;($A100-0.000000001))-Beta_y*$A100,"")</f>
        <v/>
      </c>
      <c r="J100" s="15" t="n">
        <f aca="false">IF(ISNUMBER(B100),1,0)</f>
        <v>1</v>
      </c>
      <c r="K100" s="15" t="n">
        <f aca="false">IF(ISNUMBER(C100),1,0)</f>
        <v>1</v>
      </c>
      <c r="L100" s="15" t="n">
        <f aca="false">IF(ISNUMBER(D100),1,0)</f>
        <v>1</v>
      </c>
      <c r="M100" s="15" t="n">
        <f aca="false">IF(ISNUMBER(E100),1,0)</f>
        <v>1</v>
      </c>
      <c r="N100" s="15" t="n">
        <f aca="false">IF(ISNUMBER(F100),1,0)</f>
        <v>1</v>
      </c>
      <c r="O100" s="15" t="n">
        <f aca="false">IF(ISNUMBER(G100),1,0)</f>
        <v>1</v>
      </c>
      <c r="P100" s="15" t="n">
        <f aca="false">IF(ISNUMBER(H100),1,0)</f>
        <v>0</v>
      </c>
      <c r="R100" s="15" t="n">
        <f aca="false">IF(J100=1,_xlfn.MINIFS(Sch_idx,Sch_n,B$5,Sch_bmax,"&gt;="&amp;($A100-0.000000001),Sch_P0,"&gt;="&amp;(B100+Beta_y*$A100-0.000000001)),"")</f>
        <v>0</v>
      </c>
      <c r="S100" s="15" t="n">
        <f aca="false">IF(K100=1,_xlfn.MINIFS(Sch_idx,Sch_n,C$5,Sch_bmax,"&gt;="&amp;($A100-0.000000001),Sch_P0,"&gt;="&amp;(C100+Beta_y*$A100-0.000000001)),"")</f>
        <v>32</v>
      </c>
      <c r="T100" s="15" t="n">
        <f aca="false">IF(L100=1,_xlfn.MINIFS(Sch_idx,Sch_n,D$5,Sch_bmax,"&gt;="&amp;($A100-0.000000001),Sch_P0,"&gt;="&amp;(D100+Beta_y*$A100-0.000000001)),"")</f>
        <v>48</v>
      </c>
      <c r="U100" s="15" t="n">
        <f aca="false">IF(M100=1,_xlfn.MINIFS(Sch_idx,Sch_n,E$5,Sch_bmax,"&gt;="&amp;($A100-0.000000001),Sch_P0,"&gt;="&amp;(E100+Beta_y*$A100-0.000000001)),"")</f>
        <v>52</v>
      </c>
      <c r="V100" s="15" t="n">
        <f aca="false">IF(N100=1,_xlfn.MINIFS(Sch_idx,Sch_n,F$5,Sch_bmax,"&gt;="&amp;($A100-0.000000001),Sch_P0,"&gt;="&amp;(F100+Beta_y*$A100-0.000000001)),"")</f>
        <v>53</v>
      </c>
      <c r="W100" s="15" t="n">
        <f aca="false">IF(O100=1,_xlfn.MINIFS(Sch_idx,Sch_n,G$5,Sch_bmax,"&gt;="&amp;($A100-0.000000001),Sch_P0,"&gt;="&amp;(G100+Beta_y*$A100-0.000000001)),"")</f>
        <v>55</v>
      </c>
      <c r="X100" s="15" t="str">
        <f aca="false">IF(P100=1,_xlfn.MINIFS(Sch_idx,Sch_n,H$5,Sch_bmax,"&gt;="&amp;($A100-0.000000001),Sch_P0,"&gt;="&amp;(H100+Beta_y*$A100-0.000000001)),"")</f>
        <v/>
      </c>
      <c r="Z100" s="15" t="n">
        <f aca="false">IF(J100=1,IF(COUNTIFS(K100:$P100,1,C100:$H100,"&gt;="&amp;(B100-0.000000001))&gt;0,0,1),"")</f>
        <v>0</v>
      </c>
      <c r="AA100" s="15" t="n">
        <f aca="false">IF(K100=1,IF(COUNTIFS(L100:$P100,1,D100:$H100,"&gt;="&amp;(C100-0.000000001))&gt;0,0,1),"")</f>
        <v>0</v>
      </c>
      <c r="AB100" s="15" t="n">
        <f aca="false">IF(L100=1,IF(COUNTIFS(M100:$P100,1,E100:$H100,"&gt;="&amp;(D100-0.000000001))&gt;0,0,1),"")</f>
        <v>1</v>
      </c>
      <c r="AC100" s="15" t="n">
        <f aca="false">IF(M100=1,IF(COUNTIFS(N100:$P100,1,F100:$H100,"&gt;="&amp;(E100-0.000000001))&gt;0,0,1),"")</f>
        <v>1</v>
      </c>
      <c r="AD100" s="15" t="n">
        <f aca="false">IF(N100=1,IF(COUNTIFS(O100:$P100,1,G100:$H100,"&gt;="&amp;(F100-0.000000001))&gt;0,0,1),"")</f>
        <v>1</v>
      </c>
      <c r="AE100" s="15" t="n">
        <f aca="false">IF(O100=1,IF(COUNTIFS(P100:$P100,1,H100:$H100,"&gt;="&amp;(G100-0.000000001))&gt;0,0,1),"")</f>
        <v>1</v>
      </c>
      <c r="AF100" s="15" t="str">
        <f aca="false">IF(P100=1,1,"")</f>
        <v/>
      </c>
    </row>
    <row r="101" customFormat="false" ht="15" hidden="false" customHeight="false" outlineLevel="0" collapsed="false">
      <c r="A101" s="2" t="n">
        <v>95</v>
      </c>
      <c r="B101" s="16" t="n">
        <f aca="false">IF(COUNTIFS(Sch_n,B$5,Sch_bmax,"&gt;="&amp;($A101-0.000000001))&gt;0,_xlfn.MAXIFS(Sch_P0,Sch_n,B$5,Sch_bmax,"&gt;="&amp;($A101-0.000000001))-Beta_y*$A101,"")</f>
        <v>50</v>
      </c>
      <c r="C101" s="16" t="n">
        <f aca="false">IF(COUNTIFS(Sch_n,C$5,Sch_bmax,"&gt;="&amp;($A101-0.000000001))&gt;0,_xlfn.MAXIFS(Sch_P0,Sch_n,C$5,Sch_bmax,"&gt;="&amp;($A101-0.000000001))-Beta_y*$A101,"")</f>
        <v>284.309007705634</v>
      </c>
      <c r="D101" s="16" t="n">
        <f aca="false">IF(COUNTIFS(Sch_n,D$5,Sch_bmax,"&gt;="&amp;($A101-0.000000001))&gt;0,_xlfn.MAXIFS(Sch_P0,Sch_n,D$5,Sch_bmax,"&gt;="&amp;($A101-0.000000001))-Beta_y*$A101,"")</f>
        <v>297.809700032909</v>
      </c>
      <c r="E101" s="16" t="n">
        <f aca="false">IF(COUNTIFS(Sch_n,E$5,Sch_bmax,"&gt;="&amp;($A101-0.000000001))&gt;0,_xlfn.MAXIFS(Sch_P0,Sch_n,E$5,Sch_bmax,"&gt;="&amp;($A101-0.000000001))-Beta_y*$A101,"")</f>
        <v>240.068815016813</v>
      </c>
      <c r="F101" s="16" t="n">
        <f aca="false">IF(COUNTIFS(Sch_n,F$5,Sch_bmax,"&gt;="&amp;($A101-0.000000001))&gt;0,_xlfn.MAXIFS(Sch_P0,Sch_n,F$5,Sch_bmax,"&gt;="&amp;($A101-0.000000001))-Beta_y*$A101,"")</f>
        <v>170.497403137685</v>
      </c>
      <c r="G101" s="16" t="n">
        <f aca="false">IF(COUNTIFS(Sch_n,G$5,Sch_bmax,"&gt;="&amp;($A101-0.000000001))&gt;0,_xlfn.MAXIFS(Sch_P0,Sch_n,G$5,Sch_bmax,"&gt;="&amp;($A101-0.000000001))-Beta_y*$A101,"")</f>
        <v>96.4384235146292</v>
      </c>
      <c r="H101" s="16" t="str">
        <f aca="false">IF(COUNTIFS(Sch_n,H$5,Sch_bmax,"&gt;="&amp;($A101-0.000000001))&gt;0,_xlfn.MAXIFS(Sch_P0,Sch_n,H$5,Sch_bmax,"&gt;="&amp;($A101-0.000000001))-Beta_y*$A101,"")</f>
        <v/>
      </c>
      <c r="J101" s="15" t="n">
        <f aca="false">IF(ISNUMBER(B101),1,0)</f>
        <v>1</v>
      </c>
      <c r="K101" s="15" t="n">
        <f aca="false">IF(ISNUMBER(C101),1,0)</f>
        <v>1</v>
      </c>
      <c r="L101" s="15" t="n">
        <f aca="false">IF(ISNUMBER(D101),1,0)</f>
        <v>1</v>
      </c>
      <c r="M101" s="15" t="n">
        <f aca="false">IF(ISNUMBER(E101),1,0)</f>
        <v>1</v>
      </c>
      <c r="N101" s="15" t="n">
        <f aca="false">IF(ISNUMBER(F101),1,0)</f>
        <v>1</v>
      </c>
      <c r="O101" s="15" t="n">
        <f aca="false">IF(ISNUMBER(G101),1,0)</f>
        <v>1</v>
      </c>
      <c r="P101" s="15" t="n">
        <f aca="false">IF(ISNUMBER(H101),1,0)</f>
        <v>0</v>
      </c>
      <c r="R101" s="15" t="n">
        <f aca="false">IF(J101=1,_xlfn.MINIFS(Sch_idx,Sch_n,B$5,Sch_bmax,"&gt;="&amp;($A101-0.000000001),Sch_P0,"&gt;="&amp;(B101+Beta_y*$A101-0.000000001)),"")</f>
        <v>0</v>
      </c>
      <c r="S101" s="15" t="n">
        <f aca="false">IF(K101=1,_xlfn.MINIFS(Sch_idx,Sch_n,C$5,Sch_bmax,"&gt;="&amp;($A101-0.000000001),Sch_P0,"&gt;="&amp;(C101+Beta_y*$A101-0.000000001)),"")</f>
        <v>32</v>
      </c>
      <c r="T101" s="15" t="n">
        <f aca="false">IF(L101=1,_xlfn.MINIFS(Sch_idx,Sch_n,D$5,Sch_bmax,"&gt;="&amp;($A101-0.000000001),Sch_P0,"&gt;="&amp;(D101+Beta_y*$A101-0.000000001)),"")</f>
        <v>48</v>
      </c>
      <c r="U101" s="15" t="n">
        <f aca="false">IF(M101=1,_xlfn.MINIFS(Sch_idx,Sch_n,E$5,Sch_bmax,"&gt;="&amp;($A101-0.000000001),Sch_P0,"&gt;="&amp;(E101+Beta_y*$A101-0.000000001)),"")</f>
        <v>52</v>
      </c>
      <c r="V101" s="15" t="n">
        <f aca="false">IF(N101=1,_xlfn.MINIFS(Sch_idx,Sch_n,F$5,Sch_bmax,"&gt;="&amp;($A101-0.000000001),Sch_P0,"&gt;="&amp;(F101+Beta_y*$A101-0.000000001)),"")</f>
        <v>53</v>
      </c>
      <c r="W101" s="15" t="n">
        <f aca="false">IF(O101=1,_xlfn.MINIFS(Sch_idx,Sch_n,G$5,Sch_bmax,"&gt;="&amp;($A101-0.000000001),Sch_P0,"&gt;="&amp;(G101+Beta_y*$A101-0.000000001)),"")</f>
        <v>55</v>
      </c>
      <c r="X101" s="15" t="str">
        <f aca="false">IF(P101=1,_xlfn.MINIFS(Sch_idx,Sch_n,H$5,Sch_bmax,"&gt;="&amp;($A101-0.000000001),Sch_P0,"&gt;="&amp;(H101+Beta_y*$A101-0.000000001)),"")</f>
        <v/>
      </c>
      <c r="Z101" s="15" t="n">
        <f aca="false">IF(J101=1,IF(COUNTIFS(K101:$P101,1,C101:$H101,"&gt;="&amp;(B101-0.000000001))&gt;0,0,1),"")</f>
        <v>0</v>
      </c>
      <c r="AA101" s="15" t="n">
        <f aca="false">IF(K101=1,IF(COUNTIFS(L101:$P101,1,D101:$H101,"&gt;="&amp;(C101-0.000000001))&gt;0,0,1),"")</f>
        <v>0</v>
      </c>
      <c r="AB101" s="15" t="n">
        <f aca="false">IF(L101=1,IF(COUNTIFS(M101:$P101,1,E101:$H101,"&gt;="&amp;(D101-0.000000001))&gt;0,0,1),"")</f>
        <v>1</v>
      </c>
      <c r="AC101" s="15" t="n">
        <f aca="false">IF(M101=1,IF(COUNTIFS(N101:$P101,1,F101:$H101,"&gt;="&amp;(E101-0.000000001))&gt;0,0,1),"")</f>
        <v>1</v>
      </c>
      <c r="AD101" s="15" t="n">
        <f aca="false">IF(N101=1,IF(COUNTIFS(O101:$P101,1,G101:$H101,"&gt;="&amp;(F101-0.000000001))&gt;0,0,1),"")</f>
        <v>1</v>
      </c>
      <c r="AE101" s="15" t="n">
        <f aca="false">IF(O101=1,IF(COUNTIFS(P101:$P101,1,H101:$H101,"&gt;="&amp;(G101-0.000000001))&gt;0,0,1),"")</f>
        <v>1</v>
      </c>
      <c r="AF101" s="15" t="str">
        <f aca="false">IF(P101=1,1,"")</f>
        <v/>
      </c>
    </row>
    <row r="102" customFormat="false" ht="15" hidden="false" customHeight="false" outlineLevel="0" collapsed="false">
      <c r="A102" s="2" t="n">
        <v>96</v>
      </c>
      <c r="B102" s="16" t="n">
        <f aca="false">IF(COUNTIFS(Sch_n,B$5,Sch_bmax,"&gt;="&amp;($A102-0.000000001))&gt;0,_xlfn.MAXIFS(Sch_P0,Sch_n,B$5,Sch_bmax,"&gt;="&amp;($A102-0.000000001))-Beta_y*$A102,"")</f>
        <v>49.0909090909091</v>
      </c>
      <c r="C102" s="16" t="n">
        <f aca="false">IF(COUNTIFS(Sch_n,C$5,Sch_bmax,"&gt;="&amp;($A102-0.000000001))&gt;0,_xlfn.MAXIFS(Sch_P0,Sch_n,C$5,Sch_bmax,"&gt;="&amp;($A102-0.000000001))-Beta_y*$A102,"")</f>
        <v>283.399916796543</v>
      </c>
      <c r="D102" s="16" t="n">
        <f aca="false">IF(COUNTIFS(Sch_n,D$5,Sch_bmax,"&gt;="&amp;($A102-0.000000001))&gt;0,_xlfn.MAXIFS(Sch_P0,Sch_n,D$5,Sch_bmax,"&gt;="&amp;($A102-0.000000001))-Beta_y*$A102,"")</f>
        <v>296.900609123818</v>
      </c>
      <c r="E102" s="16" t="n">
        <f aca="false">IF(COUNTIFS(Sch_n,E$5,Sch_bmax,"&gt;="&amp;($A102-0.000000001))&gt;0,_xlfn.MAXIFS(Sch_P0,Sch_n,E$5,Sch_bmax,"&gt;="&amp;($A102-0.000000001))-Beta_y*$A102,"")</f>
        <v>239.159724107722</v>
      </c>
      <c r="F102" s="16" t="n">
        <f aca="false">IF(COUNTIFS(Sch_n,F$5,Sch_bmax,"&gt;="&amp;($A102-0.000000001))&gt;0,_xlfn.MAXIFS(Sch_P0,Sch_n,F$5,Sch_bmax,"&gt;="&amp;($A102-0.000000001))-Beta_y*$A102,"")</f>
        <v>169.588312228594</v>
      </c>
      <c r="G102" s="16" t="n">
        <f aca="false">IF(COUNTIFS(Sch_n,G$5,Sch_bmax,"&gt;="&amp;($A102-0.000000001))&gt;0,_xlfn.MAXIFS(Sch_P0,Sch_n,G$5,Sch_bmax,"&gt;="&amp;($A102-0.000000001))-Beta_y*$A102,"")</f>
        <v>95.5293326055383</v>
      </c>
      <c r="H102" s="16" t="str">
        <f aca="false">IF(COUNTIFS(Sch_n,H$5,Sch_bmax,"&gt;="&amp;($A102-0.000000001))&gt;0,_xlfn.MAXIFS(Sch_P0,Sch_n,H$5,Sch_bmax,"&gt;="&amp;($A102-0.000000001))-Beta_y*$A102,"")</f>
        <v/>
      </c>
      <c r="J102" s="15" t="n">
        <f aca="false">IF(ISNUMBER(B102),1,0)</f>
        <v>1</v>
      </c>
      <c r="K102" s="15" t="n">
        <f aca="false">IF(ISNUMBER(C102),1,0)</f>
        <v>1</v>
      </c>
      <c r="L102" s="15" t="n">
        <f aca="false">IF(ISNUMBER(D102),1,0)</f>
        <v>1</v>
      </c>
      <c r="M102" s="15" t="n">
        <f aca="false">IF(ISNUMBER(E102),1,0)</f>
        <v>1</v>
      </c>
      <c r="N102" s="15" t="n">
        <f aca="false">IF(ISNUMBER(F102),1,0)</f>
        <v>1</v>
      </c>
      <c r="O102" s="15" t="n">
        <f aca="false">IF(ISNUMBER(G102),1,0)</f>
        <v>1</v>
      </c>
      <c r="P102" s="15" t="n">
        <f aca="false">IF(ISNUMBER(H102),1,0)</f>
        <v>0</v>
      </c>
      <c r="R102" s="15" t="n">
        <f aca="false">IF(J102=1,_xlfn.MINIFS(Sch_idx,Sch_n,B$5,Sch_bmax,"&gt;="&amp;($A102-0.000000001),Sch_P0,"&gt;="&amp;(B102+Beta_y*$A102-0.000000001)),"")</f>
        <v>0</v>
      </c>
      <c r="S102" s="15" t="n">
        <f aca="false">IF(K102=1,_xlfn.MINIFS(Sch_idx,Sch_n,C$5,Sch_bmax,"&gt;="&amp;($A102-0.000000001),Sch_P0,"&gt;="&amp;(C102+Beta_y*$A102-0.000000001)),"")</f>
        <v>32</v>
      </c>
      <c r="T102" s="15" t="n">
        <f aca="false">IF(L102=1,_xlfn.MINIFS(Sch_idx,Sch_n,D$5,Sch_bmax,"&gt;="&amp;($A102-0.000000001),Sch_P0,"&gt;="&amp;(D102+Beta_y*$A102-0.000000001)),"")</f>
        <v>48</v>
      </c>
      <c r="U102" s="15" t="n">
        <f aca="false">IF(M102=1,_xlfn.MINIFS(Sch_idx,Sch_n,E$5,Sch_bmax,"&gt;="&amp;($A102-0.000000001),Sch_P0,"&gt;="&amp;(E102+Beta_y*$A102-0.000000001)),"")</f>
        <v>52</v>
      </c>
      <c r="V102" s="15" t="n">
        <f aca="false">IF(N102=1,_xlfn.MINIFS(Sch_idx,Sch_n,F$5,Sch_bmax,"&gt;="&amp;($A102-0.000000001),Sch_P0,"&gt;="&amp;(F102+Beta_y*$A102-0.000000001)),"")</f>
        <v>53</v>
      </c>
      <c r="W102" s="15" t="n">
        <f aca="false">IF(O102=1,_xlfn.MINIFS(Sch_idx,Sch_n,G$5,Sch_bmax,"&gt;="&amp;($A102-0.000000001),Sch_P0,"&gt;="&amp;(G102+Beta_y*$A102-0.000000001)),"")</f>
        <v>55</v>
      </c>
      <c r="X102" s="15" t="str">
        <f aca="false">IF(P102=1,_xlfn.MINIFS(Sch_idx,Sch_n,H$5,Sch_bmax,"&gt;="&amp;($A102-0.000000001),Sch_P0,"&gt;="&amp;(H102+Beta_y*$A102-0.000000001)),"")</f>
        <v/>
      </c>
      <c r="Z102" s="15" t="n">
        <f aca="false">IF(J102=1,IF(COUNTIFS(K102:$P102,1,C102:$H102,"&gt;="&amp;(B102-0.000000001))&gt;0,0,1),"")</f>
        <v>0</v>
      </c>
      <c r="AA102" s="15" t="n">
        <f aca="false">IF(K102=1,IF(COUNTIFS(L102:$P102,1,D102:$H102,"&gt;="&amp;(C102-0.000000001))&gt;0,0,1),"")</f>
        <v>0</v>
      </c>
      <c r="AB102" s="15" t="n">
        <f aca="false">IF(L102=1,IF(COUNTIFS(M102:$P102,1,E102:$H102,"&gt;="&amp;(D102-0.000000001))&gt;0,0,1),"")</f>
        <v>1</v>
      </c>
      <c r="AC102" s="15" t="n">
        <f aca="false">IF(M102=1,IF(COUNTIFS(N102:$P102,1,F102:$H102,"&gt;="&amp;(E102-0.000000001))&gt;0,0,1),"")</f>
        <v>1</v>
      </c>
      <c r="AD102" s="15" t="n">
        <f aca="false">IF(N102=1,IF(COUNTIFS(O102:$P102,1,G102:$H102,"&gt;="&amp;(F102-0.000000001))&gt;0,0,1),"")</f>
        <v>1</v>
      </c>
      <c r="AE102" s="15" t="n">
        <f aca="false">IF(O102=1,IF(COUNTIFS(P102:$P102,1,H102:$H102,"&gt;="&amp;(G102-0.000000001))&gt;0,0,1),"")</f>
        <v>1</v>
      </c>
      <c r="AF102" s="15" t="str">
        <f aca="false">IF(P102=1,1,"")</f>
        <v/>
      </c>
    </row>
    <row r="103" customFormat="false" ht="15" hidden="false" customHeight="false" outlineLevel="0" collapsed="false">
      <c r="A103" s="2" t="n">
        <v>97</v>
      </c>
      <c r="B103" s="16" t="n">
        <f aca="false">IF(COUNTIFS(Sch_n,B$5,Sch_bmax,"&gt;="&amp;($A103-0.000000001))&gt;0,_xlfn.MAXIFS(Sch_P0,Sch_n,B$5,Sch_bmax,"&gt;="&amp;($A103-0.000000001))-Beta_y*$A103,"")</f>
        <v>48.1818181818182</v>
      </c>
      <c r="C103" s="16" t="n">
        <f aca="false">IF(COUNTIFS(Sch_n,C$5,Sch_bmax,"&gt;="&amp;($A103-0.000000001))&gt;0,_xlfn.MAXIFS(Sch_P0,Sch_n,C$5,Sch_bmax,"&gt;="&amp;($A103-0.000000001))-Beta_y*$A103,"")</f>
        <v>282.490825887452</v>
      </c>
      <c r="D103" s="16" t="n">
        <f aca="false">IF(COUNTIFS(Sch_n,D$5,Sch_bmax,"&gt;="&amp;($A103-0.000000001))&gt;0,_xlfn.MAXIFS(Sch_P0,Sch_n,D$5,Sch_bmax,"&gt;="&amp;($A103-0.000000001))-Beta_y*$A103,"")</f>
        <v>295.991518214727</v>
      </c>
      <c r="E103" s="16" t="n">
        <f aca="false">IF(COUNTIFS(Sch_n,E$5,Sch_bmax,"&gt;="&amp;($A103-0.000000001))&gt;0,_xlfn.MAXIFS(Sch_P0,Sch_n,E$5,Sch_bmax,"&gt;="&amp;($A103-0.000000001))-Beta_y*$A103,"")</f>
        <v>238.250633198631</v>
      </c>
      <c r="F103" s="16" t="n">
        <f aca="false">IF(COUNTIFS(Sch_n,F$5,Sch_bmax,"&gt;="&amp;($A103-0.000000001))&gt;0,_xlfn.MAXIFS(Sch_P0,Sch_n,F$5,Sch_bmax,"&gt;="&amp;($A103-0.000000001))-Beta_y*$A103,"")</f>
        <v>168.679221319503</v>
      </c>
      <c r="G103" s="16" t="n">
        <f aca="false">IF(COUNTIFS(Sch_n,G$5,Sch_bmax,"&gt;="&amp;($A103-0.000000001))&gt;0,_xlfn.MAXIFS(Sch_P0,Sch_n,G$5,Sch_bmax,"&gt;="&amp;($A103-0.000000001))-Beta_y*$A103,"")</f>
        <v>94.6202416964474</v>
      </c>
      <c r="H103" s="16" t="str">
        <f aca="false">IF(COUNTIFS(Sch_n,H$5,Sch_bmax,"&gt;="&amp;($A103-0.000000001))&gt;0,_xlfn.MAXIFS(Sch_P0,Sch_n,H$5,Sch_bmax,"&gt;="&amp;($A103-0.000000001))-Beta_y*$A103,"")</f>
        <v/>
      </c>
      <c r="J103" s="15" t="n">
        <f aca="false">IF(ISNUMBER(B103),1,0)</f>
        <v>1</v>
      </c>
      <c r="K103" s="15" t="n">
        <f aca="false">IF(ISNUMBER(C103),1,0)</f>
        <v>1</v>
      </c>
      <c r="L103" s="15" t="n">
        <f aca="false">IF(ISNUMBER(D103),1,0)</f>
        <v>1</v>
      </c>
      <c r="M103" s="15" t="n">
        <f aca="false">IF(ISNUMBER(E103),1,0)</f>
        <v>1</v>
      </c>
      <c r="N103" s="15" t="n">
        <f aca="false">IF(ISNUMBER(F103),1,0)</f>
        <v>1</v>
      </c>
      <c r="O103" s="15" t="n">
        <f aca="false">IF(ISNUMBER(G103),1,0)</f>
        <v>1</v>
      </c>
      <c r="P103" s="15" t="n">
        <f aca="false">IF(ISNUMBER(H103),1,0)</f>
        <v>0</v>
      </c>
      <c r="R103" s="15" t="n">
        <f aca="false">IF(J103=1,_xlfn.MINIFS(Sch_idx,Sch_n,B$5,Sch_bmax,"&gt;="&amp;($A103-0.000000001),Sch_P0,"&gt;="&amp;(B103+Beta_y*$A103-0.000000001)),"")</f>
        <v>0</v>
      </c>
      <c r="S103" s="15" t="n">
        <f aca="false">IF(K103=1,_xlfn.MINIFS(Sch_idx,Sch_n,C$5,Sch_bmax,"&gt;="&amp;($A103-0.000000001),Sch_P0,"&gt;="&amp;(C103+Beta_y*$A103-0.000000001)),"")</f>
        <v>32</v>
      </c>
      <c r="T103" s="15" t="n">
        <f aca="false">IF(L103=1,_xlfn.MINIFS(Sch_idx,Sch_n,D$5,Sch_bmax,"&gt;="&amp;($A103-0.000000001),Sch_P0,"&gt;="&amp;(D103+Beta_y*$A103-0.000000001)),"")</f>
        <v>48</v>
      </c>
      <c r="U103" s="15" t="n">
        <f aca="false">IF(M103=1,_xlfn.MINIFS(Sch_idx,Sch_n,E$5,Sch_bmax,"&gt;="&amp;($A103-0.000000001),Sch_P0,"&gt;="&amp;(E103+Beta_y*$A103-0.000000001)),"")</f>
        <v>52</v>
      </c>
      <c r="V103" s="15" t="n">
        <f aca="false">IF(N103=1,_xlfn.MINIFS(Sch_idx,Sch_n,F$5,Sch_bmax,"&gt;="&amp;($A103-0.000000001),Sch_P0,"&gt;="&amp;(F103+Beta_y*$A103-0.000000001)),"")</f>
        <v>53</v>
      </c>
      <c r="W103" s="15" t="n">
        <f aca="false">IF(O103=1,_xlfn.MINIFS(Sch_idx,Sch_n,G$5,Sch_bmax,"&gt;="&amp;($A103-0.000000001),Sch_P0,"&gt;="&amp;(G103+Beta_y*$A103-0.000000001)),"")</f>
        <v>55</v>
      </c>
      <c r="X103" s="15" t="str">
        <f aca="false">IF(P103=1,_xlfn.MINIFS(Sch_idx,Sch_n,H$5,Sch_bmax,"&gt;="&amp;($A103-0.000000001),Sch_P0,"&gt;="&amp;(H103+Beta_y*$A103-0.000000001)),"")</f>
        <v/>
      </c>
      <c r="Z103" s="15" t="n">
        <f aca="false">IF(J103=1,IF(COUNTIFS(K103:$P103,1,C103:$H103,"&gt;="&amp;(B103-0.000000001))&gt;0,0,1),"")</f>
        <v>0</v>
      </c>
      <c r="AA103" s="15" t="n">
        <f aca="false">IF(K103=1,IF(COUNTIFS(L103:$P103,1,D103:$H103,"&gt;="&amp;(C103-0.000000001))&gt;0,0,1),"")</f>
        <v>0</v>
      </c>
      <c r="AB103" s="15" t="n">
        <f aca="false">IF(L103=1,IF(COUNTIFS(M103:$P103,1,E103:$H103,"&gt;="&amp;(D103-0.000000001))&gt;0,0,1),"")</f>
        <v>1</v>
      </c>
      <c r="AC103" s="15" t="n">
        <f aca="false">IF(M103=1,IF(COUNTIFS(N103:$P103,1,F103:$H103,"&gt;="&amp;(E103-0.000000001))&gt;0,0,1),"")</f>
        <v>1</v>
      </c>
      <c r="AD103" s="15" t="n">
        <f aca="false">IF(N103=1,IF(COUNTIFS(O103:$P103,1,G103:$H103,"&gt;="&amp;(F103-0.000000001))&gt;0,0,1),"")</f>
        <v>1</v>
      </c>
      <c r="AE103" s="15" t="n">
        <f aca="false">IF(O103=1,IF(COUNTIFS(P103:$P103,1,H103:$H103,"&gt;="&amp;(G103-0.000000001))&gt;0,0,1),"")</f>
        <v>1</v>
      </c>
      <c r="AF103" s="15" t="str">
        <f aca="false">IF(P103=1,1,"")</f>
        <v/>
      </c>
    </row>
    <row r="104" customFormat="false" ht="15" hidden="false" customHeight="false" outlineLevel="0" collapsed="false">
      <c r="A104" s="2" t="n">
        <v>98</v>
      </c>
      <c r="B104" s="16" t="n">
        <f aca="false">IF(COUNTIFS(Sch_n,B$5,Sch_bmax,"&gt;="&amp;($A104-0.000000001))&gt;0,_xlfn.MAXIFS(Sch_P0,Sch_n,B$5,Sch_bmax,"&gt;="&amp;($A104-0.000000001))-Beta_y*$A104,"")</f>
        <v>47.2727272727273</v>
      </c>
      <c r="C104" s="16" t="n">
        <f aca="false">IF(COUNTIFS(Sch_n,C$5,Sch_bmax,"&gt;="&amp;($A104-0.000000001))&gt;0,_xlfn.MAXIFS(Sch_P0,Sch_n,C$5,Sch_bmax,"&gt;="&amp;($A104-0.000000001))-Beta_y*$A104,"")</f>
        <v>281.581734978361</v>
      </c>
      <c r="D104" s="16" t="n">
        <f aca="false">IF(COUNTIFS(Sch_n,D$5,Sch_bmax,"&gt;="&amp;($A104-0.000000001))&gt;0,_xlfn.MAXIFS(Sch_P0,Sch_n,D$5,Sch_bmax,"&gt;="&amp;($A104-0.000000001))-Beta_y*$A104,"")</f>
        <v>295.082427305636</v>
      </c>
      <c r="E104" s="16" t="n">
        <f aca="false">IF(COUNTIFS(Sch_n,E$5,Sch_bmax,"&gt;="&amp;($A104-0.000000001))&gt;0,_xlfn.MAXIFS(Sch_P0,Sch_n,E$5,Sch_bmax,"&gt;="&amp;($A104-0.000000001))-Beta_y*$A104,"")</f>
        <v>237.34154228954</v>
      </c>
      <c r="F104" s="16" t="n">
        <f aca="false">IF(COUNTIFS(Sch_n,F$5,Sch_bmax,"&gt;="&amp;($A104-0.000000001))&gt;0,_xlfn.MAXIFS(Sch_P0,Sch_n,F$5,Sch_bmax,"&gt;="&amp;($A104-0.000000001))-Beta_y*$A104,"")</f>
        <v>167.770130410412</v>
      </c>
      <c r="G104" s="16" t="n">
        <f aca="false">IF(COUNTIFS(Sch_n,G$5,Sch_bmax,"&gt;="&amp;($A104-0.000000001))&gt;0,_xlfn.MAXIFS(Sch_P0,Sch_n,G$5,Sch_bmax,"&gt;="&amp;($A104-0.000000001))-Beta_y*$A104,"")</f>
        <v>93.7111507873564</v>
      </c>
      <c r="H104" s="16" t="str">
        <f aca="false">IF(COUNTIFS(Sch_n,H$5,Sch_bmax,"&gt;="&amp;($A104-0.000000001))&gt;0,_xlfn.MAXIFS(Sch_P0,Sch_n,H$5,Sch_bmax,"&gt;="&amp;($A104-0.000000001))-Beta_y*$A104,"")</f>
        <v/>
      </c>
      <c r="J104" s="15" t="n">
        <f aca="false">IF(ISNUMBER(B104),1,0)</f>
        <v>1</v>
      </c>
      <c r="K104" s="15" t="n">
        <f aca="false">IF(ISNUMBER(C104),1,0)</f>
        <v>1</v>
      </c>
      <c r="L104" s="15" t="n">
        <f aca="false">IF(ISNUMBER(D104),1,0)</f>
        <v>1</v>
      </c>
      <c r="M104" s="15" t="n">
        <f aca="false">IF(ISNUMBER(E104),1,0)</f>
        <v>1</v>
      </c>
      <c r="N104" s="15" t="n">
        <f aca="false">IF(ISNUMBER(F104),1,0)</f>
        <v>1</v>
      </c>
      <c r="O104" s="15" t="n">
        <f aca="false">IF(ISNUMBER(G104),1,0)</f>
        <v>1</v>
      </c>
      <c r="P104" s="15" t="n">
        <f aca="false">IF(ISNUMBER(H104),1,0)</f>
        <v>0</v>
      </c>
      <c r="R104" s="15" t="n">
        <f aca="false">IF(J104=1,_xlfn.MINIFS(Sch_idx,Sch_n,B$5,Sch_bmax,"&gt;="&amp;($A104-0.000000001),Sch_P0,"&gt;="&amp;(B104+Beta_y*$A104-0.000000001)),"")</f>
        <v>0</v>
      </c>
      <c r="S104" s="15" t="n">
        <f aca="false">IF(K104=1,_xlfn.MINIFS(Sch_idx,Sch_n,C$5,Sch_bmax,"&gt;="&amp;($A104-0.000000001),Sch_P0,"&gt;="&amp;(C104+Beta_y*$A104-0.000000001)),"")</f>
        <v>32</v>
      </c>
      <c r="T104" s="15" t="n">
        <f aca="false">IF(L104=1,_xlfn.MINIFS(Sch_idx,Sch_n,D$5,Sch_bmax,"&gt;="&amp;($A104-0.000000001),Sch_P0,"&gt;="&amp;(D104+Beta_y*$A104-0.000000001)),"")</f>
        <v>48</v>
      </c>
      <c r="U104" s="15" t="n">
        <f aca="false">IF(M104=1,_xlfn.MINIFS(Sch_idx,Sch_n,E$5,Sch_bmax,"&gt;="&amp;($A104-0.000000001),Sch_P0,"&gt;="&amp;(E104+Beta_y*$A104-0.000000001)),"")</f>
        <v>52</v>
      </c>
      <c r="V104" s="15" t="n">
        <f aca="false">IF(N104=1,_xlfn.MINIFS(Sch_idx,Sch_n,F$5,Sch_bmax,"&gt;="&amp;($A104-0.000000001),Sch_P0,"&gt;="&amp;(F104+Beta_y*$A104-0.000000001)),"")</f>
        <v>53</v>
      </c>
      <c r="W104" s="15" t="n">
        <f aca="false">IF(O104=1,_xlfn.MINIFS(Sch_idx,Sch_n,G$5,Sch_bmax,"&gt;="&amp;($A104-0.000000001),Sch_P0,"&gt;="&amp;(G104+Beta_y*$A104-0.000000001)),"")</f>
        <v>55</v>
      </c>
      <c r="X104" s="15" t="str">
        <f aca="false">IF(P104=1,_xlfn.MINIFS(Sch_idx,Sch_n,H$5,Sch_bmax,"&gt;="&amp;($A104-0.000000001),Sch_P0,"&gt;="&amp;(H104+Beta_y*$A104-0.000000001)),"")</f>
        <v/>
      </c>
      <c r="Z104" s="15" t="n">
        <f aca="false">IF(J104=1,IF(COUNTIFS(K104:$P104,1,C104:$H104,"&gt;="&amp;(B104-0.000000001))&gt;0,0,1),"")</f>
        <v>0</v>
      </c>
      <c r="AA104" s="15" t="n">
        <f aca="false">IF(K104=1,IF(COUNTIFS(L104:$P104,1,D104:$H104,"&gt;="&amp;(C104-0.000000001))&gt;0,0,1),"")</f>
        <v>0</v>
      </c>
      <c r="AB104" s="15" t="n">
        <f aca="false">IF(L104=1,IF(COUNTIFS(M104:$P104,1,E104:$H104,"&gt;="&amp;(D104-0.000000001))&gt;0,0,1),"")</f>
        <v>1</v>
      </c>
      <c r="AC104" s="15" t="n">
        <f aca="false">IF(M104=1,IF(COUNTIFS(N104:$P104,1,F104:$H104,"&gt;="&amp;(E104-0.000000001))&gt;0,0,1),"")</f>
        <v>1</v>
      </c>
      <c r="AD104" s="15" t="n">
        <f aca="false">IF(N104=1,IF(COUNTIFS(O104:$P104,1,G104:$H104,"&gt;="&amp;(F104-0.000000001))&gt;0,0,1),"")</f>
        <v>1</v>
      </c>
      <c r="AE104" s="15" t="n">
        <f aca="false">IF(O104=1,IF(COUNTIFS(P104:$P104,1,H104:$H104,"&gt;="&amp;(G104-0.000000001))&gt;0,0,1),"")</f>
        <v>1</v>
      </c>
      <c r="AF104" s="15" t="str">
        <f aca="false">IF(P104=1,1,"")</f>
        <v/>
      </c>
    </row>
    <row r="105" customFormat="false" ht="15" hidden="false" customHeight="false" outlineLevel="0" collapsed="false">
      <c r="A105" s="2" t="n">
        <v>99</v>
      </c>
      <c r="B105" s="16" t="n">
        <f aca="false">IF(COUNTIFS(Sch_n,B$5,Sch_bmax,"&gt;="&amp;($A105-0.000000001))&gt;0,_xlfn.MAXIFS(Sch_P0,Sch_n,B$5,Sch_bmax,"&gt;="&amp;($A105-0.000000001))-Beta_y*$A105,"")</f>
        <v>46.3636363636363</v>
      </c>
      <c r="C105" s="16" t="n">
        <f aca="false">IF(COUNTIFS(Sch_n,C$5,Sch_bmax,"&gt;="&amp;($A105-0.000000001))&gt;0,_xlfn.MAXIFS(Sch_P0,Sch_n,C$5,Sch_bmax,"&gt;="&amp;($A105-0.000000001))-Beta_y*$A105,"")</f>
        <v>280.67264406927</v>
      </c>
      <c r="D105" s="16" t="n">
        <f aca="false">IF(COUNTIFS(Sch_n,D$5,Sch_bmax,"&gt;="&amp;($A105-0.000000001))&gt;0,_xlfn.MAXIFS(Sch_P0,Sch_n,D$5,Sch_bmax,"&gt;="&amp;($A105-0.000000001))-Beta_y*$A105,"")</f>
        <v>294.173336396545</v>
      </c>
      <c r="E105" s="16" t="n">
        <f aca="false">IF(COUNTIFS(Sch_n,E$5,Sch_bmax,"&gt;="&amp;($A105-0.000000001))&gt;0,_xlfn.MAXIFS(Sch_P0,Sch_n,E$5,Sch_bmax,"&gt;="&amp;($A105-0.000000001))-Beta_y*$A105,"")</f>
        <v>236.432451380449</v>
      </c>
      <c r="F105" s="16" t="n">
        <f aca="false">IF(COUNTIFS(Sch_n,F$5,Sch_bmax,"&gt;="&amp;($A105-0.000000001))&gt;0,_xlfn.MAXIFS(Sch_P0,Sch_n,F$5,Sch_bmax,"&gt;="&amp;($A105-0.000000001))-Beta_y*$A105,"")</f>
        <v>166.861039501321</v>
      </c>
      <c r="G105" s="16" t="n">
        <f aca="false">IF(COUNTIFS(Sch_n,G$5,Sch_bmax,"&gt;="&amp;($A105-0.000000001))&gt;0,_xlfn.MAXIFS(Sch_P0,Sch_n,G$5,Sch_bmax,"&gt;="&amp;($A105-0.000000001))-Beta_y*$A105,"")</f>
        <v>92.8020598782655</v>
      </c>
      <c r="H105" s="16" t="str">
        <f aca="false">IF(COUNTIFS(Sch_n,H$5,Sch_bmax,"&gt;="&amp;($A105-0.000000001))&gt;0,_xlfn.MAXIFS(Sch_P0,Sch_n,H$5,Sch_bmax,"&gt;="&amp;($A105-0.000000001))-Beta_y*$A105,"")</f>
        <v/>
      </c>
      <c r="J105" s="15" t="n">
        <f aca="false">IF(ISNUMBER(B105),1,0)</f>
        <v>1</v>
      </c>
      <c r="K105" s="15" t="n">
        <f aca="false">IF(ISNUMBER(C105),1,0)</f>
        <v>1</v>
      </c>
      <c r="L105" s="15" t="n">
        <f aca="false">IF(ISNUMBER(D105),1,0)</f>
        <v>1</v>
      </c>
      <c r="M105" s="15" t="n">
        <f aca="false">IF(ISNUMBER(E105),1,0)</f>
        <v>1</v>
      </c>
      <c r="N105" s="15" t="n">
        <f aca="false">IF(ISNUMBER(F105),1,0)</f>
        <v>1</v>
      </c>
      <c r="O105" s="15" t="n">
        <f aca="false">IF(ISNUMBER(G105),1,0)</f>
        <v>1</v>
      </c>
      <c r="P105" s="15" t="n">
        <f aca="false">IF(ISNUMBER(H105),1,0)</f>
        <v>0</v>
      </c>
      <c r="R105" s="15" t="n">
        <f aca="false">IF(J105=1,_xlfn.MINIFS(Sch_idx,Sch_n,B$5,Sch_bmax,"&gt;="&amp;($A105-0.000000001),Sch_P0,"&gt;="&amp;(B105+Beta_y*$A105-0.000000001)),"")</f>
        <v>0</v>
      </c>
      <c r="S105" s="15" t="n">
        <f aca="false">IF(K105=1,_xlfn.MINIFS(Sch_idx,Sch_n,C$5,Sch_bmax,"&gt;="&amp;($A105-0.000000001),Sch_P0,"&gt;="&amp;(C105+Beta_y*$A105-0.000000001)),"")</f>
        <v>32</v>
      </c>
      <c r="T105" s="15" t="n">
        <f aca="false">IF(L105=1,_xlfn.MINIFS(Sch_idx,Sch_n,D$5,Sch_bmax,"&gt;="&amp;($A105-0.000000001),Sch_P0,"&gt;="&amp;(D105+Beta_y*$A105-0.000000001)),"")</f>
        <v>48</v>
      </c>
      <c r="U105" s="15" t="n">
        <f aca="false">IF(M105=1,_xlfn.MINIFS(Sch_idx,Sch_n,E$5,Sch_bmax,"&gt;="&amp;($A105-0.000000001),Sch_P0,"&gt;="&amp;(E105+Beta_y*$A105-0.000000001)),"")</f>
        <v>52</v>
      </c>
      <c r="V105" s="15" t="n">
        <f aca="false">IF(N105=1,_xlfn.MINIFS(Sch_idx,Sch_n,F$5,Sch_bmax,"&gt;="&amp;($A105-0.000000001),Sch_P0,"&gt;="&amp;(F105+Beta_y*$A105-0.000000001)),"")</f>
        <v>53</v>
      </c>
      <c r="W105" s="15" t="n">
        <f aca="false">IF(O105=1,_xlfn.MINIFS(Sch_idx,Sch_n,G$5,Sch_bmax,"&gt;="&amp;($A105-0.000000001),Sch_P0,"&gt;="&amp;(G105+Beta_y*$A105-0.000000001)),"")</f>
        <v>55</v>
      </c>
      <c r="X105" s="15" t="str">
        <f aca="false">IF(P105=1,_xlfn.MINIFS(Sch_idx,Sch_n,H$5,Sch_bmax,"&gt;="&amp;($A105-0.000000001),Sch_P0,"&gt;="&amp;(H105+Beta_y*$A105-0.000000001)),"")</f>
        <v/>
      </c>
      <c r="Z105" s="15" t="n">
        <f aca="false">IF(J105=1,IF(COUNTIFS(K105:$P105,1,C105:$H105,"&gt;="&amp;(B105-0.000000001))&gt;0,0,1),"")</f>
        <v>0</v>
      </c>
      <c r="AA105" s="15" t="n">
        <f aca="false">IF(K105=1,IF(COUNTIFS(L105:$P105,1,D105:$H105,"&gt;="&amp;(C105-0.000000001))&gt;0,0,1),"")</f>
        <v>0</v>
      </c>
      <c r="AB105" s="15" t="n">
        <f aca="false">IF(L105=1,IF(COUNTIFS(M105:$P105,1,E105:$H105,"&gt;="&amp;(D105-0.000000001))&gt;0,0,1),"")</f>
        <v>1</v>
      </c>
      <c r="AC105" s="15" t="n">
        <f aca="false">IF(M105=1,IF(COUNTIFS(N105:$P105,1,F105:$H105,"&gt;="&amp;(E105-0.000000001))&gt;0,0,1),"")</f>
        <v>1</v>
      </c>
      <c r="AD105" s="15" t="n">
        <f aca="false">IF(N105=1,IF(COUNTIFS(O105:$P105,1,G105:$H105,"&gt;="&amp;(F105-0.000000001))&gt;0,0,1),"")</f>
        <v>1</v>
      </c>
      <c r="AE105" s="15" t="n">
        <f aca="false">IF(O105=1,IF(COUNTIFS(P105:$P105,1,H105:$H105,"&gt;="&amp;(G105-0.000000001))&gt;0,0,1),"")</f>
        <v>1</v>
      </c>
      <c r="AF105" s="15" t="str">
        <f aca="false">IF(P105=1,1,"")</f>
        <v/>
      </c>
    </row>
    <row r="106" customFormat="false" ht="15" hidden="false" customHeight="false" outlineLevel="0" collapsed="false">
      <c r="A106" s="2" t="n">
        <v>100</v>
      </c>
      <c r="B106" s="16" t="n">
        <f aca="false">IF(COUNTIFS(Sch_n,B$5,Sch_bmax,"&gt;="&amp;($A106-0.000000001))&gt;0,_xlfn.MAXIFS(Sch_P0,Sch_n,B$5,Sch_bmax,"&gt;="&amp;($A106-0.000000001))-Beta_y*$A106,"")</f>
        <v>45.4545454545454</v>
      </c>
      <c r="C106" s="16" t="n">
        <f aca="false">IF(COUNTIFS(Sch_n,C$5,Sch_bmax,"&gt;="&amp;($A106-0.000000001))&gt;0,_xlfn.MAXIFS(Sch_P0,Sch_n,C$5,Sch_bmax,"&gt;="&amp;($A106-0.000000001))-Beta_y*$A106,"")</f>
        <v>279.763553160179</v>
      </c>
      <c r="D106" s="16" t="n">
        <f aca="false">IF(COUNTIFS(Sch_n,D$5,Sch_bmax,"&gt;="&amp;($A106-0.000000001))&gt;0,_xlfn.MAXIFS(Sch_P0,Sch_n,D$5,Sch_bmax,"&gt;="&amp;($A106-0.000000001))-Beta_y*$A106,"")</f>
        <v>293.264245487454</v>
      </c>
      <c r="E106" s="16" t="n">
        <f aca="false">IF(COUNTIFS(Sch_n,E$5,Sch_bmax,"&gt;="&amp;($A106-0.000000001))&gt;0,_xlfn.MAXIFS(Sch_P0,Sch_n,E$5,Sch_bmax,"&gt;="&amp;($A106-0.000000001))-Beta_y*$A106,"")</f>
        <v>235.523360471358</v>
      </c>
      <c r="F106" s="16" t="n">
        <f aca="false">IF(COUNTIFS(Sch_n,F$5,Sch_bmax,"&gt;="&amp;($A106-0.000000001))&gt;0,_xlfn.MAXIFS(Sch_P0,Sch_n,F$5,Sch_bmax,"&gt;="&amp;($A106-0.000000001))-Beta_y*$A106,"")</f>
        <v>165.95194859223</v>
      </c>
      <c r="G106" s="16" t="n">
        <f aca="false">IF(COUNTIFS(Sch_n,G$5,Sch_bmax,"&gt;="&amp;($A106-0.000000001))&gt;0,_xlfn.MAXIFS(Sch_P0,Sch_n,G$5,Sch_bmax,"&gt;="&amp;($A106-0.000000001))-Beta_y*$A106,"")</f>
        <v>91.8929689691746</v>
      </c>
      <c r="H106" s="16" t="str">
        <f aca="false">IF(COUNTIFS(Sch_n,H$5,Sch_bmax,"&gt;="&amp;($A106-0.000000001))&gt;0,_xlfn.MAXIFS(Sch_P0,Sch_n,H$5,Sch_bmax,"&gt;="&amp;($A106-0.000000001))-Beta_y*$A106,"")</f>
        <v/>
      </c>
      <c r="J106" s="15" t="n">
        <f aca="false">IF(ISNUMBER(B106),1,0)</f>
        <v>1</v>
      </c>
      <c r="K106" s="15" t="n">
        <f aca="false">IF(ISNUMBER(C106),1,0)</f>
        <v>1</v>
      </c>
      <c r="L106" s="15" t="n">
        <f aca="false">IF(ISNUMBER(D106),1,0)</f>
        <v>1</v>
      </c>
      <c r="M106" s="15" t="n">
        <f aca="false">IF(ISNUMBER(E106),1,0)</f>
        <v>1</v>
      </c>
      <c r="N106" s="15" t="n">
        <f aca="false">IF(ISNUMBER(F106),1,0)</f>
        <v>1</v>
      </c>
      <c r="O106" s="15" t="n">
        <f aca="false">IF(ISNUMBER(G106),1,0)</f>
        <v>1</v>
      </c>
      <c r="P106" s="15" t="n">
        <f aca="false">IF(ISNUMBER(H106),1,0)</f>
        <v>0</v>
      </c>
      <c r="R106" s="15" t="n">
        <f aca="false">IF(J106=1,_xlfn.MINIFS(Sch_idx,Sch_n,B$5,Sch_bmax,"&gt;="&amp;($A106-0.000000001),Sch_P0,"&gt;="&amp;(B106+Beta_y*$A106-0.000000001)),"")</f>
        <v>0</v>
      </c>
      <c r="S106" s="15" t="n">
        <f aca="false">IF(K106=1,_xlfn.MINIFS(Sch_idx,Sch_n,C$5,Sch_bmax,"&gt;="&amp;($A106-0.000000001),Sch_P0,"&gt;="&amp;(C106+Beta_y*$A106-0.000000001)),"")</f>
        <v>32</v>
      </c>
      <c r="T106" s="15" t="n">
        <f aca="false">IF(L106=1,_xlfn.MINIFS(Sch_idx,Sch_n,D$5,Sch_bmax,"&gt;="&amp;($A106-0.000000001),Sch_P0,"&gt;="&amp;(D106+Beta_y*$A106-0.000000001)),"")</f>
        <v>48</v>
      </c>
      <c r="U106" s="15" t="n">
        <f aca="false">IF(M106=1,_xlfn.MINIFS(Sch_idx,Sch_n,E$5,Sch_bmax,"&gt;="&amp;($A106-0.000000001),Sch_P0,"&gt;="&amp;(E106+Beta_y*$A106-0.000000001)),"")</f>
        <v>52</v>
      </c>
      <c r="V106" s="15" t="n">
        <f aca="false">IF(N106=1,_xlfn.MINIFS(Sch_idx,Sch_n,F$5,Sch_bmax,"&gt;="&amp;($A106-0.000000001),Sch_P0,"&gt;="&amp;(F106+Beta_y*$A106-0.000000001)),"")</f>
        <v>53</v>
      </c>
      <c r="W106" s="15" t="n">
        <f aca="false">IF(O106=1,_xlfn.MINIFS(Sch_idx,Sch_n,G$5,Sch_bmax,"&gt;="&amp;($A106-0.000000001),Sch_P0,"&gt;="&amp;(G106+Beta_y*$A106-0.000000001)),"")</f>
        <v>55</v>
      </c>
      <c r="X106" s="15" t="str">
        <f aca="false">IF(P106=1,_xlfn.MINIFS(Sch_idx,Sch_n,H$5,Sch_bmax,"&gt;="&amp;($A106-0.000000001),Sch_P0,"&gt;="&amp;(H106+Beta_y*$A106-0.000000001)),"")</f>
        <v/>
      </c>
      <c r="Z106" s="15" t="n">
        <f aca="false">IF(J106=1,IF(COUNTIFS(K106:$P106,1,C106:$H106,"&gt;="&amp;(B106-0.000000001))&gt;0,0,1),"")</f>
        <v>0</v>
      </c>
      <c r="AA106" s="15" t="n">
        <f aca="false">IF(K106=1,IF(COUNTIFS(L106:$P106,1,D106:$H106,"&gt;="&amp;(C106-0.000000001))&gt;0,0,1),"")</f>
        <v>0</v>
      </c>
      <c r="AB106" s="15" t="n">
        <f aca="false">IF(L106=1,IF(COUNTIFS(M106:$P106,1,E106:$H106,"&gt;="&amp;(D106-0.000000001))&gt;0,0,1),"")</f>
        <v>1</v>
      </c>
      <c r="AC106" s="15" t="n">
        <f aca="false">IF(M106=1,IF(COUNTIFS(N106:$P106,1,F106:$H106,"&gt;="&amp;(E106-0.000000001))&gt;0,0,1),"")</f>
        <v>1</v>
      </c>
      <c r="AD106" s="15" t="n">
        <f aca="false">IF(N106=1,IF(COUNTIFS(O106:$P106,1,G106:$H106,"&gt;="&amp;(F106-0.000000001))&gt;0,0,1),"")</f>
        <v>1</v>
      </c>
      <c r="AE106" s="15" t="n">
        <f aca="false">IF(O106=1,IF(COUNTIFS(P106:$P106,1,H106:$H106,"&gt;="&amp;(G106-0.000000001))&gt;0,0,1),"")</f>
        <v>1</v>
      </c>
      <c r="AF106" s="15" t="str">
        <f aca="false">IF(P106=1,1,"")</f>
        <v/>
      </c>
    </row>
    <row r="107" customFormat="false" ht="15" hidden="false" customHeight="false" outlineLevel="0" collapsed="false">
      <c r="A107" s="2" t="n">
        <v>101</v>
      </c>
      <c r="B107" s="16" t="n">
        <f aca="false">IF(COUNTIFS(Sch_n,B$5,Sch_bmax,"&gt;="&amp;($A107-0.000000001))&gt;0,_xlfn.MAXIFS(Sch_P0,Sch_n,B$5,Sch_bmax,"&gt;="&amp;($A107-0.000000001))-Beta_y*$A107,"")</f>
        <v>44.5454545454545</v>
      </c>
      <c r="C107" s="16" t="n">
        <f aca="false">IF(COUNTIFS(Sch_n,C$5,Sch_bmax,"&gt;="&amp;($A107-0.000000001))&gt;0,_xlfn.MAXIFS(Sch_P0,Sch_n,C$5,Sch_bmax,"&gt;="&amp;($A107-0.000000001))-Beta_y*$A107,"")</f>
        <v>278.854462251088</v>
      </c>
      <c r="D107" s="16" t="n">
        <f aca="false">IF(COUNTIFS(Sch_n,D$5,Sch_bmax,"&gt;="&amp;($A107-0.000000001))&gt;0,_xlfn.MAXIFS(Sch_P0,Sch_n,D$5,Sch_bmax,"&gt;="&amp;($A107-0.000000001))-Beta_y*$A107,"")</f>
        <v>269.214658710595</v>
      </c>
      <c r="E107" s="16" t="n">
        <f aca="false">IF(COUNTIFS(Sch_n,E$5,Sch_bmax,"&gt;="&amp;($A107-0.000000001))&gt;0,_xlfn.MAXIFS(Sch_P0,Sch_n,E$5,Sch_bmax,"&gt;="&amp;($A107-0.000000001))-Beta_y*$A107,"")</f>
        <v>210.234104273011</v>
      </c>
      <c r="F107" s="16" t="n">
        <f aca="false">IF(COUNTIFS(Sch_n,F$5,Sch_bmax,"&gt;="&amp;($A107-0.000000001))&gt;0,_xlfn.MAXIFS(Sch_P0,Sch_n,F$5,Sch_bmax,"&gt;="&amp;($A107-0.000000001))-Beta_y*$A107,"")</f>
        <v>140.662692393883</v>
      </c>
      <c r="G107" s="16" t="n">
        <f aca="false">IF(COUNTIFS(Sch_n,G$5,Sch_bmax,"&gt;="&amp;($A107-0.000000001))&gt;0,_xlfn.MAXIFS(Sch_P0,Sch_n,G$5,Sch_bmax,"&gt;="&amp;($A107-0.000000001))-Beta_y*$A107,"")</f>
        <v>66.6037127708275</v>
      </c>
      <c r="H107" s="16" t="str">
        <f aca="false">IF(COUNTIFS(Sch_n,H$5,Sch_bmax,"&gt;="&amp;($A107-0.000000001))&gt;0,_xlfn.MAXIFS(Sch_P0,Sch_n,H$5,Sch_bmax,"&gt;="&amp;($A107-0.000000001))-Beta_y*$A107,"")</f>
        <v/>
      </c>
      <c r="J107" s="15" t="n">
        <f aca="false">IF(ISNUMBER(B107),1,0)</f>
        <v>1</v>
      </c>
      <c r="K107" s="15" t="n">
        <f aca="false">IF(ISNUMBER(C107),1,0)</f>
        <v>1</v>
      </c>
      <c r="L107" s="15" t="n">
        <f aca="false">IF(ISNUMBER(D107),1,0)</f>
        <v>1</v>
      </c>
      <c r="M107" s="15" t="n">
        <f aca="false">IF(ISNUMBER(E107),1,0)</f>
        <v>1</v>
      </c>
      <c r="N107" s="15" t="n">
        <f aca="false">IF(ISNUMBER(F107),1,0)</f>
        <v>1</v>
      </c>
      <c r="O107" s="15" t="n">
        <f aca="false">IF(ISNUMBER(G107),1,0)</f>
        <v>1</v>
      </c>
      <c r="P107" s="15" t="n">
        <f aca="false">IF(ISNUMBER(H107),1,0)</f>
        <v>0</v>
      </c>
      <c r="R107" s="15" t="n">
        <f aca="false">IF(J107=1,_xlfn.MINIFS(Sch_idx,Sch_n,B$5,Sch_bmax,"&gt;="&amp;($A107-0.000000001),Sch_P0,"&gt;="&amp;(B107+Beta_y*$A107-0.000000001)),"")</f>
        <v>0</v>
      </c>
      <c r="S107" s="15" t="n">
        <f aca="false">IF(K107=1,_xlfn.MINIFS(Sch_idx,Sch_n,C$5,Sch_bmax,"&gt;="&amp;($A107-0.000000001),Sch_P0,"&gt;="&amp;(C107+Beta_y*$A107-0.000000001)),"")</f>
        <v>32</v>
      </c>
      <c r="T107" s="15" t="n">
        <f aca="false">IF(L107=1,_xlfn.MINIFS(Sch_idx,Sch_n,D$5,Sch_bmax,"&gt;="&amp;($A107-0.000000001),Sch_P0,"&gt;="&amp;(D107+Beta_y*$A107-0.000000001)),"")</f>
        <v>40</v>
      </c>
      <c r="U107" s="15" t="n">
        <f aca="false">IF(M107=1,_xlfn.MINIFS(Sch_idx,Sch_n,E$5,Sch_bmax,"&gt;="&amp;($A107-0.000000001),Sch_P0,"&gt;="&amp;(E107+Beta_y*$A107-0.000000001)),"")</f>
        <v>44</v>
      </c>
      <c r="V107" s="15" t="n">
        <f aca="false">IF(N107=1,_xlfn.MINIFS(Sch_idx,Sch_n,F$5,Sch_bmax,"&gt;="&amp;($A107-0.000000001),Sch_P0,"&gt;="&amp;(F107+Beta_y*$A107-0.000000001)),"")</f>
        <v>45</v>
      </c>
      <c r="W107" s="15" t="n">
        <f aca="false">IF(O107=1,_xlfn.MINIFS(Sch_idx,Sch_n,G$5,Sch_bmax,"&gt;="&amp;($A107-0.000000001),Sch_P0,"&gt;="&amp;(G107+Beta_y*$A107-0.000000001)),"")</f>
        <v>47</v>
      </c>
      <c r="X107" s="15" t="str">
        <f aca="false">IF(P107=1,_xlfn.MINIFS(Sch_idx,Sch_n,H$5,Sch_bmax,"&gt;="&amp;($A107-0.000000001),Sch_P0,"&gt;="&amp;(H107+Beta_y*$A107-0.000000001)),"")</f>
        <v/>
      </c>
      <c r="Z107" s="15" t="n">
        <f aca="false">IF(J107=1,IF(COUNTIFS(K107:$P107,1,C107:$H107,"&gt;="&amp;(B107-0.000000001))&gt;0,0,1),"")</f>
        <v>0</v>
      </c>
      <c r="AA107" s="15" t="n">
        <f aca="false">IF(K107=1,IF(COUNTIFS(L107:$P107,1,D107:$H107,"&gt;="&amp;(C107-0.000000001))&gt;0,0,1),"")</f>
        <v>1</v>
      </c>
      <c r="AB107" s="15" t="n">
        <f aca="false">IF(L107=1,IF(COUNTIFS(M107:$P107,1,E107:$H107,"&gt;="&amp;(D107-0.000000001))&gt;0,0,1),"")</f>
        <v>1</v>
      </c>
      <c r="AC107" s="15" t="n">
        <f aca="false">IF(M107=1,IF(COUNTIFS(N107:$P107,1,F107:$H107,"&gt;="&amp;(E107-0.000000001))&gt;0,0,1),"")</f>
        <v>1</v>
      </c>
      <c r="AD107" s="15" t="n">
        <f aca="false">IF(N107=1,IF(COUNTIFS(O107:$P107,1,G107:$H107,"&gt;="&amp;(F107-0.000000001))&gt;0,0,1),"")</f>
        <v>1</v>
      </c>
      <c r="AE107" s="15" t="n">
        <f aca="false">IF(O107=1,IF(COUNTIFS(P107:$P107,1,H107:$H107,"&gt;="&amp;(G107-0.000000001))&gt;0,0,1),"")</f>
        <v>1</v>
      </c>
      <c r="AF107" s="15" t="str">
        <f aca="false">IF(P107=1,1,"")</f>
        <v/>
      </c>
    </row>
    <row r="108" customFormat="false" ht="15" hidden="false" customHeight="false" outlineLevel="0" collapsed="false">
      <c r="A108" s="2" t="n">
        <v>102</v>
      </c>
      <c r="B108" s="16" t="n">
        <f aca="false">IF(COUNTIFS(Sch_n,B$5,Sch_bmax,"&gt;="&amp;($A108-0.000000001))&gt;0,_xlfn.MAXIFS(Sch_P0,Sch_n,B$5,Sch_bmax,"&gt;="&amp;($A108-0.000000001))-Beta_y*$A108,"")</f>
        <v>43.6363636363636</v>
      </c>
      <c r="C108" s="16" t="n">
        <f aca="false">IF(COUNTIFS(Sch_n,C$5,Sch_bmax,"&gt;="&amp;($A108-0.000000001))&gt;0,_xlfn.MAXIFS(Sch_P0,Sch_n,C$5,Sch_bmax,"&gt;="&amp;($A108-0.000000001))-Beta_y*$A108,"")</f>
        <v>277.945371341997</v>
      </c>
      <c r="D108" s="16" t="n">
        <f aca="false">IF(COUNTIFS(Sch_n,D$5,Sch_bmax,"&gt;="&amp;($A108-0.000000001))&gt;0,_xlfn.MAXIFS(Sch_P0,Sch_n,D$5,Sch_bmax,"&gt;="&amp;($A108-0.000000001))-Beta_y*$A108,"")</f>
        <v>268.305567801504</v>
      </c>
      <c r="E108" s="16" t="n">
        <f aca="false">IF(COUNTIFS(Sch_n,E$5,Sch_bmax,"&gt;="&amp;($A108-0.000000001))&gt;0,_xlfn.MAXIFS(Sch_P0,Sch_n,E$5,Sch_bmax,"&gt;="&amp;($A108-0.000000001))-Beta_y*$A108,"")</f>
        <v>209.32501336392</v>
      </c>
      <c r="F108" s="16" t="n">
        <f aca="false">IF(COUNTIFS(Sch_n,F$5,Sch_bmax,"&gt;="&amp;($A108-0.000000001))&gt;0,_xlfn.MAXIFS(Sch_P0,Sch_n,F$5,Sch_bmax,"&gt;="&amp;($A108-0.000000001))-Beta_y*$A108,"")</f>
        <v>139.753601484792</v>
      </c>
      <c r="G108" s="16" t="n">
        <f aca="false">IF(COUNTIFS(Sch_n,G$5,Sch_bmax,"&gt;="&amp;($A108-0.000000001))&gt;0,_xlfn.MAXIFS(Sch_P0,Sch_n,G$5,Sch_bmax,"&gt;="&amp;($A108-0.000000001))-Beta_y*$A108,"")</f>
        <v>65.6946218617366</v>
      </c>
      <c r="H108" s="16" t="str">
        <f aca="false">IF(COUNTIFS(Sch_n,H$5,Sch_bmax,"&gt;="&amp;($A108-0.000000001))&gt;0,_xlfn.MAXIFS(Sch_P0,Sch_n,H$5,Sch_bmax,"&gt;="&amp;($A108-0.000000001))-Beta_y*$A108,"")</f>
        <v/>
      </c>
      <c r="J108" s="15" t="n">
        <f aca="false">IF(ISNUMBER(B108),1,0)</f>
        <v>1</v>
      </c>
      <c r="K108" s="15" t="n">
        <f aca="false">IF(ISNUMBER(C108),1,0)</f>
        <v>1</v>
      </c>
      <c r="L108" s="15" t="n">
        <f aca="false">IF(ISNUMBER(D108),1,0)</f>
        <v>1</v>
      </c>
      <c r="M108" s="15" t="n">
        <f aca="false">IF(ISNUMBER(E108),1,0)</f>
        <v>1</v>
      </c>
      <c r="N108" s="15" t="n">
        <f aca="false">IF(ISNUMBER(F108),1,0)</f>
        <v>1</v>
      </c>
      <c r="O108" s="15" t="n">
        <f aca="false">IF(ISNUMBER(G108),1,0)</f>
        <v>1</v>
      </c>
      <c r="P108" s="15" t="n">
        <f aca="false">IF(ISNUMBER(H108),1,0)</f>
        <v>0</v>
      </c>
      <c r="R108" s="15" t="n">
        <f aca="false">IF(J108=1,_xlfn.MINIFS(Sch_idx,Sch_n,B$5,Sch_bmax,"&gt;="&amp;($A108-0.000000001),Sch_P0,"&gt;="&amp;(B108+Beta_y*$A108-0.000000001)),"")</f>
        <v>0</v>
      </c>
      <c r="S108" s="15" t="n">
        <f aca="false">IF(K108=1,_xlfn.MINIFS(Sch_idx,Sch_n,C$5,Sch_bmax,"&gt;="&amp;($A108-0.000000001),Sch_P0,"&gt;="&amp;(C108+Beta_y*$A108-0.000000001)),"")</f>
        <v>32</v>
      </c>
      <c r="T108" s="15" t="n">
        <f aca="false">IF(L108=1,_xlfn.MINIFS(Sch_idx,Sch_n,D$5,Sch_bmax,"&gt;="&amp;($A108-0.000000001),Sch_P0,"&gt;="&amp;(D108+Beta_y*$A108-0.000000001)),"")</f>
        <v>40</v>
      </c>
      <c r="U108" s="15" t="n">
        <f aca="false">IF(M108=1,_xlfn.MINIFS(Sch_idx,Sch_n,E$5,Sch_bmax,"&gt;="&amp;($A108-0.000000001),Sch_P0,"&gt;="&amp;(E108+Beta_y*$A108-0.000000001)),"")</f>
        <v>44</v>
      </c>
      <c r="V108" s="15" t="n">
        <f aca="false">IF(N108=1,_xlfn.MINIFS(Sch_idx,Sch_n,F$5,Sch_bmax,"&gt;="&amp;($A108-0.000000001),Sch_P0,"&gt;="&amp;(F108+Beta_y*$A108-0.000000001)),"")</f>
        <v>45</v>
      </c>
      <c r="W108" s="15" t="n">
        <f aca="false">IF(O108=1,_xlfn.MINIFS(Sch_idx,Sch_n,G$5,Sch_bmax,"&gt;="&amp;($A108-0.000000001),Sch_P0,"&gt;="&amp;(G108+Beta_y*$A108-0.000000001)),"")</f>
        <v>47</v>
      </c>
      <c r="X108" s="15" t="str">
        <f aca="false">IF(P108=1,_xlfn.MINIFS(Sch_idx,Sch_n,H$5,Sch_bmax,"&gt;="&amp;($A108-0.000000001),Sch_P0,"&gt;="&amp;(H108+Beta_y*$A108-0.000000001)),"")</f>
        <v/>
      </c>
      <c r="Z108" s="15" t="n">
        <f aca="false">IF(J108=1,IF(COUNTIFS(K108:$P108,1,C108:$H108,"&gt;="&amp;(B108-0.000000001))&gt;0,0,1),"")</f>
        <v>0</v>
      </c>
      <c r="AA108" s="15" t="n">
        <f aca="false">IF(K108=1,IF(COUNTIFS(L108:$P108,1,D108:$H108,"&gt;="&amp;(C108-0.000000001))&gt;0,0,1),"")</f>
        <v>1</v>
      </c>
      <c r="AB108" s="15" t="n">
        <f aca="false">IF(L108=1,IF(COUNTIFS(M108:$P108,1,E108:$H108,"&gt;="&amp;(D108-0.000000001))&gt;0,0,1),"")</f>
        <v>1</v>
      </c>
      <c r="AC108" s="15" t="n">
        <f aca="false">IF(M108=1,IF(COUNTIFS(N108:$P108,1,F108:$H108,"&gt;="&amp;(E108-0.000000001))&gt;0,0,1),"")</f>
        <v>1</v>
      </c>
      <c r="AD108" s="15" t="n">
        <f aca="false">IF(N108=1,IF(COUNTIFS(O108:$P108,1,G108:$H108,"&gt;="&amp;(F108-0.000000001))&gt;0,0,1),"")</f>
        <v>1</v>
      </c>
      <c r="AE108" s="15" t="n">
        <f aca="false">IF(O108=1,IF(COUNTIFS(P108:$P108,1,H108:$H108,"&gt;="&amp;(G108-0.000000001))&gt;0,0,1),"")</f>
        <v>1</v>
      </c>
      <c r="AF108" s="15" t="str">
        <f aca="false">IF(P108=1,1,"")</f>
        <v/>
      </c>
    </row>
    <row r="109" customFormat="false" ht="15" hidden="false" customHeight="false" outlineLevel="0" collapsed="false">
      <c r="A109" s="2" t="n">
        <v>103</v>
      </c>
      <c r="B109" s="16" t="n">
        <f aca="false">IF(COUNTIFS(Sch_n,B$5,Sch_bmax,"&gt;="&amp;($A109-0.000000001))&gt;0,_xlfn.MAXIFS(Sch_P0,Sch_n,B$5,Sch_bmax,"&gt;="&amp;($A109-0.000000001))-Beta_y*$A109,"")</f>
        <v>42.7272727272727</v>
      </c>
      <c r="C109" s="16" t="n">
        <f aca="false">IF(COUNTIFS(Sch_n,C$5,Sch_bmax,"&gt;="&amp;($A109-0.000000001))&gt;0,_xlfn.MAXIFS(Sch_P0,Sch_n,C$5,Sch_bmax,"&gt;="&amp;($A109-0.000000001))-Beta_y*$A109,"")</f>
        <v>277.036280432906</v>
      </c>
      <c r="D109" s="16" t="n">
        <f aca="false">IF(COUNTIFS(Sch_n,D$5,Sch_bmax,"&gt;="&amp;($A109-0.000000001))&gt;0,_xlfn.MAXIFS(Sch_P0,Sch_n,D$5,Sch_bmax,"&gt;="&amp;($A109-0.000000001))-Beta_y*$A109,"")</f>
        <v>267.396476892413</v>
      </c>
      <c r="E109" s="16" t="n">
        <f aca="false">IF(COUNTIFS(Sch_n,E$5,Sch_bmax,"&gt;="&amp;($A109-0.000000001))&gt;0,_xlfn.MAXIFS(Sch_P0,Sch_n,E$5,Sch_bmax,"&gt;="&amp;($A109-0.000000001))-Beta_y*$A109,"")</f>
        <v>208.415922454829</v>
      </c>
      <c r="F109" s="16" t="n">
        <f aca="false">IF(COUNTIFS(Sch_n,F$5,Sch_bmax,"&gt;="&amp;($A109-0.000000001))&gt;0,_xlfn.MAXIFS(Sch_P0,Sch_n,F$5,Sch_bmax,"&gt;="&amp;($A109-0.000000001))-Beta_y*$A109,"")</f>
        <v>138.844510575701</v>
      </c>
      <c r="G109" s="16" t="n">
        <f aca="false">IF(COUNTIFS(Sch_n,G$5,Sch_bmax,"&gt;="&amp;($A109-0.000000001))&gt;0,_xlfn.MAXIFS(Sch_P0,Sch_n,G$5,Sch_bmax,"&gt;="&amp;($A109-0.000000001))-Beta_y*$A109,"")</f>
        <v>64.7855309526457</v>
      </c>
      <c r="H109" s="16" t="str">
        <f aca="false">IF(COUNTIFS(Sch_n,H$5,Sch_bmax,"&gt;="&amp;($A109-0.000000001))&gt;0,_xlfn.MAXIFS(Sch_P0,Sch_n,H$5,Sch_bmax,"&gt;="&amp;($A109-0.000000001))-Beta_y*$A109,"")</f>
        <v/>
      </c>
      <c r="J109" s="15" t="n">
        <f aca="false">IF(ISNUMBER(B109),1,0)</f>
        <v>1</v>
      </c>
      <c r="K109" s="15" t="n">
        <f aca="false">IF(ISNUMBER(C109),1,0)</f>
        <v>1</v>
      </c>
      <c r="L109" s="15" t="n">
        <f aca="false">IF(ISNUMBER(D109),1,0)</f>
        <v>1</v>
      </c>
      <c r="M109" s="15" t="n">
        <f aca="false">IF(ISNUMBER(E109),1,0)</f>
        <v>1</v>
      </c>
      <c r="N109" s="15" t="n">
        <f aca="false">IF(ISNUMBER(F109),1,0)</f>
        <v>1</v>
      </c>
      <c r="O109" s="15" t="n">
        <f aca="false">IF(ISNUMBER(G109),1,0)</f>
        <v>1</v>
      </c>
      <c r="P109" s="15" t="n">
        <f aca="false">IF(ISNUMBER(H109),1,0)</f>
        <v>0</v>
      </c>
      <c r="R109" s="15" t="n">
        <f aca="false">IF(J109=1,_xlfn.MINIFS(Sch_idx,Sch_n,B$5,Sch_bmax,"&gt;="&amp;($A109-0.000000001),Sch_P0,"&gt;="&amp;(B109+Beta_y*$A109-0.000000001)),"")</f>
        <v>0</v>
      </c>
      <c r="S109" s="15" t="n">
        <f aca="false">IF(K109=1,_xlfn.MINIFS(Sch_idx,Sch_n,C$5,Sch_bmax,"&gt;="&amp;($A109-0.000000001),Sch_P0,"&gt;="&amp;(C109+Beta_y*$A109-0.000000001)),"")</f>
        <v>32</v>
      </c>
      <c r="T109" s="15" t="n">
        <f aca="false">IF(L109=1,_xlfn.MINIFS(Sch_idx,Sch_n,D$5,Sch_bmax,"&gt;="&amp;($A109-0.000000001),Sch_P0,"&gt;="&amp;(D109+Beta_y*$A109-0.000000001)),"")</f>
        <v>40</v>
      </c>
      <c r="U109" s="15" t="n">
        <f aca="false">IF(M109=1,_xlfn.MINIFS(Sch_idx,Sch_n,E$5,Sch_bmax,"&gt;="&amp;($A109-0.000000001),Sch_P0,"&gt;="&amp;(E109+Beta_y*$A109-0.000000001)),"")</f>
        <v>44</v>
      </c>
      <c r="V109" s="15" t="n">
        <f aca="false">IF(N109=1,_xlfn.MINIFS(Sch_idx,Sch_n,F$5,Sch_bmax,"&gt;="&amp;($A109-0.000000001),Sch_P0,"&gt;="&amp;(F109+Beta_y*$A109-0.000000001)),"")</f>
        <v>45</v>
      </c>
      <c r="W109" s="15" t="n">
        <f aca="false">IF(O109=1,_xlfn.MINIFS(Sch_idx,Sch_n,G$5,Sch_bmax,"&gt;="&amp;($A109-0.000000001),Sch_P0,"&gt;="&amp;(G109+Beta_y*$A109-0.000000001)),"")</f>
        <v>47</v>
      </c>
      <c r="X109" s="15" t="str">
        <f aca="false">IF(P109=1,_xlfn.MINIFS(Sch_idx,Sch_n,H$5,Sch_bmax,"&gt;="&amp;($A109-0.000000001),Sch_P0,"&gt;="&amp;(H109+Beta_y*$A109-0.000000001)),"")</f>
        <v/>
      </c>
      <c r="Z109" s="15" t="n">
        <f aca="false">IF(J109=1,IF(COUNTIFS(K109:$P109,1,C109:$H109,"&gt;="&amp;(B109-0.000000001))&gt;0,0,1),"")</f>
        <v>0</v>
      </c>
      <c r="AA109" s="15" t="n">
        <f aca="false">IF(K109=1,IF(COUNTIFS(L109:$P109,1,D109:$H109,"&gt;="&amp;(C109-0.000000001))&gt;0,0,1),"")</f>
        <v>1</v>
      </c>
      <c r="AB109" s="15" t="n">
        <f aca="false">IF(L109=1,IF(COUNTIFS(M109:$P109,1,E109:$H109,"&gt;="&amp;(D109-0.000000001))&gt;0,0,1),"")</f>
        <v>1</v>
      </c>
      <c r="AC109" s="15" t="n">
        <f aca="false">IF(M109=1,IF(COUNTIFS(N109:$P109,1,F109:$H109,"&gt;="&amp;(E109-0.000000001))&gt;0,0,1),"")</f>
        <v>1</v>
      </c>
      <c r="AD109" s="15" t="n">
        <f aca="false">IF(N109=1,IF(COUNTIFS(O109:$P109,1,G109:$H109,"&gt;="&amp;(F109-0.000000001))&gt;0,0,1),"")</f>
        <v>1</v>
      </c>
      <c r="AE109" s="15" t="n">
        <f aca="false">IF(O109=1,IF(COUNTIFS(P109:$P109,1,H109:$H109,"&gt;="&amp;(G109-0.000000001))&gt;0,0,1),"")</f>
        <v>1</v>
      </c>
      <c r="AF109" s="15" t="str">
        <f aca="false">IF(P109=1,1,"")</f>
        <v/>
      </c>
    </row>
    <row r="110" customFormat="false" ht="15" hidden="false" customHeight="false" outlineLevel="0" collapsed="false">
      <c r="A110" s="2" t="n">
        <v>104</v>
      </c>
      <c r="B110" s="16" t="n">
        <f aca="false">IF(COUNTIFS(Sch_n,B$5,Sch_bmax,"&gt;="&amp;($A110-0.000000001))&gt;0,_xlfn.MAXIFS(Sch_P0,Sch_n,B$5,Sch_bmax,"&gt;="&amp;($A110-0.000000001))-Beta_y*$A110,"")</f>
        <v>41.8181818181818</v>
      </c>
      <c r="C110" s="16" t="n">
        <f aca="false">IF(COUNTIFS(Sch_n,C$5,Sch_bmax,"&gt;="&amp;($A110-0.000000001))&gt;0,_xlfn.MAXIFS(Sch_P0,Sch_n,C$5,Sch_bmax,"&gt;="&amp;($A110-0.000000001))-Beta_y*$A110,"")</f>
        <v>276.127189523815</v>
      </c>
      <c r="D110" s="16" t="n">
        <f aca="false">IF(COUNTIFS(Sch_n,D$5,Sch_bmax,"&gt;="&amp;($A110-0.000000001))&gt;0,_xlfn.MAXIFS(Sch_P0,Sch_n,D$5,Sch_bmax,"&gt;="&amp;($A110-0.000000001))-Beta_y*$A110,"")</f>
        <v>266.487385983322</v>
      </c>
      <c r="E110" s="16" t="n">
        <f aca="false">IF(COUNTIFS(Sch_n,E$5,Sch_bmax,"&gt;="&amp;($A110-0.000000001))&gt;0,_xlfn.MAXIFS(Sch_P0,Sch_n,E$5,Sch_bmax,"&gt;="&amp;($A110-0.000000001))-Beta_y*$A110,"")</f>
        <v>207.506831545738</v>
      </c>
      <c r="F110" s="16" t="n">
        <f aca="false">IF(COUNTIFS(Sch_n,F$5,Sch_bmax,"&gt;="&amp;($A110-0.000000001))&gt;0,_xlfn.MAXIFS(Sch_P0,Sch_n,F$5,Sch_bmax,"&gt;="&amp;($A110-0.000000001))-Beta_y*$A110,"")</f>
        <v>137.93541966661</v>
      </c>
      <c r="G110" s="16" t="n">
        <f aca="false">IF(COUNTIFS(Sch_n,G$5,Sch_bmax,"&gt;="&amp;($A110-0.000000001))&gt;0,_xlfn.MAXIFS(Sch_P0,Sch_n,G$5,Sch_bmax,"&gt;="&amp;($A110-0.000000001))-Beta_y*$A110,"")</f>
        <v>63.8764400435548</v>
      </c>
      <c r="H110" s="16" t="str">
        <f aca="false">IF(COUNTIFS(Sch_n,H$5,Sch_bmax,"&gt;="&amp;($A110-0.000000001))&gt;0,_xlfn.MAXIFS(Sch_P0,Sch_n,H$5,Sch_bmax,"&gt;="&amp;($A110-0.000000001))-Beta_y*$A110,"")</f>
        <v/>
      </c>
      <c r="J110" s="15" t="n">
        <f aca="false">IF(ISNUMBER(B110),1,0)</f>
        <v>1</v>
      </c>
      <c r="K110" s="15" t="n">
        <f aca="false">IF(ISNUMBER(C110),1,0)</f>
        <v>1</v>
      </c>
      <c r="L110" s="15" t="n">
        <f aca="false">IF(ISNUMBER(D110),1,0)</f>
        <v>1</v>
      </c>
      <c r="M110" s="15" t="n">
        <f aca="false">IF(ISNUMBER(E110),1,0)</f>
        <v>1</v>
      </c>
      <c r="N110" s="15" t="n">
        <f aca="false">IF(ISNUMBER(F110),1,0)</f>
        <v>1</v>
      </c>
      <c r="O110" s="15" t="n">
        <f aca="false">IF(ISNUMBER(G110),1,0)</f>
        <v>1</v>
      </c>
      <c r="P110" s="15" t="n">
        <f aca="false">IF(ISNUMBER(H110),1,0)</f>
        <v>0</v>
      </c>
      <c r="R110" s="15" t="n">
        <f aca="false">IF(J110=1,_xlfn.MINIFS(Sch_idx,Sch_n,B$5,Sch_bmax,"&gt;="&amp;($A110-0.000000001),Sch_P0,"&gt;="&amp;(B110+Beta_y*$A110-0.000000001)),"")</f>
        <v>0</v>
      </c>
      <c r="S110" s="15" t="n">
        <f aca="false">IF(K110=1,_xlfn.MINIFS(Sch_idx,Sch_n,C$5,Sch_bmax,"&gt;="&amp;($A110-0.000000001),Sch_P0,"&gt;="&amp;(C110+Beta_y*$A110-0.000000001)),"")</f>
        <v>32</v>
      </c>
      <c r="T110" s="15" t="n">
        <f aca="false">IF(L110=1,_xlfn.MINIFS(Sch_idx,Sch_n,D$5,Sch_bmax,"&gt;="&amp;($A110-0.000000001),Sch_P0,"&gt;="&amp;(D110+Beta_y*$A110-0.000000001)),"")</f>
        <v>40</v>
      </c>
      <c r="U110" s="15" t="n">
        <f aca="false">IF(M110=1,_xlfn.MINIFS(Sch_idx,Sch_n,E$5,Sch_bmax,"&gt;="&amp;($A110-0.000000001),Sch_P0,"&gt;="&amp;(E110+Beta_y*$A110-0.000000001)),"")</f>
        <v>44</v>
      </c>
      <c r="V110" s="15" t="n">
        <f aca="false">IF(N110=1,_xlfn.MINIFS(Sch_idx,Sch_n,F$5,Sch_bmax,"&gt;="&amp;($A110-0.000000001),Sch_P0,"&gt;="&amp;(F110+Beta_y*$A110-0.000000001)),"")</f>
        <v>45</v>
      </c>
      <c r="W110" s="15" t="n">
        <f aca="false">IF(O110=1,_xlfn.MINIFS(Sch_idx,Sch_n,G$5,Sch_bmax,"&gt;="&amp;($A110-0.000000001),Sch_P0,"&gt;="&amp;(G110+Beta_y*$A110-0.000000001)),"")</f>
        <v>47</v>
      </c>
      <c r="X110" s="15" t="str">
        <f aca="false">IF(P110=1,_xlfn.MINIFS(Sch_idx,Sch_n,H$5,Sch_bmax,"&gt;="&amp;($A110-0.000000001),Sch_P0,"&gt;="&amp;(H110+Beta_y*$A110-0.000000001)),"")</f>
        <v/>
      </c>
      <c r="Z110" s="15" t="n">
        <f aca="false">IF(J110=1,IF(COUNTIFS(K110:$P110,1,C110:$H110,"&gt;="&amp;(B110-0.000000001))&gt;0,0,1),"")</f>
        <v>0</v>
      </c>
      <c r="AA110" s="15" t="n">
        <f aca="false">IF(K110=1,IF(COUNTIFS(L110:$P110,1,D110:$H110,"&gt;="&amp;(C110-0.000000001))&gt;0,0,1),"")</f>
        <v>1</v>
      </c>
      <c r="AB110" s="15" t="n">
        <f aca="false">IF(L110=1,IF(COUNTIFS(M110:$P110,1,E110:$H110,"&gt;="&amp;(D110-0.000000001))&gt;0,0,1),"")</f>
        <v>1</v>
      </c>
      <c r="AC110" s="15" t="n">
        <f aca="false">IF(M110=1,IF(COUNTIFS(N110:$P110,1,F110:$H110,"&gt;="&amp;(E110-0.000000001))&gt;0,0,1),"")</f>
        <v>1</v>
      </c>
      <c r="AD110" s="15" t="n">
        <f aca="false">IF(N110=1,IF(COUNTIFS(O110:$P110,1,G110:$H110,"&gt;="&amp;(F110-0.000000001))&gt;0,0,1),"")</f>
        <v>1</v>
      </c>
      <c r="AE110" s="15" t="n">
        <f aca="false">IF(O110=1,IF(COUNTIFS(P110:$P110,1,H110:$H110,"&gt;="&amp;(G110-0.000000001))&gt;0,0,1),"")</f>
        <v>1</v>
      </c>
      <c r="AF110" s="15" t="str">
        <f aca="false">IF(P110=1,1,"")</f>
        <v/>
      </c>
    </row>
    <row r="111" customFormat="false" ht="15" hidden="false" customHeight="false" outlineLevel="0" collapsed="false">
      <c r="A111" s="2" t="n">
        <v>105</v>
      </c>
      <c r="B111" s="16" t="n">
        <f aca="false">IF(COUNTIFS(Sch_n,B$5,Sch_bmax,"&gt;="&amp;($A111-0.000000001))&gt;0,_xlfn.MAXIFS(Sch_P0,Sch_n,B$5,Sch_bmax,"&gt;="&amp;($A111-0.000000001))-Beta_y*$A111,"")</f>
        <v>40.9090909090909</v>
      </c>
      <c r="C111" s="16" t="n">
        <f aca="false">IF(COUNTIFS(Sch_n,C$5,Sch_bmax,"&gt;="&amp;($A111-0.000000001))&gt;0,_xlfn.MAXIFS(Sch_P0,Sch_n,C$5,Sch_bmax,"&gt;="&amp;($A111-0.000000001))-Beta_y*$A111,"")</f>
        <v>275.218098614725</v>
      </c>
      <c r="D111" s="16" t="n">
        <f aca="false">IF(COUNTIFS(Sch_n,D$5,Sch_bmax,"&gt;="&amp;($A111-0.000000001))&gt;0,_xlfn.MAXIFS(Sch_P0,Sch_n,D$5,Sch_bmax,"&gt;="&amp;($A111-0.000000001))-Beta_y*$A111,"")</f>
        <v>265.578295074231</v>
      </c>
      <c r="E111" s="16" t="n">
        <f aca="false">IF(COUNTIFS(Sch_n,E$5,Sch_bmax,"&gt;="&amp;($A111-0.000000001))&gt;0,_xlfn.MAXIFS(Sch_P0,Sch_n,E$5,Sch_bmax,"&gt;="&amp;($A111-0.000000001))-Beta_y*$A111,"")</f>
        <v>206.597740636648</v>
      </c>
      <c r="F111" s="16" t="n">
        <f aca="false">IF(COUNTIFS(Sch_n,F$5,Sch_bmax,"&gt;="&amp;($A111-0.000000001))&gt;0,_xlfn.MAXIFS(Sch_P0,Sch_n,F$5,Sch_bmax,"&gt;="&amp;($A111-0.000000001))-Beta_y*$A111,"")</f>
        <v>137.026328757519</v>
      </c>
      <c r="G111" s="16" t="n">
        <f aca="false">IF(COUNTIFS(Sch_n,G$5,Sch_bmax,"&gt;="&amp;($A111-0.000000001))&gt;0,_xlfn.MAXIFS(Sch_P0,Sch_n,G$5,Sch_bmax,"&gt;="&amp;($A111-0.000000001))-Beta_y*$A111,"")</f>
        <v>62.9673491344639</v>
      </c>
      <c r="H111" s="16" t="str">
        <f aca="false">IF(COUNTIFS(Sch_n,H$5,Sch_bmax,"&gt;="&amp;($A111-0.000000001))&gt;0,_xlfn.MAXIFS(Sch_P0,Sch_n,H$5,Sch_bmax,"&gt;="&amp;($A111-0.000000001))-Beta_y*$A111,"")</f>
        <v/>
      </c>
      <c r="J111" s="15" t="n">
        <f aca="false">IF(ISNUMBER(B111),1,0)</f>
        <v>1</v>
      </c>
      <c r="K111" s="15" t="n">
        <f aca="false">IF(ISNUMBER(C111),1,0)</f>
        <v>1</v>
      </c>
      <c r="L111" s="15" t="n">
        <f aca="false">IF(ISNUMBER(D111),1,0)</f>
        <v>1</v>
      </c>
      <c r="M111" s="15" t="n">
        <f aca="false">IF(ISNUMBER(E111),1,0)</f>
        <v>1</v>
      </c>
      <c r="N111" s="15" t="n">
        <f aca="false">IF(ISNUMBER(F111),1,0)</f>
        <v>1</v>
      </c>
      <c r="O111" s="15" t="n">
        <f aca="false">IF(ISNUMBER(G111),1,0)</f>
        <v>1</v>
      </c>
      <c r="P111" s="15" t="n">
        <f aca="false">IF(ISNUMBER(H111),1,0)</f>
        <v>0</v>
      </c>
      <c r="R111" s="15" t="n">
        <f aca="false">IF(J111=1,_xlfn.MINIFS(Sch_idx,Sch_n,B$5,Sch_bmax,"&gt;="&amp;($A111-0.000000001),Sch_P0,"&gt;="&amp;(B111+Beta_y*$A111-0.000000001)),"")</f>
        <v>0</v>
      </c>
      <c r="S111" s="15" t="n">
        <f aca="false">IF(K111=1,_xlfn.MINIFS(Sch_idx,Sch_n,C$5,Sch_bmax,"&gt;="&amp;($A111-0.000000001),Sch_P0,"&gt;="&amp;(C111+Beta_y*$A111-0.000000001)),"")</f>
        <v>32</v>
      </c>
      <c r="T111" s="15" t="n">
        <f aca="false">IF(L111=1,_xlfn.MINIFS(Sch_idx,Sch_n,D$5,Sch_bmax,"&gt;="&amp;($A111-0.000000001),Sch_P0,"&gt;="&amp;(D111+Beta_y*$A111-0.000000001)),"")</f>
        <v>40</v>
      </c>
      <c r="U111" s="15" t="n">
        <f aca="false">IF(M111=1,_xlfn.MINIFS(Sch_idx,Sch_n,E$5,Sch_bmax,"&gt;="&amp;($A111-0.000000001),Sch_P0,"&gt;="&amp;(E111+Beta_y*$A111-0.000000001)),"")</f>
        <v>44</v>
      </c>
      <c r="V111" s="15" t="n">
        <f aca="false">IF(N111=1,_xlfn.MINIFS(Sch_idx,Sch_n,F$5,Sch_bmax,"&gt;="&amp;($A111-0.000000001),Sch_P0,"&gt;="&amp;(F111+Beta_y*$A111-0.000000001)),"")</f>
        <v>45</v>
      </c>
      <c r="W111" s="15" t="n">
        <f aca="false">IF(O111=1,_xlfn.MINIFS(Sch_idx,Sch_n,G$5,Sch_bmax,"&gt;="&amp;($A111-0.000000001),Sch_P0,"&gt;="&amp;(G111+Beta_y*$A111-0.000000001)),"")</f>
        <v>47</v>
      </c>
      <c r="X111" s="15" t="str">
        <f aca="false">IF(P111=1,_xlfn.MINIFS(Sch_idx,Sch_n,H$5,Sch_bmax,"&gt;="&amp;($A111-0.000000001),Sch_P0,"&gt;="&amp;(H111+Beta_y*$A111-0.000000001)),"")</f>
        <v/>
      </c>
      <c r="Z111" s="15" t="n">
        <f aca="false">IF(J111=1,IF(COUNTIFS(K111:$P111,1,C111:$H111,"&gt;="&amp;(B111-0.000000001))&gt;0,0,1),"")</f>
        <v>0</v>
      </c>
      <c r="AA111" s="15" t="n">
        <f aca="false">IF(K111=1,IF(COUNTIFS(L111:$P111,1,D111:$H111,"&gt;="&amp;(C111-0.000000001))&gt;0,0,1),"")</f>
        <v>1</v>
      </c>
      <c r="AB111" s="15" t="n">
        <f aca="false">IF(L111=1,IF(COUNTIFS(M111:$P111,1,E111:$H111,"&gt;="&amp;(D111-0.000000001))&gt;0,0,1),"")</f>
        <v>1</v>
      </c>
      <c r="AC111" s="15" t="n">
        <f aca="false">IF(M111=1,IF(COUNTIFS(N111:$P111,1,F111:$H111,"&gt;="&amp;(E111-0.000000001))&gt;0,0,1),"")</f>
        <v>1</v>
      </c>
      <c r="AD111" s="15" t="n">
        <f aca="false">IF(N111=1,IF(COUNTIFS(O111:$P111,1,G111:$H111,"&gt;="&amp;(F111-0.000000001))&gt;0,0,1),"")</f>
        <v>1</v>
      </c>
      <c r="AE111" s="15" t="n">
        <f aca="false">IF(O111=1,IF(COUNTIFS(P111:$P111,1,H111:$H111,"&gt;="&amp;(G111-0.000000001))&gt;0,0,1),"")</f>
        <v>1</v>
      </c>
      <c r="AF111" s="15" t="str">
        <f aca="false">IF(P111=1,1,"")</f>
        <v/>
      </c>
    </row>
    <row r="112" customFormat="false" ht="15" hidden="false" customHeight="false" outlineLevel="0" collapsed="false">
      <c r="A112" s="2" t="n">
        <v>106</v>
      </c>
      <c r="B112" s="16" t="n">
        <f aca="false">IF(COUNTIFS(Sch_n,B$5,Sch_bmax,"&gt;="&amp;($A112-0.000000001))&gt;0,_xlfn.MAXIFS(Sch_P0,Sch_n,B$5,Sch_bmax,"&gt;="&amp;($A112-0.000000001))-Beta_y*$A112,"")</f>
        <v>40</v>
      </c>
      <c r="C112" s="16" t="n">
        <f aca="false">IF(COUNTIFS(Sch_n,C$5,Sch_bmax,"&gt;="&amp;($A112-0.000000001))&gt;0,_xlfn.MAXIFS(Sch_P0,Sch_n,C$5,Sch_bmax,"&gt;="&amp;($A112-0.000000001))-Beta_y*$A112,"")</f>
        <v>274.309007705634</v>
      </c>
      <c r="D112" s="16" t="n">
        <f aca="false">IF(COUNTIFS(Sch_n,D$5,Sch_bmax,"&gt;="&amp;($A112-0.000000001))&gt;0,_xlfn.MAXIFS(Sch_P0,Sch_n,D$5,Sch_bmax,"&gt;="&amp;($A112-0.000000001))-Beta_y*$A112,"")</f>
        <v>264.66920416514</v>
      </c>
      <c r="E112" s="16" t="n">
        <f aca="false">IF(COUNTIFS(Sch_n,E$5,Sch_bmax,"&gt;="&amp;($A112-0.000000001))&gt;0,_xlfn.MAXIFS(Sch_P0,Sch_n,E$5,Sch_bmax,"&gt;="&amp;($A112-0.000000001))-Beta_y*$A112,"")</f>
        <v>205.688649727557</v>
      </c>
      <c r="F112" s="16" t="n">
        <f aca="false">IF(COUNTIFS(Sch_n,F$5,Sch_bmax,"&gt;="&amp;($A112-0.000000001))&gt;0,_xlfn.MAXIFS(Sch_P0,Sch_n,F$5,Sch_bmax,"&gt;="&amp;($A112-0.000000001))-Beta_y*$A112,"")</f>
        <v>136.117237848429</v>
      </c>
      <c r="G112" s="16" t="n">
        <f aca="false">IF(COUNTIFS(Sch_n,G$5,Sch_bmax,"&gt;="&amp;($A112-0.000000001))&gt;0,_xlfn.MAXIFS(Sch_P0,Sch_n,G$5,Sch_bmax,"&gt;="&amp;($A112-0.000000001))-Beta_y*$A112,"")</f>
        <v>62.058258225373</v>
      </c>
      <c r="H112" s="16" t="str">
        <f aca="false">IF(COUNTIFS(Sch_n,H$5,Sch_bmax,"&gt;="&amp;($A112-0.000000001))&gt;0,_xlfn.MAXIFS(Sch_P0,Sch_n,H$5,Sch_bmax,"&gt;="&amp;($A112-0.000000001))-Beta_y*$A112,"")</f>
        <v/>
      </c>
      <c r="J112" s="15" t="n">
        <f aca="false">IF(ISNUMBER(B112),1,0)</f>
        <v>1</v>
      </c>
      <c r="K112" s="15" t="n">
        <f aca="false">IF(ISNUMBER(C112),1,0)</f>
        <v>1</v>
      </c>
      <c r="L112" s="15" t="n">
        <f aca="false">IF(ISNUMBER(D112),1,0)</f>
        <v>1</v>
      </c>
      <c r="M112" s="15" t="n">
        <f aca="false">IF(ISNUMBER(E112),1,0)</f>
        <v>1</v>
      </c>
      <c r="N112" s="15" t="n">
        <f aca="false">IF(ISNUMBER(F112),1,0)</f>
        <v>1</v>
      </c>
      <c r="O112" s="15" t="n">
        <f aca="false">IF(ISNUMBER(G112),1,0)</f>
        <v>1</v>
      </c>
      <c r="P112" s="15" t="n">
        <f aca="false">IF(ISNUMBER(H112),1,0)</f>
        <v>0</v>
      </c>
      <c r="R112" s="15" t="n">
        <f aca="false">IF(J112=1,_xlfn.MINIFS(Sch_idx,Sch_n,B$5,Sch_bmax,"&gt;="&amp;($A112-0.000000001),Sch_P0,"&gt;="&amp;(B112+Beta_y*$A112-0.000000001)),"")</f>
        <v>0</v>
      </c>
      <c r="S112" s="15" t="n">
        <f aca="false">IF(K112=1,_xlfn.MINIFS(Sch_idx,Sch_n,C$5,Sch_bmax,"&gt;="&amp;($A112-0.000000001),Sch_P0,"&gt;="&amp;(C112+Beta_y*$A112-0.000000001)),"")</f>
        <v>32</v>
      </c>
      <c r="T112" s="15" t="n">
        <f aca="false">IF(L112=1,_xlfn.MINIFS(Sch_idx,Sch_n,D$5,Sch_bmax,"&gt;="&amp;($A112-0.000000001),Sch_P0,"&gt;="&amp;(D112+Beta_y*$A112-0.000000001)),"")</f>
        <v>40</v>
      </c>
      <c r="U112" s="15" t="n">
        <f aca="false">IF(M112=1,_xlfn.MINIFS(Sch_idx,Sch_n,E$5,Sch_bmax,"&gt;="&amp;($A112-0.000000001),Sch_P0,"&gt;="&amp;(E112+Beta_y*$A112-0.000000001)),"")</f>
        <v>44</v>
      </c>
      <c r="V112" s="15" t="n">
        <f aca="false">IF(N112=1,_xlfn.MINIFS(Sch_idx,Sch_n,F$5,Sch_bmax,"&gt;="&amp;($A112-0.000000001),Sch_P0,"&gt;="&amp;(F112+Beta_y*$A112-0.000000001)),"")</f>
        <v>45</v>
      </c>
      <c r="W112" s="15" t="n">
        <f aca="false">IF(O112=1,_xlfn.MINIFS(Sch_idx,Sch_n,G$5,Sch_bmax,"&gt;="&amp;($A112-0.000000001),Sch_P0,"&gt;="&amp;(G112+Beta_y*$A112-0.000000001)),"")</f>
        <v>47</v>
      </c>
      <c r="X112" s="15" t="str">
        <f aca="false">IF(P112=1,_xlfn.MINIFS(Sch_idx,Sch_n,H$5,Sch_bmax,"&gt;="&amp;($A112-0.000000001),Sch_P0,"&gt;="&amp;(H112+Beta_y*$A112-0.000000001)),"")</f>
        <v/>
      </c>
      <c r="Z112" s="15" t="n">
        <f aca="false">IF(J112=1,IF(COUNTIFS(K112:$P112,1,C112:$H112,"&gt;="&amp;(B112-0.000000001))&gt;0,0,1),"")</f>
        <v>0</v>
      </c>
      <c r="AA112" s="15" t="n">
        <f aca="false">IF(K112=1,IF(COUNTIFS(L112:$P112,1,D112:$H112,"&gt;="&amp;(C112-0.000000001))&gt;0,0,1),"")</f>
        <v>1</v>
      </c>
      <c r="AB112" s="15" t="n">
        <f aca="false">IF(L112=1,IF(COUNTIFS(M112:$P112,1,E112:$H112,"&gt;="&amp;(D112-0.000000001))&gt;0,0,1),"")</f>
        <v>1</v>
      </c>
      <c r="AC112" s="15" t="n">
        <f aca="false">IF(M112=1,IF(COUNTIFS(N112:$P112,1,F112:$H112,"&gt;="&amp;(E112-0.000000001))&gt;0,0,1),"")</f>
        <v>1</v>
      </c>
      <c r="AD112" s="15" t="n">
        <f aca="false">IF(N112=1,IF(COUNTIFS(O112:$P112,1,G112:$H112,"&gt;="&amp;(F112-0.000000001))&gt;0,0,1),"")</f>
        <v>1</v>
      </c>
      <c r="AE112" s="15" t="n">
        <f aca="false">IF(O112=1,IF(COUNTIFS(P112:$P112,1,H112:$H112,"&gt;="&amp;(G112-0.000000001))&gt;0,0,1),"")</f>
        <v>1</v>
      </c>
      <c r="AF112" s="15" t="str">
        <f aca="false">IF(P112=1,1,"")</f>
        <v/>
      </c>
    </row>
    <row r="113" customFormat="false" ht="15" hidden="false" customHeight="false" outlineLevel="0" collapsed="false">
      <c r="A113" s="2" t="n">
        <v>107</v>
      </c>
      <c r="B113" s="16" t="n">
        <f aca="false">IF(COUNTIFS(Sch_n,B$5,Sch_bmax,"&gt;="&amp;($A113-0.000000001))&gt;0,_xlfn.MAXIFS(Sch_P0,Sch_n,B$5,Sch_bmax,"&gt;="&amp;($A113-0.000000001))-Beta_y*$A113,"")</f>
        <v>39.0909090909091</v>
      </c>
      <c r="C113" s="16" t="n">
        <f aca="false">IF(COUNTIFS(Sch_n,C$5,Sch_bmax,"&gt;="&amp;($A113-0.000000001))&gt;0,_xlfn.MAXIFS(Sch_P0,Sch_n,C$5,Sch_bmax,"&gt;="&amp;($A113-0.000000001))-Beta_y*$A113,"")</f>
        <v>273.399916796543</v>
      </c>
      <c r="D113" s="16" t="n">
        <f aca="false">IF(COUNTIFS(Sch_n,D$5,Sch_bmax,"&gt;="&amp;($A113-0.000000001))&gt;0,_xlfn.MAXIFS(Sch_P0,Sch_n,D$5,Sch_bmax,"&gt;="&amp;($A113-0.000000001))-Beta_y*$A113,"")</f>
        <v>263.760113256049</v>
      </c>
      <c r="E113" s="16" t="n">
        <f aca="false">IF(COUNTIFS(Sch_n,E$5,Sch_bmax,"&gt;="&amp;($A113-0.000000001))&gt;0,_xlfn.MAXIFS(Sch_P0,Sch_n,E$5,Sch_bmax,"&gt;="&amp;($A113-0.000000001))-Beta_y*$A113,"")</f>
        <v>204.779558818466</v>
      </c>
      <c r="F113" s="16" t="n">
        <f aca="false">IF(COUNTIFS(Sch_n,F$5,Sch_bmax,"&gt;="&amp;($A113-0.000000001))&gt;0,_xlfn.MAXIFS(Sch_P0,Sch_n,F$5,Sch_bmax,"&gt;="&amp;($A113-0.000000001))-Beta_y*$A113,"")</f>
        <v>135.208146939338</v>
      </c>
      <c r="G113" s="16" t="n">
        <f aca="false">IF(COUNTIFS(Sch_n,G$5,Sch_bmax,"&gt;="&amp;($A113-0.000000001))&gt;0,_xlfn.MAXIFS(Sch_P0,Sch_n,G$5,Sch_bmax,"&gt;="&amp;($A113-0.000000001))-Beta_y*$A113,"")</f>
        <v>61.1491673162821</v>
      </c>
      <c r="H113" s="16" t="str">
        <f aca="false">IF(COUNTIFS(Sch_n,H$5,Sch_bmax,"&gt;="&amp;($A113-0.000000001))&gt;0,_xlfn.MAXIFS(Sch_P0,Sch_n,H$5,Sch_bmax,"&gt;="&amp;($A113-0.000000001))-Beta_y*$A113,"")</f>
        <v/>
      </c>
      <c r="J113" s="15" t="n">
        <f aca="false">IF(ISNUMBER(B113),1,0)</f>
        <v>1</v>
      </c>
      <c r="K113" s="15" t="n">
        <f aca="false">IF(ISNUMBER(C113),1,0)</f>
        <v>1</v>
      </c>
      <c r="L113" s="15" t="n">
        <f aca="false">IF(ISNUMBER(D113),1,0)</f>
        <v>1</v>
      </c>
      <c r="M113" s="15" t="n">
        <f aca="false">IF(ISNUMBER(E113),1,0)</f>
        <v>1</v>
      </c>
      <c r="N113" s="15" t="n">
        <f aca="false">IF(ISNUMBER(F113),1,0)</f>
        <v>1</v>
      </c>
      <c r="O113" s="15" t="n">
        <f aca="false">IF(ISNUMBER(G113),1,0)</f>
        <v>1</v>
      </c>
      <c r="P113" s="15" t="n">
        <f aca="false">IF(ISNUMBER(H113),1,0)</f>
        <v>0</v>
      </c>
      <c r="R113" s="15" t="n">
        <f aca="false">IF(J113=1,_xlfn.MINIFS(Sch_idx,Sch_n,B$5,Sch_bmax,"&gt;="&amp;($A113-0.000000001),Sch_P0,"&gt;="&amp;(B113+Beta_y*$A113-0.000000001)),"")</f>
        <v>0</v>
      </c>
      <c r="S113" s="15" t="n">
        <f aca="false">IF(K113=1,_xlfn.MINIFS(Sch_idx,Sch_n,C$5,Sch_bmax,"&gt;="&amp;($A113-0.000000001),Sch_P0,"&gt;="&amp;(C113+Beta_y*$A113-0.000000001)),"")</f>
        <v>32</v>
      </c>
      <c r="T113" s="15" t="n">
        <f aca="false">IF(L113=1,_xlfn.MINIFS(Sch_idx,Sch_n,D$5,Sch_bmax,"&gt;="&amp;($A113-0.000000001),Sch_P0,"&gt;="&amp;(D113+Beta_y*$A113-0.000000001)),"")</f>
        <v>40</v>
      </c>
      <c r="U113" s="15" t="n">
        <f aca="false">IF(M113=1,_xlfn.MINIFS(Sch_idx,Sch_n,E$5,Sch_bmax,"&gt;="&amp;($A113-0.000000001),Sch_P0,"&gt;="&amp;(E113+Beta_y*$A113-0.000000001)),"")</f>
        <v>44</v>
      </c>
      <c r="V113" s="15" t="n">
        <f aca="false">IF(N113=1,_xlfn.MINIFS(Sch_idx,Sch_n,F$5,Sch_bmax,"&gt;="&amp;($A113-0.000000001),Sch_P0,"&gt;="&amp;(F113+Beta_y*$A113-0.000000001)),"")</f>
        <v>45</v>
      </c>
      <c r="W113" s="15" t="n">
        <f aca="false">IF(O113=1,_xlfn.MINIFS(Sch_idx,Sch_n,G$5,Sch_bmax,"&gt;="&amp;($A113-0.000000001),Sch_P0,"&gt;="&amp;(G113+Beta_y*$A113-0.000000001)),"")</f>
        <v>47</v>
      </c>
      <c r="X113" s="15" t="str">
        <f aca="false">IF(P113=1,_xlfn.MINIFS(Sch_idx,Sch_n,H$5,Sch_bmax,"&gt;="&amp;($A113-0.000000001),Sch_P0,"&gt;="&amp;(H113+Beta_y*$A113-0.000000001)),"")</f>
        <v/>
      </c>
      <c r="Z113" s="15" t="n">
        <f aca="false">IF(J113=1,IF(COUNTIFS(K113:$P113,1,C113:$H113,"&gt;="&amp;(B113-0.000000001))&gt;0,0,1),"")</f>
        <v>0</v>
      </c>
      <c r="AA113" s="15" t="n">
        <f aca="false">IF(K113=1,IF(COUNTIFS(L113:$P113,1,D113:$H113,"&gt;="&amp;(C113-0.000000001))&gt;0,0,1),"")</f>
        <v>1</v>
      </c>
      <c r="AB113" s="15" t="n">
        <f aca="false">IF(L113=1,IF(COUNTIFS(M113:$P113,1,E113:$H113,"&gt;="&amp;(D113-0.000000001))&gt;0,0,1),"")</f>
        <v>1</v>
      </c>
      <c r="AC113" s="15" t="n">
        <f aca="false">IF(M113=1,IF(COUNTIFS(N113:$P113,1,F113:$H113,"&gt;="&amp;(E113-0.000000001))&gt;0,0,1),"")</f>
        <v>1</v>
      </c>
      <c r="AD113" s="15" t="n">
        <f aca="false">IF(N113=1,IF(COUNTIFS(O113:$P113,1,G113:$H113,"&gt;="&amp;(F113-0.000000001))&gt;0,0,1),"")</f>
        <v>1</v>
      </c>
      <c r="AE113" s="15" t="n">
        <f aca="false">IF(O113=1,IF(COUNTIFS(P113:$P113,1,H113:$H113,"&gt;="&amp;(G113-0.000000001))&gt;0,0,1),"")</f>
        <v>1</v>
      </c>
      <c r="AF113" s="15" t="str">
        <f aca="false">IF(P113=1,1,"")</f>
        <v/>
      </c>
    </row>
    <row r="114" customFormat="false" ht="15" hidden="false" customHeight="false" outlineLevel="0" collapsed="false">
      <c r="A114" s="2" t="n">
        <v>108</v>
      </c>
      <c r="B114" s="16" t="n">
        <f aca="false">IF(COUNTIFS(Sch_n,B$5,Sch_bmax,"&gt;="&amp;($A114-0.000000001))&gt;0,_xlfn.MAXIFS(Sch_P0,Sch_n,B$5,Sch_bmax,"&gt;="&amp;($A114-0.000000001))-Beta_y*$A114,"")</f>
        <v>38.1818181818182</v>
      </c>
      <c r="C114" s="16" t="n">
        <f aca="false">IF(COUNTIFS(Sch_n,C$5,Sch_bmax,"&gt;="&amp;($A114-0.000000001))&gt;0,_xlfn.MAXIFS(Sch_P0,Sch_n,C$5,Sch_bmax,"&gt;="&amp;($A114-0.000000001))-Beta_y*$A114,"")</f>
        <v>272.490825887452</v>
      </c>
      <c r="D114" s="16" t="n">
        <f aca="false">IF(COUNTIFS(Sch_n,D$5,Sch_bmax,"&gt;="&amp;($A114-0.000000001))&gt;0,_xlfn.MAXIFS(Sch_P0,Sch_n,D$5,Sch_bmax,"&gt;="&amp;($A114-0.000000001))-Beta_y*$A114,"")</f>
        <v>262.851022346958</v>
      </c>
      <c r="E114" s="16" t="n">
        <f aca="false">IF(COUNTIFS(Sch_n,E$5,Sch_bmax,"&gt;="&amp;($A114-0.000000001))&gt;0,_xlfn.MAXIFS(Sch_P0,Sch_n,E$5,Sch_bmax,"&gt;="&amp;($A114-0.000000001))-Beta_y*$A114,"")</f>
        <v>203.870467909375</v>
      </c>
      <c r="F114" s="16" t="n">
        <f aca="false">IF(COUNTIFS(Sch_n,F$5,Sch_bmax,"&gt;="&amp;($A114-0.000000001))&gt;0,_xlfn.MAXIFS(Sch_P0,Sch_n,F$5,Sch_bmax,"&gt;="&amp;($A114-0.000000001))-Beta_y*$A114,"")</f>
        <v>134.299056030247</v>
      </c>
      <c r="G114" s="16" t="n">
        <f aca="false">IF(COUNTIFS(Sch_n,G$5,Sch_bmax,"&gt;="&amp;($A114-0.000000001))&gt;0,_xlfn.MAXIFS(Sch_P0,Sch_n,G$5,Sch_bmax,"&gt;="&amp;($A114-0.000000001))-Beta_y*$A114,"")</f>
        <v>60.2400764071912</v>
      </c>
      <c r="H114" s="16" t="str">
        <f aca="false">IF(COUNTIFS(Sch_n,H$5,Sch_bmax,"&gt;="&amp;($A114-0.000000001))&gt;0,_xlfn.MAXIFS(Sch_P0,Sch_n,H$5,Sch_bmax,"&gt;="&amp;($A114-0.000000001))-Beta_y*$A114,"")</f>
        <v/>
      </c>
      <c r="J114" s="15" t="n">
        <f aca="false">IF(ISNUMBER(B114),1,0)</f>
        <v>1</v>
      </c>
      <c r="K114" s="15" t="n">
        <f aca="false">IF(ISNUMBER(C114),1,0)</f>
        <v>1</v>
      </c>
      <c r="L114" s="15" t="n">
        <f aca="false">IF(ISNUMBER(D114),1,0)</f>
        <v>1</v>
      </c>
      <c r="M114" s="15" t="n">
        <f aca="false">IF(ISNUMBER(E114),1,0)</f>
        <v>1</v>
      </c>
      <c r="N114" s="15" t="n">
        <f aca="false">IF(ISNUMBER(F114),1,0)</f>
        <v>1</v>
      </c>
      <c r="O114" s="15" t="n">
        <f aca="false">IF(ISNUMBER(G114),1,0)</f>
        <v>1</v>
      </c>
      <c r="P114" s="15" t="n">
        <f aca="false">IF(ISNUMBER(H114),1,0)</f>
        <v>0</v>
      </c>
      <c r="R114" s="15" t="n">
        <f aca="false">IF(J114=1,_xlfn.MINIFS(Sch_idx,Sch_n,B$5,Sch_bmax,"&gt;="&amp;($A114-0.000000001),Sch_P0,"&gt;="&amp;(B114+Beta_y*$A114-0.000000001)),"")</f>
        <v>0</v>
      </c>
      <c r="S114" s="15" t="n">
        <f aca="false">IF(K114=1,_xlfn.MINIFS(Sch_idx,Sch_n,C$5,Sch_bmax,"&gt;="&amp;($A114-0.000000001),Sch_P0,"&gt;="&amp;(C114+Beta_y*$A114-0.000000001)),"")</f>
        <v>32</v>
      </c>
      <c r="T114" s="15" t="n">
        <f aca="false">IF(L114=1,_xlfn.MINIFS(Sch_idx,Sch_n,D$5,Sch_bmax,"&gt;="&amp;($A114-0.000000001),Sch_P0,"&gt;="&amp;(D114+Beta_y*$A114-0.000000001)),"")</f>
        <v>40</v>
      </c>
      <c r="U114" s="15" t="n">
        <f aca="false">IF(M114=1,_xlfn.MINIFS(Sch_idx,Sch_n,E$5,Sch_bmax,"&gt;="&amp;($A114-0.000000001),Sch_P0,"&gt;="&amp;(E114+Beta_y*$A114-0.000000001)),"")</f>
        <v>44</v>
      </c>
      <c r="V114" s="15" t="n">
        <f aca="false">IF(N114=1,_xlfn.MINIFS(Sch_idx,Sch_n,F$5,Sch_bmax,"&gt;="&amp;($A114-0.000000001),Sch_P0,"&gt;="&amp;(F114+Beta_y*$A114-0.000000001)),"")</f>
        <v>45</v>
      </c>
      <c r="W114" s="15" t="n">
        <f aca="false">IF(O114=1,_xlfn.MINIFS(Sch_idx,Sch_n,G$5,Sch_bmax,"&gt;="&amp;($A114-0.000000001),Sch_P0,"&gt;="&amp;(G114+Beta_y*$A114-0.000000001)),"")</f>
        <v>47</v>
      </c>
      <c r="X114" s="15" t="str">
        <f aca="false">IF(P114=1,_xlfn.MINIFS(Sch_idx,Sch_n,H$5,Sch_bmax,"&gt;="&amp;($A114-0.000000001),Sch_P0,"&gt;="&amp;(H114+Beta_y*$A114-0.000000001)),"")</f>
        <v/>
      </c>
      <c r="Z114" s="15" t="n">
        <f aca="false">IF(J114=1,IF(COUNTIFS(K114:$P114,1,C114:$H114,"&gt;="&amp;(B114-0.000000001))&gt;0,0,1),"")</f>
        <v>0</v>
      </c>
      <c r="AA114" s="15" t="n">
        <f aca="false">IF(K114=1,IF(COUNTIFS(L114:$P114,1,D114:$H114,"&gt;="&amp;(C114-0.000000001))&gt;0,0,1),"")</f>
        <v>1</v>
      </c>
      <c r="AB114" s="15" t="n">
        <f aca="false">IF(L114=1,IF(COUNTIFS(M114:$P114,1,E114:$H114,"&gt;="&amp;(D114-0.000000001))&gt;0,0,1),"")</f>
        <v>1</v>
      </c>
      <c r="AC114" s="15" t="n">
        <f aca="false">IF(M114=1,IF(COUNTIFS(N114:$P114,1,F114:$H114,"&gt;="&amp;(E114-0.000000001))&gt;0,0,1),"")</f>
        <v>1</v>
      </c>
      <c r="AD114" s="15" t="n">
        <f aca="false">IF(N114=1,IF(COUNTIFS(O114:$P114,1,G114:$H114,"&gt;="&amp;(F114-0.000000001))&gt;0,0,1),"")</f>
        <v>1</v>
      </c>
      <c r="AE114" s="15" t="n">
        <f aca="false">IF(O114=1,IF(COUNTIFS(P114:$P114,1,H114:$H114,"&gt;="&amp;(G114-0.000000001))&gt;0,0,1),"")</f>
        <v>1</v>
      </c>
      <c r="AF114" s="15" t="str">
        <f aca="false">IF(P114=1,1,"")</f>
        <v/>
      </c>
    </row>
    <row r="115" customFormat="false" ht="15" hidden="false" customHeight="false" outlineLevel="0" collapsed="false">
      <c r="A115" s="2" t="n">
        <v>109</v>
      </c>
      <c r="B115" s="16" t="n">
        <f aca="false">IF(COUNTIFS(Sch_n,B$5,Sch_bmax,"&gt;="&amp;($A115-0.000000001))&gt;0,_xlfn.MAXIFS(Sch_P0,Sch_n,B$5,Sch_bmax,"&gt;="&amp;($A115-0.000000001))-Beta_y*$A115,"")</f>
        <v>37.2727272727273</v>
      </c>
      <c r="C115" s="16" t="n">
        <f aca="false">IF(COUNTIFS(Sch_n,C$5,Sch_bmax,"&gt;="&amp;($A115-0.000000001))&gt;0,_xlfn.MAXIFS(Sch_P0,Sch_n,C$5,Sch_bmax,"&gt;="&amp;($A115-0.000000001))-Beta_y*$A115,"")</f>
        <v>271.581734978361</v>
      </c>
      <c r="D115" s="16" t="n">
        <f aca="false">IF(COUNTIFS(Sch_n,D$5,Sch_bmax,"&gt;="&amp;($A115-0.000000001))&gt;0,_xlfn.MAXIFS(Sch_P0,Sch_n,D$5,Sch_bmax,"&gt;="&amp;($A115-0.000000001))-Beta_y*$A115,"")</f>
        <v>261.941931437867</v>
      </c>
      <c r="E115" s="16" t="n">
        <f aca="false">IF(COUNTIFS(Sch_n,E$5,Sch_bmax,"&gt;="&amp;($A115-0.000000001))&gt;0,_xlfn.MAXIFS(Sch_P0,Sch_n,E$5,Sch_bmax,"&gt;="&amp;($A115-0.000000001))-Beta_y*$A115,"")</f>
        <v>202.961377000284</v>
      </c>
      <c r="F115" s="16" t="n">
        <f aca="false">IF(COUNTIFS(Sch_n,F$5,Sch_bmax,"&gt;="&amp;($A115-0.000000001))&gt;0,_xlfn.MAXIFS(Sch_P0,Sch_n,F$5,Sch_bmax,"&gt;="&amp;($A115-0.000000001))-Beta_y*$A115,"")</f>
        <v>133.389965121156</v>
      </c>
      <c r="G115" s="16" t="n">
        <f aca="false">IF(COUNTIFS(Sch_n,G$5,Sch_bmax,"&gt;="&amp;($A115-0.000000001))&gt;0,_xlfn.MAXIFS(Sch_P0,Sch_n,G$5,Sch_bmax,"&gt;="&amp;($A115-0.000000001))-Beta_y*$A115,"")</f>
        <v>59.3309854981003</v>
      </c>
      <c r="H115" s="16" t="str">
        <f aca="false">IF(COUNTIFS(Sch_n,H$5,Sch_bmax,"&gt;="&amp;($A115-0.000000001))&gt;0,_xlfn.MAXIFS(Sch_P0,Sch_n,H$5,Sch_bmax,"&gt;="&amp;($A115-0.000000001))-Beta_y*$A115,"")</f>
        <v/>
      </c>
      <c r="J115" s="15" t="n">
        <f aca="false">IF(ISNUMBER(B115),1,0)</f>
        <v>1</v>
      </c>
      <c r="K115" s="15" t="n">
        <f aca="false">IF(ISNUMBER(C115),1,0)</f>
        <v>1</v>
      </c>
      <c r="L115" s="15" t="n">
        <f aca="false">IF(ISNUMBER(D115),1,0)</f>
        <v>1</v>
      </c>
      <c r="M115" s="15" t="n">
        <f aca="false">IF(ISNUMBER(E115),1,0)</f>
        <v>1</v>
      </c>
      <c r="N115" s="15" t="n">
        <f aca="false">IF(ISNUMBER(F115),1,0)</f>
        <v>1</v>
      </c>
      <c r="O115" s="15" t="n">
        <f aca="false">IF(ISNUMBER(G115),1,0)</f>
        <v>1</v>
      </c>
      <c r="P115" s="15" t="n">
        <f aca="false">IF(ISNUMBER(H115),1,0)</f>
        <v>0</v>
      </c>
      <c r="R115" s="15" t="n">
        <f aca="false">IF(J115=1,_xlfn.MINIFS(Sch_idx,Sch_n,B$5,Sch_bmax,"&gt;="&amp;($A115-0.000000001),Sch_P0,"&gt;="&amp;(B115+Beta_y*$A115-0.000000001)),"")</f>
        <v>0</v>
      </c>
      <c r="S115" s="15" t="n">
        <f aca="false">IF(K115=1,_xlfn.MINIFS(Sch_idx,Sch_n,C$5,Sch_bmax,"&gt;="&amp;($A115-0.000000001),Sch_P0,"&gt;="&amp;(C115+Beta_y*$A115-0.000000001)),"")</f>
        <v>32</v>
      </c>
      <c r="T115" s="15" t="n">
        <f aca="false">IF(L115=1,_xlfn.MINIFS(Sch_idx,Sch_n,D$5,Sch_bmax,"&gt;="&amp;($A115-0.000000001),Sch_P0,"&gt;="&amp;(D115+Beta_y*$A115-0.000000001)),"")</f>
        <v>40</v>
      </c>
      <c r="U115" s="15" t="n">
        <f aca="false">IF(M115=1,_xlfn.MINIFS(Sch_idx,Sch_n,E$5,Sch_bmax,"&gt;="&amp;($A115-0.000000001),Sch_P0,"&gt;="&amp;(E115+Beta_y*$A115-0.000000001)),"")</f>
        <v>44</v>
      </c>
      <c r="V115" s="15" t="n">
        <f aca="false">IF(N115=1,_xlfn.MINIFS(Sch_idx,Sch_n,F$5,Sch_bmax,"&gt;="&amp;($A115-0.000000001),Sch_P0,"&gt;="&amp;(F115+Beta_y*$A115-0.000000001)),"")</f>
        <v>45</v>
      </c>
      <c r="W115" s="15" t="n">
        <f aca="false">IF(O115=1,_xlfn.MINIFS(Sch_idx,Sch_n,G$5,Sch_bmax,"&gt;="&amp;($A115-0.000000001),Sch_P0,"&gt;="&amp;(G115+Beta_y*$A115-0.000000001)),"")</f>
        <v>47</v>
      </c>
      <c r="X115" s="15" t="str">
        <f aca="false">IF(P115=1,_xlfn.MINIFS(Sch_idx,Sch_n,H$5,Sch_bmax,"&gt;="&amp;($A115-0.000000001),Sch_P0,"&gt;="&amp;(H115+Beta_y*$A115-0.000000001)),"")</f>
        <v/>
      </c>
      <c r="Z115" s="15" t="n">
        <f aca="false">IF(J115=1,IF(COUNTIFS(K115:$P115,1,C115:$H115,"&gt;="&amp;(B115-0.000000001))&gt;0,0,1),"")</f>
        <v>0</v>
      </c>
      <c r="AA115" s="15" t="n">
        <f aca="false">IF(K115=1,IF(COUNTIFS(L115:$P115,1,D115:$H115,"&gt;="&amp;(C115-0.000000001))&gt;0,0,1),"")</f>
        <v>1</v>
      </c>
      <c r="AB115" s="15" t="n">
        <f aca="false">IF(L115=1,IF(COUNTIFS(M115:$P115,1,E115:$H115,"&gt;="&amp;(D115-0.000000001))&gt;0,0,1),"")</f>
        <v>1</v>
      </c>
      <c r="AC115" s="15" t="n">
        <f aca="false">IF(M115=1,IF(COUNTIFS(N115:$P115,1,F115:$H115,"&gt;="&amp;(E115-0.000000001))&gt;0,0,1),"")</f>
        <v>1</v>
      </c>
      <c r="AD115" s="15" t="n">
        <f aca="false">IF(N115=1,IF(COUNTIFS(O115:$P115,1,G115:$H115,"&gt;="&amp;(F115-0.000000001))&gt;0,0,1),"")</f>
        <v>1</v>
      </c>
      <c r="AE115" s="15" t="n">
        <f aca="false">IF(O115=1,IF(COUNTIFS(P115:$P115,1,H115:$H115,"&gt;="&amp;(G115-0.000000001))&gt;0,0,1),"")</f>
        <v>1</v>
      </c>
      <c r="AF115" s="15" t="str">
        <f aca="false">IF(P115=1,1,"")</f>
        <v/>
      </c>
    </row>
    <row r="116" customFormat="false" ht="15" hidden="false" customHeight="false" outlineLevel="0" collapsed="false">
      <c r="A116" s="2" t="n">
        <v>110</v>
      </c>
      <c r="B116" s="16" t="n">
        <f aca="false">IF(COUNTIFS(Sch_n,B$5,Sch_bmax,"&gt;="&amp;($A116-0.000000001))&gt;0,_xlfn.MAXIFS(Sch_P0,Sch_n,B$5,Sch_bmax,"&gt;="&amp;($A116-0.000000001))-Beta_y*$A116,"")</f>
        <v>36.3636363636363</v>
      </c>
      <c r="C116" s="16" t="n">
        <f aca="false">IF(COUNTIFS(Sch_n,C$5,Sch_bmax,"&gt;="&amp;($A116-0.000000001))&gt;0,_xlfn.MAXIFS(Sch_P0,Sch_n,C$5,Sch_bmax,"&gt;="&amp;($A116-0.000000001))-Beta_y*$A116,"")</f>
        <v>270.67264406927</v>
      </c>
      <c r="D116" s="16" t="n">
        <f aca="false">IF(COUNTIFS(Sch_n,D$5,Sch_bmax,"&gt;="&amp;($A116-0.000000001))&gt;0,_xlfn.MAXIFS(Sch_P0,Sch_n,D$5,Sch_bmax,"&gt;="&amp;($A116-0.000000001))-Beta_y*$A116,"")</f>
        <v>261.032840528777</v>
      </c>
      <c r="E116" s="16" t="n">
        <f aca="false">IF(COUNTIFS(Sch_n,E$5,Sch_bmax,"&gt;="&amp;($A116-0.000000001))&gt;0,_xlfn.MAXIFS(Sch_P0,Sch_n,E$5,Sch_bmax,"&gt;="&amp;($A116-0.000000001))-Beta_y*$A116,"")</f>
        <v>202.052286091193</v>
      </c>
      <c r="F116" s="16" t="n">
        <f aca="false">IF(COUNTIFS(Sch_n,F$5,Sch_bmax,"&gt;="&amp;($A116-0.000000001))&gt;0,_xlfn.MAXIFS(Sch_P0,Sch_n,F$5,Sch_bmax,"&gt;="&amp;($A116-0.000000001))-Beta_y*$A116,"")</f>
        <v>132.480874212065</v>
      </c>
      <c r="G116" s="16" t="n">
        <f aca="false">IF(COUNTIFS(Sch_n,G$5,Sch_bmax,"&gt;="&amp;($A116-0.000000001))&gt;0,_xlfn.MAXIFS(Sch_P0,Sch_n,G$5,Sch_bmax,"&gt;="&amp;($A116-0.000000001))-Beta_y*$A116,"")</f>
        <v>58.4218945890094</v>
      </c>
      <c r="H116" s="16" t="str">
        <f aca="false">IF(COUNTIFS(Sch_n,H$5,Sch_bmax,"&gt;="&amp;($A116-0.000000001))&gt;0,_xlfn.MAXIFS(Sch_P0,Sch_n,H$5,Sch_bmax,"&gt;="&amp;($A116-0.000000001))-Beta_y*$A116,"")</f>
        <v/>
      </c>
      <c r="J116" s="15" t="n">
        <f aca="false">IF(ISNUMBER(B116),1,0)</f>
        <v>1</v>
      </c>
      <c r="K116" s="15" t="n">
        <f aca="false">IF(ISNUMBER(C116),1,0)</f>
        <v>1</v>
      </c>
      <c r="L116" s="15" t="n">
        <f aca="false">IF(ISNUMBER(D116),1,0)</f>
        <v>1</v>
      </c>
      <c r="M116" s="15" t="n">
        <f aca="false">IF(ISNUMBER(E116),1,0)</f>
        <v>1</v>
      </c>
      <c r="N116" s="15" t="n">
        <f aca="false">IF(ISNUMBER(F116),1,0)</f>
        <v>1</v>
      </c>
      <c r="O116" s="15" t="n">
        <f aca="false">IF(ISNUMBER(G116),1,0)</f>
        <v>1</v>
      </c>
      <c r="P116" s="15" t="n">
        <f aca="false">IF(ISNUMBER(H116),1,0)</f>
        <v>0</v>
      </c>
      <c r="R116" s="15" t="n">
        <f aca="false">IF(J116=1,_xlfn.MINIFS(Sch_idx,Sch_n,B$5,Sch_bmax,"&gt;="&amp;($A116-0.000000001),Sch_P0,"&gt;="&amp;(B116+Beta_y*$A116-0.000000001)),"")</f>
        <v>0</v>
      </c>
      <c r="S116" s="15" t="n">
        <f aca="false">IF(K116=1,_xlfn.MINIFS(Sch_idx,Sch_n,C$5,Sch_bmax,"&gt;="&amp;($A116-0.000000001),Sch_P0,"&gt;="&amp;(C116+Beta_y*$A116-0.000000001)),"")</f>
        <v>32</v>
      </c>
      <c r="T116" s="15" t="n">
        <f aca="false">IF(L116=1,_xlfn.MINIFS(Sch_idx,Sch_n,D$5,Sch_bmax,"&gt;="&amp;($A116-0.000000001),Sch_P0,"&gt;="&amp;(D116+Beta_y*$A116-0.000000001)),"")</f>
        <v>40</v>
      </c>
      <c r="U116" s="15" t="n">
        <f aca="false">IF(M116=1,_xlfn.MINIFS(Sch_idx,Sch_n,E$5,Sch_bmax,"&gt;="&amp;($A116-0.000000001),Sch_P0,"&gt;="&amp;(E116+Beta_y*$A116-0.000000001)),"")</f>
        <v>44</v>
      </c>
      <c r="V116" s="15" t="n">
        <f aca="false">IF(N116=1,_xlfn.MINIFS(Sch_idx,Sch_n,F$5,Sch_bmax,"&gt;="&amp;($A116-0.000000001),Sch_P0,"&gt;="&amp;(F116+Beta_y*$A116-0.000000001)),"")</f>
        <v>45</v>
      </c>
      <c r="W116" s="15" t="n">
        <f aca="false">IF(O116=1,_xlfn.MINIFS(Sch_idx,Sch_n,G$5,Sch_bmax,"&gt;="&amp;($A116-0.000000001),Sch_P0,"&gt;="&amp;(G116+Beta_y*$A116-0.000000001)),"")</f>
        <v>47</v>
      </c>
      <c r="X116" s="15" t="str">
        <f aca="false">IF(P116=1,_xlfn.MINIFS(Sch_idx,Sch_n,H$5,Sch_bmax,"&gt;="&amp;($A116-0.000000001),Sch_P0,"&gt;="&amp;(H116+Beta_y*$A116-0.000000001)),"")</f>
        <v/>
      </c>
      <c r="Z116" s="15" t="n">
        <f aca="false">IF(J116=1,IF(COUNTIFS(K116:$P116,1,C116:$H116,"&gt;="&amp;(B116-0.000000001))&gt;0,0,1),"")</f>
        <v>0</v>
      </c>
      <c r="AA116" s="15" t="n">
        <f aca="false">IF(K116=1,IF(COUNTIFS(L116:$P116,1,D116:$H116,"&gt;="&amp;(C116-0.000000001))&gt;0,0,1),"")</f>
        <v>1</v>
      </c>
      <c r="AB116" s="15" t="n">
        <f aca="false">IF(L116=1,IF(COUNTIFS(M116:$P116,1,E116:$H116,"&gt;="&amp;(D116-0.000000001))&gt;0,0,1),"")</f>
        <v>1</v>
      </c>
      <c r="AC116" s="15" t="n">
        <f aca="false">IF(M116=1,IF(COUNTIFS(N116:$P116,1,F116:$H116,"&gt;="&amp;(E116-0.000000001))&gt;0,0,1),"")</f>
        <v>1</v>
      </c>
      <c r="AD116" s="15" t="n">
        <f aca="false">IF(N116=1,IF(COUNTIFS(O116:$P116,1,G116:$H116,"&gt;="&amp;(F116-0.000000001))&gt;0,0,1),"")</f>
        <v>1</v>
      </c>
      <c r="AE116" s="15" t="n">
        <f aca="false">IF(O116=1,IF(COUNTIFS(P116:$P116,1,H116:$H116,"&gt;="&amp;(G116-0.000000001))&gt;0,0,1),"")</f>
        <v>1</v>
      </c>
      <c r="AF116" s="15" t="str">
        <f aca="false">IF(P116=1,1,"")</f>
        <v/>
      </c>
    </row>
    <row r="117" customFormat="false" ht="15" hidden="false" customHeight="false" outlineLevel="0" collapsed="false">
      <c r="A117" s="2" t="n">
        <v>111</v>
      </c>
      <c r="B117" s="16" t="n">
        <f aca="false">IF(COUNTIFS(Sch_n,B$5,Sch_bmax,"&gt;="&amp;($A117-0.000000001))&gt;0,_xlfn.MAXIFS(Sch_P0,Sch_n,B$5,Sch_bmax,"&gt;="&amp;($A117-0.000000001))-Beta_y*$A117,"")</f>
        <v>35.4545454545454</v>
      </c>
      <c r="C117" s="16" t="n">
        <f aca="false">IF(COUNTIFS(Sch_n,C$5,Sch_bmax,"&gt;="&amp;($A117-0.000000001))&gt;0,_xlfn.MAXIFS(Sch_P0,Sch_n,C$5,Sch_bmax,"&gt;="&amp;($A117-0.000000001))-Beta_y*$A117,"")</f>
        <v>269.763553160179</v>
      </c>
      <c r="D117" s="16" t="n">
        <f aca="false">IF(COUNTIFS(Sch_n,D$5,Sch_bmax,"&gt;="&amp;($A117-0.000000001))&gt;0,_xlfn.MAXIFS(Sch_P0,Sch_n,D$5,Sch_bmax,"&gt;="&amp;($A117-0.000000001))-Beta_y*$A117,"")</f>
        <v>260.123749619686</v>
      </c>
      <c r="E117" s="16" t="n">
        <f aca="false">IF(COUNTIFS(Sch_n,E$5,Sch_bmax,"&gt;="&amp;($A117-0.000000001))&gt;0,_xlfn.MAXIFS(Sch_P0,Sch_n,E$5,Sch_bmax,"&gt;="&amp;($A117-0.000000001))-Beta_y*$A117,"")</f>
        <v>201.143195182102</v>
      </c>
      <c r="F117" s="16" t="n">
        <f aca="false">IF(COUNTIFS(Sch_n,F$5,Sch_bmax,"&gt;="&amp;($A117-0.000000001))&gt;0,_xlfn.MAXIFS(Sch_P0,Sch_n,F$5,Sch_bmax,"&gt;="&amp;($A117-0.000000001))-Beta_y*$A117,"")</f>
        <v>131.571783302974</v>
      </c>
      <c r="G117" s="16" t="n">
        <f aca="false">IF(COUNTIFS(Sch_n,G$5,Sch_bmax,"&gt;="&amp;($A117-0.000000001))&gt;0,_xlfn.MAXIFS(Sch_P0,Sch_n,G$5,Sch_bmax,"&gt;="&amp;($A117-0.000000001))-Beta_y*$A117,"")</f>
        <v>57.5128036799185</v>
      </c>
      <c r="H117" s="16" t="str">
        <f aca="false">IF(COUNTIFS(Sch_n,H$5,Sch_bmax,"&gt;="&amp;($A117-0.000000001))&gt;0,_xlfn.MAXIFS(Sch_P0,Sch_n,H$5,Sch_bmax,"&gt;="&amp;($A117-0.000000001))-Beta_y*$A117,"")</f>
        <v/>
      </c>
      <c r="J117" s="15" t="n">
        <f aca="false">IF(ISNUMBER(B117),1,0)</f>
        <v>1</v>
      </c>
      <c r="K117" s="15" t="n">
        <f aca="false">IF(ISNUMBER(C117),1,0)</f>
        <v>1</v>
      </c>
      <c r="L117" s="15" t="n">
        <f aca="false">IF(ISNUMBER(D117),1,0)</f>
        <v>1</v>
      </c>
      <c r="M117" s="15" t="n">
        <f aca="false">IF(ISNUMBER(E117),1,0)</f>
        <v>1</v>
      </c>
      <c r="N117" s="15" t="n">
        <f aca="false">IF(ISNUMBER(F117),1,0)</f>
        <v>1</v>
      </c>
      <c r="O117" s="15" t="n">
        <f aca="false">IF(ISNUMBER(G117),1,0)</f>
        <v>1</v>
      </c>
      <c r="P117" s="15" t="n">
        <f aca="false">IF(ISNUMBER(H117),1,0)</f>
        <v>0</v>
      </c>
      <c r="R117" s="15" t="n">
        <f aca="false">IF(J117=1,_xlfn.MINIFS(Sch_idx,Sch_n,B$5,Sch_bmax,"&gt;="&amp;($A117-0.000000001),Sch_P0,"&gt;="&amp;(B117+Beta_y*$A117-0.000000001)),"")</f>
        <v>0</v>
      </c>
      <c r="S117" s="15" t="n">
        <f aca="false">IF(K117=1,_xlfn.MINIFS(Sch_idx,Sch_n,C$5,Sch_bmax,"&gt;="&amp;($A117-0.000000001),Sch_P0,"&gt;="&amp;(C117+Beta_y*$A117-0.000000001)),"")</f>
        <v>32</v>
      </c>
      <c r="T117" s="15" t="n">
        <f aca="false">IF(L117=1,_xlfn.MINIFS(Sch_idx,Sch_n,D$5,Sch_bmax,"&gt;="&amp;($A117-0.000000001),Sch_P0,"&gt;="&amp;(D117+Beta_y*$A117-0.000000001)),"")</f>
        <v>40</v>
      </c>
      <c r="U117" s="15" t="n">
        <f aca="false">IF(M117=1,_xlfn.MINIFS(Sch_idx,Sch_n,E$5,Sch_bmax,"&gt;="&amp;($A117-0.000000001),Sch_P0,"&gt;="&amp;(E117+Beta_y*$A117-0.000000001)),"")</f>
        <v>44</v>
      </c>
      <c r="V117" s="15" t="n">
        <f aca="false">IF(N117=1,_xlfn.MINIFS(Sch_idx,Sch_n,F$5,Sch_bmax,"&gt;="&amp;($A117-0.000000001),Sch_P0,"&gt;="&amp;(F117+Beta_y*$A117-0.000000001)),"")</f>
        <v>45</v>
      </c>
      <c r="W117" s="15" t="n">
        <f aca="false">IF(O117=1,_xlfn.MINIFS(Sch_idx,Sch_n,G$5,Sch_bmax,"&gt;="&amp;($A117-0.000000001),Sch_P0,"&gt;="&amp;(G117+Beta_y*$A117-0.000000001)),"")</f>
        <v>47</v>
      </c>
      <c r="X117" s="15" t="str">
        <f aca="false">IF(P117=1,_xlfn.MINIFS(Sch_idx,Sch_n,H$5,Sch_bmax,"&gt;="&amp;($A117-0.000000001),Sch_P0,"&gt;="&amp;(H117+Beta_y*$A117-0.000000001)),"")</f>
        <v/>
      </c>
      <c r="Z117" s="15" t="n">
        <f aca="false">IF(J117=1,IF(COUNTIFS(K117:$P117,1,C117:$H117,"&gt;="&amp;(B117-0.000000001))&gt;0,0,1),"")</f>
        <v>0</v>
      </c>
      <c r="AA117" s="15" t="n">
        <f aca="false">IF(K117=1,IF(COUNTIFS(L117:$P117,1,D117:$H117,"&gt;="&amp;(C117-0.000000001))&gt;0,0,1),"")</f>
        <v>1</v>
      </c>
      <c r="AB117" s="15" t="n">
        <f aca="false">IF(L117=1,IF(COUNTIFS(M117:$P117,1,E117:$H117,"&gt;="&amp;(D117-0.000000001))&gt;0,0,1),"")</f>
        <v>1</v>
      </c>
      <c r="AC117" s="15" t="n">
        <f aca="false">IF(M117=1,IF(COUNTIFS(N117:$P117,1,F117:$H117,"&gt;="&amp;(E117-0.000000001))&gt;0,0,1),"")</f>
        <v>1</v>
      </c>
      <c r="AD117" s="15" t="n">
        <f aca="false">IF(N117=1,IF(COUNTIFS(O117:$P117,1,G117:$H117,"&gt;="&amp;(F117-0.000000001))&gt;0,0,1),"")</f>
        <v>1</v>
      </c>
      <c r="AE117" s="15" t="n">
        <f aca="false">IF(O117=1,IF(COUNTIFS(P117:$P117,1,H117:$H117,"&gt;="&amp;(G117-0.000000001))&gt;0,0,1),"")</f>
        <v>1</v>
      </c>
      <c r="AF117" s="15" t="str">
        <f aca="false">IF(P117=1,1,"")</f>
        <v/>
      </c>
    </row>
    <row r="118" customFormat="false" ht="15" hidden="false" customHeight="false" outlineLevel="0" collapsed="false">
      <c r="A118" s="2" t="n">
        <v>112</v>
      </c>
      <c r="B118" s="16" t="n">
        <f aca="false">IF(COUNTIFS(Sch_n,B$5,Sch_bmax,"&gt;="&amp;($A118-0.000000001))&gt;0,_xlfn.MAXIFS(Sch_P0,Sch_n,B$5,Sch_bmax,"&gt;="&amp;($A118-0.000000001))-Beta_y*$A118,"")</f>
        <v>34.5454545454545</v>
      </c>
      <c r="C118" s="16" t="n">
        <f aca="false">IF(COUNTIFS(Sch_n,C$5,Sch_bmax,"&gt;="&amp;($A118-0.000000001))&gt;0,_xlfn.MAXIFS(Sch_P0,Sch_n,C$5,Sch_bmax,"&gt;="&amp;($A118-0.000000001))-Beta_y*$A118,"")</f>
        <v>268.854462251088</v>
      </c>
      <c r="D118" s="16" t="n">
        <f aca="false">IF(COUNTIFS(Sch_n,D$5,Sch_bmax,"&gt;="&amp;($A118-0.000000001))&gt;0,_xlfn.MAXIFS(Sch_P0,Sch_n,D$5,Sch_bmax,"&gt;="&amp;($A118-0.000000001))-Beta_y*$A118,"")</f>
        <v>259.214658710595</v>
      </c>
      <c r="E118" s="16" t="n">
        <f aca="false">IF(COUNTIFS(Sch_n,E$5,Sch_bmax,"&gt;="&amp;($A118-0.000000001))&gt;0,_xlfn.MAXIFS(Sch_P0,Sch_n,E$5,Sch_bmax,"&gt;="&amp;($A118-0.000000001))-Beta_y*$A118,"")</f>
        <v>200.234104273011</v>
      </c>
      <c r="F118" s="16" t="n">
        <f aca="false">IF(COUNTIFS(Sch_n,F$5,Sch_bmax,"&gt;="&amp;($A118-0.000000001))&gt;0,_xlfn.MAXIFS(Sch_P0,Sch_n,F$5,Sch_bmax,"&gt;="&amp;($A118-0.000000001))-Beta_y*$A118,"")</f>
        <v>130.662692393883</v>
      </c>
      <c r="G118" s="16" t="n">
        <f aca="false">IF(COUNTIFS(Sch_n,G$5,Sch_bmax,"&gt;="&amp;($A118-0.000000001))&gt;0,_xlfn.MAXIFS(Sch_P0,Sch_n,G$5,Sch_bmax,"&gt;="&amp;($A118-0.000000001))-Beta_y*$A118,"")</f>
        <v>56.6037127708275</v>
      </c>
      <c r="H118" s="16" t="str">
        <f aca="false">IF(COUNTIFS(Sch_n,H$5,Sch_bmax,"&gt;="&amp;($A118-0.000000001))&gt;0,_xlfn.MAXIFS(Sch_P0,Sch_n,H$5,Sch_bmax,"&gt;="&amp;($A118-0.000000001))-Beta_y*$A118,"")</f>
        <v/>
      </c>
      <c r="J118" s="15" t="n">
        <f aca="false">IF(ISNUMBER(B118),1,0)</f>
        <v>1</v>
      </c>
      <c r="K118" s="15" t="n">
        <f aca="false">IF(ISNUMBER(C118),1,0)</f>
        <v>1</v>
      </c>
      <c r="L118" s="15" t="n">
        <f aca="false">IF(ISNUMBER(D118),1,0)</f>
        <v>1</v>
      </c>
      <c r="M118" s="15" t="n">
        <f aca="false">IF(ISNUMBER(E118),1,0)</f>
        <v>1</v>
      </c>
      <c r="N118" s="15" t="n">
        <f aca="false">IF(ISNUMBER(F118),1,0)</f>
        <v>1</v>
      </c>
      <c r="O118" s="15" t="n">
        <f aca="false">IF(ISNUMBER(G118),1,0)</f>
        <v>1</v>
      </c>
      <c r="P118" s="15" t="n">
        <f aca="false">IF(ISNUMBER(H118),1,0)</f>
        <v>0</v>
      </c>
      <c r="R118" s="15" t="n">
        <f aca="false">IF(J118=1,_xlfn.MINIFS(Sch_idx,Sch_n,B$5,Sch_bmax,"&gt;="&amp;($A118-0.000000001),Sch_P0,"&gt;="&amp;(B118+Beta_y*$A118-0.000000001)),"")</f>
        <v>0</v>
      </c>
      <c r="S118" s="15" t="n">
        <f aca="false">IF(K118=1,_xlfn.MINIFS(Sch_idx,Sch_n,C$5,Sch_bmax,"&gt;="&amp;($A118-0.000000001),Sch_P0,"&gt;="&amp;(C118+Beta_y*$A118-0.000000001)),"")</f>
        <v>32</v>
      </c>
      <c r="T118" s="15" t="n">
        <f aca="false">IF(L118=1,_xlfn.MINIFS(Sch_idx,Sch_n,D$5,Sch_bmax,"&gt;="&amp;($A118-0.000000001),Sch_P0,"&gt;="&amp;(D118+Beta_y*$A118-0.000000001)),"")</f>
        <v>40</v>
      </c>
      <c r="U118" s="15" t="n">
        <f aca="false">IF(M118=1,_xlfn.MINIFS(Sch_idx,Sch_n,E$5,Sch_bmax,"&gt;="&amp;($A118-0.000000001),Sch_P0,"&gt;="&amp;(E118+Beta_y*$A118-0.000000001)),"")</f>
        <v>44</v>
      </c>
      <c r="V118" s="15" t="n">
        <f aca="false">IF(N118=1,_xlfn.MINIFS(Sch_idx,Sch_n,F$5,Sch_bmax,"&gt;="&amp;($A118-0.000000001),Sch_P0,"&gt;="&amp;(F118+Beta_y*$A118-0.000000001)),"")</f>
        <v>45</v>
      </c>
      <c r="W118" s="15" t="n">
        <f aca="false">IF(O118=1,_xlfn.MINIFS(Sch_idx,Sch_n,G$5,Sch_bmax,"&gt;="&amp;($A118-0.000000001),Sch_P0,"&gt;="&amp;(G118+Beta_y*$A118-0.000000001)),"")</f>
        <v>47</v>
      </c>
      <c r="X118" s="15" t="str">
        <f aca="false">IF(P118=1,_xlfn.MINIFS(Sch_idx,Sch_n,H$5,Sch_bmax,"&gt;="&amp;($A118-0.000000001),Sch_P0,"&gt;="&amp;(H118+Beta_y*$A118-0.000000001)),"")</f>
        <v/>
      </c>
      <c r="Z118" s="15" t="n">
        <f aca="false">IF(J118=1,IF(COUNTIFS(K118:$P118,1,C118:$H118,"&gt;="&amp;(B118-0.000000001))&gt;0,0,1),"")</f>
        <v>0</v>
      </c>
      <c r="AA118" s="15" t="n">
        <f aca="false">IF(K118=1,IF(COUNTIFS(L118:$P118,1,D118:$H118,"&gt;="&amp;(C118-0.000000001))&gt;0,0,1),"")</f>
        <v>1</v>
      </c>
      <c r="AB118" s="15" t="n">
        <f aca="false">IF(L118=1,IF(COUNTIFS(M118:$P118,1,E118:$H118,"&gt;="&amp;(D118-0.000000001))&gt;0,0,1),"")</f>
        <v>1</v>
      </c>
      <c r="AC118" s="15" t="n">
        <f aca="false">IF(M118=1,IF(COUNTIFS(N118:$P118,1,F118:$H118,"&gt;="&amp;(E118-0.000000001))&gt;0,0,1),"")</f>
        <v>1</v>
      </c>
      <c r="AD118" s="15" t="n">
        <f aca="false">IF(N118=1,IF(COUNTIFS(O118:$P118,1,G118:$H118,"&gt;="&amp;(F118-0.000000001))&gt;0,0,1),"")</f>
        <v>1</v>
      </c>
      <c r="AE118" s="15" t="n">
        <f aca="false">IF(O118=1,IF(COUNTIFS(P118:$P118,1,H118:$H118,"&gt;="&amp;(G118-0.000000001))&gt;0,0,1),"")</f>
        <v>1</v>
      </c>
      <c r="AF118" s="15" t="str">
        <f aca="false">IF(P118=1,1,"")</f>
        <v/>
      </c>
    </row>
    <row r="119" customFormat="false" ht="15" hidden="false" customHeight="false" outlineLevel="0" collapsed="false">
      <c r="A119" s="2" t="n">
        <v>113</v>
      </c>
      <c r="B119" s="16" t="n">
        <f aca="false">IF(COUNTIFS(Sch_n,B$5,Sch_bmax,"&gt;="&amp;($A119-0.000000001))&gt;0,_xlfn.MAXIFS(Sch_P0,Sch_n,B$5,Sch_bmax,"&gt;="&amp;($A119-0.000000001))-Beta_y*$A119,"")</f>
        <v>33.6363636363636</v>
      </c>
      <c r="C119" s="16" t="n">
        <f aca="false">IF(COUNTIFS(Sch_n,C$5,Sch_bmax,"&gt;="&amp;($A119-0.000000001))&gt;0,_xlfn.MAXIFS(Sch_P0,Sch_n,C$5,Sch_bmax,"&gt;="&amp;($A119-0.000000001))-Beta_y*$A119,"")</f>
        <v>267.945371341997</v>
      </c>
      <c r="D119" s="16" t="n">
        <f aca="false">IF(COUNTIFS(Sch_n,D$5,Sch_bmax,"&gt;="&amp;($A119-0.000000001))&gt;0,_xlfn.MAXIFS(Sch_P0,Sch_n,D$5,Sch_bmax,"&gt;="&amp;($A119-0.000000001))-Beta_y*$A119,"")</f>
        <v>258.305567801504</v>
      </c>
      <c r="E119" s="16" t="n">
        <f aca="false">IF(COUNTIFS(Sch_n,E$5,Sch_bmax,"&gt;="&amp;($A119-0.000000001))&gt;0,_xlfn.MAXIFS(Sch_P0,Sch_n,E$5,Sch_bmax,"&gt;="&amp;($A119-0.000000001))-Beta_y*$A119,"")</f>
        <v>199.32501336392</v>
      </c>
      <c r="F119" s="16" t="n">
        <f aca="false">IF(COUNTIFS(Sch_n,F$5,Sch_bmax,"&gt;="&amp;($A119-0.000000001))&gt;0,_xlfn.MAXIFS(Sch_P0,Sch_n,F$5,Sch_bmax,"&gt;="&amp;($A119-0.000000001))-Beta_y*$A119,"")</f>
        <v>129.753601484792</v>
      </c>
      <c r="G119" s="16" t="n">
        <f aca="false">IF(COUNTIFS(Sch_n,G$5,Sch_bmax,"&gt;="&amp;($A119-0.000000001))&gt;0,_xlfn.MAXIFS(Sch_P0,Sch_n,G$5,Sch_bmax,"&gt;="&amp;($A119-0.000000001))-Beta_y*$A119,"")</f>
        <v>55.6946218617366</v>
      </c>
      <c r="H119" s="16" t="str">
        <f aca="false">IF(COUNTIFS(Sch_n,H$5,Sch_bmax,"&gt;="&amp;($A119-0.000000001))&gt;0,_xlfn.MAXIFS(Sch_P0,Sch_n,H$5,Sch_bmax,"&gt;="&amp;($A119-0.000000001))-Beta_y*$A119,"")</f>
        <v/>
      </c>
      <c r="J119" s="15" t="n">
        <f aca="false">IF(ISNUMBER(B119),1,0)</f>
        <v>1</v>
      </c>
      <c r="K119" s="15" t="n">
        <f aca="false">IF(ISNUMBER(C119),1,0)</f>
        <v>1</v>
      </c>
      <c r="L119" s="15" t="n">
        <f aca="false">IF(ISNUMBER(D119),1,0)</f>
        <v>1</v>
      </c>
      <c r="M119" s="15" t="n">
        <f aca="false">IF(ISNUMBER(E119),1,0)</f>
        <v>1</v>
      </c>
      <c r="N119" s="15" t="n">
        <f aca="false">IF(ISNUMBER(F119),1,0)</f>
        <v>1</v>
      </c>
      <c r="O119" s="15" t="n">
        <f aca="false">IF(ISNUMBER(G119),1,0)</f>
        <v>1</v>
      </c>
      <c r="P119" s="15" t="n">
        <f aca="false">IF(ISNUMBER(H119),1,0)</f>
        <v>0</v>
      </c>
      <c r="R119" s="15" t="n">
        <f aca="false">IF(J119=1,_xlfn.MINIFS(Sch_idx,Sch_n,B$5,Sch_bmax,"&gt;="&amp;($A119-0.000000001),Sch_P0,"&gt;="&amp;(B119+Beta_y*$A119-0.000000001)),"")</f>
        <v>0</v>
      </c>
      <c r="S119" s="15" t="n">
        <f aca="false">IF(K119=1,_xlfn.MINIFS(Sch_idx,Sch_n,C$5,Sch_bmax,"&gt;="&amp;($A119-0.000000001),Sch_P0,"&gt;="&amp;(C119+Beta_y*$A119-0.000000001)),"")</f>
        <v>32</v>
      </c>
      <c r="T119" s="15" t="n">
        <f aca="false">IF(L119=1,_xlfn.MINIFS(Sch_idx,Sch_n,D$5,Sch_bmax,"&gt;="&amp;($A119-0.000000001),Sch_P0,"&gt;="&amp;(D119+Beta_y*$A119-0.000000001)),"")</f>
        <v>40</v>
      </c>
      <c r="U119" s="15" t="n">
        <f aca="false">IF(M119=1,_xlfn.MINIFS(Sch_idx,Sch_n,E$5,Sch_bmax,"&gt;="&amp;($A119-0.000000001),Sch_P0,"&gt;="&amp;(E119+Beta_y*$A119-0.000000001)),"")</f>
        <v>44</v>
      </c>
      <c r="V119" s="15" t="n">
        <f aca="false">IF(N119=1,_xlfn.MINIFS(Sch_idx,Sch_n,F$5,Sch_bmax,"&gt;="&amp;($A119-0.000000001),Sch_P0,"&gt;="&amp;(F119+Beta_y*$A119-0.000000001)),"")</f>
        <v>45</v>
      </c>
      <c r="W119" s="15" t="n">
        <f aca="false">IF(O119=1,_xlfn.MINIFS(Sch_idx,Sch_n,G$5,Sch_bmax,"&gt;="&amp;($A119-0.000000001),Sch_P0,"&gt;="&amp;(G119+Beta_y*$A119-0.000000001)),"")</f>
        <v>47</v>
      </c>
      <c r="X119" s="15" t="str">
        <f aca="false">IF(P119=1,_xlfn.MINIFS(Sch_idx,Sch_n,H$5,Sch_bmax,"&gt;="&amp;($A119-0.000000001),Sch_P0,"&gt;="&amp;(H119+Beta_y*$A119-0.000000001)),"")</f>
        <v/>
      </c>
      <c r="Z119" s="15" t="n">
        <f aca="false">IF(J119=1,IF(COUNTIFS(K119:$P119,1,C119:$H119,"&gt;="&amp;(B119-0.000000001))&gt;0,0,1),"")</f>
        <v>0</v>
      </c>
      <c r="AA119" s="15" t="n">
        <f aca="false">IF(K119=1,IF(COUNTIFS(L119:$P119,1,D119:$H119,"&gt;="&amp;(C119-0.000000001))&gt;0,0,1),"")</f>
        <v>1</v>
      </c>
      <c r="AB119" s="15" t="n">
        <f aca="false">IF(L119=1,IF(COUNTIFS(M119:$P119,1,E119:$H119,"&gt;="&amp;(D119-0.000000001))&gt;0,0,1),"")</f>
        <v>1</v>
      </c>
      <c r="AC119" s="15" t="n">
        <f aca="false">IF(M119=1,IF(COUNTIFS(N119:$P119,1,F119:$H119,"&gt;="&amp;(E119-0.000000001))&gt;0,0,1),"")</f>
        <v>1</v>
      </c>
      <c r="AD119" s="15" t="n">
        <f aca="false">IF(N119=1,IF(COUNTIFS(O119:$P119,1,G119:$H119,"&gt;="&amp;(F119-0.000000001))&gt;0,0,1),"")</f>
        <v>1</v>
      </c>
      <c r="AE119" s="15" t="n">
        <f aca="false">IF(O119=1,IF(COUNTIFS(P119:$P119,1,H119:$H119,"&gt;="&amp;(G119-0.000000001))&gt;0,0,1),"")</f>
        <v>1</v>
      </c>
      <c r="AF119" s="15" t="str">
        <f aca="false">IF(P119=1,1,"")</f>
        <v/>
      </c>
    </row>
    <row r="120" customFormat="false" ht="15" hidden="false" customHeight="false" outlineLevel="0" collapsed="false">
      <c r="A120" s="2" t="n">
        <v>114</v>
      </c>
      <c r="B120" s="16" t="n">
        <f aca="false">IF(COUNTIFS(Sch_n,B$5,Sch_bmax,"&gt;="&amp;($A120-0.000000001))&gt;0,_xlfn.MAXIFS(Sch_P0,Sch_n,B$5,Sch_bmax,"&gt;="&amp;($A120-0.000000001))-Beta_y*$A120,"")</f>
        <v>32.7272727272727</v>
      </c>
      <c r="C120" s="16" t="n">
        <f aca="false">IF(COUNTIFS(Sch_n,C$5,Sch_bmax,"&gt;="&amp;($A120-0.000000001))&gt;0,_xlfn.MAXIFS(Sch_P0,Sch_n,C$5,Sch_bmax,"&gt;="&amp;($A120-0.000000001))-Beta_y*$A120,"")</f>
        <v>267.036280432906</v>
      </c>
      <c r="D120" s="16" t="n">
        <f aca="false">IF(COUNTIFS(Sch_n,D$5,Sch_bmax,"&gt;="&amp;($A120-0.000000001))&gt;0,_xlfn.MAXIFS(Sch_P0,Sch_n,D$5,Sch_bmax,"&gt;="&amp;($A120-0.000000001))-Beta_y*$A120,"")</f>
        <v>257.396476892413</v>
      </c>
      <c r="E120" s="16" t="n">
        <f aca="false">IF(COUNTIFS(Sch_n,E$5,Sch_bmax,"&gt;="&amp;($A120-0.000000001))&gt;0,_xlfn.MAXIFS(Sch_P0,Sch_n,E$5,Sch_bmax,"&gt;="&amp;($A120-0.000000001))-Beta_y*$A120,"")</f>
        <v>198.415922454829</v>
      </c>
      <c r="F120" s="16" t="n">
        <f aca="false">IF(COUNTIFS(Sch_n,F$5,Sch_bmax,"&gt;="&amp;($A120-0.000000001))&gt;0,_xlfn.MAXIFS(Sch_P0,Sch_n,F$5,Sch_bmax,"&gt;="&amp;($A120-0.000000001))-Beta_y*$A120,"")</f>
        <v>128.844510575701</v>
      </c>
      <c r="G120" s="16" t="n">
        <f aca="false">IF(COUNTIFS(Sch_n,G$5,Sch_bmax,"&gt;="&amp;($A120-0.000000001))&gt;0,_xlfn.MAXIFS(Sch_P0,Sch_n,G$5,Sch_bmax,"&gt;="&amp;($A120-0.000000001))-Beta_y*$A120,"")</f>
        <v>54.7855309526457</v>
      </c>
      <c r="H120" s="16" t="str">
        <f aca="false">IF(COUNTIFS(Sch_n,H$5,Sch_bmax,"&gt;="&amp;($A120-0.000000001))&gt;0,_xlfn.MAXIFS(Sch_P0,Sch_n,H$5,Sch_bmax,"&gt;="&amp;($A120-0.000000001))-Beta_y*$A120,"")</f>
        <v/>
      </c>
      <c r="J120" s="15" t="n">
        <f aca="false">IF(ISNUMBER(B120),1,0)</f>
        <v>1</v>
      </c>
      <c r="K120" s="15" t="n">
        <f aca="false">IF(ISNUMBER(C120),1,0)</f>
        <v>1</v>
      </c>
      <c r="L120" s="15" t="n">
        <f aca="false">IF(ISNUMBER(D120),1,0)</f>
        <v>1</v>
      </c>
      <c r="M120" s="15" t="n">
        <f aca="false">IF(ISNUMBER(E120),1,0)</f>
        <v>1</v>
      </c>
      <c r="N120" s="15" t="n">
        <f aca="false">IF(ISNUMBER(F120),1,0)</f>
        <v>1</v>
      </c>
      <c r="O120" s="15" t="n">
        <f aca="false">IF(ISNUMBER(G120),1,0)</f>
        <v>1</v>
      </c>
      <c r="P120" s="15" t="n">
        <f aca="false">IF(ISNUMBER(H120),1,0)</f>
        <v>0</v>
      </c>
      <c r="R120" s="15" t="n">
        <f aca="false">IF(J120=1,_xlfn.MINIFS(Sch_idx,Sch_n,B$5,Sch_bmax,"&gt;="&amp;($A120-0.000000001),Sch_P0,"&gt;="&amp;(B120+Beta_y*$A120-0.000000001)),"")</f>
        <v>0</v>
      </c>
      <c r="S120" s="15" t="n">
        <f aca="false">IF(K120=1,_xlfn.MINIFS(Sch_idx,Sch_n,C$5,Sch_bmax,"&gt;="&amp;($A120-0.000000001),Sch_P0,"&gt;="&amp;(C120+Beta_y*$A120-0.000000001)),"")</f>
        <v>32</v>
      </c>
      <c r="T120" s="15" t="n">
        <f aca="false">IF(L120=1,_xlfn.MINIFS(Sch_idx,Sch_n,D$5,Sch_bmax,"&gt;="&amp;($A120-0.000000001),Sch_P0,"&gt;="&amp;(D120+Beta_y*$A120-0.000000001)),"")</f>
        <v>40</v>
      </c>
      <c r="U120" s="15" t="n">
        <f aca="false">IF(M120=1,_xlfn.MINIFS(Sch_idx,Sch_n,E$5,Sch_bmax,"&gt;="&amp;($A120-0.000000001),Sch_P0,"&gt;="&amp;(E120+Beta_y*$A120-0.000000001)),"")</f>
        <v>44</v>
      </c>
      <c r="V120" s="15" t="n">
        <f aca="false">IF(N120=1,_xlfn.MINIFS(Sch_idx,Sch_n,F$5,Sch_bmax,"&gt;="&amp;($A120-0.000000001),Sch_P0,"&gt;="&amp;(F120+Beta_y*$A120-0.000000001)),"")</f>
        <v>45</v>
      </c>
      <c r="W120" s="15" t="n">
        <f aca="false">IF(O120=1,_xlfn.MINIFS(Sch_idx,Sch_n,G$5,Sch_bmax,"&gt;="&amp;($A120-0.000000001),Sch_P0,"&gt;="&amp;(G120+Beta_y*$A120-0.000000001)),"")</f>
        <v>47</v>
      </c>
      <c r="X120" s="15" t="str">
        <f aca="false">IF(P120=1,_xlfn.MINIFS(Sch_idx,Sch_n,H$5,Sch_bmax,"&gt;="&amp;($A120-0.000000001),Sch_P0,"&gt;="&amp;(H120+Beta_y*$A120-0.000000001)),"")</f>
        <v/>
      </c>
      <c r="Z120" s="15" t="n">
        <f aca="false">IF(J120=1,IF(COUNTIFS(K120:$P120,1,C120:$H120,"&gt;="&amp;(B120-0.000000001))&gt;0,0,1),"")</f>
        <v>0</v>
      </c>
      <c r="AA120" s="15" t="n">
        <f aca="false">IF(K120=1,IF(COUNTIFS(L120:$P120,1,D120:$H120,"&gt;="&amp;(C120-0.000000001))&gt;0,0,1),"")</f>
        <v>1</v>
      </c>
      <c r="AB120" s="15" t="n">
        <f aca="false">IF(L120=1,IF(COUNTIFS(M120:$P120,1,E120:$H120,"&gt;="&amp;(D120-0.000000001))&gt;0,0,1),"")</f>
        <v>1</v>
      </c>
      <c r="AC120" s="15" t="n">
        <f aca="false">IF(M120=1,IF(COUNTIFS(N120:$P120,1,F120:$H120,"&gt;="&amp;(E120-0.000000001))&gt;0,0,1),"")</f>
        <v>1</v>
      </c>
      <c r="AD120" s="15" t="n">
        <f aca="false">IF(N120=1,IF(COUNTIFS(O120:$P120,1,G120:$H120,"&gt;="&amp;(F120-0.000000001))&gt;0,0,1),"")</f>
        <v>1</v>
      </c>
      <c r="AE120" s="15" t="n">
        <f aca="false">IF(O120=1,IF(COUNTIFS(P120:$P120,1,H120:$H120,"&gt;="&amp;(G120-0.000000001))&gt;0,0,1),"")</f>
        <v>1</v>
      </c>
      <c r="AF120" s="15" t="str">
        <f aca="false">IF(P120=1,1,"")</f>
        <v/>
      </c>
    </row>
    <row r="121" customFormat="false" ht="15" hidden="false" customHeight="false" outlineLevel="0" collapsed="false">
      <c r="A121" s="2" t="n">
        <v>115</v>
      </c>
      <c r="B121" s="16" t="n">
        <f aca="false">IF(COUNTIFS(Sch_n,B$5,Sch_bmax,"&gt;="&amp;($A121-0.000000001))&gt;0,_xlfn.MAXIFS(Sch_P0,Sch_n,B$5,Sch_bmax,"&gt;="&amp;($A121-0.000000001))-Beta_y*$A121,"")</f>
        <v>31.8181818181818</v>
      </c>
      <c r="C121" s="16" t="n">
        <f aca="false">IF(COUNTIFS(Sch_n,C$5,Sch_bmax,"&gt;="&amp;($A121-0.000000001))&gt;0,_xlfn.MAXIFS(Sch_P0,Sch_n,C$5,Sch_bmax,"&gt;="&amp;($A121-0.000000001))-Beta_y*$A121,"")</f>
        <v>266.127189523815</v>
      </c>
      <c r="D121" s="16" t="n">
        <f aca="false">IF(COUNTIFS(Sch_n,D$5,Sch_bmax,"&gt;="&amp;($A121-0.000000001))&gt;0,_xlfn.MAXIFS(Sch_P0,Sch_n,D$5,Sch_bmax,"&gt;="&amp;($A121-0.000000001))-Beta_y*$A121,"")</f>
        <v>256.487385983322</v>
      </c>
      <c r="E121" s="16" t="n">
        <f aca="false">IF(COUNTIFS(Sch_n,E$5,Sch_bmax,"&gt;="&amp;($A121-0.000000001))&gt;0,_xlfn.MAXIFS(Sch_P0,Sch_n,E$5,Sch_bmax,"&gt;="&amp;($A121-0.000000001))-Beta_y*$A121,"")</f>
        <v>197.506831545738</v>
      </c>
      <c r="F121" s="16" t="n">
        <f aca="false">IF(COUNTIFS(Sch_n,F$5,Sch_bmax,"&gt;="&amp;($A121-0.000000001))&gt;0,_xlfn.MAXIFS(Sch_P0,Sch_n,F$5,Sch_bmax,"&gt;="&amp;($A121-0.000000001))-Beta_y*$A121,"")</f>
        <v>127.93541966661</v>
      </c>
      <c r="G121" s="16" t="n">
        <f aca="false">IF(COUNTIFS(Sch_n,G$5,Sch_bmax,"&gt;="&amp;($A121-0.000000001))&gt;0,_xlfn.MAXIFS(Sch_P0,Sch_n,G$5,Sch_bmax,"&gt;="&amp;($A121-0.000000001))-Beta_y*$A121,"")</f>
        <v>53.8764400435548</v>
      </c>
      <c r="H121" s="16" t="str">
        <f aca="false">IF(COUNTIFS(Sch_n,H$5,Sch_bmax,"&gt;="&amp;($A121-0.000000001))&gt;0,_xlfn.MAXIFS(Sch_P0,Sch_n,H$5,Sch_bmax,"&gt;="&amp;($A121-0.000000001))-Beta_y*$A121,"")</f>
        <v/>
      </c>
      <c r="J121" s="15" t="n">
        <f aca="false">IF(ISNUMBER(B121),1,0)</f>
        <v>1</v>
      </c>
      <c r="K121" s="15" t="n">
        <f aca="false">IF(ISNUMBER(C121),1,0)</f>
        <v>1</v>
      </c>
      <c r="L121" s="15" t="n">
        <f aca="false">IF(ISNUMBER(D121),1,0)</f>
        <v>1</v>
      </c>
      <c r="M121" s="15" t="n">
        <f aca="false">IF(ISNUMBER(E121),1,0)</f>
        <v>1</v>
      </c>
      <c r="N121" s="15" t="n">
        <f aca="false">IF(ISNUMBER(F121),1,0)</f>
        <v>1</v>
      </c>
      <c r="O121" s="15" t="n">
        <f aca="false">IF(ISNUMBER(G121),1,0)</f>
        <v>1</v>
      </c>
      <c r="P121" s="15" t="n">
        <f aca="false">IF(ISNUMBER(H121),1,0)</f>
        <v>0</v>
      </c>
      <c r="R121" s="15" t="n">
        <f aca="false">IF(J121=1,_xlfn.MINIFS(Sch_idx,Sch_n,B$5,Sch_bmax,"&gt;="&amp;($A121-0.000000001),Sch_P0,"&gt;="&amp;(B121+Beta_y*$A121-0.000000001)),"")</f>
        <v>0</v>
      </c>
      <c r="S121" s="15" t="n">
        <f aca="false">IF(K121=1,_xlfn.MINIFS(Sch_idx,Sch_n,C$5,Sch_bmax,"&gt;="&amp;($A121-0.000000001),Sch_P0,"&gt;="&amp;(C121+Beta_y*$A121-0.000000001)),"")</f>
        <v>32</v>
      </c>
      <c r="T121" s="15" t="n">
        <f aca="false">IF(L121=1,_xlfn.MINIFS(Sch_idx,Sch_n,D$5,Sch_bmax,"&gt;="&amp;($A121-0.000000001),Sch_P0,"&gt;="&amp;(D121+Beta_y*$A121-0.000000001)),"")</f>
        <v>40</v>
      </c>
      <c r="U121" s="15" t="n">
        <f aca="false">IF(M121=1,_xlfn.MINIFS(Sch_idx,Sch_n,E$5,Sch_bmax,"&gt;="&amp;($A121-0.000000001),Sch_P0,"&gt;="&amp;(E121+Beta_y*$A121-0.000000001)),"")</f>
        <v>44</v>
      </c>
      <c r="V121" s="15" t="n">
        <f aca="false">IF(N121=1,_xlfn.MINIFS(Sch_idx,Sch_n,F$5,Sch_bmax,"&gt;="&amp;($A121-0.000000001),Sch_P0,"&gt;="&amp;(F121+Beta_y*$A121-0.000000001)),"")</f>
        <v>45</v>
      </c>
      <c r="W121" s="15" t="n">
        <f aca="false">IF(O121=1,_xlfn.MINIFS(Sch_idx,Sch_n,G$5,Sch_bmax,"&gt;="&amp;($A121-0.000000001),Sch_P0,"&gt;="&amp;(G121+Beta_y*$A121-0.000000001)),"")</f>
        <v>47</v>
      </c>
      <c r="X121" s="15" t="str">
        <f aca="false">IF(P121=1,_xlfn.MINIFS(Sch_idx,Sch_n,H$5,Sch_bmax,"&gt;="&amp;($A121-0.000000001),Sch_P0,"&gt;="&amp;(H121+Beta_y*$A121-0.000000001)),"")</f>
        <v/>
      </c>
      <c r="Z121" s="15" t="n">
        <f aca="false">IF(J121=1,IF(COUNTIFS(K121:$P121,1,C121:$H121,"&gt;="&amp;(B121-0.000000001))&gt;0,0,1),"")</f>
        <v>0</v>
      </c>
      <c r="AA121" s="15" t="n">
        <f aca="false">IF(K121=1,IF(COUNTIFS(L121:$P121,1,D121:$H121,"&gt;="&amp;(C121-0.000000001))&gt;0,0,1),"")</f>
        <v>1</v>
      </c>
      <c r="AB121" s="15" t="n">
        <f aca="false">IF(L121=1,IF(COUNTIFS(M121:$P121,1,E121:$H121,"&gt;="&amp;(D121-0.000000001))&gt;0,0,1),"")</f>
        <v>1</v>
      </c>
      <c r="AC121" s="15" t="n">
        <f aca="false">IF(M121=1,IF(COUNTIFS(N121:$P121,1,F121:$H121,"&gt;="&amp;(E121-0.000000001))&gt;0,0,1),"")</f>
        <v>1</v>
      </c>
      <c r="AD121" s="15" t="n">
        <f aca="false">IF(N121=1,IF(COUNTIFS(O121:$P121,1,G121:$H121,"&gt;="&amp;(F121-0.000000001))&gt;0,0,1),"")</f>
        <v>1</v>
      </c>
      <c r="AE121" s="15" t="n">
        <f aca="false">IF(O121=1,IF(COUNTIFS(P121:$P121,1,H121:$H121,"&gt;="&amp;(G121-0.000000001))&gt;0,0,1),"")</f>
        <v>1</v>
      </c>
      <c r="AF121" s="15" t="str">
        <f aca="false">IF(P121=1,1,"")</f>
        <v/>
      </c>
    </row>
    <row r="122" customFormat="false" ht="15" hidden="false" customHeight="false" outlineLevel="0" collapsed="false">
      <c r="A122" s="2" t="n">
        <v>116</v>
      </c>
      <c r="B122" s="16" t="n">
        <f aca="false">IF(COUNTIFS(Sch_n,B$5,Sch_bmax,"&gt;="&amp;($A122-0.000000001))&gt;0,_xlfn.MAXIFS(Sch_P0,Sch_n,B$5,Sch_bmax,"&gt;="&amp;($A122-0.000000001))-Beta_y*$A122,"")</f>
        <v>30.9090909090909</v>
      </c>
      <c r="C122" s="16" t="n">
        <f aca="false">IF(COUNTIFS(Sch_n,C$5,Sch_bmax,"&gt;="&amp;($A122-0.000000001))&gt;0,_xlfn.MAXIFS(Sch_P0,Sch_n,C$5,Sch_bmax,"&gt;="&amp;($A122-0.000000001))-Beta_y*$A122,"")</f>
        <v>265.218098614725</v>
      </c>
      <c r="D122" s="16" t="n">
        <f aca="false">IF(COUNTIFS(Sch_n,D$5,Sch_bmax,"&gt;="&amp;($A122-0.000000001))&gt;0,_xlfn.MAXIFS(Sch_P0,Sch_n,D$5,Sch_bmax,"&gt;="&amp;($A122-0.000000001))-Beta_y*$A122,"")</f>
        <v>255.578295074231</v>
      </c>
      <c r="E122" s="16" t="n">
        <f aca="false">IF(COUNTIFS(Sch_n,E$5,Sch_bmax,"&gt;="&amp;($A122-0.000000001))&gt;0,_xlfn.MAXIFS(Sch_P0,Sch_n,E$5,Sch_bmax,"&gt;="&amp;($A122-0.000000001))-Beta_y*$A122,"")</f>
        <v>196.597740636648</v>
      </c>
      <c r="F122" s="16" t="n">
        <f aca="false">IF(COUNTIFS(Sch_n,F$5,Sch_bmax,"&gt;="&amp;($A122-0.000000001))&gt;0,_xlfn.MAXIFS(Sch_P0,Sch_n,F$5,Sch_bmax,"&gt;="&amp;($A122-0.000000001))-Beta_y*$A122,"")</f>
        <v>127.02632875752</v>
      </c>
      <c r="G122" s="16" t="n">
        <f aca="false">IF(COUNTIFS(Sch_n,G$5,Sch_bmax,"&gt;="&amp;($A122-0.000000001))&gt;0,_xlfn.MAXIFS(Sch_P0,Sch_n,G$5,Sch_bmax,"&gt;="&amp;($A122-0.000000001))-Beta_y*$A122,"")</f>
        <v>52.9673491344639</v>
      </c>
      <c r="H122" s="16" t="str">
        <f aca="false">IF(COUNTIFS(Sch_n,H$5,Sch_bmax,"&gt;="&amp;($A122-0.000000001))&gt;0,_xlfn.MAXIFS(Sch_P0,Sch_n,H$5,Sch_bmax,"&gt;="&amp;($A122-0.000000001))-Beta_y*$A122,"")</f>
        <v/>
      </c>
      <c r="J122" s="15" t="n">
        <f aca="false">IF(ISNUMBER(B122),1,0)</f>
        <v>1</v>
      </c>
      <c r="K122" s="15" t="n">
        <f aca="false">IF(ISNUMBER(C122),1,0)</f>
        <v>1</v>
      </c>
      <c r="L122" s="15" t="n">
        <f aca="false">IF(ISNUMBER(D122),1,0)</f>
        <v>1</v>
      </c>
      <c r="M122" s="15" t="n">
        <f aca="false">IF(ISNUMBER(E122),1,0)</f>
        <v>1</v>
      </c>
      <c r="N122" s="15" t="n">
        <f aca="false">IF(ISNUMBER(F122),1,0)</f>
        <v>1</v>
      </c>
      <c r="O122" s="15" t="n">
        <f aca="false">IF(ISNUMBER(G122),1,0)</f>
        <v>1</v>
      </c>
      <c r="P122" s="15" t="n">
        <f aca="false">IF(ISNUMBER(H122),1,0)</f>
        <v>0</v>
      </c>
      <c r="R122" s="15" t="n">
        <f aca="false">IF(J122=1,_xlfn.MINIFS(Sch_idx,Sch_n,B$5,Sch_bmax,"&gt;="&amp;($A122-0.000000001),Sch_P0,"&gt;="&amp;(B122+Beta_y*$A122-0.000000001)),"")</f>
        <v>0</v>
      </c>
      <c r="S122" s="15" t="n">
        <f aca="false">IF(K122=1,_xlfn.MINIFS(Sch_idx,Sch_n,C$5,Sch_bmax,"&gt;="&amp;($A122-0.000000001),Sch_P0,"&gt;="&amp;(C122+Beta_y*$A122-0.000000001)),"")</f>
        <v>32</v>
      </c>
      <c r="T122" s="15" t="n">
        <f aca="false">IF(L122=1,_xlfn.MINIFS(Sch_idx,Sch_n,D$5,Sch_bmax,"&gt;="&amp;($A122-0.000000001),Sch_P0,"&gt;="&amp;(D122+Beta_y*$A122-0.000000001)),"")</f>
        <v>40</v>
      </c>
      <c r="U122" s="15" t="n">
        <f aca="false">IF(M122=1,_xlfn.MINIFS(Sch_idx,Sch_n,E$5,Sch_bmax,"&gt;="&amp;($A122-0.000000001),Sch_P0,"&gt;="&amp;(E122+Beta_y*$A122-0.000000001)),"")</f>
        <v>44</v>
      </c>
      <c r="V122" s="15" t="n">
        <f aca="false">IF(N122=1,_xlfn.MINIFS(Sch_idx,Sch_n,F$5,Sch_bmax,"&gt;="&amp;($A122-0.000000001),Sch_P0,"&gt;="&amp;(F122+Beta_y*$A122-0.000000001)),"")</f>
        <v>45</v>
      </c>
      <c r="W122" s="15" t="n">
        <f aca="false">IF(O122=1,_xlfn.MINIFS(Sch_idx,Sch_n,G$5,Sch_bmax,"&gt;="&amp;($A122-0.000000001),Sch_P0,"&gt;="&amp;(G122+Beta_y*$A122-0.000000001)),"")</f>
        <v>47</v>
      </c>
      <c r="X122" s="15" t="str">
        <f aca="false">IF(P122=1,_xlfn.MINIFS(Sch_idx,Sch_n,H$5,Sch_bmax,"&gt;="&amp;($A122-0.000000001),Sch_P0,"&gt;="&amp;(H122+Beta_y*$A122-0.000000001)),"")</f>
        <v/>
      </c>
      <c r="Z122" s="15" t="n">
        <f aca="false">IF(J122=1,IF(COUNTIFS(K122:$P122,1,C122:$H122,"&gt;="&amp;(B122-0.000000001))&gt;0,0,1),"")</f>
        <v>0</v>
      </c>
      <c r="AA122" s="15" t="n">
        <f aca="false">IF(K122=1,IF(COUNTIFS(L122:$P122,1,D122:$H122,"&gt;="&amp;(C122-0.000000001))&gt;0,0,1),"")</f>
        <v>1</v>
      </c>
      <c r="AB122" s="15" t="n">
        <f aca="false">IF(L122=1,IF(COUNTIFS(M122:$P122,1,E122:$H122,"&gt;="&amp;(D122-0.000000001))&gt;0,0,1),"")</f>
        <v>1</v>
      </c>
      <c r="AC122" s="15" t="n">
        <f aca="false">IF(M122=1,IF(COUNTIFS(N122:$P122,1,F122:$H122,"&gt;="&amp;(E122-0.000000001))&gt;0,0,1),"")</f>
        <v>1</v>
      </c>
      <c r="AD122" s="15" t="n">
        <f aca="false">IF(N122=1,IF(COUNTIFS(O122:$P122,1,G122:$H122,"&gt;="&amp;(F122-0.000000001))&gt;0,0,1),"")</f>
        <v>1</v>
      </c>
      <c r="AE122" s="15" t="n">
        <f aca="false">IF(O122=1,IF(COUNTIFS(P122:$P122,1,H122:$H122,"&gt;="&amp;(G122-0.000000001))&gt;0,0,1),"")</f>
        <v>1</v>
      </c>
      <c r="AF122" s="15" t="str">
        <f aca="false">IF(P122=1,1,"")</f>
        <v/>
      </c>
    </row>
    <row r="123" customFormat="false" ht="15" hidden="false" customHeight="false" outlineLevel="0" collapsed="false">
      <c r="A123" s="2" t="n">
        <v>117</v>
      </c>
      <c r="B123" s="16" t="n">
        <f aca="false">IF(COUNTIFS(Sch_n,B$5,Sch_bmax,"&gt;="&amp;($A123-0.000000001))&gt;0,_xlfn.MAXIFS(Sch_P0,Sch_n,B$5,Sch_bmax,"&gt;="&amp;($A123-0.000000001))-Beta_y*$A123,"")</f>
        <v>30</v>
      </c>
      <c r="C123" s="16" t="n">
        <f aca="false">IF(COUNTIFS(Sch_n,C$5,Sch_bmax,"&gt;="&amp;($A123-0.000000001))&gt;0,_xlfn.MAXIFS(Sch_P0,Sch_n,C$5,Sch_bmax,"&gt;="&amp;($A123-0.000000001))-Beta_y*$A123,"")</f>
        <v>264.309007705634</v>
      </c>
      <c r="D123" s="16" t="n">
        <f aca="false">IF(COUNTIFS(Sch_n,D$5,Sch_bmax,"&gt;="&amp;($A123-0.000000001))&gt;0,_xlfn.MAXIFS(Sch_P0,Sch_n,D$5,Sch_bmax,"&gt;="&amp;($A123-0.000000001))-Beta_y*$A123,"")</f>
        <v>254.66920416514</v>
      </c>
      <c r="E123" s="16" t="n">
        <f aca="false">IF(COUNTIFS(Sch_n,E$5,Sch_bmax,"&gt;="&amp;($A123-0.000000001))&gt;0,_xlfn.MAXIFS(Sch_P0,Sch_n,E$5,Sch_bmax,"&gt;="&amp;($A123-0.000000001))-Beta_y*$A123,"")</f>
        <v>195.688649727557</v>
      </c>
      <c r="F123" s="16" t="n">
        <f aca="false">IF(COUNTIFS(Sch_n,F$5,Sch_bmax,"&gt;="&amp;($A123-0.000000001))&gt;0,_xlfn.MAXIFS(Sch_P0,Sch_n,F$5,Sch_bmax,"&gt;="&amp;($A123-0.000000001))-Beta_y*$A123,"")</f>
        <v>126.117237848429</v>
      </c>
      <c r="G123" s="16" t="n">
        <f aca="false">IF(COUNTIFS(Sch_n,G$5,Sch_bmax,"&gt;="&amp;($A123-0.000000001))&gt;0,_xlfn.MAXIFS(Sch_P0,Sch_n,G$5,Sch_bmax,"&gt;="&amp;($A123-0.000000001))-Beta_y*$A123,"")</f>
        <v>52.058258225373</v>
      </c>
      <c r="H123" s="16" t="str">
        <f aca="false">IF(COUNTIFS(Sch_n,H$5,Sch_bmax,"&gt;="&amp;($A123-0.000000001))&gt;0,_xlfn.MAXIFS(Sch_P0,Sch_n,H$5,Sch_bmax,"&gt;="&amp;($A123-0.000000001))-Beta_y*$A123,"")</f>
        <v/>
      </c>
      <c r="J123" s="15" t="n">
        <f aca="false">IF(ISNUMBER(B123),1,0)</f>
        <v>1</v>
      </c>
      <c r="K123" s="15" t="n">
        <f aca="false">IF(ISNUMBER(C123),1,0)</f>
        <v>1</v>
      </c>
      <c r="L123" s="15" t="n">
        <f aca="false">IF(ISNUMBER(D123),1,0)</f>
        <v>1</v>
      </c>
      <c r="M123" s="15" t="n">
        <f aca="false">IF(ISNUMBER(E123),1,0)</f>
        <v>1</v>
      </c>
      <c r="N123" s="15" t="n">
        <f aca="false">IF(ISNUMBER(F123),1,0)</f>
        <v>1</v>
      </c>
      <c r="O123" s="15" t="n">
        <f aca="false">IF(ISNUMBER(G123),1,0)</f>
        <v>1</v>
      </c>
      <c r="P123" s="15" t="n">
        <f aca="false">IF(ISNUMBER(H123),1,0)</f>
        <v>0</v>
      </c>
      <c r="R123" s="15" t="n">
        <f aca="false">IF(J123=1,_xlfn.MINIFS(Sch_idx,Sch_n,B$5,Sch_bmax,"&gt;="&amp;($A123-0.000000001),Sch_P0,"&gt;="&amp;(B123+Beta_y*$A123-0.000000001)),"")</f>
        <v>0</v>
      </c>
      <c r="S123" s="15" t="n">
        <f aca="false">IF(K123=1,_xlfn.MINIFS(Sch_idx,Sch_n,C$5,Sch_bmax,"&gt;="&amp;($A123-0.000000001),Sch_P0,"&gt;="&amp;(C123+Beta_y*$A123-0.000000001)),"")</f>
        <v>32</v>
      </c>
      <c r="T123" s="15" t="n">
        <f aca="false">IF(L123=1,_xlfn.MINIFS(Sch_idx,Sch_n,D$5,Sch_bmax,"&gt;="&amp;($A123-0.000000001),Sch_P0,"&gt;="&amp;(D123+Beta_y*$A123-0.000000001)),"")</f>
        <v>40</v>
      </c>
      <c r="U123" s="15" t="n">
        <f aca="false">IF(M123=1,_xlfn.MINIFS(Sch_idx,Sch_n,E$5,Sch_bmax,"&gt;="&amp;($A123-0.000000001),Sch_P0,"&gt;="&amp;(E123+Beta_y*$A123-0.000000001)),"")</f>
        <v>44</v>
      </c>
      <c r="V123" s="15" t="n">
        <f aca="false">IF(N123=1,_xlfn.MINIFS(Sch_idx,Sch_n,F$5,Sch_bmax,"&gt;="&amp;($A123-0.000000001),Sch_P0,"&gt;="&amp;(F123+Beta_y*$A123-0.000000001)),"")</f>
        <v>45</v>
      </c>
      <c r="W123" s="15" t="n">
        <f aca="false">IF(O123=1,_xlfn.MINIFS(Sch_idx,Sch_n,G$5,Sch_bmax,"&gt;="&amp;($A123-0.000000001),Sch_P0,"&gt;="&amp;(G123+Beta_y*$A123-0.000000001)),"")</f>
        <v>47</v>
      </c>
      <c r="X123" s="15" t="str">
        <f aca="false">IF(P123=1,_xlfn.MINIFS(Sch_idx,Sch_n,H$5,Sch_bmax,"&gt;="&amp;($A123-0.000000001),Sch_P0,"&gt;="&amp;(H123+Beta_y*$A123-0.000000001)),"")</f>
        <v/>
      </c>
      <c r="Z123" s="15" t="n">
        <f aca="false">IF(J123=1,IF(COUNTIFS(K123:$P123,1,C123:$H123,"&gt;="&amp;(B123-0.000000001))&gt;0,0,1),"")</f>
        <v>0</v>
      </c>
      <c r="AA123" s="15" t="n">
        <f aca="false">IF(K123=1,IF(COUNTIFS(L123:$P123,1,D123:$H123,"&gt;="&amp;(C123-0.000000001))&gt;0,0,1),"")</f>
        <v>1</v>
      </c>
      <c r="AB123" s="15" t="n">
        <f aca="false">IF(L123=1,IF(COUNTIFS(M123:$P123,1,E123:$H123,"&gt;="&amp;(D123-0.000000001))&gt;0,0,1),"")</f>
        <v>1</v>
      </c>
      <c r="AC123" s="15" t="n">
        <f aca="false">IF(M123=1,IF(COUNTIFS(N123:$P123,1,F123:$H123,"&gt;="&amp;(E123-0.000000001))&gt;0,0,1),"")</f>
        <v>1</v>
      </c>
      <c r="AD123" s="15" t="n">
        <f aca="false">IF(N123=1,IF(COUNTIFS(O123:$P123,1,G123:$H123,"&gt;="&amp;(F123-0.000000001))&gt;0,0,1),"")</f>
        <v>1</v>
      </c>
      <c r="AE123" s="15" t="n">
        <f aca="false">IF(O123=1,IF(COUNTIFS(P123:$P123,1,H123:$H123,"&gt;="&amp;(G123-0.000000001))&gt;0,0,1),"")</f>
        <v>1</v>
      </c>
      <c r="AF123" s="15" t="str">
        <f aca="false">IF(P123=1,1,"")</f>
        <v/>
      </c>
    </row>
    <row r="124" customFormat="false" ht="15" hidden="false" customHeight="false" outlineLevel="0" collapsed="false">
      <c r="A124" s="2" t="n">
        <v>118</v>
      </c>
      <c r="B124" s="16" t="n">
        <f aca="false">IF(COUNTIFS(Sch_n,B$5,Sch_bmax,"&gt;="&amp;($A124-0.000000001))&gt;0,_xlfn.MAXIFS(Sch_P0,Sch_n,B$5,Sch_bmax,"&gt;="&amp;($A124-0.000000001))-Beta_y*$A124,"")</f>
        <v>29.0909090909091</v>
      </c>
      <c r="C124" s="16" t="n">
        <f aca="false">IF(COUNTIFS(Sch_n,C$5,Sch_bmax,"&gt;="&amp;($A124-0.000000001))&gt;0,_xlfn.MAXIFS(Sch_P0,Sch_n,C$5,Sch_bmax,"&gt;="&amp;($A124-0.000000001))-Beta_y*$A124,"")</f>
        <v>263.399916796543</v>
      </c>
      <c r="D124" s="16" t="n">
        <f aca="false">IF(COUNTIFS(Sch_n,D$5,Sch_bmax,"&gt;="&amp;($A124-0.000000001))&gt;0,_xlfn.MAXIFS(Sch_P0,Sch_n,D$5,Sch_bmax,"&gt;="&amp;($A124-0.000000001))-Beta_y*$A124,"")</f>
        <v>253.760113256049</v>
      </c>
      <c r="E124" s="16" t="n">
        <f aca="false">IF(COUNTIFS(Sch_n,E$5,Sch_bmax,"&gt;="&amp;($A124-0.000000001))&gt;0,_xlfn.MAXIFS(Sch_P0,Sch_n,E$5,Sch_bmax,"&gt;="&amp;($A124-0.000000001))-Beta_y*$A124,"")</f>
        <v>194.779558818466</v>
      </c>
      <c r="F124" s="16" t="n">
        <f aca="false">IF(COUNTIFS(Sch_n,F$5,Sch_bmax,"&gt;="&amp;($A124-0.000000001))&gt;0,_xlfn.MAXIFS(Sch_P0,Sch_n,F$5,Sch_bmax,"&gt;="&amp;($A124-0.000000001))-Beta_y*$A124,"")</f>
        <v>125.208146939338</v>
      </c>
      <c r="G124" s="16" t="n">
        <f aca="false">IF(COUNTIFS(Sch_n,G$5,Sch_bmax,"&gt;="&amp;($A124-0.000000001))&gt;0,_xlfn.MAXIFS(Sch_P0,Sch_n,G$5,Sch_bmax,"&gt;="&amp;($A124-0.000000001))-Beta_y*$A124,"")</f>
        <v>51.1491673162821</v>
      </c>
      <c r="H124" s="16" t="str">
        <f aca="false">IF(COUNTIFS(Sch_n,H$5,Sch_bmax,"&gt;="&amp;($A124-0.000000001))&gt;0,_xlfn.MAXIFS(Sch_P0,Sch_n,H$5,Sch_bmax,"&gt;="&amp;($A124-0.000000001))-Beta_y*$A124,"")</f>
        <v/>
      </c>
      <c r="J124" s="15" t="n">
        <f aca="false">IF(ISNUMBER(B124),1,0)</f>
        <v>1</v>
      </c>
      <c r="K124" s="15" t="n">
        <f aca="false">IF(ISNUMBER(C124),1,0)</f>
        <v>1</v>
      </c>
      <c r="L124" s="15" t="n">
        <f aca="false">IF(ISNUMBER(D124),1,0)</f>
        <v>1</v>
      </c>
      <c r="M124" s="15" t="n">
        <f aca="false">IF(ISNUMBER(E124),1,0)</f>
        <v>1</v>
      </c>
      <c r="N124" s="15" t="n">
        <f aca="false">IF(ISNUMBER(F124),1,0)</f>
        <v>1</v>
      </c>
      <c r="O124" s="15" t="n">
        <f aca="false">IF(ISNUMBER(G124),1,0)</f>
        <v>1</v>
      </c>
      <c r="P124" s="15" t="n">
        <f aca="false">IF(ISNUMBER(H124),1,0)</f>
        <v>0</v>
      </c>
      <c r="R124" s="15" t="n">
        <f aca="false">IF(J124=1,_xlfn.MINIFS(Sch_idx,Sch_n,B$5,Sch_bmax,"&gt;="&amp;($A124-0.000000001),Sch_P0,"&gt;="&amp;(B124+Beta_y*$A124-0.000000001)),"")</f>
        <v>0</v>
      </c>
      <c r="S124" s="15" t="n">
        <f aca="false">IF(K124=1,_xlfn.MINIFS(Sch_idx,Sch_n,C$5,Sch_bmax,"&gt;="&amp;($A124-0.000000001),Sch_P0,"&gt;="&amp;(C124+Beta_y*$A124-0.000000001)),"")</f>
        <v>32</v>
      </c>
      <c r="T124" s="15" t="n">
        <f aca="false">IF(L124=1,_xlfn.MINIFS(Sch_idx,Sch_n,D$5,Sch_bmax,"&gt;="&amp;($A124-0.000000001),Sch_P0,"&gt;="&amp;(D124+Beta_y*$A124-0.000000001)),"")</f>
        <v>40</v>
      </c>
      <c r="U124" s="15" t="n">
        <f aca="false">IF(M124=1,_xlfn.MINIFS(Sch_idx,Sch_n,E$5,Sch_bmax,"&gt;="&amp;($A124-0.000000001),Sch_P0,"&gt;="&amp;(E124+Beta_y*$A124-0.000000001)),"")</f>
        <v>44</v>
      </c>
      <c r="V124" s="15" t="n">
        <f aca="false">IF(N124=1,_xlfn.MINIFS(Sch_idx,Sch_n,F$5,Sch_bmax,"&gt;="&amp;($A124-0.000000001),Sch_P0,"&gt;="&amp;(F124+Beta_y*$A124-0.000000001)),"")</f>
        <v>45</v>
      </c>
      <c r="W124" s="15" t="n">
        <f aca="false">IF(O124=1,_xlfn.MINIFS(Sch_idx,Sch_n,G$5,Sch_bmax,"&gt;="&amp;($A124-0.000000001),Sch_P0,"&gt;="&amp;(G124+Beta_y*$A124-0.000000001)),"")</f>
        <v>47</v>
      </c>
      <c r="X124" s="15" t="str">
        <f aca="false">IF(P124=1,_xlfn.MINIFS(Sch_idx,Sch_n,H$5,Sch_bmax,"&gt;="&amp;($A124-0.000000001),Sch_P0,"&gt;="&amp;(H124+Beta_y*$A124-0.000000001)),"")</f>
        <v/>
      </c>
      <c r="Z124" s="15" t="n">
        <f aca="false">IF(J124=1,IF(COUNTIFS(K124:$P124,1,C124:$H124,"&gt;="&amp;(B124-0.000000001))&gt;0,0,1),"")</f>
        <v>0</v>
      </c>
      <c r="AA124" s="15" t="n">
        <f aca="false">IF(K124=1,IF(COUNTIFS(L124:$P124,1,D124:$H124,"&gt;="&amp;(C124-0.000000001))&gt;0,0,1),"")</f>
        <v>1</v>
      </c>
      <c r="AB124" s="15" t="n">
        <f aca="false">IF(L124=1,IF(COUNTIFS(M124:$P124,1,E124:$H124,"&gt;="&amp;(D124-0.000000001))&gt;0,0,1),"")</f>
        <v>1</v>
      </c>
      <c r="AC124" s="15" t="n">
        <f aca="false">IF(M124=1,IF(COUNTIFS(N124:$P124,1,F124:$H124,"&gt;="&amp;(E124-0.000000001))&gt;0,0,1),"")</f>
        <v>1</v>
      </c>
      <c r="AD124" s="15" t="n">
        <f aca="false">IF(N124=1,IF(COUNTIFS(O124:$P124,1,G124:$H124,"&gt;="&amp;(F124-0.000000001))&gt;0,0,1),"")</f>
        <v>1</v>
      </c>
      <c r="AE124" s="15" t="n">
        <f aca="false">IF(O124=1,IF(COUNTIFS(P124:$P124,1,H124:$H124,"&gt;="&amp;(G124-0.000000001))&gt;0,0,1),"")</f>
        <v>1</v>
      </c>
      <c r="AF124" s="15" t="str">
        <f aca="false">IF(P124=1,1,"")</f>
        <v/>
      </c>
    </row>
    <row r="125" customFormat="false" ht="15" hidden="false" customHeight="false" outlineLevel="0" collapsed="false">
      <c r="A125" s="2" t="n">
        <v>119</v>
      </c>
      <c r="B125" s="16" t="n">
        <f aca="false">IF(COUNTIFS(Sch_n,B$5,Sch_bmax,"&gt;="&amp;($A125-0.000000001))&gt;0,_xlfn.MAXIFS(Sch_P0,Sch_n,B$5,Sch_bmax,"&gt;="&amp;($A125-0.000000001))-Beta_y*$A125,"")</f>
        <v>28.1818181818182</v>
      </c>
      <c r="C125" s="16" t="n">
        <f aca="false">IF(COUNTIFS(Sch_n,C$5,Sch_bmax,"&gt;="&amp;($A125-0.000000001))&gt;0,_xlfn.MAXIFS(Sch_P0,Sch_n,C$5,Sch_bmax,"&gt;="&amp;($A125-0.000000001))-Beta_y*$A125,"")</f>
        <v>262.490825887452</v>
      </c>
      <c r="D125" s="16" t="n">
        <f aca="false">IF(COUNTIFS(Sch_n,D$5,Sch_bmax,"&gt;="&amp;($A125-0.000000001))&gt;0,_xlfn.MAXIFS(Sch_P0,Sch_n,D$5,Sch_bmax,"&gt;="&amp;($A125-0.000000001))-Beta_y*$A125,"")</f>
        <v>252.851022346958</v>
      </c>
      <c r="E125" s="16" t="n">
        <f aca="false">IF(COUNTIFS(Sch_n,E$5,Sch_bmax,"&gt;="&amp;($A125-0.000000001))&gt;0,_xlfn.MAXIFS(Sch_P0,Sch_n,E$5,Sch_bmax,"&gt;="&amp;($A125-0.000000001))-Beta_y*$A125,"")</f>
        <v>193.870467909375</v>
      </c>
      <c r="F125" s="16" t="n">
        <f aca="false">IF(COUNTIFS(Sch_n,F$5,Sch_bmax,"&gt;="&amp;($A125-0.000000001))&gt;0,_xlfn.MAXIFS(Sch_P0,Sch_n,F$5,Sch_bmax,"&gt;="&amp;($A125-0.000000001))-Beta_y*$A125,"")</f>
        <v>124.299056030247</v>
      </c>
      <c r="G125" s="16" t="n">
        <f aca="false">IF(COUNTIFS(Sch_n,G$5,Sch_bmax,"&gt;="&amp;($A125-0.000000001))&gt;0,_xlfn.MAXIFS(Sch_P0,Sch_n,G$5,Sch_bmax,"&gt;="&amp;($A125-0.000000001))-Beta_y*$A125,"")</f>
        <v>50.2400764071912</v>
      </c>
      <c r="H125" s="16" t="str">
        <f aca="false">IF(COUNTIFS(Sch_n,H$5,Sch_bmax,"&gt;="&amp;($A125-0.000000001))&gt;0,_xlfn.MAXIFS(Sch_P0,Sch_n,H$5,Sch_bmax,"&gt;="&amp;($A125-0.000000001))-Beta_y*$A125,"")</f>
        <v/>
      </c>
      <c r="J125" s="15" t="n">
        <f aca="false">IF(ISNUMBER(B125),1,0)</f>
        <v>1</v>
      </c>
      <c r="K125" s="15" t="n">
        <f aca="false">IF(ISNUMBER(C125),1,0)</f>
        <v>1</v>
      </c>
      <c r="L125" s="15" t="n">
        <f aca="false">IF(ISNUMBER(D125),1,0)</f>
        <v>1</v>
      </c>
      <c r="M125" s="15" t="n">
        <f aca="false">IF(ISNUMBER(E125),1,0)</f>
        <v>1</v>
      </c>
      <c r="N125" s="15" t="n">
        <f aca="false">IF(ISNUMBER(F125),1,0)</f>
        <v>1</v>
      </c>
      <c r="O125" s="15" t="n">
        <f aca="false">IF(ISNUMBER(G125),1,0)</f>
        <v>1</v>
      </c>
      <c r="P125" s="15" t="n">
        <f aca="false">IF(ISNUMBER(H125),1,0)</f>
        <v>0</v>
      </c>
      <c r="R125" s="15" t="n">
        <f aca="false">IF(J125=1,_xlfn.MINIFS(Sch_idx,Sch_n,B$5,Sch_bmax,"&gt;="&amp;($A125-0.000000001),Sch_P0,"&gt;="&amp;(B125+Beta_y*$A125-0.000000001)),"")</f>
        <v>0</v>
      </c>
      <c r="S125" s="15" t="n">
        <f aca="false">IF(K125=1,_xlfn.MINIFS(Sch_idx,Sch_n,C$5,Sch_bmax,"&gt;="&amp;($A125-0.000000001),Sch_P0,"&gt;="&amp;(C125+Beta_y*$A125-0.000000001)),"")</f>
        <v>32</v>
      </c>
      <c r="T125" s="15" t="n">
        <f aca="false">IF(L125=1,_xlfn.MINIFS(Sch_idx,Sch_n,D$5,Sch_bmax,"&gt;="&amp;($A125-0.000000001),Sch_P0,"&gt;="&amp;(D125+Beta_y*$A125-0.000000001)),"")</f>
        <v>40</v>
      </c>
      <c r="U125" s="15" t="n">
        <f aca="false">IF(M125=1,_xlfn.MINIFS(Sch_idx,Sch_n,E$5,Sch_bmax,"&gt;="&amp;($A125-0.000000001),Sch_P0,"&gt;="&amp;(E125+Beta_y*$A125-0.000000001)),"")</f>
        <v>44</v>
      </c>
      <c r="V125" s="15" t="n">
        <f aca="false">IF(N125=1,_xlfn.MINIFS(Sch_idx,Sch_n,F$5,Sch_bmax,"&gt;="&amp;($A125-0.000000001),Sch_P0,"&gt;="&amp;(F125+Beta_y*$A125-0.000000001)),"")</f>
        <v>45</v>
      </c>
      <c r="W125" s="15" t="n">
        <f aca="false">IF(O125=1,_xlfn.MINIFS(Sch_idx,Sch_n,G$5,Sch_bmax,"&gt;="&amp;($A125-0.000000001),Sch_P0,"&gt;="&amp;(G125+Beta_y*$A125-0.000000001)),"")</f>
        <v>47</v>
      </c>
      <c r="X125" s="15" t="str">
        <f aca="false">IF(P125=1,_xlfn.MINIFS(Sch_idx,Sch_n,H$5,Sch_bmax,"&gt;="&amp;($A125-0.000000001),Sch_P0,"&gt;="&amp;(H125+Beta_y*$A125-0.000000001)),"")</f>
        <v/>
      </c>
      <c r="Z125" s="15" t="n">
        <f aca="false">IF(J125=1,IF(COUNTIFS(K125:$P125,1,C125:$H125,"&gt;="&amp;(B125-0.000000001))&gt;0,0,1),"")</f>
        <v>0</v>
      </c>
      <c r="AA125" s="15" t="n">
        <f aca="false">IF(K125=1,IF(COUNTIFS(L125:$P125,1,D125:$H125,"&gt;="&amp;(C125-0.000000001))&gt;0,0,1),"")</f>
        <v>1</v>
      </c>
      <c r="AB125" s="15" t="n">
        <f aca="false">IF(L125=1,IF(COUNTIFS(M125:$P125,1,E125:$H125,"&gt;="&amp;(D125-0.000000001))&gt;0,0,1),"")</f>
        <v>1</v>
      </c>
      <c r="AC125" s="15" t="n">
        <f aca="false">IF(M125=1,IF(COUNTIFS(N125:$P125,1,F125:$H125,"&gt;="&amp;(E125-0.000000001))&gt;0,0,1),"")</f>
        <v>1</v>
      </c>
      <c r="AD125" s="15" t="n">
        <f aca="false">IF(N125=1,IF(COUNTIFS(O125:$P125,1,G125:$H125,"&gt;="&amp;(F125-0.000000001))&gt;0,0,1),"")</f>
        <v>1</v>
      </c>
      <c r="AE125" s="15" t="n">
        <f aca="false">IF(O125=1,IF(COUNTIFS(P125:$P125,1,H125:$H125,"&gt;="&amp;(G125-0.000000001))&gt;0,0,1),"")</f>
        <v>1</v>
      </c>
      <c r="AF125" s="15" t="str">
        <f aca="false">IF(P125=1,1,"")</f>
        <v/>
      </c>
    </row>
    <row r="126" customFormat="false" ht="15" hidden="false" customHeight="false" outlineLevel="0" collapsed="false">
      <c r="A126" s="2" t="n">
        <v>120</v>
      </c>
      <c r="B126" s="16" t="n">
        <f aca="false">IF(COUNTIFS(Sch_n,B$5,Sch_bmax,"&gt;="&amp;($A126-0.000000001))&gt;0,_xlfn.MAXIFS(Sch_P0,Sch_n,B$5,Sch_bmax,"&gt;="&amp;($A126-0.000000001))-Beta_y*$A126,"")</f>
        <v>27.2727272727273</v>
      </c>
      <c r="C126" s="16" t="n">
        <f aca="false">IF(COUNTIFS(Sch_n,C$5,Sch_bmax,"&gt;="&amp;($A126-0.000000001))&gt;0,_xlfn.MAXIFS(Sch_P0,Sch_n,C$5,Sch_bmax,"&gt;="&amp;($A126-0.000000001))-Beta_y*$A126,"")</f>
        <v>261.581734978361</v>
      </c>
      <c r="D126" s="16" t="n">
        <f aca="false">IF(COUNTIFS(Sch_n,D$5,Sch_bmax,"&gt;="&amp;($A126-0.000000001))&gt;0,_xlfn.MAXIFS(Sch_P0,Sch_n,D$5,Sch_bmax,"&gt;="&amp;($A126-0.000000001))-Beta_y*$A126,"")</f>
        <v>251.941931437867</v>
      </c>
      <c r="E126" s="16" t="n">
        <f aca="false">IF(COUNTIFS(Sch_n,E$5,Sch_bmax,"&gt;="&amp;($A126-0.000000001))&gt;0,_xlfn.MAXIFS(Sch_P0,Sch_n,E$5,Sch_bmax,"&gt;="&amp;($A126-0.000000001))-Beta_y*$A126,"")</f>
        <v>192.961377000284</v>
      </c>
      <c r="F126" s="16" t="n">
        <f aca="false">IF(COUNTIFS(Sch_n,F$5,Sch_bmax,"&gt;="&amp;($A126-0.000000001))&gt;0,_xlfn.MAXIFS(Sch_P0,Sch_n,F$5,Sch_bmax,"&gt;="&amp;($A126-0.000000001))-Beta_y*$A126,"")</f>
        <v>123.389965121156</v>
      </c>
      <c r="G126" s="16" t="n">
        <f aca="false">IF(COUNTIFS(Sch_n,G$5,Sch_bmax,"&gt;="&amp;($A126-0.000000001))&gt;0,_xlfn.MAXIFS(Sch_P0,Sch_n,G$5,Sch_bmax,"&gt;="&amp;($A126-0.000000001))-Beta_y*$A126,"")</f>
        <v>49.3309854981003</v>
      </c>
      <c r="H126" s="16" t="str">
        <f aca="false">IF(COUNTIFS(Sch_n,H$5,Sch_bmax,"&gt;="&amp;($A126-0.000000001))&gt;0,_xlfn.MAXIFS(Sch_P0,Sch_n,H$5,Sch_bmax,"&gt;="&amp;($A126-0.000000001))-Beta_y*$A126,"")</f>
        <v/>
      </c>
      <c r="J126" s="15" t="n">
        <f aca="false">IF(ISNUMBER(B126),1,0)</f>
        <v>1</v>
      </c>
      <c r="K126" s="15" t="n">
        <f aca="false">IF(ISNUMBER(C126),1,0)</f>
        <v>1</v>
      </c>
      <c r="L126" s="15" t="n">
        <f aca="false">IF(ISNUMBER(D126),1,0)</f>
        <v>1</v>
      </c>
      <c r="M126" s="15" t="n">
        <f aca="false">IF(ISNUMBER(E126),1,0)</f>
        <v>1</v>
      </c>
      <c r="N126" s="15" t="n">
        <f aca="false">IF(ISNUMBER(F126),1,0)</f>
        <v>1</v>
      </c>
      <c r="O126" s="15" t="n">
        <f aca="false">IF(ISNUMBER(G126),1,0)</f>
        <v>1</v>
      </c>
      <c r="P126" s="15" t="n">
        <f aca="false">IF(ISNUMBER(H126),1,0)</f>
        <v>0</v>
      </c>
      <c r="R126" s="15" t="n">
        <f aca="false">IF(J126=1,_xlfn.MINIFS(Sch_idx,Sch_n,B$5,Sch_bmax,"&gt;="&amp;($A126-0.000000001),Sch_P0,"&gt;="&amp;(B126+Beta_y*$A126-0.000000001)),"")</f>
        <v>0</v>
      </c>
      <c r="S126" s="15" t="n">
        <f aca="false">IF(K126=1,_xlfn.MINIFS(Sch_idx,Sch_n,C$5,Sch_bmax,"&gt;="&amp;($A126-0.000000001),Sch_P0,"&gt;="&amp;(C126+Beta_y*$A126-0.000000001)),"")</f>
        <v>32</v>
      </c>
      <c r="T126" s="15" t="n">
        <f aca="false">IF(L126=1,_xlfn.MINIFS(Sch_idx,Sch_n,D$5,Sch_bmax,"&gt;="&amp;($A126-0.000000001),Sch_P0,"&gt;="&amp;(D126+Beta_y*$A126-0.000000001)),"")</f>
        <v>40</v>
      </c>
      <c r="U126" s="15" t="n">
        <f aca="false">IF(M126=1,_xlfn.MINIFS(Sch_idx,Sch_n,E$5,Sch_bmax,"&gt;="&amp;($A126-0.000000001),Sch_P0,"&gt;="&amp;(E126+Beta_y*$A126-0.000000001)),"")</f>
        <v>44</v>
      </c>
      <c r="V126" s="15" t="n">
        <f aca="false">IF(N126=1,_xlfn.MINIFS(Sch_idx,Sch_n,F$5,Sch_bmax,"&gt;="&amp;($A126-0.000000001),Sch_P0,"&gt;="&amp;(F126+Beta_y*$A126-0.000000001)),"")</f>
        <v>45</v>
      </c>
      <c r="W126" s="15" t="n">
        <f aca="false">IF(O126=1,_xlfn.MINIFS(Sch_idx,Sch_n,G$5,Sch_bmax,"&gt;="&amp;($A126-0.000000001),Sch_P0,"&gt;="&amp;(G126+Beta_y*$A126-0.000000001)),"")</f>
        <v>47</v>
      </c>
      <c r="X126" s="15" t="str">
        <f aca="false">IF(P126=1,_xlfn.MINIFS(Sch_idx,Sch_n,H$5,Sch_bmax,"&gt;="&amp;($A126-0.000000001),Sch_P0,"&gt;="&amp;(H126+Beta_y*$A126-0.000000001)),"")</f>
        <v/>
      </c>
      <c r="Z126" s="15" t="n">
        <f aca="false">IF(J126=1,IF(COUNTIFS(K126:$P126,1,C126:$H126,"&gt;="&amp;(B126-0.000000001))&gt;0,0,1),"")</f>
        <v>0</v>
      </c>
      <c r="AA126" s="15" t="n">
        <f aca="false">IF(K126=1,IF(COUNTIFS(L126:$P126,1,D126:$H126,"&gt;="&amp;(C126-0.000000001))&gt;0,0,1),"")</f>
        <v>1</v>
      </c>
      <c r="AB126" s="15" t="n">
        <f aca="false">IF(L126=1,IF(COUNTIFS(M126:$P126,1,E126:$H126,"&gt;="&amp;(D126-0.000000001))&gt;0,0,1),"")</f>
        <v>1</v>
      </c>
      <c r="AC126" s="15" t="n">
        <f aca="false">IF(M126=1,IF(COUNTIFS(N126:$P126,1,F126:$H126,"&gt;="&amp;(E126-0.000000001))&gt;0,0,1),"")</f>
        <v>1</v>
      </c>
      <c r="AD126" s="15" t="n">
        <f aca="false">IF(N126=1,IF(COUNTIFS(O126:$P126,1,G126:$H126,"&gt;="&amp;(F126-0.000000001))&gt;0,0,1),"")</f>
        <v>1</v>
      </c>
      <c r="AE126" s="15" t="n">
        <f aca="false">IF(O126=1,IF(COUNTIFS(P126:$P126,1,H126:$H126,"&gt;="&amp;(G126-0.000000001))&gt;0,0,1),"")</f>
        <v>1</v>
      </c>
      <c r="AF126" s="15" t="str">
        <f aca="false">IF(P126=1,1,"")</f>
        <v/>
      </c>
    </row>
    <row r="127" customFormat="false" ht="15" hidden="false" customHeight="false" outlineLevel="0" collapsed="false">
      <c r="A127" s="2" t="n">
        <v>121</v>
      </c>
      <c r="B127" s="16" t="n">
        <f aca="false">IF(COUNTIFS(Sch_n,B$5,Sch_bmax,"&gt;="&amp;($A127-0.000000001))&gt;0,_xlfn.MAXIFS(Sch_P0,Sch_n,B$5,Sch_bmax,"&gt;="&amp;($A127-0.000000001))-Beta_y*$A127,"")</f>
        <v>26.3636363636363</v>
      </c>
      <c r="C127" s="16" t="n">
        <f aca="false">IF(COUNTIFS(Sch_n,C$5,Sch_bmax,"&gt;="&amp;($A127-0.000000001))&gt;0,_xlfn.MAXIFS(Sch_P0,Sch_n,C$5,Sch_bmax,"&gt;="&amp;($A127-0.000000001))-Beta_y*$A127,"")</f>
        <v>260.67264406927</v>
      </c>
      <c r="D127" s="16" t="n">
        <f aca="false">IF(COUNTIFS(Sch_n,D$5,Sch_bmax,"&gt;="&amp;($A127-0.000000001))&gt;0,_xlfn.MAXIFS(Sch_P0,Sch_n,D$5,Sch_bmax,"&gt;="&amp;($A127-0.000000001))-Beta_y*$A127,"")</f>
        <v>251.032840528777</v>
      </c>
      <c r="E127" s="16" t="n">
        <f aca="false">IF(COUNTIFS(Sch_n,E$5,Sch_bmax,"&gt;="&amp;($A127-0.000000001))&gt;0,_xlfn.MAXIFS(Sch_P0,Sch_n,E$5,Sch_bmax,"&gt;="&amp;($A127-0.000000001))-Beta_y*$A127,"")</f>
        <v>192.052286091193</v>
      </c>
      <c r="F127" s="16" t="n">
        <f aca="false">IF(COUNTIFS(Sch_n,F$5,Sch_bmax,"&gt;="&amp;($A127-0.000000001))&gt;0,_xlfn.MAXIFS(Sch_P0,Sch_n,F$5,Sch_bmax,"&gt;="&amp;($A127-0.000000001))-Beta_y*$A127,"")</f>
        <v>122.480874212065</v>
      </c>
      <c r="G127" s="16" t="n">
        <f aca="false">IF(COUNTIFS(Sch_n,G$5,Sch_bmax,"&gt;="&amp;($A127-0.000000001))&gt;0,_xlfn.MAXIFS(Sch_P0,Sch_n,G$5,Sch_bmax,"&gt;="&amp;($A127-0.000000001))-Beta_y*$A127,"")</f>
        <v>48.4218945890094</v>
      </c>
      <c r="H127" s="16" t="str">
        <f aca="false">IF(COUNTIFS(Sch_n,H$5,Sch_bmax,"&gt;="&amp;($A127-0.000000001))&gt;0,_xlfn.MAXIFS(Sch_P0,Sch_n,H$5,Sch_bmax,"&gt;="&amp;($A127-0.000000001))-Beta_y*$A127,"")</f>
        <v/>
      </c>
      <c r="J127" s="15" t="n">
        <f aca="false">IF(ISNUMBER(B127),1,0)</f>
        <v>1</v>
      </c>
      <c r="K127" s="15" t="n">
        <f aca="false">IF(ISNUMBER(C127),1,0)</f>
        <v>1</v>
      </c>
      <c r="L127" s="15" t="n">
        <f aca="false">IF(ISNUMBER(D127),1,0)</f>
        <v>1</v>
      </c>
      <c r="M127" s="15" t="n">
        <f aca="false">IF(ISNUMBER(E127),1,0)</f>
        <v>1</v>
      </c>
      <c r="N127" s="15" t="n">
        <f aca="false">IF(ISNUMBER(F127),1,0)</f>
        <v>1</v>
      </c>
      <c r="O127" s="15" t="n">
        <f aca="false">IF(ISNUMBER(G127),1,0)</f>
        <v>1</v>
      </c>
      <c r="P127" s="15" t="n">
        <f aca="false">IF(ISNUMBER(H127),1,0)</f>
        <v>0</v>
      </c>
      <c r="R127" s="15" t="n">
        <f aca="false">IF(J127=1,_xlfn.MINIFS(Sch_idx,Sch_n,B$5,Sch_bmax,"&gt;="&amp;($A127-0.000000001),Sch_P0,"&gt;="&amp;(B127+Beta_y*$A127-0.000000001)),"")</f>
        <v>0</v>
      </c>
      <c r="S127" s="15" t="n">
        <f aca="false">IF(K127=1,_xlfn.MINIFS(Sch_idx,Sch_n,C$5,Sch_bmax,"&gt;="&amp;($A127-0.000000001),Sch_P0,"&gt;="&amp;(C127+Beta_y*$A127-0.000000001)),"")</f>
        <v>32</v>
      </c>
      <c r="T127" s="15" t="n">
        <f aca="false">IF(L127=1,_xlfn.MINIFS(Sch_idx,Sch_n,D$5,Sch_bmax,"&gt;="&amp;($A127-0.000000001),Sch_P0,"&gt;="&amp;(D127+Beta_y*$A127-0.000000001)),"")</f>
        <v>40</v>
      </c>
      <c r="U127" s="15" t="n">
        <f aca="false">IF(M127=1,_xlfn.MINIFS(Sch_idx,Sch_n,E$5,Sch_bmax,"&gt;="&amp;($A127-0.000000001),Sch_P0,"&gt;="&amp;(E127+Beta_y*$A127-0.000000001)),"")</f>
        <v>44</v>
      </c>
      <c r="V127" s="15" t="n">
        <f aca="false">IF(N127=1,_xlfn.MINIFS(Sch_idx,Sch_n,F$5,Sch_bmax,"&gt;="&amp;($A127-0.000000001),Sch_P0,"&gt;="&amp;(F127+Beta_y*$A127-0.000000001)),"")</f>
        <v>45</v>
      </c>
      <c r="W127" s="15" t="n">
        <f aca="false">IF(O127=1,_xlfn.MINIFS(Sch_idx,Sch_n,G$5,Sch_bmax,"&gt;="&amp;($A127-0.000000001),Sch_P0,"&gt;="&amp;(G127+Beta_y*$A127-0.000000001)),"")</f>
        <v>47</v>
      </c>
      <c r="X127" s="15" t="str">
        <f aca="false">IF(P127=1,_xlfn.MINIFS(Sch_idx,Sch_n,H$5,Sch_bmax,"&gt;="&amp;($A127-0.000000001),Sch_P0,"&gt;="&amp;(H127+Beta_y*$A127-0.000000001)),"")</f>
        <v/>
      </c>
      <c r="Z127" s="15" t="n">
        <f aca="false">IF(J127=1,IF(COUNTIFS(K127:$P127,1,C127:$H127,"&gt;="&amp;(B127-0.000000001))&gt;0,0,1),"")</f>
        <v>0</v>
      </c>
      <c r="AA127" s="15" t="n">
        <f aca="false">IF(K127=1,IF(COUNTIFS(L127:$P127,1,D127:$H127,"&gt;="&amp;(C127-0.000000001))&gt;0,0,1),"")</f>
        <v>1</v>
      </c>
      <c r="AB127" s="15" t="n">
        <f aca="false">IF(L127=1,IF(COUNTIFS(M127:$P127,1,E127:$H127,"&gt;="&amp;(D127-0.000000001))&gt;0,0,1),"")</f>
        <v>1</v>
      </c>
      <c r="AC127" s="15" t="n">
        <f aca="false">IF(M127=1,IF(COUNTIFS(N127:$P127,1,F127:$H127,"&gt;="&amp;(E127-0.000000001))&gt;0,0,1),"")</f>
        <v>1</v>
      </c>
      <c r="AD127" s="15" t="n">
        <f aca="false">IF(N127=1,IF(COUNTIFS(O127:$P127,1,G127:$H127,"&gt;="&amp;(F127-0.000000001))&gt;0,0,1),"")</f>
        <v>1</v>
      </c>
      <c r="AE127" s="15" t="n">
        <f aca="false">IF(O127=1,IF(COUNTIFS(P127:$P127,1,H127:$H127,"&gt;="&amp;(G127-0.000000001))&gt;0,0,1),"")</f>
        <v>1</v>
      </c>
      <c r="AF127" s="15" t="str">
        <f aca="false">IF(P127=1,1,"")</f>
        <v/>
      </c>
    </row>
    <row r="128" customFormat="false" ht="15" hidden="false" customHeight="false" outlineLevel="0" collapsed="false">
      <c r="A128" s="2" t="n">
        <v>122</v>
      </c>
      <c r="B128" s="16" t="n">
        <f aca="false">IF(COUNTIFS(Sch_n,B$5,Sch_bmax,"&gt;="&amp;($A128-0.000000001))&gt;0,_xlfn.MAXIFS(Sch_P0,Sch_n,B$5,Sch_bmax,"&gt;="&amp;($A128-0.000000001))-Beta_y*$A128,"")</f>
        <v>25.4545454545454</v>
      </c>
      <c r="C128" s="16" t="n">
        <f aca="false">IF(COUNTIFS(Sch_n,C$5,Sch_bmax,"&gt;="&amp;($A128-0.000000001))&gt;0,_xlfn.MAXIFS(Sch_P0,Sch_n,C$5,Sch_bmax,"&gt;="&amp;($A128-0.000000001))-Beta_y*$A128,"")</f>
        <v>259.763553160179</v>
      </c>
      <c r="D128" s="16" t="n">
        <f aca="false">IF(COUNTIFS(Sch_n,D$5,Sch_bmax,"&gt;="&amp;($A128-0.000000001))&gt;0,_xlfn.MAXIFS(Sch_P0,Sch_n,D$5,Sch_bmax,"&gt;="&amp;($A128-0.000000001))-Beta_y*$A128,"")</f>
        <v>250.123749619686</v>
      </c>
      <c r="E128" s="16" t="n">
        <f aca="false">IF(COUNTIFS(Sch_n,E$5,Sch_bmax,"&gt;="&amp;($A128-0.000000001))&gt;0,_xlfn.MAXIFS(Sch_P0,Sch_n,E$5,Sch_bmax,"&gt;="&amp;($A128-0.000000001))-Beta_y*$A128,"")</f>
        <v>191.143195182102</v>
      </c>
      <c r="F128" s="16" t="n">
        <f aca="false">IF(COUNTIFS(Sch_n,F$5,Sch_bmax,"&gt;="&amp;($A128-0.000000001))&gt;0,_xlfn.MAXIFS(Sch_P0,Sch_n,F$5,Sch_bmax,"&gt;="&amp;($A128-0.000000001))-Beta_y*$A128,"")</f>
        <v>121.571783302974</v>
      </c>
      <c r="G128" s="16" t="n">
        <f aca="false">IF(COUNTIFS(Sch_n,G$5,Sch_bmax,"&gt;="&amp;($A128-0.000000001))&gt;0,_xlfn.MAXIFS(Sch_P0,Sch_n,G$5,Sch_bmax,"&gt;="&amp;($A128-0.000000001))-Beta_y*$A128,"")</f>
        <v>47.5128036799185</v>
      </c>
      <c r="H128" s="16" t="str">
        <f aca="false">IF(COUNTIFS(Sch_n,H$5,Sch_bmax,"&gt;="&amp;($A128-0.000000001))&gt;0,_xlfn.MAXIFS(Sch_P0,Sch_n,H$5,Sch_bmax,"&gt;="&amp;($A128-0.000000001))-Beta_y*$A128,"")</f>
        <v/>
      </c>
      <c r="J128" s="15" t="n">
        <f aca="false">IF(ISNUMBER(B128),1,0)</f>
        <v>1</v>
      </c>
      <c r="K128" s="15" t="n">
        <f aca="false">IF(ISNUMBER(C128),1,0)</f>
        <v>1</v>
      </c>
      <c r="L128" s="15" t="n">
        <f aca="false">IF(ISNUMBER(D128),1,0)</f>
        <v>1</v>
      </c>
      <c r="M128" s="15" t="n">
        <f aca="false">IF(ISNUMBER(E128),1,0)</f>
        <v>1</v>
      </c>
      <c r="N128" s="15" t="n">
        <f aca="false">IF(ISNUMBER(F128),1,0)</f>
        <v>1</v>
      </c>
      <c r="O128" s="15" t="n">
        <f aca="false">IF(ISNUMBER(G128),1,0)</f>
        <v>1</v>
      </c>
      <c r="P128" s="15" t="n">
        <f aca="false">IF(ISNUMBER(H128),1,0)</f>
        <v>0</v>
      </c>
      <c r="R128" s="15" t="n">
        <f aca="false">IF(J128=1,_xlfn.MINIFS(Sch_idx,Sch_n,B$5,Sch_bmax,"&gt;="&amp;($A128-0.000000001),Sch_P0,"&gt;="&amp;(B128+Beta_y*$A128-0.000000001)),"")</f>
        <v>0</v>
      </c>
      <c r="S128" s="15" t="n">
        <f aca="false">IF(K128=1,_xlfn.MINIFS(Sch_idx,Sch_n,C$5,Sch_bmax,"&gt;="&amp;($A128-0.000000001),Sch_P0,"&gt;="&amp;(C128+Beta_y*$A128-0.000000001)),"")</f>
        <v>32</v>
      </c>
      <c r="T128" s="15" t="n">
        <f aca="false">IF(L128=1,_xlfn.MINIFS(Sch_idx,Sch_n,D$5,Sch_bmax,"&gt;="&amp;($A128-0.000000001),Sch_P0,"&gt;="&amp;(D128+Beta_y*$A128-0.000000001)),"")</f>
        <v>40</v>
      </c>
      <c r="U128" s="15" t="n">
        <f aca="false">IF(M128=1,_xlfn.MINIFS(Sch_idx,Sch_n,E$5,Sch_bmax,"&gt;="&amp;($A128-0.000000001),Sch_P0,"&gt;="&amp;(E128+Beta_y*$A128-0.000000001)),"")</f>
        <v>44</v>
      </c>
      <c r="V128" s="15" t="n">
        <f aca="false">IF(N128=1,_xlfn.MINIFS(Sch_idx,Sch_n,F$5,Sch_bmax,"&gt;="&amp;($A128-0.000000001),Sch_P0,"&gt;="&amp;(F128+Beta_y*$A128-0.000000001)),"")</f>
        <v>45</v>
      </c>
      <c r="W128" s="15" t="n">
        <f aca="false">IF(O128=1,_xlfn.MINIFS(Sch_idx,Sch_n,G$5,Sch_bmax,"&gt;="&amp;($A128-0.000000001),Sch_P0,"&gt;="&amp;(G128+Beta_y*$A128-0.000000001)),"")</f>
        <v>47</v>
      </c>
      <c r="X128" s="15" t="str">
        <f aca="false">IF(P128=1,_xlfn.MINIFS(Sch_idx,Sch_n,H$5,Sch_bmax,"&gt;="&amp;($A128-0.000000001),Sch_P0,"&gt;="&amp;(H128+Beta_y*$A128-0.000000001)),"")</f>
        <v/>
      </c>
      <c r="Z128" s="15" t="n">
        <f aca="false">IF(J128=1,IF(COUNTIFS(K128:$P128,1,C128:$H128,"&gt;="&amp;(B128-0.000000001))&gt;0,0,1),"")</f>
        <v>0</v>
      </c>
      <c r="AA128" s="15" t="n">
        <f aca="false">IF(K128=1,IF(COUNTIFS(L128:$P128,1,D128:$H128,"&gt;="&amp;(C128-0.000000001))&gt;0,0,1),"")</f>
        <v>1</v>
      </c>
      <c r="AB128" s="15" t="n">
        <f aca="false">IF(L128=1,IF(COUNTIFS(M128:$P128,1,E128:$H128,"&gt;="&amp;(D128-0.000000001))&gt;0,0,1),"")</f>
        <v>1</v>
      </c>
      <c r="AC128" s="15" t="n">
        <f aca="false">IF(M128=1,IF(COUNTIFS(N128:$P128,1,F128:$H128,"&gt;="&amp;(E128-0.000000001))&gt;0,0,1),"")</f>
        <v>1</v>
      </c>
      <c r="AD128" s="15" t="n">
        <f aca="false">IF(N128=1,IF(COUNTIFS(O128:$P128,1,G128:$H128,"&gt;="&amp;(F128-0.000000001))&gt;0,0,1),"")</f>
        <v>1</v>
      </c>
      <c r="AE128" s="15" t="n">
        <f aca="false">IF(O128=1,IF(COUNTIFS(P128:$P128,1,H128:$H128,"&gt;="&amp;(G128-0.000000001))&gt;0,0,1),"")</f>
        <v>1</v>
      </c>
      <c r="AF128" s="15" t="str">
        <f aca="false">IF(P128=1,1,"")</f>
        <v/>
      </c>
    </row>
    <row r="129" customFormat="false" ht="15" hidden="false" customHeight="false" outlineLevel="0" collapsed="false">
      <c r="A129" s="2" t="n">
        <v>123</v>
      </c>
      <c r="B129" s="16" t="n">
        <f aca="false">IF(COUNTIFS(Sch_n,B$5,Sch_bmax,"&gt;="&amp;($A129-0.000000001))&gt;0,_xlfn.MAXIFS(Sch_P0,Sch_n,B$5,Sch_bmax,"&gt;="&amp;($A129-0.000000001))-Beta_y*$A129,"")</f>
        <v>24.5454545454545</v>
      </c>
      <c r="C129" s="16" t="n">
        <f aca="false">IF(COUNTIFS(Sch_n,C$5,Sch_bmax,"&gt;="&amp;($A129-0.000000001))&gt;0,_xlfn.MAXIFS(Sch_P0,Sch_n,C$5,Sch_bmax,"&gt;="&amp;($A129-0.000000001))-Beta_y*$A129,"")</f>
        <v>258.854462251088</v>
      </c>
      <c r="D129" s="16" t="n">
        <f aca="false">IF(COUNTIFS(Sch_n,D$5,Sch_bmax,"&gt;="&amp;($A129-0.000000001))&gt;0,_xlfn.MAXIFS(Sch_P0,Sch_n,D$5,Sch_bmax,"&gt;="&amp;($A129-0.000000001))-Beta_y*$A129,"")</f>
        <v>249.214658710595</v>
      </c>
      <c r="E129" s="16" t="n">
        <f aca="false">IF(COUNTIFS(Sch_n,E$5,Sch_bmax,"&gt;="&amp;($A129-0.000000001))&gt;0,_xlfn.MAXIFS(Sch_P0,Sch_n,E$5,Sch_bmax,"&gt;="&amp;($A129-0.000000001))-Beta_y*$A129,"")</f>
        <v>190.234104273011</v>
      </c>
      <c r="F129" s="16" t="n">
        <f aca="false">IF(COUNTIFS(Sch_n,F$5,Sch_bmax,"&gt;="&amp;($A129-0.000000001))&gt;0,_xlfn.MAXIFS(Sch_P0,Sch_n,F$5,Sch_bmax,"&gt;="&amp;($A129-0.000000001))-Beta_y*$A129,"")</f>
        <v>120.662692393883</v>
      </c>
      <c r="G129" s="16" t="n">
        <f aca="false">IF(COUNTIFS(Sch_n,G$5,Sch_bmax,"&gt;="&amp;($A129-0.000000001))&gt;0,_xlfn.MAXIFS(Sch_P0,Sch_n,G$5,Sch_bmax,"&gt;="&amp;($A129-0.000000001))-Beta_y*$A129,"")</f>
        <v>46.6037127708275</v>
      </c>
      <c r="H129" s="16" t="str">
        <f aca="false">IF(COUNTIFS(Sch_n,H$5,Sch_bmax,"&gt;="&amp;($A129-0.000000001))&gt;0,_xlfn.MAXIFS(Sch_P0,Sch_n,H$5,Sch_bmax,"&gt;="&amp;($A129-0.000000001))-Beta_y*$A129,"")</f>
        <v/>
      </c>
      <c r="J129" s="15" t="n">
        <f aca="false">IF(ISNUMBER(B129),1,0)</f>
        <v>1</v>
      </c>
      <c r="K129" s="15" t="n">
        <f aca="false">IF(ISNUMBER(C129),1,0)</f>
        <v>1</v>
      </c>
      <c r="L129" s="15" t="n">
        <f aca="false">IF(ISNUMBER(D129),1,0)</f>
        <v>1</v>
      </c>
      <c r="M129" s="15" t="n">
        <f aca="false">IF(ISNUMBER(E129),1,0)</f>
        <v>1</v>
      </c>
      <c r="N129" s="15" t="n">
        <f aca="false">IF(ISNUMBER(F129),1,0)</f>
        <v>1</v>
      </c>
      <c r="O129" s="15" t="n">
        <f aca="false">IF(ISNUMBER(G129),1,0)</f>
        <v>1</v>
      </c>
      <c r="P129" s="15" t="n">
        <f aca="false">IF(ISNUMBER(H129),1,0)</f>
        <v>0</v>
      </c>
      <c r="R129" s="15" t="n">
        <f aca="false">IF(J129=1,_xlfn.MINIFS(Sch_idx,Sch_n,B$5,Sch_bmax,"&gt;="&amp;($A129-0.000000001),Sch_P0,"&gt;="&amp;(B129+Beta_y*$A129-0.000000001)),"")</f>
        <v>0</v>
      </c>
      <c r="S129" s="15" t="n">
        <f aca="false">IF(K129=1,_xlfn.MINIFS(Sch_idx,Sch_n,C$5,Sch_bmax,"&gt;="&amp;($A129-0.000000001),Sch_P0,"&gt;="&amp;(C129+Beta_y*$A129-0.000000001)),"")</f>
        <v>32</v>
      </c>
      <c r="T129" s="15" t="n">
        <f aca="false">IF(L129=1,_xlfn.MINIFS(Sch_idx,Sch_n,D$5,Sch_bmax,"&gt;="&amp;($A129-0.000000001),Sch_P0,"&gt;="&amp;(D129+Beta_y*$A129-0.000000001)),"")</f>
        <v>40</v>
      </c>
      <c r="U129" s="15" t="n">
        <f aca="false">IF(M129=1,_xlfn.MINIFS(Sch_idx,Sch_n,E$5,Sch_bmax,"&gt;="&amp;($A129-0.000000001),Sch_P0,"&gt;="&amp;(E129+Beta_y*$A129-0.000000001)),"")</f>
        <v>44</v>
      </c>
      <c r="V129" s="15" t="n">
        <f aca="false">IF(N129=1,_xlfn.MINIFS(Sch_idx,Sch_n,F$5,Sch_bmax,"&gt;="&amp;($A129-0.000000001),Sch_P0,"&gt;="&amp;(F129+Beta_y*$A129-0.000000001)),"")</f>
        <v>45</v>
      </c>
      <c r="W129" s="15" t="n">
        <f aca="false">IF(O129=1,_xlfn.MINIFS(Sch_idx,Sch_n,G$5,Sch_bmax,"&gt;="&amp;($A129-0.000000001),Sch_P0,"&gt;="&amp;(G129+Beta_y*$A129-0.000000001)),"")</f>
        <v>47</v>
      </c>
      <c r="X129" s="15" t="str">
        <f aca="false">IF(P129=1,_xlfn.MINIFS(Sch_idx,Sch_n,H$5,Sch_bmax,"&gt;="&amp;($A129-0.000000001),Sch_P0,"&gt;="&amp;(H129+Beta_y*$A129-0.000000001)),"")</f>
        <v/>
      </c>
      <c r="Z129" s="15" t="n">
        <f aca="false">IF(J129=1,IF(COUNTIFS(K129:$P129,1,C129:$H129,"&gt;="&amp;(B129-0.000000001))&gt;0,0,1),"")</f>
        <v>0</v>
      </c>
      <c r="AA129" s="15" t="n">
        <f aca="false">IF(K129=1,IF(COUNTIFS(L129:$P129,1,D129:$H129,"&gt;="&amp;(C129-0.000000001))&gt;0,0,1),"")</f>
        <v>1</v>
      </c>
      <c r="AB129" s="15" t="n">
        <f aca="false">IF(L129=1,IF(COUNTIFS(M129:$P129,1,E129:$H129,"&gt;="&amp;(D129-0.000000001))&gt;0,0,1),"")</f>
        <v>1</v>
      </c>
      <c r="AC129" s="15" t="n">
        <f aca="false">IF(M129=1,IF(COUNTIFS(N129:$P129,1,F129:$H129,"&gt;="&amp;(E129-0.000000001))&gt;0,0,1),"")</f>
        <v>1</v>
      </c>
      <c r="AD129" s="15" t="n">
        <f aca="false">IF(N129=1,IF(COUNTIFS(O129:$P129,1,G129:$H129,"&gt;="&amp;(F129-0.000000001))&gt;0,0,1),"")</f>
        <v>1</v>
      </c>
      <c r="AE129" s="15" t="n">
        <f aca="false">IF(O129=1,IF(COUNTIFS(P129:$P129,1,H129:$H129,"&gt;="&amp;(G129-0.000000001))&gt;0,0,1),"")</f>
        <v>1</v>
      </c>
      <c r="AF129" s="15" t="str">
        <f aca="false">IF(P129=1,1,"")</f>
        <v/>
      </c>
    </row>
    <row r="130" customFormat="false" ht="15" hidden="false" customHeight="false" outlineLevel="0" collapsed="false">
      <c r="A130" s="2" t="n">
        <v>124</v>
      </c>
      <c r="B130" s="16" t="n">
        <f aca="false">IF(COUNTIFS(Sch_n,B$5,Sch_bmax,"&gt;="&amp;($A130-0.000000001))&gt;0,_xlfn.MAXIFS(Sch_P0,Sch_n,B$5,Sch_bmax,"&gt;="&amp;($A130-0.000000001))-Beta_y*$A130,"")</f>
        <v>23.6363636363636</v>
      </c>
      <c r="C130" s="16" t="n">
        <f aca="false">IF(COUNTIFS(Sch_n,C$5,Sch_bmax,"&gt;="&amp;($A130-0.000000001))&gt;0,_xlfn.MAXIFS(Sch_P0,Sch_n,C$5,Sch_bmax,"&gt;="&amp;($A130-0.000000001))-Beta_y*$A130,"")</f>
        <v>257.945371341997</v>
      </c>
      <c r="D130" s="16" t="n">
        <f aca="false">IF(COUNTIFS(Sch_n,D$5,Sch_bmax,"&gt;="&amp;($A130-0.000000001))&gt;0,_xlfn.MAXIFS(Sch_P0,Sch_n,D$5,Sch_bmax,"&gt;="&amp;($A130-0.000000001))-Beta_y*$A130,"")</f>
        <v>248.305567801504</v>
      </c>
      <c r="E130" s="16" t="n">
        <f aca="false">IF(COUNTIFS(Sch_n,E$5,Sch_bmax,"&gt;="&amp;($A130-0.000000001))&gt;0,_xlfn.MAXIFS(Sch_P0,Sch_n,E$5,Sch_bmax,"&gt;="&amp;($A130-0.000000001))-Beta_y*$A130,"")</f>
        <v>189.32501336392</v>
      </c>
      <c r="F130" s="16" t="n">
        <f aca="false">IF(COUNTIFS(Sch_n,F$5,Sch_bmax,"&gt;="&amp;($A130-0.000000001))&gt;0,_xlfn.MAXIFS(Sch_P0,Sch_n,F$5,Sch_bmax,"&gt;="&amp;($A130-0.000000001))-Beta_y*$A130,"")</f>
        <v>119.753601484792</v>
      </c>
      <c r="G130" s="16" t="n">
        <f aca="false">IF(COUNTIFS(Sch_n,G$5,Sch_bmax,"&gt;="&amp;($A130-0.000000001))&gt;0,_xlfn.MAXIFS(Sch_P0,Sch_n,G$5,Sch_bmax,"&gt;="&amp;($A130-0.000000001))-Beta_y*$A130,"")</f>
        <v>45.6946218617366</v>
      </c>
      <c r="H130" s="16" t="str">
        <f aca="false">IF(COUNTIFS(Sch_n,H$5,Sch_bmax,"&gt;="&amp;($A130-0.000000001))&gt;0,_xlfn.MAXIFS(Sch_P0,Sch_n,H$5,Sch_bmax,"&gt;="&amp;($A130-0.000000001))-Beta_y*$A130,"")</f>
        <v/>
      </c>
      <c r="J130" s="15" t="n">
        <f aca="false">IF(ISNUMBER(B130),1,0)</f>
        <v>1</v>
      </c>
      <c r="K130" s="15" t="n">
        <f aca="false">IF(ISNUMBER(C130),1,0)</f>
        <v>1</v>
      </c>
      <c r="L130" s="15" t="n">
        <f aca="false">IF(ISNUMBER(D130),1,0)</f>
        <v>1</v>
      </c>
      <c r="M130" s="15" t="n">
        <f aca="false">IF(ISNUMBER(E130),1,0)</f>
        <v>1</v>
      </c>
      <c r="N130" s="15" t="n">
        <f aca="false">IF(ISNUMBER(F130),1,0)</f>
        <v>1</v>
      </c>
      <c r="O130" s="15" t="n">
        <f aca="false">IF(ISNUMBER(G130),1,0)</f>
        <v>1</v>
      </c>
      <c r="P130" s="15" t="n">
        <f aca="false">IF(ISNUMBER(H130),1,0)</f>
        <v>0</v>
      </c>
      <c r="R130" s="15" t="n">
        <f aca="false">IF(J130=1,_xlfn.MINIFS(Sch_idx,Sch_n,B$5,Sch_bmax,"&gt;="&amp;($A130-0.000000001),Sch_P0,"&gt;="&amp;(B130+Beta_y*$A130-0.000000001)),"")</f>
        <v>0</v>
      </c>
      <c r="S130" s="15" t="n">
        <f aca="false">IF(K130=1,_xlfn.MINIFS(Sch_idx,Sch_n,C$5,Sch_bmax,"&gt;="&amp;($A130-0.000000001),Sch_P0,"&gt;="&amp;(C130+Beta_y*$A130-0.000000001)),"")</f>
        <v>32</v>
      </c>
      <c r="T130" s="15" t="n">
        <f aca="false">IF(L130=1,_xlfn.MINIFS(Sch_idx,Sch_n,D$5,Sch_bmax,"&gt;="&amp;($A130-0.000000001),Sch_P0,"&gt;="&amp;(D130+Beta_y*$A130-0.000000001)),"")</f>
        <v>40</v>
      </c>
      <c r="U130" s="15" t="n">
        <f aca="false">IF(M130=1,_xlfn.MINIFS(Sch_idx,Sch_n,E$5,Sch_bmax,"&gt;="&amp;($A130-0.000000001),Sch_P0,"&gt;="&amp;(E130+Beta_y*$A130-0.000000001)),"")</f>
        <v>44</v>
      </c>
      <c r="V130" s="15" t="n">
        <f aca="false">IF(N130=1,_xlfn.MINIFS(Sch_idx,Sch_n,F$5,Sch_bmax,"&gt;="&amp;($A130-0.000000001),Sch_P0,"&gt;="&amp;(F130+Beta_y*$A130-0.000000001)),"")</f>
        <v>45</v>
      </c>
      <c r="W130" s="15" t="n">
        <f aca="false">IF(O130=1,_xlfn.MINIFS(Sch_idx,Sch_n,G$5,Sch_bmax,"&gt;="&amp;($A130-0.000000001),Sch_P0,"&gt;="&amp;(G130+Beta_y*$A130-0.000000001)),"")</f>
        <v>47</v>
      </c>
      <c r="X130" s="15" t="str">
        <f aca="false">IF(P130=1,_xlfn.MINIFS(Sch_idx,Sch_n,H$5,Sch_bmax,"&gt;="&amp;($A130-0.000000001),Sch_P0,"&gt;="&amp;(H130+Beta_y*$A130-0.000000001)),"")</f>
        <v/>
      </c>
      <c r="Z130" s="15" t="n">
        <f aca="false">IF(J130=1,IF(COUNTIFS(K130:$P130,1,C130:$H130,"&gt;="&amp;(B130-0.000000001))&gt;0,0,1),"")</f>
        <v>0</v>
      </c>
      <c r="AA130" s="15" t="n">
        <f aca="false">IF(K130=1,IF(COUNTIFS(L130:$P130,1,D130:$H130,"&gt;="&amp;(C130-0.000000001))&gt;0,0,1),"")</f>
        <v>1</v>
      </c>
      <c r="AB130" s="15" t="n">
        <f aca="false">IF(L130=1,IF(COUNTIFS(M130:$P130,1,E130:$H130,"&gt;="&amp;(D130-0.000000001))&gt;0,0,1),"")</f>
        <v>1</v>
      </c>
      <c r="AC130" s="15" t="n">
        <f aca="false">IF(M130=1,IF(COUNTIFS(N130:$P130,1,F130:$H130,"&gt;="&amp;(E130-0.000000001))&gt;0,0,1),"")</f>
        <v>1</v>
      </c>
      <c r="AD130" s="15" t="n">
        <f aca="false">IF(N130=1,IF(COUNTIFS(O130:$P130,1,G130:$H130,"&gt;="&amp;(F130-0.000000001))&gt;0,0,1),"")</f>
        <v>1</v>
      </c>
      <c r="AE130" s="15" t="n">
        <f aca="false">IF(O130=1,IF(COUNTIFS(P130:$P130,1,H130:$H130,"&gt;="&amp;(G130-0.000000001))&gt;0,0,1),"")</f>
        <v>1</v>
      </c>
      <c r="AF130" s="15" t="str">
        <f aca="false">IF(P130=1,1,"")</f>
        <v/>
      </c>
    </row>
    <row r="131" customFormat="false" ht="15" hidden="false" customHeight="false" outlineLevel="0" collapsed="false">
      <c r="A131" s="2" t="n">
        <v>125</v>
      </c>
      <c r="B131" s="16" t="n">
        <f aca="false">IF(COUNTIFS(Sch_n,B$5,Sch_bmax,"&gt;="&amp;($A131-0.000000001))&gt;0,_xlfn.MAXIFS(Sch_P0,Sch_n,B$5,Sch_bmax,"&gt;="&amp;($A131-0.000000001))-Beta_y*$A131,"")</f>
        <v>22.7272727272727</v>
      </c>
      <c r="C131" s="16" t="n">
        <f aca="false">IF(COUNTIFS(Sch_n,C$5,Sch_bmax,"&gt;="&amp;($A131-0.000000001))&gt;0,_xlfn.MAXIFS(Sch_P0,Sch_n,C$5,Sch_bmax,"&gt;="&amp;($A131-0.000000001))-Beta_y*$A131,"")</f>
        <v>257.036280432906</v>
      </c>
      <c r="D131" s="16" t="n">
        <f aca="false">IF(COUNTIFS(Sch_n,D$5,Sch_bmax,"&gt;="&amp;($A131-0.000000001))&gt;0,_xlfn.MAXIFS(Sch_P0,Sch_n,D$5,Sch_bmax,"&gt;="&amp;($A131-0.000000001))-Beta_y*$A131,"")</f>
        <v>247.396476892413</v>
      </c>
      <c r="E131" s="16" t="n">
        <f aca="false">IF(COUNTIFS(Sch_n,E$5,Sch_bmax,"&gt;="&amp;($A131-0.000000001))&gt;0,_xlfn.MAXIFS(Sch_P0,Sch_n,E$5,Sch_bmax,"&gt;="&amp;($A131-0.000000001))-Beta_y*$A131,"")</f>
        <v>188.415922454829</v>
      </c>
      <c r="F131" s="16" t="n">
        <f aca="false">IF(COUNTIFS(Sch_n,F$5,Sch_bmax,"&gt;="&amp;($A131-0.000000001))&gt;0,_xlfn.MAXIFS(Sch_P0,Sch_n,F$5,Sch_bmax,"&gt;="&amp;($A131-0.000000001))-Beta_y*$A131,"")</f>
        <v>118.844510575701</v>
      </c>
      <c r="G131" s="16" t="n">
        <f aca="false">IF(COUNTIFS(Sch_n,G$5,Sch_bmax,"&gt;="&amp;($A131-0.000000001))&gt;0,_xlfn.MAXIFS(Sch_P0,Sch_n,G$5,Sch_bmax,"&gt;="&amp;($A131-0.000000001))-Beta_y*$A131,"")</f>
        <v>44.7855309526457</v>
      </c>
      <c r="H131" s="16" t="str">
        <f aca="false">IF(COUNTIFS(Sch_n,H$5,Sch_bmax,"&gt;="&amp;($A131-0.000000001))&gt;0,_xlfn.MAXIFS(Sch_P0,Sch_n,H$5,Sch_bmax,"&gt;="&amp;($A131-0.000000001))-Beta_y*$A131,"")</f>
        <v/>
      </c>
      <c r="J131" s="15" t="n">
        <f aca="false">IF(ISNUMBER(B131),1,0)</f>
        <v>1</v>
      </c>
      <c r="K131" s="15" t="n">
        <f aca="false">IF(ISNUMBER(C131),1,0)</f>
        <v>1</v>
      </c>
      <c r="L131" s="15" t="n">
        <f aca="false">IF(ISNUMBER(D131),1,0)</f>
        <v>1</v>
      </c>
      <c r="M131" s="15" t="n">
        <f aca="false">IF(ISNUMBER(E131),1,0)</f>
        <v>1</v>
      </c>
      <c r="N131" s="15" t="n">
        <f aca="false">IF(ISNUMBER(F131),1,0)</f>
        <v>1</v>
      </c>
      <c r="O131" s="15" t="n">
        <f aca="false">IF(ISNUMBER(G131),1,0)</f>
        <v>1</v>
      </c>
      <c r="P131" s="15" t="n">
        <f aca="false">IF(ISNUMBER(H131),1,0)</f>
        <v>0</v>
      </c>
      <c r="R131" s="15" t="n">
        <f aca="false">IF(J131=1,_xlfn.MINIFS(Sch_idx,Sch_n,B$5,Sch_bmax,"&gt;="&amp;($A131-0.000000001),Sch_P0,"&gt;="&amp;(B131+Beta_y*$A131-0.000000001)),"")</f>
        <v>0</v>
      </c>
      <c r="S131" s="15" t="n">
        <f aca="false">IF(K131=1,_xlfn.MINIFS(Sch_idx,Sch_n,C$5,Sch_bmax,"&gt;="&amp;($A131-0.000000001),Sch_P0,"&gt;="&amp;(C131+Beta_y*$A131-0.000000001)),"")</f>
        <v>32</v>
      </c>
      <c r="T131" s="15" t="n">
        <f aca="false">IF(L131=1,_xlfn.MINIFS(Sch_idx,Sch_n,D$5,Sch_bmax,"&gt;="&amp;($A131-0.000000001),Sch_P0,"&gt;="&amp;(D131+Beta_y*$A131-0.000000001)),"")</f>
        <v>40</v>
      </c>
      <c r="U131" s="15" t="n">
        <f aca="false">IF(M131=1,_xlfn.MINIFS(Sch_idx,Sch_n,E$5,Sch_bmax,"&gt;="&amp;($A131-0.000000001),Sch_P0,"&gt;="&amp;(E131+Beta_y*$A131-0.000000001)),"")</f>
        <v>44</v>
      </c>
      <c r="V131" s="15" t="n">
        <f aca="false">IF(N131=1,_xlfn.MINIFS(Sch_idx,Sch_n,F$5,Sch_bmax,"&gt;="&amp;($A131-0.000000001),Sch_P0,"&gt;="&amp;(F131+Beta_y*$A131-0.000000001)),"")</f>
        <v>45</v>
      </c>
      <c r="W131" s="15" t="n">
        <f aca="false">IF(O131=1,_xlfn.MINIFS(Sch_idx,Sch_n,G$5,Sch_bmax,"&gt;="&amp;($A131-0.000000001),Sch_P0,"&gt;="&amp;(G131+Beta_y*$A131-0.000000001)),"")</f>
        <v>47</v>
      </c>
      <c r="X131" s="15" t="str">
        <f aca="false">IF(P131=1,_xlfn.MINIFS(Sch_idx,Sch_n,H$5,Sch_bmax,"&gt;="&amp;($A131-0.000000001),Sch_P0,"&gt;="&amp;(H131+Beta_y*$A131-0.000000001)),"")</f>
        <v/>
      </c>
      <c r="Z131" s="15" t="n">
        <f aca="false">IF(J131=1,IF(COUNTIFS(K131:$P131,1,C131:$H131,"&gt;="&amp;(B131-0.000000001))&gt;0,0,1),"")</f>
        <v>0</v>
      </c>
      <c r="AA131" s="15" t="n">
        <f aca="false">IF(K131=1,IF(COUNTIFS(L131:$P131,1,D131:$H131,"&gt;="&amp;(C131-0.000000001))&gt;0,0,1),"")</f>
        <v>1</v>
      </c>
      <c r="AB131" s="15" t="n">
        <f aca="false">IF(L131=1,IF(COUNTIFS(M131:$P131,1,E131:$H131,"&gt;="&amp;(D131-0.000000001))&gt;0,0,1),"")</f>
        <v>1</v>
      </c>
      <c r="AC131" s="15" t="n">
        <f aca="false">IF(M131=1,IF(COUNTIFS(N131:$P131,1,F131:$H131,"&gt;="&amp;(E131-0.000000001))&gt;0,0,1),"")</f>
        <v>1</v>
      </c>
      <c r="AD131" s="15" t="n">
        <f aca="false">IF(N131=1,IF(COUNTIFS(O131:$P131,1,G131:$H131,"&gt;="&amp;(F131-0.000000001))&gt;0,0,1),"")</f>
        <v>1</v>
      </c>
      <c r="AE131" s="15" t="n">
        <f aca="false">IF(O131=1,IF(COUNTIFS(P131:$P131,1,H131:$H131,"&gt;="&amp;(G131-0.000000001))&gt;0,0,1),"")</f>
        <v>1</v>
      </c>
      <c r="AF131" s="15" t="str">
        <f aca="false">IF(P131=1,1,"")</f>
        <v/>
      </c>
    </row>
    <row r="132" customFormat="false" ht="15" hidden="false" customHeight="false" outlineLevel="0" collapsed="false">
      <c r="A132" s="2" t="n">
        <v>126</v>
      </c>
      <c r="B132" s="16" t="n">
        <f aca="false">IF(COUNTIFS(Sch_n,B$5,Sch_bmax,"&gt;="&amp;($A132-0.000000001))&gt;0,_xlfn.MAXIFS(Sch_P0,Sch_n,B$5,Sch_bmax,"&gt;="&amp;($A132-0.000000001))-Beta_y*$A132,"")</f>
        <v>21.8181818181818</v>
      </c>
      <c r="C132" s="16" t="n">
        <f aca="false">IF(COUNTIFS(Sch_n,C$5,Sch_bmax,"&gt;="&amp;($A132-0.000000001))&gt;0,_xlfn.MAXIFS(Sch_P0,Sch_n,C$5,Sch_bmax,"&gt;="&amp;($A132-0.000000001))-Beta_y*$A132,"")</f>
        <v>256.127189523815</v>
      </c>
      <c r="D132" s="16" t="n">
        <f aca="false">IF(COUNTIFS(Sch_n,D$5,Sch_bmax,"&gt;="&amp;($A132-0.000000001))&gt;0,_xlfn.MAXIFS(Sch_P0,Sch_n,D$5,Sch_bmax,"&gt;="&amp;($A132-0.000000001))-Beta_y*$A132,"")</f>
        <v>246.487385983322</v>
      </c>
      <c r="E132" s="16" t="n">
        <f aca="false">IF(COUNTIFS(Sch_n,E$5,Sch_bmax,"&gt;="&amp;($A132-0.000000001))&gt;0,_xlfn.MAXIFS(Sch_P0,Sch_n,E$5,Sch_bmax,"&gt;="&amp;($A132-0.000000001))-Beta_y*$A132,"")</f>
        <v>187.506831545738</v>
      </c>
      <c r="F132" s="16" t="n">
        <f aca="false">IF(COUNTIFS(Sch_n,F$5,Sch_bmax,"&gt;="&amp;($A132-0.000000001))&gt;0,_xlfn.MAXIFS(Sch_P0,Sch_n,F$5,Sch_bmax,"&gt;="&amp;($A132-0.000000001))-Beta_y*$A132,"")</f>
        <v>117.93541966661</v>
      </c>
      <c r="G132" s="16" t="n">
        <f aca="false">IF(COUNTIFS(Sch_n,G$5,Sch_bmax,"&gt;="&amp;($A132-0.000000001))&gt;0,_xlfn.MAXIFS(Sch_P0,Sch_n,G$5,Sch_bmax,"&gt;="&amp;($A132-0.000000001))-Beta_y*$A132,"")</f>
        <v>43.8764400435548</v>
      </c>
      <c r="H132" s="16" t="str">
        <f aca="false">IF(COUNTIFS(Sch_n,H$5,Sch_bmax,"&gt;="&amp;($A132-0.000000001))&gt;0,_xlfn.MAXIFS(Sch_P0,Sch_n,H$5,Sch_bmax,"&gt;="&amp;($A132-0.000000001))-Beta_y*$A132,"")</f>
        <v/>
      </c>
      <c r="J132" s="15" t="n">
        <f aca="false">IF(ISNUMBER(B132),1,0)</f>
        <v>1</v>
      </c>
      <c r="K132" s="15" t="n">
        <f aca="false">IF(ISNUMBER(C132),1,0)</f>
        <v>1</v>
      </c>
      <c r="L132" s="15" t="n">
        <f aca="false">IF(ISNUMBER(D132),1,0)</f>
        <v>1</v>
      </c>
      <c r="M132" s="15" t="n">
        <f aca="false">IF(ISNUMBER(E132),1,0)</f>
        <v>1</v>
      </c>
      <c r="N132" s="15" t="n">
        <f aca="false">IF(ISNUMBER(F132),1,0)</f>
        <v>1</v>
      </c>
      <c r="O132" s="15" t="n">
        <f aca="false">IF(ISNUMBER(G132),1,0)</f>
        <v>1</v>
      </c>
      <c r="P132" s="15" t="n">
        <f aca="false">IF(ISNUMBER(H132),1,0)</f>
        <v>0</v>
      </c>
      <c r="R132" s="15" t="n">
        <f aca="false">IF(J132=1,_xlfn.MINIFS(Sch_idx,Sch_n,B$5,Sch_bmax,"&gt;="&amp;($A132-0.000000001),Sch_P0,"&gt;="&amp;(B132+Beta_y*$A132-0.000000001)),"")</f>
        <v>0</v>
      </c>
      <c r="S132" s="15" t="n">
        <f aca="false">IF(K132=1,_xlfn.MINIFS(Sch_idx,Sch_n,C$5,Sch_bmax,"&gt;="&amp;($A132-0.000000001),Sch_P0,"&gt;="&amp;(C132+Beta_y*$A132-0.000000001)),"")</f>
        <v>32</v>
      </c>
      <c r="T132" s="15" t="n">
        <f aca="false">IF(L132=1,_xlfn.MINIFS(Sch_idx,Sch_n,D$5,Sch_bmax,"&gt;="&amp;($A132-0.000000001),Sch_P0,"&gt;="&amp;(D132+Beta_y*$A132-0.000000001)),"")</f>
        <v>40</v>
      </c>
      <c r="U132" s="15" t="n">
        <f aca="false">IF(M132=1,_xlfn.MINIFS(Sch_idx,Sch_n,E$5,Sch_bmax,"&gt;="&amp;($A132-0.000000001),Sch_P0,"&gt;="&amp;(E132+Beta_y*$A132-0.000000001)),"")</f>
        <v>44</v>
      </c>
      <c r="V132" s="15" t="n">
        <f aca="false">IF(N132=1,_xlfn.MINIFS(Sch_idx,Sch_n,F$5,Sch_bmax,"&gt;="&amp;($A132-0.000000001),Sch_P0,"&gt;="&amp;(F132+Beta_y*$A132-0.000000001)),"")</f>
        <v>45</v>
      </c>
      <c r="W132" s="15" t="n">
        <f aca="false">IF(O132=1,_xlfn.MINIFS(Sch_idx,Sch_n,G$5,Sch_bmax,"&gt;="&amp;($A132-0.000000001),Sch_P0,"&gt;="&amp;(G132+Beta_y*$A132-0.000000001)),"")</f>
        <v>47</v>
      </c>
      <c r="X132" s="15" t="str">
        <f aca="false">IF(P132=1,_xlfn.MINIFS(Sch_idx,Sch_n,H$5,Sch_bmax,"&gt;="&amp;($A132-0.000000001),Sch_P0,"&gt;="&amp;(H132+Beta_y*$A132-0.000000001)),"")</f>
        <v/>
      </c>
      <c r="Z132" s="15" t="n">
        <f aca="false">IF(J132=1,IF(COUNTIFS(K132:$P132,1,C132:$H132,"&gt;="&amp;(B132-0.000000001))&gt;0,0,1),"")</f>
        <v>0</v>
      </c>
      <c r="AA132" s="15" t="n">
        <f aca="false">IF(K132=1,IF(COUNTIFS(L132:$P132,1,D132:$H132,"&gt;="&amp;(C132-0.000000001))&gt;0,0,1),"")</f>
        <v>1</v>
      </c>
      <c r="AB132" s="15" t="n">
        <f aca="false">IF(L132=1,IF(COUNTIFS(M132:$P132,1,E132:$H132,"&gt;="&amp;(D132-0.000000001))&gt;0,0,1),"")</f>
        <v>1</v>
      </c>
      <c r="AC132" s="15" t="n">
        <f aca="false">IF(M132=1,IF(COUNTIFS(N132:$P132,1,F132:$H132,"&gt;="&amp;(E132-0.000000001))&gt;0,0,1),"")</f>
        <v>1</v>
      </c>
      <c r="AD132" s="15" t="n">
        <f aca="false">IF(N132=1,IF(COUNTIFS(O132:$P132,1,G132:$H132,"&gt;="&amp;(F132-0.000000001))&gt;0,0,1),"")</f>
        <v>1</v>
      </c>
      <c r="AE132" s="15" t="n">
        <f aca="false">IF(O132=1,IF(COUNTIFS(P132:$P132,1,H132:$H132,"&gt;="&amp;(G132-0.000000001))&gt;0,0,1),"")</f>
        <v>1</v>
      </c>
      <c r="AF132" s="15" t="str">
        <f aca="false">IF(P132=1,1,"")</f>
        <v/>
      </c>
    </row>
    <row r="133" customFormat="false" ht="15" hidden="false" customHeight="false" outlineLevel="0" collapsed="false">
      <c r="A133" s="2" t="n">
        <v>127</v>
      </c>
      <c r="B133" s="16" t="n">
        <f aca="false">IF(COUNTIFS(Sch_n,B$5,Sch_bmax,"&gt;="&amp;($A133-0.000000001))&gt;0,_xlfn.MAXIFS(Sch_P0,Sch_n,B$5,Sch_bmax,"&gt;="&amp;($A133-0.000000001))-Beta_y*$A133,"")</f>
        <v>20.9090909090909</v>
      </c>
      <c r="C133" s="16" t="n">
        <f aca="false">IF(COUNTIFS(Sch_n,C$5,Sch_bmax,"&gt;="&amp;($A133-0.000000001))&gt;0,_xlfn.MAXIFS(Sch_P0,Sch_n,C$5,Sch_bmax,"&gt;="&amp;($A133-0.000000001))-Beta_y*$A133,"")</f>
        <v>255.218098614725</v>
      </c>
      <c r="D133" s="16" t="n">
        <f aca="false">IF(COUNTIFS(Sch_n,D$5,Sch_bmax,"&gt;="&amp;($A133-0.000000001))&gt;0,_xlfn.MAXIFS(Sch_P0,Sch_n,D$5,Sch_bmax,"&gt;="&amp;($A133-0.000000001))-Beta_y*$A133,"")</f>
        <v>245.578295074231</v>
      </c>
      <c r="E133" s="16" t="n">
        <f aca="false">IF(COUNTIFS(Sch_n,E$5,Sch_bmax,"&gt;="&amp;($A133-0.000000001))&gt;0,_xlfn.MAXIFS(Sch_P0,Sch_n,E$5,Sch_bmax,"&gt;="&amp;($A133-0.000000001))-Beta_y*$A133,"")</f>
        <v>186.597740636648</v>
      </c>
      <c r="F133" s="16" t="n">
        <f aca="false">IF(COUNTIFS(Sch_n,F$5,Sch_bmax,"&gt;="&amp;($A133-0.000000001))&gt;0,_xlfn.MAXIFS(Sch_P0,Sch_n,F$5,Sch_bmax,"&gt;="&amp;($A133-0.000000001))-Beta_y*$A133,"")</f>
        <v>117.02632875752</v>
      </c>
      <c r="G133" s="16" t="n">
        <f aca="false">IF(COUNTIFS(Sch_n,G$5,Sch_bmax,"&gt;="&amp;($A133-0.000000001))&gt;0,_xlfn.MAXIFS(Sch_P0,Sch_n,G$5,Sch_bmax,"&gt;="&amp;($A133-0.000000001))-Beta_y*$A133,"")</f>
        <v>42.9673491344639</v>
      </c>
      <c r="H133" s="16" t="str">
        <f aca="false">IF(COUNTIFS(Sch_n,H$5,Sch_bmax,"&gt;="&amp;($A133-0.000000001))&gt;0,_xlfn.MAXIFS(Sch_P0,Sch_n,H$5,Sch_bmax,"&gt;="&amp;($A133-0.000000001))-Beta_y*$A133,"")</f>
        <v/>
      </c>
      <c r="J133" s="15" t="n">
        <f aca="false">IF(ISNUMBER(B133),1,0)</f>
        <v>1</v>
      </c>
      <c r="K133" s="15" t="n">
        <f aca="false">IF(ISNUMBER(C133),1,0)</f>
        <v>1</v>
      </c>
      <c r="L133" s="15" t="n">
        <f aca="false">IF(ISNUMBER(D133),1,0)</f>
        <v>1</v>
      </c>
      <c r="M133" s="15" t="n">
        <f aca="false">IF(ISNUMBER(E133),1,0)</f>
        <v>1</v>
      </c>
      <c r="N133" s="15" t="n">
        <f aca="false">IF(ISNUMBER(F133),1,0)</f>
        <v>1</v>
      </c>
      <c r="O133" s="15" t="n">
        <f aca="false">IF(ISNUMBER(G133),1,0)</f>
        <v>1</v>
      </c>
      <c r="P133" s="15" t="n">
        <f aca="false">IF(ISNUMBER(H133),1,0)</f>
        <v>0</v>
      </c>
      <c r="R133" s="15" t="n">
        <f aca="false">IF(J133=1,_xlfn.MINIFS(Sch_idx,Sch_n,B$5,Sch_bmax,"&gt;="&amp;($A133-0.000000001),Sch_P0,"&gt;="&amp;(B133+Beta_y*$A133-0.000000001)),"")</f>
        <v>0</v>
      </c>
      <c r="S133" s="15" t="n">
        <f aca="false">IF(K133=1,_xlfn.MINIFS(Sch_idx,Sch_n,C$5,Sch_bmax,"&gt;="&amp;($A133-0.000000001),Sch_P0,"&gt;="&amp;(C133+Beta_y*$A133-0.000000001)),"")</f>
        <v>32</v>
      </c>
      <c r="T133" s="15" t="n">
        <f aca="false">IF(L133=1,_xlfn.MINIFS(Sch_idx,Sch_n,D$5,Sch_bmax,"&gt;="&amp;($A133-0.000000001),Sch_P0,"&gt;="&amp;(D133+Beta_y*$A133-0.000000001)),"")</f>
        <v>40</v>
      </c>
      <c r="U133" s="15" t="n">
        <f aca="false">IF(M133=1,_xlfn.MINIFS(Sch_idx,Sch_n,E$5,Sch_bmax,"&gt;="&amp;($A133-0.000000001),Sch_P0,"&gt;="&amp;(E133+Beta_y*$A133-0.000000001)),"")</f>
        <v>44</v>
      </c>
      <c r="V133" s="15" t="n">
        <f aca="false">IF(N133=1,_xlfn.MINIFS(Sch_idx,Sch_n,F$5,Sch_bmax,"&gt;="&amp;($A133-0.000000001),Sch_P0,"&gt;="&amp;(F133+Beta_y*$A133-0.000000001)),"")</f>
        <v>45</v>
      </c>
      <c r="W133" s="15" t="n">
        <f aca="false">IF(O133=1,_xlfn.MINIFS(Sch_idx,Sch_n,G$5,Sch_bmax,"&gt;="&amp;($A133-0.000000001),Sch_P0,"&gt;="&amp;(G133+Beta_y*$A133-0.000000001)),"")</f>
        <v>47</v>
      </c>
      <c r="X133" s="15" t="str">
        <f aca="false">IF(P133=1,_xlfn.MINIFS(Sch_idx,Sch_n,H$5,Sch_bmax,"&gt;="&amp;($A133-0.000000001),Sch_P0,"&gt;="&amp;(H133+Beta_y*$A133-0.000000001)),"")</f>
        <v/>
      </c>
      <c r="Z133" s="15" t="n">
        <f aca="false">IF(J133=1,IF(COUNTIFS(K133:$P133,1,C133:$H133,"&gt;="&amp;(B133-0.000000001))&gt;0,0,1),"")</f>
        <v>0</v>
      </c>
      <c r="AA133" s="15" t="n">
        <f aca="false">IF(K133=1,IF(COUNTIFS(L133:$P133,1,D133:$H133,"&gt;="&amp;(C133-0.000000001))&gt;0,0,1),"")</f>
        <v>1</v>
      </c>
      <c r="AB133" s="15" t="n">
        <f aca="false">IF(L133=1,IF(COUNTIFS(M133:$P133,1,E133:$H133,"&gt;="&amp;(D133-0.000000001))&gt;0,0,1),"")</f>
        <v>1</v>
      </c>
      <c r="AC133" s="15" t="n">
        <f aca="false">IF(M133=1,IF(COUNTIFS(N133:$P133,1,F133:$H133,"&gt;="&amp;(E133-0.000000001))&gt;0,0,1),"")</f>
        <v>1</v>
      </c>
      <c r="AD133" s="15" t="n">
        <f aca="false">IF(N133=1,IF(COUNTIFS(O133:$P133,1,G133:$H133,"&gt;="&amp;(F133-0.000000001))&gt;0,0,1),"")</f>
        <v>1</v>
      </c>
      <c r="AE133" s="15" t="n">
        <f aca="false">IF(O133=1,IF(COUNTIFS(P133:$P133,1,H133:$H133,"&gt;="&amp;(G133-0.000000001))&gt;0,0,1),"")</f>
        <v>1</v>
      </c>
      <c r="AF133" s="15" t="str">
        <f aca="false">IF(P133=1,1,"")</f>
        <v/>
      </c>
    </row>
    <row r="134" customFormat="false" ht="15" hidden="false" customHeight="false" outlineLevel="0" collapsed="false">
      <c r="A134" s="2" t="n">
        <v>128</v>
      </c>
      <c r="B134" s="16" t="n">
        <f aca="false">IF(COUNTIFS(Sch_n,B$5,Sch_bmax,"&gt;="&amp;($A134-0.000000001))&gt;0,_xlfn.MAXIFS(Sch_P0,Sch_n,B$5,Sch_bmax,"&gt;="&amp;($A134-0.000000001))-Beta_y*$A134,"")</f>
        <v>20</v>
      </c>
      <c r="C134" s="16" t="n">
        <f aca="false">IF(COUNTIFS(Sch_n,C$5,Sch_bmax,"&gt;="&amp;($A134-0.000000001))&gt;0,_xlfn.MAXIFS(Sch_P0,Sch_n,C$5,Sch_bmax,"&gt;="&amp;($A134-0.000000001))-Beta_y*$A134,"")</f>
        <v>254.309007705634</v>
      </c>
      <c r="D134" s="16" t="n">
        <f aca="false">IF(COUNTIFS(Sch_n,D$5,Sch_bmax,"&gt;="&amp;($A134-0.000000001))&gt;0,_xlfn.MAXIFS(Sch_P0,Sch_n,D$5,Sch_bmax,"&gt;="&amp;($A134-0.000000001))-Beta_y*$A134,"")</f>
        <v>244.66920416514</v>
      </c>
      <c r="E134" s="16" t="n">
        <f aca="false">IF(COUNTIFS(Sch_n,E$5,Sch_bmax,"&gt;="&amp;($A134-0.000000001))&gt;0,_xlfn.MAXIFS(Sch_P0,Sch_n,E$5,Sch_bmax,"&gt;="&amp;($A134-0.000000001))-Beta_y*$A134,"")</f>
        <v>185.688649727557</v>
      </c>
      <c r="F134" s="16" t="n">
        <f aca="false">IF(COUNTIFS(Sch_n,F$5,Sch_bmax,"&gt;="&amp;($A134-0.000000001))&gt;0,_xlfn.MAXIFS(Sch_P0,Sch_n,F$5,Sch_bmax,"&gt;="&amp;($A134-0.000000001))-Beta_y*$A134,"")</f>
        <v>116.117237848429</v>
      </c>
      <c r="G134" s="16" t="n">
        <f aca="false">IF(COUNTIFS(Sch_n,G$5,Sch_bmax,"&gt;="&amp;($A134-0.000000001))&gt;0,_xlfn.MAXIFS(Sch_P0,Sch_n,G$5,Sch_bmax,"&gt;="&amp;($A134-0.000000001))-Beta_y*$A134,"")</f>
        <v>42.058258225373</v>
      </c>
      <c r="H134" s="16" t="str">
        <f aca="false">IF(COUNTIFS(Sch_n,H$5,Sch_bmax,"&gt;="&amp;($A134-0.000000001))&gt;0,_xlfn.MAXIFS(Sch_P0,Sch_n,H$5,Sch_bmax,"&gt;="&amp;($A134-0.000000001))-Beta_y*$A134,"")</f>
        <v/>
      </c>
      <c r="J134" s="15" t="n">
        <f aca="false">IF(ISNUMBER(B134),1,0)</f>
        <v>1</v>
      </c>
      <c r="K134" s="15" t="n">
        <f aca="false">IF(ISNUMBER(C134),1,0)</f>
        <v>1</v>
      </c>
      <c r="L134" s="15" t="n">
        <f aca="false">IF(ISNUMBER(D134),1,0)</f>
        <v>1</v>
      </c>
      <c r="M134" s="15" t="n">
        <f aca="false">IF(ISNUMBER(E134),1,0)</f>
        <v>1</v>
      </c>
      <c r="N134" s="15" t="n">
        <f aca="false">IF(ISNUMBER(F134),1,0)</f>
        <v>1</v>
      </c>
      <c r="O134" s="15" t="n">
        <f aca="false">IF(ISNUMBER(G134),1,0)</f>
        <v>1</v>
      </c>
      <c r="P134" s="15" t="n">
        <f aca="false">IF(ISNUMBER(H134),1,0)</f>
        <v>0</v>
      </c>
      <c r="R134" s="15" t="n">
        <f aca="false">IF(J134=1,_xlfn.MINIFS(Sch_idx,Sch_n,B$5,Sch_bmax,"&gt;="&amp;($A134-0.000000001),Sch_P0,"&gt;="&amp;(B134+Beta_y*$A134-0.000000001)),"")</f>
        <v>0</v>
      </c>
      <c r="S134" s="15" t="n">
        <f aca="false">IF(K134=1,_xlfn.MINIFS(Sch_idx,Sch_n,C$5,Sch_bmax,"&gt;="&amp;($A134-0.000000001),Sch_P0,"&gt;="&amp;(C134+Beta_y*$A134-0.000000001)),"")</f>
        <v>32</v>
      </c>
      <c r="T134" s="15" t="n">
        <f aca="false">IF(L134=1,_xlfn.MINIFS(Sch_idx,Sch_n,D$5,Sch_bmax,"&gt;="&amp;($A134-0.000000001),Sch_P0,"&gt;="&amp;(D134+Beta_y*$A134-0.000000001)),"")</f>
        <v>40</v>
      </c>
      <c r="U134" s="15" t="n">
        <f aca="false">IF(M134=1,_xlfn.MINIFS(Sch_idx,Sch_n,E$5,Sch_bmax,"&gt;="&amp;($A134-0.000000001),Sch_P0,"&gt;="&amp;(E134+Beta_y*$A134-0.000000001)),"")</f>
        <v>44</v>
      </c>
      <c r="V134" s="15" t="n">
        <f aca="false">IF(N134=1,_xlfn.MINIFS(Sch_idx,Sch_n,F$5,Sch_bmax,"&gt;="&amp;($A134-0.000000001),Sch_P0,"&gt;="&amp;(F134+Beta_y*$A134-0.000000001)),"")</f>
        <v>45</v>
      </c>
      <c r="W134" s="15" t="n">
        <f aca="false">IF(O134=1,_xlfn.MINIFS(Sch_idx,Sch_n,G$5,Sch_bmax,"&gt;="&amp;($A134-0.000000001),Sch_P0,"&gt;="&amp;(G134+Beta_y*$A134-0.000000001)),"")</f>
        <v>47</v>
      </c>
      <c r="X134" s="15" t="str">
        <f aca="false">IF(P134=1,_xlfn.MINIFS(Sch_idx,Sch_n,H$5,Sch_bmax,"&gt;="&amp;($A134-0.000000001),Sch_P0,"&gt;="&amp;(H134+Beta_y*$A134-0.000000001)),"")</f>
        <v/>
      </c>
      <c r="Z134" s="15" t="n">
        <f aca="false">IF(J134=1,IF(COUNTIFS(K134:$P134,1,C134:$H134,"&gt;="&amp;(B134-0.000000001))&gt;0,0,1),"")</f>
        <v>0</v>
      </c>
      <c r="AA134" s="15" t="n">
        <f aca="false">IF(K134=1,IF(COUNTIFS(L134:$P134,1,D134:$H134,"&gt;="&amp;(C134-0.000000001))&gt;0,0,1),"")</f>
        <v>1</v>
      </c>
      <c r="AB134" s="15" t="n">
        <f aca="false">IF(L134=1,IF(COUNTIFS(M134:$P134,1,E134:$H134,"&gt;="&amp;(D134-0.000000001))&gt;0,0,1),"")</f>
        <v>1</v>
      </c>
      <c r="AC134" s="15" t="n">
        <f aca="false">IF(M134=1,IF(COUNTIFS(N134:$P134,1,F134:$H134,"&gt;="&amp;(E134-0.000000001))&gt;0,0,1),"")</f>
        <v>1</v>
      </c>
      <c r="AD134" s="15" t="n">
        <f aca="false">IF(N134=1,IF(COUNTIFS(O134:$P134,1,G134:$H134,"&gt;="&amp;(F134-0.000000001))&gt;0,0,1),"")</f>
        <v>1</v>
      </c>
      <c r="AE134" s="15" t="n">
        <f aca="false">IF(O134=1,IF(COUNTIFS(P134:$P134,1,H134:$H134,"&gt;="&amp;(G134-0.000000001))&gt;0,0,1),"")</f>
        <v>1</v>
      </c>
      <c r="AF134" s="15" t="str">
        <f aca="false">IF(P134=1,1,"")</f>
        <v/>
      </c>
    </row>
    <row r="135" customFormat="false" ht="15" hidden="false" customHeight="false" outlineLevel="0" collapsed="false">
      <c r="A135" s="2" t="n">
        <v>129</v>
      </c>
      <c r="B135" s="16" t="n">
        <f aca="false">IF(COUNTIFS(Sch_n,B$5,Sch_bmax,"&gt;="&amp;($A135-0.000000001))&gt;0,_xlfn.MAXIFS(Sch_P0,Sch_n,B$5,Sch_bmax,"&gt;="&amp;($A135-0.000000001))-Beta_y*$A135,"")</f>
        <v>19.0909090909091</v>
      </c>
      <c r="C135" s="16" t="n">
        <f aca="false">IF(COUNTIFS(Sch_n,C$5,Sch_bmax,"&gt;="&amp;($A135-0.000000001))&gt;0,_xlfn.MAXIFS(Sch_P0,Sch_n,C$5,Sch_bmax,"&gt;="&amp;($A135-0.000000001))-Beta_y*$A135,"")</f>
        <v>253.399916796543</v>
      </c>
      <c r="D135" s="16" t="n">
        <f aca="false">IF(COUNTIFS(Sch_n,D$5,Sch_bmax,"&gt;="&amp;($A135-0.000000001))&gt;0,_xlfn.MAXIFS(Sch_P0,Sch_n,D$5,Sch_bmax,"&gt;="&amp;($A135-0.000000001))-Beta_y*$A135,"")</f>
        <v>243.760113256049</v>
      </c>
      <c r="E135" s="16" t="n">
        <f aca="false">IF(COUNTIFS(Sch_n,E$5,Sch_bmax,"&gt;="&amp;($A135-0.000000001))&gt;0,_xlfn.MAXIFS(Sch_P0,Sch_n,E$5,Sch_bmax,"&gt;="&amp;($A135-0.000000001))-Beta_y*$A135,"")</f>
        <v>184.779558818466</v>
      </c>
      <c r="F135" s="16" t="n">
        <f aca="false">IF(COUNTIFS(Sch_n,F$5,Sch_bmax,"&gt;="&amp;($A135-0.000000001))&gt;0,_xlfn.MAXIFS(Sch_P0,Sch_n,F$5,Sch_bmax,"&gt;="&amp;($A135-0.000000001))-Beta_y*$A135,"")</f>
        <v>115.208146939338</v>
      </c>
      <c r="G135" s="16" t="n">
        <f aca="false">IF(COUNTIFS(Sch_n,G$5,Sch_bmax,"&gt;="&amp;($A135-0.000000001))&gt;0,_xlfn.MAXIFS(Sch_P0,Sch_n,G$5,Sch_bmax,"&gt;="&amp;($A135-0.000000001))-Beta_y*$A135,"")</f>
        <v>41.1491673162821</v>
      </c>
      <c r="H135" s="16" t="str">
        <f aca="false">IF(COUNTIFS(Sch_n,H$5,Sch_bmax,"&gt;="&amp;($A135-0.000000001))&gt;0,_xlfn.MAXIFS(Sch_P0,Sch_n,H$5,Sch_bmax,"&gt;="&amp;($A135-0.000000001))-Beta_y*$A135,"")</f>
        <v/>
      </c>
      <c r="J135" s="15" t="n">
        <f aca="false">IF(ISNUMBER(B135),1,0)</f>
        <v>1</v>
      </c>
      <c r="K135" s="15" t="n">
        <f aca="false">IF(ISNUMBER(C135),1,0)</f>
        <v>1</v>
      </c>
      <c r="L135" s="15" t="n">
        <f aca="false">IF(ISNUMBER(D135),1,0)</f>
        <v>1</v>
      </c>
      <c r="M135" s="15" t="n">
        <f aca="false">IF(ISNUMBER(E135),1,0)</f>
        <v>1</v>
      </c>
      <c r="N135" s="15" t="n">
        <f aca="false">IF(ISNUMBER(F135),1,0)</f>
        <v>1</v>
      </c>
      <c r="O135" s="15" t="n">
        <f aca="false">IF(ISNUMBER(G135),1,0)</f>
        <v>1</v>
      </c>
      <c r="P135" s="15" t="n">
        <f aca="false">IF(ISNUMBER(H135),1,0)</f>
        <v>0</v>
      </c>
      <c r="R135" s="15" t="n">
        <f aca="false">IF(J135=1,_xlfn.MINIFS(Sch_idx,Sch_n,B$5,Sch_bmax,"&gt;="&amp;($A135-0.000000001),Sch_P0,"&gt;="&amp;(B135+Beta_y*$A135-0.000000001)),"")</f>
        <v>0</v>
      </c>
      <c r="S135" s="15" t="n">
        <f aca="false">IF(K135=1,_xlfn.MINIFS(Sch_idx,Sch_n,C$5,Sch_bmax,"&gt;="&amp;($A135-0.000000001),Sch_P0,"&gt;="&amp;(C135+Beta_y*$A135-0.000000001)),"")</f>
        <v>32</v>
      </c>
      <c r="T135" s="15" t="n">
        <f aca="false">IF(L135=1,_xlfn.MINIFS(Sch_idx,Sch_n,D$5,Sch_bmax,"&gt;="&amp;($A135-0.000000001),Sch_P0,"&gt;="&amp;(D135+Beta_y*$A135-0.000000001)),"")</f>
        <v>40</v>
      </c>
      <c r="U135" s="15" t="n">
        <f aca="false">IF(M135=1,_xlfn.MINIFS(Sch_idx,Sch_n,E$5,Sch_bmax,"&gt;="&amp;($A135-0.000000001),Sch_P0,"&gt;="&amp;(E135+Beta_y*$A135-0.000000001)),"")</f>
        <v>44</v>
      </c>
      <c r="V135" s="15" t="n">
        <f aca="false">IF(N135=1,_xlfn.MINIFS(Sch_idx,Sch_n,F$5,Sch_bmax,"&gt;="&amp;($A135-0.000000001),Sch_P0,"&gt;="&amp;(F135+Beta_y*$A135-0.000000001)),"")</f>
        <v>45</v>
      </c>
      <c r="W135" s="15" t="n">
        <f aca="false">IF(O135=1,_xlfn.MINIFS(Sch_idx,Sch_n,G$5,Sch_bmax,"&gt;="&amp;($A135-0.000000001),Sch_P0,"&gt;="&amp;(G135+Beta_y*$A135-0.000000001)),"")</f>
        <v>47</v>
      </c>
      <c r="X135" s="15" t="str">
        <f aca="false">IF(P135=1,_xlfn.MINIFS(Sch_idx,Sch_n,H$5,Sch_bmax,"&gt;="&amp;($A135-0.000000001),Sch_P0,"&gt;="&amp;(H135+Beta_y*$A135-0.000000001)),"")</f>
        <v/>
      </c>
      <c r="Z135" s="15" t="n">
        <f aca="false">IF(J135=1,IF(COUNTIFS(K135:$P135,1,C135:$H135,"&gt;="&amp;(B135-0.000000001))&gt;0,0,1),"")</f>
        <v>0</v>
      </c>
      <c r="AA135" s="15" t="n">
        <f aca="false">IF(K135=1,IF(COUNTIFS(L135:$P135,1,D135:$H135,"&gt;="&amp;(C135-0.000000001))&gt;0,0,1),"")</f>
        <v>1</v>
      </c>
      <c r="AB135" s="15" t="n">
        <f aca="false">IF(L135=1,IF(COUNTIFS(M135:$P135,1,E135:$H135,"&gt;="&amp;(D135-0.000000001))&gt;0,0,1),"")</f>
        <v>1</v>
      </c>
      <c r="AC135" s="15" t="n">
        <f aca="false">IF(M135=1,IF(COUNTIFS(N135:$P135,1,F135:$H135,"&gt;="&amp;(E135-0.000000001))&gt;0,0,1),"")</f>
        <v>1</v>
      </c>
      <c r="AD135" s="15" t="n">
        <f aca="false">IF(N135=1,IF(COUNTIFS(O135:$P135,1,G135:$H135,"&gt;="&amp;(F135-0.000000001))&gt;0,0,1),"")</f>
        <v>1</v>
      </c>
      <c r="AE135" s="15" t="n">
        <f aca="false">IF(O135=1,IF(COUNTIFS(P135:$P135,1,H135:$H135,"&gt;="&amp;(G135-0.000000001))&gt;0,0,1),"")</f>
        <v>1</v>
      </c>
      <c r="AF135" s="15" t="str">
        <f aca="false">IF(P135=1,1,"")</f>
        <v/>
      </c>
    </row>
    <row r="136" customFormat="false" ht="15" hidden="false" customHeight="false" outlineLevel="0" collapsed="false">
      <c r="A136" s="2" t="n">
        <v>130</v>
      </c>
      <c r="B136" s="16" t="n">
        <f aca="false">IF(COUNTIFS(Sch_n,B$5,Sch_bmax,"&gt;="&amp;($A136-0.000000001))&gt;0,_xlfn.MAXIFS(Sch_P0,Sch_n,B$5,Sch_bmax,"&gt;="&amp;($A136-0.000000001))-Beta_y*$A136,"")</f>
        <v>18.1818181818182</v>
      </c>
      <c r="C136" s="16" t="n">
        <f aca="false">IF(COUNTIFS(Sch_n,C$5,Sch_bmax,"&gt;="&amp;($A136-0.000000001))&gt;0,_xlfn.MAXIFS(Sch_P0,Sch_n,C$5,Sch_bmax,"&gt;="&amp;($A136-0.000000001))-Beta_y*$A136,"")</f>
        <v>252.490825887452</v>
      </c>
      <c r="D136" s="16" t="n">
        <f aca="false">IF(COUNTIFS(Sch_n,D$5,Sch_bmax,"&gt;="&amp;($A136-0.000000001))&gt;0,_xlfn.MAXIFS(Sch_P0,Sch_n,D$5,Sch_bmax,"&gt;="&amp;($A136-0.000000001))-Beta_y*$A136,"")</f>
        <v>242.851022346958</v>
      </c>
      <c r="E136" s="16" t="n">
        <f aca="false">IF(COUNTIFS(Sch_n,E$5,Sch_bmax,"&gt;="&amp;($A136-0.000000001))&gt;0,_xlfn.MAXIFS(Sch_P0,Sch_n,E$5,Sch_bmax,"&gt;="&amp;($A136-0.000000001))-Beta_y*$A136,"")</f>
        <v>183.870467909375</v>
      </c>
      <c r="F136" s="16" t="n">
        <f aca="false">IF(COUNTIFS(Sch_n,F$5,Sch_bmax,"&gt;="&amp;($A136-0.000000001))&gt;0,_xlfn.MAXIFS(Sch_P0,Sch_n,F$5,Sch_bmax,"&gt;="&amp;($A136-0.000000001))-Beta_y*$A136,"")</f>
        <v>114.299056030247</v>
      </c>
      <c r="G136" s="16" t="n">
        <f aca="false">IF(COUNTIFS(Sch_n,G$5,Sch_bmax,"&gt;="&amp;($A136-0.000000001))&gt;0,_xlfn.MAXIFS(Sch_P0,Sch_n,G$5,Sch_bmax,"&gt;="&amp;($A136-0.000000001))-Beta_y*$A136,"")</f>
        <v>40.2400764071912</v>
      </c>
      <c r="H136" s="16" t="str">
        <f aca="false">IF(COUNTIFS(Sch_n,H$5,Sch_bmax,"&gt;="&amp;($A136-0.000000001))&gt;0,_xlfn.MAXIFS(Sch_P0,Sch_n,H$5,Sch_bmax,"&gt;="&amp;($A136-0.000000001))-Beta_y*$A136,"")</f>
        <v/>
      </c>
      <c r="J136" s="15" t="n">
        <f aca="false">IF(ISNUMBER(B136),1,0)</f>
        <v>1</v>
      </c>
      <c r="K136" s="15" t="n">
        <f aca="false">IF(ISNUMBER(C136),1,0)</f>
        <v>1</v>
      </c>
      <c r="L136" s="15" t="n">
        <f aca="false">IF(ISNUMBER(D136),1,0)</f>
        <v>1</v>
      </c>
      <c r="M136" s="15" t="n">
        <f aca="false">IF(ISNUMBER(E136),1,0)</f>
        <v>1</v>
      </c>
      <c r="N136" s="15" t="n">
        <f aca="false">IF(ISNUMBER(F136),1,0)</f>
        <v>1</v>
      </c>
      <c r="O136" s="15" t="n">
        <f aca="false">IF(ISNUMBER(G136),1,0)</f>
        <v>1</v>
      </c>
      <c r="P136" s="15" t="n">
        <f aca="false">IF(ISNUMBER(H136),1,0)</f>
        <v>0</v>
      </c>
      <c r="R136" s="15" t="n">
        <f aca="false">IF(J136=1,_xlfn.MINIFS(Sch_idx,Sch_n,B$5,Sch_bmax,"&gt;="&amp;($A136-0.000000001),Sch_P0,"&gt;="&amp;(B136+Beta_y*$A136-0.000000001)),"")</f>
        <v>0</v>
      </c>
      <c r="S136" s="15" t="n">
        <f aca="false">IF(K136=1,_xlfn.MINIFS(Sch_idx,Sch_n,C$5,Sch_bmax,"&gt;="&amp;($A136-0.000000001),Sch_P0,"&gt;="&amp;(C136+Beta_y*$A136-0.000000001)),"")</f>
        <v>32</v>
      </c>
      <c r="T136" s="15" t="n">
        <f aca="false">IF(L136=1,_xlfn.MINIFS(Sch_idx,Sch_n,D$5,Sch_bmax,"&gt;="&amp;($A136-0.000000001),Sch_P0,"&gt;="&amp;(D136+Beta_y*$A136-0.000000001)),"")</f>
        <v>40</v>
      </c>
      <c r="U136" s="15" t="n">
        <f aca="false">IF(M136=1,_xlfn.MINIFS(Sch_idx,Sch_n,E$5,Sch_bmax,"&gt;="&amp;($A136-0.000000001),Sch_P0,"&gt;="&amp;(E136+Beta_y*$A136-0.000000001)),"")</f>
        <v>44</v>
      </c>
      <c r="V136" s="15" t="n">
        <f aca="false">IF(N136=1,_xlfn.MINIFS(Sch_idx,Sch_n,F$5,Sch_bmax,"&gt;="&amp;($A136-0.000000001),Sch_P0,"&gt;="&amp;(F136+Beta_y*$A136-0.000000001)),"")</f>
        <v>45</v>
      </c>
      <c r="W136" s="15" t="n">
        <f aca="false">IF(O136=1,_xlfn.MINIFS(Sch_idx,Sch_n,G$5,Sch_bmax,"&gt;="&amp;($A136-0.000000001),Sch_P0,"&gt;="&amp;(G136+Beta_y*$A136-0.000000001)),"")</f>
        <v>47</v>
      </c>
      <c r="X136" s="15" t="str">
        <f aca="false">IF(P136=1,_xlfn.MINIFS(Sch_idx,Sch_n,H$5,Sch_bmax,"&gt;="&amp;($A136-0.000000001),Sch_P0,"&gt;="&amp;(H136+Beta_y*$A136-0.000000001)),"")</f>
        <v/>
      </c>
      <c r="Z136" s="15" t="n">
        <f aca="false">IF(J136=1,IF(COUNTIFS(K136:$P136,1,C136:$H136,"&gt;="&amp;(B136-0.000000001))&gt;0,0,1),"")</f>
        <v>0</v>
      </c>
      <c r="AA136" s="15" t="n">
        <f aca="false">IF(K136=1,IF(COUNTIFS(L136:$P136,1,D136:$H136,"&gt;="&amp;(C136-0.000000001))&gt;0,0,1),"")</f>
        <v>1</v>
      </c>
      <c r="AB136" s="15" t="n">
        <f aca="false">IF(L136=1,IF(COUNTIFS(M136:$P136,1,E136:$H136,"&gt;="&amp;(D136-0.000000001))&gt;0,0,1),"")</f>
        <v>1</v>
      </c>
      <c r="AC136" s="15" t="n">
        <f aca="false">IF(M136=1,IF(COUNTIFS(N136:$P136,1,F136:$H136,"&gt;="&amp;(E136-0.000000001))&gt;0,0,1),"")</f>
        <v>1</v>
      </c>
      <c r="AD136" s="15" t="n">
        <f aca="false">IF(N136=1,IF(COUNTIFS(O136:$P136,1,G136:$H136,"&gt;="&amp;(F136-0.000000001))&gt;0,0,1),"")</f>
        <v>1</v>
      </c>
      <c r="AE136" s="15" t="n">
        <f aca="false">IF(O136=1,IF(COUNTIFS(P136:$P136,1,H136:$H136,"&gt;="&amp;(G136-0.000000001))&gt;0,0,1),"")</f>
        <v>1</v>
      </c>
      <c r="AF136" s="15" t="str">
        <f aca="false">IF(P136=1,1,"")</f>
        <v/>
      </c>
    </row>
    <row r="137" customFormat="false" ht="15" hidden="false" customHeight="false" outlineLevel="0" collapsed="false">
      <c r="A137" s="2" t="n">
        <v>131</v>
      </c>
      <c r="B137" s="16" t="n">
        <f aca="false">IF(COUNTIFS(Sch_n,B$5,Sch_bmax,"&gt;="&amp;($A137-0.000000001))&gt;0,_xlfn.MAXIFS(Sch_P0,Sch_n,B$5,Sch_bmax,"&gt;="&amp;($A137-0.000000001))-Beta_y*$A137,"")</f>
        <v>17.2727272727273</v>
      </c>
      <c r="C137" s="16" t="n">
        <f aca="false">IF(COUNTIFS(Sch_n,C$5,Sch_bmax,"&gt;="&amp;($A137-0.000000001))&gt;0,_xlfn.MAXIFS(Sch_P0,Sch_n,C$5,Sch_bmax,"&gt;="&amp;($A137-0.000000001))-Beta_y*$A137,"")</f>
        <v>251.581734978361</v>
      </c>
      <c r="D137" s="16" t="n">
        <f aca="false">IF(COUNTIFS(Sch_n,D$5,Sch_bmax,"&gt;="&amp;($A137-0.000000001))&gt;0,_xlfn.MAXIFS(Sch_P0,Sch_n,D$5,Sch_bmax,"&gt;="&amp;($A137-0.000000001))-Beta_y*$A137,"")</f>
        <v>241.941931437867</v>
      </c>
      <c r="E137" s="16" t="n">
        <f aca="false">IF(COUNTIFS(Sch_n,E$5,Sch_bmax,"&gt;="&amp;($A137-0.000000001))&gt;0,_xlfn.MAXIFS(Sch_P0,Sch_n,E$5,Sch_bmax,"&gt;="&amp;($A137-0.000000001))-Beta_y*$A137,"")</f>
        <v>182.961377000284</v>
      </c>
      <c r="F137" s="16" t="n">
        <f aca="false">IF(COUNTIFS(Sch_n,F$5,Sch_bmax,"&gt;="&amp;($A137-0.000000001))&gt;0,_xlfn.MAXIFS(Sch_P0,Sch_n,F$5,Sch_bmax,"&gt;="&amp;($A137-0.000000001))-Beta_y*$A137,"")</f>
        <v>113.389965121156</v>
      </c>
      <c r="G137" s="16" t="n">
        <f aca="false">IF(COUNTIFS(Sch_n,G$5,Sch_bmax,"&gt;="&amp;($A137-0.000000001))&gt;0,_xlfn.MAXIFS(Sch_P0,Sch_n,G$5,Sch_bmax,"&gt;="&amp;($A137-0.000000001))-Beta_y*$A137,"")</f>
        <v>39.3309854981003</v>
      </c>
      <c r="H137" s="16" t="str">
        <f aca="false">IF(COUNTIFS(Sch_n,H$5,Sch_bmax,"&gt;="&amp;($A137-0.000000001))&gt;0,_xlfn.MAXIFS(Sch_P0,Sch_n,H$5,Sch_bmax,"&gt;="&amp;($A137-0.000000001))-Beta_y*$A137,"")</f>
        <v/>
      </c>
      <c r="J137" s="15" t="n">
        <f aca="false">IF(ISNUMBER(B137),1,0)</f>
        <v>1</v>
      </c>
      <c r="K137" s="15" t="n">
        <f aca="false">IF(ISNUMBER(C137),1,0)</f>
        <v>1</v>
      </c>
      <c r="L137" s="15" t="n">
        <f aca="false">IF(ISNUMBER(D137),1,0)</f>
        <v>1</v>
      </c>
      <c r="M137" s="15" t="n">
        <f aca="false">IF(ISNUMBER(E137),1,0)</f>
        <v>1</v>
      </c>
      <c r="N137" s="15" t="n">
        <f aca="false">IF(ISNUMBER(F137),1,0)</f>
        <v>1</v>
      </c>
      <c r="O137" s="15" t="n">
        <f aca="false">IF(ISNUMBER(G137),1,0)</f>
        <v>1</v>
      </c>
      <c r="P137" s="15" t="n">
        <f aca="false">IF(ISNUMBER(H137),1,0)</f>
        <v>0</v>
      </c>
      <c r="R137" s="15" t="n">
        <f aca="false">IF(J137=1,_xlfn.MINIFS(Sch_idx,Sch_n,B$5,Sch_bmax,"&gt;="&amp;($A137-0.000000001),Sch_P0,"&gt;="&amp;(B137+Beta_y*$A137-0.000000001)),"")</f>
        <v>0</v>
      </c>
      <c r="S137" s="15" t="n">
        <f aca="false">IF(K137=1,_xlfn.MINIFS(Sch_idx,Sch_n,C$5,Sch_bmax,"&gt;="&amp;($A137-0.000000001),Sch_P0,"&gt;="&amp;(C137+Beta_y*$A137-0.000000001)),"")</f>
        <v>32</v>
      </c>
      <c r="T137" s="15" t="n">
        <f aca="false">IF(L137=1,_xlfn.MINIFS(Sch_idx,Sch_n,D$5,Sch_bmax,"&gt;="&amp;($A137-0.000000001),Sch_P0,"&gt;="&amp;(D137+Beta_y*$A137-0.000000001)),"")</f>
        <v>40</v>
      </c>
      <c r="U137" s="15" t="n">
        <f aca="false">IF(M137=1,_xlfn.MINIFS(Sch_idx,Sch_n,E$5,Sch_bmax,"&gt;="&amp;($A137-0.000000001),Sch_P0,"&gt;="&amp;(E137+Beta_y*$A137-0.000000001)),"")</f>
        <v>44</v>
      </c>
      <c r="V137" s="15" t="n">
        <f aca="false">IF(N137=1,_xlfn.MINIFS(Sch_idx,Sch_n,F$5,Sch_bmax,"&gt;="&amp;($A137-0.000000001),Sch_P0,"&gt;="&amp;(F137+Beta_y*$A137-0.000000001)),"")</f>
        <v>45</v>
      </c>
      <c r="W137" s="15" t="n">
        <f aca="false">IF(O137=1,_xlfn.MINIFS(Sch_idx,Sch_n,G$5,Sch_bmax,"&gt;="&amp;($A137-0.000000001),Sch_P0,"&gt;="&amp;(G137+Beta_y*$A137-0.000000001)),"")</f>
        <v>47</v>
      </c>
      <c r="X137" s="15" t="str">
        <f aca="false">IF(P137=1,_xlfn.MINIFS(Sch_idx,Sch_n,H$5,Sch_bmax,"&gt;="&amp;($A137-0.000000001),Sch_P0,"&gt;="&amp;(H137+Beta_y*$A137-0.000000001)),"")</f>
        <v/>
      </c>
      <c r="Z137" s="15" t="n">
        <f aca="false">IF(J137=1,IF(COUNTIFS(K137:$P137,1,C137:$H137,"&gt;="&amp;(B137-0.000000001))&gt;0,0,1),"")</f>
        <v>0</v>
      </c>
      <c r="AA137" s="15" t="n">
        <f aca="false">IF(K137=1,IF(COUNTIFS(L137:$P137,1,D137:$H137,"&gt;="&amp;(C137-0.000000001))&gt;0,0,1),"")</f>
        <v>1</v>
      </c>
      <c r="AB137" s="15" t="n">
        <f aca="false">IF(L137=1,IF(COUNTIFS(M137:$P137,1,E137:$H137,"&gt;="&amp;(D137-0.000000001))&gt;0,0,1),"")</f>
        <v>1</v>
      </c>
      <c r="AC137" s="15" t="n">
        <f aca="false">IF(M137=1,IF(COUNTIFS(N137:$P137,1,F137:$H137,"&gt;="&amp;(E137-0.000000001))&gt;0,0,1),"")</f>
        <v>1</v>
      </c>
      <c r="AD137" s="15" t="n">
        <f aca="false">IF(N137=1,IF(COUNTIFS(O137:$P137,1,G137:$H137,"&gt;="&amp;(F137-0.000000001))&gt;0,0,1),"")</f>
        <v>1</v>
      </c>
      <c r="AE137" s="15" t="n">
        <f aca="false">IF(O137=1,IF(COUNTIFS(P137:$P137,1,H137:$H137,"&gt;="&amp;(G137-0.000000001))&gt;0,0,1),"")</f>
        <v>1</v>
      </c>
      <c r="AF137" s="15" t="str">
        <f aca="false">IF(P137=1,1,"")</f>
        <v/>
      </c>
    </row>
    <row r="138" customFormat="false" ht="15" hidden="false" customHeight="false" outlineLevel="0" collapsed="false">
      <c r="A138" s="2" t="n">
        <v>132</v>
      </c>
      <c r="B138" s="16" t="n">
        <f aca="false">IF(COUNTIFS(Sch_n,B$5,Sch_bmax,"&gt;="&amp;($A138-0.000000001))&gt;0,_xlfn.MAXIFS(Sch_P0,Sch_n,B$5,Sch_bmax,"&gt;="&amp;($A138-0.000000001))-Beta_y*$A138,"")</f>
        <v>16.3636363636363</v>
      </c>
      <c r="C138" s="16" t="n">
        <f aca="false">IF(COUNTIFS(Sch_n,C$5,Sch_bmax,"&gt;="&amp;($A138-0.000000001))&gt;0,_xlfn.MAXIFS(Sch_P0,Sch_n,C$5,Sch_bmax,"&gt;="&amp;($A138-0.000000001))-Beta_y*$A138,"")</f>
        <v>250.67264406927</v>
      </c>
      <c r="D138" s="16" t="n">
        <f aca="false">IF(COUNTIFS(Sch_n,D$5,Sch_bmax,"&gt;="&amp;($A138-0.000000001))&gt;0,_xlfn.MAXIFS(Sch_P0,Sch_n,D$5,Sch_bmax,"&gt;="&amp;($A138-0.000000001))-Beta_y*$A138,"")</f>
        <v>241.032840528777</v>
      </c>
      <c r="E138" s="16" t="n">
        <f aca="false">IF(COUNTIFS(Sch_n,E$5,Sch_bmax,"&gt;="&amp;($A138-0.000000001))&gt;0,_xlfn.MAXIFS(Sch_P0,Sch_n,E$5,Sch_bmax,"&gt;="&amp;($A138-0.000000001))-Beta_y*$A138,"")</f>
        <v>182.052286091193</v>
      </c>
      <c r="F138" s="16" t="n">
        <f aca="false">IF(COUNTIFS(Sch_n,F$5,Sch_bmax,"&gt;="&amp;($A138-0.000000001))&gt;0,_xlfn.MAXIFS(Sch_P0,Sch_n,F$5,Sch_bmax,"&gt;="&amp;($A138-0.000000001))-Beta_y*$A138,"")</f>
        <v>112.480874212065</v>
      </c>
      <c r="G138" s="16" t="n">
        <f aca="false">IF(COUNTIFS(Sch_n,G$5,Sch_bmax,"&gt;="&amp;($A138-0.000000001))&gt;0,_xlfn.MAXIFS(Sch_P0,Sch_n,G$5,Sch_bmax,"&gt;="&amp;($A138-0.000000001))-Beta_y*$A138,"")</f>
        <v>38.4218945890094</v>
      </c>
      <c r="H138" s="16" t="str">
        <f aca="false">IF(COUNTIFS(Sch_n,H$5,Sch_bmax,"&gt;="&amp;($A138-0.000000001))&gt;0,_xlfn.MAXIFS(Sch_P0,Sch_n,H$5,Sch_bmax,"&gt;="&amp;($A138-0.000000001))-Beta_y*$A138,"")</f>
        <v/>
      </c>
      <c r="J138" s="15" t="n">
        <f aca="false">IF(ISNUMBER(B138),1,0)</f>
        <v>1</v>
      </c>
      <c r="K138" s="15" t="n">
        <f aca="false">IF(ISNUMBER(C138),1,0)</f>
        <v>1</v>
      </c>
      <c r="L138" s="15" t="n">
        <f aca="false">IF(ISNUMBER(D138),1,0)</f>
        <v>1</v>
      </c>
      <c r="M138" s="15" t="n">
        <f aca="false">IF(ISNUMBER(E138),1,0)</f>
        <v>1</v>
      </c>
      <c r="N138" s="15" t="n">
        <f aca="false">IF(ISNUMBER(F138),1,0)</f>
        <v>1</v>
      </c>
      <c r="O138" s="15" t="n">
        <f aca="false">IF(ISNUMBER(G138),1,0)</f>
        <v>1</v>
      </c>
      <c r="P138" s="15" t="n">
        <f aca="false">IF(ISNUMBER(H138),1,0)</f>
        <v>0</v>
      </c>
      <c r="R138" s="15" t="n">
        <f aca="false">IF(J138=1,_xlfn.MINIFS(Sch_idx,Sch_n,B$5,Sch_bmax,"&gt;="&amp;($A138-0.000000001),Sch_P0,"&gt;="&amp;(B138+Beta_y*$A138-0.000000001)),"")</f>
        <v>0</v>
      </c>
      <c r="S138" s="15" t="n">
        <f aca="false">IF(K138=1,_xlfn.MINIFS(Sch_idx,Sch_n,C$5,Sch_bmax,"&gt;="&amp;($A138-0.000000001),Sch_P0,"&gt;="&amp;(C138+Beta_y*$A138-0.000000001)),"")</f>
        <v>32</v>
      </c>
      <c r="T138" s="15" t="n">
        <f aca="false">IF(L138=1,_xlfn.MINIFS(Sch_idx,Sch_n,D$5,Sch_bmax,"&gt;="&amp;($A138-0.000000001),Sch_P0,"&gt;="&amp;(D138+Beta_y*$A138-0.000000001)),"")</f>
        <v>40</v>
      </c>
      <c r="U138" s="15" t="n">
        <f aca="false">IF(M138=1,_xlfn.MINIFS(Sch_idx,Sch_n,E$5,Sch_bmax,"&gt;="&amp;($A138-0.000000001),Sch_P0,"&gt;="&amp;(E138+Beta_y*$A138-0.000000001)),"")</f>
        <v>44</v>
      </c>
      <c r="V138" s="15" t="n">
        <f aca="false">IF(N138=1,_xlfn.MINIFS(Sch_idx,Sch_n,F$5,Sch_bmax,"&gt;="&amp;($A138-0.000000001),Sch_P0,"&gt;="&amp;(F138+Beta_y*$A138-0.000000001)),"")</f>
        <v>45</v>
      </c>
      <c r="W138" s="15" t="n">
        <f aca="false">IF(O138=1,_xlfn.MINIFS(Sch_idx,Sch_n,G$5,Sch_bmax,"&gt;="&amp;($A138-0.000000001),Sch_P0,"&gt;="&amp;(G138+Beta_y*$A138-0.000000001)),"")</f>
        <v>47</v>
      </c>
      <c r="X138" s="15" t="str">
        <f aca="false">IF(P138=1,_xlfn.MINIFS(Sch_idx,Sch_n,H$5,Sch_bmax,"&gt;="&amp;($A138-0.000000001),Sch_P0,"&gt;="&amp;(H138+Beta_y*$A138-0.000000001)),"")</f>
        <v/>
      </c>
      <c r="Z138" s="15" t="n">
        <f aca="false">IF(J138=1,IF(COUNTIFS(K138:$P138,1,C138:$H138,"&gt;="&amp;(B138-0.000000001))&gt;0,0,1),"")</f>
        <v>0</v>
      </c>
      <c r="AA138" s="15" t="n">
        <f aca="false">IF(K138=1,IF(COUNTIFS(L138:$P138,1,D138:$H138,"&gt;="&amp;(C138-0.000000001))&gt;0,0,1),"")</f>
        <v>1</v>
      </c>
      <c r="AB138" s="15" t="n">
        <f aca="false">IF(L138=1,IF(COUNTIFS(M138:$P138,1,E138:$H138,"&gt;="&amp;(D138-0.000000001))&gt;0,0,1),"")</f>
        <v>1</v>
      </c>
      <c r="AC138" s="15" t="n">
        <f aca="false">IF(M138=1,IF(COUNTIFS(N138:$P138,1,F138:$H138,"&gt;="&amp;(E138-0.000000001))&gt;0,0,1),"")</f>
        <v>1</v>
      </c>
      <c r="AD138" s="15" t="n">
        <f aca="false">IF(N138=1,IF(COUNTIFS(O138:$P138,1,G138:$H138,"&gt;="&amp;(F138-0.000000001))&gt;0,0,1),"")</f>
        <v>1</v>
      </c>
      <c r="AE138" s="15" t="n">
        <f aca="false">IF(O138=1,IF(COUNTIFS(P138:$P138,1,H138:$H138,"&gt;="&amp;(G138-0.000000001))&gt;0,0,1),"")</f>
        <v>1</v>
      </c>
      <c r="AF138" s="15" t="str">
        <f aca="false">IF(P138=1,1,"")</f>
        <v/>
      </c>
    </row>
    <row r="139" customFormat="false" ht="15" hidden="false" customHeight="false" outlineLevel="0" collapsed="false">
      <c r="A139" s="2" t="n">
        <v>133</v>
      </c>
      <c r="B139" s="16" t="n">
        <f aca="false">IF(COUNTIFS(Sch_n,B$5,Sch_bmax,"&gt;="&amp;($A139-0.000000001))&gt;0,_xlfn.MAXIFS(Sch_P0,Sch_n,B$5,Sch_bmax,"&gt;="&amp;($A139-0.000000001))-Beta_y*$A139,"")</f>
        <v>15.4545454545454</v>
      </c>
      <c r="C139" s="16" t="n">
        <f aca="false">IF(COUNTIFS(Sch_n,C$5,Sch_bmax,"&gt;="&amp;($A139-0.000000001))&gt;0,_xlfn.MAXIFS(Sch_P0,Sch_n,C$5,Sch_bmax,"&gt;="&amp;($A139-0.000000001))-Beta_y*$A139,"")</f>
        <v>249.763553160179</v>
      </c>
      <c r="D139" s="16" t="n">
        <f aca="false">IF(COUNTIFS(Sch_n,D$5,Sch_bmax,"&gt;="&amp;($A139-0.000000001))&gt;0,_xlfn.MAXIFS(Sch_P0,Sch_n,D$5,Sch_bmax,"&gt;="&amp;($A139-0.000000001))-Beta_y*$A139,"")</f>
        <v>240.123749619686</v>
      </c>
      <c r="E139" s="16" t="n">
        <f aca="false">IF(COUNTIFS(Sch_n,E$5,Sch_bmax,"&gt;="&amp;($A139-0.000000001))&gt;0,_xlfn.MAXIFS(Sch_P0,Sch_n,E$5,Sch_bmax,"&gt;="&amp;($A139-0.000000001))-Beta_y*$A139,"")</f>
        <v>181.143195182102</v>
      </c>
      <c r="F139" s="16" t="n">
        <f aca="false">IF(COUNTIFS(Sch_n,F$5,Sch_bmax,"&gt;="&amp;($A139-0.000000001))&gt;0,_xlfn.MAXIFS(Sch_P0,Sch_n,F$5,Sch_bmax,"&gt;="&amp;($A139-0.000000001))-Beta_y*$A139,"")</f>
        <v>111.571783302974</v>
      </c>
      <c r="G139" s="16" t="n">
        <f aca="false">IF(COUNTIFS(Sch_n,G$5,Sch_bmax,"&gt;="&amp;($A139-0.000000001))&gt;0,_xlfn.MAXIFS(Sch_P0,Sch_n,G$5,Sch_bmax,"&gt;="&amp;($A139-0.000000001))-Beta_y*$A139,"")</f>
        <v>37.5128036799185</v>
      </c>
      <c r="H139" s="16" t="str">
        <f aca="false">IF(COUNTIFS(Sch_n,H$5,Sch_bmax,"&gt;="&amp;($A139-0.000000001))&gt;0,_xlfn.MAXIFS(Sch_P0,Sch_n,H$5,Sch_bmax,"&gt;="&amp;($A139-0.000000001))-Beta_y*$A139,"")</f>
        <v/>
      </c>
      <c r="J139" s="15" t="n">
        <f aca="false">IF(ISNUMBER(B139),1,0)</f>
        <v>1</v>
      </c>
      <c r="K139" s="15" t="n">
        <f aca="false">IF(ISNUMBER(C139),1,0)</f>
        <v>1</v>
      </c>
      <c r="L139" s="15" t="n">
        <f aca="false">IF(ISNUMBER(D139),1,0)</f>
        <v>1</v>
      </c>
      <c r="M139" s="15" t="n">
        <f aca="false">IF(ISNUMBER(E139),1,0)</f>
        <v>1</v>
      </c>
      <c r="N139" s="15" t="n">
        <f aca="false">IF(ISNUMBER(F139),1,0)</f>
        <v>1</v>
      </c>
      <c r="O139" s="15" t="n">
        <f aca="false">IF(ISNUMBER(G139),1,0)</f>
        <v>1</v>
      </c>
      <c r="P139" s="15" t="n">
        <f aca="false">IF(ISNUMBER(H139),1,0)</f>
        <v>0</v>
      </c>
      <c r="R139" s="15" t="n">
        <f aca="false">IF(J139=1,_xlfn.MINIFS(Sch_idx,Sch_n,B$5,Sch_bmax,"&gt;="&amp;($A139-0.000000001),Sch_P0,"&gt;="&amp;(B139+Beta_y*$A139-0.000000001)),"")</f>
        <v>0</v>
      </c>
      <c r="S139" s="15" t="n">
        <f aca="false">IF(K139=1,_xlfn.MINIFS(Sch_idx,Sch_n,C$5,Sch_bmax,"&gt;="&amp;($A139-0.000000001),Sch_P0,"&gt;="&amp;(C139+Beta_y*$A139-0.000000001)),"")</f>
        <v>32</v>
      </c>
      <c r="T139" s="15" t="n">
        <f aca="false">IF(L139=1,_xlfn.MINIFS(Sch_idx,Sch_n,D$5,Sch_bmax,"&gt;="&amp;($A139-0.000000001),Sch_P0,"&gt;="&amp;(D139+Beta_y*$A139-0.000000001)),"")</f>
        <v>40</v>
      </c>
      <c r="U139" s="15" t="n">
        <f aca="false">IF(M139=1,_xlfn.MINIFS(Sch_idx,Sch_n,E$5,Sch_bmax,"&gt;="&amp;($A139-0.000000001),Sch_P0,"&gt;="&amp;(E139+Beta_y*$A139-0.000000001)),"")</f>
        <v>44</v>
      </c>
      <c r="V139" s="15" t="n">
        <f aca="false">IF(N139=1,_xlfn.MINIFS(Sch_idx,Sch_n,F$5,Sch_bmax,"&gt;="&amp;($A139-0.000000001),Sch_P0,"&gt;="&amp;(F139+Beta_y*$A139-0.000000001)),"")</f>
        <v>45</v>
      </c>
      <c r="W139" s="15" t="n">
        <f aca="false">IF(O139=1,_xlfn.MINIFS(Sch_idx,Sch_n,G$5,Sch_bmax,"&gt;="&amp;($A139-0.000000001),Sch_P0,"&gt;="&amp;(G139+Beta_y*$A139-0.000000001)),"")</f>
        <v>47</v>
      </c>
      <c r="X139" s="15" t="str">
        <f aca="false">IF(P139=1,_xlfn.MINIFS(Sch_idx,Sch_n,H$5,Sch_bmax,"&gt;="&amp;($A139-0.000000001),Sch_P0,"&gt;="&amp;(H139+Beta_y*$A139-0.000000001)),"")</f>
        <v/>
      </c>
      <c r="Z139" s="15" t="n">
        <f aca="false">IF(J139=1,IF(COUNTIFS(K139:$P139,1,C139:$H139,"&gt;="&amp;(B139-0.000000001))&gt;0,0,1),"")</f>
        <v>0</v>
      </c>
      <c r="AA139" s="15" t="n">
        <f aca="false">IF(K139=1,IF(COUNTIFS(L139:$P139,1,D139:$H139,"&gt;="&amp;(C139-0.000000001))&gt;0,0,1),"")</f>
        <v>1</v>
      </c>
      <c r="AB139" s="15" t="n">
        <f aca="false">IF(L139=1,IF(COUNTIFS(M139:$P139,1,E139:$H139,"&gt;="&amp;(D139-0.000000001))&gt;0,0,1),"")</f>
        <v>1</v>
      </c>
      <c r="AC139" s="15" t="n">
        <f aca="false">IF(M139=1,IF(COUNTIFS(N139:$P139,1,F139:$H139,"&gt;="&amp;(E139-0.000000001))&gt;0,0,1),"")</f>
        <v>1</v>
      </c>
      <c r="AD139" s="15" t="n">
        <f aca="false">IF(N139=1,IF(COUNTIFS(O139:$P139,1,G139:$H139,"&gt;="&amp;(F139-0.000000001))&gt;0,0,1),"")</f>
        <v>1</v>
      </c>
      <c r="AE139" s="15" t="n">
        <f aca="false">IF(O139=1,IF(COUNTIFS(P139:$P139,1,H139:$H139,"&gt;="&amp;(G139-0.000000001))&gt;0,0,1),"")</f>
        <v>1</v>
      </c>
      <c r="AF139" s="15" t="str">
        <f aca="false">IF(P139=1,1,"")</f>
        <v/>
      </c>
    </row>
    <row r="140" customFormat="false" ht="15" hidden="false" customHeight="false" outlineLevel="0" collapsed="false">
      <c r="A140" s="2" t="n">
        <v>134</v>
      </c>
      <c r="B140" s="16" t="n">
        <f aca="false">IF(COUNTIFS(Sch_n,B$5,Sch_bmax,"&gt;="&amp;($A140-0.000000001))&gt;0,_xlfn.MAXIFS(Sch_P0,Sch_n,B$5,Sch_bmax,"&gt;="&amp;($A140-0.000000001))-Beta_y*$A140,"")</f>
        <v>14.5454545454545</v>
      </c>
      <c r="C140" s="16" t="n">
        <f aca="false">IF(COUNTIFS(Sch_n,C$5,Sch_bmax,"&gt;="&amp;($A140-0.000000001))&gt;0,_xlfn.MAXIFS(Sch_P0,Sch_n,C$5,Sch_bmax,"&gt;="&amp;($A140-0.000000001))-Beta_y*$A140,"")</f>
        <v>248.854462251088</v>
      </c>
      <c r="D140" s="16" t="n">
        <f aca="false">IF(COUNTIFS(Sch_n,D$5,Sch_bmax,"&gt;="&amp;($A140-0.000000001))&gt;0,_xlfn.MAXIFS(Sch_P0,Sch_n,D$5,Sch_bmax,"&gt;="&amp;($A140-0.000000001))-Beta_y*$A140,"")</f>
        <v>239.214658710595</v>
      </c>
      <c r="E140" s="16" t="n">
        <f aca="false">IF(COUNTIFS(Sch_n,E$5,Sch_bmax,"&gt;="&amp;($A140-0.000000001))&gt;0,_xlfn.MAXIFS(Sch_P0,Sch_n,E$5,Sch_bmax,"&gt;="&amp;($A140-0.000000001))-Beta_y*$A140,"")</f>
        <v>180.234104273011</v>
      </c>
      <c r="F140" s="16" t="n">
        <f aca="false">IF(COUNTIFS(Sch_n,F$5,Sch_bmax,"&gt;="&amp;($A140-0.000000001))&gt;0,_xlfn.MAXIFS(Sch_P0,Sch_n,F$5,Sch_bmax,"&gt;="&amp;($A140-0.000000001))-Beta_y*$A140,"")</f>
        <v>110.662692393883</v>
      </c>
      <c r="G140" s="16" t="n">
        <f aca="false">IF(COUNTIFS(Sch_n,G$5,Sch_bmax,"&gt;="&amp;($A140-0.000000001))&gt;0,_xlfn.MAXIFS(Sch_P0,Sch_n,G$5,Sch_bmax,"&gt;="&amp;($A140-0.000000001))-Beta_y*$A140,"")</f>
        <v>36.6037127708275</v>
      </c>
      <c r="H140" s="16" t="str">
        <f aca="false">IF(COUNTIFS(Sch_n,H$5,Sch_bmax,"&gt;="&amp;($A140-0.000000001))&gt;0,_xlfn.MAXIFS(Sch_P0,Sch_n,H$5,Sch_bmax,"&gt;="&amp;($A140-0.000000001))-Beta_y*$A140,"")</f>
        <v/>
      </c>
      <c r="J140" s="15" t="n">
        <f aca="false">IF(ISNUMBER(B140),1,0)</f>
        <v>1</v>
      </c>
      <c r="K140" s="15" t="n">
        <f aca="false">IF(ISNUMBER(C140),1,0)</f>
        <v>1</v>
      </c>
      <c r="L140" s="15" t="n">
        <f aca="false">IF(ISNUMBER(D140),1,0)</f>
        <v>1</v>
      </c>
      <c r="M140" s="15" t="n">
        <f aca="false">IF(ISNUMBER(E140),1,0)</f>
        <v>1</v>
      </c>
      <c r="N140" s="15" t="n">
        <f aca="false">IF(ISNUMBER(F140),1,0)</f>
        <v>1</v>
      </c>
      <c r="O140" s="15" t="n">
        <f aca="false">IF(ISNUMBER(G140),1,0)</f>
        <v>1</v>
      </c>
      <c r="P140" s="15" t="n">
        <f aca="false">IF(ISNUMBER(H140),1,0)</f>
        <v>0</v>
      </c>
      <c r="R140" s="15" t="n">
        <f aca="false">IF(J140=1,_xlfn.MINIFS(Sch_idx,Sch_n,B$5,Sch_bmax,"&gt;="&amp;($A140-0.000000001),Sch_P0,"&gt;="&amp;(B140+Beta_y*$A140-0.000000001)),"")</f>
        <v>0</v>
      </c>
      <c r="S140" s="15" t="n">
        <f aca="false">IF(K140=1,_xlfn.MINIFS(Sch_idx,Sch_n,C$5,Sch_bmax,"&gt;="&amp;($A140-0.000000001),Sch_P0,"&gt;="&amp;(C140+Beta_y*$A140-0.000000001)),"")</f>
        <v>32</v>
      </c>
      <c r="T140" s="15" t="n">
        <f aca="false">IF(L140=1,_xlfn.MINIFS(Sch_idx,Sch_n,D$5,Sch_bmax,"&gt;="&amp;($A140-0.000000001),Sch_P0,"&gt;="&amp;(D140+Beta_y*$A140-0.000000001)),"")</f>
        <v>40</v>
      </c>
      <c r="U140" s="15" t="n">
        <f aca="false">IF(M140=1,_xlfn.MINIFS(Sch_idx,Sch_n,E$5,Sch_bmax,"&gt;="&amp;($A140-0.000000001),Sch_P0,"&gt;="&amp;(E140+Beta_y*$A140-0.000000001)),"")</f>
        <v>44</v>
      </c>
      <c r="V140" s="15" t="n">
        <f aca="false">IF(N140=1,_xlfn.MINIFS(Sch_idx,Sch_n,F$5,Sch_bmax,"&gt;="&amp;($A140-0.000000001),Sch_P0,"&gt;="&amp;(F140+Beta_y*$A140-0.000000001)),"")</f>
        <v>45</v>
      </c>
      <c r="W140" s="15" t="n">
        <f aca="false">IF(O140=1,_xlfn.MINIFS(Sch_idx,Sch_n,G$5,Sch_bmax,"&gt;="&amp;($A140-0.000000001),Sch_P0,"&gt;="&amp;(G140+Beta_y*$A140-0.000000001)),"")</f>
        <v>47</v>
      </c>
      <c r="X140" s="15" t="str">
        <f aca="false">IF(P140=1,_xlfn.MINIFS(Sch_idx,Sch_n,H$5,Sch_bmax,"&gt;="&amp;($A140-0.000000001),Sch_P0,"&gt;="&amp;(H140+Beta_y*$A140-0.000000001)),"")</f>
        <v/>
      </c>
      <c r="Z140" s="15" t="n">
        <f aca="false">IF(J140=1,IF(COUNTIFS(K140:$P140,1,C140:$H140,"&gt;="&amp;(B140-0.000000001))&gt;0,0,1),"")</f>
        <v>0</v>
      </c>
      <c r="AA140" s="15" t="n">
        <f aca="false">IF(K140=1,IF(COUNTIFS(L140:$P140,1,D140:$H140,"&gt;="&amp;(C140-0.000000001))&gt;0,0,1),"")</f>
        <v>1</v>
      </c>
      <c r="AB140" s="15" t="n">
        <f aca="false">IF(L140=1,IF(COUNTIFS(M140:$P140,1,E140:$H140,"&gt;="&amp;(D140-0.000000001))&gt;0,0,1),"")</f>
        <v>1</v>
      </c>
      <c r="AC140" s="15" t="n">
        <f aca="false">IF(M140=1,IF(COUNTIFS(N140:$P140,1,F140:$H140,"&gt;="&amp;(E140-0.000000001))&gt;0,0,1),"")</f>
        <v>1</v>
      </c>
      <c r="AD140" s="15" t="n">
        <f aca="false">IF(N140=1,IF(COUNTIFS(O140:$P140,1,G140:$H140,"&gt;="&amp;(F140-0.000000001))&gt;0,0,1),"")</f>
        <v>1</v>
      </c>
      <c r="AE140" s="15" t="n">
        <f aca="false">IF(O140=1,IF(COUNTIFS(P140:$P140,1,H140:$H140,"&gt;="&amp;(G140-0.000000001))&gt;0,0,1),"")</f>
        <v>1</v>
      </c>
      <c r="AF140" s="15" t="str">
        <f aca="false">IF(P140=1,1,"")</f>
        <v/>
      </c>
    </row>
    <row r="141" customFormat="false" ht="15" hidden="false" customHeight="false" outlineLevel="0" collapsed="false">
      <c r="A141" s="2" t="n">
        <v>135</v>
      </c>
      <c r="B141" s="16" t="n">
        <f aca="false">IF(COUNTIFS(Sch_n,B$5,Sch_bmax,"&gt;="&amp;($A141-0.000000001))&gt;0,_xlfn.MAXIFS(Sch_P0,Sch_n,B$5,Sch_bmax,"&gt;="&amp;($A141-0.000000001))-Beta_y*$A141,"")</f>
        <v>13.6363636363636</v>
      </c>
      <c r="C141" s="16" t="n">
        <f aca="false">IF(COUNTIFS(Sch_n,C$5,Sch_bmax,"&gt;="&amp;($A141-0.000000001))&gt;0,_xlfn.MAXIFS(Sch_P0,Sch_n,C$5,Sch_bmax,"&gt;="&amp;($A141-0.000000001))-Beta_y*$A141,"")</f>
        <v>247.945371341997</v>
      </c>
      <c r="D141" s="16" t="n">
        <f aca="false">IF(COUNTIFS(Sch_n,D$5,Sch_bmax,"&gt;="&amp;($A141-0.000000001))&gt;0,_xlfn.MAXIFS(Sch_P0,Sch_n,D$5,Sch_bmax,"&gt;="&amp;($A141-0.000000001))-Beta_y*$A141,"")</f>
        <v>238.305567801504</v>
      </c>
      <c r="E141" s="16" t="n">
        <f aca="false">IF(COUNTIFS(Sch_n,E$5,Sch_bmax,"&gt;="&amp;($A141-0.000000001))&gt;0,_xlfn.MAXIFS(Sch_P0,Sch_n,E$5,Sch_bmax,"&gt;="&amp;($A141-0.000000001))-Beta_y*$A141,"")</f>
        <v>179.32501336392</v>
      </c>
      <c r="F141" s="16" t="n">
        <f aca="false">IF(COUNTIFS(Sch_n,F$5,Sch_bmax,"&gt;="&amp;($A141-0.000000001))&gt;0,_xlfn.MAXIFS(Sch_P0,Sch_n,F$5,Sch_bmax,"&gt;="&amp;($A141-0.000000001))-Beta_y*$A141,"")</f>
        <v>109.753601484792</v>
      </c>
      <c r="G141" s="16" t="n">
        <f aca="false">IF(COUNTIFS(Sch_n,G$5,Sch_bmax,"&gt;="&amp;($A141-0.000000001))&gt;0,_xlfn.MAXIFS(Sch_P0,Sch_n,G$5,Sch_bmax,"&gt;="&amp;($A141-0.000000001))-Beta_y*$A141,"")</f>
        <v>35.6946218617366</v>
      </c>
      <c r="H141" s="16" t="str">
        <f aca="false">IF(COUNTIFS(Sch_n,H$5,Sch_bmax,"&gt;="&amp;($A141-0.000000001))&gt;0,_xlfn.MAXIFS(Sch_P0,Sch_n,H$5,Sch_bmax,"&gt;="&amp;($A141-0.000000001))-Beta_y*$A141,"")</f>
        <v/>
      </c>
      <c r="J141" s="15" t="n">
        <f aca="false">IF(ISNUMBER(B141),1,0)</f>
        <v>1</v>
      </c>
      <c r="K141" s="15" t="n">
        <f aca="false">IF(ISNUMBER(C141),1,0)</f>
        <v>1</v>
      </c>
      <c r="L141" s="15" t="n">
        <f aca="false">IF(ISNUMBER(D141),1,0)</f>
        <v>1</v>
      </c>
      <c r="M141" s="15" t="n">
        <f aca="false">IF(ISNUMBER(E141),1,0)</f>
        <v>1</v>
      </c>
      <c r="N141" s="15" t="n">
        <f aca="false">IF(ISNUMBER(F141),1,0)</f>
        <v>1</v>
      </c>
      <c r="O141" s="15" t="n">
        <f aca="false">IF(ISNUMBER(G141),1,0)</f>
        <v>1</v>
      </c>
      <c r="P141" s="15" t="n">
        <f aca="false">IF(ISNUMBER(H141),1,0)</f>
        <v>0</v>
      </c>
      <c r="R141" s="15" t="n">
        <f aca="false">IF(J141=1,_xlfn.MINIFS(Sch_idx,Sch_n,B$5,Sch_bmax,"&gt;="&amp;($A141-0.000000001),Sch_P0,"&gt;="&amp;(B141+Beta_y*$A141-0.000000001)),"")</f>
        <v>0</v>
      </c>
      <c r="S141" s="15" t="n">
        <f aca="false">IF(K141=1,_xlfn.MINIFS(Sch_idx,Sch_n,C$5,Sch_bmax,"&gt;="&amp;($A141-0.000000001),Sch_P0,"&gt;="&amp;(C141+Beta_y*$A141-0.000000001)),"")</f>
        <v>32</v>
      </c>
      <c r="T141" s="15" t="n">
        <f aca="false">IF(L141=1,_xlfn.MINIFS(Sch_idx,Sch_n,D$5,Sch_bmax,"&gt;="&amp;($A141-0.000000001),Sch_P0,"&gt;="&amp;(D141+Beta_y*$A141-0.000000001)),"")</f>
        <v>40</v>
      </c>
      <c r="U141" s="15" t="n">
        <f aca="false">IF(M141=1,_xlfn.MINIFS(Sch_idx,Sch_n,E$5,Sch_bmax,"&gt;="&amp;($A141-0.000000001),Sch_P0,"&gt;="&amp;(E141+Beta_y*$A141-0.000000001)),"")</f>
        <v>44</v>
      </c>
      <c r="V141" s="15" t="n">
        <f aca="false">IF(N141=1,_xlfn.MINIFS(Sch_idx,Sch_n,F$5,Sch_bmax,"&gt;="&amp;($A141-0.000000001),Sch_P0,"&gt;="&amp;(F141+Beta_y*$A141-0.000000001)),"")</f>
        <v>45</v>
      </c>
      <c r="W141" s="15" t="n">
        <f aca="false">IF(O141=1,_xlfn.MINIFS(Sch_idx,Sch_n,G$5,Sch_bmax,"&gt;="&amp;($A141-0.000000001),Sch_P0,"&gt;="&amp;(G141+Beta_y*$A141-0.000000001)),"")</f>
        <v>47</v>
      </c>
      <c r="X141" s="15" t="str">
        <f aca="false">IF(P141=1,_xlfn.MINIFS(Sch_idx,Sch_n,H$5,Sch_bmax,"&gt;="&amp;($A141-0.000000001),Sch_P0,"&gt;="&amp;(H141+Beta_y*$A141-0.000000001)),"")</f>
        <v/>
      </c>
      <c r="Z141" s="15" t="n">
        <f aca="false">IF(J141=1,IF(COUNTIFS(K141:$P141,1,C141:$H141,"&gt;="&amp;(B141-0.000000001))&gt;0,0,1),"")</f>
        <v>0</v>
      </c>
      <c r="AA141" s="15" t="n">
        <f aca="false">IF(K141=1,IF(COUNTIFS(L141:$P141,1,D141:$H141,"&gt;="&amp;(C141-0.000000001))&gt;0,0,1),"")</f>
        <v>1</v>
      </c>
      <c r="AB141" s="15" t="n">
        <f aca="false">IF(L141=1,IF(COUNTIFS(M141:$P141,1,E141:$H141,"&gt;="&amp;(D141-0.000000001))&gt;0,0,1),"")</f>
        <v>1</v>
      </c>
      <c r="AC141" s="15" t="n">
        <f aca="false">IF(M141=1,IF(COUNTIFS(N141:$P141,1,F141:$H141,"&gt;="&amp;(E141-0.000000001))&gt;0,0,1),"")</f>
        <v>1</v>
      </c>
      <c r="AD141" s="15" t="n">
        <f aca="false">IF(N141=1,IF(COUNTIFS(O141:$P141,1,G141:$H141,"&gt;="&amp;(F141-0.000000001))&gt;0,0,1),"")</f>
        <v>1</v>
      </c>
      <c r="AE141" s="15" t="n">
        <f aca="false">IF(O141=1,IF(COUNTIFS(P141:$P141,1,H141:$H141,"&gt;="&amp;(G141-0.000000001))&gt;0,0,1),"")</f>
        <v>1</v>
      </c>
      <c r="AF141" s="15" t="str">
        <f aca="false">IF(P141=1,1,"")</f>
        <v/>
      </c>
    </row>
    <row r="142" customFormat="false" ht="15" hidden="false" customHeight="false" outlineLevel="0" collapsed="false">
      <c r="A142" s="2" t="n">
        <v>136</v>
      </c>
      <c r="B142" s="16" t="n">
        <f aca="false">IF(COUNTIFS(Sch_n,B$5,Sch_bmax,"&gt;="&amp;($A142-0.000000001))&gt;0,_xlfn.MAXIFS(Sch_P0,Sch_n,B$5,Sch_bmax,"&gt;="&amp;($A142-0.000000001))-Beta_y*$A142,"")</f>
        <v>12.7272727272727</v>
      </c>
      <c r="C142" s="16" t="n">
        <f aca="false">IF(COUNTIFS(Sch_n,C$5,Sch_bmax,"&gt;="&amp;($A142-0.000000001))&gt;0,_xlfn.MAXIFS(Sch_P0,Sch_n,C$5,Sch_bmax,"&gt;="&amp;($A142-0.000000001))-Beta_y*$A142,"")</f>
        <v>247.036280432906</v>
      </c>
      <c r="D142" s="16" t="n">
        <f aca="false">IF(COUNTIFS(Sch_n,D$5,Sch_bmax,"&gt;="&amp;($A142-0.000000001))&gt;0,_xlfn.MAXIFS(Sch_P0,Sch_n,D$5,Sch_bmax,"&gt;="&amp;($A142-0.000000001))-Beta_y*$A142,"")</f>
        <v>237.396476892413</v>
      </c>
      <c r="E142" s="16" t="n">
        <f aca="false">IF(COUNTIFS(Sch_n,E$5,Sch_bmax,"&gt;="&amp;($A142-0.000000001))&gt;0,_xlfn.MAXIFS(Sch_P0,Sch_n,E$5,Sch_bmax,"&gt;="&amp;($A142-0.000000001))-Beta_y*$A142,"")</f>
        <v>178.415922454829</v>
      </c>
      <c r="F142" s="16" t="n">
        <f aca="false">IF(COUNTIFS(Sch_n,F$5,Sch_bmax,"&gt;="&amp;($A142-0.000000001))&gt;0,_xlfn.MAXIFS(Sch_P0,Sch_n,F$5,Sch_bmax,"&gt;="&amp;($A142-0.000000001))-Beta_y*$A142,"")</f>
        <v>108.844510575701</v>
      </c>
      <c r="G142" s="16" t="n">
        <f aca="false">IF(COUNTIFS(Sch_n,G$5,Sch_bmax,"&gt;="&amp;($A142-0.000000001))&gt;0,_xlfn.MAXIFS(Sch_P0,Sch_n,G$5,Sch_bmax,"&gt;="&amp;($A142-0.000000001))-Beta_y*$A142,"")</f>
        <v>34.7855309526457</v>
      </c>
      <c r="H142" s="16" t="str">
        <f aca="false">IF(COUNTIFS(Sch_n,H$5,Sch_bmax,"&gt;="&amp;($A142-0.000000001))&gt;0,_xlfn.MAXIFS(Sch_P0,Sch_n,H$5,Sch_bmax,"&gt;="&amp;($A142-0.000000001))-Beta_y*$A142,"")</f>
        <v/>
      </c>
      <c r="J142" s="15" t="n">
        <f aca="false">IF(ISNUMBER(B142),1,0)</f>
        <v>1</v>
      </c>
      <c r="K142" s="15" t="n">
        <f aca="false">IF(ISNUMBER(C142),1,0)</f>
        <v>1</v>
      </c>
      <c r="L142" s="15" t="n">
        <f aca="false">IF(ISNUMBER(D142),1,0)</f>
        <v>1</v>
      </c>
      <c r="M142" s="15" t="n">
        <f aca="false">IF(ISNUMBER(E142),1,0)</f>
        <v>1</v>
      </c>
      <c r="N142" s="15" t="n">
        <f aca="false">IF(ISNUMBER(F142),1,0)</f>
        <v>1</v>
      </c>
      <c r="O142" s="15" t="n">
        <f aca="false">IF(ISNUMBER(G142),1,0)</f>
        <v>1</v>
      </c>
      <c r="P142" s="15" t="n">
        <f aca="false">IF(ISNUMBER(H142),1,0)</f>
        <v>0</v>
      </c>
      <c r="R142" s="15" t="n">
        <f aca="false">IF(J142=1,_xlfn.MINIFS(Sch_idx,Sch_n,B$5,Sch_bmax,"&gt;="&amp;($A142-0.000000001),Sch_P0,"&gt;="&amp;(B142+Beta_y*$A142-0.000000001)),"")</f>
        <v>0</v>
      </c>
      <c r="S142" s="15" t="n">
        <f aca="false">IF(K142=1,_xlfn.MINIFS(Sch_idx,Sch_n,C$5,Sch_bmax,"&gt;="&amp;($A142-0.000000001),Sch_P0,"&gt;="&amp;(C142+Beta_y*$A142-0.000000001)),"")</f>
        <v>32</v>
      </c>
      <c r="T142" s="15" t="n">
        <f aca="false">IF(L142=1,_xlfn.MINIFS(Sch_idx,Sch_n,D$5,Sch_bmax,"&gt;="&amp;($A142-0.000000001),Sch_P0,"&gt;="&amp;(D142+Beta_y*$A142-0.000000001)),"")</f>
        <v>40</v>
      </c>
      <c r="U142" s="15" t="n">
        <f aca="false">IF(M142=1,_xlfn.MINIFS(Sch_idx,Sch_n,E$5,Sch_bmax,"&gt;="&amp;($A142-0.000000001),Sch_P0,"&gt;="&amp;(E142+Beta_y*$A142-0.000000001)),"")</f>
        <v>44</v>
      </c>
      <c r="V142" s="15" t="n">
        <f aca="false">IF(N142=1,_xlfn.MINIFS(Sch_idx,Sch_n,F$5,Sch_bmax,"&gt;="&amp;($A142-0.000000001),Sch_P0,"&gt;="&amp;(F142+Beta_y*$A142-0.000000001)),"")</f>
        <v>45</v>
      </c>
      <c r="W142" s="15" t="n">
        <f aca="false">IF(O142=1,_xlfn.MINIFS(Sch_idx,Sch_n,G$5,Sch_bmax,"&gt;="&amp;($A142-0.000000001),Sch_P0,"&gt;="&amp;(G142+Beta_y*$A142-0.000000001)),"")</f>
        <v>47</v>
      </c>
      <c r="X142" s="15" t="str">
        <f aca="false">IF(P142=1,_xlfn.MINIFS(Sch_idx,Sch_n,H$5,Sch_bmax,"&gt;="&amp;($A142-0.000000001),Sch_P0,"&gt;="&amp;(H142+Beta_y*$A142-0.000000001)),"")</f>
        <v/>
      </c>
      <c r="Z142" s="15" t="n">
        <f aca="false">IF(J142=1,IF(COUNTIFS(K142:$P142,1,C142:$H142,"&gt;="&amp;(B142-0.000000001))&gt;0,0,1),"")</f>
        <v>0</v>
      </c>
      <c r="AA142" s="15" t="n">
        <f aca="false">IF(K142=1,IF(COUNTIFS(L142:$P142,1,D142:$H142,"&gt;="&amp;(C142-0.000000001))&gt;0,0,1),"")</f>
        <v>1</v>
      </c>
      <c r="AB142" s="15" t="n">
        <f aca="false">IF(L142=1,IF(COUNTIFS(M142:$P142,1,E142:$H142,"&gt;="&amp;(D142-0.000000001))&gt;0,0,1),"")</f>
        <v>1</v>
      </c>
      <c r="AC142" s="15" t="n">
        <f aca="false">IF(M142=1,IF(COUNTIFS(N142:$P142,1,F142:$H142,"&gt;="&amp;(E142-0.000000001))&gt;0,0,1),"")</f>
        <v>1</v>
      </c>
      <c r="AD142" s="15" t="n">
        <f aca="false">IF(N142=1,IF(COUNTIFS(O142:$P142,1,G142:$H142,"&gt;="&amp;(F142-0.000000001))&gt;0,0,1),"")</f>
        <v>1</v>
      </c>
      <c r="AE142" s="15" t="n">
        <f aca="false">IF(O142=1,IF(COUNTIFS(P142:$P142,1,H142:$H142,"&gt;="&amp;(G142-0.000000001))&gt;0,0,1),"")</f>
        <v>1</v>
      </c>
      <c r="AF142" s="15" t="str">
        <f aca="false">IF(P142=1,1,"")</f>
        <v/>
      </c>
    </row>
    <row r="143" customFormat="false" ht="15" hidden="false" customHeight="false" outlineLevel="0" collapsed="false">
      <c r="A143" s="2" t="n">
        <v>137</v>
      </c>
      <c r="B143" s="16" t="n">
        <f aca="false">IF(COUNTIFS(Sch_n,B$5,Sch_bmax,"&gt;="&amp;($A143-0.000000001))&gt;0,_xlfn.MAXIFS(Sch_P0,Sch_n,B$5,Sch_bmax,"&gt;="&amp;($A143-0.000000001))-Beta_y*$A143,"")</f>
        <v>11.8181818181818</v>
      </c>
      <c r="C143" s="16" t="n">
        <f aca="false">IF(COUNTIFS(Sch_n,C$5,Sch_bmax,"&gt;="&amp;($A143-0.000000001))&gt;0,_xlfn.MAXIFS(Sch_P0,Sch_n,C$5,Sch_bmax,"&gt;="&amp;($A143-0.000000001))-Beta_y*$A143,"")</f>
        <v>246.127189523815</v>
      </c>
      <c r="D143" s="16" t="n">
        <f aca="false">IF(COUNTIFS(Sch_n,D$5,Sch_bmax,"&gt;="&amp;($A143-0.000000001))&gt;0,_xlfn.MAXIFS(Sch_P0,Sch_n,D$5,Sch_bmax,"&gt;="&amp;($A143-0.000000001))-Beta_y*$A143,"")</f>
        <v>236.487385983322</v>
      </c>
      <c r="E143" s="16" t="n">
        <f aca="false">IF(COUNTIFS(Sch_n,E$5,Sch_bmax,"&gt;="&amp;($A143-0.000000001))&gt;0,_xlfn.MAXIFS(Sch_P0,Sch_n,E$5,Sch_bmax,"&gt;="&amp;($A143-0.000000001))-Beta_y*$A143,"")</f>
        <v>177.506831545738</v>
      </c>
      <c r="F143" s="16" t="n">
        <f aca="false">IF(COUNTIFS(Sch_n,F$5,Sch_bmax,"&gt;="&amp;($A143-0.000000001))&gt;0,_xlfn.MAXIFS(Sch_P0,Sch_n,F$5,Sch_bmax,"&gt;="&amp;($A143-0.000000001))-Beta_y*$A143,"")</f>
        <v>107.93541966661</v>
      </c>
      <c r="G143" s="16" t="n">
        <f aca="false">IF(COUNTIFS(Sch_n,G$5,Sch_bmax,"&gt;="&amp;($A143-0.000000001))&gt;0,_xlfn.MAXIFS(Sch_P0,Sch_n,G$5,Sch_bmax,"&gt;="&amp;($A143-0.000000001))-Beta_y*$A143,"")</f>
        <v>33.8764400435548</v>
      </c>
      <c r="H143" s="16" t="str">
        <f aca="false">IF(COUNTIFS(Sch_n,H$5,Sch_bmax,"&gt;="&amp;($A143-0.000000001))&gt;0,_xlfn.MAXIFS(Sch_P0,Sch_n,H$5,Sch_bmax,"&gt;="&amp;($A143-0.000000001))-Beta_y*$A143,"")</f>
        <v/>
      </c>
      <c r="J143" s="15" t="n">
        <f aca="false">IF(ISNUMBER(B143),1,0)</f>
        <v>1</v>
      </c>
      <c r="K143" s="15" t="n">
        <f aca="false">IF(ISNUMBER(C143),1,0)</f>
        <v>1</v>
      </c>
      <c r="L143" s="15" t="n">
        <f aca="false">IF(ISNUMBER(D143),1,0)</f>
        <v>1</v>
      </c>
      <c r="M143" s="15" t="n">
        <f aca="false">IF(ISNUMBER(E143),1,0)</f>
        <v>1</v>
      </c>
      <c r="N143" s="15" t="n">
        <f aca="false">IF(ISNUMBER(F143),1,0)</f>
        <v>1</v>
      </c>
      <c r="O143" s="15" t="n">
        <f aca="false">IF(ISNUMBER(G143),1,0)</f>
        <v>1</v>
      </c>
      <c r="P143" s="15" t="n">
        <f aca="false">IF(ISNUMBER(H143),1,0)</f>
        <v>0</v>
      </c>
      <c r="R143" s="15" t="n">
        <f aca="false">IF(J143=1,_xlfn.MINIFS(Sch_idx,Sch_n,B$5,Sch_bmax,"&gt;="&amp;($A143-0.000000001),Sch_P0,"&gt;="&amp;(B143+Beta_y*$A143-0.000000001)),"")</f>
        <v>0</v>
      </c>
      <c r="S143" s="15" t="n">
        <f aca="false">IF(K143=1,_xlfn.MINIFS(Sch_idx,Sch_n,C$5,Sch_bmax,"&gt;="&amp;($A143-0.000000001),Sch_P0,"&gt;="&amp;(C143+Beta_y*$A143-0.000000001)),"")</f>
        <v>32</v>
      </c>
      <c r="T143" s="15" t="n">
        <f aca="false">IF(L143=1,_xlfn.MINIFS(Sch_idx,Sch_n,D$5,Sch_bmax,"&gt;="&amp;($A143-0.000000001),Sch_P0,"&gt;="&amp;(D143+Beta_y*$A143-0.000000001)),"")</f>
        <v>40</v>
      </c>
      <c r="U143" s="15" t="n">
        <f aca="false">IF(M143=1,_xlfn.MINIFS(Sch_idx,Sch_n,E$5,Sch_bmax,"&gt;="&amp;($A143-0.000000001),Sch_P0,"&gt;="&amp;(E143+Beta_y*$A143-0.000000001)),"")</f>
        <v>44</v>
      </c>
      <c r="V143" s="15" t="n">
        <f aca="false">IF(N143=1,_xlfn.MINIFS(Sch_idx,Sch_n,F$5,Sch_bmax,"&gt;="&amp;($A143-0.000000001),Sch_P0,"&gt;="&amp;(F143+Beta_y*$A143-0.000000001)),"")</f>
        <v>45</v>
      </c>
      <c r="W143" s="15" t="n">
        <f aca="false">IF(O143=1,_xlfn.MINIFS(Sch_idx,Sch_n,G$5,Sch_bmax,"&gt;="&amp;($A143-0.000000001),Sch_P0,"&gt;="&amp;(G143+Beta_y*$A143-0.000000001)),"")</f>
        <v>47</v>
      </c>
      <c r="X143" s="15" t="str">
        <f aca="false">IF(P143=1,_xlfn.MINIFS(Sch_idx,Sch_n,H$5,Sch_bmax,"&gt;="&amp;($A143-0.000000001),Sch_P0,"&gt;="&amp;(H143+Beta_y*$A143-0.000000001)),"")</f>
        <v/>
      </c>
      <c r="Z143" s="15" t="n">
        <f aca="false">IF(J143=1,IF(COUNTIFS(K143:$P143,1,C143:$H143,"&gt;="&amp;(B143-0.000000001))&gt;0,0,1),"")</f>
        <v>0</v>
      </c>
      <c r="AA143" s="15" t="n">
        <f aca="false">IF(K143=1,IF(COUNTIFS(L143:$P143,1,D143:$H143,"&gt;="&amp;(C143-0.000000001))&gt;0,0,1),"")</f>
        <v>1</v>
      </c>
      <c r="AB143" s="15" t="n">
        <f aca="false">IF(L143=1,IF(COUNTIFS(M143:$P143,1,E143:$H143,"&gt;="&amp;(D143-0.000000001))&gt;0,0,1),"")</f>
        <v>1</v>
      </c>
      <c r="AC143" s="15" t="n">
        <f aca="false">IF(M143=1,IF(COUNTIFS(N143:$P143,1,F143:$H143,"&gt;="&amp;(E143-0.000000001))&gt;0,0,1),"")</f>
        <v>1</v>
      </c>
      <c r="AD143" s="15" t="n">
        <f aca="false">IF(N143=1,IF(COUNTIFS(O143:$P143,1,G143:$H143,"&gt;="&amp;(F143-0.000000001))&gt;0,0,1),"")</f>
        <v>1</v>
      </c>
      <c r="AE143" s="15" t="n">
        <f aca="false">IF(O143=1,IF(COUNTIFS(P143:$P143,1,H143:$H143,"&gt;="&amp;(G143-0.000000001))&gt;0,0,1),"")</f>
        <v>1</v>
      </c>
      <c r="AF143" s="15" t="str">
        <f aca="false">IF(P143=1,1,"")</f>
        <v/>
      </c>
    </row>
    <row r="144" customFormat="false" ht="15" hidden="false" customHeight="false" outlineLevel="0" collapsed="false">
      <c r="A144" s="2" t="n">
        <v>138</v>
      </c>
      <c r="B144" s="16" t="n">
        <f aca="false">IF(COUNTIFS(Sch_n,B$5,Sch_bmax,"&gt;="&amp;($A144-0.000000001))&gt;0,_xlfn.MAXIFS(Sch_P0,Sch_n,B$5,Sch_bmax,"&gt;="&amp;($A144-0.000000001))-Beta_y*$A144,"")</f>
        <v>10.9090909090909</v>
      </c>
      <c r="C144" s="16" t="n">
        <f aca="false">IF(COUNTIFS(Sch_n,C$5,Sch_bmax,"&gt;="&amp;($A144-0.000000001))&gt;0,_xlfn.MAXIFS(Sch_P0,Sch_n,C$5,Sch_bmax,"&gt;="&amp;($A144-0.000000001))-Beta_y*$A144,"")</f>
        <v>245.218098614725</v>
      </c>
      <c r="D144" s="16" t="n">
        <f aca="false">IF(COUNTIFS(Sch_n,D$5,Sch_bmax,"&gt;="&amp;($A144-0.000000001))&gt;0,_xlfn.MAXIFS(Sch_P0,Sch_n,D$5,Sch_bmax,"&gt;="&amp;($A144-0.000000001))-Beta_y*$A144,"")</f>
        <v>235.578295074231</v>
      </c>
      <c r="E144" s="16" t="n">
        <f aca="false">IF(COUNTIFS(Sch_n,E$5,Sch_bmax,"&gt;="&amp;($A144-0.000000001))&gt;0,_xlfn.MAXIFS(Sch_P0,Sch_n,E$5,Sch_bmax,"&gt;="&amp;($A144-0.000000001))-Beta_y*$A144,"")</f>
        <v>176.597740636648</v>
      </c>
      <c r="F144" s="16" t="n">
        <f aca="false">IF(COUNTIFS(Sch_n,F$5,Sch_bmax,"&gt;="&amp;($A144-0.000000001))&gt;0,_xlfn.MAXIFS(Sch_P0,Sch_n,F$5,Sch_bmax,"&gt;="&amp;($A144-0.000000001))-Beta_y*$A144,"")</f>
        <v>107.02632875752</v>
      </c>
      <c r="G144" s="16" t="n">
        <f aca="false">IF(COUNTIFS(Sch_n,G$5,Sch_bmax,"&gt;="&amp;($A144-0.000000001))&gt;0,_xlfn.MAXIFS(Sch_P0,Sch_n,G$5,Sch_bmax,"&gt;="&amp;($A144-0.000000001))-Beta_y*$A144,"")</f>
        <v>32.9673491344639</v>
      </c>
      <c r="H144" s="16" t="str">
        <f aca="false">IF(COUNTIFS(Sch_n,H$5,Sch_bmax,"&gt;="&amp;($A144-0.000000001))&gt;0,_xlfn.MAXIFS(Sch_P0,Sch_n,H$5,Sch_bmax,"&gt;="&amp;($A144-0.000000001))-Beta_y*$A144,"")</f>
        <v/>
      </c>
      <c r="J144" s="15" t="n">
        <f aca="false">IF(ISNUMBER(B144),1,0)</f>
        <v>1</v>
      </c>
      <c r="K144" s="15" t="n">
        <f aca="false">IF(ISNUMBER(C144),1,0)</f>
        <v>1</v>
      </c>
      <c r="L144" s="15" t="n">
        <f aca="false">IF(ISNUMBER(D144),1,0)</f>
        <v>1</v>
      </c>
      <c r="M144" s="15" t="n">
        <f aca="false">IF(ISNUMBER(E144),1,0)</f>
        <v>1</v>
      </c>
      <c r="N144" s="15" t="n">
        <f aca="false">IF(ISNUMBER(F144),1,0)</f>
        <v>1</v>
      </c>
      <c r="O144" s="15" t="n">
        <f aca="false">IF(ISNUMBER(G144),1,0)</f>
        <v>1</v>
      </c>
      <c r="P144" s="15" t="n">
        <f aca="false">IF(ISNUMBER(H144),1,0)</f>
        <v>0</v>
      </c>
      <c r="R144" s="15" t="n">
        <f aca="false">IF(J144=1,_xlfn.MINIFS(Sch_idx,Sch_n,B$5,Sch_bmax,"&gt;="&amp;($A144-0.000000001),Sch_P0,"&gt;="&amp;(B144+Beta_y*$A144-0.000000001)),"")</f>
        <v>0</v>
      </c>
      <c r="S144" s="15" t="n">
        <f aca="false">IF(K144=1,_xlfn.MINIFS(Sch_idx,Sch_n,C$5,Sch_bmax,"&gt;="&amp;($A144-0.000000001),Sch_P0,"&gt;="&amp;(C144+Beta_y*$A144-0.000000001)),"")</f>
        <v>32</v>
      </c>
      <c r="T144" s="15" t="n">
        <f aca="false">IF(L144=1,_xlfn.MINIFS(Sch_idx,Sch_n,D$5,Sch_bmax,"&gt;="&amp;($A144-0.000000001),Sch_P0,"&gt;="&amp;(D144+Beta_y*$A144-0.000000001)),"")</f>
        <v>40</v>
      </c>
      <c r="U144" s="15" t="n">
        <f aca="false">IF(M144=1,_xlfn.MINIFS(Sch_idx,Sch_n,E$5,Sch_bmax,"&gt;="&amp;($A144-0.000000001),Sch_P0,"&gt;="&amp;(E144+Beta_y*$A144-0.000000001)),"")</f>
        <v>44</v>
      </c>
      <c r="V144" s="15" t="n">
        <f aca="false">IF(N144=1,_xlfn.MINIFS(Sch_idx,Sch_n,F$5,Sch_bmax,"&gt;="&amp;($A144-0.000000001),Sch_P0,"&gt;="&amp;(F144+Beta_y*$A144-0.000000001)),"")</f>
        <v>45</v>
      </c>
      <c r="W144" s="15" t="n">
        <f aca="false">IF(O144=1,_xlfn.MINIFS(Sch_idx,Sch_n,G$5,Sch_bmax,"&gt;="&amp;($A144-0.000000001),Sch_P0,"&gt;="&amp;(G144+Beta_y*$A144-0.000000001)),"")</f>
        <v>47</v>
      </c>
      <c r="X144" s="15" t="str">
        <f aca="false">IF(P144=1,_xlfn.MINIFS(Sch_idx,Sch_n,H$5,Sch_bmax,"&gt;="&amp;($A144-0.000000001),Sch_P0,"&gt;="&amp;(H144+Beta_y*$A144-0.000000001)),"")</f>
        <v/>
      </c>
      <c r="Z144" s="15" t="n">
        <f aca="false">IF(J144=1,IF(COUNTIFS(K144:$P144,1,C144:$H144,"&gt;="&amp;(B144-0.000000001))&gt;0,0,1),"")</f>
        <v>0</v>
      </c>
      <c r="AA144" s="15" t="n">
        <f aca="false">IF(K144=1,IF(COUNTIFS(L144:$P144,1,D144:$H144,"&gt;="&amp;(C144-0.000000001))&gt;0,0,1),"")</f>
        <v>1</v>
      </c>
      <c r="AB144" s="15" t="n">
        <f aca="false">IF(L144=1,IF(COUNTIFS(M144:$P144,1,E144:$H144,"&gt;="&amp;(D144-0.000000001))&gt;0,0,1),"")</f>
        <v>1</v>
      </c>
      <c r="AC144" s="15" t="n">
        <f aca="false">IF(M144=1,IF(COUNTIFS(N144:$P144,1,F144:$H144,"&gt;="&amp;(E144-0.000000001))&gt;0,0,1),"")</f>
        <v>1</v>
      </c>
      <c r="AD144" s="15" t="n">
        <f aca="false">IF(N144=1,IF(COUNTIFS(O144:$P144,1,G144:$H144,"&gt;="&amp;(F144-0.000000001))&gt;0,0,1),"")</f>
        <v>1</v>
      </c>
      <c r="AE144" s="15" t="n">
        <f aca="false">IF(O144=1,IF(COUNTIFS(P144:$P144,1,H144:$H144,"&gt;="&amp;(G144-0.000000001))&gt;0,0,1),"")</f>
        <v>1</v>
      </c>
      <c r="AF144" s="15" t="str">
        <f aca="false">IF(P144=1,1,"")</f>
        <v/>
      </c>
    </row>
    <row r="145" customFormat="false" ht="15" hidden="false" customHeight="false" outlineLevel="0" collapsed="false">
      <c r="A145" s="2" t="n">
        <v>139</v>
      </c>
      <c r="B145" s="16" t="n">
        <f aca="false">IF(COUNTIFS(Sch_n,B$5,Sch_bmax,"&gt;="&amp;($A145-0.000000001))&gt;0,_xlfn.MAXIFS(Sch_P0,Sch_n,B$5,Sch_bmax,"&gt;="&amp;($A145-0.000000001))-Beta_y*$A145,"")</f>
        <v>9.99999999999999</v>
      </c>
      <c r="C145" s="16" t="n">
        <f aca="false">IF(COUNTIFS(Sch_n,C$5,Sch_bmax,"&gt;="&amp;($A145-0.000000001))&gt;0,_xlfn.MAXIFS(Sch_P0,Sch_n,C$5,Sch_bmax,"&gt;="&amp;($A145-0.000000001))-Beta_y*$A145,"")</f>
        <v>244.309007705634</v>
      </c>
      <c r="D145" s="16" t="n">
        <f aca="false">IF(COUNTIFS(Sch_n,D$5,Sch_bmax,"&gt;="&amp;($A145-0.000000001))&gt;0,_xlfn.MAXIFS(Sch_P0,Sch_n,D$5,Sch_bmax,"&gt;="&amp;($A145-0.000000001))-Beta_y*$A145,"")</f>
        <v>234.66920416514</v>
      </c>
      <c r="E145" s="16" t="n">
        <f aca="false">IF(COUNTIFS(Sch_n,E$5,Sch_bmax,"&gt;="&amp;($A145-0.000000001))&gt;0,_xlfn.MAXIFS(Sch_P0,Sch_n,E$5,Sch_bmax,"&gt;="&amp;($A145-0.000000001))-Beta_y*$A145,"")</f>
        <v>175.688649727557</v>
      </c>
      <c r="F145" s="16" t="n">
        <f aca="false">IF(COUNTIFS(Sch_n,F$5,Sch_bmax,"&gt;="&amp;($A145-0.000000001))&gt;0,_xlfn.MAXIFS(Sch_P0,Sch_n,F$5,Sch_bmax,"&gt;="&amp;($A145-0.000000001))-Beta_y*$A145,"")</f>
        <v>106.117237848429</v>
      </c>
      <c r="G145" s="16" t="n">
        <f aca="false">IF(COUNTIFS(Sch_n,G$5,Sch_bmax,"&gt;="&amp;($A145-0.000000001))&gt;0,_xlfn.MAXIFS(Sch_P0,Sch_n,G$5,Sch_bmax,"&gt;="&amp;($A145-0.000000001))-Beta_y*$A145,"")</f>
        <v>32.058258225373</v>
      </c>
      <c r="H145" s="16" t="str">
        <f aca="false">IF(COUNTIFS(Sch_n,H$5,Sch_bmax,"&gt;="&amp;($A145-0.000000001))&gt;0,_xlfn.MAXIFS(Sch_P0,Sch_n,H$5,Sch_bmax,"&gt;="&amp;($A145-0.000000001))-Beta_y*$A145,"")</f>
        <v/>
      </c>
      <c r="J145" s="15" t="n">
        <f aca="false">IF(ISNUMBER(B145),1,0)</f>
        <v>1</v>
      </c>
      <c r="K145" s="15" t="n">
        <f aca="false">IF(ISNUMBER(C145),1,0)</f>
        <v>1</v>
      </c>
      <c r="L145" s="15" t="n">
        <f aca="false">IF(ISNUMBER(D145),1,0)</f>
        <v>1</v>
      </c>
      <c r="M145" s="15" t="n">
        <f aca="false">IF(ISNUMBER(E145),1,0)</f>
        <v>1</v>
      </c>
      <c r="N145" s="15" t="n">
        <f aca="false">IF(ISNUMBER(F145),1,0)</f>
        <v>1</v>
      </c>
      <c r="O145" s="15" t="n">
        <f aca="false">IF(ISNUMBER(G145),1,0)</f>
        <v>1</v>
      </c>
      <c r="P145" s="15" t="n">
        <f aca="false">IF(ISNUMBER(H145),1,0)</f>
        <v>0</v>
      </c>
      <c r="R145" s="15" t="n">
        <f aca="false">IF(J145=1,_xlfn.MINIFS(Sch_idx,Sch_n,B$5,Sch_bmax,"&gt;="&amp;($A145-0.000000001),Sch_P0,"&gt;="&amp;(B145+Beta_y*$A145-0.000000001)),"")</f>
        <v>0</v>
      </c>
      <c r="S145" s="15" t="n">
        <f aca="false">IF(K145=1,_xlfn.MINIFS(Sch_idx,Sch_n,C$5,Sch_bmax,"&gt;="&amp;($A145-0.000000001),Sch_P0,"&gt;="&amp;(C145+Beta_y*$A145-0.000000001)),"")</f>
        <v>32</v>
      </c>
      <c r="T145" s="15" t="n">
        <f aca="false">IF(L145=1,_xlfn.MINIFS(Sch_idx,Sch_n,D$5,Sch_bmax,"&gt;="&amp;($A145-0.000000001),Sch_P0,"&gt;="&amp;(D145+Beta_y*$A145-0.000000001)),"")</f>
        <v>40</v>
      </c>
      <c r="U145" s="15" t="n">
        <f aca="false">IF(M145=1,_xlfn.MINIFS(Sch_idx,Sch_n,E$5,Sch_bmax,"&gt;="&amp;($A145-0.000000001),Sch_P0,"&gt;="&amp;(E145+Beta_y*$A145-0.000000001)),"")</f>
        <v>44</v>
      </c>
      <c r="V145" s="15" t="n">
        <f aca="false">IF(N145=1,_xlfn.MINIFS(Sch_idx,Sch_n,F$5,Sch_bmax,"&gt;="&amp;($A145-0.000000001),Sch_P0,"&gt;="&amp;(F145+Beta_y*$A145-0.000000001)),"")</f>
        <v>45</v>
      </c>
      <c r="W145" s="15" t="n">
        <f aca="false">IF(O145=1,_xlfn.MINIFS(Sch_idx,Sch_n,G$5,Sch_bmax,"&gt;="&amp;($A145-0.000000001),Sch_P0,"&gt;="&amp;(G145+Beta_y*$A145-0.000000001)),"")</f>
        <v>47</v>
      </c>
      <c r="X145" s="15" t="str">
        <f aca="false">IF(P145=1,_xlfn.MINIFS(Sch_idx,Sch_n,H$5,Sch_bmax,"&gt;="&amp;($A145-0.000000001),Sch_P0,"&gt;="&amp;(H145+Beta_y*$A145-0.000000001)),"")</f>
        <v/>
      </c>
      <c r="Z145" s="15" t="n">
        <f aca="false">IF(J145=1,IF(COUNTIFS(K145:$P145,1,C145:$H145,"&gt;="&amp;(B145-0.000000001))&gt;0,0,1),"")</f>
        <v>0</v>
      </c>
      <c r="AA145" s="15" t="n">
        <f aca="false">IF(K145=1,IF(COUNTIFS(L145:$P145,1,D145:$H145,"&gt;="&amp;(C145-0.000000001))&gt;0,0,1),"")</f>
        <v>1</v>
      </c>
      <c r="AB145" s="15" t="n">
        <f aca="false">IF(L145=1,IF(COUNTIFS(M145:$P145,1,E145:$H145,"&gt;="&amp;(D145-0.000000001))&gt;0,0,1),"")</f>
        <v>1</v>
      </c>
      <c r="AC145" s="15" t="n">
        <f aca="false">IF(M145=1,IF(COUNTIFS(N145:$P145,1,F145:$H145,"&gt;="&amp;(E145-0.000000001))&gt;0,0,1),"")</f>
        <v>1</v>
      </c>
      <c r="AD145" s="15" t="n">
        <f aca="false">IF(N145=1,IF(COUNTIFS(O145:$P145,1,G145:$H145,"&gt;="&amp;(F145-0.000000001))&gt;0,0,1),"")</f>
        <v>1</v>
      </c>
      <c r="AE145" s="15" t="n">
        <f aca="false">IF(O145=1,IF(COUNTIFS(P145:$P145,1,H145:$H145,"&gt;="&amp;(G145-0.000000001))&gt;0,0,1),"")</f>
        <v>1</v>
      </c>
      <c r="AF145" s="15" t="str">
        <f aca="false">IF(P145=1,1,"")</f>
        <v/>
      </c>
    </row>
    <row r="146" customFormat="false" ht="15" hidden="false" customHeight="false" outlineLevel="0" collapsed="false">
      <c r="A146" s="2" t="n">
        <v>140</v>
      </c>
      <c r="B146" s="16" t="n">
        <f aca="false">IF(COUNTIFS(Sch_n,B$5,Sch_bmax,"&gt;="&amp;($A146-0.000000001))&gt;0,_xlfn.MAXIFS(Sch_P0,Sch_n,B$5,Sch_bmax,"&gt;="&amp;($A146-0.000000001))-Beta_y*$A146,"")</f>
        <v>9.09090909090908</v>
      </c>
      <c r="C146" s="16" t="n">
        <f aca="false">IF(COUNTIFS(Sch_n,C$5,Sch_bmax,"&gt;="&amp;($A146-0.000000001))&gt;0,_xlfn.MAXIFS(Sch_P0,Sch_n,C$5,Sch_bmax,"&gt;="&amp;($A146-0.000000001))-Beta_y*$A146,"")</f>
        <v>243.399916796543</v>
      </c>
      <c r="D146" s="16" t="n">
        <f aca="false">IF(COUNTIFS(Sch_n,D$5,Sch_bmax,"&gt;="&amp;($A146-0.000000001))&gt;0,_xlfn.MAXIFS(Sch_P0,Sch_n,D$5,Sch_bmax,"&gt;="&amp;($A146-0.000000001))-Beta_y*$A146,"")</f>
        <v>233.760113256049</v>
      </c>
      <c r="E146" s="16" t="n">
        <f aca="false">IF(COUNTIFS(Sch_n,E$5,Sch_bmax,"&gt;="&amp;($A146-0.000000001))&gt;0,_xlfn.MAXIFS(Sch_P0,Sch_n,E$5,Sch_bmax,"&gt;="&amp;($A146-0.000000001))-Beta_y*$A146,"")</f>
        <v>174.779558818466</v>
      </c>
      <c r="F146" s="16" t="n">
        <f aca="false">IF(COUNTIFS(Sch_n,F$5,Sch_bmax,"&gt;="&amp;($A146-0.000000001))&gt;0,_xlfn.MAXIFS(Sch_P0,Sch_n,F$5,Sch_bmax,"&gt;="&amp;($A146-0.000000001))-Beta_y*$A146,"")</f>
        <v>105.208146939338</v>
      </c>
      <c r="G146" s="16" t="n">
        <f aca="false">IF(COUNTIFS(Sch_n,G$5,Sch_bmax,"&gt;="&amp;($A146-0.000000001))&gt;0,_xlfn.MAXIFS(Sch_P0,Sch_n,G$5,Sch_bmax,"&gt;="&amp;($A146-0.000000001))-Beta_y*$A146,"")</f>
        <v>31.1491673162821</v>
      </c>
      <c r="H146" s="16" t="str">
        <f aca="false">IF(COUNTIFS(Sch_n,H$5,Sch_bmax,"&gt;="&amp;($A146-0.000000001))&gt;0,_xlfn.MAXIFS(Sch_P0,Sch_n,H$5,Sch_bmax,"&gt;="&amp;($A146-0.000000001))-Beta_y*$A146,"")</f>
        <v/>
      </c>
      <c r="J146" s="15" t="n">
        <f aca="false">IF(ISNUMBER(B146),1,0)</f>
        <v>1</v>
      </c>
      <c r="K146" s="15" t="n">
        <f aca="false">IF(ISNUMBER(C146),1,0)</f>
        <v>1</v>
      </c>
      <c r="L146" s="15" t="n">
        <f aca="false">IF(ISNUMBER(D146),1,0)</f>
        <v>1</v>
      </c>
      <c r="M146" s="15" t="n">
        <f aca="false">IF(ISNUMBER(E146),1,0)</f>
        <v>1</v>
      </c>
      <c r="N146" s="15" t="n">
        <f aca="false">IF(ISNUMBER(F146),1,0)</f>
        <v>1</v>
      </c>
      <c r="O146" s="15" t="n">
        <f aca="false">IF(ISNUMBER(G146),1,0)</f>
        <v>1</v>
      </c>
      <c r="P146" s="15" t="n">
        <f aca="false">IF(ISNUMBER(H146),1,0)</f>
        <v>0</v>
      </c>
      <c r="R146" s="15" t="n">
        <f aca="false">IF(J146=1,_xlfn.MINIFS(Sch_idx,Sch_n,B$5,Sch_bmax,"&gt;="&amp;($A146-0.000000001),Sch_P0,"&gt;="&amp;(B146+Beta_y*$A146-0.000000001)),"")</f>
        <v>0</v>
      </c>
      <c r="S146" s="15" t="n">
        <f aca="false">IF(K146=1,_xlfn.MINIFS(Sch_idx,Sch_n,C$5,Sch_bmax,"&gt;="&amp;($A146-0.000000001),Sch_P0,"&gt;="&amp;(C146+Beta_y*$A146-0.000000001)),"")</f>
        <v>32</v>
      </c>
      <c r="T146" s="15" t="n">
        <f aca="false">IF(L146=1,_xlfn.MINIFS(Sch_idx,Sch_n,D$5,Sch_bmax,"&gt;="&amp;($A146-0.000000001),Sch_P0,"&gt;="&amp;(D146+Beta_y*$A146-0.000000001)),"")</f>
        <v>40</v>
      </c>
      <c r="U146" s="15" t="n">
        <f aca="false">IF(M146=1,_xlfn.MINIFS(Sch_idx,Sch_n,E$5,Sch_bmax,"&gt;="&amp;($A146-0.000000001),Sch_P0,"&gt;="&amp;(E146+Beta_y*$A146-0.000000001)),"")</f>
        <v>44</v>
      </c>
      <c r="V146" s="15" t="n">
        <f aca="false">IF(N146=1,_xlfn.MINIFS(Sch_idx,Sch_n,F$5,Sch_bmax,"&gt;="&amp;($A146-0.000000001),Sch_P0,"&gt;="&amp;(F146+Beta_y*$A146-0.000000001)),"")</f>
        <v>45</v>
      </c>
      <c r="W146" s="15" t="n">
        <f aca="false">IF(O146=1,_xlfn.MINIFS(Sch_idx,Sch_n,G$5,Sch_bmax,"&gt;="&amp;($A146-0.000000001),Sch_P0,"&gt;="&amp;(G146+Beta_y*$A146-0.000000001)),"")</f>
        <v>47</v>
      </c>
      <c r="X146" s="15" t="str">
        <f aca="false">IF(P146=1,_xlfn.MINIFS(Sch_idx,Sch_n,H$5,Sch_bmax,"&gt;="&amp;($A146-0.000000001),Sch_P0,"&gt;="&amp;(H146+Beta_y*$A146-0.000000001)),"")</f>
        <v/>
      </c>
      <c r="Z146" s="15" t="n">
        <f aca="false">IF(J146=1,IF(COUNTIFS(K146:$P146,1,C146:$H146,"&gt;="&amp;(B146-0.000000001))&gt;0,0,1),"")</f>
        <v>0</v>
      </c>
      <c r="AA146" s="15" t="n">
        <f aca="false">IF(K146=1,IF(COUNTIFS(L146:$P146,1,D146:$H146,"&gt;="&amp;(C146-0.000000001))&gt;0,0,1),"")</f>
        <v>1</v>
      </c>
      <c r="AB146" s="15" t="n">
        <f aca="false">IF(L146=1,IF(COUNTIFS(M146:$P146,1,E146:$H146,"&gt;="&amp;(D146-0.000000001))&gt;0,0,1),"")</f>
        <v>1</v>
      </c>
      <c r="AC146" s="15" t="n">
        <f aca="false">IF(M146=1,IF(COUNTIFS(N146:$P146,1,F146:$H146,"&gt;="&amp;(E146-0.000000001))&gt;0,0,1),"")</f>
        <v>1</v>
      </c>
      <c r="AD146" s="15" t="n">
        <f aca="false">IF(N146=1,IF(COUNTIFS(O146:$P146,1,G146:$H146,"&gt;="&amp;(F146-0.000000001))&gt;0,0,1),"")</f>
        <v>1</v>
      </c>
      <c r="AE146" s="15" t="n">
        <f aca="false">IF(O146=1,IF(COUNTIFS(P146:$P146,1,H146:$H146,"&gt;="&amp;(G146-0.000000001))&gt;0,0,1),"")</f>
        <v>1</v>
      </c>
      <c r="AF146" s="15" t="str">
        <f aca="false">IF(P146=1,1,"")</f>
        <v/>
      </c>
    </row>
    <row r="147" customFormat="false" ht="15" hidden="false" customHeight="false" outlineLevel="0" collapsed="false">
      <c r="A147" s="2" t="n">
        <v>141</v>
      </c>
      <c r="B147" s="16" t="n">
        <f aca="false">IF(COUNTIFS(Sch_n,B$5,Sch_bmax,"&gt;="&amp;($A147-0.000000001))&gt;0,_xlfn.MAXIFS(Sch_P0,Sch_n,B$5,Sch_bmax,"&gt;="&amp;($A147-0.000000001))-Beta_y*$A147,"")</f>
        <v>8.18181818181816</v>
      </c>
      <c r="C147" s="16" t="n">
        <f aca="false">IF(COUNTIFS(Sch_n,C$5,Sch_bmax,"&gt;="&amp;($A147-0.000000001))&gt;0,_xlfn.MAXIFS(Sch_P0,Sch_n,C$5,Sch_bmax,"&gt;="&amp;($A147-0.000000001))-Beta_y*$A147,"")</f>
        <v>242.490825887452</v>
      </c>
      <c r="D147" s="16" t="n">
        <f aca="false">IF(COUNTIFS(Sch_n,D$5,Sch_bmax,"&gt;="&amp;($A147-0.000000001))&gt;0,_xlfn.MAXIFS(Sch_P0,Sch_n,D$5,Sch_bmax,"&gt;="&amp;($A147-0.000000001))-Beta_y*$A147,"")</f>
        <v>232.851022346958</v>
      </c>
      <c r="E147" s="16" t="n">
        <f aca="false">IF(COUNTIFS(Sch_n,E$5,Sch_bmax,"&gt;="&amp;($A147-0.000000001))&gt;0,_xlfn.MAXIFS(Sch_P0,Sch_n,E$5,Sch_bmax,"&gt;="&amp;($A147-0.000000001))-Beta_y*$A147,"")</f>
        <v>173.870467909375</v>
      </c>
      <c r="F147" s="16" t="n">
        <f aca="false">IF(COUNTIFS(Sch_n,F$5,Sch_bmax,"&gt;="&amp;($A147-0.000000001))&gt;0,_xlfn.MAXIFS(Sch_P0,Sch_n,F$5,Sch_bmax,"&gt;="&amp;($A147-0.000000001))-Beta_y*$A147,"")</f>
        <v>104.299056030247</v>
      </c>
      <c r="G147" s="16" t="n">
        <f aca="false">IF(COUNTIFS(Sch_n,G$5,Sch_bmax,"&gt;="&amp;($A147-0.000000001))&gt;0,_xlfn.MAXIFS(Sch_P0,Sch_n,G$5,Sch_bmax,"&gt;="&amp;($A147-0.000000001))-Beta_y*$A147,"")</f>
        <v>30.2400764071912</v>
      </c>
      <c r="H147" s="16" t="str">
        <f aca="false">IF(COUNTIFS(Sch_n,H$5,Sch_bmax,"&gt;="&amp;($A147-0.000000001))&gt;0,_xlfn.MAXIFS(Sch_P0,Sch_n,H$5,Sch_bmax,"&gt;="&amp;($A147-0.000000001))-Beta_y*$A147,"")</f>
        <v/>
      </c>
      <c r="J147" s="15" t="n">
        <f aca="false">IF(ISNUMBER(B147),1,0)</f>
        <v>1</v>
      </c>
      <c r="K147" s="15" t="n">
        <f aca="false">IF(ISNUMBER(C147),1,0)</f>
        <v>1</v>
      </c>
      <c r="L147" s="15" t="n">
        <f aca="false">IF(ISNUMBER(D147),1,0)</f>
        <v>1</v>
      </c>
      <c r="M147" s="15" t="n">
        <f aca="false">IF(ISNUMBER(E147),1,0)</f>
        <v>1</v>
      </c>
      <c r="N147" s="15" t="n">
        <f aca="false">IF(ISNUMBER(F147),1,0)</f>
        <v>1</v>
      </c>
      <c r="O147" s="15" t="n">
        <f aca="false">IF(ISNUMBER(G147),1,0)</f>
        <v>1</v>
      </c>
      <c r="P147" s="15" t="n">
        <f aca="false">IF(ISNUMBER(H147),1,0)</f>
        <v>0</v>
      </c>
      <c r="R147" s="15" t="n">
        <f aca="false">IF(J147=1,_xlfn.MINIFS(Sch_idx,Sch_n,B$5,Sch_bmax,"&gt;="&amp;($A147-0.000000001),Sch_P0,"&gt;="&amp;(B147+Beta_y*$A147-0.000000001)),"")</f>
        <v>0</v>
      </c>
      <c r="S147" s="15" t="n">
        <f aca="false">IF(K147=1,_xlfn.MINIFS(Sch_idx,Sch_n,C$5,Sch_bmax,"&gt;="&amp;($A147-0.000000001),Sch_P0,"&gt;="&amp;(C147+Beta_y*$A147-0.000000001)),"")</f>
        <v>32</v>
      </c>
      <c r="T147" s="15" t="n">
        <f aca="false">IF(L147=1,_xlfn.MINIFS(Sch_idx,Sch_n,D$5,Sch_bmax,"&gt;="&amp;($A147-0.000000001),Sch_P0,"&gt;="&amp;(D147+Beta_y*$A147-0.000000001)),"")</f>
        <v>40</v>
      </c>
      <c r="U147" s="15" t="n">
        <f aca="false">IF(M147=1,_xlfn.MINIFS(Sch_idx,Sch_n,E$5,Sch_bmax,"&gt;="&amp;($A147-0.000000001),Sch_P0,"&gt;="&amp;(E147+Beta_y*$A147-0.000000001)),"")</f>
        <v>44</v>
      </c>
      <c r="V147" s="15" t="n">
        <f aca="false">IF(N147=1,_xlfn.MINIFS(Sch_idx,Sch_n,F$5,Sch_bmax,"&gt;="&amp;($A147-0.000000001),Sch_P0,"&gt;="&amp;(F147+Beta_y*$A147-0.000000001)),"")</f>
        <v>45</v>
      </c>
      <c r="W147" s="15" t="n">
        <f aca="false">IF(O147=1,_xlfn.MINIFS(Sch_idx,Sch_n,G$5,Sch_bmax,"&gt;="&amp;($A147-0.000000001),Sch_P0,"&gt;="&amp;(G147+Beta_y*$A147-0.000000001)),"")</f>
        <v>47</v>
      </c>
      <c r="X147" s="15" t="str">
        <f aca="false">IF(P147=1,_xlfn.MINIFS(Sch_idx,Sch_n,H$5,Sch_bmax,"&gt;="&amp;($A147-0.000000001),Sch_P0,"&gt;="&amp;(H147+Beta_y*$A147-0.000000001)),"")</f>
        <v/>
      </c>
      <c r="Z147" s="15" t="n">
        <f aca="false">IF(J147=1,IF(COUNTIFS(K147:$P147,1,C147:$H147,"&gt;="&amp;(B147-0.000000001))&gt;0,0,1),"")</f>
        <v>0</v>
      </c>
      <c r="AA147" s="15" t="n">
        <f aca="false">IF(K147=1,IF(COUNTIFS(L147:$P147,1,D147:$H147,"&gt;="&amp;(C147-0.000000001))&gt;0,0,1),"")</f>
        <v>1</v>
      </c>
      <c r="AB147" s="15" t="n">
        <f aca="false">IF(L147=1,IF(COUNTIFS(M147:$P147,1,E147:$H147,"&gt;="&amp;(D147-0.000000001))&gt;0,0,1),"")</f>
        <v>1</v>
      </c>
      <c r="AC147" s="15" t="n">
        <f aca="false">IF(M147=1,IF(COUNTIFS(N147:$P147,1,F147:$H147,"&gt;="&amp;(E147-0.000000001))&gt;0,0,1),"")</f>
        <v>1</v>
      </c>
      <c r="AD147" s="15" t="n">
        <f aca="false">IF(N147=1,IF(COUNTIFS(O147:$P147,1,G147:$H147,"&gt;="&amp;(F147-0.000000001))&gt;0,0,1),"")</f>
        <v>1</v>
      </c>
      <c r="AE147" s="15" t="n">
        <f aca="false">IF(O147=1,IF(COUNTIFS(P147:$P147,1,H147:$H147,"&gt;="&amp;(G147-0.000000001))&gt;0,0,1),"")</f>
        <v>1</v>
      </c>
      <c r="AF147" s="15" t="str">
        <f aca="false">IF(P147=1,1,"")</f>
        <v/>
      </c>
    </row>
    <row r="148" customFormat="false" ht="15" hidden="false" customHeight="false" outlineLevel="0" collapsed="false">
      <c r="A148" s="2" t="n">
        <v>142</v>
      </c>
      <c r="B148" s="16" t="n">
        <f aca="false">IF(COUNTIFS(Sch_n,B$5,Sch_bmax,"&gt;="&amp;($A148-0.000000001))&gt;0,_xlfn.MAXIFS(Sch_P0,Sch_n,B$5,Sch_bmax,"&gt;="&amp;($A148-0.000000001))-Beta_y*$A148,"")</f>
        <v>7.27272727272725</v>
      </c>
      <c r="C148" s="16" t="n">
        <f aca="false">IF(COUNTIFS(Sch_n,C$5,Sch_bmax,"&gt;="&amp;($A148-0.000000001))&gt;0,_xlfn.MAXIFS(Sch_P0,Sch_n,C$5,Sch_bmax,"&gt;="&amp;($A148-0.000000001))-Beta_y*$A148,"")</f>
        <v>241.581734978361</v>
      </c>
      <c r="D148" s="16" t="n">
        <f aca="false">IF(COUNTIFS(Sch_n,D$5,Sch_bmax,"&gt;="&amp;($A148-0.000000001))&gt;0,_xlfn.MAXIFS(Sch_P0,Sch_n,D$5,Sch_bmax,"&gt;="&amp;($A148-0.000000001))-Beta_y*$A148,"")</f>
        <v>231.941931437867</v>
      </c>
      <c r="E148" s="16" t="n">
        <f aca="false">IF(COUNTIFS(Sch_n,E$5,Sch_bmax,"&gt;="&amp;($A148-0.000000001))&gt;0,_xlfn.MAXIFS(Sch_P0,Sch_n,E$5,Sch_bmax,"&gt;="&amp;($A148-0.000000001))-Beta_y*$A148,"")</f>
        <v>172.961377000284</v>
      </c>
      <c r="F148" s="16" t="n">
        <f aca="false">IF(COUNTIFS(Sch_n,F$5,Sch_bmax,"&gt;="&amp;($A148-0.000000001))&gt;0,_xlfn.MAXIFS(Sch_P0,Sch_n,F$5,Sch_bmax,"&gt;="&amp;($A148-0.000000001))-Beta_y*$A148,"")</f>
        <v>103.389965121156</v>
      </c>
      <c r="G148" s="16" t="n">
        <f aca="false">IF(COUNTIFS(Sch_n,G$5,Sch_bmax,"&gt;="&amp;($A148-0.000000001))&gt;0,_xlfn.MAXIFS(Sch_P0,Sch_n,G$5,Sch_bmax,"&gt;="&amp;($A148-0.000000001))-Beta_y*$A148,"")</f>
        <v>29.3309854981003</v>
      </c>
      <c r="H148" s="16" t="str">
        <f aca="false">IF(COUNTIFS(Sch_n,H$5,Sch_bmax,"&gt;="&amp;($A148-0.000000001))&gt;0,_xlfn.MAXIFS(Sch_P0,Sch_n,H$5,Sch_bmax,"&gt;="&amp;($A148-0.000000001))-Beta_y*$A148,"")</f>
        <v/>
      </c>
      <c r="J148" s="15" t="n">
        <f aca="false">IF(ISNUMBER(B148),1,0)</f>
        <v>1</v>
      </c>
      <c r="K148" s="15" t="n">
        <f aca="false">IF(ISNUMBER(C148),1,0)</f>
        <v>1</v>
      </c>
      <c r="L148" s="15" t="n">
        <f aca="false">IF(ISNUMBER(D148),1,0)</f>
        <v>1</v>
      </c>
      <c r="M148" s="15" t="n">
        <f aca="false">IF(ISNUMBER(E148),1,0)</f>
        <v>1</v>
      </c>
      <c r="N148" s="15" t="n">
        <f aca="false">IF(ISNUMBER(F148),1,0)</f>
        <v>1</v>
      </c>
      <c r="O148" s="15" t="n">
        <f aca="false">IF(ISNUMBER(G148),1,0)</f>
        <v>1</v>
      </c>
      <c r="P148" s="15" t="n">
        <f aca="false">IF(ISNUMBER(H148),1,0)</f>
        <v>0</v>
      </c>
      <c r="R148" s="15" t="n">
        <f aca="false">IF(J148=1,_xlfn.MINIFS(Sch_idx,Sch_n,B$5,Sch_bmax,"&gt;="&amp;($A148-0.000000001),Sch_P0,"&gt;="&amp;(B148+Beta_y*$A148-0.000000001)),"")</f>
        <v>0</v>
      </c>
      <c r="S148" s="15" t="n">
        <f aca="false">IF(K148=1,_xlfn.MINIFS(Sch_idx,Sch_n,C$5,Sch_bmax,"&gt;="&amp;($A148-0.000000001),Sch_P0,"&gt;="&amp;(C148+Beta_y*$A148-0.000000001)),"")</f>
        <v>32</v>
      </c>
      <c r="T148" s="15" t="n">
        <f aca="false">IF(L148=1,_xlfn.MINIFS(Sch_idx,Sch_n,D$5,Sch_bmax,"&gt;="&amp;($A148-0.000000001),Sch_P0,"&gt;="&amp;(D148+Beta_y*$A148-0.000000001)),"")</f>
        <v>40</v>
      </c>
      <c r="U148" s="15" t="n">
        <f aca="false">IF(M148=1,_xlfn.MINIFS(Sch_idx,Sch_n,E$5,Sch_bmax,"&gt;="&amp;($A148-0.000000001),Sch_P0,"&gt;="&amp;(E148+Beta_y*$A148-0.000000001)),"")</f>
        <v>44</v>
      </c>
      <c r="V148" s="15" t="n">
        <f aca="false">IF(N148=1,_xlfn.MINIFS(Sch_idx,Sch_n,F$5,Sch_bmax,"&gt;="&amp;($A148-0.000000001),Sch_P0,"&gt;="&amp;(F148+Beta_y*$A148-0.000000001)),"")</f>
        <v>45</v>
      </c>
      <c r="W148" s="15" t="n">
        <f aca="false">IF(O148=1,_xlfn.MINIFS(Sch_idx,Sch_n,G$5,Sch_bmax,"&gt;="&amp;($A148-0.000000001),Sch_P0,"&gt;="&amp;(G148+Beta_y*$A148-0.000000001)),"")</f>
        <v>47</v>
      </c>
      <c r="X148" s="15" t="str">
        <f aca="false">IF(P148=1,_xlfn.MINIFS(Sch_idx,Sch_n,H$5,Sch_bmax,"&gt;="&amp;($A148-0.000000001),Sch_P0,"&gt;="&amp;(H148+Beta_y*$A148-0.000000001)),"")</f>
        <v/>
      </c>
      <c r="Z148" s="15" t="n">
        <f aca="false">IF(J148=1,IF(COUNTIFS(K148:$P148,1,C148:$H148,"&gt;="&amp;(B148-0.000000001))&gt;0,0,1),"")</f>
        <v>0</v>
      </c>
      <c r="AA148" s="15" t="n">
        <f aca="false">IF(K148=1,IF(COUNTIFS(L148:$P148,1,D148:$H148,"&gt;="&amp;(C148-0.000000001))&gt;0,0,1),"")</f>
        <v>1</v>
      </c>
      <c r="AB148" s="15" t="n">
        <f aca="false">IF(L148=1,IF(COUNTIFS(M148:$P148,1,E148:$H148,"&gt;="&amp;(D148-0.000000001))&gt;0,0,1),"")</f>
        <v>1</v>
      </c>
      <c r="AC148" s="15" t="n">
        <f aca="false">IF(M148=1,IF(COUNTIFS(N148:$P148,1,F148:$H148,"&gt;="&amp;(E148-0.000000001))&gt;0,0,1),"")</f>
        <v>1</v>
      </c>
      <c r="AD148" s="15" t="n">
        <f aca="false">IF(N148=1,IF(COUNTIFS(O148:$P148,1,G148:$H148,"&gt;="&amp;(F148-0.000000001))&gt;0,0,1),"")</f>
        <v>1</v>
      </c>
      <c r="AE148" s="15" t="n">
        <f aca="false">IF(O148=1,IF(COUNTIFS(P148:$P148,1,H148:$H148,"&gt;="&amp;(G148-0.000000001))&gt;0,0,1),"")</f>
        <v>1</v>
      </c>
      <c r="AF148" s="15" t="str">
        <f aca="false">IF(P148=1,1,"")</f>
        <v/>
      </c>
    </row>
    <row r="149" customFormat="false" ht="15" hidden="false" customHeight="false" outlineLevel="0" collapsed="false">
      <c r="A149" s="2" t="n">
        <v>143</v>
      </c>
      <c r="B149" s="16" t="n">
        <f aca="false">IF(COUNTIFS(Sch_n,B$5,Sch_bmax,"&gt;="&amp;($A149-0.000000001))&gt;0,_xlfn.MAXIFS(Sch_P0,Sch_n,B$5,Sch_bmax,"&gt;="&amp;($A149-0.000000001))-Beta_y*$A149,"")</f>
        <v>6.36363636363635</v>
      </c>
      <c r="C149" s="16" t="n">
        <f aca="false">IF(COUNTIFS(Sch_n,C$5,Sch_bmax,"&gt;="&amp;($A149-0.000000001))&gt;0,_xlfn.MAXIFS(Sch_P0,Sch_n,C$5,Sch_bmax,"&gt;="&amp;($A149-0.000000001))-Beta_y*$A149,"")</f>
        <v>240.67264406927</v>
      </c>
      <c r="D149" s="16" t="n">
        <f aca="false">IF(COUNTIFS(Sch_n,D$5,Sch_bmax,"&gt;="&amp;($A149-0.000000001))&gt;0,_xlfn.MAXIFS(Sch_P0,Sch_n,D$5,Sch_bmax,"&gt;="&amp;($A149-0.000000001))-Beta_y*$A149,"")</f>
        <v>231.032840528777</v>
      </c>
      <c r="E149" s="16" t="n">
        <f aca="false">IF(COUNTIFS(Sch_n,E$5,Sch_bmax,"&gt;="&amp;($A149-0.000000001))&gt;0,_xlfn.MAXIFS(Sch_P0,Sch_n,E$5,Sch_bmax,"&gt;="&amp;($A149-0.000000001))-Beta_y*$A149,"")</f>
        <v>172.052286091193</v>
      </c>
      <c r="F149" s="16" t="n">
        <f aca="false">IF(COUNTIFS(Sch_n,F$5,Sch_bmax,"&gt;="&amp;($A149-0.000000001))&gt;0,_xlfn.MAXIFS(Sch_P0,Sch_n,F$5,Sch_bmax,"&gt;="&amp;($A149-0.000000001))-Beta_y*$A149,"")</f>
        <v>102.480874212065</v>
      </c>
      <c r="G149" s="16" t="n">
        <f aca="false">IF(COUNTIFS(Sch_n,G$5,Sch_bmax,"&gt;="&amp;($A149-0.000000001))&gt;0,_xlfn.MAXIFS(Sch_P0,Sch_n,G$5,Sch_bmax,"&gt;="&amp;($A149-0.000000001))-Beta_y*$A149,"")</f>
        <v>28.4218945890094</v>
      </c>
      <c r="H149" s="16" t="str">
        <f aca="false">IF(COUNTIFS(Sch_n,H$5,Sch_bmax,"&gt;="&amp;($A149-0.000000001))&gt;0,_xlfn.MAXIFS(Sch_P0,Sch_n,H$5,Sch_bmax,"&gt;="&amp;($A149-0.000000001))-Beta_y*$A149,"")</f>
        <v/>
      </c>
      <c r="J149" s="15" t="n">
        <f aca="false">IF(ISNUMBER(B149),1,0)</f>
        <v>1</v>
      </c>
      <c r="K149" s="15" t="n">
        <f aca="false">IF(ISNUMBER(C149),1,0)</f>
        <v>1</v>
      </c>
      <c r="L149" s="15" t="n">
        <f aca="false">IF(ISNUMBER(D149),1,0)</f>
        <v>1</v>
      </c>
      <c r="M149" s="15" t="n">
        <f aca="false">IF(ISNUMBER(E149),1,0)</f>
        <v>1</v>
      </c>
      <c r="N149" s="15" t="n">
        <f aca="false">IF(ISNUMBER(F149),1,0)</f>
        <v>1</v>
      </c>
      <c r="O149" s="15" t="n">
        <f aca="false">IF(ISNUMBER(G149),1,0)</f>
        <v>1</v>
      </c>
      <c r="P149" s="15" t="n">
        <f aca="false">IF(ISNUMBER(H149),1,0)</f>
        <v>0</v>
      </c>
      <c r="R149" s="15" t="n">
        <f aca="false">IF(J149=1,_xlfn.MINIFS(Sch_idx,Sch_n,B$5,Sch_bmax,"&gt;="&amp;($A149-0.000000001),Sch_P0,"&gt;="&amp;(B149+Beta_y*$A149-0.000000001)),"")</f>
        <v>0</v>
      </c>
      <c r="S149" s="15" t="n">
        <f aca="false">IF(K149=1,_xlfn.MINIFS(Sch_idx,Sch_n,C$5,Sch_bmax,"&gt;="&amp;($A149-0.000000001),Sch_P0,"&gt;="&amp;(C149+Beta_y*$A149-0.000000001)),"")</f>
        <v>32</v>
      </c>
      <c r="T149" s="15" t="n">
        <f aca="false">IF(L149=1,_xlfn.MINIFS(Sch_idx,Sch_n,D$5,Sch_bmax,"&gt;="&amp;($A149-0.000000001),Sch_P0,"&gt;="&amp;(D149+Beta_y*$A149-0.000000001)),"")</f>
        <v>40</v>
      </c>
      <c r="U149" s="15" t="n">
        <f aca="false">IF(M149=1,_xlfn.MINIFS(Sch_idx,Sch_n,E$5,Sch_bmax,"&gt;="&amp;($A149-0.000000001),Sch_P0,"&gt;="&amp;(E149+Beta_y*$A149-0.000000001)),"")</f>
        <v>44</v>
      </c>
      <c r="V149" s="15" t="n">
        <f aca="false">IF(N149=1,_xlfn.MINIFS(Sch_idx,Sch_n,F$5,Sch_bmax,"&gt;="&amp;($A149-0.000000001),Sch_P0,"&gt;="&amp;(F149+Beta_y*$A149-0.000000001)),"")</f>
        <v>45</v>
      </c>
      <c r="W149" s="15" t="n">
        <f aca="false">IF(O149=1,_xlfn.MINIFS(Sch_idx,Sch_n,G$5,Sch_bmax,"&gt;="&amp;($A149-0.000000001),Sch_P0,"&gt;="&amp;(G149+Beta_y*$A149-0.000000001)),"")</f>
        <v>47</v>
      </c>
      <c r="X149" s="15" t="str">
        <f aca="false">IF(P149=1,_xlfn.MINIFS(Sch_idx,Sch_n,H$5,Sch_bmax,"&gt;="&amp;($A149-0.000000001),Sch_P0,"&gt;="&amp;(H149+Beta_y*$A149-0.000000001)),"")</f>
        <v/>
      </c>
      <c r="Z149" s="15" t="n">
        <f aca="false">IF(J149=1,IF(COUNTIFS(K149:$P149,1,C149:$H149,"&gt;="&amp;(B149-0.000000001))&gt;0,0,1),"")</f>
        <v>0</v>
      </c>
      <c r="AA149" s="15" t="n">
        <f aca="false">IF(K149=1,IF(COUNTIFS(L149:$P149,1,D149:$H149,"&gt;="&amp;(C149-0.000000001))&gt;0,0,1),"")</f>
        <v>1</v>
      </c>
      <c r="AB149" s="15" t="n">
        <f aca="false">IF(L149=1,IF(COUNTIFS(M149:$P149,1,E149:$H149,"&gt;="&amp;(D149-0.000000001))&gt;0,0,1),"")</f>
        <v>1</v>
      </c>
      <c r="AC149" s="15" t="n">
        <f aca="false">IF(M149=1,IF(COUNTIFS(N149:$P149,1,F149:$H149,"&gt;="&amp;(E149-0.000000001))&gt;0,0,1),"")</f>
        <v>1</v>
      </c>
      <c r="AD149" s="15" t="n">
        <f aca="false">IF(N149=1,IF(COUNTIFS(O149:$P149,1,G149:$H149,"&gt;="&amp;(F149-0.000000001))&gt;0,0,1),"")</f>
        <v>1</v>
      </c>
      <c r="AE149" s="15" t="n">
        <f aca="false">IF(O149=1,IF(COUNTIFS(P149:$P149,1,H149:$H149,"&gt;="&amp;(G149-0.000000001))&gt;0,0,1),"")</f>
        <v>1</v>
      </c>
      <c r="AF149" s="15" t="str">
        <f aca="false">IF(P149=1,1,"")</f>
        <v/>
      </c>
    </row>
    <row r="150" customFormat="false" ht="15" hidden="false" customHeight="false" outlineLevel="0" collapsed="false">
      <c r="A150" s="2" t="n">
        <v>144</v>
      </c>
      <c r="B150" s="16" t="n">
        <f aca="false">IF(COUNTIFS(Sch_n,B$5,Sch_bmax,"&gt;="&amp;($A150-0.000000001))&gt;0,_xlfn.MAXIFS(Sch_P0,Sch_n,B$5,Sch_bmax,"&gt;="&amp;($A150-0.000000001))-Beta_y*$A150,"")</f>
        <v>5.45454545454544</v>
      </c>
      <c r="C150" s="16" t="n">
        <f aca="false">IF(COUNTIFS(Sch_n,C$5,Sch_bmax,"&gt;="&amp;($A150-0.000000001))&gt;0,_xlfn.MAXIFS(Sch_P0,Sch_n,C$5,Sch_bmax,"&gt;="&amp;($A150-0.000000001))-Beta_y*$A150,"")</f>
        <v>239.763553160179</v>
      </c>
      <c r="D150" s="16" t="n">
        <f aca="false">IF(COUNTIFS(Sch_n,D$5,Sch_bmax,"&gt;="&amp;($A150-0.000000001))&gt;0,_xlfn.MAXIFS(Sch_P0,Sch_n,D$5,Sch_bmax,"&gt;="&amp;($A150-0.000000001))-Beta_y*$A150,"")</f>
        <v>230.123749619686</v>
      </c>
      <c r="E150" s="16" t="n">
        <f aca="false">IF(COUNTIFS(Sch_n,E$5,Sch_bmax,"&gt;="&amp;($A150-0.000000001))&gt;0,_xlfn.MAXIFS(Sch_P0,Sch_n,E$5,Sch_bmax,"&gt;="&amp;($A150-0.000000001))-Beta_y*$A150,"")</f>
        <v>171.143195182102</v>
      </c>
      <c r="F150" s="16" t="n">
        <f aca="false">IF(COUNTIFS(Sch_n,F$5,Sch_bmax,"&gt;="&amp;($A150-0.000000001))&gt;0,_xlfn.MAXIFS(Sch_P0,Sch_n,F$5,Sch_bmax,"&gt;="&amp;($A150-0.000000001))-Beta_y*$A150,"")</f>
        <v>101.571783302974</v>
      </c>
      <c r="G150" s="16" t="n">
        <f aca="false">IF(COUNTIFS(Sch_n,G$5,Sch_bmax,"&gt;="&amp;($A150-0.000000001))&gt;0,_xlfn.MAXIFS(Sch_P0,Sch_n,G$5,Sch_bmax,"&gt;="&amp;($A150-0.000000001))-Beta_y*$A150,"")</f>
        <v>27.5128036799185</v>
      </c>
      <c r="H150" s="16" t="str">
        <f aca="false">IF(COUNTIFS(Sch_n,H$5,Sch_bmax,"&gt;="&amp;($A150-0.000000001))&gt;0,_xlfn.MAXIFS(Sch_P0,Sch_n,H$5,Sch_bmax,"&gt;="&amp;($A150-0.000000001))-Beta_y*$A150,"")</f>
        <v/>
      </c>
      <c r="J150" s="15" t="n">
        <f aca="false">IF(ISNUMBER(B150),1,0)</f>
        <v>1</v>
      </c>
      <c r="K150" s="15" t="n">
        <f aca="false">IF(ISNUMBER(C150),1,0)</f>
        <v>1</v>
      </c>
      <c r="L150" s="15" t="n">
        <f aca="false">IF(ISNUMBER(D150),1,0)</f>
        <v>1</v>
      </c>
      <c r="M150" s="15" t="n">
        <f aca="false">IF(ISNUMBER(E150),1,0)</f>
        <v>1</v>
      </c>
      <c r="N150" s="15" t="n">
        <f aca="false">IF(ISNUMBER(F150),1,0)</f>
        <v>1</v>
      </c>
      <c r="O150" s="15" t="n">
        <f aca="false">IF(ISNUMBER(G150),1,0)</f>
        <v>1</v>
      </c>
      <c r="P150" s="15" t="n">
        <f aca="false">IF(ISNUMBER(H150),1,0)</f>
        <v>0</v>
      </c>
      <c r="R150" s="15" t="n">
        <f aca="false">IF(J150=1,_xlfn.MINIFS(Sch_idx,Sch_n,B$5,Sch_bmax,"&gt;="&amp;($A150-0.000000001),Sch_P0,"&gt;="&amp;(B150+Beta_y*$A150-0.000000001)),"")</f>
        <v>0</v>
      </c>
      <c r="S150" s="15" t="n">
        <f aca="false">IF(K150=1,_xlfn.MINIFS(Sch_idx,Sch_n,C$5,Sch_bmax,"&gt;="&amp;($A150-0.000000001),Sch_P0,"&gt;="&amp;(C150+Beta_y*$A150-0.000000001)),"")</f>
        <v>32</v>
      </c>
      <c r="T150" s="15" t="n">
        <f aca="false">IF(L150=1,_xlfn.MINIFS(Sch_idx,Sch_n,D$5,Sch_bmax,"&gt;="&amp;($A150-0.000000001),Sch_P0,"&gt;="&amp;(D150+Beta_y*$A150-0.000000001)),"")</f>
        <v>40</v>
      </c>
      <c r="U150" s="15" t="n">
        <f aca="false">IF(M150=1,_xlfn.MINIFS(Sch_idx,Sch_n,E$5,Sch_bmax,"&gt;="&amp;($A150-0.000000001),Sch_P0,"&gt;="&amp;(E150+Beta_y*$A150-0.000000001)),"")</f>
        <v>44</v>
      </c>
      <c r="V150" s="15" t="n">
        <f aca="false">IF(N150=1,_xlfn.MINIFS(Sch_idx,Sch_n,F$5,Sch_bmax,"&gt;="&amp;($A150-0.000000001),Sch_P0,"&gt;="&amp;(F150+Beta_y*$A150-0.000000001)),"")</f>
        <v>45</v>
      </c>
      <c r="W150" s="15" t="n">
        <f aca="false">IF(O150=1,_xlfn.MINIFS(Sch_idx,Sch_n,G$5,Sch_bmax,"&gt;="&amp;($A150-0.000000001),Sch_P0,"&gt;="&amp;(G150+Beta_y*$A150-0.000000001)),"")</f>
        <v>47</v>
      </c>
      <c r="X150" s="15" t="str">
        <f aca="false">IF(P150=1,_xlfn.MINIFS(Sch_idx,Sch_n,H$5,Sch_bmax,"&gt;="&amp;($A150-0.000000001),Sch_P0,"&gt;="&amp;(H150+Beta_y*$A150-0.000000001)),"")</f>
        <v/>
      </c>
      <c r="Z150" s="15" t="n">
        <f aca="false">IF(J150=1,IF(COUNTIFS(K150:$P150,1,C150:$H150,"&gt;="&amp;(B150-0.000000001))&gt;0,0,1),"")</f>
        <v>0</v>
      </c>
      <c r="AA150" s="15" t="n">
        <f aca="false">IF(K150=1,IF(COUNTIFS(L150:$P150,1,D150:$H150,"&gt;="&amp;(C150-0.000000001))&gt;0,0,1),"")</f>
        <v>1</v>
      </c>
      <c r="AB150" s="15" t="n">
        <f aca="false">IF(L150=1,IF(COUNTIFS(M150:$P150,1,E150:$H150,"&gt;="&amp;(D150-0.000000001))&gt;0,0,1),"")</f>
        <v>1</v>
      </c>
      <c r="AC150" s="15" t="n">
        <f aca="false">IF(M150=1,IF(COUNTIFS(N150:$P150,1,F150:$H150,"&gt;="&amp;(E150-0.000000001))&gt;0,0,1),"")</f>
        <v>1</v>
      </c>
      <c r="AD150" s="15" t="n">
        <f aca="false">IF(N150=1,IF(COUNTIFS(O150:$P150,1,G150:$H150,"&gt;="&amp;(F150-0.000000001))&gt;0,0,1),"")</f>
        <v>1</v>
      </c>
      <c r="AE150" s="15" t="n">
        <f aca="false">IF(O150=1,IF(COUNTIFS(P150:$P150,1,H150:$H150,"&gt;="&amp;(G150-0.000000001))&gt;0,0,1),"")</f>
        <v>1</v>
      </c>
      <c r="AF150" s="15" t="str">
        <f aca="false">IF(P150=1,1,"")</f>
        <v/>
      </c>
    </row>
    <row r="151" customFormat="false" ht="15" hidden="false" customHeight="false" outlineLevel="0" collapsed="false">
      <c r="A151" s="2" t="n">
        <v>145</v>
      </c>
      <c r="B151" s="16" t="n">
        <f aca="false">IF(COUNTIFS(Sch_n,B$5,Sch_bmax,"&gt;="&amp;($A151-0.000000001))&gt;0,_xlfn.MAXIFS(Sch_P0,Sch_n,B$5,Sch_bmax,"&gt;="&amp;($A151-0.000000001))-Beta_y*$A151,"")</f>
        <v>4.54545454545453</v>
      </c>
      <c r="C151" s="16" t="n">
        <f aca="false">IF(COUNTIFS(Sch_n,C$5,Sch_bmax,"&gt;="&amp;($A151-0.000000001))&gt;0,_xlfn.MAXIFS(Sch_P0,Sch_n,C$5,Sch_bmax,"&gt;="&amp;($A151-0.000000001))-Beta_y*$A151,"")</f>
        <v>238.854462251088</v>
      </c>
      <c r="D151" s="16" t="n">
        <f aca="false">IF(COUNTIFS(Sch_n,D$5,Sch_bmax,"&gt;="&amp;($A151-0.000000001))&gt;0,_xlfn.MAXIFS(Sch_P0,Sch_n,D$5,Sch_bmax,"&gt;="&amp;($A151-0.000000001))-Beta_y*$A151,"")</f>
        <v>229.214658710595</v>
      </c>
      <c r="E151" s="16" t="n">
        <f aca="false">IF(COUNTIFS(Sch_n,E$5,Sch_bmax,"&gt;="&amp;($A151-0.000000001))&gt;0,_xlfn.MAXIFS(Sch_P0,Sch_n,E$5,Sch_bmax,"&gt;="&amp;($A151-0.000000001))-Beta_y*$A151,"")</f>
        <v>170.234104273011</v>
      </c>
      <c r="F151" s="16" t="n">
        <f aca="false">IF(COUNTIFS(Sch_n,F$5,Sch_bmax,"&gt;="&amp;($A151-0.000000001))&gt;0,_xlfn.MAXIFS(Sch_P0,Sch_n,F$5,Sch_bmax,"&gt;="&amp;($A151-0.000000001))-Beta_y*$A151,"")</f>
        <v>100.662692393883</v>
      </c>
      <c r="G151" s="16" t="n">
        <f aca="false">IF(COUNTIFS(Sch_n,G$5,Sch_bmax,"&gt;="&amp;($A151-0.000000001))&gt;0,_xlfn.MAXIFS(Sch_P0,Sch_n,G$5,Sch_bmax,"&gt;="&amp;($A151-0.000000001))-Beta_y*$A151,"")</f>
        <v>26.6037127708275</v>
      </c>
      <c r="H151" s="16" t="str">
        <f aca="false">IF(COUNTIFS(Sch_n,H$5,Sch_bmax,"&gt;="&amp;($A151-0.000000001))&gt;0,_xlfn.MAXIFS(Sch_P0,Sch_n,H$5,Sch_bmax,"&gt;="&amp;($A151-0.000000001))-Beta_y*$A151,"")</f>
        <v/>
      </c>
      <c r="J151" s="15" t="n">
        <f aca="false">IF(ISNUMBER(B151),1,0)</f>
        <v>1</v>
      </c>
      <c r="K151" s="15" t="n">
        <f aca="false">IF(ISNUMBER(C151),1,0)</f>
        <v>1</v>
      </c>
      <c r="L151" s="15" t="n">
        <f aca="false">IF(ISNUMBER(D151),1,0)</f>
        <v>1</v>
      </c>
      <c r="M151" s="15" t="n">
        <f aca="false">IF(ISNUMBER(E151),1,0)</f>
        <v>1</v>
      </c>
      <c r="N151" s="15" t="n">
        <f aca="false">IF(ISNUMBER(F151),1,0)</f>
        <v>1</v>
      </c>
      <c r="O151" s="15" t="n">
        <f aca="false">IF(ISNUMBER(G151),1,0)</f>
        <v>1</v>
      </c>
      <c r="P151" s="15" t="n">
        <f aca="false">IF(ISNUMBER(H151),1,0)</f>
        <v>0</v>
      </c>
      <c r="R151" s="15" t="n">
        <f aca="false">IF(J151=1,_xlfn.MINIFS(Sch_idx,Sch_n,B$5,Sch_bmax,"&gt;="&amp;($A151-0.000000001),Sch_P0,"&gt;="&amp;(B151+Beta_y*$A151-0.000000001)),"")</f>
        <v>0</v>
      </c>
      <c r="S151" s="15" t="n">
        <f aca="false">IF(K151=1,_xlfn.MINIFS(Sch_idx,Sch_n,C$5,Sch_bmax,"&gt;="&amp;($A151-0.000000001),Sch_P0,"&gt;="&amp;(C151+Beta_y*$A151-0.000000001)),"")</f>
        <v>32</v>
      </c>
      <c r="T151" s="15" t="n">
        <f aca="false">IF(L151=1,_xlfn.MINIFS(Sch_idx,Sch_n,D$5,Sch_bmax,"&gt;="&amp;($A151-0.000000001),Sch_P0,"&gt;="&amp;(D151+Beta_y*$A151-0.000000001)),"")</f>
        <v>40</v>
      </c>
      <c r="U151" s="15" t="n">
        <f aca="false">IF(M151=1,_xlfn.MINIFS(Sch_idx,Sch_n,E$5,Sch_bmax,"&gt;="&amp;($A151-0.000000001),Sch_P0,"&gt;="&amp;(E151+Beta_y*$A151-0.000000001)),"")</f>
        <v>44</v>
      </c>
      <c r="V151" s="15" t="n">
        <f aca="false">IF(N151=1,_xlfn.MINIFS(Sch_idx,Sch_n,F$5,Sch_bmax,"&gt;="&amp;($A151-0.000000001),Sch_P0,"&gt;="&amp;(F151+Beta_y*$A151-0.000000001)),"")</f>
        <v>45</v>
      </c>
      <c r="W151" s="15" t="n">
        <f aca="false">IF(O151=1,_xlfn.MINIFS(Sch_idx,Sch_n,G$5,Sch_bmax,"&gt;="&amp;($A151-0.000000001),Sch_P0,"&gt;="&amp;(G151+Beta_y*$A151-0.000000001)),"")</f>
        <v>47</v>
      </c>
      <c r="X151" s="15" t="str">
        <f aca="false">IF(P151=1,_xlfn.MINIFS(Sch_idx,Sch_n,H$5,Sch_bmax,"&gt;="&amp;($A151-0.000000001),Sch_P0,"&gt;="&amp;(H151+Beta_y*$A151-0.000000001)),"")</f>
        <v/>
      </c>
      <c r="Z151" s="15" t="n">
        <f aca="false">IF(J151=1,IF(COUNTIFS(K151:$P151,1,C151:$H151,"&gt;="&amp;(B151-0.000000001))&gt;0,0,1),"")</f>
        <v>0</v>
      </c>
      <c r="AA151" s="15" t="n">
        <f aca="false">IF(K151=1,IF(COUNTIFS(L151:$P151,1,D151:$H151,"&gt;="&amp;(C151-0.000000001))&gt;0,0,1),"")</f>
        <v>1</v>
      </c>
      <c r="AB151" s="15" t="n">
        <f aca="false">IF(L151=1,IF(COUNTIFS(M151:$P151,1,E151:$H151,"&gt;="&amp;(D151-0.000000001))&gt;0,0,1),"")</f>
        <v>1</v>
      </c>
      <c r="AC151" s="15" t="n">
        <f aca="false">IF(M151=1,IF(COUNTIFS(N151:$P151,1,F151:$H151,"&gt;="&amp;(E151-0.000000001))&gt;0,0,1),"")</f>
        <v>1</v>
      </c>
      <c r="AD151" s="15" t="n">
        <f aca="false">IF(N151=1,IF(COUNTIFS(O151:$P151,1,G151:$H151,"&gt;="&amp;(F151-0.000000001))&gt;0,0,1),"")</f>
        <v>1</v>
      </c>
      <c r="AE151" s="15" t="n">
        <f aca="false">IF(O151=1,IF(COUNTIFS(P151:$P151,1,H151:$H151,"&gt;="&amp;(G151-0.000000001))&gt;0,0,1),"")</f>
        <v>1</v>
      </c>
      <c r="AF151" s="15" t="str">
        <f aca="false">IF(P151=1,1,"")</f>
        <v/>
      </c>
    </row>
    <row r="152" customFormat="false" ht="15" hidden="false" customHeight="false" outlineLevel="0" collapsed="false">
      <c r="A152" s="2" t="n">
        <v>146</v>
      </c>
      <c r="B152" s="16" t="n">
        <f aca="false">IF(COUNTIFS(Sch_n,B$5,Sch_bmax,"&gt;="&amp;($A152-0.000000001))&gt;0,_xlfn.MAXIFS(Sch_P0,Sch_n,B$5,Sch_bmax,"&gt;="&amp;($A152-0.000000001))-Beta_y*$A152,"")</f>
        <v>3.63636363636363</v>
      </c>
      <c r="C152" s="16" t="n">
        <f aca="false">IF(COUNTIFS(Sch_n,C$5,Sch_bmax,"&gt;="&amp;($A152-0.000000001))&gt;0,_xlfn.MAXIFS(Sch_P0,Sch_n,C$5,Sch_bmax,"&gt;="&amp;($A152-0.000000001))-Beta_y*$A152,"")</f>
        <v>237.945371341997</v>
      </c>
      <c r="D152" s="16" t="n">
        <f aca="false">IF(COUNTIFS(Sch_n,D$5,Sch_bmax,"&gt;="&amp;($A152-0.000000001))&gt;0,_xlfn.MAXIFS(Sch_P0,Sch_n,D$5,Sch_bmax,"&gt;="&amp;($A152-0.000000001))-Beta_y*$A152,"")</f>
        <v>228.305567801504</v>
      </c>
      <c r="E152" s="16" t="n">
        <f aca="false">IF(COUNTIFS(Sch_n,E$5,Sch_bmax,"&gt;="&amp;($A152-0.000000001))&gt;0,_xlfn.MAXIFS(Sch_P0,Sch_n,E$5,Sch_bmax,"&gt;="&amp;($A152-0.000000001))-Beta_y*$A152,"")</f>
        <v>169.32501336392</v>
      </c>
      <c r="F152" s="16" t="n">
        <f aca="false">IF(COUNTIFS(Sch_n,F$5,Sch_bmax,"&gt;="&amp;($A152-0.000000001))&gt;0,_xlfn.MAXIFS(Sch_P0,Sch_n,F$5,Sch_bmax,"&gt;="&amp;($A152-0.000000001))-Beta_y*$A152,"")</f>
        <v>99.7536014847922</v>
      </c>
      <c r="G152" s="16" t="n">
        <f aca="false">IF(COUNTIFS(Sch_n,G$5,Sch_bmax,"&gt;="&amp;($A152-0.000000001))&gt;0,_xlfn.MAXIFS(Sch_P0,Sch_n,G$5,Sch_bmax,"&gt;="&amp;($A152-0.000000001))-Beta_y*$A152,"")</f>
        <v>25.6946218617366</v>
      </c>
      <c r="H152" s="16" t="str">
        <f aca="false">IF(COUNTIFS(Sch_n,H$5,Sch_bmax,"&gt;="&amp;($A152-0.000000001))&gt;0,_xlfn.MAXIFS(Sch_P0,Sch_n,H$5,Sch_bmax,"&gt;="&amp;($A152-0.000000001))-Beta_y*$A152,"")</f>
        <v/>
      </c>
      <c r="J152" s="15" t="n">
        <f aca="false">IF(ISNUMBER(B152),1,0)</f>
        <v>1</v>
      </c>
      <c r="K152" s="15" t="n">
        <f aca="false">IF(ISNUMBER(C152),1,0)</f>
        <v>1</v>
      </c>
      <c r="L152" s="15" t="n">
        <f aca="false">IF(ISNUMBER(D152),1,0)</f>
        <v>1</v>
      </c>
      <c r="M152" s="15" t="n">
        <f aca="false">IF(ISNUMBER(E152),1,0)</f>
        <v>1</v>
      </c>
      <c r="N152" s="15" t="n">
        <f aca="false">IF(ISNUMBER(F152),1,0)</f>
        <v>1</v>
      </c>
      <c r="O152" s="15" t="n">
        <f aca="false">IF(ISNUMBER(G152),1,0)</f>
        <v>1</v>
      </c>
      <c r="P152" s="15" t="n">
        <f aca="false">IF(ISNUMBER(H152),1,0)</f>
        <v>0</v>
      </c>
      <c r="R152" s="15" t="n">
        <f aca="false">IF(J152=1,_xlfn.MINIFS(Sch_idx,Sch_n,B$5,Sch_bmax,"&gt;="&amp;($A152-0.000000001),Sch_P0,"&gt;="&amp;(B152+Beta_y*$A152-0.000000001)),"")</f>
        <v>0</v>
      </c>
      <c r="S152" s="15" t="n">
        <f aca="false">IF(K152=1,_xlfn.MINIFS(Sch_idx,Sch_n,C$5,Sch_bmax,"&gt;="&amp;($A152-0.000000001),Sch_P0,"&gt;="&amp;(C152+Beta_y*$A152-0.000000001)),"")</f>
        <v>32</v>
      </c>
      <c r="T152" s="15" t="n">
        <f aca="false">IF(L152=1,_xlfn.MINIFS(Sch_idx,Sch_n,D$5,Sch_bmax,"&gt;="&amp;($A152-0.000000001),Sch_P0,"&gt;="&amp;(D152+Beta_y*$A152-0.000000001)),"")</f>
        <v>40</v>
      </c>
      <c r="U152" s="15" t="n">
        <f aca="false">IF(M152=1,_xlfn.MINIFS(Sch_idx,Sch_n,E$5,Sch_bmax,"&gt;="&amp;($A152-0.000000001),Sch_P0,"&gt;="&amp;(E152+Beta_y*$A152-0.000000001)),"")</f>
        <v>44</v>
      </c>
      <c r="V152" s="15" t="n">
        <f aca="false">IF(N152=1,_xlfn.MINIFS(Sch_idx,Sch_n,F$5,Sch_bmax,"&gt;="&amp;($A152-0.000000001),Sch_P0,"&gt;="&amp;(F152+Beta_y*$A152-0.000000001)),"")</f>
        <v>45</v>
      </c>
      <c r="W152" s="15" t="n">
        <f aca="false">IF(O152=1,_xlfn.MINIFS(Sch_idx,Sch_n,G$5,Sch_bmax,"&gt;="&amp;($A152-0.000000001),Sch_P0,"&gt;="&amp;(G152+Beta_y*$A152-0.000000001)),"")</f>
        <v>47</v>
      </c>
      <c r="X152" s="15" t="str">
        <f aca="false">IF(P152=1,_xlfn.MINIFS(Sch_idx,Sch_n,H$5,Sch_bmax,"&gt;="&amp;($A152-0.000000001),Sch_P0,"&gt;="&amp;(H152+Beta_y*$A152-0.000000001)),"")</f>
        <v/>
      </c>
      <c r="Z152" s="15" t="n">
        <f aca="false">IF(J152=1,IF(COUNTIFS(K152:$P152,1,C152:$H152,"&gt;="&amp;(B152-0.000000001))&gt;0,0,1),"")</f>
        <v>0</v>
      </c>
      <c r="AA152" s="15" t="n">
        <f aca="false">IF(K152=1,IF(COUNTIFS(L152:$P152,1,D152:$H152,"&gt;="&amp;(C152-0.000000001))&gt;0,0,1),"")</f>
        <v>1</v>
      </c>
      <c r="AB152" s="15" t="n">
        <f aca="false">IF(L152=1,IF(COUNTIFS(M152:$P152,1,E152:$H152,"&gt;="&amp;(D152-0.000000001))&gt;0,0,1),"")</f>
        <v>1</v>
      </c>
      <c r="AC152" s="15" t="n">
        <f aca="false">IF(M152=1,IF(COUNTIFS(N152:$P152,1,F152:$H152,"&gt;="&amp;(E152-0.000000001))&gt;0,0,1),"")</f>
        <v>1</v>
      </c>
      <c r="AD152" s="15" t="n">
        <f aca="false">IF(N152=1,IF(COUNTIFS(O152:$P152,1,G152:$H152,"&gt;="&amp;(F152-0.000000001))&gt;0,0,1),"")</f>
        <v>1</v>
      </c>
      <c r="AE152" s="15" t="n">
        <f aca="false">IF(O152=1,IF(COUNTIFS(P152:$P152,1,H152:$H152,"&gt;="&amp;(G152-0.000000001))&gt;0,0,1),"")</f>
        <v>1</v>
      </c>
      <c r="AF152" s="15" t="str">
        <f aca="false">IF(P152=1,1,"")</f>
        <v/>
      </c>
    </row>
    <row r="153" customFormat="false" ht="15" hidden="false" customHeight="false" outlineLevel="0" collapsed="false">
      <c r="A153" s="2" t="n">
        <v>147</v>
      </c>
      <c r="B153" s="16" t="n">
        <f aca="false">IF(COUNTIFS(Sch_n,B$5,Sch_bmax,"&gt;="&amp;($A153-0.000000001))&gt;0,_xlfn.MAXIFS(Sch_P0,Sch_n,B$5,Sch_bmax,"&gt;="&amp;($A153-0.000000001))-Beta_y*$A153,"")</f>
        <v>2.72727272727272</v>
      </c>
      <c r="C153" s="16" t="n">
        <f aca="false">IF(COUNTIFS(Sch_n,C$5,Sch_bmax,"&gt;="&amp;($A153-0.000000001))&gt;0,_xlfn.MAXIFS(Sch_P0,Sch_n,C$5,Sch_bmax,"&gt;="&amp;($A153-0.000000001))-Beta_y*$A153,"")</f>
        <v>237.036280432906</v>
      </c>
      <c r="D153" s="16" t="n">
        <f aca="false">IF(COUNTIFS(Sch_n,D$5,Sch_bmax,"&gt;="&amp;($A153-0.000000001))&gt;0,_xlfn.MAXIFS(Sch_P0,Sch_n,D$5,Sch_bmax,"&gt;="&amp;($A153-0.000000001))-Beta_y*$A153,"")</f>
        <v>227.396476892413</v>
      </c>
      <c r="E153" s="16" t="n">
        <f aca="false">IF(COUNTIFS(Sch_n,E$5,Sch_bmax,"&gt;="&amp;($A153-0.000000001))&gt;0,_xlfn.MAXIFS(Sch_P0,Sch_n,E$5,Sch_bmax,"&gt;="&amp;($A153-0.000000001))-Beta_y*$A153,"")</f>
        <v>168.415922454829</v>
      </c>
      <c r="F153" s="16" t="n">
        <f aca="false">IF(COUNTIFS(Sch_n,F$5,Sch_bmax,"&gt;="&amp;($A153-0.000000001))&gt;0,_xlfn.MAXIFS(Sch_P0,Sch_n,F$5,Sch_bmax,"&gt;="&amp;($A153-0.000000001))-Beta_y*$A153,"")</f>
        <v>98.8445105757013</v>
      </c>
      <c r="G153" s="16" t="n">
        <f aca="false">IF(COUNTIFS(Sch_n,G$5,Sch_bmax,"&gt;="&amp;($A153-0.000000001))&gt;0,_xlfn.MAXIFS(Sch_P0,Sch_n,G$5,Sch_bmax,"&gt;="&amp;($A153-0.000000001))-Beta_y*$A153,"")</f>
        <v>24.7855309526457</v>
      </c>
      <c r="H153" s="16" t="str">
        <f aca="false">IF(COUNTIFS(Sch_n,H$5,Sch_bmax,"&gt;="&amp;($A153-0.000000001))&gt;0,_xlfn.MAXIFS(Sch_P0,Sch_n,H$5,Sch_bmax,"&gt;="&amp;($A153-0.000000001))-Beta_y*$A153,"")</f>
        <v/>
      </c>
      <c r="J153" s="15" t="n">
        <f aca="false">IF(ISNUMBER(B153),1,0)</f>
        <v>1</v>
      </c>
      <c r="K153" s="15" t="n">
        <f aca="false">IF(ISNUMBER(C153),1,0)</f>
        <v>1</v>
      </c>
      <c r="L153" s="15" t="n">
        <f aca="false">IF(ISNUMBER(D153),1,0)</f>
        <v>1</v>
      </c>
      <c r="M153" s="15" t="n">
        <f aca="false">IF(ISNUMBER(E153),1,0)</f>
        <v>1</v>
      </c>
      <c r="N153" s="15" t="n">
        <f aca="false">IF(ISNUMBER(F153),1,0)</f>
        <v>1</v>
      </c>
      <c r="O153" s="15" t="n">
        <f aca="false">IF(ISNUMBER(G153),1,0)</f>
        <v>1</v>
      </c>
      <c r="P153" s="15" t="n">
        <f aca="false">IF(ISNUMBER(H153),1,0)</f>
        <v>0</v>
      </c>
      <c r="R153" s="15" t="n">
        <f aca="false">IF(J153=1,_xlfn.MINIFS(Sch_idx,Sch_n,B$5,Sch_bmax,"&gt;="&amp;($A153-0.000000001),Sch_P0,"&gt;="&amp;(B153+Beta_y*$A153-0.000000001)),"")</f>
        <v>0</v>
      </c>
      <c r="S153" s="15" t="n">
        <f aca="false">IF(K153=1,_xlfn.MINIFS(Sch_idx,Sch_n,C$5,Sch_bmax,"&gt;="&amp;($A153-0.000000001),Sch_P0,"&gt;="&amp;(C153+Beta_y*$A153-0.000000001)),"")</f>
        <v>32</v>
      </c>
      <c r="T153" s="15" t="n">
        <f aca="false">IF(L153=1,_xlfn.MINIFS(Sch_idx,Sch_n,D$5,Sch_bmax,"&gt;="&amp;($A153-0.000000001),Sch_P0,"&gt;="&amp;(D153+Beta_y*$A153-0.000000001)),"")</f>
        <v>40</v>
      </c>
      <c r="U153" s="15" t="n">
        <f aca="false">IF(M153=1,_xlfn.MINIFS(Sch_idx,Sch_n,E$5,Sch_bmax,"&gt;="&amp;($A153-0.000000001),Sch_P0,"&gt;="&amp;(E153+Beta_y*$A153-0.000000001)),"")</f>
        <v>44</v>
      </c>
      <c r="V153" s="15" t="n">
        <f aca="false">IF(N153=1,_xlfn.MINIFS(Sch_idx,Sch_n,F$5,Sch_bmax,"&gt;="&amp;($A153-0.000000001),Sch_P0,"&gt;="&amp;(F153+Beta_y*$A153-0.000000001)),"")</f>
        <v>45</v>
      </c>
      <c r="W153" s="15" t="n">
        <f aca="false">IF(O153=1,_xlfn.MINIFS(Sch_idx,Sch_n,G$5,Sch_bmax,"&gt;="&amp;($A153-0.000000001),Sch_P0,"&gt;="&amp;(G153+Beta_y*$A153-0.000000001)),"")</f>
        <v>47</v>
      </c>
      <c r="X153" s="15" t="str">
        <f aca="false">IF(P153=1,_xlfn.MINIFS(Sch_idx,Sch_n,H$5,Sch_bmax,"&gt;="&amp;($A153-0.000000001),Sch_P0,"&gt;="&amp;(H153+Beta_y*$A153-0.000000001)),"")</f>
        <v/>
      </c>
      <c r="Z153" s="15" t="n">
        <f aca="false">IF(J153=1,IF(COUNTIFS(K153:$P153,1,C153:$H153,"&gt;="&amp;(B153-0.000000001))&gt;0,0,1),"")</f>
        <v>0</v>
      </c>
      <c r="AA153" s="15" t="n">
        <f aca="false">IF(K153=1,IF(COUNTIFS(L153:$P153,1,D153:$H153,"&gt;="&amp;(C153-0.000000001))&gt;0,0,1),"")</f>
        <v>1</v>
      </c>
      <c r="AB153" s="15" t="n">
        <f aca="false">IF(L153=1,IF(COUNTIFS(M153:$P153,1,E153:$H153,"&gt;="&amp;(D153-0.000000001))&gt;0,0,1),"")</f>
        <v>1</v>
      </c>
      <c r="AC153" s="15" t="n">
        <f aca="false">IF(M153=1,IF(COUNTIFS(N153:$P153,1,F153:$H153,"&gt;="&amp;(E153-0.000000001))&gt;0,0,1),"")</f>
        <v>1</v>
      </c>
      <c r="AD153" s="15" t="n">
        <f aca="false">IF(N153=1,IF(COUNTIFS(O153:$P153,1,G153:$H153,"&gt;="&amp;(F153-0.000000001))&gt;0,0,1),"")</f>
        <v>1</v>
      </c>
      <c r="AE153" s="15" t="n">
        <f aca="false">IF(O153=1,IF(COUNTIFS(P153:$P153,1,H153:$H153,"&gt;="&amp;(G153-0.000000001))&gt;0,0,1),"")</f>
        <v>1</v>
      </c>
      <c r="AF153" s="15" t="str">
        <f aca="false">IF(P153=1,1,"")</f>
        <v/>
      </c>
    </row>
    <row r="154" customFormat="false" ht="15" hidden="false" customHeight="false" outlineLevel="0" collapsed="false">
      <c r="A154" s="2" t="n">
        <v>148</v>
      </c>
      <c r="B154" s="16" t="n">
        <f aca="false">IF(COUNTIFS(Sch_n,B$5,Sch_bmax,"&gt;="&amp;($A154-0.000000001))&gt;0,_xlfn.MAXIFS(Sch_P0,Sch_n,B$5,Sch_bmax,"&gt;="&amp;($A154-0.000000001))-Beta_y*$A154,"")</f>
        <v>1.81818181818181</v>
      </c>
      <c r="C154" s="16" t="n">
        <f aca="false">IF(COUNTIFS(Sch_n,C$5,Sch_bmax,"&gt;="&amp;($A154-0.000000001))&gt;0,_xlfn.MAXIFS(Sch_P0,Sch_n,C$5,Sch_bmax,"&gt;="&amp;($A154-0.000000001))-Beta_y*$A154,"")</f>
        <v>236.127189523815</v>
      </c>
      <c r="D154" s="16" t="n">
        <f aca="false">IF(COUNTIFS(Sch_n,D$5,Sch_bmax,"&gt;="&amp;($A154-0.000000001))&gt;0,_xlfn.MAXIFS(Sch_P0,Sch_n,D$5,Sch_bmax,"&gt;="&amp;($A154-0.000000001))-Beta_y*$A154,"")</f>
        <v>226.487385983322</v>
      </c>
      <c r="E154" s="16" t="n">
        <f aca="false">IF(COUNTIFS(Sch_n,E$5,Sch_bmax,"&gt;="&amp;($A154-0.000000001))&gt;0,_xlfn.MAXIFS(Sch_P0,Sch_n,E$5,Sch_bmax,"&gt;="&amp;($A154-0.000000001))-Beta_y*$A154,"")</f>
        <v>167.506831545739</v>
      </c>
      <c r="F154" s="16" t="n">
        <f aca="false">IF(COUNTIFS(Sch_n,F$5,Sch_bmax,"&gt;="&amp;($A154-0.000000001))&gt;0,_xlfn.MAXIFS(Sch_P0,Sch_n,F$5,Sch_bmax,"&gt;="&amp;($A154-0.000000001))-Beta_y*$A154,"")</f>
        <v>97.9354196666104</v>
      </c>
      <c r="G154" s="16" t="n">
        <f aca="false">IF(COUNTIFS(Sch_n,G$5,Sch_bmax,"&gt;="&amp;($A154-0.000000001))&gt;0,_xlfn.MAXIFS(Sch_P0,Sch_n,G$5,Sch_bmax,"&gt;="&amp;($A154-0.000000001))-Beta_y*$A154,"")</f>
        <v>23.8764400435548</v>
      </c>
      <c r="H154" s="16" t="str">
        <f aca="false">IF(COUNTIFS(Sch_n,H$5,Sch_bmax,"&gt;="&amp;($A154-0.000000001))&gt;0,_xlfn.MAXIFS(Sch_P0,Sch_n,H$5,Sch_bmax,"&gt;="&amp;($A154-0.000000001))-Beta_y*$A154,"")</f>
        <v/>
      </c>
      <c r="J154" s="15" t="n">
        <f aca="false">IF(ISNUMBER(B154),1,0)</f>
        <v>1</v>
      </c>
      <c r="K154" s="15" t="n">
        <f aca="false">IF(ISNUMBER(C154),1,0)</f>
        <v>1</v>
      </c>
      <c r="L154" s="15" t="n">
        <f aca="false">IF(ISNUMBER(D154),1,0)</f>
        <v>1</v>
      </c>
      <c r="M154" s="15" t="n">
        <f aca="false">IF(ISNUMBER(E154),1,0)</f>
        <v>1</v>
      </c>
      <c r="N154" s="15" t="n">
        <f aca="false">IF(ISNUMBER(F154),1,0)</f>
        <v>1</v>
      </c>
      <c r="O154" s="15" t="n">
        <f aca="false">IF(ISNUMBER(G154),1,0)</f>
        <v>1</v>
      </c>
      <c r="P154" s="15" t="n">
        <f aca="false">IF(ISNUMBER(H154),1,0)</f>
        <v>0</v>
      </c>
      <c r="R154" s="15" t="n">
        <f aca="false">IF(J154=1,_xlfn.MINIFS(Sch_idx,Sch_n,B$5,Sch_bmax,"&gt;="&amp;($A154-0.000000001),Sch_P0,"&gt;="&amp;(B154+Beta_y*$A154-0.000000001)),"")</f>
        <v>0</v>
      </c>
      <c r="S154" s="15" t="n">
        <f aca="false">IF(K154=1,_xlfn.MINIFS(Sch_idx,Sch_n,C$5,Sch_bmax,"&gt;="&amp;($A154-0.000000001),Sch_P0,"&gt;="&amp;(C154+Beta_y*$A154-0.000000001)),"")</f>
        <v>32</v>
      </c>
      <c r="T154" s="15" t="n">
        <f aca="false">IF(L154=1,_xlfn.MINIFS(Sch_idx,Sch_n,D$5,Sch_bmax,"&gt;="&amp;($A154-0.000000001),Sch_P0,"&gt;="&amp;(D154+Beta_y*$A154-0.000000001)),"")</f>
        <v>40</v>
      </c>
      <c r="U154" s="15" t="n">
        <f aca="false">IF(M154=1,_xlfn.MINIFS(Sch_idx,Sch_n,E$5,Sch_bmax,"&gt;="&amp;($A154-0.000000001),Sch_P0,"&gt;="&amp;(E154+Beta_y*$A154-0.000000001)),"")</f>
        <v>44</v>
      </c>
      <c r="V154" s="15" t="n">
        <f aca="false">IF(N154=1,_xlfn.MINIFS(Sch_idx,Sch_n,F$5,Sch_bmax,"&gt;="&amp;($A154-0.000000001),Sch_P0,"&gt;="&amp;(F154+Beta_y*$A154-0.000000001)),"")</f>
        <v>45</v>
      </c>
      <c r="W154" s="15" t="n">
        <f aca="false">IF(O154=1,_xlfn.MINIFS(Sch_idx,Sch_n,G$5,Sch_bmax,"&gt;="&amp;($A154-0.000000001),Sch_P0,"&gt;="&amp;(G154+Beta_y*$A154-0.000000001)),"")</f>
        <v>47</v>
      </c>
      <c r="X154" s="15" t="str">
        <f aca="false">IF(P154=1,_xlfn.MINIFS(Sch_idx,Sch_n,H$5,Sch_bmax,"&gt;="&amp;($A154-0.000000001),Sch_P0,"&gt;="&amp;(H154+Beta_y*$A154-0.000000001)),"")</f>
        <v/>
      </c>
      <c r="Z154" s="15" t="n">
        <f aca="false">IF(J154=1,IF(COUNTIFS(K154:$P154,1,C154:$H154,"&gt;="&amp;(B154-0.000000001))&gt;0,0,1),"")</f>
        <v>0</v>
      </c>
      <c r="AA154" s="15" t="n">
        <f aca="false">IF(K154=1,IF(COUNTIFS(L154:$P154,1,D154:$H154,"&gt;="&amp;(C154-0.000000001))&gt;0,0,1),"")</f>
        <v>1</v>
      </c>
      <c r="AB154" s="15" t="n">
        <f aca="false">IF(L154=1,IF(COUNTIFS(M154:$P154,1,E154:$H154,"&gt;="&amp;(D154-0.000000001))&gt;0,0,1),"")</f>
        <v>1</v>
      </c>
      <c r="AC154" s="15" t="n">
        <f aca="false">IF(M154=1,IF(COUNTIFS(N154:$P154,1,F154:$H154,"&gt;="&amp;(E154-0.000000001))&gt;0,0,1),"")</f>
        <v>1</v>
      </c>
      <c r="AD154" s="15" t="n">
        <f aca="false">IF(N154=1,IF(COUNTIFS(O154:$P154,1,G154:$H154,"&gt;="&amp;(F154-0.000000001))&gt;0,0,1),"")</f>
        <v>1</v>
      </c>
      <c r="AE154" s="15" t="n">
        <f aca="false">IF(O154=1,IF(COUNTIFS(P154:$P154,1,H154:$H154,"&gt;="&amp;(G154-0.000000001))&gt;0,0,1),"")</f>
        <v>1</v>
      </c>
      <c r="AF154" s="15" t="str">
        <f aca="false">IF(P154=1,1,"")</f>
        <v/>
      </c>
    </row>
    <row r="155" customFormat="false" ht="15" hidden="false" customHeight="false" outlineLevel="0" collapsed="false">
      <c r="A155" s="2" t="n">
        <v>149</v>
      </c>
      <c r="B155" s="16" t="n">
        <f aca="false">IF(COUNTIFS(Sch_n,B$5,Sch_bmax,"&gt;="&amp;($A155-0.000000001))&gt;0,_xlfn.MAXIFS(Sch_P0,Sch_n,B$5,Sch_bmax,"&gt;="&amp;($A155-0.000000001))-Beta_y*$A155,"")</f>
        <v>0.909090909090907</v>
      </c>
      <c r="C155" s="16" t="n">
        <f aca="false">IF(COUNTIFS(Sch_n,C$5,Sch_bmax,"&gt;="&amp;($A155-0.000000001))&gt;0,_xlfn.MAXIFS(Sch_P0,Sch_n,C$5,Sch_bmax,"&gt;="&amp;($A155-0.000000001))-Beta_y*$A155,"")</f>
        <v>235.218098614725</v>
      </c>
      <c r="D155" s="16" t="n">
        <f aca="false">IF(COUNTIFS(Sch_n,D$5,Sch_bmax,"&gt;="&amp;($A155-0.000000001))&gt;0,_xlfn.MAXIFS(Sch_P0,Sch_n,D$5,Sch_bmax,"&gt;="&amp;($A155-0.000000001))-Beta_y*$A155,"")</f>
        <v>225.578295074231</v>
      </c>
      <c r="E155" s="16" t="n">
        <f aca="false">IF(COUNTIFS(Sch_n,E$5,Sch_bmax,"&gt;="&amp;($A155-0.000000001))&gt;0,_xlfn.MAXIFS(Sch_P0,Sch_n,E$5,Sch_bmax,"&gt;="&amp;($A155-0.000000001))-Beta_y*$A155,"")</f>
        <v>166.597740636648</v>
      </c>
      <c r="F155" s="16" t="n">
        <f aca="false">IF(COUNTIFS(Sch_n,F$5,Sch_bmax,"&gt;="&amp;($A155-0.000000001))&gt;0,_xlfn.MAXIFS(Sch_P0,Sch_n,F$5,Sch_bmax,"&gt;="&amp;($A155-0.000000001))-Beta_y*$A155,"")</f>
        <v>97.0263287575195</v>
      </c>
      <c r="G155" s="16" t="n">
        <f aca="false">IF(COUNTIFS(Sch_n,G$5,Sch_bmax,"&gt;="&amp;($A155-0.000000001))&gt;0,_xlfn.MAXIFS(Sch_P0,Sch_n,G$5,Sch_bmax,"&gt;="&amp;($A155-0.000000001))-Beta_y*$A155,"")</f>
        <v>22.9673491344639</v>
      </c>
      <c r="H155" s="16" t="str">
        <f aca="false">IF(COUNTIFS(Sch_n,H$5,Sch_bmax,"&gt;="&amp;($A155-0.000000001))&gt;0,_xlfn.MAXIFS(Sch_P0,Sch_n,H$5,Sch_bmax,"&gt;="&amp;($A155-0.000000001))-Beta_y*$A155,"")</f>
        <v/>
      </c>
      <c r="J155" s="15" t="n">
        <f aca="false">IF(ISNUMBER(B155),1,0)</f>
        <v>1</v>
      </c>
      <c r="K155" s="15" t="n">
        <f aca="false">IF(ISNUMBER(C155),1,0)</f>
        <v>1</v>
      </c>
      <c r="L155" s="15" t="n">
        <f aca="false">IF(ISNUMBER(D155),1,0)</f>
        <v>1</v>
      </c>
      <c r="M155" s="15" t="n">
        <f aca="false">IF(ISNUMBER(E155),1,0)</f>
        <v>1</v>
      </c>
      <c r="N155" s="15" t="n">
        <f aca="false">IF(ISNUMBER(F155),1,0)</f>
        <v>1</v>
      </c>
      <c r="O155" s="15" t="n">
        <f aca="false">IF(ISNUMBER(G155),1,0)</f>
        <v>1</v>
      </c>
      <c r="P155" s="15" t="n">
        <f aca="false">IF(ISNUMBER(H155),1,0)</f>
        <v>0</v>
      </c>
      <c r="R155" s="15" t="n">
        <f aca="false">IF(J155=1,_xlfn.MINIFS(Sch_idx,Sch_n,B$5,Sch_bmax,"&gt;="&amp;($A155-0.000000001),Sch_P0,"&gt;="&amp;(B155+Beta_y*$A155-0.000000001)),"")</f>
        <v>0</v>
      </c>
      <c r="S155" s="15" t="n">
        <f aca="false">IF(K155=1,_xlfn.MINIFS(Sch_idx,Sch_n,C$5,Sch_bmax,"&gt;="&amp;($A155-0.000000001),Sch_P0,"&gt;="&amp;(C155+Beta_y*$A155-0.000000001)),"")</f>
        <v>32</v>
      </c>
      <c r="T155" s="15" t="n">
        <f aca="false">IF(L155=1,_xlfn.MINIFS(Sch_idx,Sch_n,D$5,Sch_bmax,"&gt;="&amp;($A155-0.000000001),Sch_P0,"&gt;="&amp;(D155+Beta_y*$A155-0.000000001)),"")</f>
        <v>40</v>
      </c>
      <c r="U155" s="15" t="n">
        <f aca="false">IF(M155=1,_xlfn.MINIFS(Sch_idx,Sch_n,E$5,Sch_bmax,"&gt;="&amp;($A155-0.000000001),Sch_P0,"&gt;="&amp;(E155+Beta_y*$A155-0.000000001)),"")</f>
        <v>44</v>
      </c>
      <c r="V155" s="15" t="n">
        <f aca="false">IF(N155=1,_xlfn.MINIFS(Sch_idx,Sch_n,F$5,Sch_bmax,"&gt;="&amp;($A155-0.000000001),Sch_P0,"&gt;="&amp;(F155+Beta_y*$A155-0.000000001)),"")</f>
        <v>45</v>
      </c>
      <c r="W155" s="15" t="n">
        <f aca="false">IF(O155=1,_xlfn.MINIFS(Sch_idx,Sch_n,G$5,Sch_bmax,"&gt;="&amp;($A155-0.000000001),Sch_P0,"&gt;="&amp;(G155+Beta_y*$A155-0.000000001)),"")</f>
        <v>47</v>
      </c>
      <c r="X155" s="15" t="str">
        <f aca="false">IF(P155=1,_xlfn.MINIFS(Sch_idx,Sch_n,H$5,Sch_bmax,"&gt;="&amp;($A155-0.000000001),Sch_P0,"&gt;="&amp;(H155+Beta_y*$A155-0.000000001)),"")</f>
        <v/>
      </c>
      <c r="Z155" s="15" t="n">
        <f aca="false">IF(J155=1,IF(COUNTIFS(K155:$P155,1,C155:$H155,"&gt;="&amp;(B155-0.000000001))&gt;0,0,1),"")</f>
        <v>0</v>
      </c>
      <c r="AA155" s="15" t="n">
        <f aca="false">IF(K155=1,IF(COUNTIFS(L155:$P155,1,D155:$H155,"&gt;="&amp;(C155-0.000000001))&gt;0,0,1),"")</f>
        <v>1</v>
      </c>
      <c r="AB155" s="15" t="n">
        <f aca="false">IF(L155=1,IF(COUNTIFS(M155:$P155,1,E155:$H155,"&gt;="&amp;(D155-0.000000001))&gt;0,0,1),"")</f>
        <v>1</v>
      </c>
      <c r="AC155" s="15" t="n">
        <f aca="false">IF(M155=1,IF(COUNTIFS(N155:$P155,1,F155:$H155,"&gt;="&amp;(E155-0.000000001))&gt;0,0,1),"")</f>
        <v>1</v>
      </c>
      <c r="AD155" s="15" t="n">
        <f aca="false">IF(N155=1,IF(COUNTIFS(O155:$P155,1,G155:$H155,"&gt;="&amp;(F155-0.000000001))&gt;0,0,1),"")</f>
        <v>1</v>
      </c>
      <c r="AE155" s="15" t="n">
        <f aca="false">IF(O155=1,IF(COUNTIFS(P155:$P155,1,H155:$H155,"&gt;="&amp;(G155-0.000000001))&gt;0,0,1),"")</f>
        <v>1</v>
      </c>
      <c r="AF155" s="15" t="str">
        <f aca="false">IF(P155=1,1,"")</f>
        <v/>
      </c>
    </row>
    <row r="156" customFormat="false" ht="15" hidden="false" customHeight="false" outlineLevel="0" collapsed="false">
      <c r="A156" s="2" t="n">
        <v>150</v>
      </c>
      <c r="B156" s="16" t="n">
        <f aca="false">IF(COUNTIFS(Sch_n,B$5,Sch_bmax,"&gt;="&amp;($A156-0.000000001))&gt;0,_xlfn.MAXIFS(Sch_P0,Sch_n,B$5,Sch_bmax,"&gt;="&amp;($A156-0.000000001))-Beta_y*$A156,"")</f>
        <v>0</v>
      </c>
      <c r="C156" s="16" t="n">
        <f aca="false">IF(COUNTIFS(Sch_n,C$5,Sch_bmax,"&gt;="&amp;($A156-0.000000001))&gt;0,_xlfn.MAXIFS(Sch_P0,Sch_n,C$5,Sch_bmax,"&gt;="&amp;($A156-0.000000001))-Beta_y*$A156,"")</f>
        <v>234.309007705634</v>
      </c>
      <c r="D156" s="16" t="n">
        <f aca="false">IF(COUNTIFS(Sch_n,D$5,Sch_bmax,"&gt;="&amp;($A156-0.000000001))&gt;0,_xlfn.MAXIFS(Sch_P0,Sch_n,D$5,Sch_bmax,"&gt;="&amp;($A156-0.000000001))-Beta_y*$A156,"")</f>
        <v>224.66920416514</v>
      </c>
      <c r="E156" s="16" t="n">
        <f aca="false">IF(COUNTIFS(Sch_n,E$5,Sch_bmax,"&gt;="&amp;($A156-0.000000001))&gt;0,_xlfn.MAXIFS(Sch_P0,Sch_n,E$5,Sch_bmax,"&gt;="&amp;($A156-0.000000001))-Beta_y*$A156,"")</f>
        <v>165.688649727557</v>
      </c>
      <c r="F156" s="16" t="n">
        <f aca="false">IF(COUNTIFS(Sch_n,F$5,Sch_bmax,"&gt;="&amp;($A156-0.000000001))&gt;0,_xlfn.MAXIFS(Sch_P0,Sch_n,F$5,Sch_bmax,"&gt;="&amp;($A156-0.000000001))-Beta_y*$A156,"")</f>
        <v>96.1172378484286</v>
      </c>
      <c r="G156" s="16" t="n">
        <f aca="false">IF(COUNTIFS(Sch_n,G$5,Sch_bmax,"&gt;="&amp;($A156-0.000000001))&gt;0,_xlfn.MAXIFS(Sch_P0,Sch_n,G$5,Sch_bmax,"&gt;="&amp;($A156-0.000000001))-Beta_y*$A156,"")</f>
        <v>22.058258225373</v>
      </c>
      <c r="H156" s="16" t="str">
        <f aca="false">IF(COUNTIFS(Sch_n,H$5,Sch_bmax,"&gt;="&amp;($A156-0.000000001))&gt;0,_xlfn.MAXIFS(Sch_P0,Sch_n,H$5,Sch_bmax,"&gt;="&amp;($A156-0.000000001))-Beta_y*$A156,"")</f>
        <v/>
      </c>
      <c r="J156" s="15" t="n">
        <f aca="false">IF(ISNUMBER(B156),1,0)</f>
        <v>1</v>
      </c>
      <c r="K156" s="15" t="n">
        <f aca="false">IF(ISNUMBER(C156),1,0)</f>
        <v>1</v>
      </c>
      <c r="L156" s="15" t="n">
        <f aca="false">IF(ISNUMBER(D156),1,0)</f>
        <v>1</v>
      </c>
      <c r="M156" s="15" t="n">
        <f aca="false">IF(ISNUMBER(E156),1,0)</f>
        <v>1</v>
      </c>
      <c r="N156" s="15" t="n">
        <f aca="false">IF(ISNUMBER(F156),1,0)</f>
        <v>1</v>
      </c>
      <c r="O156" s="15" t="n">
        <f aca="false">IF(ISNUMBER(G156),1,0)</f>
        <v>1</v>
      </c>
      <c r="P156" s="15" t="n">
        <f aca="false">IF(ISNUMBER(H156),1,0)</f>
        <v>0</v>
      </c>
      <c r="R156" s="15" t="n">
        <f aca="false">IF(J156=1,_xlfn.MINIFS(Sch_idx,Sch_n,B$5,Sch_bmax,"&gt;="&amp;($A156-0.000000001),Sch_P0,"&gt;="&amp;(B156+Beta_y*$A156-0.000000001)),"")</f>
        <v>0</v>
      </c>
      <c r="S156" s="15" t="n">
        <f aca="false">IF(K156=1,_xlfn.MINIFS(Sch_idx,Sch_n,C$5,Sch_bmax,"&gt;="&amp;($A156-0.000000001),Sch_P0,"&gt;="&amp;(C156+Beta_y*$A156-0.000000001)),"")</f>
        <v>32</v>
      </c>
      <c r="T156" s="15" t="n">
        <f aca="false">IF(L156=1,_xlfn.MINIFS(Sch_idx,Sch_n,D$5,Sch_bmax,"&gt;="&amp;($A156-0.000000001),Sch_P0,"&gt;="&amp;(D156+Beta_y*$A156-0.000000001)),"")</f>
        <v>40</v>
      </c>
      <c r="U156" s="15" t="n">
        <f aca="false">IF(M156=1,_xlfn.MINIFS(Sch_idx,Sch_n,E$5,Sch_bmax,"&gt;="&amp;($A156-0.000000001),Sch_P0,"&gt;="&amp;(E156+Beta_y*$A156-0.000000001)),"")</f>
        <v>44</v>
      </c>
      <c r="V156" s="15" t="n">
        <f aca="false">IF(N156=1,_xlfn.MINIFS(Sch_idx,Sch_n,F$5,Sch_bmax,"&gt;="&amp;($A156-0.000000001),Sch_P0,"&gt;="&amp;(F156+Beta_y*$A156-0.000000001)),"")</f>
        <v>45</v>
      </c>
      <c r="W156" s="15" t="n">
        <f aca="false">IF(O156=1,_xlfn.MINIFS(Sch_idx,Sch_n,G$5,Sch_bmax,"&gt;="&amp;($A156-0.000000001),Sch_P0,"&gt;="&amp;(G156+Beta_y*$A156-0.000000001)),"")</f>
        <v>47</v>
      </c>
      <c r="X156" s="15" t="str">
        <f aca="false">IF(P156=1,_xlfn.MINIFS(Sch_idx,Sch_n,H$5,Sch_bmax,"&gt;="&amp;($A156-0.000000001),Sch_P0,"&gt;="&amp;(H156+Beta_y*$A156-0.000000001)),"")</f>
        <v/>
      </c>
      <c r="Z156" s="15" t="n">
        <f aca="false">IF(J156=1,IF(COUNTIFS(K156:$P156,1,C156:$H156,"&gt;="&amp;(B156-0.000000001))&gt;0,0,1),"")</f>
        <v>0</v>
      </c>
      <c r="AA156" s="15" t="n">
        <f aca="false">IF(K156=1,IF(COUNTIFS(L156:$P156,1,D156:$H156,"&gt;="&amp;(C156-0.000000001))&gt;0,0,1),"")</f>
        <v>1</v>
      </c>
      <c r="AB156" s="15" t="n">
        <f aca="false">IF(L156=1,IF(COUNTIFS(M156:$P156,1,E156:$H156,"&gt;="&amp;(D156-0.000000001))&gt;0,0,1),"")</f>
        <v>1</v>
      </c>
      <c r="AC156" s="15" t="n">
        <f aca="false">IF(M156=1,IF(COUNTIFS(N156:$P156,1,F156:$H156,"&gt;="&amp;(E156-0.000000001))&gt;0,0,1),"")</f>
        <v>1</v>
      </c>
      <c r="AD156" s="15" t="n">
        <f aca="false">IF(N156=1,IF(COUNTIFS(O156:$P156,1,G156:$H156,"&gt;="&amp;(F156-0.000000001))&gt;0,0,1),"")</f>
        <v>1</v>
      </c>
      <c r="AE156" s="15" t="n">
        <f aca="false">IF(O156=1,IF(COUNTIFS(P156:$P156,1,H156:$H156,"&gt;="&amp;(G156-0.000000001))&gt;0,0,1),"")</f>
        <v>1</v>
      </c>
      <c r="AF156" s="15" t="str">
        <f aca="false">IF(P156=1,1,"")</f>
        <v/>
      </c>
    </row>
    <row r="158" customFormat="false" ht="15" hidden="false" customHeight="false" outlineLevel="0" collapsed="false">
      <c r="A158" s="4" t="s">
        <v>288</v>
      </c>
      <c r="B158" s="15" t="n">
        <f aca="false">SUM(J6:P156)</f>
        <v>992</v>
      </c>
      <c r="C158" s="10" t="s">
        <v>289</v>
      </c>
      <c r="J158" s="15" t="n">
        <f aca="false">SUM(J6:J156)</f>
        <v>151</v>
      </c>
      <c r="K158" s="15" t="n">
        <f aca="false">SUM(K6:K156)</f>
        <v>151</v>
      </c>
      <c r="L158" s="15" t="n">
        <f aca="false">SUM(L6:L156)</f>
        <v>151</v>
      </c>
      <c r="M158" s="15" t="n">
        <f aca="false">SUM(M6:M156)</f>
        <v>151</v>
      </c>
      <c r="N158" s="15" t="n">
        <f aca="false">SUM(N6:N156)</f>
        <v>151</v>
      </c>
      <c r="O158" s="15" t="n">
        <f aca="false">SUM(O6:O156)</f>
        <v>151</v>
      </c>
      <c r="P158" s="15" t="n">
        <f aca="false">SUM(P6:P156)</f>
        <v>86</v>
      </c>
    </row>
    <row r="159" customFormat="false" ht="15" hidden="false" customHeight="false" outlineLevel="0" collapsed="false">
      <c r="A159" s="4" t="s">
        <v>97</v>
      </c>
      <c r="B159" s="15" t="n">
        <f aca="false">SUM(Z6:AF156)</f>
        <v>740</v>
      </c>
      <c r="C159" s="10" t="s">
        <v>290</v>
      </c>
      <c r="Z159" s="15" t="n">
        <f aca="false">SUM(Z6:Z156)</f>
        <v>0</v>
      </c>
      <c r="AA159" s="15" t="n">
        <f aca="false">SUM(AA6:AA156)</f>
        <v>50</v>
      </c>
      <c r="AB159" s="15" t="n">
        <f aca="false">SUM(AB6:AB156)</f>
        <v>151</v>
      </c>
      <c r="AC159" s="15" t="n">
        <f aca="false">SUM(AC6:AC156)</f>
        <v>151</v>
      </c>
      <c r="AD159" s="15" t="n">
        <f aca="false">SUM(AD6:AD156)</f>
        <v>151</v>
      </c>
      <c r="AE159" s="15" t="n">
        <f aca="false">SUM(AE6:AE156)</f>
        <v>151</v>
      </c>
      <c r="AF159" s="15" t="n">
        <f aca="false">SUM(AF6:AF156)</f>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0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4" min="2" style="0" width="8"/>
    <col collapsed="false" customWidth="true" hidden="false" outlineLevel="0" max="5" min="5" style="0" width="11"/>
    <col collapsed="false" customWidth="true" hidden="false" outlineLevel="0" max="6" min="6" style="0" width="10"/>
    <col collapsed="false" customWidth="true" hidden="false" outlineLevel="0" max="7" min="7" style="0" width="8"/>
    <col collapsed="false" customWidth="true" hidden="false" outlineLevel="0" max="8" min="8" style="0" width="9"/>
    <col collapsed="false" customWidth="true" hidden="false" outlineLevel="0" max="9" min="9" style="0" width="14"/>
    <col collapsed="false" customWidth="true" hidden="false" outlineLevel="0" max="10" min="10" style="0" width="9"/>
    <col collapsed="false" customWidth="true" hidden="false" outlineLevel="0" max="12" min="11" style="0" width="11"/>
    <col collapsed="false" customWidth="true" hidden="false" outlineLevel="0" max="40" min="13" style="0" width="10"/>
  </cols>
  <sheetData>
    <row r="1" customFormat="false" ht="15" hidden="false" customHeight="false" outlineLevel="0" collapsed="false">
      <c r="A1" s="1" t="s">
        <v>291</v>
      </c>
    </row>
    <row r="2" customFormat="false" ht="15" hidden="false" customHeight="false" outlineLevel="0" collapsed="false">
      <c r="A2" s="10" t="s">
        <v>292</v>
      </c>
    </row>
    <row r="3" customFormat="false" ht="15" hidden="false" customHeight="false" outlineLevel="0" collapsed="false">
      <c r="A3" s="10" t="s">
        <v>293</v>
      </c>
    </row>
    <row r="5" customFormat="false" ht="68.65" hidden="false" customHeight="false" outlineLevel="0" collapsed="false">
      <c r="A5" s="8" t="s">
        <v>294</v>
      </c>
      <c r="B5" s="8" t="s">
        <v>66</v>
      </c>
      <c r="C5" s="8" t="s">
        <v>266</v>
      </c>
      <c r="D5" s="8" t="s">
        <v>295</v>
      </c>
      <c r="E5" s="8" t="s">
        <v>215</v>
      </c>
      <c r="F5" s="8" t="s">
        <v>191</v>
      </c>
      <c r="G5" s="8" t="s">
        <v>282</v>
      </c>
      <c r="H5" s="8" t="s">
        <v>287</v>
      </c>
      <c r="I5" s="8" t="s">
        <v>59</v>
      </c>
      <c r="J5" s="8" t="s">
        <v>97</v>
      </c>
      <c r="K5" s="8" t="s">
        <v>296</v>
      </c>
      <c r="L5" s="8" t="s">
        <v>193</v>
      </c>
      <c r="M5" s="8" t="s">
        <v>297</v>
      </c>
      <c r="N5" s="8" t="s">
        <v>298</v>
      </c>
      <c r="O5" s="8" t="s">
        <v>299</v>
      </c>
      <c r="P5" s="8" t="s">
        <v>300</v>
      </c>
      <c r="Q5" s="8" t="s">
        <v>301</v>
      </c>
      <c r="R5" s="8" t="s">
        <v>302</v>
      </c>
      <c r="S5" s="8" t="s">
        <v>303</v>
      </c>
      <c r="T5" s="8" t="s">
        <v>304</v>
      </c>
      <c r="U5" s="8" t="s">
        <v>305</v>
      </c>
      <c r="V5" s="8" t="s">
        <v>306</v>
      </c>
      <c r="W5" s="8" t="s">
        <v>307</v>
      </c>
      <c r="X5" s="8" t="s">
        <v>308</v>
      </c>
      <c r="Y5" s="8" t="s">
        <v>309</v>
      </c>
      <c r="Z5" s="8" t="s">
        <v>310</v>
      </c>
      <c r="AA5" s="8" t="s">
        <v>311</v>
      </c>
      <c r="AB5" s="8" t="s">
        <v>312</v>
      </c>
      <c r="AC5" s="8" t="s">
        <v>313</v>
      </c>
      <c r="AD5" s="8" t="s">
        <v>314</v>
      </c>
      <c r="AE5" s="8" t="s">
        <v>315</v>
      </c>
      <c r="AF5" s="8" t="s">
        <v>316</v>
      </c>
      <c r="AG5" s="8" t="s">
        <v>317</v>
      </c>
      <c r="AH5" s="8" t="s">
        <v>318</v>
      </c>
      <c r="AI5" s="8" t="s">
        <v>319</v>
      </c>
      <c r="AJ5" s="8" t="s">
        <v>320</v>
      </c>
      <c r="AK5" s="8" t="s">
        <v>321</v>
      </c>
      <c r="AL5" s="8" t="s">
        <v>322</v>
      </c>
      <c r="AM5" s="8" t="s">
        <v>323</v>
      </c>
      <c r="AN5" s="8" t="s">
        <v>324</v>
      </c>
    </row>
    <row r="6" customFormat="false" ht="15" hidden="false" customHeight="false" outlineLevel="0" collapsed="false">
      <c r="A6" s="2" t="n">
        <v>0</v>
      </c>
      <c r="B6" s="15" t="n">
        <f aca="false">INT(A6/151)</f>
        <v>0</v>
      </c>
      <c r="C6" s="15" t="n">
        <f aca="false">MOD(A6,151)</f>
        <v>0</v>
      </c>
      <c r="D6" s="15" t="n">
        <f aca="false">INDEX(Grid!$J$6:$P$156,C6+1,B6+1)</f>
        <v>1</v>
      </c>
      <c r="E6" s="16" t="n">
        <f aca="false">IF(D6=1,INDEX(Grid!$B$6:$H$156,C6+1,B6+1),"")</f>
        <v>136.363636363636</v>
      </c>
      <c r="F6" s="13" t="n">
        <f aca="false">Val_pt*(Ceiling_e-E_zero)*(1-(1-Half_gap)^B6)</f>
        <v>0</v>
      </c>
      <c r="G6" s="15" t="n">
        <f aca="false">C6</f>
        <v>0</v>
      </c>
      <c r="H6" s="15" t="n">
        <f aca="false">IF(D6=1,INDEX(Grid!$R$6:$X$156,C6+1,B6+1),"")</f>
        <v>0</v>
      </c>
      <c r="I6" s="2" t="str">
        <f aca="false">IF(D6=1,INDEX(Sch_label,H6+1),"")</f>
        <v>none</v>
      </c>
      <c r="J6" s="15" t="n">
        <f aca="false">IF(D6=1,INDEX(Grid!$Z$6:$AF$156,C6+1,B6+1),0)</f>
        <v>0</v>
      </c>
      <c r="K6" s="16" t="n">
        <f aca="false">IF(J6=1,E6,0)</f>
        <v>0</v>
      </c>
      <c r="L6" s="17" t="n">
        <f aca="false">IF(D6=1,E6+W_board*F6,"")</f>
        <v>136.363636363636</v>
      </c>
      <c r="Z6" s="12" t="str">
        <f aca="false">IF(AND($J6=1,$M6=1),N6*E6/Span_P+O6*F6/Span_S+P6*G6/Span_B,"")</f>
        <v/>
      </c>
      <c r="AA6" s="12" t="str">
        <f aca="false">IF(AND($J6=1,$M6=1),SUMPRODUCT(MAX($J$6:$J$1062*(N6*$K$6:$K$1062/Span_P+O6*$F$6:$F$1062/Span_S+P6*$G$6:$G$1062/Span_B)-(1-$J$6:$J$1062)*1000000000)),"")</f>
        <v/>
      </c>
      <c r="AB6" s="15" t="str">
        <f aca="false">IF(AND($J6=1,$M6=1),IF(AA6-Z6&lt;=0.000000001,1,0),"")</f>
        <v/>
      </c>
      <c r="AC6" s="13" t="str">
        <f aca="false">IF(AND($J6=1,$M6=0),IF(S6="",0,S6*INDEX(Grid!$B$6:$H$156,R6+1,Q6+1))+IF(V6="",0,V6*INDEX(Grid!$B$6:$H$156,U6+1,T6+1))+IF(Y6="",0,Y6*INDEX(Grid!$B$6:$H$156,X6+1,W6+1)),"")</f>
        <v/>
      </c>
      <c r="AD6" s="13" t="str">
        <f aca="false">IF(AND($J6=1,$M6=0),IF(S6="",0,S6*Val_pt*(Ceiling_e-E_zero)*(1-(1-Half_gap)^Q6))+IF(V6="",0,V6*Val_pt*(Ceiling_e-E_zero)*(1-(1-Half_gap)^T6))+IF(Y6="",0,Y6*Val_pt*(Ceiling_e-E_zero)*(1-(1-Half_gap)^W6)),"")</f>
        <v/>
      </c>
      <c r="AE6" s="13" t="str">
        <f aca="false">IF(AND($J6=1,$M6=0),IF(S6="",0,S6*R6)+IF(V6="",0,V6*U6)+IF(Y6="",0,Y6*X6),"")</f>
        <v/>
      </c>
      <c r="AF6" s="12" t="str">
        <f aca="false">IF(AND($J6=1,$M6=0),MIN((AC6-E6)/Span_P,(AD6-F6)/Span_S,(AE6-G6)/Span_B),"")</f>
        <v/>
      </c>
      <c r="AG6" s="15" t="str">
        <f aca="false">IF(AND($J6=1,$M6=0),IF(AF6&gt;0.0000001,1,0),"")</f>
        <v/>
      </c>
      <c r="AH6" s="15" t="str">
        <f aca="false">IF($J6=1,IF($M6=1,AB6,AG6),"")</f>
        <v/>
      </c>
      <c r="AI6" s="13" t="str">
        <f aca="false">IF($J6=1,(Ideal_P-E6)/Span_P,"")</f>
        <v/>
      </c>
      <c r="AJ6" s="13" t="str">
        <f aca="false">IF($J6=1,(Ideal_S-F6)/Span_S,"")</f>
        <v/>
      </c>
      <c r="AK6" s="13" t="str">
        <f aca="false">IF($J6=1,(Ideal_B-G6)/Span_B,"")</f>
        <v/>
      </c>
      <c r="AL6" s="12" t="str">
        <f aca="false">IF($J6=1,MAX(ChA_1*AI6,ChA_2*AJ6,ChA_3*AK6)+Rho*(ChA_1*AI6+ChA_2*AJ6+ChA_3*AK6),"")</f>
        <v/>
      </c>
      <c r="AM6" s="12" t="str">
        <f aca="false">IF($J6=1,MAX(ChB_1*AI6,ChB_2*AJ6,ChB_3*AK6)+Rho*(ChB_1*AI6+ChB_2*AJ6+ChB_3*AK6),"")</f>
        <v/>
      </c>
      <c r="AN6" s="12" t="str">
        <f aca="false">IF($J6=1,MAX(Cx_1*(Ref_P-E6)/Span_P,Cx_2*(Ref_S-F6)/Span_S,Cx_3*(Ref_B-G6)/Span_B),"")</f>
        <v/>
      </c>
    </row>
    <row r="7" customFormat="false" ht="15" hidden="false" customHeight="false" outlineLevel="0" collapsed="false">
      <c r="A7" s="2" t="n">
        <v>1</v>
      </c>
      <c r="B7" s="15" t="n">
        <f aca="false">INT(A7/151)</f>
        <v>0</v>
      </c>
      <c r="C7" s="15" t="n">
        <f aca="false">MOD(A7,151)</f>
        <v>1</v>
      </c>
      <c r="D7" s="15" t="n">
        <f aca="false">INDEX(Grid!$J$6:$P$156,C7+1,B7+1)</f>
        <v>1</v>
      </c>
      <c r="E7" s="16" t="n">
        <f aca="false">IF(D7=1,INDEX(Grid!$B$6:$H$156,C7+1,B7+1),"")</f>
        <v>135.454545454545</v>
      </c>
      <c r="F7" s="13" t="n">
        <f aca="false">Val_pt*(Ceiling_e-E_zero)*(1-(1-Half_gap)^B7)</f>
        <v>0</v>
      </c>
      <c r="G7" s="15" t="n">
        <f aca="false">C7</f>
        <v>1</v>
      </c>
      <c r="H7" s="15" t="n">
        <f aca="false">IF(D7=1,INDEX(Grid!$R$6:$X$156,C7+1,B7+1),"")</f>
        <v>0</v>
      </c>
      <c r="I7" s="2" t="str">
        <f aca="false">IF(D7=1,INDEX(Sch_label,H7+1),"")</f>
        <v>none</v>
      </c>
      <c r="J7" s="15" t="n">
        <f aca="false">IF(D7=1,INDEX(Grid!$Z$6:$AF$156,C7+1,B7+1),0)</f>
        <v>0</v>
      </c>
      <c r="K7" s="16" t="n">
        <f aca="false">IF(J7=1,E7,0)</f>
        <v>0</v>
      </c>
      <c r="L7" s="17" t="n">
        <f aca="false">IF(D7=1,E7+W_board*F7,"")</f>
        <v>135.454545454545</v>
      </c>
      <c r="Z7" s="12" t="str">
        <f aca="false">IF(AND($J7=1,$M7=1),N7*E7/Span_P+O7*F7/Span_S+P7*G7/Span_B,"")</f>
        <v/>
      </c>
      <c r="AA7" s="12" t="str">
        <f aca="false">IF(AND($J7=1,$M7=1),SUMPRODUCT(MAX($J$6:$J$1062*(N7*$K$6:$K$1062/Span_P+O7*$F$6:$F$1062/Span_S+P7*$G$6:$G$1062/Span_B)-(1-$J$6:$J$1062)*1000000000)),"")</f>
        <v/>
      </c>
      <c r="AB7" s="15" t="str">
        <f aca="false">IF(AND($J7=1,$M7=1),IF(AA7-Z7&lt;=0.000000001,1,0),"")</f>
        <v/>
      </c>
      <c r="AC7" s="13" t="str">
        <f aca="false">IF(AND($J7=1,$M7=0),IF(S7="",0,S7*INDEX(Grid!$B$6:$H$156,R7+1,Q7+1))+IF(V7="",0,V7*INDEX(Grid!$B$6:$H$156,U7+1,T7+1))+IF(Y7="",0,Y7*INDEX(Grid!$B$6:$H$156,X7+1,W7+1)),"")</f>
        <v/>
      </c>
      <c r="AD7" s="13" t="str">
        <f aca="false">IF(AND($J7=1,$M7=0),IF(S7="",0,S7*Val_pt*(Ceiling_e-E_zero)*(1-(1-Half_gap)^Q7))+IF(V7="",0,V7*Val_pt*(Ceiling_e-E_zero)*(1-(1-Half_gap)^T7))+IF(Y7="",0,Y7*Val_pt*(Ceiling_e-E_zero)*(1-(1-Half_gap)^W7)),"")</f>
        <v/>
      </c>
      <c r="AE7" s="13" t="str">
        <f aca="false">IF(AND($J7=1,$M7=0),IF(S7="",0,S7*R7)+IF(V7="",0,V7*U7)+IF(Y7="",0,Y7*X7),"")</f>
        <v/>
      </c>
      <c r="AF7" s="12" t="str">
        <f aca="false">IF(AND($J7=1,$M7=0),MIN((AC7-E7)/Span_P,(AD7-F7)/Span_S,(AE7-G7)/Span_B),"")</f>
        <v/>
      </c>
      <c r="AG7" s="15" t="str">
        <f aca="false">IF(AND($J7=1,$M7=0),IF(AF7&gt;0.0000001,1,0),"")</f>
        <v/>
      </c>
      <c r="AH7" s="15" t="str">
        <f aca="false">IF($J7=1,IF($M7=1,AB7,AG7),"")</f>
        <v/>
      </c>
      <c r="AI7" s="13" t="str">
        <f aca="false">IF($J7=1,(Ideal_P-E7)/Span_P,"")</f>
        <v/>
      </c>
      <c r="AJ7" s="13" t="str">
        <f aca="false">IF($J7=1,(Ideal_S-F7)/Span_S,"")</f>
        <v/>
      </c>
      <c r="AK7" s="13" t="str">
        <f aca="false">IF($J7=1,(Ideal_B-G7)/Span_B,"")</f>
        <v/>
      </c>
      <c r="AL7" s="12" t="str">
        <f aca="false">IF($J7=1,MAX(ChA_1*AI7,ChA_2*AJ7,ChA_3*AK7)+Rho*(ChA_1*AI7+ChA_2*AJ7+ChA_3*AK7),"")</f>
        <v/>
      </c>
      <c r="AM7" s="12" t="str">
        <f aca="false">IF($J7=1,MAX(ChB_1*AI7,ChB_2*AJ7,ChB_3*AK7)+Rho*(ChB_1*AI7+ChB_2*AJ7+ChB_3*AK7),"")</f>
        <v/>
      </c>
      <c r="AN7" s="12" t="str">
        <f aca="false">IF($J7=1,MAX(Cx_1*(Ref_P-E7)/Span_P,Cx_2*(Ref_S-F7)/Span_S,Cx_3*(Ref_B-G7)/Span_B),"")</f>
        <v/>
      </c>
    </row>
    <row r="8" customFormat="false" ht="15" hidden="false" customHeight="false" outlineLevel="0" collapsed="false">
      <c r="A8" s="2" t="n">
        <v>2</v>
      </c>
      <c r="B8" s="15" t="n">
        <f aca="false">INT(A8/151)</f>
        <v>0</v>
      </c>
      <c r="C8" s="15" t="n">
        <f aca="false">MOD(A8,151)</f>
        <v>2</v>
      </c>
      <c r="D8" s="15" t="n">
        <f aca="false">INDEX(Grid!$J$6:$P$156,C8+1,B8+1)</f>
        <v>1</v>
      </c>
      <c r="E8" s="16" t="n">
        <f aca="false">IF(D8=1,INDEX(Grid!$B$6:$H$156,C8+1,B8+1),"")</f>
        <v>134.545454545455</v>
      </c>
      <c r="F8" s="13" t="n">
        <f aca="false">Val_pt*(Ceiling_e-E_zero)*(1-(1-Half_gap)^B8)</f>
        <v>0</v>
      </c>
      <c r="G8" s="15" t="n">
        <f aca="false">C8</f>
        <v>2</v>
      </c>
      <c r="H8" s="15" t="n">
        <f aca="false">IF(D8=1,INDEX(Grid!$R$6:$X$156,C8+1,B8+1),"")</f>
        <v>0</v>
      </c>
      <c r="I8" s="2" t="str">
        <f aca="false">IF(D8=1,INDEX(Sch_label,H8+1),"")</f>
        <v>none</v>
      </c>
      <c r="J8" s="15" t="n">
        <f aca="false">IF(D8=1,INDEX(Grid!$Z$6:$AF$156,C8+1,B8+1),0)</f>
        <v>0</v>
      </c>
      <c r="K8" s="16" t="n">
        <f aca="false">IF(J8=1,E8,0)</f>
        <v>0</v>
      </c>
      <c r="L8" s="17" t="n">
        <f aca="false">IF(D8=1,E8+W_board*F8,"")</f>
        <v>134.545454545455</v>
      </c>
      <c r="Z8" s="12" t="str">
        <f aca="false">IF(AND($J8=1,$M8=1),N8*E8/Span_P+O8*F8/Span_S+P8*G8/Span_B,"")</f>
        <v/>
      </c>
      <c r="AA8" s="12" t="str">
        <f aca="false">IF(AND($J8=1,$M8=1),SUMPRODUCT(MAX($J$6:$J$1062*(N8*$K$6:$K$1062/Span_P+O8*$F$6:$F$1062/Span_S+P8*$G$6:$G$1062/Span_B)-(1-$J$6:$J$1062)*1000000000)),"")</f>
        <v/>
      </c>
      <c r="AB8" s="15" t="str">
        <f aca="false">IF(AND($J8=1,$M8=1),IF(AA8-Z8&lt;=0.000000001,1,0),"")</f>
        <v/>
      </c>
      <c r="AC8" s="13" t="str">
        <f aca="false">IF(AND($J8=1,$M8=0),IF(S8="",0,S8*INDEX(Grid!$B$6:$H$156,R8+1,Q8+1))+IF(V8="",0,V8*INDEX(Grid!$B$6:$H$156,U8+1,T8+1))+IF(Y8="",0,Y8*INDEX(Grid!$B$6:$H$156,X8+1,W8+1)),"")</f>
        <v/>
      </c>
      <c r="AD8" s="13" t="str">
        <f aca="false">IF(AND($J8=1,$M8=0),IF(S8="",0,S8*Val_pt*(Ceiling_e-E_zero)*(1-(1-Half_gap)^Q8))+IF(V8="",0,V8*Val_pt*(Ceiling_e-E_zero)*(1-(1-Half_gap)^T8))+IF(Y8="",0,Y8*Val_pt*(Ceiling_e-E_zero)*(1-(1-Half_gap)^W8)),"")</f>
        <v/>
      </c>
      <c r="AE8" s="13" t="str">
        <f aca="false">IF(AND($J8=1,$M8=0),IF(S8="",0,S8*R8)+IF(V8="",0,V8*U8)+IF(Y8="",0,Y8*X8),"")</f>
        <v/>
      </c>
      <c r="AF8" s="12" t="str">
        <f aca="false">IF(AND($J8=1,$M8=0),MIN((AC8-E8)/Span_P,(AD8-F8)/Span_S,(AE8-G8)/Span_B),"")</f>
        <v/>
      </c>
      <c r="AG8" s="15" t="str">
        <f aca="false">IF(AND($J8=1,$M8=0),IF(AF8&gt;0.0000001,1,0),"")</f>
        <v/>
      </c>
      <c r="AH8" s="15" t="str">
        <f aca="false">IF($J8=1,IF($M8=1,AB8,AG8),"")</f>
        <v/>
      </c>
      <c r="AI8" s="13" t="str">
        <f aca="false">IF($J8=1,(Ideal_P-E8)/Span_P,"")</f>
        <v/>
      </c>
      <c r="AJ8" s="13" t="str">
        <f aca="false">IF($J8=1,(Ideal_S-F8)/Span_S,"")</f>
        <v/>
      </c>
      <c r="AK8" s="13" t="str">
        <f aca="false">IF($J8=1,(Ideal_B-G8)/Span_B,"")</f>
        <v/>
      </c>
      <c r="AL8" s="12" t="str">
        <f aca="false">IF($J8=1,MAX(ChA_1*AI8,ChA_2*AJ8,ChA_3*AK8)+Rho*(ChA_1*AI8+ChA_2*AJ8+ChA_3*AK8),"")</f>
        <v/>
      </c>
      <c r="AM8" s="12" t="str">
        <f aca="false">IF($J8=1,MAX(ChB_1*AI8,ChB_2*AJ8,ChB_3*AK8)+Rho*(ChB_1*AI8+ChB_2*AJ8+ChB_3*AK8),"")</f>
        <v/>
      </c>
      <c r="AN8" s="12" t="str">
        <f aca="false">IF($J8=1,MAX(Cx_1*(Ref_P-E8)/Span_P,Cx_2*(Ref_S-F8)/Span_S,Cx_3*(Ref_B-G8)/Span_B),"")</f>
        <v/>
      </c>
    </row>
    <row r="9" customFormat="false" ht="15" hidden="false" customHeight="false" outlineLevel="0" collapsed="false">
      <c r="A9" s="2" t="n">
        <v>3</v>
      </c>
      <c r="B9" s="15" t="n">
        <f aca="false">INT(A9/151)</f>
        <v>0</v>
      </c>
      <c r="C9" s="15" t="n">
        <f aca="false">MOD(A9,151)</f>
        <v>3</v>
      </c>
      <c r="D9" s="15" t="n">
        <f aca="false">INDEX(Grid!$J$6:$P$156,C9+1,B9+1)</f>
        <v>1</v>
      </c>
      <c r="E9" s="16" t="n">
        <f aca="false">IF(D9=1,INDEX(Grid!$B$6:$H$156,C9+1,B9+1),"")</f>
        <v>133.636363636364</v>
      </c>
      <c r="F9" s="13" t="n">
        <f aca="false">Val_pt*(Ceiling_e-E_zero)*(1-(1-Half_gap)^B9)</f>
        <v>0</v>
      </c>
      <c r="G9" s="15" t="n">
        <f aca="false">C9</f>
        <v>3</v>
      </c>
      <c r="H9" s="15" t="n">
        <f aca="false">IF(D9=1,INDEX(Grid!$R$6:$X$156,C9+1,B9+1),"")</f>
        <v>0</v>
      </c>
      <c r="I9" s="2" t="str">
        <f aca="false">IF(D9=1,INDEX(Sch_label,H9+1),"")</f>
        <v>none</v>
      </c>
      <c r="J9" s="15" t="n">
        <f aca="false">IF(D9=1,INDEX(Grid!$Z$6:$AF$156,C9+1,B9+1),0)</f>
        <v>0</v>
      </c>
      <c r="K9" s="16" t="n">
        <f aca="false">IF(J9=1,E9,0)</f>
        <v>0</v>
      </c>
      <c r="L9" s="17" t="n">
        <f aca="false">IF(D9=1,E9+W_board*F9,"")</f>
        <v>133.636363636364</v>
      </c>
      <c r="Z9" s="12" t="str">
        <f aca="false">IF(AND($J9=1,$M9=1),N9*E9/Span_P+O9*F9/Span_S+P9*G9/Span_B,"")</f>
        <v/>
      </c>
      <c r="AA9" s="12" t="str">
        <f aca="false">IF(AND($J9=1,$M9=1),SUMPRODUCT(MAX($J$6:$J$1062*(N9*$K$6:$K$1062/Span_P+O9*$F$6:$F$1062/Span_S+P9*$G$6:$G$1062/Span_B)-(1-$J$6:$J$1062)*1000000000)),"")</f>
        <v/>
      </c>
      <c r="AB9" s="15" t="str">
        <f aca="false">IF(AND($J9=1,$M9=1),IF(AA9-Z9&lt;=0.000000001,1,0),"")</f>
        <v/>
      </c>
      <c r="AC9" s="13" t="str">
        <f aca="false">IF(AND($J9=1,$M9=0),IF(S9="",0,S9*INDEX(Grid!$B$6:$H$156,R9+1,Q9+1))+IF(V9="",0,V9*INDEX(Grid!$B$6:$H$156,U9+1,T9+1))+IF(Y9="",0,Y9*INDEX(Grid!$B$6:$H$156,X9+1,W9+1)),"")</f>
        <v/>
      </c>
      <c r="AD9" s="13" t="str">
        <f aca="false">IF(AND($J9=1,$M9=0),IF(S9="",0,S9*Val_pt*(Ceiling_e-E_zero)*(1-(1-Half_gap)^Q9))+IF(V9="",0,V9*Val_pt*(Ceiling_e-E_zero)*(1-(1-Half_gap)^T9))+IF(Y9="",0,Y9*Val_pt*(Ceiling_e-E_zero)*(1-(1-Half_gap)^W9)),"")</f>
        <v/>
      </c>
      <c r="AE9" s="13" t="str">
        <f aca="false">IF(AND($J9=1,$M9=0),IF(S9="",0,S9*R9)+IF(V9="",0,V9*U9)+IF(Y9="",0,Y9*X9),"")</f>
        <v/>
      </c>
      <c r="AF9" s="12" t="str">
        <f aca="false">IF(AND($J9=1,$M9=0),MIN((AC9-E9)/Span_P,(AD9-F9)/Span_S,(AE9-G9)/Span_B),"")</f>
        <v/>
      </c>
      <c r="AG9" s="15" t="str">
        <f aca="false">IF(AND($J9=1,$M9=0),IF(AF9&gt;0.0000001,1,0),"")</f>
        <v/>
      </c>
      <c r="AH9" s="15" t="str">
        <f aca="false">IF($J9=1,IF($M9=1,AB9,AG9),"")</f>
        <v/>
      </c>
      <c r="AI9" s="13" t="str">
        <f aca="false">IF($J9=1,(Ideal_P-E9)/Span_P,"")</f>
        <v/>
      </c>
      <c r="AJ9" s="13" t="str">
        <f aca="false">IF($J9=1,(Ideal_S-F9)/Span_S,"")</f>
        <v/>
      </c>
      <c r="AK9" s="13" t="str">
        <f aca="false">IF($J9=1,(Ideal_B-G9)/Span_B,"")</f>
        <v/>
      </c>
      <c r="AL9" s="12" t="str">
        <f aca="false">IF($J9=1,MAX(ChA_1*AI9,ChA_2*AJ9,ChA_3*AK9)+Rho*(ChA_1*AI9+ChA_2*AJ9+ChA_3*AK9),"")</f>
        <v/>
      </c>
      <c r="AM9" s="12" t="str">
        <f aca="false">IF($J9=1,MAX(ChB_1*AI9,ChB_2*AJ9,ChB_3*AK9)+Rho*(ChB_1*AI9+ChB_2*AJ9+ChB_3*AK9),"")</f>
        <v/>
      </c>
      <c r="AN9" s="12" t="str">
        <f aca="false">IF($J9=1,MAX(Cx_1*(Ref_P-E9)/Span_P,Cx_2*(Ref_S-F9)/Span_S,Cx_3*(Ref_B-G9)/Span_B),"")</f>
        <v/>
      </c>
    </row>
    <row r="10" customFormat="false" ht="15" hidden="false" customHeight="false" outlineLevel="0" collapsed="false">
      <c r="A10" s="2" t="n">
        <v>4</v>
      </c>
      <c r="B10" s="15" t="n">
        <f aca="false">INT(A10/151)</f>
        <v>0</v>
      </c>
      <c r="C10" s="15" t="n">
        <f aca="false">MOD(A10,151)</f>
        <v>4</v>
      </c>
      <c r="D10" s="15" t="n">
        <f aca="false">INDEX(Grid!$J$6:$P$156,C10+1,B10+1)</f>
        <v>1</v>
      </c>
      <c r="E10" s="16" t="n">
        <f aca="false">IF(D10=1,INDEX(Grid!$B$6:$H$156,C10+1,B10+1),"")</f>
        <v>132.727272727273</v>
      </c>
      <c r="F10" s="13" t="n">
        <f aca="false">Val_pt*(Ceiling_e-E_zero)*(1-(1-Half_gap)^B10)</f>
        <v>0</v>
      </c>
      <c r="G10" s="15" t="n">
        <f aca="false">C10</f>
        <v>4</v>
      </c>
      <c r="H10" s="15" t="n">
        <f aca="false">IF(D10=1,INDEX(Grid!$R$6:$X$156,C10+1,B10+1),"")</f>
        <v>0</v>
      </c>
      <c r="I10" s="2" t="str">
        <f aca="false">IF(D10=1,INDEX(Sch_label,H10+1),"")</f>
        <v>none</v>
      </c>
      <c r="J10" s="15" t="n">
        <f aca="false">IF(D10=1,INDEX(Grid!$Z$6:$AF$156,C10+1,B10+1),0)</f>
        <v>0</v>
      </c>
      <c r="K10" s="16" t="n">
        <f aca="false">IF(J10=1,E10,0)</f>
        <v>0</v>
      </c>
      <c r="L10" s="17" t="n">
        <f aca="false">IF(D10=1,E10+W_board*F10,"")</f>
        <v>132.727272727273</v>
      </c>
      <c r="Z10" s="12" t="str">
        <f aca="false">IF(AND($J10=1,$M10=1),N10*E10/Span_P+O10*F10/Span_S+P10*G10/Span_B,"")</f>
        <v/>
      </c>
      <c r="AA10" s="12" t="str">
        <f aca="false">IF(AND($J10=1,$M10=1),SUMPRODUCT(MAX($J$6:$J$1062*(N10*$K$6:$K$1062/Span_P+O10*$F$6:$F$1062/Span_S+P10*$G$6:$G$1062/Span_B)-(1-$J$6:$J$1062)*1000000000)),"")</f>
        <v/>
      </c>
      <c r="AB10" s="15" t="str">
        <f aca="false">IF(AND($J10=1,$M10=1),IF(AA10-Z10&lt;=0.000000001,1,0),"")</f>
        <v/>
      </c>
      <c r="AC10" s="13" t="str">
        <f aca="false">IF(AND($J10=1,$M10=0),IF(S10="",0,S10*INDEX(Grid!$B$6:$H$156,R10+1,Q10+1))+IF(V10="",0,V10*INDEX(Grid!$B$6:$H$156,U10+1,T10+1))+IF(Y10="",0,Y10*INDEX(Grid!$B$6:$H$156,X10+1,W10+1)),"")</f>
        <v/>
      </c>
      <c r="AD10" s="13" t="str">
        <f aca="false">IF(AND($J10=1,$M10=0),IF(S10="",0,S10*Val_pt*(Ceiling_e-E_zero)*(1-(1-Half_gap)^Q10))+IF(V10="",0,V10*Val_pt*(Ceiling_e-E_zero)*(1-(1-Half_gap)^T10))+IF(Y10="",0,Y10*Val_pt*(Ceiling_e-E_zero)*(1-(1-Half_gap)^W10)),"")</f>
        <v/>
      </c>
      <c r="AE10" s="13" t="str">
        <f aca="false">IF(AND($J10=1,$M10=0),IF(S10="",0,S10*R10)+IF(V10="",0,V10*U10)+IF(Y10="",0,Y10*X10),"")</f>
        <v/>
      </c>
      <c r="AF10" s="12" t="str">
        <f aca="false">IF(AND($J10=1,$M10=0),MIN((AC10-E10)/Span_P,(AD10-F10)/Span_S,(AE10-G10)/Span_B),"")</f>
        <v/>
      </c>
      <c r="AG10" s="15" t="str">
        <f aca="false">IF(AND($J10=1,$M10=0),IF(AF10&gt;0.0000001,1,0),"")</f>
        <v/>
      </c>
      <c r="AH10" s="15" t="str">
        <f aca="false">IF($J10=1,IF($M10=1,AB10,AG10),"")</f>
        <v/>
      </c>
      <c r="AI10" s="13" t="str">
        <f aca="false">IF($J10=1,(Ideal_P-E10)/Span_P,"")</f>
        <v/>
      </c>
      <c r="AJ10" s="13" t="str">
        <f aca="false">IF($J10=1,(Ideal_S-F10)/Span_S,"")</f>
        <v/>
      </c>
      <c r="AK10" s="13" t="str">
        <f aca="false">IF($J10=1,(Ideal_B-G10)/Span_B,"")</f>
        <v/>
      </c>
      <c r="AL10" s="12" t="str">
        <f aca="false">IF($J10=1,MAX(ChA_1*AI10,ChA_2*AJ10,ChA_3*AK10)+Rho*(ChA_1*AI10+ChA_2*AJ10+ChA_3*AK10),"")</f>
        <v/>
      </c>
      <c r="AM10" s="12" t="str">
        <f aca="false">IF($J10=1,MAX(ChB_1*AI10,ChB_2*AJ10,ChB_3*AK10)+Rho*(ChB_1*AI10+ChB_2*AJ10+ChB_3*AK10),"")</f>
        <v/>
      </c>
      <c r="AN10" s="12" t="str">
        <f aca="false">IF($J10=1,MAX(Cx_1*(Ref_P-E10)/Span_P,Cx_2*(Ref_S-F10)/Span_S,Cx_3*(Ref_B-G10)/Span_B),"")</f>
        <v/>
      </c>
    </row>
    <row r="11" customFormat="false" ht="15" hidden="false" customHeight="false" outlineLevel="0" collapsed="false">
      <c r="A11" s="2" t="n">
        <v>5</v>
      </c>
      <c r="B11" s="15" t="n">
        <f aca="false">INT(A11/151)</f>
        <v>0</v>
      </c>
      <c r="C11" s="15" t="n">
        <f aca="false">MOD(A11,151)</f>
        <v>5</v>
      </c>
      <c r="D11" s="15" t="n">
        <f aca="false">INDEX(Grid!$J$6:$P$156,C11+1,B11+1)</f>
        <v>1</v>
      </c>
      <c r="E11" s="16" t="n">
        <f aca="false">IF(D11=1,INDEX(Grid!$B$6:$H$156,C11+1,B11+1),"")</f>
        <v>131.818181818182</v>
      </c>
      <c r="F11" s="13" t="n">
        <f aca="false">Val_pt*(Ceiling_e-E_zero)*(1-(1-Half_gap)^B11)</f>
        <v>0</v>
      </c>
      <c r="G11" s="15" t="n">
        <f aca="false">C11</f>
        <v>5</v>
      </c>
      <c r="H11" s="15" t="n">
        <f aca="false">IF(D11=1,INDEX(Grid!$R$6:$X$156,C11+1,B11+1),"")</f>
        <v>0</v>
      </c>
      <c r="I11" s="2" t="str">
        <f aca="false">IF(D11=1,INDEX(Sch_label,H11+1),"")</f>
        <v>none</v>
      </c>
      <c r="J11" s="15" t="n">
        <f aca="false">IF(D11=1,INDEX(Grid!$Z$6:$AF$156,C11+1,B11+1),0)</f>
        <v>0</v>
      </c>
      <c r="K11" s="16" t="n">
        <f aca="false">IF(J11=1,E11,0)</f>
        <v>0</v>
      </c>
      <c r="L11" s="17" t="n">
        <f aca="false">IF(D11=1,E11+W_board*F11,"")</f>
        <v>131.818181818182</v>
      </c>
      <c r="Z11" s="12" t="str">
        <f aca="false">IF(AND($J11=1,$M11=1),N11*E11/Span_P+O11*F11/Span_S+P11*G11/Span_B,"")</f>
        <v/>
      </c>
      <c r="AA11" s="12" t="str">
        <f aca="false">IF(AND($J11=1,$M11=1),SUMPRODUCT(MAX($J$6:$J$1062*(N11*$K$6:$K$1062/Span_P+O11*$F$6:$F$1062/Span_S+P11*$G$6:$G$1062/Span_B)-(1-$J$6:$J$1062)*1000000000)),"")</f>
        <v/>
      </c>
      <c r="AB11" s="15" t="str">
        <f aca="false">IF(AND($J11=1,$M11=1),IF(AA11-Z11&lt;=0.000000001,1,0),"")</f>
        <v/>
      </c>
      <c r="AC11" s="13" t="str">
        <f aca="false">IF(AND($J11=1,$M11=0),IF(S11="",0,S11*INDEX(Grid!$B$6:$H$156,R11+1,Q11+1))+IF(V11="",0,V11*INDEX(Grid!$B$6:$H$156,U11+1,T11+1))+IF(Y11="",0,Y11*INDEX(Grid!$B$6:$H$156,X11+1,W11+1)),"")</f>
        <v/>
      </c>
      <c r="AD11" s="13" t="str">
        <f aca="false">IF(AND($J11=1,$M11=0),IF(S11="",0,S11*Val_pt*(Ceiling_e-E_zero)*(1-(1-Half_gap)^Q11))+IF(V11="",0,V11*Val_pt*(Ceiling_e-E_zero)*(1-(1-Half_gap)^T11))+IF(Y11="",0,Y11*Val_pt*(Ceiling_e-E_zero)*(1-(1-Half_gap)^W11)),"")</f>
        <v/>
      </c>
      <c r="AE11" s="13" t="str">
        <f aca="false">IF(AND($J11=1,$M11=0),IF(S11="",0,S11*R11)+IF(V11="",0,V11*U11)+IF(Y11="",0,Y11*X11),"")</f>
        <v/>
      </c>
      <c r="AF11" s="12" t="str">
        <f aca="false">IF(AND($J11=1,$M11=0),MIN((AC11-E11)/Span_P,(AD11-F11)/Span_S,(AE11-G11)/Span_B),"")</f>
        <v/>
      </c>
      <c r="AG11" s="15" t="str">
        <f aca="false">IF(AND($J11=1,$M11=0),IF(AF11&gt;0.0000001,1,0),"")</f>
        <v/>
      </c>
      <c r="AH11" s="15" t="str">
        <f aca="false">IF($J11=1,IF($M11=1,AB11,AG11),"")</f>
        <v/>
      </c>
      <c r="AI11" s="13" t="str">
        <f aca="false">IF($J11=1,(Ideal_P-E11)/Span_P,"")</f>
        <v/>
      </c>
      <c r="AJ11" s="13" t="str">
        <f aca="false">IF($J11=1,(Ideal_S-F11)/Span_S,"")</f>
        <v/>
      </c>
      <c r="AK11" s="13" t="str">
        <f aca="false">IF($J11=1,(Ideal_B-G11)/Span_B,"")</f>
        <v/>
      </c>
      <c r="AL11" s="12" t="str">
        <f aca="false">IF($J11=1,MAX(ChA_1*AI11,ChA_2*AJ11,ChA_3*AK11)+Rho*(ChA_1*AI11+ChA_2*AJ11+ChA_3*AK11),"")</f>
        <v/>
      </c>
      <c r="AM11" s="12" t="str">
        <f aca="false">IF($J11=1,MAX(ChB_1*AI11,ChB_2*AJ11,ChB_3*AK11)+Rho*(ChB_1*AI11+ChB_2*AJ11+ChB_3*AK11),"")</f>
        <v/>
      </c>
      <c r="AN11" s="12" t="str">
        <f aca="false">IF($J11=1,MAX(Cx_1*(Ref_P-E11)/Span_P,Cx_2*(Ref_S-F11)/Span_S,Cx_3*(Ref_B-G11)/Span_B),"")</f>
        <v/>
      </c>
    </row>
    <row r="12" customFormat="false" ht="15" hidden="false" customHeight="false" outlineLevel="0" collapsed="false">
      <c r="A12" s="2" t="n">
        <v>6</v>
      </c>
      <c r="B12" s="15" t="n">
        <f aca="false">INT(A12/151)</f>
        <v>0</v>
      </c>
      <c r="C12" s="15" t="n">
        <f aca="false">MOD(A12,151)</f>
        <v>6</v>
      </c>
      <c r="D12" s="15" t="n">
        <f aca="false">INDEX(Grid!$J$6:$P$156,C12+1,B12+1)</f>
        <v>1</v>
      </c>
      <c r="E12" s="16" t="n">
        <f aca="false">IF(D12=1,INDEX(Grid!$B$6:$H$156,C12+1,B12+1),"")</f>
        <v>130.909090909091</v>
      </c>
      <c r="F12" s="13" t="n">
        <f aca="false">Val_pt*(Ceiling_e-E_zero)*(1-(1-Half_gap)^B12)</f>
        <v>0</v>
      </c>
      <c r="G12" s="15" t="n">
        <f aca="false">C12</f>
        <v>6</v>
      </c>
      <c r="H12" s="15" t="n">
        <f aca="false">IF(D12=1,INDEX(Grid!$R$6:$X$156,C12+1,B12+1),"")</f>
        <v>0</v>
      </c>
      <c r="I12" s="2" t="str">
        <f aca="false">IF(D12=1,INDEX(Sch_label,H12+1),"")</f>
        <v>none</v>
      </c>
      <c r="J12" s="15" t="n">
        <f aca="false">IF(D12=1,INDEX(Grid!$Z$6:$AF$156,C12+1,B12+1),0)</f>
        <v>0</v>
      </c>
      <c r="K12" s="16" t="n">
        <f aca="false">IF(J12=1,E12,0)</f>
        <v>0</v>
      </c>
      <c r="L12" s="17" t="n">
        <f aca="false">IF(D12=1,E12+W_board*F12,"")</f>
        <v>130.909090909091</v>
      </c>
      <c r="Z12" s="12" t="str">
        <f aca="false">IF(AND($J12=1,$M12=1),N12*E12/Span_P+O12*F12/Span_S+P12*G12/Span_B,"")</f>
        <v/>
      </c>
      <c r="AA12" s="12" t="str">
        <f aca="false">IF(AND($J12=1,$M12=1),SUMPRODUCT(MAX($J$6:$J$1062*(N12*$K$6:$K$1062/Span_P+O12*$F$6:$F$1062/Span_S+P12*$G$6:$G$1062/Span_B)-(1-$J$6:$J$1062)*1000000000)),"")</f>
        <v/>
      </c>
      <c r="AB12" s="15" t="str">
        <f aca="false">IF(AND($J12=1,$M12=1),IF(AA12-Z12&lt;=0.000000001,1,0),"")</f>
        <v/>
      </c>
      <c r="AC12" s="13" t="str">
        <f aca="false">IF(AND($J12=1,$M12=0),IF(S12="",0,S12*INDEX(Grid!$B$6:$H$156,R12+1,Q12+1))+IF(V12="",0,V12*INDEX(Grid!$B$6:$H$156,U12+1,T12+1))+IF(Y12="",0,Y12*INDEX(Grid!$B$6:$H$156,X12+1,W12+1)),"")</f>
        <v/>
      </c>
      <c r="AD12" s="13" t="str">
        <f aca="false">IF(AND($J12=1,$M12=0),IF(S12="",0,S12*Val_pt*(Ceiling_e-E_zero)*(1-(1-Half_gap)^Q12))+IF(V12="",0,V12*Val_pt*(Ceiling_e-E_zero)*(1-(1-Half_gap)^T12))+IF(Y12="",0,Y12*Val_pt*(Ceiling_e-E_zero)*(1-(1-Half_gap)^W12)),"")</f>
        <v/>
      </c>
      <c r="AE12" s="13" t="str">
        <f aca="false">IF(AND($J12=1,$M12=0),IF(S12="",0,S12*R12)+IF(V12="",0,V12*U12)+IF(Y12="",0,Y12*X12),"")</f>
        <v/>
      </c>
      <c r="AF12" s="12" t="str">
        <f aca="false">IF(AND($J12=1,$M12=0),MIN((AC12-E12)/Span_P,(AD12-F12)/Span_S,(AE12-G12)/Span_B),"")</f>
        <v/>
      </c>
      <c r="AG12" s="15" t="str">
        <f aca="false">IF(AND($J12=1,$M12=0),IF(AF12&gt;0.0000001,1,0),"")</f>
        <v/>
      </c>
      <c r="AH12" s="15" t="str">
        <f aca="false">IF($J12=1,IF($M12=1,AB12,AG12),"")</f>
        <v/>
      </c>
      <c r="AI12" s="13" t="str">
        <f aca="false">IF($J12=1,(Ideal_P-E12)/Span_P,"")</f>
        <v/>
      </c>
      <c r="AJ12" s="13" t="str">
        <f aca="false">IF($J12=1,(Ideal_S-F12)/Span_S,"")</f>
        <v/>
      </c>
      <c r="AK12" s="13" t="str">
        <f aca="false">IF($J12=1,(Ideal_B-G12)/Span_B,"")</f>
        <v/>
      </c>
      <c r="AL12" s="12" t="str">
        <f aca="false">IF($J12=1,MAX(ChA_1*AI12,ChA_2*AJ12,ChA_3*AK12)+Rho*(ChA_1*AI12+ChA_2*AJ12+ChA_3*AK12),"")</f>
        <v/>
      </c>
      <c r="AM12" s="12" t="str">
        <f aca="false">IF($J12=1,MAX(ChB_1*AI12,ChB_2*AJ12,ChB_3*AK12)+Rho*(ChB_1*AI12+ChB_2*AJ12+ChB_3*AK12),"")</f>
        <v/>
      </c>
      <c r="AN12" s="12" t="str">
        <f aca="false">IF($J12=1,MAX(Cx_1*(Ref_P-E12)/Span_P,Cx_2*(Ref_S-F12)/Span_S,Cx_3*(Ref_B-G12)/Span_B),"")</f>
        <v/>
      </c>
    </row>
    <row r="13" customFormat="false" ht="15" hidden="false" customHeight="false" outlineLevel="0" collapsed="false">
      <c r="A13" s="2" t="n">
        <v>7</v>
      </c>
      <c r="B13" s="15" t="n">
        <f aca="false">INT(A13/151)</f>
        <v>0</v>
      </c>
      <c r="C13" s="15" t="n">
        <f aca="false">MOD(A13,151)</f>
        <v>7</v>
      </c>
      <c r="D13" s="15" t="n">
        <f aca="false">INDEX(Grid!$J$6:$P$156,C13+1,B13+1)</f>
        <v>1</v>
      </c>
      <c r="E13" s="16" t="n">
        <f aca="false">IF(D13=1,INDEX(Grid!$B$6:$H$156,C13+1,B13+1),"")</f>
        <v>130</v>
      </c>
      <c r="F13" s="13" t="n">
        <f aca="false">Val_pt*(Ceiling_e-E_zero)*(1-(1-Half_gap)^B13)</f>
        <v>0</v>
      </c>
      <c r="G13" s="15" t="n">
        <f aca="false">C13</f>
        <v>7</v>
      </c>
      <c r="H13" s="15" t="n">
        <f aca="false">IF(D13=1,INDEX(Grid!$R$6:$X$156,C13+1,B13+1),"")</f>
        <v>0</v>
      </c>
      <c r="I13" s="2" t="str">
        <f aca="false">IF(D13=1,INDEX(Sch_label,H13+1),"")</f>
        <v>none</v>
      </c>
      <c r="J13" s="15" t="n">
        <f aca="false">IF(D13=1,INDEX(Grid!$Z$6:$AF$156,C13+1,B13+1),0)</f>
        <v>0</v>
      </c>
      <c r="K13" s="16" t="n">
        <f aca="false">IF(J13=1,E13,0)</f>
        <v>0</v>
      </c>
      <c r="L13" s="17" t="n">
        <f aca="false">IF(D13=1,E13+W_board*F13,"")</f>
        <v>130</v>
      </c>
      <c r="Z13" s="12" t="str">
        <f aca="false">IF(AND($J13=1,$M13=1),N13*E13/Span_P+O13*F13/Span_S+P13*G13/Span_B,"")</f>
        <v/>
      </c>
      <c r="AA13" s="12" t="str">
        <f aca="false">IF(AND($J13=1,$M13=1),SUMPRODUCT(MAX($J$6:$J$1062*(N13*$K$6:$K$1062/Span_P+O13*$F$6:$F$1062/Span_S+P13*$G$6:$G$1062/Span_B)-(1-$J$6:$J$1062)*1000000000)),"")</f>
        <v/>
      </c>
      <c r="AB13" s="15" t="str">
        <f aca="false">IF(AND($J13=1,$M13=1),IF(AA13-Z13&lt;=0.000000001,1,0),"")</f>
        <v/>
      </c>
      <c r="AC13" s="13" t="str">
        <f aca="false">IF(AND($J13=1,$M13=0),IF(S13="",0,S13*INDEX(Grid!$B$6:$H$156,R13+1,Q13+1))+IF(V13="",0,V13*INDEX(Grid!$B$6:$H$156,U13+1,T13+1))+IF(Y13="",0,Y13*INDEX(Grid!$B$6:$H$156,X13+1,W13+1)),"")</f>
        <v/>
      </c>
      <c r="AD13" s="13" t="str">
        <f aca="false">IF(AND($J13=1,$M13=0),IF(S13="",0,S13*Val_pt*(Ceiling_e-E_zero)*(1-(1-Half_gap)^Q13))+IF(V13="",0,V13*Val_pt*(Ceiling_e-E_zero)*(1-(1-Half_gap)^T13))+IF(Y13="",0,Y13*Val_pt*(Ceiling_e-E_zero)*(1-(1-Half_gap)^W13)),"")</f>
        <v/>
      </c>
      <c r="AE13" s="13" t="str">
        <f aca="false">IF(AND($J13=1,$M13=0),IF(S13="",0,S13*R13)+IF(V13="",0,V13*U13)+IF(Y13="",0,Y13*X13),"")</f>
        <v/>
      </c>
      <c r="AF13" s="12" t="str">
        <f aca="false">IF(AND($J13=1,$M13=0),MIN((AC13-E13)/Span_P,(AD13-F13)/Span_S,(AE13-G13)/Span_B),"")</f>
        <v/>
      </c>
      <c r="AG13" s="15" t="str">
        <f aca="false">IF(AND($J13=1,$M13=0),IF(AF13&gt;0.0000001,1,0),"")</f>
        <v/>
      </c>
      <c r="AH13" s="15" t="str">
        <f aca="false">IF($J13=1,IF($M13=1,AB13,AG13),"")</f>
        <v/>
      </c>
      <c r="AI13" s="13" t="str">
        <f aca="false">IF($J13=1,(Ideal_P-E13)/Span_P,"")</f>
        <v/>
      </c>
      <c r="AJ13" s="13" t="str">
        <f aca="false">IF($J13=1,(Ideal_S-F13)/Span_S,"")</f>
        <v/>
      </c>
      <c r="AK13" s="13" t="str">
        <f aca="false">IF($J13=1,(Ideal_B-G13)/Span_B,"")</f>
        <v/>
      </c>
      <c r="AL13" s="12" t="str">
        <f aca="false">IF($J13=1,MAX(ChA_1*AI13,ChA_2*AJ13,ChA_3*AK13)+Rho*(ChA_1*AI13+ChA_2*AJ13+ChA_3*AK13),"")</f>
        <v/>
      </c>
      <c r="AM13" s="12" t="str">
        <f aca="false">IF($J13=1,MAX(ChB_1*AI13,ChB_2*AJ13,ChB_3*AK13)+Rho*(ChB_1*AI13+ChB_2*AJ13+ChB_3*AK13),"")</f>
        <v/>
      </c>
      <c r="AN13" s="12" t="str">
        <f aca="false">IF($J13=1,MAX(Cx_1*(Ref_P-E13)/Span_P,Cx_2*(Ref_S-F13)/Span_S,Cx_3*(Ref_B-G13)/Span_B),"")</f>
        <v/>
      </c>
    </row>
    <row r="14" customFormat="false" ht="15" hidden="false" customHeight="false" outlineLevel="0" collapsed="false">
      <c r="A14" s="2" t="n">
        <v>8</v>
      </c>
      <c r="B14" s="15" t="n">
        <f aca="false">INT(A14/151)</f>
        <v>0</v>
      </c>
      <c r="C14" s="15" t="n">
        <f aca="false">MOD(A14,151)</f>
        <v>8</v>
      </c>
      <c r="D14" s="15" t="n">
        <f aca="false">INDEX(Grid!$J$6:$P$156,C14+1,B14+1)</f>
        <v>1</v>
      </c>
      <c r="E14" s="16" t="n">
        <f aca="false">IF(D14=1,INDEX(Grid!$B$6:$H$156,C14+1,B14+1),"")</f>
        <v>129.090909090909</v>
      </c>
      <c r="F14" s="13" t="n">
        <f aca="false">Val_pt*(Ceiling_e-E_zero)*(1-(1-Half_gap)^B14)</f>
        <v>0</v>
      </c>
      <c r="G14" s="15" t="n">
        <f aca="false">C14</f>
        <v>8</v>
      </c>
      <c r="H14" s="15" t="n">
        <f aca="false">IF(D14=1,INDEX(Grid!$R$6:$X$156,C14+1,B14+1),"")</f>
        <v>0</v>
      </c>
      <c r="I14" s="2" t="str">
        <f aca="false">IF(D14=1,INDEX(Sch_label,H14+1),"")</f>
        <v>none</v>
      </c>
      <c r="J14" s="15" t="n">
        <f aca="false">IF(D14=1,INDEX(Grid!$Z$6:$AF$156,C14+1,B14+1),0)</f>
        <v>0</v>
      </c>
      <c r="K14" s="16" t="n">
        <f aca="false">IF(J14=1,E14,0)</f>
        <v>0</v>
      </c>
      <c r="L14" s="17" t="n">
        <f aca="false">IF(D14=1,E14+W_board*F14,"")</f>
        <v>129.090909090909</v>
      </c>
      <c r="Z14" s="12" t="str">
        <f aca="false">IF(AND($J14=1,$M14=1),N14*E14/Span_P+O14*F14/Span_S+P14*G14/Span_B,"")</f>
        <v/>
      </c>
      <c r="AA14" s="12" t="str">
        <f aca="false">IF(AND($J14=1,$M14=1),SUMPRODUCT(MAX($J$6:$J$1062*(N14*$K$6:$K$1062/Span_P+O14*$F$6:$F$1062/Span_S+P14*$G$6:$G$1062/Span_B)-(1-$J$6:$J$1062)*1000000000)),"")</f>
        <v/>
      </c>
      <c r="AB14" s="15" t="str">
        <f aca="false">IF(AND($J14=1,$M14=1),IF(AA14-Z14&lt;=0.000000001,1,0),"")</f>
        <v/>
      </c>
      <c r="AC14" s="13" t="str">
        <f aca="false">IF(AND($J14=1,$M14=0),IF(S14="",0,S14*INDEX(Grid!$B$6:$H$156,R14+1,Q14+1))+IF(V14="",0,V14*INDEX(Grid!$B$6:$H$156,U14+1,T14+1))+IF(Y14="",0,Y14*INDEX(Grid!$B$6:$H$156,X14+1,W14+1)),"")</f>
        <v/>
      </c>
      <c r="AD14" s="13" t="str">
        <f aca="false">IF(AND($J14=1,$M14=0),IF(S14="",0,S14*Val_pt*(Ceiling_e-E_zero)*(1-(1-Half_gap)^Q14))+IF(V14="",0,V14*Val_pt*(Ceiling_e-E_zero)*(1-(1-Half_gap)^T14))+IF(Y14="",0,Y14*Val_pt*(Ceiling_e-E_zero)*(1-(1-Half_gap)^W14)),"")</f>
        <v/>
      </c>
      <c r="AE14" s="13" t="str">
        <f aca="false">IF(AND($J14=1,$M14=0),IF(S14="",0,S14*R14)+IF(V14="",0,V14*U14)+IF(Y14="",0,Y14*X14),"")</f>
        <v/>
      </c>
      <c r="AF14" s="12" t="str">
        <f aca="false">IF(AND($J14=1,$M14=0),MIN((AC14-E14)/Span_P,(AD14-F14)/Span_S,(AE14-G14)/Span_B),"")</f>
        <v/>
      </c>
      <c r="AG14" s="15" t="str">
        <f aca="false">IF(AND($J14=1,$M14=0),IF(AF14&gt;0.0000001,1,0),"")</f>
        <v/>
      </c>
      <c r="AH14" s="15" t="str">
        <f aca="false">IF($J14=1,IF($M14=1,AB14,AG14),"")</f>
        <v/>
      </c>
      <c r="AI14" s="13" t="str">
        <f aca="false">IF($J14=1,(Ideal_P-E14)/Span_P,"")</f>
        <v/>
      </c>
      <c r="AJ14" s="13" t="str">
        <f aca="false">IF($J14=1,(Ideal_S-F14)/Span_S,"")</f>
        <v/>
      </c>
      <c r="AK14" s="13" t="str">
        <f aca="false">IF($J14=1,(Ideal_B-G14)/Span_B,"")</f>
        <v/>
      </c>
      <c r="AL14" s="12" t="str">
        <f aca="false">IF($J14=1,MAX(ChA_1*AI14,ChA_2*AJ14,ChA_3*AK14)+Rho*(ChA_1*AI14+ChA_2*AJ14+ChA_3*AK14),"")</f>
        <v/>
      </c>
      <c r="AM14" s="12" t="str">
        <f aca="false">IF($J14=1,MAX(ChB_1*AI14,ChB_2*AJ14,ChB_3*AK14)+Rho*(ChB_1*AI14+ChB_2*AJ14+ChB_3*AK14),"")</f>
        <v/>
      </c>
      <c r="AN14" s="12" t="str">
        <f aca="false">IF($J14=1,MAX(Cx_1*(Ref_P-E14)/Span_P,Cx_2*(Ref_S-F14)/Span_S,Cx_3*(Ref_B-G14)/Span_B),"")</f>
        <v/>
      </c>
    </row>
    <row r="15" customFormat="false" ht="15" hidden="false" customHeight="false" outlineLevel="0" collapsed="false">
      <c r="A15" s="2" t="n">
        <v>9</v>
      </c>
      <c r="B15" s="15" t="n">
        <f aca="false">INT(A15/151)</f>
        <v>0</v>
      </c>
      <c r="C15" s="15" t="n">
        <f aca="false">MOD(A15,151)</f>
        <v>9</v>
      </c>
      <c r="D15" s="15" t="n">
        <f aca="false">INDEX(Grid!$J$6:$P$156,C15+1,B15+1)</f>
        <v>1</v>
      </c>
      <c r="E15" s="16" t="n">
        <f aca="false">IF(D15=1,INDEX(Grid!$B$6:$H$156,C15+1,B15+1),"")</f>
        <v>128.181818181818</v>
      </c>
      <c r="F15" s="13" t="n">
        <f aca="false">Val_pt*(Ceiling_e-E_zero)*(1-(1-Half_gap)^B15)</f>
        <v>0</v>
      </c>
      <c r="G15" s="15" t="n">
        <f aca="false">C15</f>
        <v>9</v>
      </c>
      <c r="H15" s="15" t="n">
        <f aca="false">IF(D15=1,INDEX(Grid!$R$6:$X$156,C15+1,B15+1),"")</f>
        <v>0</v>
      </c>
      <c r="I15" s="2" t="str">
        <f aca="false">IF(D15=1,INDEX(Sch_label,H15+1),"")</f>
        <v>none</v>
      </c>
      <c r="J15" s="15" t="n">
        <f aca="false">IF(D15=1,INDEX(Grid!$Z$6:$AF$156,C15+1,B15+1),0)</f>
        <v>0</v>
      </c>
      <c r="K15" s="16" t="n">
        <f aca="false">IF(J15=1,E15,0)</f>
        <v>0</v>
      </c>
      <c r="L15" s="17" t="n">
        <f aca="false">IF(D15=1,E15+W_board*F15,"")</f>
        <v>128.181818181818</v>
      </c>
      <c r="Z15" s="12" t="str">
        <f aca="false">IF(AND($J15=1,$M15=1),N15*E15/Span_P+O15*F15/Span_S+P15*G15/Span_B,"")</f>
        <v/>
      </c>
      <c r="AA15" s="12" t="str">
        <f aca="false">IF(AND($J15=1,$M15=1),SUMPRODUCT(MAX($J$6:$J$1062*(N15*$K$6:$K$1062/Span_P+O15*$F$6:$F$1062/Span_S+P15*$G$6:$G$1062/Span_B)-(1-$J$6:$J$1062)*1000000000)),"")</f>
        <v/>
      </c>
      <c r="AB15" s="15" t="str">
        <f aca="false">IF(AND($J15=1,$M15=1),IF(AA15-Z15&lt;=0.000000001,1,0),"")</f>
        <v/>
      </c>
      <c r="AC15" s="13" t="str">
        <f aca="false">IF(AND($J15=1,$M15=0),IF(S15="",0,S15*INDEX(Grid!$B$6:$H$156,R15+1,Q15+1))+IF(V15="",0,V15*INDEX(Grid!$B$6:$H$156,U15+1,T15+1))+IF(Y15="",0,Y15*INDEX(Grid!$B$6:$H$156,X15+1,W15+1)),"")</f>
        <v/>
      </c>
      <c r="AD15" s="13" t="str">
        <f aca="false">IF(AND($J15=1,$M15=0),IF(S15="",0,S15*Val_pt*(Ceiling_e-E_zero)*(1-(1-Half_gap)^Q15))+IF(V15="",0,V15*Val_pt*(Ceiling_e-E_zero)*(1-(1-Half_gap)^T15))+IF(Y15="",0,Y15*Val_pt*(Ceiling_e-E_zero)*(1-(1-Half_gap)^W15)),"")</f>
        <v/>
      </c>
      <c r="AE15" s="13" t="str">
        <f aca="false">IF(AND($J15=1,$M15=0),IF(S15="",0,S15*R15)+IF(V15="",0,V15*U15)+IF(Y15="",0,Y15*X15),"")</f>
        <v/>
      </c>
      <c r="AF15" s="12" t="str">
        <f aca="false">IF(AND($J15=1,$M15=0),MIN((AC15-E15)/Span_P,(AD15-F15)/Span_S,(AE15-G15)/Span_B),"")</f>
        <v/>
      </c>
      <c r="AG15" s="15" t="str">
        <f aca="false">IF(AND($J15=1,$M15=0),IF(AF15&gt;0.0000001,1,0),"")</f>
        <v/>
      </c>
      <c r="AH15" s="15" t="str">
        <f aca="false">IF($J15=1,IF($M15=1,AB15,AG15),"")</f>
        <v/>
      </c>
      <c r="AI15" s="13" t="str">
        <f aca="false">IF($J15=1,(Ideal_P-E15)/Span_P,"")</f>
        <v/>
      </c>
      <c r="AJ15" s="13" t="str">
        <f aca="false">IF($J15=1,(Ideal_S-F15)/Span_S,"")</f>
        <v/>
      </c>
      <c r="AK15" s="13" t="str">
        <f aca="false">IF($J15=1,(Ideal_B-G15)/Span_B,"")</f>
        <v/>
      </c>
      <c r="AL15" s="12" t="str">
        <f aca="false">IF($J15=1,MAX(ChA_1*AI15,ChA_2*AJ15,ChA_3*AK15)+Rho*(ChA_1*AI15+ChA_2*AJ15+ChA_3*AK15),"")</f>
        <v/>
      </c>
      <c r="AM15" s="12" t="str">
        <f aca="false">IF($J15=1,MAX(ChB_1*AI15,ChB_2*AJ15,ChB_3*AK15)+Rho*(ChB_1*AI15+ChB_2*AJ15+ChB_3*AK15),"")</f>
        <v/>
      </c>
      <c r="AN15" s="12" t="str">
        <f aca="false">IF($J15=1,MAX(Cx_1*(Ref_P-E15)/Span_P,Cx_2*(Ref_S-F15)/Span_S,Cx_3*(Ref_B-G15)/Span_B),"")</f>
        <v/>
      </c>
    </row>
    <row r="16" customFormat="false" ht="15" hidden="false" customHeight="false" outlineLevel="0" collapsed="false">
      <c r="A16" s="2" t="n">
        <v>10</v>
      </c>
      <c r="B16" s="15" t="n">
        <f aca="false">INT(A16/151)</f>
        <v>0</v>
      </c>
      <c r="C16" s="15" t="n">
        <f aca="false">MOD(A16,151)</f>
        <v>10</v>
      </c>
      <c r="D16" s="15" t="n">
        <f aca="false">INDEX(Grid!$J$6:$P$156,C16+1,B16+1)</f>
        <v>1</v>
      </c>
      <c r="E16" s="16" t="n">
        <f aca="false">IF(D16=1,INDEX(Grid!$B$6:$H$156,C16+1,B16+1),"")</f>
        <v>127.272727272727</v>
      </c>
      <c r="F16" s="13" t="n">
        <f aca="false">Val_pt*(Ceiling_e-E_zero)*(1-(1-Half_gap)^B16)</f>
        <v>0</v>
      </c>
      <c r="G16" s="15" t="n">
        <f aca="false">C16</f>
        <v>10</v>
      </c>
      <c r="H16" s="15" t="n">
        <f aca="false">IF(D16=1,INDEX(Grid!$R$6:$X$156,C16+1,B16+1),"")</f>
        <v>0</v>
      </c>
      <c r="I16" s="2" t="str">
        <f aca="false">IF(D16=1,INDEX(Sch_label,H16+1),"")</f>
        <v>none</v>
      </c>
      <c r="J16" s="15" t="n">
        <f aca="false">IF(D16=1,INDEX(Grid!$Z$6:$AF$156,C16+1,B16+1),0)</f>
        <v>0</v>
      </c>
      <c r="K16" s="16" t="n">
        <f aca="false">IF(J16=1,E16,0)</f>
        <v>0</v>
      </c>
      <c r="L16" s="17" t="n">
        <f aca="false">IF(D16=1,E16+W_board*F16,"")</f>
        <v>127.272727272727</v>
      </c>
      <c r="Z16" s="12" t="str">
        <f aca="false">IF(AND($J16=1,$M16=1),N16*E16/Span_P+O16*F16/Span_S+P16*G16/Span_B,"")</f>
        <v/>
      </c>
      <c r="AA16" s="12" t="str">
        <f aca="false">IF(AND($J16=1,$M16=1),SUMPRODUCT(MAX($J$6:$J$1062*(N16*$K$6:$K$1062/Span_P+O16*$F$6:$F$1062/Span_S+P16*$G$6:$G$1062/Span_B)-(1-$J$6:$J$1062)*1000000000)),"")</f>
        <v/>
      </c>
      <c r="AB16" s="15" t="str">
        <f aca="false">IF(AND($J16=1,$M16=1),IF(AA16-Z16&lt;=0.000000001,1,0),"")</f>
        <v/>
      </c>
      <c r="AC16" s="13" t="str">
        <f aca="false">IF(AND($J16=1,$M16=0),IF(S16="",0,S16*INDEX(Grid!$B$6:$H$156,R16+1,Q16+1))+IF(V16="",0,V16*INDEX(Grid!$B$6:$H$156,U16+1,T16+1))+IF(Y16="",0,Y16*INDEX(Grid!$B$6:$H$156,X16+1,W16+1)),"")</f>
        <v/>
      </c>
      <c r="AD16" s="13" t="str">
        <f aca="false">IF(AND($J16=1,$M16=0),IF(S16="",0,S16*Val_pt*(Ceiling_e-E_zero)*(1-(1-Half_gap)^Q16))+IF(V16="",0,V16*Val_pt*(Ceiling_e-E_zero)*(1-(1-Half_gap)^T16))+IF(Y16="",0,Y16*Val_pt*(Ceiling_e-E_zero)*(1-(1-Half_gap)^W16)),"")</f>
        <v/>
      </c>
      <c r="AE16" s="13" t="str">
        <f aca="false">IF(AND($J16=1,$M16=0),IF(S16="",0,S16*R16)+IF(V16="",0,V16*U16)+IF(Y16="",0,Y16*X16),"")</f>
        <v/>
      </c>
      <c r="AF16" s="12" t="str">
        <f aca="false">IF(AND($J16=1,$M16=0),MIN((AC16-E16)/Span_P,(AD16-F16)/Span_S,(AE16-G16)/Span_B),"")</f>
        <v/>
      </c>
      <c r="AG16" s="15" t="str">
        <f aca="false">IF(AND($J16=1,$M16=0),IF(AF16&gt;0.0000001,1,0),"")</f>
        <v/>
      </c>
      <c r="AH16" s="15" t="str">
        <f aca="false">IF($J16=1,IF($M16=1,AB16,AG16),"")</f>
        <v/>
      </c>
      <c r="AI16" s="13" t="str">
        <f aca="false">IF($J16=1,(Ideal_P-E16)/Span_P,"")</f>
        <v/>
      </c>
      <c r="AJ16" s="13" t="str">
        <f aca="false">IF($J16=1,(Ideal_S-F16)/Span_S,"")</f>
        <v/>
      </c>
      <c r="AK16" s="13" t="str">
        <f aca="false">IF($J16=1,(Ideal_B-G16)/Span_B,"")</f>
        <v/>
      </c>
      <c r="AL16" s="12" t="str">
        <f aca="false">IF($J16=1,MAX(ChA_1*AI16,ChA_2*AJ16,ChA_3*AK16)+Rho*(ChA_1*AI16+ChA_2*AJ16+ChA_3*AK16),"")</f>
        <v/>
      </c>
      <c r="AM16" s="12" t="str">
        <f aca="false">IF($J16=1,MAX(ChB_1*AI16,ChB_2*AJ16,ChB_3*AK16)+Rho*(ChB_1*AI16+ChB_2*AJ16+ChB_3*AK16),"")</f>
        <v/>
      </c>
      <c r="AN16" s="12" t="str">
        <f aca="false">IF($J16=1,MAX(Cx_1*(Ref_P-E16)/Span_P,Cx_2*(Ref_S-F16)/Span_S,Cx_3*(Ref_B-G16)/Span_B),"")</f>
        <v/>
      </c>
    </row>
    <row r="17" customFormat="false" ht="15" hidden="false" customHeight="false" outlineLevel="0" collapsed="false">
      <c r="A17" s="2" t="n">
        <v>11</v>
      </c>
      <c r="B17" s="15" t="n">
        <f aca="false">INT(A17/151)</f>
        <v>0</v>
      </c>
      <c r="C17" s="15" t="n">
        <f aca="false">MOD(A17,151)</f>
        <v>11</v>
      </c>
      <c r="D17" s="15" t="n">
        <f aca="false">INDEX(Grid!$J$6:$P$156,C17+1,B17+1)</f>
        <v>1</v>
      </c>
      <c r="E17" s="16" t="n">
        <f aca="false">IF(D17=1,INDEX(Grid!$B$6:$H$156,C17+1,B17+1),"")</f>
        <v>126.363636363636</v>
      </c>
      <c r="F17" s="13" t="n">
        <f aca="false">Val_pt*(Ceiling_e-E_zero)*(1-(1-Half_gap)^B17)</f>
        <v>0</v>
      </c>
      <c r="G17" s="15" t="n">
        <f aca="false">C17</f>
        <v>11</v>
      </c>
      <c r="H17" s="15" t="n">
        <f aca="false">IF(D17=1,INDEX(Grid!$R$6:$X$156,C17+1,B17+1),"")</f>
        <v>0</v>
      </c>
      <c r="I17" s="2" t="str">
        <f aca="false">IF(D17=1,INDEX(Sch_label,H17+1),"")</f>
        <v>none</v>
      </c>
      <c r="J17" s="15" t="n">
        <f aca="false">IF(D17=1,INDEX(Grid!$Z$6:$AF$156,C17+1,B17+1),0)</f>
        <v>0</v>
      </c>
      <c r="K17" s="16" t="n">
        <f aca="false">IF(J17=1,E17,0)</f>
        <v>0</v>
      </c>
      <c r="L17" s="17" t="n">
        <f aca="false">IF(D17=1,E17+W_board*F17,"")</f>
        <v>126.363636363636</v>
      </c>
      <c r="Z17" s="12" t="str">
        <f aca="false">IF(AND($J17=1,$M17=1),N17*E17/Span_P+O17*F17/Span_S+P17*G17/Span_B,"")</f>
        <v/>
      </c>
      <c r="AA17" s="12" t="str">
        <f aca="false">IF(AND($J17=1,$M17=1),SUMPRODUCT(MAX($J$6:$J$1062*(N17*$K$6:$K$1062/Span_P+O17*$F$6:$F$1062/Span_S+P17*$G$6:$G$1062/Span_B)-(1-$J$6:$J$1062)*1000000000)),"")</f>
        <v/>
      </c>
      <c r="AB17" s="15" t="str">
        <f aca="false">IF(AND($J17=1,$M17=1),IF(AA17-Z17&lt;=0.000000001,1,0),"")</f>
        <v/>
      </c>
      <c r="AC17" s="13" t="str">
        <f aca="false">IF(AND($J17=1,$M17=0),IF(S17="",0,S17*INDEX(Grid!$B$6:$H$156,R17+1,Q17+1))+IF(V17="",0,V17*INDEX(Grid!$B$6:$H$156,U17+1,T17+1))+IF(Y17="",0,Y17*INDEX(Grid!$B$6:$H$156,X17+1,W17+1)),"")</f>
        <v/>
      </c>
      <c r="AD17" s="13" t="str">
        <f aca="false">IF(AND($J17=1,$M17=0),IF(S17="",0,S17*Val_pt*(Ceiling_e-E_zero)*(1-(1-Half_gap)^Q17))+IF(V17="",0,V17*Val_pt*(Ceiling_e-E_zero)*(1-(1-Half_gap)^T17))+IF(Y17="",0,Y17*Val_pt*(Ceiling_e-E_zero)*(1-(1-Half_gap)^W17)),"")</f>
        <v/>
      </c>
      <c r="AE17" s="13" t="str">
        <f aca="false">IF(AND($J17=1,$M17=0),IF(S17="",0,S17*R17)+IF(V17="",0,V17*U17)+IF(Y17="",0,Y17*X17),"")</f>
        <v/>
      </c>
      <c r="AF17" s="12" t="str">
        <f aca="false">IF(AND($J17=1,$M17=0),MIN((AC17-E17)/Span_P,(AD17-F17)/Span_S,(AE17-G17)/Span_B),"")</f>
        <v/>
      </c>
      <c r="AG17" s="15" t="str">
        <f aca="false">IF(AND($J17=1,$M17=0),IF(AF17&gt;0.0000001,1,0),"")</f>
        <v/>
      </c>
      <c r="AH17" s="15" t="str">
        <f aca="false">IF($J17=1,IF($M17=1,AB17,AG17),"")</f>
        <v/>
      </c>
      <c r="AI17" s="13" t="str">
        <f aca="false">IF($J17=1,(Ideal_P-E17)/Span_P,"")</f>
        <v/>
      </c>
      <c r="AJ17" s="13" t="str">
        <f aca="false">IF($J17=1,(Ideal_S-F17)/Span_S,"")</f>
        <v/>
      </c>
      <c r="AK17" s="13" t="str">
        <f aca="false">IF($J17=1,(Ideal_B-G17)/Span_B,"")</f>
        <v/>
      </c>
      <c r="AL17" s="12" t="str">
        <f aca="false">IF($J17=1,MAX(ChA_1*AI17,ChA_2*AJ17,ChA_3*AK17)+Rho*(ChA_1*AI17+ChA_2*AJ17+ChA_3*AK17),"")</f>
        <v/>
      </c>
      <c r="AM17" s="12" t="str">
        <f aca="false">IF($J17=1,MAX(ChB_1*AI17,ChB_2*AJ17,ChB_3*AK17)+Rho*(ChB_1*AI17+ChB_2*AJ17+ChB_3*AK17),"")</f>
        <v/>
      </c>
      <c r="AN17" s="12" t="str">
        <f aca="false">IF($J17=1,MAX(Cx_1*(Ref_P-E17)/Span_P,Cx_2*(Ref_S-F17)/Span_S,Cx_3*(Ref_B-G17)/Span_B),"")</f>
        <v/>
      </c>
    </row>
    <row r="18" customFormat="false" ht="15" hidden="false" customHeight="false" outlineLevel="0" collapsed="false">
      <c r="A18" s="2" t="n">
        <v>12</v>
      </c>
      <c r="B18" s="15" t="n">
        <f aca="false">INT(A18/151)</f>
        <v>0</v>
      </c>
      <c r="C18" s="15" t="n">
        <f aca="false">MOD(A18,151)</f>
        <v>12</v>
      </c>
      <c r="D18" s="15" t="n">
        <f aca="false">INDEX(Grid!$J$6:$P$156,C18+1,B18+1)</f>
        <v>1</v>
      </c>
      <c r="E18" s="16" t="n">
        <f aca="false">IF(D18=1,INDEX(Grid!$B$6:$H$156,C18+1,B18+1),"")</f>
        <v>125.454545454545</v>
      </c>
      <c r="F18" s="13" t="n">
        <f aca="false">Val_pt*(Ceiling_e-E_zero)*(1-(1-Half_gap)^B18)</f>
        <v>0</v>
      </c>
      <c r="G18" s="15" t="n">
        <f aca="false">C18</f>
        <v>12</v>
      </c>
      <c r="H18" s="15" t="n">
        <f aca="false">IF(D18=1,INDEX(Grid!$R$6:$X$156,C18+1,B18+1),"")</f>
        <v>0</v>
      </c>
      <c r="I18" s="2" t="str">
        <f aca="false">IF(D18=1,INDEX(Sch_label,H18+1),"")</f>
        <v>none</v>
      </c>
      <c r="J18" s="15" t="n">
        <f aca="false">IF(D18=1,INDEX(Grid!$Z$6:$AF$156,C18+1,B18+1),0)</f>
        <v>0</v>
      </c>
      <c r="K18" s="16" t="n">
        <f aca="false">IF(J18=1,E18,0)</f>
        <v>0</v>
      </c>
      <c r="L18" s="17" t="n">
        <f aca="false">IF(D18=1,E18+W_board*F18,"")</f>
        <v>125.454545454545</v>
      </c>
      <c r="Z18" s="12" t="str">
        <f aca="false">IF(AND($J18=1,$M18=1),N18*E18/Span_P+O18*F18/Span_S+P18*G18/Span_B,"")</f>
        <v/>
      </c>
      <c r="AA18" s="12" t="str">
        <f aca="false">IF(AND($J18=1,$M18=1),SUMPRODUCT(MAX($J$6:$J$1062*(N18*$K$6:$K$1062/Span_P+O18*$F$6:$F$1062/Span_S+P18*$G$6:$G$1062/Span_B)-(1-$J$6:$J$1062)*1000000000)),"")</f>
        <v/>
      </c>
      <c r="AB18" s="15" t="str">
        <f aca="false">IF(AND($J18=1,$M18=1),IF(AA18-Z18&lt;=0.000000001,1,0),"")</f>
        <v/>
      </c>
      <c r="AC18" s="13" t="str">
        <f aca="false">IF(AND($J18=1,$M18=0),IF(S18="",0,S18*INDEX(Grid!$B$6:$H$156,R18+1,Q18+1))+IF(V18="",0,V18*INDEX(Grid!$B$6:$H$156,U18+1,T18+1))+IF(Y18="",0,Y18*INDEX(Grid!$B$6:$H$156,X18+1,W18+1)),"")</f>
        <v/>
      </c>
      <c r="AD18" s="13" t="str">
        <f aca="false">IF(AND($J18=1,$M18=0),IF(S18="",0,S18*Val_pt*(Ceiling_e-E_zero)*(1-(1-Half_gap)^Q18))+IF(V18="",0,V18*Val_pt*(Ceiling_e-E_zero)*(1-(1-Half_gap)^T18))+IF(Y18="",0,Y18*Val_pt*(Ceiling_e-E_zero)*(1-(1-Half_gap)^W18)),"")</f>
        <v/>
      </c>
      <c r="AE18" s="13" t="str">
        <f aca="false">IF(AND($J18=1,$M18=0),IF(S18="",0,S18*R18)+IF(V18="",0,V18*U18)+IF(Y18="",0,Y18*X18),"")</f>
        <v/>
      </c>
      <c r="AF18" s="12" t="str">
        <f aca="false">IF(AND($J18=1,$M18=0),MIN((AC18-E18)/Span_P,(AD18-F18)/Span_S,(AE18-G18)/Span_B),"")</f>
        <v/>
      </c>
      <c r="AG18" s="15" t="str">
        <f aca="false">IF(AND($J18=1,$M18=0),IF(AF18&gt;0.0000001,1,0),"")</f>
        <v/>
      </c>
      <c r="AH18" s="15" t="str">
        <f aca="false">IF($J18=1,IF($M18=1,AB18,AG18),"")</f>
        <v/>
      </c>
      <c r="AI18" s="13" t="str">
        <f aca="false">IF($J18=1,(Ideal_P-E18)/Span_P,"")</f>
        <v/>
      </c>
      <c r="AJ18" s="13" t="str">
        <f aca="false">IF($J18=1,(Ideal_S-F18)/Span_S,"")</f>
        <v/>
      </c>
      <c r="AK18" s="13" t="str">
        <f aca="false">IF($J18=1,(Ideal_B-G18)/Span_B,"")</f>
        <v/>
      </c>
      <c r="AL18" s="12" t="str">
        <f aca="false">IF($J18=1,MAX(ChA_1*AI18,ChA_2*AJ18,ChA_3*AK18)+Rho*(ChA_1*AI18+ChA_2*AJ18+ChA_3*AK18),"")</f>
        <v/>
      </c>
      <c r="AM18" s="12" t="str">
        <f aca="false">IF($J18=1,MAX(ChB_1*AI18,ChB_2*AJ18,ChB_3*AK18)+Rho*(ChB_1*AI18+ChB_2*AJ18+ChB_3*AK18),"")</f>
        <v/>
      </c>
      <c r="AN18" s="12" t="str">
        <f aca="false">IF($J18=1,MAX(Cx_1*(Ref_P-E18)/Span_P,Cx_2*(Ref_S-F18)/Span_S,Cx_3*(Ref_B-G18)/Span_B),"")</f>
        <v/>
      </c>
    </row>
    <row r="19" customFormat="false" ht="15" hidden="false" customHeight="false" outlineLevel="0" collapsed="false">
      <c r="A19" s="2" t="n">
        <v>13</v>
      </c>
      <c r="B19" s="15" t="n">
        <f aca="false">INT(A19/151)</f>
        <v>0</v>
      </c>
      <c r="C19" s="15" t="n">
        <f aca="false">MOD(A19,151)</f>
        <v>13</v>
      </c>
      <c r="D19" s="15" t="n">
        <f aca="false">INDEX(Grid!$J$6:$P$156,C19+1,B19+1)</f>
        <v>1</v>
      </c>
      <c r="E19" s="16" t="n">
        <f aca="false">IF(D19=1,INDEX(Grid!$B$6:$H$156,C19+1,B19+1),"")</f>
        <v>124.545454545455</v>
      </c>
      <c r="F19" s="13" t="n">
        <f aca="false">Val_pt*(Ceiling_e-E_zero)*(1-(1-Half_gap)^B19)</f>
        <v>0</v>
      </c>
      <c r="G19" s="15" t="n">
        <f aca="false">C19</f>
        <v>13</v>
      </c>
      <c r="H19" s="15" t="n">
        <f aca="false">IF(D19=1,INDEX(Grid!$R$6:$X$156,C19+1,B19+1),"")</f>
        <v>0</v>
      </c>
      <c r="I19" s="2" t="str">
        <f aca="false">IF(D19=1,INDEX(Sch_label,H19+1),"")</f>
        <v>none</v>
      </c>
      <c r="J19" s="15" t="n">
        <f aca="false">IF(D19=1,INDEX(Grid!$Z$6:$AF$156,C19+1,B19+1),0)</f>
        <v>0</v>
      </c>
      <c r="K19" s="16" t="n">
        <f aca="false">IF(J19=1,E19,0)</f>
        <v>0</v>
      </c>
      <c r="L19" s="17" t="n">
        <f aca="false">IF(D19=1,E19+W_board*F19,"")</f>
        <v>124.545454545455</v>
      </c>
      <c r="Z19" s="12" t="str">
        <f aca="false">IF(AND($J19=1,$M19=1),N19*E19/Span_P+O19*F19/Span_S+P19*G19/Span_B,"")</f>
        <v/>
      </c>
      <c r="AA19" s="12" t="str">
        <f aca="false">IF(AND($J19=1,$M19=1),SUMPRODUCT(MAX($J$6:$J$1062*(N19*$K$6:$K$1062/Span_P+O19*$F$6:$F$1062/Span_S+P19*$G$6:$G$1062/Span_B)-(1-$J$6:$J$1062)*1000000000)),"")</f>
        <v/>
      </c>
      <c r="AB19" s="15" t="str">
        <f aca="false">IF(AND($J19=1,$M19=1),IF(AA19-Z19&lt;=0.000000001,1,0),"")</f>
        <v/>
      </c>
      <c r="AC19" s="13" t="str">
        <f aca="false">IF(AND($J19=1,$M19=0),IF(S19="",0,S19*INDEX(Grid!$B$6:$H$156,R19+1,Q19+1))+IF(V19="",0,V19*INDEX(Grid!$B$6:$H$156,U19+1,T19+1))+IF(Y19="",0,Y19*INDEX(Grid!$B$6:$H$156,X19+1,W19+1)),"")</f>
        <v/>
      </c>
      <c r="AD19" s="13" t="str">
        <f aca="false">IF(AND($J19=1,$M19=0),IF(S19="",0,S19*Val_pt*(Ceiling_e-E_zero)*(1-(1-Half_gap)^Q19))+IF(V19="",0,V19*Val_pt*(Ceiling_e-E_zero)*(1-(1-Half_gap)^T19))+IF(Y19="",0,Y19*Val_pt*(Ceiling_e-E_zero)*(1-(1-Half_gap)^W19)),"")</f>
        <v/>
      </c>
      <c r="AE19" s="13" t="str">
        <f aca="false">IF(AND($J19=1,$M19=0),IF(S19="",0,S19*R19)+IF(V19="",0,V19*U19)+IF(Y19="",0,Y19*X19),"")</f>
        <v/>
      </c>
      <c r="AF19" s="12" t="str">
        <f aca="false">IF(AND($J19=1,$M19=0),MIN((AC19-E19)/Span_P,(AD19-F19)/Span_S,(AE19-G19)/Span_B),"")</f>
        <v/>
      </c>
      <c r="AG19" s="15" t="str">
        <f aca="false">IF(AND($J19=1,$M19=0),IF(AF19&gt;0.0000001,1,0),"")</f>
        <v/>
      </c>
      <c r="AH19" s="15" t="str">
        <f aca="false">IF($J19=1,IF($M19=1,AB19,AG19),"")</f>
        <v/>
      </c>
      <c r="AI19" s="13" t="str">
        <f aca="false">IF($J19=1,(Ideal_P-E19)/Span_P,"")</f>
        <v/>
      </c>
      <c r="AJ19" s="13" t="str">
        <f aca="false">IF($J19=1,(Ideal_S-F19)/Span_S,"")</f>
        <v/>
      </c>
      <c r="AK19" s="13" t="str">
        <f aca="false">IF($J19=1,(Ideal_B-G19)/Span_B,"")</f>
        <v/>
      </c>
      <c r="AL19" s="12" t="str">
        <f aca="false">IF($J19=1,MAX(ChA_1*AI19,ChA_2*AJ19,ChA_3*AK19)+Rho*(ChA_1*AI19+ChA_2*AJ19+ChA_3*AK19),"")</f>
        <v/>
      </c>
      <c r="AM19" s="12" t="str">
        <f aca="false">IF($J19=1,MAX(ChB_1*AI19,ChB_2*AJ19,ChB_3*AK19)+Rho*(ChB_1*AI19+ChB_2*AJ19+ChB_3*AK19),"")</f>
        <v/>
      </c>
      <c r="AN19" s="12" t="str">
        <f aca="false">IF($J19=1,MAX(Cx_1*(Ref_P-E19)/Span_P,Cx_2*(Ref_S-F19)/Span_S,Cx_3*(Ref_B-G19)/Span_B),"")</f>
        <v/>
      </c>
    </row>
    <row r="20" customFormat="false" ht="15" hidden="false" customHeight="false" outlineLevel="0" collapsed="false">
      <c r="A20" s="2" t="n">
        <v>14</v>
      </c>
      <c r="B20" s="15" t="n">
        <f aca="false">INT(A20/151)</f>
        <v>0</v>
      </c>
      <c r="C20" s="15" t="n">
        <f aca="false">MOD(A20,151)</f>
        <v>14</v>
      </c>
      <c r="D20" s="15" t="n">
        <f aca="false">INDEX(Grid!$J$6:$P$156,C20+1,B20+1)</f>
        <v>1</v>
      </c>
      <c r="E20" s="16" t="n">
        <f aca="false">IF(D20=1,INDEX(Grid!$B$6:$H$156,C20+1,B20+1),"")</f>
        <v>123.636363636364</v>
      </c>
      <c r="F20" s="13" t="n">
        <f aca="false">Val_pt*(Ceiling_e-E_zero)*(1-(1-Half_gap)^B20)</f>
        <v>0</v>
      </c>
      <c r="G20" s="15" t="n">
        <f aca="false">C20</f>
        <v>14</v>
      </c>
      <c r="H20" s="15" t="n">
        <f aca="false">IF(D20=1,INDEX(Grid!$R$6:$X$156,C20+1,B20+1),"")</f>
        <v>0</v>
      </c>
      <c r="I20" s="2" t="str">
        <f aca="false">IF(D20=1,INDEX(Sch_label,H20+1),"")</f>
        <v>none</v>
      </c>
      <c r="J20" s="15" t="n">
        <f aca="false">IF(D20=1,INDEX(Grid!$Z$6:$AF$156,C20+1,B20+1),0)</f>
        <v>0</v>
      </c>
      <c r="K20" s="16" t="n">
        <f aca="false">IF(J20=1,E20,0)</f>
        <v>0</v>
      </c>
      <c r="L20" s="17" t="n">
        <f aca="false">IF(D20=1,E20+W_board*F20,"")</f>
        <v>123.636363636364</v>
      </c>
      <c r="Z20" s="12" t="str">
        <f aca="false">IF(AND($J20=1,$M20=1),N20*E20/Span_P+O20*F20/Span_S+P20*G20/Span_B,"")</f>
        <v/>
      </c>
      <c r="AA20" s="12" t="str">
        <f aca="false">IF(AND($J20=1,$M20=1),SUMPRODUCT(MAX($J$6:$J$1062*(N20*$K$6:$K$1062/Span_P+O20*$F$6:$F$1062/Span_S+P20*$G$6:$G$1062/Span_B)-(1-$J$6:$J$1062)*1000000000)),"")</f>
        <v/>
      </c>
      <c r="AB20" s="15" t="str">
        <f aca="false">IF(AND($J20=1,$M20=1),IF(AA20-Z20&lt;=0.000000001,1,0),"")</f>
        <v/>
      </c>
      <c r="AC20" s="13" t="str">
        <f aca="false">IF(AND($J20=1,$M20=0),IF(S20="",0,S20*INDEX(Grid!$B$6:$H$156,R20+1,Q20+1))+IF(V20="",0,V20*INDEX(Grid!$B$6:$H$156,U20+1,T20+1))+IF(Y20="",0,Y20*INDEX(Grid!$B$6:$H$156,X20+1,W20+1)),"")</f>
        <v/>
      </c>
      <c r="AD20" s="13" t="str">
        <f aca="false">IF(AND($J20=1,$M20=0),IF(S20="",0,S20*Val_pt*(Ceiling_e-E_zero)*(1-(1-Half_gap)^Q20))+IF(V20="",0,V20*Val_pt*(Ceiling_e-E_zero)*(1-(1-Half_gap)^T20))+IF(Y20="",0,Y20*Val_pt*(Ceiling_e-E_zero)*(1-(1-Half_gap)^W20)),"")</f>
        <v/>
      </c>
      <c r="AE20" s="13" t="str">
        <f aca="false">IF(AND($J20=1,$M20=0),IF(S20="",0,S20*R20)+IF(V20="",0,V20*U20)+IF(Y20="",0,Y20*X20),"")</f>
        <v/>
      </c>
      <c r="AF20" s="12" t="str">
        <f aca="false">IF(AND($J20=1,$M20=0),MIN((AC20-E20)/Span_P,(AD20-F20)/Span_S,(AE20-G20)/Span_B),"")</f>
        <v/>
      </c>
      <c r="AG20" s="15" t="str">
        <f aca="false">IF(AND($J20=1,$M20=0),IF(AF20&gt;0.0000001,1,0),"")</f>
        <v/>
      </c>
      <c r="AH20" s="15" t="str">
        <f aca="false">IF($J20=1,IF($M20=1,AB20,AG20),"")</f>
        <v/>
      </c>
      <c r="AI20" s="13" t="str">
        <f aca="false">IF($J20=1,(Ideal_P-E20)/Span_P,"")</f>
        <v/>
      </c>
      <c r="AJ20" s="13" t="str">
        <f aca="false">IF($J20=1,(Ideal_S-F20)/Span_S,"")</f>
        <v/>
      </c>
      <c r="AK20" s="13" t="str">
        <f aca="false">IF($J20=1,(Ideal_B-G20)/Span_B,"")</f>
        <v/>
      </c>
      <c r="AL20" s="12" t="str">
        <f aca="false">IF($J20=1,MAX(ChA_1*AI20,ChA_2*AJ20,ChA_3*AK20)+Rho*(ChA_1*AI20+ChA_2*AJ20+ChA_3*AK20),"")</f>
        <v/>
      </c>
      <c r="AM20" s="12" t="str">
        <f aca="false">IF($J20=1,MAX(ChB_1*AI20,ChB_2*AJ20,ChB_3*AK20)+Rho*(ChB_1*AI20+ChB_2*AJ20+ChB_3*AK20),"")</f>
        <v/>
      </c>
      <c r="AN20" s="12" t="str">
        <f aca="false">IF($J20=1,MAX(Cx_1*(Ref_P-E20)/Span_P,Cx_2*(Ref_S-F20)/Span_S,Cx_3*(Ref_B-G20)/Span_B),"")</f>
        <v/>
      </c>
    </row>
    <row r="21" customFormat="false" ht="15" hidden="false" customHeight="false" outlineLevel="0" collapsed="false">
      <c r="A21" s="2" t="n">
        <v>15</v>
      </c>
      <c r="B21" s="15" t="n">
        <f aca="false">INT(A21/151)</f>
        <v>0</v>
      </c>
      <c r="C21" s="15" t="n">
        <f aca="false">MOD(A21,151)</f>
        <v>15</v>
      </c>
      <c r="D21" s="15" t="n">
        <f aca="false">INDEX(Grid!$J$6:$P$156,C21+1,B21+1)</f>
        <v>1</v>
      </c>
      <c r="E21" s="16" t="n">
        <f aca="false">IF(D21=1,INDEX(Grid!$B$6:$H$156,C21+1,B21+1),"")</f>
        <v>122.727272727273</v>
      </c>
      <c r="F21" s="13" t="n">
        <f aca="false">Val_pt*(Ceiling_e-E_zero)*(1-(1-Half_gap)^B21)</f>
        <v>0</v>
      </c>
      <c r="G21" s="15" t="n">
        <f aca="false">C21</f>
        <v>15</v>
      </c>
      <c r="H21" s="15" t="n">
        <f aca="false">IF(D21=1,INDEX(Grid!$R$6:$X$156,C21+1,B21+1),"")</f>
        <v>0</v>
      </c>
      <c r="I21" s="2" t="str">
        <f aca="false">IF(D21=1,INDEX(Sch_label,H21+1),"")</f>
        <v>none</v>
      </c>
      <c r="J21" s="15" t="n">
        <f aca="false">IF(D21=1,INDEX(Grid!$Z$6:$AF$156,C21+1,B21+1),0)</f>
        <v>0</v>
      </c>
      <c r="K21" s="16" t="n">
        <f aca="false">IF(J21=1,E21,0)</f>
        <v>0</v>
      </c>
      <c r="L21" s="17" t="n">
        <f aca="false">IF(D21=1,E21+W_board*F21,"")</f>
        <v>122.727272727273</v>
      </c>
      <c r="Z21" s="12" t="str">
        <f aca="false">IF(AND($J21=1,$M21=1),N21*E21/Span_P+O21*F21/Span_S+P21*G21/Span_B,"")</f>
        <v/>
      </c>
      <c r="AA21" s="12" t="str">
        <f aca="false">IF(AND($J21=1,$M21=1),SUMPRODUCT(MAX($J$6:$J$1062*(N21*$K$6:$K$1062/Span_P+O21*$F$6:$F$1062/Span_S+P21*$G$6:$G$1062/Span_B)-(1-$J$6:$J$1062)*1000000000)),"")</f>
        <v/>
      </c>
      <c r="AB21" s="15" t="str">
        <f aca="false">IF(AND($J21=1,$M21=1),IF(AA21-Z21&lt;=0.000000001,1,0),"")</f>
        <v/>
      </c>
      <c r="AC21" s="13" t="str">
        <f aca="false">IF(AND($J21=1,$M21=0),IF(S21="",0,S21*INDEX(Grid!$B$6:$H$156,R21+1,Q21+1))+IF(V21="",0,V21*INDEX(Grid!$B$6:$H$156,U21+1,T21+1))+IF(Y21="",0,Y21*INDEX(Grid!$B$6:$H$156,X21+1,W21+1)),"")</f>
        <v/>
      </c>
      <c r="AD21" s="13" t="str">
        <f aca="false">IF(AND($J21=1,$M21=0),IF(S21="",0,S21*Val_pt*(Ceiling_e-E_zero)*(1-(1-Half_gap)^Q21))+IF(V21="",0,V21*Val_pt*(Ceiling_e-E_zero)*(1-(1-Half_gap)^T21))+IF(Y21="",0,Y21*Val_pt*(Ceiling_e-E_zero)*(1-(1-Half_gap)^W21)),"")</f>
        <v/>
      </c>
      <c r="AE21" s="13" t="str">
        <f aca="false">IF(AND($J21=1,$M21=0),IF(S21="",0,S21*R21)+IF(V21="",0,V21*U21)+IF(Y21="",0,Y21*X21),"")</f>
        <v/>
      </c>
      <c r="AF21" s="12" t="str">
        <f aca="false">IF(AND($J21=1,$M21=0),MIN((AC21-E21)/Span_P,(AD21-F21)/Span_S,(AE21-G21)/Span_B),"")</f>
        <v/>
      </c>
      <c r="AG21" s="15" t="str">
        <f aca="false">IF(AND($J21=1,$M21=0),IF(AF21&gt;0.0000001,1,0),"")</f>
        <v/>
      </c>
      <c r="AH21" s="15" t="str">
        <f aca="false">IF($J21=1,IF($M21=1,AB21,AG21),"")</f>
        <v/>
      </c>
      <c r="AI21" s="13" t="str">
        <f aca="false">IF($J21=1,(Ideal_P-E21)/Span_P,"")</f>
        <v/>
      </c>
      <c r="AJ21" s="13" t="str">
        <f aca="false">IF($J21=1,(Ideal_S-F21)/Span_S,"")</f>
        <v/>
      </c>
      <c r="AK21" s="13" t="str">
        <f aca="false">IF($J21=1,(Ideal_B-G21)/Span_B,"")</f>
        <v/>
      </c>
      <c r="AL21" s="12" t="str">
        <f aca="false">IF($J21=1,MAX(ChA_1*AI21,ChA_2*AJ21,ChA_3*AK21)+Rho*(ChA_1*AI21+ChA_2*AJ21+ChA_3*AK21),"")</f>
        <v/>
      </c>
      <c r="AM21" s="12" t="str">
        <f aca="false">IF($J21=1,MAX(ChB_1*AI21,ChB_2*AJ21,ChB_3*AK21)+Rho*(ChB_1*AI21+ChB_2*AJ21+ChB_3*AK21),"")</f>
        <v/>
      </c>
      <c r="AN21" s="12" t="str">
        <f aca="false">IF($J21=1,MAX(Cx_1*(Ref_P-E21)/Span_P,Cx_2*(Ref_S-F21)/Span_S,Cx_3*(Ref_B-G21)/Span_B),"")</f>
        <v/>
      </c>
    </row>
    <row r="22" customFormat="false" ht="15" hidden="false" customHeight="false" outlineLevel="0" collapsed="false">
      <c r="A22" s="2" t="n">
        <v>16</v>
      </c>
      <c r="B22" s="15" t="n">
        <f aca="false">INT(A22/151)</f>
        <v>0</v>
      </c>
      <c r="C22" s="15" t="n">
        <f aca="false">MOD(A22,151)</f>
        <v>16</v>
      </c>
      <c r="D22" s="15" t="n">
        <f aca="false">INDEX(Grid!$J$6:$P$156,C22+1,B22+1)</f>
        <v>1</v>
      </c>
      <c r="E22" s="16" t="n">
        <f aca="false">IF(D22=1,INDEX(Grid!$B$6:$H$156,C22+1,B22+1),"")</f>
        <v>121.818181818182</v>
      </c>
      <c r="F22" s="13" t="n">
        <f aca="false">Val_pt*(Ceiling_e-E_zero)*(1-(1-Half_gap)^B22)</f>
        <v>0</v>
      </c>
      <c r="G22" s="15" t="n">
        <f aca="false">C22</f>
        <v>16</v>
      </c>
      <c r="H22" s="15" t="n">
        <f aca="false">IF(D22=1,INDEX(Grid!$R$6:$X$156,C22+1,B22+1),"")</f>
        <v>0</v>
      </c>
      <c r="I22" s="2" t="str">
        <f aca="false">IF(D22=1,INDEX(Sch_label,H22+1),"")</f>
        <v>none</v>
      </c>
      <c r="J22" s="15" t="n">
        <f aca="false">IF(D22=1,INDEX(Grid!$Z$6:$AF$156,C22+1,B22+1),0)</f>
        <v>0</v>
      </c>
      <c r="K22" s="16" t="n">
        <f aca="false">IF(J22=1,E22,0)</f>
        <v>0</v>
      </c>
      <c r="L22" s="17" t="n">
        <f aca="false">IF(D22=1,E22+W_board*F22,"")</f>
        <v>121.818181818182</v>
      </c>
      <c r="Z22" s="12" t="str">
        <f aca="false">IF(AND($J22=1,$M22=1),N22*E22/Span_P+O22*F22/Span_S+P22*G22/Span_B,"")</f>
        <v/>
      </c>
      <c r="AA22" s="12" t="str">
        <f aca="false">IF(AND($J22=1,$M22=1),SUMPRODUCT(MAX($J$6:$J$1062*(N22*$K$6:$K$1062/Span_P+O22*$F$6:$F$1062/Span_S+P22*$G$6:$G$1062/Span_B)-(1-$J$6:$J$1062)*1000000000)),"")</f>
        <v/>
      </c>
      <c r="AB22" s="15" t="str">
        <f aca="false">IF(AND($J22=1,$M22=1),IF(AA22-Z22&lt;=0.000000001,1,0),"")</f>
        <v/>
      </c>
      <c r="AC22" s="13" t="str">
        <f aca="false">IF(AND($J22=1,$M22=0),IF(S22="",0,S22*INDEX(Grid!$B$6:$H$156,R22+1,Q22+1))+IF(V22="",0,V22*INDEX(Grid!$B$6:$H$156,U22+1,T22+1))+IF(Y22="",0,Y22*INDEX(Grid!$B$6:$H$156,X22+1,W22+1)),"")</f>
        <v/>
      </c>
      <c r="AD22" s="13" t="str">
        <f aca="false">IF(AND($J22=1,$M22=0),IF(S22="",0,S22*Val_pt*(Ceiling_e-E_zero)*(1-(1-Half_gap)^Q22))+IF(V22="",0,V22*Val_pt*(Ceiling_e-E_zero)*(1-(1-Half_gap)^T22))+IF(Y22="",0,Y22*Val_pt*(Ceiling_e-E_zero)*(1-(1-Half_gap)^W22)),"")</f>
        <v/>
      </c>
      <c r="AE22" s="13" t="str">
        <f aca="false">IF(AND($J22=1,$M22=0),IF(S22="",0,S22*R22)+IF(V22="",0,V22*U22)+IF(Y22="",0,Y22*X22),"")</f>
        <v/>
      </c>
      <c r="AF22" s="12" t="str">
        <f aca="false">IF(AND($J22=1,$M22=0),MIN((AC22-E22)/Span_P,(AD22-F22)/Span_S,(AE22-G22)/Span_B),"")</f>
        <v/>
      </c>
      <c r="AG22" s="15" t="str">
        <f aca="false">IF(AND($J22=1,$M22=0),IF(AF22&gt;0.0000001,1,0),"")</f>
        <v/>
      </c>
      <c r="AH22" s="15" t="str">
        <f aca="false">IF($J22=1,IF($M22=1,AB22,AG22),"")</f>
        <v/>
      </c>
      <c r="AI22" s="13" t="str">
        <f aca="false">IF($J22=1,(Ideal_P-E22)/Span_P,"")</f>
        <v/>
      </c>
      <c r="AJ22" s="13" t="str">
        <f aca="false">IF($J22=1,(Ideal_S-F22)/Span_S,"")</f>
        <v/>
      </c>
      <c r="AK22" s="13" t="str">
        <f aca="false">IF($J22=1,(Ideal_B-G22)/Span_B,"")</f>
        <v/>
      </c>
      <c r="AL22" s="12" t="str">
        <f aca="false">IF($J22=1,MAX(ChA_1*AI22,ChA_2*AJ22,ChA_3*AK22)+Rho*(ChA_1*AI22+ChA_2*AJ22+ChA_3*AK22),"")</f>
        <v/>
      </c>
      <c r="AM22" s="12" t="str">
        <f aca="false">IF($J22=1,MAX(ChB_1*AI22,ChB_2*AJ22,ChB_3*AK22)+Rho*(ChB_1*AI22+ChB_2*AJ22+ChB_3*AK22),"")</f>
        <v/>
      </c>
      <c r="AN22" s="12" t="str">
        <f aca="false">IF($J22=1,MAX(Cx_1*(Ref_P-E22)/Span_P,Cx_2*(Ref_S-F22)/Span_S,Cx_3*(Ref_B-G22)/Span_B),"")</f>
        <v/>
      </c>
    </row>
    <row r="23" customFormat="false" ht="15" hidden="false" customHeight="false" outlineLevel="0" collapsed="false">
      <c r="A23" s="2" t="n">
        <v>17</v>
      </c>
      <c r="B23" s="15" t="n">
        <f aca="false">INT(A23/151)</f>
        <v>0</v>
      </c>
      <c r="C23" s="15" t="n">
        <f aca="false">MOD(A23,151)</f>
        <v>17</v>
      </c>
      <c r="D23" s="15" t="n">
        <f aca="false">INDEX(Grid!$J$6:$P$156,C23+1,B23+1)</f>
        <v>1</v>
      </c>
      <c r="E23" s="16" t="n">
        <f aca="false">IF(D23=1,INDEX(Grid!$B$6:$H$156,C23+1,B23+1),"")</f>
        <v>120.909090909091</v>
      </c>
      <c r="F23" s="13" t="n">
        <f aca="false">Val_pt*(Ceiling_e-E_zero)*(1-(1-Half_gap)^B23)</f>
        <v>0</v>
      </c>
      <c r="G23" s="15" t="n">
        <f aca="false">C23</f>
        <v>17</v>
      </c>
      <c r="H23" s="15" t="n">
        <f aca="false">IF(D23=1,INDEX(Grid!$R$6:$X$156,C23+1,B23+1),"")</f>
        <v>0</v>
      </c>
      <c r="I23" s="2" t="str">
        <f aca="false">IF(D23=1,INDEX(Sch_label,H23+1),"")</f>
        <v>none</v>
      </c>
      <c r="J23" s="15" t="n">
        <f aca="false">IF(D23=1,INDEX(Grid!$Z$6:$AF$156,C23+1,B23+1),0)</f>
        <v>0</v>
      </c>
      <c r="K23" s="16" t="n">
        <f aca="false">IF(J23=1,E23,0)</f>
        <v>0</v>
      </c>
      <c r="L23" s="17" t="n">
        <f aca="false">IF(D23=1,E23+W_board*F23,"")</f>
        <v>120.909090909091</v>
      </c>
      <c r="Z23" s="12" t="str">
        <f aca="false">IF(AND($J23=1,$M23=1),N23*E23/Span_P+O23*F23/Span_S+P23*G23/Span_B,"")</f>
        <v/>
      </c>
      <c r="AA23" s="12" t="str">
        <f aca="false">IF(AND($J23=1,$M23=1),SUMPRODUCT(MAX($J$6:$J$1062*(N23*$K$6:$K$1062/Span_P+O23*$F$6:$F$1062/Span_S+P23*$G$6:$G$1062/Span_B)-(1-$J$6:$J$1062)*1000000000)),"")</f>
        <v/>
      </c>
      <c r="AB23" s="15" t="str">
        <f aca="false">IF(AND($J23=1,$M23=1),IF(AA23-Z23&lt;=0.000000001,1,0),"")</f>
        <v/>
      </c>
      <c r="AC23" s="13" t="str">
        <f aca="false">IF(AND($J23=1,$M23=0),IF(S23="",0,S23*INDEX(Grid!$B$6:$H$156,R23+1,Q23+1))+IF(V23="",0,V23*INDEX(Grid!$B$6:$H$156,U23+1,T23+1))+IF(Y23="",0,Y23*INDEX(Grid!$B$6:$H$156,X23+1,W23+1)),"")</f>
        <v/>
      </c>
      <c r="AD23" s="13" t="str">
        <f aca="false">IF(AND($J23=1,$M23=0),IF(S23="",0,S23*Val_pt*(Ceiling_e-E_zero)*(1-(1-Half_gap)^Q23))+IF(V23="",0,V23*Val_pt*(Ceiling_e-E_zero)*(1-(1-Half_gap)^T23))+IF(Y23="",0,Y23*Val_pt*(Ceiling_e-E_zero)*(1-(1-Half_gap)^W23)),"")</f>
        <v/>
      </c>
      <c r="AE23" s="13" t="str">
        <f aca="false">IF(AND($J23=1,$M23=0),IF(S23="",0,S23*R23)+IF(V23="",0,V23*U23)+IF(Y23="",0,Y23*X23),"")</f>
        <v/>
      </c>
      <c r="AF23" s="12" t="str">
        <f aca="false">IF(AND($J23=1,$M23=0),MIN((AC23-E23)/Span_P,(AD23-F23)/Span_S,(AE23-G23)/Span_B),"")</f>
        <v/>
      </c>
      <c r="AG23" s="15" t="str">
        <f aca="false">IF(AND($J23=1,$M23=0),IF(AF23&gt;0.0000001,1,0),"")</f>
        <v/>
      </c>
      <c r="AH23" s="15" t="str">
        <f aca="false">IF($J23=1,IF($M23=1,AB23,AG23),"")</f>
        <v/>
      </c>
      <c r="AI23" s="13" t="str">
        <f aca="false">IF($J23=1,(Ideal_P-E23)/Span_P,"")</f>
        <v/>
      </c>
      <c r="AJ23" s="13" t="str">
        <f aca="false">IF($J23=1,(Ideal_S-F23)/Span_S,"")</f>
        <v/>
      </c>
      <c r="AK23" s="13" t="str">
        <f aca="false">IF($J23=1,(Ideal_B-G23)/Span_B,"")</f>
        <v/>
      </c>
      <c r="AL23" s="12" t="str">
        <f aca="false">IF($J23=1,MAX(ChA_1*AI23,ChA_2*AJ23,ChA_3*AK23)+Rho*(ChA_1*AI23+ChA_2*AJ23+ChA_3*AK23),"")</f>
        <v/>
      </c>
      <c r="AM23" s="12" t="str">
        <f aca="false">IF($J23=1,MAX(ChB_1*AI23,ChB_2*AJ23,ChB_3*AK23)+Rho*(ChB_1*AI23+ChB_2*AJ23+ChB_3*AK23),"")</f>
        <v/>
      </c>
      <c r="AN23" s="12" t="str">
        <f aca="false">IF($J23=1,MAX(Cx_1*(Ref_P-E23)/Span_P,Cx_2*(Ref_S-F23)/Span_S,Cx_3*(Ref_B-G23)/Span_B),"")</f>
        <v/>
      </c>
    </row>
    <row r="24" customFormat="false" ht="15" hidden="false" customHeight="false" outlineLevel="0" collapsed="false">
      <c r="A24" s="2" t="n">
        <v>18</v>
      </c>
      <c r="B24" s="15" t="n">
        <f aca="false">INT(A24/151)</f>
        <v>0</v>
      </c>
      <c r="C24" s="15" t="n">
        <f aca="false">MOD(A24,151)</f>
        <v>18</v>
      </c>
      <c r="D24" s="15" t="n">
        <f aca="false">INDEX(Grid!$J$6:$P$156,C24+1,B24+1)</f>
        <v>1</v>
      </c>
      <c r="E24" s="16" t="n">
        <f aca="false">IF(D24=1,INDEX(Grid!$B$6:$H$156,C24+1,B24+1),"")</f>
        <v>120</v>
      </c>
      <c r="F24" s="13" t="n">
        <f aca="false">Val_pt*(Ceiling_e-E_zero)*(1-(1-Half_gap)^B24)</f>
        <v>0</v>
      </c>
      <c r="G24" s="15" t="n">
        <f aca="false">C24</f>
        <v>18</v>
      </c>
      <c r="H24" s="15" t="n">
        <f aca="false">IF(D24=1,INDEX(Grid!$R$6:$X$156,C24+1,B24+1),"")</f>
        <v>0</v>
      </c>
      <c r="I24" s="2" t="str">
        <f aca="false">IF(D24=1,INDEX(Sch_label,H24+1),"")</f>
        <v>none</v>
      </c>
      <c r="J24" s="15" t="n">
        <f aca="false">IF(D24=1,INDEX(Grid!$Z$6:$AF$156,C24+1,B24+1),0)</f>
        <v>0</v>
      </c>
      <c r="K24" s="16" t="n">
        <f aca="false">IF(J24=1,E24,0)</f>
        <v>0</v>
      </c>
      <c r="L24" s="17" t="n">
        <f aca="false">IF(D24=1,E24+W_board*F24,"")</f>
        <v>120</v>
      </c>
      <c r="Z24" s="12" t="str">
        <f aca="false">IF(AND($J24=1,$M24=1),N24*E24/Span_P+O24*F24/Span_S+P24*G24/Span_B,"")</f>
        <v/>
      </c>
      <c r="AA24" s="12" t="str">
        <f aca="false">IF(AND($J24=1,$M24=1),SUMPRODUCT(MAX($J$6:$J$1062*(N24*$K$6:$K$1062/Span_P+O24*$F$6:$F$1062/Span_S+P24*$G$6:$G$1062/Span_B)-(1-$J$6:$J$1062)*1000000000)),"")</f>
        <v/>
      </c>
      <c r="AB24" s="15" t="str">
        <f aca="false">IF(AND($J24=1,$M24=1),IF(AA24-Z24&lt;=0.000000001,1,0),"")</f>
        <v/>
      </c>
      <c r="AC24" s="13" t="str">
        <f aca="false">IF(AND($J24=1,$M24=0),IF(S24="",0,S24*INDEX(Grid!$B$6:$H$156,R24+1,Q24+1))+IF(V24="",0,V24*INDEX(Grid!$B$6:$H$156,U24+1,T24+1))+IF(Y24="",0,Y24*INDEX(Grid!$B$6:$H$156,X24+1,W24+1)),"")</f>
        <v/>
      </c>
      <c r="AD24" s="13" t="str">
        <f aca="false">IF(AND($J24=1,$M24=0),IF(S24="",0,S24*Val_pt*(Ceiling_e-E_zero)*(1-(1-Half_gap)^Q24))+IF(V24="",0,V24*Val_pt*(Ceiling_e-E_zero)*(1-(1-Half_gap)^T24))+IF(Y24="",0,Y24*Val_pt*(Ceiling_e-E_zero)*(1-(1-Half_gap)^W24)),"")</f>
        <v/>
      </c>
      <c r="AE24" s="13" t="str">
        <f aca="false">IF(AND($J24=1,$M24=0),IF(S24="",0,S24*R24)+IF(V24="",0,V24*U24)+IF(Y24="",0,Y24*X24),"")</f>
        <v/>
      </c>
      <c r="AF24" s="12" t="str">
        <f aca="false">IF(AND($J24=1,$M24=0),MIN((AC24-E24)/Span_P,(AD24-F24)/Span_S,(AE24-G24)/Span_B),"")</f>
        <v/>
      </c>
      <c r="AG24" s="15" t="str">
        <f aca="false">IF(AND($J24=1,$M24=0),IF(AF24&gt;0.0000001,1,0),"")</f>
        <v/>
      </c>
      <c r="AH24" s="15" t="str">
        <f aca="false">IF($J24=1,IF($M24=1,AB24,AG24),"")</f>
        <v/>
      </c>
      <c r="AI24" s="13" t="str">
        <f aca="false">IF($J24=1,(Ideal_P-E24)/Span_P,"")</f>
        <v/>
      </c>
      <c r="AJ24" s="13" t="str">
        <f aca="false">IF($J24=1,(Ideal_S-F24)/Span_S,"")</f>
        <v/>
      </c>
      <c r="AK24" s="13" t="str">
        <f aca="false">IF($J24=1,(Ideal_B-G24)/Span_B,"")</f>
        <v/>
      </c>
      <c r="AL24" s="12" t="str">
        <f aca="false">IF($J24=1,MAX(ChA_1*AI24,ChA_2*AJ24,ChA_3*AK24)+Rho*(ChA_1*AI24+ChA_2*AJ24+ChA_3*AK24),"")</f>
        <v/>
      </c>
      <c r="AM24" s="12" t="str">
        <f aca="false">IF($J24=1,MAX(ChB_1*AI24,ChB_2*AJ24,ChB_3*AK24)+Rho*(ChB_1*AI24+ChB_2*AJ24+ChB_3*AK24),"")</f>
        <v/>
      </c>
      <c r="AN24" s="12" t="str">
        <f aca="false">IF($J24=1,MAX(Cx_1*(Ref_P-E24)/Span_P,Cx_2*(Ref_S-F24)/Span_S,Cx_3*(Ref_B-G24)/Span_B),"")</f>
        <v/>
      </c>
    </row>
    <row r="25" customFormat="false" ht="15" hidden="false" customHeight="false" outlineLevel="0" collapsed="false">
      <c r="A25" s="2" t="n">
        <v>19</v>
      </c>
      <c r="B25" s="15" t="n">
        <f aca="false">INT(A25/151)</f>
        <v>0</v>
      </c>
      <c r="C25" s="15" t="n">
        <f aca="false">MOD(A25,151)</f>
        <v>19</v>
      </c>
      <c r="D25" s="15" t="n">
        <f aca="false">INDEX(Grid!$J$6:$P$156,C25+1,B25+1)</f>
        <v>1</v>
      </c>
      <c r="E25" s="16" t="n">
        <f aca="false">IF(D25=1,INDEX(Grid!$B$6:$H$156,C25+1,B25+1),"")</f>
        <v>119.090909090909</v>
      </c>
      <c r="F25" s="13" t="n">
        <f aca="false">Val_pt*(Ceiling_e-E_zero)*(1-(1-Half_gap)^B25)</f>
        <v>0</v>
      </c>
      <c r="G25" s="15" t="n">
        <f aca="false">C25</f>
        <v>19</v>
      </c>
      <c r="H25" s="15" t="n">
        <f aca="false">IF(D25=1,INDEX(Grid!$R$6:$X$156,C25+1,B25+1),"")</f>
        <v>0</v>
      </c>
      <c r="I25" s="2" t="str">
        <f aca="false">IF(D25=1,INDEX(Sch_label,H25+1),"")</f>
        <v>none</v>
      </c>
      <c r="J25" s="15" t="n">
        <f aca="false">IF(D25=1,INDEX(Grid!$Z$6:$AF$156,C25+1,B25+1),0)</f>
        <v>0</v>
      </c>
      <c r="K25" s="16" t="n">
        <f aca="false">IF(J25=1,E25,0)</f>
        <v>0</v>
      </c>
      <c r="L25" s="17" t="n">
        <f aca="false">IF(D25=1,E25+W_board*F25,"")</f>
        <v>119.090909090909</v>
      </c>
      <c r="Z25" s="12" t="str">
        <f aca="false">IF(AND($J25=1,$M25=1),N25*E25/Span_P+O25*F25/Span_S+P25*G25/Span_B,"")</f>
        <v/>
      </c>
      <c r="AA25" s="12" t="str">
        <f aca="false">IF(AND($J25=1,$M25=1),SUMPRODUCT(MAX($J$6:$J$1062*(N25*$K$6:$K$1062/Span_P+O25*$F$6:$F$1062/Span_S+P25*$G$6:$G$1062/Span_B)-(1-$J$6:$J$1062)*1000000000)),"")</f>
        <v/>
      </c>
      <c r="AB25" s="15" t="str">
        <f aca="false">IF(AND($J25=1,$M25=1),IF(AA25-Z25&lt;=0.000000001,1,0),"")</f>
        <v/>
      </c>
      <c r="AC25" s="13" t="str">
        <f aca="false">IF(AND($J25=1,$M25=0),IF(S25="",0,S25*INDEX(Grid!$B$6:$H$156,R25+1,Q25+1))+IF(V25="",0,V25*INDEX(Grid!$B$6:$H$156,U25+1,T25+1))+IF(Y25="",0,Y25*INDEX(Grid!$B$6:$H$156,X25+1,W25+1)),"")</f>
        <v/>
      </c>
      <c r="AD25" s="13" t="str">
        <f aca="false">IF(AND($J25=1,$M25=0),IF(S25="",0,S25*Val_pt*(Ceiling_e-E_zero)*(1-(1-Half_gap)^Q25))+IF(V25="",0,V25*Val_pt*(Ceiling_e-E_zero)*(1-(1-Half_gap)^T25))+IF(Y25="",0,Y25*Val_pt*(Ceiling_e-E_zero)*(1-(1-Half_gap)^W25)),"")</f>
        <v/>
      </c>
      <c r="AE25" s="13" t="str">
        <f aca="false">IF(AND($J25=1,$M25=0),IF(S25="",0,S25*R25)+IF(V25="",0,V25*U25)+IF(Y25="",0,Y25*X25),"")</f>
        <v/>
      </c>
      <c r="AF25" s="12" t="str">
        <f aca="false">IF(AND($J25=1,$M25=0),MIN((AC25-E25)/Span_P,(AD25-F25)/Span_S,(AE25-G25)/Span_B),"")</f>
        <v/>
      </c>
      <c r="AG25" s="15" t="str">
        <f aca="false">IF(AND($J25=1,$M25=0),IF(AF25&gt;0.0000001,1,0),"")</f>
        <v/>
      </c>
      <c r="AH25" s="15" t="str">
        <f aca="false">IF($J25=1,IF($M25=1,AB25,AG25),"")</f>
        <v/>
      </c>
      <c r="AI25" s="13" t="str">
        <f aca="false">IF($J25=1,(Ideal_P-E25)/Span_P,"")</f>
        <v/>
      </c>
      <c r="AJ25" s="13" t="str">
        <f aca="false">IF($J25=1,(Ideal_S-F25)/Span_S,"")</f>
        <v/>
      </c>
      <c r="AK25" s="13" t="str">
        <f aca="false">IF($J25=1,(Ideal_B-G25)/Span_B,"")</f>
        <v/>
      </c>
      <c r="AL25" s="12" t="str">
        <f aca="false">IF($J25=1,MAX(ChA_1*AI25,ChA_2*AJ25,ChA_3*AK25)+Rho*(ChA_1*AI25+ChA_2*AJ25+ChA_3*AK25),"")</f>
        <v/>
      </c>
      <c r="AM25" s="12" t="str">
        <f aca="false">IF($J25=1,MAX(ChB_1*AI25,ChB_2*AJ25,ChB_3*AK25)+Rho*(ChB_1*AI25+ChB_2*AJ25+ChB_3*AK25),"")</f>
        <v/>
      </c>
      <c r="AN25" s="12" t="str">
        <f aca="false">IF($J25=1,MAX(Cx_1*(Ref_P-E25)/Span_P,Cx_2*(Ref_S-F25)/Span_S,Cx_3*(Ref_B-G25)/Span_B),"")</f>
        <v/>
      </c>
    </row>
    <row r="26" customFormat="false" ht="15" hidden="false" customHeight="false" outlineLevel="0" collapsed="false">
      <c r="A26" s="2" t="n">
        <v>20</v>
      </c>
      <c r="B26" s="15" t="n">
        <f aca="false">INT(A26/151)</f>
        <v>0</v>
      </c>
      <c r="C26" s="15" t="n">
        <f aca="false">MOD(A26,151)</f>
        <v>20</v>
      </c>
      <c r="D26" s="15" t="n">
        <f aca="false">INDEX(Grid!$J$6:$P$156,C26+1,B26+1)</f>
        <v>1</v>
      </c>
      <c r="E26" s="16" t="n">
        <f aca="false">IF(D26=1,INDEX(Grid!$B$6:$H$156,C26+1,B26+1),"")</f>
        <v>118.181818181818</v>
      </c>
      <c r="F26" s="13" t="n">
        <f aca="false">Val_pt*(Ceiling_e-E_zero)*(1-(1-Half_gap)^B26)</f>
        <v>0</v>
      </c>
      <c r="G26" s="15" t="n">
        <f aca="false">C26</f>
        <v>20</v>
      </c>
      <c r="H26" s="15" t="n">
        <f aca="false">IF(D26=1,INDEX(Grid!$R$6:$X$156,C26+1,B26+1),"")</f>
        <v>0</v>
      </c>
      <c r="I26" s="2" t="str">
        <f aca="false">IF(D26=1,INDEX(Sch_label,H26+1),"")</f>
        <v>none</v>
      </c>
      <c r="J26" s="15" t="n">
        <f aca="false">IF(D26=1,INDEX(Grid!$Z$6:$AF$156,C26+1,B26+1),0)</f>
        <v>0</v>
      </c>
      <c r="K26" s="16" t="n">
        <f aca="false">IF(J26=1,E26,0)</f>
        <v>0</v>
      </c>
      <c r="L26" s="17" t="n">
        <f aca="false">IF(D26=1,E26+W_board*F26,"")</f>
        <v>118.181818181818</v>
      </c>
      <c r="Z26" s="12" t="str">
        <f aca="false">IF(AND($J26=1,$M26=1),N26*E26/Span_P+O26*F26/Span_S+P26*G26/Span_B,"")</f>
        <v/>
      </c>
      <c r="AA26" s="12" t="str">
        <f aca="false">IF(AND($J26=1,$M26=1),SUMPRODUCT(MAX($J$6:$J$1062*(N26*$K$6:$K$1062/Span_P+O26*$F$6:$F$1062/Span_S+P26*$G$6:$G$1062/Span_B)-(1-$J$6:$J$1062)*1000000000)),"")</f>
        <v/>
      </c>
      <c r="AB26" s="15" t="str">
        <f aca="false">IF(AND($J26=1,$M26=1),IF(AA26-Z26&lt;=0.000000001,1,0),"")</f>
        <v/>
      </c>
      <c r="AC26" s="13" t="str">
        <f aca="false">IF(AND($J26=1,$M26=0),IF(S26="",0,S26*INDEX(Grid!$B$6:$H$156,R26+1,Q26+1))+IF(V26="",0,V26*INDEX(Grid!$B$6:$H$156,U26+1,T26+1))+IF(Y26="",0,Y26*INDEX(Grid!$B$6:$H$156,X26+1,W26+1)),"")</f>
        <v/>
      </c>
      <c r="AD26" s="13" t="str">
        <f aca="false">IF(AND($J26=1,$M26=0),IF(S26="",0,S26*Val_pt*(Ceiling_e-E_zero)*(1-(1-Half_gap)^Q26))+IF(V26="",0,V26*Val_pt*(Ceiling_e-E_zero)*(1-(1-Half_gap)^T26))+IF(Y26="",0,Y26*Val_pt*(Ceiling_e-E_zero)*(1-(1-Half_gap)^W26)),"")</f>
        <v/>
      </c>
      <c r="AE26" s="13" t="str">
        <f aca="false">IF(AND($J26=1,$M26=0),IF(S26="",0,S26*R26)+IF(V26="",0,V26*U26)+IF(Y26="",0,Y26*X26),"")</f>
        <v/>
      </c>
      <c r="AF26" s="12" t="str">
        <f aca="false">IF(AND($J26=1,$M26=0),MIN((AC26-E26)/Span_P,(AD26-F26)/Span_S,(AE26-G26)/Span_B),"")</f>
        <v/>
      </c>
      <c r="AG26" s="15" t="str">
        <f aca="false">IF(AND($J26=1,$M26=0),IF(AF26&gt;0.0000001,1,0),"")</f>
        <v/>
      </c>
      <c r="AH26" s="15" t="str">
        <f aca="false">IF($J26=1,IF($M26=1,AB26,AG26),"")</f>
        <v/>
      </c>
      <c r="AI26" s="13" t="str">
        <f aca="false">IF($J26=1,(Ideal_P-E26)/Span_P,"")</f>
        <v/>
      </c>
      <c r="AJ26" s="13" t="str">
        <f aca="false">IF($J26=1,(Ideal_S-F26)/Span_S,"")</f>
        <v/>
      </c>
      <c r="AK26" s="13" t="str">
        <f aca="false">IF($J26=1,(Ideal_B-G26)/Span_B,"")</f>
        <v/>
      </c>
      <c r="AL26" s="12" t="str">
        <f aca="false">IF($J26=1,MAX(ChA_1*AI26,ChA_2*AJ26,ChA_3*AK26)+Rho*(ChA_1*AI26+ChA_2*AJ26+ChA_3*AK26),"")</f>
        <v/>
      </c>
      <c r="AM26" s="12" t="str">
        <f aca="false">IF($J26=1,MAX(ChB_1*AI26,ChB_2*AJ26,ChB_3*AK26)+Rho*(ChB_1*AI26+ChB_2*AJ26+ChB_3*AK26),"")</f>
        <v/>
      </c>
      <c r="AN26" s="12" t="str">
        <f aca="false">IF($J26=1,MAX(Cx_1*(Ref_P-E26)/Span_P,Cx_2*(Ref_S-F26)/Span_S,Cx_3*(Ref_B-G26)/Span_B),"")</f>
        <v/>
      </c>
    </row>
    <row r="27" customFormat="false" ht="15" hidden="false" customHeight="false" outlineLevel="0" collapsed="false">
      <c r="A27" s="2" t="n">
        <v>21</v>
      </c>
      <c r="B27" s="15" t="n">
        <f aca="false">INT(A27/151)</f>
        <v>0</v>
      </c>
      <c r="C27" s="15" t="n">
        <f aca="false">MOD(A27,151)</f>
        <v>21</v>
      </c>
      <c r="D27" s="15" t="n">
        <f aca="false">INDEX(Grid!$J$6:$P$156,C27+1,B27+1)</f>
        <v>1</v>
      </c>
      <c r="E27" s="16" t="n">
        <f aca="false">IF(D27=1,INDEX(Grid!$B$6:$H$156,C27+1,B27+1),"")</f>
        <v>117.272727272727</v>
      </c>
      <c r="F27" s="13" t="n">
        <f aca="false">Val_pt*(Ceiling_e-E_zero)*(1-(1-Half_gap)^B27)</f>
        <v>0</v>
      </c>
      <c r="G27" s="15" t="n">
        <f aca="false">C27</f>
        <v>21</v>
      </c>
      <c r="H27" s="15" t="n">
        <f aca="false">IF(D27=1,INDEX(Grid!$R$6:$X$156,C27+1,B27+1),"")</f>
        <v>0</v>
      </c>
      <c r="I27" s="2" t="str">
        <f aca="false">IF(D27=1,INDEX(Sch_label,H27+1),"")</f>
        <v>none</v>
      </c>
      <c r="J27" s="15" t="n">
        <f aca="false">IF(D27=1,INDEX(Grid!$Z$6:$AF$156,C27+1,B27+1),0)</f>
        <v>0</v>
      </c>
      <c r="K27" s="16" t="n">
        <f aca="false">IF(J27=1,E27,0)</f>
        <v>0</v>
      </c>
      <c r="L27" s="17" t="n">
        <f aca="false">IF(D27=1,E27+W_board*F27,"")</f>
        <v>117.272727272727</v>
      </c>
      <c r="Z27" s="12" t="str">
        <f aca="false">IF(AND($J27=1,$M27=1),N27*E27/Span_P+O27*F27/Span_S+P27*G27/Span_B,"")</f>
        <v/>
      </c>
      <c r="AA27" s="12" t="str">
        <f aca="false">IF(AND($J27=1,$M27=1),SUMPRODUCT(MAX($J$6:$J$1062*(N27*$K$6:$K$1062/Span_P+O27*$F$6:$F$1062/Span_S+P27*$G$6:$G$1062/Span_B)-(1-$J$6:$J$1062)*1000000000)),"")</f>
        <v/>
      </c>
      <c r="AB27" s="15" t="str">
        <f aca="false">IF(AND($J27=1,$M27=1),IF(AA27-Z27&lt;=0.000000001,1,0),"")</f>
        <v/>
      </c>
      <c r="AC27" s="13" t="str">
        <f aca="false">IF(AND($J27=1,$M27=0),IF(S27="",0,S27*INDEX(Grid!$B$6:$H$156,R27+1,Q27+1))+IF(V27="",0,V27*INDEX(Grid!$B$6:$H$156,U27+1,T27+1))+IF(Y27="",0,Y27*INDEX(Grid!$B$6:$H$156,X27+1,W27+1)),"")</f>
        <v/>
      </c>
      <c r="AD27" s="13" t="str">
        <f aca="false">IF(AND($J27=1,$M27=0),IF(S27="",0,S27*Val_pt*(Ceiling_e-E_zero)*(1-(1-Half_gap)^Q27))+IF(V27="",0,V27*Val_pt*(Ceiling_e-E_zero)*(1-(1-Half_gap)^T27))+IF(Y27="",0,Y27*Val_pt*(Ceiling_e-E_zero)*(1-(1-Half_gap)^W27)),"")</f>
        <v/>
      </c>
      <c r="AE27" s="13" t="str">
        <f aca="false">IF(AND($J27=1,$M27=0),IF(S27="",0,S27*R27)+IF(V27="",0,V27*U27)+IF(Y27="",0,Y27*X27),"")</f>
        <v/>
      </c>
      <c r="AF27" s="12" t="str">
        <f aca="false">IF(AND($J27=1,$M27=0),MIN((AC27-E27)/Span_P,(AD27-F27)/Span_S,(AE27-G27)/Span_B),"")</f>
        <v/>
      </c>
      <c r="AG27" s="15" t="str">
        <f aca="false">IF(AND($J27=1,$M27=0),IF(AF27&gt;0.0000001,1,0),"")</f>
        <v/>
      </c>
      <c r="AH27" s="15" t="str">
        <f aca="false">IF($J27=1,IF($M27=1,AB27,AG27),"")</f>
        <v/>
      </c>
      <c r="AI27" s="13" t="str">
        <f aca="false">IF($J27=1,(Ideal_P-E27)/Span_P,"")</f>
        <v/>
      </c>
      <c r="AJ27" s="13" t="str">
        <f aca="false">IF($J27=1,(Ideal_S-F27)/Span_S,"")</f>
        <v/>
      </c>
      <c r="AK27" s="13" t="str">
        <f aca="false">IF($J27=1,(Ideal_B-G27)/Span_B,"")</f>
        <v/>
      </c>
      <c r="AL27" s="12" t="str">
        <f aca="false">IF($J27=1,MAX(ChA_1*AI27,ChA_2*AJ27,ChA_3*AK27)+Rho*(ChA_1*AI27+ChA_2*AJ27+ChA_3*AK27),"")</f>
        <v/>
      </c>
      <c r="AM27" s="12" t="str">
        <f aca="false">IF($J27=1,MAX(ChB_1*AI27,ChB_2*AJ27,ChB_3*AK27)+Rho*(ChB_1*AI27+ChB_2*AJ27+ChB_3*AK27),"")</f>
        <v/>
      </c>
      <c r="AN27" s="12" t="str">
        <f aca="false">IF($J27=1,MAX(Cx_1*(Ref_P-E27)/Span_P,Cx_2*(Ref_S-F27)/Span_S,Cx_3*(Ref_B-G27)/Span_B),"")</f>
        <v/>
      </c>
    </row>
    <row r="28" customFormat="false" ht="15" hidden="false" customHeight="false" outlineLevel="0" collapsed="false">
      <c r="A28" s="2" t="n">
        <v>22</v>
      </c>
      <c r="B28" s="15" t="n">
        <f aca="false">INT(A28/151)</f>
        <v>0</v>
      </c>
      <c r="C28" s="15" t="n">
        <f aca="false">MOD(A28,151)</f>
        <v>22</v>
      </c>
      <c r="D28" s="15" t="n">
        <f aca="false">INDEX(Grid!$J$6:$P$156,C28+1,B28+1)</f>
        <v>1</v>
      </c>
      <c r="E28" s="16" t="n">
        <f aca="false">IF(D28=1,INDEX(Grid!$B$6:$H$156,C28+1,B28+1),"")</f>
        <v>116.363636363636</v>
      </c>
      <c r="F28" s="13" t="n">
        <f aca="false">Val_pt*(Ceiling_e-E_zero)*(1-(1-Half_gap)^B28)</f>
        <v>0</v>
      </c>
      <c r="G28" s="15" t="n">
        <f aca="false">C28</f>
        <v>22</v>
      </c>
      <c r="H28" s="15" t="n">
        <f aca="false">IF(D28=1,INDEX(Grid!$R$6:$X$156,C28+1,B28+1),"")</f>
        <v>0</v>
      </c>
      <c r="I28" s="2" t="str">
        <f aca="false">IF(D28=1,INDEX(Sch_label,H28+1),"")</f>
        <v>none</v>
      </c>
      <c r="J28" s="15" t="n">
        <f aca="false">IF(D28=1,INDEX(Grid!$Z$6:$AF$156,C28+1,B28+1),0)</f>
        <v>0</v>
      </c>
      <c r="K28" s="16" t="n">
        <f aca="false">IF(J28=1,E28,0)</f>
        <v>0</v>
      </c>
      <c r="L28" s="17" t="n">
        <f aca="false">IF(D28=1,E28+W_board*F28,"")</f>
        <v>116.363636363636</v>
      </c>
      <c r="Z28" s="12" t="str">
        <f aca="false">IF(AND($J28=1,$M28=1),N28*E28/Span_P+O28*F28/Span_S+P28*G28/Span_B,"")</f>
        <v/>
      </c>
      <c r="AA28" s="12" t="str">
        <f aca="false">IF(AND($J28=1,$M28=1),SUMPRODUCT(MAX($J$6:$J$1062*(N28*$K$6:$K$1062/Span_P+O28*$F$6:$F$1062/Span_S+P28*$G$6:$G$1062/Span_B)-(1-$J$6:$J$1062)*1000000000)),"")</f>
        <v/>
      </c>
      <c r="AB28" s="15" t="str">
        <f aca="false">IF(AND($J28=1,$M28=1),IF(AA28-Z28&lt;=0.000000001,1,0),"")</f>
        <v/>
      </c>
      <c r="AC28" s="13" t="str">
        <f aca="false">IF(AND($J28=1,$M28=0),IF(S28="",0,S28*INDEX(Grid!$B$6:$H$156,R28+1,Q28+1))+IF(V28="",0,V28*INDEX(Grid!$B$6:$H$156,U28+1,T28+1))+IF(Y28="",0,Y28*INDEX(Grid!$B$6:$H$156,X28+1,W28+1)),"")</f>
        <v/>
      </c>
      <c r="AD28" s="13" t="str">
        <f aca="false">IF(AND($J28=1,$M28=0),IF(S28="",0,S28*Val_pt*(Ceiling_e-E_zero)*(1-(1-Half_gap)^Q28))+IF(V28="",0,V28*Val_pt*(Ceiling_e-E_zero)*(1-(1-Half_gap)^T28))+IF(Y28="",0,Y28*Val_pt*(Ceiling_e-E_zero)*(1-(1-Half_gap)^W28)),"")</f>
        <v/>
      </c>
      <c r="AE28" s="13" t="str">
        <f aca="false">IF(AND($J28=1,$M28=0),IF(S28="",0,S28*R28)+IF(V28="",0,V28*U28)+IF(Y28="",0,Y28*X28),"")</f>
        <v/>
      </c>
      <c r="AF28" s="12" t="str">
        <f aca="false">IF(AND($J28=1,$M28=0),MIN((AC28-E28)/Span_P,(AD28-F28)/Span_S,(AE28-G28)/Span_B),"")</f>
        <v/>
      </c>
      <c r="AG28" s="15" t="str">
        <f aca="false">IF(AND($J28=1,$M28=0),IF(AF28&gt;0.0000001,1,0),"")</f>
        <v/>
      </c>
      <c r="AH28" s="15" t="str">
        <f aca="false">IF($J28=1,IF($M28=1,AB28,AG28),"")</f>
        <v/>
      </c>
      <c r="AI28" s="13" t="str">
        <f aca="false">IF($J28=1,(Ideal_P-E28)/Span_P,"")</f>
        <v/>
      </c>
      <c r="AJ28" s="13" t="str">
        <f aca="false">IF($J28=1,(Ideal_S-F28)/Span_S,"")</f>
        <v/>
      </c>
      <c r="AK28" s="13" t="str">
        <f aca="false">IF($J28=1,(Ideal_B-G28)/Span_B,"")</f>
        <v/>
      </c>
      <c r="AL28" s="12" t="str">
        <f aca="false">IF($J28=1,MAX(ChA_1*AI28,ChA_2*AJ28,ChA_3*AK28)+Rho*(ChA_1*AI28+ChA_2*AJ28+ChA_3*AK28),"")</f>
        <v/>
      </c>
      <c r="AM28" s="12" t="str">
        <f aca="false">IF($J28=1,MAX(ChB_1*AI28,ChB_2*AJ28,ChB_3*AK28)+Rho*(ChB_1*AI28+ChB_2*AJ28+ChB_3*AK28),"")</f>
        <v/>
      </c>
      <c r="AN28" s="12" t="str">
        <f aca="false">IF($J28=1,MAX(Cx_1*(Ref_P-E28)/Span_P,Cx_2*(Ref_S-F28)/Span_S,Cx_3*(Ref_B-G28)/Span_B),"")</f>
        <v/>
      </c>
    </row>
    <row r="29" customFormat="false" ht="15" hidden="false" customHeight="false" outlineLevel="0" collapsed="false">
      <c r="A29" s="2" t="n">
        <v>23</v>
      </c>
      <c r="B29" s="15" t="n">
        <f aca="false">INT(A29/151)</f>
        <v>0</v>
      </c>
      <c r="C29" s="15" t="n">
        <f aca="false">MOD(A29,151)</f>
        <v>23</v>
      </c>
      <c r="D29" s="15" t="n">
        <f aca="false">INDEX(Grid!$J$6:$P$156,C29+1,B29+1)</f>
        <v>1</v>
      </c>
      <c r="E29" s="16" t="n">
        <f aca="false">IF(D29=1,INDEX(Grid!$B$6:$H$156,C29+1,B29+1),"")</f>
        <v>115.454545454545</v>
      </c>
      <c r="F29" s="13" t="n">
        <f aca="false">Val_pt*(Ceiling_e-E_zero)*(1-(1-Half_gap)^B29)</f>
        <v>0</v>
      </c>
      <c r="G29" s="15" t="n">
        <f aca="false">C29</f>
        <v>23</v>
      </c>
      <c r="H29" s="15" t="n">
        <f aca="false">IF(D29=1,INDEX(Grid!$R$6:$X$156,C29+1,B29+1),"")</f>
        <v>0</v>
      </c>
      <c r="I29" s="2" t="str">
        <f aca="false">IF(D29=1,INDEX(Sch_label,H29+1),"")</f>
        <v>none</v>
      </c>
      <c r="J29" s="15" t="n">
        <f aca="false">IF(D29=1,INDEX(Grid!$Z$6:$AF$156,C29+1,B29+1),0)</f>
        <v>0</v>
      </c>
      <c r="K29" s="16" t="n">
        <f aca="false">IF(J29=1,E29,0)</f>
        <v>0</v>
      </c>
      <c r="L29" s="17" t="n">
        <f aca="false">IF(D29=1,E29+W_board*F29,"")</f>
        <v>115.454545454545</v>
      </c>
      <c r="Z29" s="12" t="str">
        <f aca="false">IF(AND($J29=1,$M29=1),N29*E29/Span_P+O29*F29/Span_S+P29*G29/Span_B,"")</f>
        <v/>
      </c>
      <c r="AA29" s="12" t="str">
        <f aca="false">IF(AND($J29=1,$M29=1),SUMPRODUCT(MAX($J$6:$J$1062*(N29*$K$6:$K$1062/Span_P+O29*$F$6:$F$1062/Span_S+P29*$G$6:$G$1062/Span_B)-(1-$J$6:$J$1062)*1000000000)),"")</f>
        <v/>
      </c>
      <c r="AB29" s="15" t="str">
        <f aca="false">IF(AND($J29=1,$M29=1),IF(AA29-Z29&lt;=0.000000001,1,0),"")</f>
        <v/>
      </c>
      <c r="AC29" s="13" t="str">
        <f aca="false">IF(AND($J29=1,$M29=0),IF(S29="",0,S29*INDEX(Grid!$B$6:$H$156,R29+1,Q29+1))+IF(V29="",0,V29*INDEX(Grid!$B$6:$H$156,U29+1,T29+1))+IF(Y29="",0,Y29*INDEX(Grid!$B$6:$H$156,X29+1,W29+1)),"")</f>
        <v/>
      </c>
      <c r="AD29" s="13" t="str">
        <f aca="false">IF(AND($J29=1,$M29=0),IF(S29="",0,S29*Val_pt*(Ceiling_e-E_zero)*(1-(1-Half_gap)^Q29))+IF(V29="",0,V29*Val_pt*(Ceiling_e-E_zero)*(1-(1-Half_gap)^T29))+IF(Y29="",0,Y29*Val_pt*(Ceiling_e-E_zero)*(1-(1-Half_gap)^W29)),"")</f>
        <v/>
      </c>
      <c r="AE29" s="13" t="str">
        <f aca="false">IF(AND($J29=1,$M29=0),IF(S29="",0,S29*R29)+IF(V29="",0,V29*U29)+IF(Y29="",0,Y29*X29),"")</f>
        <v/>
      </c>
      <c r="AF29" s="12" t="str">
        <f aca="false">IF(AND($J29=1,$M29=0),MIN((AC29-E29)/Span_P,(AD29-F29)/Span_S,(AE29-G29)/Span_B),"")</f>
        <v/>
      </c>
      <c r="AG29" s="15" t="str">
        <f aca="false">IF(AND($J29=1,$M29=0),IF(AF29&gt;0.0000001,1,0),"")</f>
        <v/>
      </c>
      <c r="AH29" s="15" t="str">
        <f aca="false">IF($J29=1,IF($M29=1,AB29,AG29),"")</f>
        <v/>
      </c>
      <c r="AI29" s="13" t="str">
        <f aca="false">IF($J29=1,(Ideal_P-E29)/Span_P,"")</f>
        <v/>
      </c>
      <c r="AJ29" s="13" t="str">
        <f aca="false">IF($J29=1,(Ideal_S-F29)/Span_S,"")</f>
        <v/>
      </c>
      <c r="AK29" s="13" t="str">
        <f aca="false">IF($J29=1,(Ideal_B-G29)/Span_B,"")</f>
        <v/>
      </c>
      <c r="AL29" s="12" t="str">
        <f aca="false">IF($J29=1,MAX(ChA_1*AI29,ChA_2*AJ29,ChA_3*AK29)+Rho*(ChA_1*AI29+ChA_2*AJ29+ChA_3*AK29),"")</f>
        <v/>
      </c>
      <c r="AM29" s="12" t="str">
        <f aca="false">IF($J29=1,MAX(ChB_1*AI29,ChB_2*AJ29,ChB_3*AK29)+Rho*(ChB_1*AI29+ChB_2*AJ29+ChB_3*AK29),"")</f>
        <v/>
      </c>
      <c r="AN29" s="12" t="str">
        <f aca="false">IF($J29=1,MAX(Cx_1*(Ref_P-E29)/Span_P,Cx_2*(Ref_S-F29)/Span_S,Cx_3*(Ref_B-G29)/Span_B),"")</f>
        <v/>
      </c>
    </row>
    <row r="30" customFormat="false" ht="15" hidden="false" customHeight="false" outlineLevel="0" collapsed="false">
      <c r="A30" s="2" t="n">
        <v>24</v>
      </c>
      <c r="B30" s="15" t="n">
        <f aca="false">INT(A30/151)</f>
        <v>0</v>
      </c>
      <c r="C30" s="15" t="n">
        <f aca="false">MOD(A30,151)</f>
        <v>24</v>
      </c>
      <c r="D30" s="15" t="n">
        <f aca="false">INDEX(Grid!$J$6:$P$156,C30+1,B30+1)</f>
        <v>1</v>
      </c>
      <c r="E30" s="16" t="n">
        <f aca="false">IF(D30=1,INDEX(Grid!$B$6:$H$156,C30+1,B30+1),"")</f>
        <v>114.545454545455</v>
      </c>
      <c r="F30" s="13" t="n">
        <f aca="false">Val_pt*(Ceiling_e-E_zero)*(1-(1-Half_gap)^B30)</f>
        <v>0</v>
      </c>
      <c r="G30" s="15" t="n">
        <f aca="false">C30</f>
        <v>24</v>
      </c>
      <c r="H30" s="15" t="n">
        <f aca="false">IF(D30=1,INDEX(Grid!$R$6:$X$156,C30+1,B30+1),"")</f>
        <v>0</v>
      </c>
      <c r="I30" s="2" t="str">
        <f aca="false">IF(D30=1,INDEX(Sch_label,H30+1),"")</f>
        <v>none</v>
      </c>
      <c r="J30" s="15" t="n">
        <f aca="false">IF(D30=1,INDEX(Grid!$Z$6:$AF$156,C30+1,B30+1),0)</f>
        <v>0</v>
      </c>
      <c r="K30" s="16" t="n">
        <f aca="false">IF(J30=1,E30,0)</f>
        <v>0</v>
      </c>
      <c r="L30" s="17" t="n">
        <f aca="false">IF(D30=1,E30+W_board*F30,"")</f>
        <v>114.545454545455</v>
      </c>
      <c r="Z30" s="12" t="str">
        <f aca="false">IF(AND($J30=1,$M30=1),N30*E30/Span_P+O30*F30/Span_S+P30*G30/Span_B,"")</f>
        <v/>
      </c>
      <c r="AA30" s="12" t="str">
        <f aca="false">IF(AND($J30=1,$M30=1),SUMPRODUCT(MAX($J$6:$J$1062*(N30*$K$6:$K$1062/Span_P+O30*$F$6:$F$1062/Span_S+P30*$G$6:$G$1062/Span_B)-(1-$J$6:$J$1062)*1000000000)),"")</f>
        <v/>
      </c>
      <c r="AB30" s="15" t="str">
        <f aca="false">IF(AND($J30=1,$M30=1),IF(AA30-Z30&lt;=0.000000001,1,0),"")</f>
        <v/>
      </c>
      <c r="AC30" s="13" t="str">
        <f aca="false">IF(AND($J30=1,$M30=0),IF(S30="",0,S30*INDEX(Grid!$B$6:$H$156,R30+1,Q30+1))+IF(V30="",0,V30*INDEX(Grid!$B$6:$H$156,U30+1,T30+1))+IF(Y30="",0,Y30*INDEX(Grid!$B$6:$H$156,X30+1,W30+1)),"")</f>
        <v/>
      </c>
      <c r="AD30" s="13" t="str">
        <f aca="false">IF(AND($J30=1,$M30=0),IF(S30="",0,S30*Val_pt*(Ceiling_e-E_zero)*(1-(1-Half_gap)^Q30))+IF(V30="",0,V30*Val_pt*(Ceiling_e-E_zero)*(1-(1-Half_gap)^T30))+IF(Y30="",0,Y30*Val_pt*(Ceiling_e-E_zero)*(1-(1-Half_gap)^W30)),"")</f>
        <v/>
      </c>
      <c r="AE30" s="13" t="str">
        <f aca="false">IF(AND($J30=1,$M30=0),IF(S30="",0,S30*R30)+IF(V30="",0,V30*U30)+IF(Y30="",0,Y30*X30),"")</f>
        <v/>
      </c>
      <c r="AF30" s="12" t="str">
        <f aca="false">IF(AND($J30=1,$M30=0),MIN((AC30-E30)/Span_P,(AD30-F30)/Span_S,(AE30-G30)/Span_B),"")</f>
        <v/>
      </c>
      <c r="AG30" s="15" t="str">
        <f aca="false">IF(AND($J30=1,$M30=0),IF(AF30&gt;0.0000001,1,0),"")</f>
        <v/>
      </c>
      <c r="AH30" s="15" t="str">
        <f aca="false">IF($J30=1,IF($M30=1,AB30,AG30),"")</f>
        <v/>
      </c>
      <c r="AI30" s="13" t="str">
        <f aca="false">IF($J30=1,(Ideal_P-E30)/Span_P,"")</f>
        <v/>
      </c>
      <c r="AJ30" s="13" t="str">
        <f aca="false">IF($J30=1,(Ideal_S-F30)/Span_S,"")</f>
        <v/>
      </c>
      <c r="AK30" s="13" t="str">
        <f aca="false">IF($J30=1,(Ideal_B-G30)/Span_B,"")</f>
        <v/>
      </c>
      <c r="AL30" s="12" t="str">
        <f aca="false">IF($J30=1,MAX(ChA_1*AI30,ChA_2*AJ30,ChA_3*AK30)+Rho*(ChA_1*AI30+ChA_2*AJ30+ChA_3*AK30),"")</f>
        <v/>
      </c>
      <c r="AM30" s="12" t="str">
        <f aca="false">IF($J30=1,MAX(ChB_1*AI30,ChB_2*AJ30,ChB_3*AK30)+Rho*(ChB_1*AI30+ChB_2*AJ30+ChB_3*AK30),"")</f>
        <v/>
      </c>
      <c r="AN30" s="12" t="str">
        <f aca="false">IF($J30=1,MAX(Cx_1*(Ref_P-E30)/Span_P,Cx_2*(Ref_S-F30)/Span_S,Cx_3*(Ref_B-G30)/Span_B),"")</f>
        <v/>
      </c>
    </row>
    <row r="31" customFormat="false" ht="15" hidden="false" customHeight="false" outlineLevel="0" collapsed="false">
      <c r="A31" s="2" t="n">
        <v>25</v>
      </c>
      <c r="B31" s="15" t="n">
        <f aca="false">INT(A31/151)</f>
        <v>0</v>
      </c>
      <c r="C31" s="15" t="n">
        <f aca="false">MOD(A31,151)</f>
        <v>25</v>
      </c>
      <c r="D31" s="15" t="n">
        <f aca="false">INDEX(Grid!$J$6:$P$156,C31+1,B31+1)</f>
        <v>1</v>
      </c>
      <c r="E31" s="16" t="n">
        <f aca="false">IF(D31=1,INDEX(Grid!$B$6:$H$156,C31+1,B31+1),"")</f>
        <v>113.636363636364</v>
      </c>
      <c r="F31" s="13" t="n">
        <f aca="false">Val_pt*(Ceiling_e-E_zero)*(1-(1-Half_gap)^B31)</f>
        <v>0</v>
      </c>
      <c r="G31" s="15" t="n">
        <f aca="false">C31</f>
        <v>25</v>
      </c>
      <c r="H31" s="15" t="n">
        <f aca="false">IF(D31=1,INDEX(Grid!$R$6:$X$156,C31+1,B31+1),"")</f>
        <v>0</v>
      </c>
      <c r="I31" s="2" t="str">
        <f aca="false">IF(D31=1,INDEX(Sch_label,H31+1),"")</f>
        <v>none</v>
      </c>
      <c r="J31" s="15" t="n">
        <f aca="false">IF(D31=1,INDEX(Grid!$Z$6:$AF$156,C31+1,B31+1),0)</f>
        <v>0</v>
      </c>
      <c r="K31" s="16" t="n">
        <f aca="false">IF(J31=1,E31,0)</f>
        <v>0</v>
      </c>
      <c r="L31" s="17" t="n">
        <f aca="false">IF(D31=1,E31+W_board*F31,"")</f>
        <v>113.636363636364</v>
      </c>
      <c r="Z31" s="12" t="str">
        <f aca="false">IF(AND($J31=1,$M31=1),N31*E31/Span_P+O31*F31/Span_S+P31*G31/Span_B,"")</f>
        <v/>
      </c>
      <c r="AA31" s="12" t="str">
        <f aca="false">IF(AND($J31=1,$M31=1),SUMPRODUCT(MAX($J$6:$J$1062*(N31*$K$6:$K$1062/Span_P+O31*$F$6:$F$1062/Span_S+P31*$G$6:$G$1062/Span_B)-(1-$J$6:$J$1062)*1000000000)),"")</f>
        <v/>
      </c>
      <c r="AB31" s="15" t="str">
        <f aca="false">IF(AND($J31=1,$M31=1),IF(AA31-Z31&lt;=0.000000001,1,0),"")</f>
        <v/>
      </c>
      <c r="AC31" s="13" t="str">
        <f aca="false">IF(AND($J31=1,$M31=0),IF(S31="",0,S31*INDEX(Grid!$B$6:$H$156,R31+1,Q31+1))+IF(V31="",0,V31*INDEX(Grid!$B$6:$H$156,U31+1,T31+1))+IF(Y31="",0,Y31*INDEX(Grid!$B$6:$H$156,X31+1,W31+1)),"")</f>
        <v/>
      </c>
      <c r="AD31" s="13" t="str">
        <f aca="false">IF(AND($J31=1,$M31=0),IF(S31="",0,S31*Val_pt*(Ceiling_e-E_zero)*(1-(1-Half_gap)^Q31))+IF(V31="",0,V31*Val_pt*(Ceiling_e-E_zero)*(1-(1-Half_gap)^T31))+IF(Y31="",0,Y31*Val_pt*(Ceiling_e-E_zero)*(1-(1-Half_gap)^W31)),"")</f>
        <v/>
      </c>
      <c r="AE31" s="13" t="str">
        <f aca="false">IF(AND($J31=1,$M31=0),IF(S31="",0,S31*R31)+IF(V31="",0,V31*U31)+IF(Y31="",0,Y31*X31),"")</f>
        <v/>
      </c>
      <c r="AF31" s="12" t="str">
        <f aca="false">IF(AND($J31=1,$M31=0),MIN((AC31-E31)/Span_P,(AD31-F31)/Span_S,(AE31-G31)/Span_B),"")</f>
        <v/>
      </c>
      <c r="AG31" s="15" t="str">
        <f aca="false">IF(AND($J31=1,$M31=0),IF(AF31&gt;0.0000001,1,0),"")</f>
        <v/>
      </c>
      <c r="AH31" s="15" t="str">
        <f aca="false">IF($J31=1,IF($M31=1,AB31,AG31),"")</f>
        <v/>
      </c>
      <c r="AI31" s="13" t="str">
        <f aca="false">IF($J31=1,(Ideal_P-E31)/Span_P,"")</f>
        <v/>
      </c>
      <c r="AJ31" s="13" t="str">
        <f aca="false">IF($J31=1,(Ideal_S-F31)/Span_S,"")</f>
        <v/>
      </c>
      <c r="AK31" s="13" t="str">
        <f aca="false">IF($J31=1,(Ideal_B-G31)/Span_B,"")</f>
        <v/>
      </c>
      <c r="AL31" s="12" t="str">
        <f aca="false">IF($J31=1,MAX(ChA_1*AI31,ChA_2*AJ31,ChA_3*AK31)+Rho*(ChA_1*AI31+ChA_2*AJ31+ChA_3*AK31),"")</f>
        <v/>
      </c>
      <c r="AM31" s="12" t="str">
        <f aca="false">IF($J31=1,MAX(ChB_1*AI31,ChB_2*AJ31,ChB_3*AK31)+Rho*(ChB_1*AI31+ChB_2*AJ31+ChB_3*AK31),"")</f>
        <v/>
      </c>
      <c r="AN31" s="12" t="str">
        <f aca="false">IF($J31=1,MAX(Cx_1*(Ref_P-E31)/Span_P,Cx_2*(Ref_S-F31)/Span_S,Cx_3*(Ref_B-G31)/Span_B),"")</f>
        <v/>
      </c>
    </row>
    <row r="32" customFormat="false" ht="15" hidden="false" customHeight="false" outlineLevel="0" collapsed="false">
      <c r="A32" s="2" t="n">
        <v>26</v>
      </c>
      <c r="B32" s="15" t="n">
        <f aca="false">INT(A32/151)</f>
        <v>0</v>
      </c>
      <c r="C32" s="15" t="n">
        <f aca="false">MOD(A32,151)</f>
        <v>26</v>
      </c>
      <c r="D32" s="15" t="n">
        <f aca="false">INDEX(Grid!$J$6:$P$156,C32+1,B32+1)</f>
        <v>1</v>
      </c>
      <c r="E32" s="16" t="n">
        <f aca="false">IF(D32=1,INDEX(Grid!$B$6:$H$156,C32+1,B32+1),"")</f>
        <v>112.727272727273</v>
      </c>
      <c r="F32" s="13" t="n">
        <f aca="false">Val_pt*(Ceiling_e-E_zero)*(1-(1-Half_gap)^B32)</f>
        <v>0</v>
      </c>
      <c r="G32" s="15" t="n">
        <f aca="false">C32</f>
        <v>26</v>
      </c>
      <c r="H32" s="15" t="n">
        <f aca="false">IF(D32=1,INDEX(Grid!$R$6:$X$156,C32+1,B32+1),"")</f>
        <v>0</v>
      </c>
      <c r="I32" s="2" t="str">
        <f aca="false">IF(D32=1,INDEX(Sch_label,H32+1),"")</f>
        <v>none</v>
      </c>
      <c r="J32" s="15" t="n">
        <f aca="false">IF(D32=1,INDEX(Grid!$Z$6:$AF$156,C32+1,B32+1),0)</f>
        <v>0</v>
      </c>
      <c r="K32" s="16" t="n">
        <f aca="false">IF(J32=1,E32,0)</f>
        <v>0</v>
      </c>
      <c r="L32" s="17" t="n">
        <f aca="false">IF(D32=1,E32+W_board*F32,"")</f>
        <v>112.727272727273</v>
      </c>
      <c r="Z32" s="12" t="str">
        <f aca="false">IF(AND($J32=1,$M32=1),N32*E32/Span_P+O32*F32/Span_S+P32*G32/Span_B,"")</f>
        <v/>
      </c>
      <c r="AA32" s="12" t="str">
        <f aca="false">IF(AND($J32=1,$M32=1),SUMPRODUCT(MAX($J$6:$J$1062*(N32*$K$6:$K$1062/Span_P+O32*$F$6:$F$1062/Span_S+P32*$G$6:$G$1062/Span_B)-(1-$J$6:$J$1062)*1000000000)),"")</f>
        <v/>
      </c>
      <c r="AB32" s="15" t="str">
        <f aca="false">IF(AND($J32=1,$M32=1),IF(AA32-Z32&lt;=0.000000001,1,0),"")</f>
        <v/>
      </c>
      <c r="AC32" s="13" t="str">
        <f aca="false">IF(AND($J32=1,$M32=0),IF(S32="",0,S32*INDEX(Grid!$B$6:$H$156,R32+1,Q32+1))+IF(V32="",0,V32*INDEX(Grid!$B$6:$H$156,U32+1,T32+1))+IF(Y32="",0,Y32*INDEX(Grid!$B$6:$H$156,X32+1,W32+1)),"")</f>
        <v/>
      </c>
      <c r="AD32" s="13" t="str">
        <f aca="false">IF(AND($J32=1,$M32=0),IF(S32="",0,S32*Val_pt*(Ceiling_e-E_zero)*(1-(1-Half_gap)^Q32))+IF(V32="",0,V32*Val_pt*(Ceiling_e-E_zero)*(1-(1-Half_gap)^T32))+IF(Y32="",0,Y32*Val_pt*(Ceiling_e-E_zero)*(1-(1-Half_gap)^W32)),"")</f>
        <v/>
      </c>
      <c r="AE32" s="13" t="str">
        <f aca="false">IF(AND($J32=1,$M32=0),IF(S32="",0,S32*R32)+IF(V32="",0,V32*U32)+IF(Y32="",0,Y32*X32),"")</f>
        <v/>
      </c>
      <c r="AF32" s="12" t="str">
        <f aca="false">IF(AND($J32=1,$M32=0),MIN((AC32-E32)/Span_P,(AD32-F32)/Span_S,(AE32-G32)/Span_B),"")</f>
        <v/>
      </c>
      <c r="AG32" s="15" t="str">
        <f aca="false">IF(AND($J32=1,$M32=0),IF(AF32&gt;0.0000001,1,0),"")</f>
        <v/>
      </c>
      <c r="AH32" s="15" t="str">
        <f aca="false">IF($J32=1,IF($M32=1,AB32,AG32),"")</f>
        <v/>
      </c>
      <c r="AI32" s="13" t="str">
        <f aca="false">IF($J32=1,(Ideal_P-E32)/Span_P,"")</f>
        <v/>
      </c>
      <c r="AJ32" s="13" t="str">
        <f aca="false">IF($J32=1,(Ideal_S-F32)/Span_S,"")</f>
        <v/>
      </c>
      <c r="AK32" s="13" t="str">
        <f aca="false">IF($J32=1,(Ideal_B-G32)/Span_B,"")</f>
        <v/>
      </c>
      <c r="AL32" s="12" t="str">
        <f aca="false">IF($J32=1,MAX(ChA_1*AI32,ChA_2*AJ32,ChA_3*AK32)+Rho*(ChA_1*AI32+ChA_2*AJ32+ChA_3*AK32),"")</f>
        <v/>
      </c>
      <c r="AM32" s="12" t="str">
        <f aca="false">IF($J32=1,MAX(ChB_1*AI32,ChB_2*AJ32,ChB_3*AK32)+Rho*(ChB_1*AI32+ChB_2*AJ32+ChB_3*AK32),"")</f>
        <v/>
      </c>
      <c r="AN32" s="12" t="str">
        <f aca="false">IF($J32=1,MAX(Cx_1*(Ref_P-E32)/Span_P,Cx_2*(Ref_S-F32)/Span_S,Cx_3*(Ref_B-G32)/Span_B),"")</f>
        <v/>
      </c>
    </row>
    <row r="33" customFormat="false" ht="15" hidden="false" customHeight="false" outlineLevel="0" collapsed="false">
      <c r="A33" s="2" t="n">
        <v>27</v>
      </c>
      <c r="B33" s="15" t="n">
        <f aca="false">INT(A33/151)</f>
        <v>0</v>
      </c>
      <c r="C33" s="15" t="n">
        <f aca="false">MOD(A33,151)</f>
        <v>27</v>
      </c>
      <c r="D33" s="15" t="n">
        <f aca="false">INDEX(Grid!$J$6:$P$156,C33+1,B33+1)</f>
        <v>1</v>
      </c>
      <c r="E33" s="16" t="n">
        <f aca="false">IF(D33=1,INDEX(Grid!$B$6:$H$156,C33+1,B33+1),"")</f>
        <v>111.818181818182</v>
      </c>
      <c r="F33" s="13" t="n">
        <f aca="false">Val_pt*(Ceiling_e-E_zero)*(1-(1-Half_gap)^B33)</f>
        <v>0</v>
      </c>
      <c r="G33" s="15" t="n">
        <f aca="false">C33</f>
        <v>27</v>
      </c>
      <c r="H33" s="15" t="n">
        <f aca="false">IF(D33=1,INDEX(Grid!$R$6:$X$156,C33+1,B33+1),"")</f>
        <v>0</v>
      </c>
      <c r="I33" s="2" t="str">
        <f aca="false">IF(D33=1,INDEX(Sch_label,H33+1),"")</f>
        <v>none</v>
      </c>
      <c r="J33" s="15" t="n">
        <f aca="false">IF(D33=1,INDEX(Grid!$Z$6:$AF$156,C33+1,B33+1),0)</f>
        <v>0</v>
      </c>
      <c r="K33" s="16" t="n">
        <f aca="false">IF(J33=1,E33,0)</f>
        <v>0</v>
      </c>
      <c r="L33" s="17" t="n">
        <f aca="false">IF(D33=1,E33+W_board*F33,"")</f>
        <v>111.818181818182</v>
      </c>
      <c r="Z33" s="12" t="str">
        <f aca="false">IF(AND($J33=1,$M33=1),N33*E33/Span_P+O33*F33/Span_S+P33*G33/Span_B,"")</f>
        <v/>
      </c>
      <c r="AA33" s="12" t="str">
        <f aca="false">IF(AND($J33=1,$M33=1),SUMPRODUCT(MAX($J$6:$J$1062*(N33*$K$6:$K$1062/Span_P+O33*$F$6:$F$1062/Span_S+P33*$G$6:$G$1062/Span_B)-(1-$J$6:$J$1062)*1000000000)),"")</f>
        <v/>
      </c>
      <c r="AB33" s="15" t="str">
        <f aca="false">IF(AND($J33=1,$M33=1),IF(AA33-Z33&lt;=0.000000001,1,0),"")</f>
        <v/>
      </c>
      <c r="AC33" s="13" t="str">
        <f aca="false">IF(AND($J33=1,$M33=0),IF(S33="",0,S33*INDEX(Grid!$B$6:$H$156,R33+1,Q33+1))+IF(V33="",0,V33*INDEX(Grid!$B$6:$H$156,U33+1,T33+1))+IF(Y33="",0,Y33*INDEX(Grid!$B$6:$H$156,X33+1,W33+1)),"")</f>
        <v/>
      </c>
      <c r="AD33" s="13" t="str">
        <f aca="false">IF(AND($J33=1,$M33=0),IF(S33="",0,S33*Val_pt*(Ceiling_e-E_zero)*(1-(1-Half_gap)^Q33))+IF(V33="",0,V33*Val_pt*(Ceiling_e-E_zero)*(1-(1-Half_gap)^T33))+IF(Y33="",0,Y33*Val_pt*(Ceiling_e-E_zero)*(1-(1-Half_gap)^W33)),"")</f>
        <v/>
      </c>
      <c r="AE33" s="13" t="str">
        <f aca="false">IF(AND($J33=1,$M33=0),IF(S33="",0,S33*R33)+IF(V33="",0,V33*U33)+IF(Y33="",0,Y33*X33),"")</f>
        <v/>
      </c>
      <c r="AF33" s="12" t="str">
        <f aca="false">IF(AND($J33=1,$M33=0),MIN((AC33-E33)/Span_P,(AD33-F33)/Span_S,(AE33-G33)/Span_B),"")</f>
        <v/>
      </c>
      <c r="AG33" s="15" t="str">
        <f aca="false">IF(AND($J33=1,$M33=0),IF(AF33&gt;0.0000001,1,0),"")</f>
        <v/>
      </c>
      <c r="AH33" s="15" t="str">
        <f aca="false">IF($J33=1,IF($M33=1,AB33,AG33),"")</f>
        <v/>
      </c>
      <c r="AI33" s="13" t="str">
        <f aca="false">IF($J33=1,(Ideal_P-E33)/Span_P,"")</f>
        <v/>
      </c>
      <c r="AJ33" s="13" t="str">
        <f aca="false">IF($J33=1,(Ideal_S-F33)/Span_S,"")</f>
        <v/>
      </c>
      <c r="AK33" s="13" t="str">
        <f aca="false">IF($J33=1,(Ideal_B-G33)/Span_B,"")</f>
        <v/>
      </c>
      <c r="AL33" s="12" t="str">
        <f aca="false">IF($J33=1,MAX(ChA_1*AI33,ChA_2*AJ33,ChA_3*AK33)+Rho*(ChA_1*AI33+ChA_2*AJ33+ChA_3*AK33),"")</f>
        <v/>
      </c>
      <c r="AM33" s="12" t="str">
        <f aca="false">IF($J33=1,MAX(ChB_1*AI33,ChB_2*AJ33,ChB_3*AK33)+Rho*(ChB_1*AI33+ChB_2*AJ33+ChB_3*AK33),"")</f>
        <v/>
      </c>
      <c r="AN33" s="12" t="str">
        <f aca="false">IF($J33=1,MAX(Cx_1*(Ref_P-E33)/Span_P,Cx_2*(Ref_S-F33)/Span_S,Cx_3*(Ref_B-G33)/Span_B),"")</f>
        <v/>
      </c>
    </row>
    <row r="34" customFormat="false" ht="15" hidden="false" customHeight="false" outlineLevel="0" collapsed="false">
      <c r="A34" s="2" t="n">
        <v>28</v>
      </c>
      <c r="B34" s="15" t="n">
        <f aca="false">INT(A34/151)</f>
        <v>0</v>
      </c>
      <c r="C34" s="15" t="n">
        <f aca="false">MOD(A34,151)</f>
        <v>28</v>
      </c>
      <c r="D34" s="15" t="n">
        <f aca="false">INDEX(Grid!$J$6:$P$156,C34+1,B34+1)</f>
        <v>1</v>
      </c>
      <c r="E34" s="16" t="n">
        <f aca="false">IF(D34=1,INDEX(Grid!$B$6:$H$156,C34+1,B34+1),"")</f>
        <v>110.909090909091</v>
      </c>
      <c r="F34" s="13" t="n">
        <f aca="false">Val_pt*(Ceiling_e-E_zero)*(1-(1-Half_gap)^B34)</f>
        <v>0</v>
      </c>
      <c r="G34" s="15" t="n">
        <f aca="false">C34</f>
        <v>28</v>
      </c>
      <c r="H34" s="15" t="n">
        <f aca="false">IF(D34=1,INDEX(Grid!$R$6:$X$156,C34+1,B34+1),"")</f>
        <v>0</v>
      </c>
      <c r="I34" s="2" t="str">
        <f aca="false">IF(D34=1,INDEX(Sch_label,H34+1),"")</f>
        <v>none</v>
      </c>
      <c r="J34" s="15" t="n">
        <f aca="false">IF(D34=1,INDEX(Grid!$Z$6:$AF$156,C34+1,B34+1),0)</f>
        <v>0</v>
      </c>
      <c r="K34" s="16" t="n">
        <f aca="false">IF(J34=1,E34,0)</f>
        <v>0</v>
      </c>
      <c r="L34" s="17" t="n">
        <f aca="false">IF(D34=1,E34+W_board*F34,"")</f>
        <v>110.909090909091</v>
      </c>
      <c r="Z34" s="12" t="str">
        <f aca="false">IF(AND($J34=1,$M34=1),N34*E34/Span_P+O34*F34/Span_S+P34*G34/Span_B,"")</f>
        <v/>
      </c>
      <c r="AA34" s="12" t="str">
        <f aca="false">IF(AND($J34=1,$M34=1),SUMPRODUCT(MAX($J$6:$J$1062*(N34*$K$6:$K$1062/Span_P+O34*$F$6:$F$1062/Span_S+P34*$G$6:$G$1062/Span_B)-(1-$J$6:$J$1062)*1000000000)),"")</f>
        <v/>
      </c>
      <c r="AB34" s="15" t="str">
        <f aca="false">IF(AND($J34=1,$M34=1),IF(AA34-Z34&lt;=0.000000001,1,0),"")</f>
        <v/>
      </c>
      <c r="AC34" s="13" t="str">
        <f aca="false">IF(AND($J34=1,$M34=0),IF(S34="",0,S34*INDEX(Grid!$B$6:$H$156,R34+1,Q34+1))+IF(V34="",0,V34*INDEX(Grid!$B$6:$H$156,U34+1,T34+1))+IF(Y34="",0,Y34*INDEX(Grid!$B$6:$H$156,X34+1,W34+1)),"")</f>
        <v/>
      </c>
      <c r="AD34" s="13" t="str">
        <f aca="false">IF(AND($J34=1,$M34=0),IF(S34="",0,S34*Val_pt*(Ceiling_e-E_zero)*(1-(1-Half_gap)^Q34))+IF(V34="",0,V34*Val_pt*(Ceiling_e-E_zero)*(1-(1-Half_gap)^T34))+IF(Y34="",0,Y34*Val_pt*(Ceiling_e-E_zero)*(1-(1-Half_gap)^W34)),"")</f>
        <v/>
      </c>
      <c r="AE34" s="13" t="str">
        <f aca="false">IF(AND($J34=1,$M34=0),IF(S34="",0,S34*R34)+IF(V34="",0,V34*U34)+IF(Y34="",0,Y34*X34),"")</f>
        <v/>
      </c>
      <c r="AF34" s="12" t="str">
        <f aca="false">IF(AND($J34=1,$M34=0),MIN((AC34-E34)/Span_P,(AD34-F34)/Span_S,(AE34-G34)/Span_B),"")</f>
        <v/>
      </c>
      <c r="AG34" s="15" t="str">
        <f aca="false">IF(AND($J34=1,$M34=0),IF(AF34&gt;0.0000001,1,0),"")</f>
        <v/>
      </c>
      <c r="AH34" s="15" t="str">
        <f aca="false">IF($J34=1,IF($M34=1,AB34,AG34),"")</f>
        <v/>
      </c>
      <c r="AI34" s="13" t="str">
        <f aca="false">IF($J34=1,(Ideal_P-E34)/Span_P,"")</f>
        <v/>
      </c>
      <c r="AJ34" s="13" t="str">
        <f aca="false">IF($J34=1,(Ideal_S-F34)/Span_S,"")</f>
        <v/>
      </c>
      <c r="AK34" s="13" t="str">
        <f aca="false">IF($J34=1,(Ideal_B-G34)/Span_B,"")</f>
        <v/>
      </c>
      <c r="AL34" s="12" t="str">
        <f aca="false">IF($J34=1,MAX(ChA_1*AI34,ChA_2*AJ34,ChA_3*AK34)+Rho*(ChA_1*AI34+ChA_2*AJ34+ChA_3*AK34),"")</f>
        <v/>
      </c>
      <c r="AM34" s="12" t="str">
        <f aca="false">IF($J34=1,MAX(ChB_1*AI34,ChB_2*AJ34,ChB_3*AK34)+Rho*(ChB_1*AI34+ChB_2*AJ34+ChB_3*AK34),"")</f>
        <v/>
      </c>
      <c r="AN34" s="12" t="str">
        <f aca="false">IF($J34=1,MAX(Cx_1*(Ref_P-E34)/Span_P,Cx_2*(Ref_S-F34)/Span_S,Cx_3*(Ref_B-G34)/Span_B),"")</f>
        <v/>
      </c>
    </row>
    <row r="35" customFormat="false" ht="15" hidden="false" customHeight="false" outlineLevel="0" collapsed="false">
      <c r="A35" s="2" t="n">
        <v>29</v>
      </c>
      <c r="B35" s="15" t="n">
        <f aca="false">INT(A35/151)</f>
        <v>0</v>
      </c>
      <c r="C35" s="15" t="n">
        <f aca="false">MOD(A35,151)</f>
        <v>29</v>
      </c>
      <c r="D35" s="15" t="n">
        <f aca="false">INDEX(Grid!$J$6:$P$156,C35+1,B35+1)</f>
        <v>1</v>
      </c>
      <c r="E35" s="16" t="n">
        <f aca="false">IF(D35=1,INDEX(Grid!$B$6:$H$156,C35+1,B35+1),"")</f>
        <v>110</v>
      </c>
      <c r="F35" s="13" t="n">
        <f aca="false">Val_pt*(Ceiling_e-E_zero)*(1-(1-Half_gap)^B35)</f>
        <v>0</v>
      </c>
      <c r="G35" s="15" t="n">
        <f aca="false">C35</f>
        <v>29</v>
      </c>
      <c r="H35" s="15" t="n">
        <f aca="false">IF(D35=1,INDEX(Grid!$R$6:$X$156,C35+1,B35+1),"")</f>
        <v>0</v>
      </c>
      <c r="I35" s="2" t="str">
        <f aca="false">IF(D35=1,INDEX(Sch_label,H35+1),"")</f>
        <v>none</v>
      </c>
      <c r="J35" s="15" t="n">
        <f aca="false">IF(D35=1,INDEX(Grid!$Z$6:$AF$156,C35+1,B35+1),0)</f>
        <v>0</v>
      </c>
      <c r="K35" s="16" t="n">
        <f aca="false">IF(J35=1,E35,0)</f>
        <v>0</v>
      </c>
      <c r="L35" s="17" t="n">
        <f aca="false">IF(D35=1,E35+W_board*F35,"")</f>
        <v>110</v>
      </c>
      <c r="Z35" s="12" t="str">
        <f aca="false">IF(AND($J35=1,$M35=1),N35*E35/Span_P+O35*F35/Span_S+P35*G35/Span_B,"")</f>
        <v/>
      </c>
      <c r="AA35" s="12" t="str">
        <f aca="false">IF(AND($J35=1,$M35=1),SUMPRODUCT(MAX($J$6:$J$1062*(N35*$K$6:$K$1062/Span_P+O35*$F$6:$F$1062/Span_S+P35*$G$6:$G$1062/Span_B)-(1-$J$6:$J$1062)*1000000000)),"")</f>
        <v/>
      </c>
      <c r="AB35" s="15" t="str">
        <f aca="false">IF(AND($J35=1,$M35=1),IF(AA35-Z35&lt;=0.000000001,1,0),"")</f>
        <v/>
      </c>
      <c r="AC35" s="13" t="str">
        <f aca="false">IF(AND($J35=1,$M35=0),IF(S35="",0,S35*INDEX(Grid!$B$6:$H$156,R35+1,Q35+1))+IF(V35="",0,V35*INDEX(Grid!$B$6:$H$156,U35+1,T35+1))+IF(Y35="",0,Y35*INDEX(Grid!$B$6:$H$156,X35+1,W35+1)),"")</f>
        <v/>
      </c>
      <c r="AD35" s="13" t="str">
        <f aca="false">IF(AND($J35=1,$M35=0),IF(S35="",0,S35*Val_pt*(Ceiling_e-E_zero)*(1-(1-Half_gap)^Q35))+IF(V35="",0,V35*Val_pt*(Ceiling_e-E_zero)*(1-(1-Half_gap)^T35))+IF(Y35="",0,Y35*Val_pt*(Ceiling_e-E_zero)*(1-(1-Half_gap)^W35)),"")</f>
        <v/>
      </c>
      <c r="AE35" s="13" t="str">
        <f aca="false">IF(AND($J35=1,$M35=0),IF(S35="",0,S35*R35)+IF(V35="",0,V35*U35)+IF(Y35="",0,Y35*X35),"")</f>
        <v/>
      </c>
      <c r="AF35" s="12" t="str">
        <f aca="false">IF(AND($J35=1,$M35=0),MIN((AC35-E35)/Span_P,(AD35-F35)/Span_S,(AE35-G35)/Span_B),"")</f>
        <v/>
      </c>
      <c r="AG35" s="15" t="str">
        <f aca="false">IF(AND($J35=1,$M35=0),IF(AF35&gt;0.0000001,1,0),"")</f>
        <v/>
      </c>
      <c r="AH35" s="15" t="str">
        <f aca="false">IF($J35=1,IF($M35=1,AB35,AG35),"")</f>
        <v/>
      </c>
      <c r="AI35" s="13" t="str">
        <f aca="false">IF($J35=1,(Ideal_P-E35)/Span_P,"")</f>
        <v/>
      </c>
      <c r="AJ35" s="13" t="str">
        <f aca="false">IF($J35=1,(Ideal_S-F35)/Span_S,"")</f>
        <v/>
      </c>
      <c r="AK35" s="13" t="str">
        <f aca="false">IF($J35=1,(Ideal_B-G35)/Span_B,"")</f>
        <v/>
      </c>
      <c r="AL35" s="12" t="str">
        <f aca="false">IF($J35=1,MAX(ChA_1*AI35,ChA_2*AJ35,ChA_3*AK35)+Rho*(ChA_1*AI35+ChA_2*AJ35+ChA_3*AK35),"")</f>
        <v/>
      </c>
      <c r="AM35" s="12" t="str">
        <f aca="false">IF($J35=1,MAX(ChB_1*AI35,ChB_2*AJ35,ChB_3*AK35)+Rho*(ChB_1*AI35+ChB_2*AJ35+ChB_3*AK35),"")</f>
        <v/>
      </c>
      <c r="AN35" s="12" t="str">
        <f aca="false">IF($J35=1,MAX(Cx_1*(Ref_P-E35)/Span_P,Cx_2*(Ref_S-F35)/Span_S,Cx_3*(Ref_B-G35)/Span_B),"")</f>
        <v/>
      </c>
    </row>
    <row r="36" customFormat="false" ht="15" hidden="false" customHeight="false" outlineLevel="0" collapsed="false">
      <c r="A36" s="2" t="n">
        <v>30</v>
      </c>
      <c r="B36" s="15" t="n">
        <f aca="false">INT(A36/151)</f>
        <v>0</v>
      </c>
      <c r="C36" s="15" t="n">
        <f aca="false">MOD(A36,151)</f>
        <v>30</v>
      </c>
      <c r="D36" s="15" t="n">
        <f aca="false">INDEX(Grid!$J$6:$P$156,C36+1,B36+1)</f>
        <v>1</v>
      </c>
      <c r="E36" s="16" t="n">
        <f aca="false">IF(D36=1,INDEX(Grid!$B$6:$H$156,C36+1,B36+1),"")</f>
        <v>109.090909090909</v>
      </c>
      <c r="F36" s="13" t="n">
        <f aca="false">Val_pt*(Ceiling_e-E_zero)*(1-(1-Half_gap)^B36)</f>
        <v>0</v>
      </c>
      <c r="G36" s="15" t="n">
        <f aca="false">C36</f>
        <v>30</v>
      </c>
      <c r="H36" s="15" t="n">
        <f aca="false">IF(D36=1,INDEX(Grid!$R$6:$X$156,C36+1,B36+1),"")</f>
        <v>0</v>
      </c>
      <c r="I36" s="2" t="str">
        <f aca="false">IF(D36=1,INDEX(Sch_label,H36+1),"")</f>
        <v>none</v>
      </c>
      <c r="J36" s="15" t="n">
        <f aca="false">IF(D36=1,INDEX(Grid!$Z$6:$AF$156,C36+1,B36+1),0)</f>
        <v>0</v>
      </c>
      <c r="K36" s="16" t="n">
        <f aca="false">IF(J36=1,E36,0)</f>
        <v>0</v>
      </c>
      <c r="L36" s="17" t="n">
        <f aca="false">IF(D36=1,E36+W_board*F36,"")</f>
        <v>109.090909090909</v>
      </c>
      <c r="Z36" s="12" t="str">
        <f aca="false">IF(AND($J36=1,$M36=1),N36*E36/Span_P+O36*F36/Span_S+P36*G36/Span_B,"")</f>
        <v/>
      </c>
      <c r="AA36" s="12" t="str">
        <f aca="false">IF(AND($J36=1,$M36=1),SUMPRODUCT(MAX($J$6:$J$1062*(N36*$K$6:$K$1062/Span_P+O36*$F$6:$F$1062/Span_S+P36*$G$6:$G$1062/Span_B)-(1-$J$6:$J$1062)*1000000000)),"")</f>
        <v/>
      </c>
      <c r="AB36" s="15" t="str">
        <f aca="false">IF(AND($J36=1,$M36=1),IF(AA36-Z36&lt;=0.000000001,1,0),"")</f>
        <v/>
      </c>
      <c r="AC36" s="13" t="str">
        <f aca="false">IF(AND($J36=1,$M36=0),IF(S36="",0,S36*INDEX(Grid!$B$6:$H$156,R36+1,Q36+1))+IF(V36="",0,V36*INDEX(Grid!$B$6:$H$156,U36+1,T36+1))+IF(Y36="",0,Y36*INDEX(Grid!$B$6:$H$156,X36+1,W36+1)),"")</f>
        <v/>
      </c>
      <c r="AD36" s="13" t="str">
        <f aca="false">IF(AND($J36=1,$M36=0),IF(S36="",0,S36*Val_pt*(Ceiling_e-E_zero)*(1-(1-Half_gap)^Q36))+IF(V36="",0,V36*Val_pt*(Ceiling_e-E_zero)*(1-(1-Half_gap)^T36))+IF(Y36="",0,Y36*Val_pt*(Ceiling_e-E_zero)*(1-(1-Half_gap)^W36)),"")</f>
        <v/>
      </c>
      <c r="AE36" s="13" t="str">
        <f aca="false">IF(AND($J36=1,$M36=0),IF(S36="",0,S36*R36)+IF(V36="",0,V36*U36)+IF(Y36="",0,Y36*X36),"")</f>
        <v/>
      </c>
      <c r="AF36" s="12" t="str">
        <f aca="false">IF(AND($J36=1,$M36=0),MIN((AC36-E36)/Span_P,(AD36-F36)/Span_S,(AE36-G36)/Span_B),"")</f>
        <v/>
      </c>
      <c r="AG36" s="15" t="str">
        <f aca="false">IF(AND($J36=1,$M36=0),IF(AF36&gt;0.0000001,1,0),"")</f>
        <v/>
      </c>
      <c r="AH36" s="15" t="str">
        <f aca="false">IF($J36=1,IF($M36=1,AB36,AG36),"")</f>
        <v/>
      </c>
      <c r="AI36" s="13" t="str">
        <f aca="false">IF($J36=1,(Ideal_P-E36)/Span_P,"")</f>
        <v/>
      </c>
      <c r="AJ36" s="13" t="str">
        <f aca="false">IF($J36=1,(Ideal_S-F36)/Span_S,"")</f>
        <v/>
      </c>
      <c r="AK36" s="13" t="str">
        <f aca="false">IF($J36=1,(Ideal_B-G36)/Span_B,"")</f>
        <v/>
      </c>
      <c r="AL36" s="12" t="str">
        <f aca="false">IF($J36=1,MAX(ChA_1*AI36,ChA_2*AJ36,ChA_3*AK36)+Rho*(ChA_1*AI36+ChA_2*AJ36+ChA_3*AK36),"")</f>
        <v/>
      </c>
      <c r="AM36" s="12" t="str">
        <f aca="false">IF($J36=1,MAX(ChB_1*AI36,ChB_2*AJ36,ChB_3*AK36)+Rho*(ChB_1*AI36+ChB_2*AJ36+ChB_3*AK36),"")</f>
        <v/>
      </c>
      <c r="AN36" s="12" t="str">
        <f aca="false">IF($J36=1,MAX(Cx_1*(Ref_P-E36)/Span_P,Cx_2*(Ref_S-F36)/Span_S,Cx_3*(Ref_B-G36)/Span_B),"")</f>
        <v/>
      </c>
    </row>
    <row r="37" customFormat="false" ht="15" hidden="false" customHeight="false" outlineLevel="0" collapsed="false">
      <c r="A37" s="2" t="n">
        <v>31</v>
      </c>
      <c r="B37" s="15" t="n">
        <f aca="false">INT(A37/151)</f>
        <v>0</v>
      </c>
      <c r="C37" s="15" t="n">
        <f aca="false">MOD(A37,151)</f>
        <v>31</v>
      </c>
      <c r="D37" s="15" t="n">
        <f aca="false">INDEX(Grid!$J$6:$P$156,C37+1,B37+1)</f>
        <v>1</v>
      </c>
      <c r="E37" s="16" t="n">
        <f aca="false">IF(D37=1,INDEX(Grid!$B$6:$H$156,C37+1,B37+1),"")</f>
        <v>108.181818181818</v>
      </c>
      <c r="F37" s="13" t="n">
        <f aca="false">Val_pt*(Ceiling_e-E_zero)*(1-(1-Half_gap)^B37)</f>
        <v>0</v>
      </c>
      <c r="G37" s="15" t="n">
        <f aca="false">C37</f>
        <v>31</v>
      </c>
      <c r="H37" s="15" t="n">
        <f aca="false">IF(D37=1,INDEX(Grid!$R$6:$X$156,C37+1,B37+1),"")</f>
        <v>0</v>
      </c>
      <c r="I37" s="2" t="str">
        <f aca="false">IF(D37=1,INDEX(Sch_label,H37+1),"")</f>
        <v>none</v>
      </c>
      <c r="J37" s="15" t="n">
        <f aca="false">IF(D37=1,INDEX(Grid!$Z$6:$AF$156,C37+1,B37+1),0)</f>
        <v>0</v>
      </c>
      <c r="K37" s="16" t="n">
        <f aca="false">IF(J37=1,E37,0)</f>
        <v>0</v>
      </c>
      <c r="L37" s="17" t="n">
        <f aca="false">IF(D37=1,E37+W_board*F37,"")</f>
        <v>108.181818181818</v>
      </c>
      <c r="Z37" s="12" t="str">
        <f aca="false">IF(AND($J37=1,$M37=1),N37*E37/Span_P+O37*F37/Span_S+P37*G37/Span_B,"")</f>
        <v/>
      </c>
      <c r="AA37" s="12" t="str">
        <f aca="false">IF(AND($J37=1,$M37=1),SUMPRODUCT(MAX($J$6:$J$1062*(N37*$K$6:$K$1062/Span_P+O37*$F$6:$F$1062/Span_S+P37*$G$6:$G$1062/Span_B)-(1-$J$6:$J$1062)*1000000000)),"")</f>
        <v/>
      </c>
      <c r="AB37" s="15" t="str">
        <f aca="false">IF(AND($J37=1,$M37=1),IF(AA37-Z37&lt;=0.000000001,1,0),"")</f>
        <v/>
      </c>
      <c r="AC37" s="13" t="str">
        <f aca="false">IF(AND($J37=1,$M37=0),IF(S37="",0,S37*INDEX(Grid!$B$6:$H$156,R37+1,Q37+1))+IF(V37="",0,V37*INDEX(Grid!$B$6:$H$156,U37+1,T37+1))+IF(Y37="",0,Y37*INDEX(Grid!$B$6:$H$156,X37+1,W37+1)),"")</f>
        <v/>
      </c>
      <c r="AD37" s="13" t="str">
        <f aca="false">IF(AND($J37=1,$M37=0),IF(S37="",0,S37*Val_pt*(Ceiling_e-E_zero)*(1-(1-Half_gap)^Q37))+IF(V37="",0,V37*Val_pt*(Ceiling_e-E_zero)*(1-(1-Half_gap)^T37))+IF(Y37="",0,Y37*Val_pt*(Ceiling_e-E_zero)*(1-(1-Half_gap)^W37)),"")</f>
        <v/>
      </c>
      <c r="AE37" s="13" t="str">
        <f aca="false">IF(AND($J37=1,$M37=0),IF(S37="",0,S37*R37)+IF(V37="",0,V37*U37)+IF(Y37="",0,Y37*X37),"")</f>
        <v/>
      </c>
      <c r="AF37" s="12" t="str">
        <f aca="false">IF(AND($J37=1,$M37=0),MIN((AC37-E37)/Span_P,(AD37-F37)/Span_S,(AE37-G37)/Span_B),"")</f>
        <v/>
      </c>
      <c r="AG37" s="15" t="str">
        <f aca="false">IF(AND($J37=1,$M37=0),IF(AF37&gt;0.0000001,1,0),"")</f>
        <v/>
      </c>
      <c r="AH37" s="15" t="str">
        <f aca="false">IF($J37=1,IF($M37=1,AB37,AG37),"")</f>
        <v/>
      </c>
      <c r="AI37" s="13" t="str">
        <f aca="false">IF($J37=1,(Ideal_P-E37)/Span_P,"")</f>
        <v/>
      </c>
      <c r="AJ37" s="13" t="str">
        <f aca="false">IF($J37=1,(Ideal_S-F37)/Span_S,"")</f>
        <v/>
      </c>
      <c r="AK37" s="13" t="str">
        <f aca="false">IF($J37=1,(Ideal_B-G37)/Span_B,"")</f>
        <v/>
      </c>
      <c r="AL37" s="12" t="str">
        <f aca="false">IF($J37=1,MAX(ChA_1*AI37,ChA_2*AJ37,ChA_3*AK37)+Rho*(ChA_1*AI37+ChA_2*AJ37+ChA_3*AK37),"")</f>
        <v/>
      </c>
      <c r="AM37" s="12" t="str">
        <f aca="false">IF($J37=1,MAX(ChB_1*AI37,ChB_2*AJ37,ChB_3*AK37)+Rho*(ChB_1*AI37+ChB_2*AJ37+ChB_3*AK37),"")</f>
        <v/>
      </c>
      <c r="AN37" s="12" t="str">
        <f aca="false">IF($J37=1,MAX(Cx_1*(Ref_P-E37)/Span_P,Cx_2*(Ref_S-F37)/Span_S,Cx_3*(Ref_B-G37)/Span_B),"")</f>
        <v/>
      </c>
    </row>
    <row r="38" customFormat="false" ht="15" hidden="false" customHeight="false" outlineLevel="0" collapsed="false">
      <c r="A38" s="2" t="n">
        <v>32</v>
      </c>
      <c r="B38" s="15" t="n">
        <f aca="false">INT(A38/151)</f>
        <v>0</v>
      </c>
      <c r="C38" s="15" t="n">
        <f aca="false">MOD(A38,151)</f>
        <v>32</v>
      </c>
      <c r="D38" s="15" t="n">
        <f aca="false">INDEX(Grid!$J$6:$P$156,C38+1,B38+1)</f>
        <v>1</v>
      </c>
      <c r="E38" s="16" t="n">
        <f aca="false">IF(D38=1,INDEX(Grid!$B$6:$H$156,C38+1,B38+1),"")</f>
        <v>107.272727272727</v>
      </c>
      <c r="F38" s="13" t="n">
        <f aca="false">Val_pt*(Ceiling_e-E_zero)*(1-(1-Half_gap)^B38)</f>
        <v>0</v>
      </c>
      <c r="G38" s="15" t="n">
        <f aca="false">C38</f>
        <v>32</v>
      </c>
      <c r="H38" s="15" t="n">
        <f aca="false">IF(D38=1,INDEX(Grid!$R$6:$X$156,C38+1,B38+1),"")</f>
        <v>0</v>
      </c>
      <c r="I38" s="2" t="str">
        <f aca="false">IF(D38=1,INDEX(Sch_label,H38+1),"")</f>
        <v>none</v>
      </c>
      <c r="J38" s="15" t="n">
        <f aca="false">IF(D38=1,INDEX(Grid!$Z$6:$AF$156,C38+1,B38+1),0)</f>
        <v>0</v>
      </c>
      <c r="K38" s="16" t="n">
        <f aca="false">IF(J38=1,E38,0)</f>
        <v>0</v>
      </c>
      <c r="L38" s="17" t="n">
        <f aca="false">IF(D38=1,E38+W_board*F38,"")</f>
        <v>107.272727272727</v>
      </c>
      <c r="Z38" s="12" t="str">
        <f aca="false">IF(AND($J38=1,$M38=1),N38*E38/Span_P+O38*F38/Span_S+P38*G38/Span_B,"")</f>
        <v/>
      </c>
      <c r="AA38" s="12" t="str">
        <f aca="false">IF(AND($J38=1,$M38=1),SUMPRODUCT(MAX($J$6:$J$1062*(N38*$K$6:$K$1062/Span_P+O38*$F$6:$F$1062/Span_S+P38*$G$6:$G$1062/Span_B)-(1-$J$6:$J$1062)*1000000000)),"")</f>
        <v/>
      </c>
      <c r="AB38" s="15" t="str">
        <f aca="false">IF(AND($J38=1,$M38=1),IF(AA38-Z38&lt;=0.000000001,1,0),"")</f>
        <v/>
      </c>
      <c r="AC38" s="13" t="str">
        <f aca="false">IF(AND($J38=1,$M38=0),IF(S38="",0,S38*INDEX(Grid!$B$6:$H$156,R38+1,Q38+1))+IF(V38="",0,V38*INDEX(Grid!$B$6:$H$156,U38+1,T38+1))+IF(Y38="",0,Y38*INDEX(Grid!$B$6:$H$156,X38+1,W38+1)),"")</f>
        <v/>
      </c>
      <c r="AD38" s="13" t="str">
        <f aca="false">IF(AND($J38=1,$M38=0),IF(S38="",0,S38*Val_pt*(Ceiling_e-E_zero)*(1-(1-Half_gap)^Q38))+IF(V38="",0,V38*Val_pt*(Ceiling_e-E_zero)*(1-(1-Half_gap)^T38))+IF(Y38="",0,Y38*Val_pt*(Ceiling_e-E_zero)*(1-(1-Half_gap)^W38)),"")</f>
        <v/>
      </c>
      <c r="AE38" s="13" t="str">
        <f aca="false">IF(AND($J38=1,$M38=0),IF(S38="",0,S38*R38)+IF(V38="",0,V38*U38)+IF(Y38="",0,Y38*X38),"")</f>
        <v/>
      </c>
      <c r="AF38" s="12" t="str">
        <f aca="false">IF(AND($J38=1,$M38=0),MIN((AC38-E38)/Span_P,(AD38-F38)/Span_S,(AE38-G38)/Span_B),"")</f>
        <v/>
      </c>
      <c r="AG38" s="15" t="str">
        <f aca="false">IF(AND($J38=1,$M38=0),IF(AF38&gt;0.0000001,1,0),"")</f>
        <v/>
      </c>
      <c r="AH38" s="15" t="str">
        <f aca="false">IF($J38=1,IF($M38=1,AB38,AG38),"")</f>
        <v/>
      </c>
      <c r="AI38" s="13" t="str">
        <f aca="false">IF($J38=1,(Ideal_P-E38)/Span_P,"")</f>
        <v/>
      </c>
      <c r="AJ38" s="13" t="str">
        <f aca="false">IF($J38=1,(Ideal_S-F38)/Span_S,"")</f>
        <v/>
      </c>
      <c r="AK38" s="13" t="str">
        <f aca="false">IF($J38=1,(Ideal_B-G38)/Span_B,"")</f>
        <v/>
      </c>
      <c r="AL38" s="12" t="str">
        <f aca="false">IF($J38=1,MAX(ChA_1*AI38,ChA_2*AJ38,ChA_3*AK38)+Rho*(ChA_1*AI38+ChA_2*AJ38+ChA_3*AK38),"")</f>
        <v/>
      </c>
      <c r="AM38" s="12" t="str">
        <f aca="false">IF($J38=1,MAX(ChB_1*AI38,ChB_2*AJ38,ChB_3*AK38)+Rho*(ChB_1*AI38+ChB_2*AJ38+ChB_3*AK38),"")</f>
        <v/>
      </c>
      <c r="AN38" s="12" t="str">
        <f aca="false">IF($J38=1,MAX(Cx_1*(Ref_P-E38)/Span_P,Cx_2*(Ref_S-F38)/Span_S,Cx_3*(Ref_B-G38)/Span_B),"")</f>
        <v/>
      </c>
    </row>
    <row r="39" customFormat="false" ht="15" hidden="false" customHeight="false" outlineLevel="0" collapsed="false">
      <c r="A39" s="2" t="n">
        <v>33</v>
      </c>
      <c r="B39" s="15" t="n">
        <f aca="false">INT(A39/151)</f>
        <v>0</v>
      </c>
      <c r="C39" s="15" t="n">
        <f aca="false">MOD(A39,151)</f>
        <v>33</v>
      </c>
      <c r="D39" s="15" t="n">
        <f aca="false">INDEX(Grid!$J$6:$P$156,C39+1,B39+1)</f>
        <v>1</v>
      </c>
      <c r="E39" s="16" t="n">
        <f aca="false">IF(D39=1,INDEX(Grid!$B$6:$H$156,C39+1,B39+1),"")</f>
        <v>106.363636363636</v>
      </c>
      <c r="F39" s="13" t="n">
        <f aca="false">Val_pt*(Ceiling_e-E_zero)*(1-(1-Half_gap)^B39)</f>
        <v>0</v>
      </c>
      <c r="G39" s="15" t="n">
        <f aca="false">C39</f>
        <v>33</v>
      </c>
      <c r="H39" s="15" t="n">
        <f aca="false">IF(D39=1,INDEX(Grid!$R$6:$X$156,C39+1,B39+1),"")</f>
        <v>0</v>
      </c>
      <c r="I39" s="2" t="str">
        <f aca="false">IF(D39=1,INDEX(Sch_label,H39+1),"")</f>
        <v>none</v>
      </c>
      <c r="J39" s="15" t="n">
        <f aca="false">IF(D39=1,INDEX(Grid!$Z$6:$AF$156,C39+1,B39+1),0)</f>
        <v>0</v>
      </c>
      <c r="K39" s="16" t="n">
        <f aca="false">IF(J39=1,E39,0)</f>
        <v>0</v>
      </c>
      <c r="L39" s="17" t="n">
        <f aca="false">IF(D39=1,E39+W_board*F39,"")</f>
        <v>106.363636363636</v>
      </c>
      <c r="Z39" s="12" t="str">
        <f aca="false">IF(AND($J39=1,$M39=1),N39*E39/Span_P+O39*F39/Span_S+P39*G39/Span_B,"")</f>
        <v/>
      </c>
      <c r="AA39" s="12" t="str">
        <f aca="false">IF(AND($J39=1,$M39=1),SUMPRODUCT(MAX($J$6:$J$1062*(N39*$K$6:$K$1062/Span_P+O39*$F$6:$F$1062/Span_S+P39*$G$6:$G$1062/Span_B)-(1-$J$6:$J$1062)*1000000000)),"")</f>
        <v/>
      </c>
      <c r="AB39" s="15" t="str">
        <f aca="false">IF(AND($J39=1,$M39=1),IF(AA39-Z39&lt;=0.000000001,1,0),"")</f>
        <v/>
      </c>
      <c r="AC39" s="13" t="str">
        <f aca="false">IF(AND($J39=1,$M39=0),IF(S39="",0,S39*INDEX(Grid!$B$6:$H$156,R39+1,Q39+1))+IF(V39="",0,V39*INDEX(Grid!$B$6:$H$156,U39+1,T39+1))+IF(Y39="",0,Y39*INDEX(Grid!$B$6:$H$156,X39+1,W39+1)),"")</f>
        <v/>
      </c>
      <c r="AD39" s="13" t="str">
        <f aca="false">IF(AND($J39=1,$M39=0),IF(S39="",0,S39*Val_pt*(Ceiling_e-E_zero)*(1-(1-Half_gap)^Q39))+IF(V39="",0,V39*Val_pt*(Ceiling_e-E_zero)*(1-(1-Half_gap)^T39))+IF(Y39="",0,Y39*Val_pt*(Ceiling_e-E_zero)*(1-(1-Half_gap)^W39)),"")</f>
        <v/>
      </c>
      <c r="AE39" s="13" t="str">
        <f aca="false">IF(AND($J39=1,$M39=0),IF(S39="",0,S39*R39)+IF(V39="",0,V39*U39)+IF(Y39="",0,Y39*X39),"")</f>
        <v/>
      </c>
      <c r="AF39" s="12" t="str">
        <f aca="false">IF(AND($J39=1,$M39=0),MIN((AC39-E39)/Span_P,(AD39-F39)/Span_S,(AE39-G39)/Span_B),"")</f>
        <v/>
      </c>
      <c r="AG39" s="15" t="str">
        <f aca="false">IF(AND($J39=1,$M39=0),IF(AF39&gt;0.0000001,1,0),"")</f>
        <v/>
      </c>
      <c r="AH39" s="15" t="str">
        <f aca="false">IF($J39=1,IF($M39=1,AB39,AG39),"")</f>
        <v/>
      </c>
      <c r="AI39" s="13" t="str">
        <f aca="false">IF($J39=1,(Ideal_P-E39)/Span_P,"")</f>
        <v/>
      </c>
      <c r="AJ39" s="13" t="str">
        <f aca="false">IF($J39=1,(Ideal_S-F39)/Span_S,"")</f>
        <v/>
      </c>
      <c r="AK39" s="13" t="str">
        <f aca="false">IF($J39=1,(Ideal_B-G39)/Span_B,"")</f>
        <v/>
      </c>
      <c r="AL39" s="12" t="str">
        <f aca="false">IF($J39=1,MAX(ChA_1*AI39,ChA_2*AJ39,ChA_3*AK39)+Rho*(ChA_1*AI39+ChA_2*AJ39+ChA_3*AK39),"")</f>
        <v/>
      </c>
      <c r="AM39" s="12" t="str">
        <f aca="false">IF($J39=1,MAX(ChB_1*AI39,ChB_2*AJ39,ChB_3*AK39)+Rho*(ChB_1*AI39+ChB_2*AJ39+ChB_3*AK39),"")</f>
        <v/>
      </c>
      <c r="AN39" s="12" t="str">
        <f aca="false">IF($J39=1,MAX(Cx_1*(Ref_P-E39)/Span_P,Cx_2*(Ref_S-F39)/Span_S,Cx_3*(Ref_B-G39)/Span_B),"")</f>
        <v/>
      </c>
    </row>
    <row r="40" customFormat="false" ht="15" hidden="false" customHeight="false" outlineLevel="0" collapsed="false">
      <c r="A40" s="2" t="n">
        <v>34</v>
      </c>
      <c r="B40" s="15" t="n">
        <f aca="false">INT(A40/151)</f>
        <v>0</v>
      </c>
      <c r="C40" s="15" t="n">
        <f aca="false">MOD(A40,151)</f>
        <v>34</v>
      </c>
      <c r="D40" s="15" t="n">
        <f aca="false">INDEX(Grid!$J$6:$P$156,C40+1,B40+1)</f>
        <v>1</v>
      </c>
      <c r="E40" s="16" t="n">
        <f aca="false">IF(D40=1,INDEX(Grid!$B$6:$H$156,C40+1,B40+1),"")</f>
        <v>105.454545454545</v>
      </c>
      <c r="F40" s="13" t="n">
        <f aca="false">Val_pt*(Ceiling_e-E_zero)*(1-(1-Half_gap)^B40)</f>
        <v>0</v>
      </c>
      <c r="G40" s="15" t="n">
        <f aca="false">C40</f>
        <v>34</v>
      </c>
      <c r="H40" s="15" t="n">
        <f aca="false">IF(D40=1,INDEX(Grid!$R$6:$X$156,C40+1,B40+1),"")</f>
        <v>0</v>
      </c>
      <c r="I40" s="2" t="str">
        <f aca="false">IF(D40=1,INDEX(Sch_label,H40+1),"")</f>
        <v>none</v>
      </c>
      <c r="J40" s="15" t="n">
        <f aca="false">IF(D40=1,INDEX(Grid!$Z$6:$AF$156,C40+1,B40+1),0)</f>
        <v>0</v>
      </c>
      <c r="K40" s="16" t="n">
        <f aca="false">IF(J40=1,E40,0)</f>
        <v>0</v>
      </c>
      <c r="L40" s="17" t="n">
        <f aca="false">IF(D40=1,E40+W_board*F40,"")</f>
        <v>105.454545454545</v>
      </c>
      <c r="Z40" s="12" t="str">
        <f aca="false">IF(AND($J40=1,$M40=1),N40*E40/Span_P+O40*F40/Span_S+P40*G40/Span_B,"")</f>
        <v/>
      </c>
      <c r="AA40" s="12" t="str">
        <f aca="false">IF(AND($J40=1,$M40=1),SUMPRODUCT(MAX($J$6:$J$1062*(N40*$K$6:$K$1062/Span_P+O40*$F$6:$F$1062/Span_S+P40*$G$6:$G$1062/Span_B)-(1-$J$6:$J$1062)*1000000000)),"")</f>
        <v/>
      </c>
      <c r="AB40" s="15" t="str">
        <f aca="false">IF(AND($J40=1,$M40=1),IF(AA40-Z40&lt;=0.000000001,1,0),"")</f>
        <v/>
      </c>
      <c r="AC40" s="13" t="str">
        <f aca="false">IF(AND($J40=1,$M40=0),IF(S40="",0,S40*INDEX(Grid!$B$6:$H$156,R40+1,Q40+1))+IF(V40="",0,V40*INDEX(Grid!$B$6:$H$156,U40+1,T40+1))+IF(Y40="",0,Y40*INDEX(Grid!$B$6:$H$156,X40+1,W40+1)),"")</f>
        <v/>
      </c>
      <c r="AD40" s="13" t="str">
        <f aca="false">IF(AND($J40=1,$M40=0),IF(S40="",0,S40*Val_pt*(Ceiling_e-E_zero)*(1-(1-Half_gap)^Q40))+IF(V40="",0,V40*Val_pt*(Ceiling_e-E_zero)*(1-(1-Half_gap)^T40))+IF(Y40="",0,Y40*Val_pt*(Ceiling_e-E_zero)*(1-(1-Half_gap)^W40)),"")</f>
        <v/>
      </c>
      <c r="AE40" s="13" t="str">
        <f aca="false">IF(AND($J40=1,$M40=0),IF(S40="",0,S40*R40)+IF(V40="",0,V40*U40)+IF(Y40="",0,Y40*X40),"")</f>
        <v/>
      </c>
      <c r="AF40" s="12" t="str">
        <f aca="false">IF(AND($J40=1,$M40=0),MIN((AC40-E40)/Span_P,(AD40-F40)/Span_S,(AE40-G40)/Span_B),"")</f>
        <v/>
      </c>
      <c r="AG40" s="15" t="str">
        <f aca="false">IF(AND($J40=1,$M40=0),IF(AF40&gt;0.0000001,1,0),"")</f>
        <v/>
      </c>
      <c r="AH40" s="15" t="str">
        <f aca="false">IF($J40=1,IF($M40=1,AB40,AG40),"")</f>
        <v/>
      </c>
      <c r="AI40" s="13" t="str">
        <f aca="false">IF($J40=1,(Ideal_P-E40)/Span_P,"")</f>
        <v/>
      </c>
      <c r="AJ40" s="13" t="str">
        <f aca="false">IF($J40=1,(Ideal_S-F40)/Span_S,"")</f>
        <v/>
      </c>
      <c r="AK40" s="13" t="str">
        <f aca="false">IF($J40=1,(Ideal_B-G40)/Span_B,"")</f>
        <v/>
      </c>
      <c r="AL40" s="12" t="str">
        <f aca="false">IF($J40=1,MAX(ChA_1*AI40,ChA_2*AJ40,ChA_3*AK40)+Rho*(ChA_1*AI40+ChA_2*AJ40+ChA_3*AK40),"")</f>
        <v/>
      </c>
      <c r="AM40" s="12" t="str">
        <f aca="false">IF($J40=1,MAX(ChB_1*AI40,ChB_2*AJ40,ChB_3*AK40)+Rho*(ChB_1*AI40+ChB_2*AJ40+ChB_3*AK40),"")</f>
        <v/>
      </c>
      <c r="AN40" s="12" t="str">
        <f aca="false">IF($J40=1,MAX(Cx_1*(Ref_P-E40)/Span_P,Cx_2*(Ref_S-F40)/Span_S,Cx_3*(Ref_B-G40)/Span_B),"")</f>
        <v/>
      </c>
    </row>
    <row r="41" customFormat="false" ht="15" hidden="false" customHeight="false" outlineLevel="0" collapsed="false">
      <c r="A41" s="2" t="n">
        <v>35</v>
      </c>
      <c r="B41" s="15" t="n">
        <f aca="false">INT(A41/151)</f>
        <v>0</v>
      </c>
      <c r="C41" s="15" t="n">
        <f aca="false">MOD(A41,151)</f>
        <v>35</v>
      </c>
      <c r="D41" s="15" t="n">
        <f aca="false">INDEX(Grid!$J$6:$P$156,C41+1,B41+1)</f>
        <v>1</v>
      </c>
      <c r="E41" s="16" t="n">
        <f aca="false">IF(D41=1,INDEX(Grid!$B$6:$H$156,C41+1,B41+1),"")</f>
        <v>104.545454545455</v>
      </c>
      <c r="F41" s="13" t="n">
        <f aca="false">Val_pt*(Ceiling_e-E_zero)*(1-(1-Half_gap)^B41)</f>
        <v>0</v>
      </c>
      <c r="G41" s="15" t="n">
        <f aca="false">C41</f>
        <v>35</v>
      </c>
      <c r="H41" s="15" t="n">
        <f aca="false">IF(D41=1,INDEX(Grid!$R$6:$X$156,C41+1,B41+1),"")</f>
        <v>0</v>
      </c>
      <c r="I41" s="2" t="str">
        <f aca="false">IF(D41=1,INDEX(Sch_label,H41+1),"")</f>
        <v>none</v>
      </c>
      <c r="J41" s="15" t="n">
        <f aca="false">IF(D41=1,INDEX(Grid!$Z$6:$AF$156,C41+1,B41+1),0)</f>
        <v>0</v>
      </c>
      <c r="K41" s="16" t="n">
        <f aca="false">IF(J41=1,E41,0)</f>
        <v>0</v>
      </c>
      <c r="L41" s="17" t="n">
        <f aca="false">IF(D41=1,E41+W_board*F41,"")</f>
        <v>104.545454545455</v>
      </c>
      <c r="Z41" s="12" t="str">
        <f aca="false">IF(AND($J41=1,$M41=1),N41*E41/Span_P+O41*F41/Span_S+P41*G41/Span_B,"")</f>
        <v/>
      </c>
      <c r="AA41" s="12" t="str">
        <f aca="false">IF(AND($J41=1,$M41=1),SUMPRODUCT(MAX($J$6:$J$1062*(N41*$K$6:$K$1062/Span_P+O41*$F$6:$F$1062/Span_S+P41*$G$6:$G$1062/Span_B)-(1-$J$6:$J$1062)*1000000000)),"")</f>
        <v/>
      </c>
      <c r="AB41" s="15" t="str">
        <f aca="false">IF(AND($J41=1,$M41=1),IF(AA41-Z41&lt;=0.000000001,1,0),"")</f>
        <v/>
      </c>
      <c r="AC41" s="13" t="str">
        <f aca="false">IF(AND($J41=1,$M41=0),IF(S41="",0,S41*INDEX(Grid!$B$6:$H$156,R41+1,Q41+1))+IF(V41="",0,V41*INDEX(Grid!$B$6:$H$156,U41+1,T41+1))+IF(Y41="",0,Y41*INDEX(Grid!$B$6:$H$156,X41+1,W41+1)),"")</f>
        <v/>
      </c>
      <c r="AD41" s="13" t="str">
        <f aca="false">IF(AND($J41=1,$M41=0),IF(S41="",0,S41*Val_pt*(Ceiling_e-E_zero)*(1-(1-Half_gap)^Q41))+IF(V41="",0,V41*Val_pt*(Ceiling_e-E_zero)*(1-(1-Half_gap)^T41))+IF(Y41="",0,Y41*Val_pt*(Ceiling_e-E_zero)*(1-(1-Half_gap)^W41)),"")</f>
        <v/>
      </c>
      <c r="AE41" s="13" t="str">
        <f aca="false">IF(AND($J41=1,$M41=0),IF(S41="",0,S41*R41)+IF(V41="",0,V41*U41)+IF(Y41="",0,Y41*X41),"")</f>
        <v/>
      </c>
      <c r="AF41" s="12" t="str">
        <f aca="false">IF(AND($J41=1,$M41=0),MIN((AC41-E41)/Span_P,(AD41-F41)/Span_S,(AE41-G41)/Span_B),"")</f>
        <v/>
      </c>
      <c r="AG41" s="15" t="str">
        <f aca="false">IF(AND($J41=1,$M41=0),IF(AF41&gt;0.0000001,1,0),"")</f>
        <v/>
      </c>
      <c r="AH41" s="15" t="str">
        <f aca="false">IF($J41=1,IF($M41=1,AB41,AG41),"")</f>
        <v/>
      </c>
      <c r="AI41" s="13" t="str">
        <f aca="false">IF($J41=1,(Ideal_P-E41)/Span_P,"")</f>
        <v/>
      </c>
      <c r="AJ41" s="13" t="str">
        <f aca="false">IF($J41=1,(Ideal_S-F41)/Span_S,"")</f>
        <v/>
      </c>
      <c r="AK41" s="13" t="str">
        <f aca="false">IF($J41=1,(Ideal_B-G41)/Span_B,"")</f>
        <v/>
      </c>
      <c r="AL41" s="12" t="str">
        <f aca="false">IF($J41=1,MAX(ChA_1*AI41,ChA_2*AJ41,ChA_3*AK41)+Rho*(ChA_1*AI41+ChA_2*AJ41+ChA_3*AK41),"")</f>
        <v/>
      </c>
      <c r="AM41" s="12" t="str">
        <f aca="false">IF($J41=1,MAX(ChB_1*AI41,ChB_2*AJ41,ChB_3*AK41)+Rho*(ChB_1*AI41+ChB_2*AJ41+ChB_3*AK41),"")</f>
        <v/>
      </c>
      <c r="AN41" s="12" t="str">
        <f aca="false">IF($J41=1,MAX(Cx_1*(Ref_P-E41)/Span_P,Cx_2*(Ref_S-F41)/Span_S,Cx_3*(Ref_B-G41)/Span_B),"")</f>
        <v/>
      </c>
    </row>
    <row r="42" customFormat="false" ht="15" hidden="false" customHeight="false" outlineLevel="0" collapsed="false">
      <c r="A42" s="2" t="n">
        <v>36</v>
      </c>
      <c r="B42" s="15" t="n">
        <f aca="false">INT(A42/151)</f>
        <v>0</v>
      </c>
      <c r="C42" s="15" t="n">
        <f aca="false">MOD(A42,151)</f>
        <v>36</v>
      </c>
      <c r="D42" s="15" t="n">
        <f aca="false">INDEX(Grid!$J$6:$P$156,C42+1,B42+1)</f>
        <v>1</v>
      </c>
      <c r="E42" s="16" t="n">
        <f aca="false">IF(D42=1,INDEX(Grid!$B$6:$H$156,C42+1,B42+1),"")</f>
        <v>103.636363636364</v>
      </c>
      <c r="F42" s="13" t="n">
        <f aca="false">Val_pt*(Ceiling_e-E_zero)*(1-(1-Half_gap)^B42)</f>
        <v>0</v>
      </c>
      <c r="G42" s="15" t="n">
        <f aca="false">C42</f>
        <v>36</v>
      </c>
      <c r="H42" s="15" t="n">
        <f aca="false">IF(D42=1,INDEX(Grid!$R$6:$X$156,C42+1,B42+1),"")</f>
        <v>0</v>
      </c>
      <c r="I42" s="2" t="str">
        <f aca="false">IF(D42=1,INDEX(Sch_label,H42+1),"")</f>
        <v>none</v>
      </c>
      <c r="J42" s="15" t="n">
        <f aca="false">IF(D42=1,INDEX(Grid!$Z$6:$AF$156,C42+1,B42+1),0)</f>
        <v>0</v>
      </c>
      <c r="K42" s="16" t="n">
        <f aca="false">IF(J42=1,E42,0)</f>
        <v>0</v>
      </c>
      <c r="L42" s="17" t="n">
        <f aca="false">IF(D42=1,E42+W_board*F42,"")</f>
        <v>103.636363636364</v>
      </c>
      <c r="Z42" s="12" t="str">
        <f aca="false">IF(AND($J42=1,$M42=1),N42*E42/Span_P+O42*F42/Span_S+P42*G42/Span_B,"")</f>
        <v/>
      </c>
      <c r="AA42" s="12" t="str">
        <f aca="false">IF(AND($J42=1,$M42=1),SUMPRODUCT(MAX($J$6:$J$1062*(N42*$K$6:$K$1062/Span_P+O42*$F$6:$F$1062/Span_S+P42*$G$6:$G$1062/Span_B)-(1-$J$6:$J$1062)*1000000000)),"")</f>
        <v/>
      </c>
      <c r="AB42" s="15" t="str">
        <f aca="false">IF(AND($J42=1,$M42=1),IF(AA42-Z42&lt;=0.000000001,1,0),"")</f>
        <v/>
      </c>
      <c r="AC42" s="13" t="str">
        <f aca="false">IF(AND($J42=1,$M42=0),IF(S42="",0,S42*INDEX(Grid!$B$6:$H$156,R42+1,Q42+1))+IF(V42="",0,V42*INDEX(Grid!$B$6:$H$156,U42+1,T42+1))+IF(Y42="",0,Y42*INDEX(Grid!$B$6:$H$156,X42+1,W42+1)),"")</f>
        <v/>
      </c>
      <c r="AD42" s="13" t="str">
        <f aca="false">IF(AND($J42=1,$M42=0),IF(S42="",0,S42*Val_pt*(Ceiling_e-E_zero)*(1-(1-Half_gap)^Q42))+IF(V42="",0,V42*Val_pt*(Ceiling_e-E_zero)*(1-(1-Half_gap)^T42))+IF(Y42="",0,Y42*Val_pt*(Ceiling_e-E_zero)*(1-(1-Half_gap)^W42)),"")</f>
        <v/>
      </c>
      <c r="AE42" s="13" t="str">
        <f aca="false">IF(AND($J42=1,$M42=0),IF(S42="",0,S42*R42)+IF(V42="",0,V42*U42)+IF(Y42="",0,Y42*X42),"")</f>
        <v/>
      </c>
      <c r="AF42" s="12" t="str">
        <f aca="false">IF(AND($J42=1,$M42=0),MIN((AC42-E42)/Span_P,(AD42-F42)/Span_S,(AE42-G42)/Span_B),"")</f>
        <v/>
      </c>
      <c r="AG42" s="15" t="str">
        <f aca="false">IF(AND($J42=1,$M42=0),IF(AF42&gt;0.0000001,1,0),"")</f>
        <v/>
      </c>
      <c r="AH42" s="15" t="str">
        <f aca="false">IF($J42=1,IF($M42=1,AB42,AG42),"")</f>
        <v/>
      </c>
      <c r="AI42" s="13" t="str">
        <f aca="false">IF($J42=1,(Ideal_P-E42)/Span_P,"")</f>
        <v/>
      </c>
      <c r="AJ42" s="13" t="str">
        <f aca="false">IF($J42=1,(Ideal_S-F42)/Span_S,"")</f>
        <v/>
      </c>
      <c r="AK42" s="13" t="str">
        <f aca="false">IF($J42=1,(Ideal_B-G42)/Span_B,"")</f>
        <v/>
      </c>
      <c r="AL42" s="12" t="str">
        <f aca="false">IF($J42=1,MAX(ChA_1*AI42,ChA_2*AJ42,ChA_3*AK42)+Rho*(ChA_1*AI42+ChA_2*AJ42+ChA_3*AK42),"")</f>
        <v/>
      </c>
      <c r="AM42" s="12" t="str">
        <f aca="false">IF($J42=1,MAX(ChB_1*AI42,ChB_2*AJ42,ChB_3*AK42)+Rho*(ChB_1*AI42+ChB_2*AJ42+ChB_3*AK42),"")</f>
        <v/>
      </c>
      <c r="AN42" s="12" t="str">
        <f aca="false">IF($J42=1,MAX(Cx_1*(Ref_P-E42)/Span_P,Cx_2*(Ref_S-F42)/Span_S,Cx_3*(Ref_B-G42)/Span_B),"")</f>
        <v/>
      </c>
    </row>
    <row r="43" customFormat="false" ht="15" hidden="false" customHeight="false" outlineLevel="0" collapsed="false">
      <c r="A43" s="2" t="n">
        <v>37</v>
      </c>
      <c r="B43" s="15" t="n">
        <f aca="false">INT(A43/151)</f>
        <v>0</v>
      </c>
      <c r="C43" s="15" t="n">
        <f aca="false">MOD(A43,151)</f>
        <v>37</v>
      </c>
      <c r="D43" s="15" t="n">
        <f aca="false">INDEX(Grid!$J$6:$P$156,C43+1,B43+1)</f>
        <v>1</v>
      </c>
      <c r="E43" s="16" t="n">
        <f aca="false">IF(D43=1,INDEX(Grid!$B$6:$H$156,C43+1,B43+1),"")</f>
        <v>102.727272727273</v>
      </c>
      <c r="F43" s="13" t="n">
        <f aca="false">Val_pt*(Ceiling_e-E_zero)*(1-(1-Half_gap)^B43)</f>
        <v>0</v>
      </c>
      <c r="G43" s="15" t="n">
        <f aca="false">C43</f>
        <v>37</v>
      </c>
      <c r="H43" s="15" t="n">
        <f aca="false">IF(D43=1,INDEX(Grid!$R$6:$X$156,C43+1,B43+1),"")</f>
        <v>0</v>
      </c>
      <c r="I43" s="2" t="str">
        <f aca="false">IF(D43=1,INDEX(Sch_label,H43+1),"")</f>
        <v>none</v>
      </c>
      <c r="J43" s="15" t="n">
        <f aca="false">IF(D43=1,INDEX(Grid!$Z$6:$AF$156,C43+1,B43+1),0)</f>
        <v>0</v>
      </c>
      <c r="K43" s="16" t="n">
        <f aca="false">IF(J43=1,E43,0)</f>
        <v>0</v>
      </c>
      <c r="L43" s="17" t="n">
        <f aca="false">IF(D43=1,E43+W_board*F43,"")</f>
        <v>102.727272727273</v>
      </c>
      <c r="Z43" s="12" t="str">
        <f aca="false">IF(AND($J43=1,$M43=1),N43*E43/Span_P+O43*F43/Span_S+P43*G43/Span_B,"")</f>
        <v/>
      </c>
      <c r="AA43" s="12" t="str">
        <f aca="false">IF(AND($J43=1,$M43=1),SUMPRODUCT(MAX($J$6:$J$1062*(N43*$K$6:$K$1062/Span_P+O43*$F$6:$F$1062/Span_S+P43*$G$6:$G$1062/Span_B)-(1-$J$6:$J$1062)*1000000000)),"")</f>
        <v/>
      </c>
      <c r="AB43" s="15" t="str">
        <f aca="false">IF(AND($J43=1,$M43=1),IF(AA43-Z43&lt;=0.000000001,1,0),"")</f>
        <v/>
      </c>
      <c r="AC43" s="13" t="str">
        <f aca="false">IF(AND($J43=1,$M43=0),IF(S43="",0,S43*INDEX(Grid!$B$6:$H$156,R43+1,Q43+1))+IF(V43="",0,V43*INDEX(Grid!$B$6:$H$156,U43+1,T43+1))+IF(Y43="",0,Y43*INDEX(Grid!$B$6:$H$156,X43+1,W43+1)),"")</f>
        <v/>
      </c>
      <c r="AD43" s="13" t="str">
        <f aca="false">IF(AND($J43=1,$M43=0),IF(S43="",0,S43*Val_pt*(Ceiling_e-E_zero)*(1-(1-Half_gap)^Q43))+IF(V43="",0,V43*Val_pt*(Ceiling_e-E_zero)*(1-(1-Half_gap)^T43))+IF(Y43="",0,Y43*Val_pt*(Ceiling_e-E_zero)*(1-(1-Half_gap)^W43)),"")</f>
        <v/>
      </c>
      <c r="AE43" s="13" t="str">
        <f aca="false">IF(AND($J43=1,$M43=0),IF(S43="",0,S43*R43)+IF(V43="",0,V43*U43)+IF(Y43="",0,Y43*X43),"")</f>
        <v/>
      </c>
      <c r="AF43" s="12" t="str">
        <f aca="false">IF(AND($J43=1,$M43=0),MIN((AC43-E43)/Span_P,(AD43-F43)/Span_S,(AE43-G43)/Span_B),"")</f>
        <v/>
      </c>
      <c r="AG43" s="15" t="str">
        <f aca="false">IF(AND($J43=1,$M43=0),IF(AF43&gt;0.0000001,1,0),"")</f>
        <v/>
      </c>
      <c r="AH43" s="15" t="str">
        <f aca="false">IF($J43=1,IF($M43=1,AB43,AG43),"")</f>
        <v/>
      </c>
      <c r="AI43" s="13" t="str">
        <f aca="false">IF($J43=1,(Ideal_P-E43)/Span_P,"")</f>
        <v/>
      </c>
      <c r="AJ43" s="13" t="str">
        <f aca="false">IF($J43=1,(Ideal_S-F43)/Span_S,"")</f>
        <v/>
      </c>
      <c r="AK43" s="13" t="str">
        <f aca="false">IF($J43=1,(Ideal_B-G43)/Span_B,"")</f>
        <v/>
      </c>
      <c r="AL43" s="12" t="str">
        <f aca="false">IF($J43=1,MAX(ChA_1*AI43,ChA_2*AJ43,ChA_3*AK43)+Rho*(ChA_1*AI43+ChA_2*AJ43+ChA_3*AK43),"")</f>
        <v/>
      </c>
      <c r="AM43" s="12" t="str">
        <f aca="false">IF($J43=1,MAX(ChB_1*AI43,ChB_2*AJ43,ChB_3*AK43)+Rho*(ChB_1*AI43+ChB_2*AJ43+ChB_3*AK43),"")</f>
        <v/>
      </c>
      <c r="AN43" s="12" t="str">
        <f aca="false">IF($J43=1,MAX(Cx_1*(Ref_P-E43)/Span_P,Cx_2*(Ref_S-F43)/Span_S,Cx_3*(Ref_B-G43)/Span_B),"")</f>
        <v/>
      </c>
    </row>
    <row r="44" customFormat="false" ht="15" hidden="false" customHeight="false" outlineLevel="0" collapsed="false">
      <c r="A44" s="2" t="n">
        <v>38</v>
      </c>
      <c r="B44" s="15" t="n">
        <f aca="false">INT(A44/151)</f>
        <v>0</v>
      </c>
      <c r="C44" s="15" t="n">
        <f aca="false">MOD(A44,151)</f>
        <v>38</v>
      </c>
      <c r="D44" s="15" t="n">
        <f aca="false">INDEX(Grid!$J$6:$P$156,C44+1,B44+1)</f>
        <v>1</v>
      </c>
      <c r="E44" s="16" t="n">
        <f aca="false">IF(D44=1,INDEX(Grid!$B$6:$H$156,C44+1,B44+1),"")</f>
        <v>101.818181818182</v>
      </c>
      <c r="F44" s="13" t="n">
        <f aca="false">Val_pt*(Ceiling_e-E_zero)*(1-(1-Half_gap)^B44)</f>
        <v>0</v>
      </c>
      <c r="G44" s="15" t="n">
        <f aca="false">C44</f>
        <v>38</v>
      </c>
      <c r="H44" s="15" t="n">
        <f aca="false">IF(D44=1,INDEX(Grid!$R$6:$X$156,C44+1,B44+1),"")</f>
        <v>0</v>
      </c>
      <c r="I44" s="2" t="str">
        <f aca="false">IF(D44=1,INDEX(Sch_label,H44+1),"")</f>
        <v>none</v>
      </c>
      <c r="J44" s="15" t="n">
        <f aca="false">IF(D44=1,INDEX(Grid!$Z$6:$AF$156,C44+1,B44+1),0)</f>
        <v>0</v>
      </c>
      <c r="K44" s="16" t="n">
        <f aca="false">IF(J44=1,E44,0)</f>
        <v>0</v>
      </c>
      <c r="L44" s="17" t="n">
        <f aca="false">IF(D44=1,E44+W_board*F44,"")</f>
        <v>101.818181818182</v>
      </c>
      <c r="Z44" s="12" t="str">
        <f aca="false">IF(AND($J44=1,$M44=1),N44*E44/Span_P+O44*F44/Span_S+P44*G44/Span_B,"")</f>
        <v/>
      </c>
      <c r="AA44" s="12" t="str">
        <f aca="false">IF(AND($J44=1,$M44=1),SUMPRODUCT(MAX($J$6:$J$1062*(N44*$K$6:$K$1062/Span_P+O44*$F$6:$F$1062/Span_S+P44*$G$6:$G$1062/Span_B)-(1-$J$6:$J$1062)*1000000000)),"")</f>
        <v/>
      </c>
      <c r="AB44" s="15" t="str">
        <f aca="false">IF(AND($J44=1,$M44=1),IF(AA44-Z44&lt;=0.000000001,1,0),"")</f>
        <v/>
      </c>
      <c r="AC44" s="13" t="str">
        <f aca="false">IF(AND($J44=1,$M44=0),IF(S44="",0,S44*INDEX(Grid!$B$6:$H$156,R44+1,Q44+1))+IF(V44="",0,V44*INDEX(Grid!$B$6:$H$156,U44+1,T44+1))+IF(Y44="",0,Y44*INDEX(Grid!$B$6:$H$156,X44+1,W44+1)),"")</f>
        <v/>
      </c>
      <c r="AD44" s="13" t="str">
        <f aca="false">IF(AND($J44=1,$M44=0),IF(S44="",0,S44*Val_pt*(Ceiling_e-E_zero)*(1-(1-Half_gap)^Q44))+IF(V44="",0,V44*Val_pt*(Ceiling_e-E_zero)*(1-(1-Half_gap)^T44))+IF(Y44="",0,Y44*Val_pt*(Ceiling_e-E_zero)*(1-(1-Half_gap)^W44)),"")</f>
        <v/>
      </c>
      <c r="AE44" s="13" t="str">
        <f aca="false">IF(AND($J44=1,$M44=0),IF(S44="",0,S44*R44)+IF(V44="",0,V44*U44)+IF(Y44="",0,Y44*X44),"")</f>
        <v/>
      </c>
      <c r="AF44" s="12" t="str">
        <f aca="false">IF(AND($J44=1,$M44=0),MIN((AC44-E44)/Span_P,(AD44-F44)/Span_S,(AE44-G44)/Span_B),"")</f>
        <v/>
      </c>
      <c r="AG44" s="15" t="str">
        <f aca="false">IF(AND($J44=1,$M44=0),IF(AF44&gt;0.0000001,1,0),"")</f>
        <v/>
      </c>
      <c r="AH44" s="15" t="str">
        <f aca="false">IF($J44=1,IF($M44=1,AB44,AG44),"")</f>
        <v/>
      </c>
      <c r="AI44" s="13" t="str">
        <f aca="false">IF($J44=1,(Ideal_P-E44)/Span_P,"")</f>
        <v/>
      </c>
      <c r="AJ44" s="13" t="str">
        <f aca="false">IF($J44=1,(Ideal_S-F44)/Span_S,"")</f>
        <v/>
      </c>
      <c r="AK44" s="13" t="str">
        <f aca="false">IF($J44=1,(Ideal_B-G44)/Span_B,"")</f>
        <v/>
      </c>
      <c r="AL44" s="12" t="str">
        <f aca="false">IF($J44=1,MAX(ChA_1*AI44,ChA_2*AJ44,ChA_3*AK44)+Rho*(ChA_1*AI44+ChA_2*AJ44+ChA_3*AK44),"")</f>
        <v/>
      </c>
      <c r="AM44" s="12" t="str">
        <f aca="false">IF($J44=1,MAX(ChB_1*AI44,ChB_2*AJ44,ChB_3*AK44)+Rho*(ChB_1*AI44+ChB_2*AJ44+ChB_3*AK44),"")</f>
        <v/>
      </c>
      <c r="AN44" s="12" t="str">
        <f aca="false">IF($J44=1,MAX(Cx_1*(Ref_P-E44)/Span_P,Cx_2*(Ref_S-F44)/Span_S,Cx_3*(Ref_B-G44)/Span_B),"")</f>
        <v/>
      </c>
    </row>
    <row r="45" customFormat="false" ht="15" hidden="false" customHeight="false" outlineLevel="0" collapsed="false">
      <c r="A45" s="2" t="n">
        <v>39</v>
      </c>
      <c r="B45" s="15" t="n">
        <f aca="false">INT(A45/151)</f>
        <v>0</v>
      </c>
      <c r="C45" s="15" t="n">
        <f aca="false">MOD(A45,151)</f>
        <v>39</v>
      </c>
      <c r="D45" s="15" t="n">
        <f aca="false">INDEX(Grid!$J$6:$P$156,C45+1,B45+1)</f>
        <v>1</v>
      </c>
      <c r="E45" s="16" t="n">
        <f aca="false">IF(D45=1,INDEX(Grid!$B$6:$H$156,C45+1,B45+1),"")</f>
        <v>100.909090909091</v>
      </c>
      <c r="F45" s="13" t="n">
        <f aca="false">Val_pt*(Ceiling_e-E_zero)*(1-(1-Half_gap)^B45)</f>
        <v>0</v>
      </c>
      <c r="G45" s="15" t="n">
        <f aca="false">C45</f>
        <v>39</v>
      </c>
      <c r="H45" s="15" t="n">
        <f aca="false">IF(D45=1,INDEX(Grid!$R$6:$X$156,C45+1,B45+1),"")</f>
        <v>0</v>
      </c>
      <c r="I45" s="2" t="str">
        <f aca="false">IF(D45=1,INDEX(Sch_label,H45+1),"")</f>
        <v>none</v>
      </c>
      <c r="J45" s="15" t="n">
        <f aca="false">IF(D45=1,INDEX(Grid!$Z$6:$AF$156,C45+1,B45+1),0)</f>
        <v>0</v>
      </c>
      <c r="K45" s="16" t="n">
        <f aca="false">IF(J45=1,E45,0)</f>
        <v>0</v>
      </c>
      <c r="L45" s="17" t="n">
        <f aca="false">IF(D45=1,E45+W_board*F45,"")</f>
        <v>100.909090909091</v>
      </c>
      <c r="Z45" s="12" t="str">
        <f aca="false">IF(AND($J45=1,$M45=1),N45*E45/Span_P+O45*F45/Span_S+P45*G45/Span_B,"")</f>
        <v/>
      </c>
      <c r="AA45" s="12" t="str">
        <f aca="false">IF(AND($J45=1,$M45=1),SUMPRODUCT(MAX($J$6:$J$1062*(N45*$K$6:$K$1062/Span_P+O45*$F$6:$F$1062/Span_S+P45*$G$6:$G$1062/Span_B)-(1-$J$6:$J$1062)*1000000000)),"")</f>
        <v/>
      </c>
      <c r="AB45" s="15" t="str">
        <f aca="false">IF(AND($J45=1,$M45=1),IF(AA45-Z45&lt;=0.000000001,1,0),"")</f>
        <v/>
      </c>
      <c r="AC45" s="13" t="str">
        <f aca="false">IF(AND($J45=1,$M45=0),IF(S45="",0,S45*INDEX(Grid!$B$6:$H$156,R45+1,Q45+1))+IF(V45="",0,V45*INDEX(Grid!$B$6:$H$156,U45+1,T45+1))+IF(Y45="",0,Y45*INDEX(Grid!$B$6:$H$156,X45+1,W45+1)),"")</f>
        <v/>
      </c>
      <c r="AD45" s="13" t="str">
        <f aca="false">IF(AND($J45=1,$M45=0),IF(S45="",0,S45*Val_pt*(Ceiling_e-E_zero)*(1-(1-Half_gap)^Q45))+IF(V45="",0,V45*Val_pt*(Ceiling_e-E_zero)*(1-(1-Half_gap)^T45))+IF(Y45="",0,Y45*Val_pt*(Ceiling_e-E_zero)*(1-(1-Half_gap)^W45)),"")</f>
        <v/>
      </c>
      <c r="AE45" s="13" t="str">
        <f aca="false">IF(AND($J45=1,$M45=0),IF(S45="",0,S45*R45)+IF(V45="",0,V45*U45)+IF(Y45="",0,Y45*X45),"")</f>
        <v/>
      </c>
      <c r="AF45" s="12" t="str">
        <f aca="false">IF(AND($J45=1,$M45=0),MIN((AC45-E45)/Span_P,(AD45-F45)/Span_S,(AE45-G45)/Span_B),"")</f>
        <v/>
      </c>
      <c r="AG45" s="15" t="str">
        <f aca="false">IF(AND($J45=1,$M45=0),IF(AF45&gt;0.0000001,1,0),"")</f>
        <v/>
      </c>
      <c r="AH45" s="15" t="str">
        <f aca="false">IF($J45=1,IF($M45=1,AB45,AG45),"")</f>
        <v/>
      </c>
      <c r="AI45" s="13" t="str">
        <f aca="false">IF($J45=1,(Ideal_P-E45)/Span_P,"")</f>
        <v/>
      </c>
      <c r="AJ45" s="13" t="str">
        <f aca="false">IF($J45=1,(Ideal_S-F45)/Span_S,"")</f>
        <v/>
      </c>
      <c r="AK45" s="13" t="str">
        <f aca="false">IF($J45=1,(Ideal_B-G45)/Span_B,"")</f>
        <v/>
      </c>
      <c r="AL45" s="12" t="str">
        <f aca="false">IF($J45=1,MAX(ChA_1*AI45,ChA_2*AJ45,ChA_3*AK45)+Rho*(ChA_1*AI45+ChA_2*AJ45+ChA_3*AK45),"")</f>
        <v/>
      </c>
      <c r="AM45" s="12" t="str">
        <f aca="false">IF($J45=1,MAX(ChB_1*AI45,ChB_2*AJ45,ChB_3*AK45)+Rho*(ChB_1*AI45+ChB_2*AJ45+ChB_3*AK45),"")</f>
        <v/>
      </c>
      <c r="AN45" s="12" t="str">
        <f aca="false">IF($J45=1,MAX(Cx_1*(Ref_P-E45)/Span_P,Cx_2*(Ref_S-F45)/Span_S,Cx_3*(Ref_B-G45)/Span_B),"")</f>
        <v/>
      </c>
    </row>
    <row r="46" customFormat="false" ht="15" hidden="false" customHeight="false" outlineLevel="0" collapsed="false">
      <c r="A46" s="2" t="n">
        <v>40</v>
      </c>
      <c r="B46" s="15" t="n">
        <f aca="false">INT(A46/151)</f>
        <v>0</v>
      </c>
      <c r="C46" s="15" t="n">
        <f aca="false">MOD(A46,151)</f>
        <v>40</v>
      </c>
      <c r="D46" s="15" t="n">
        <f aca="false">INDEX(Grid!$J$6:$P$156,C46+1,B46+1)</f>
        <v>1</v>
      </c>
      <c r="E46" s="16" t="n">
        <f aca="false">IF(D46=1,INDEX(Grid!$B$6:$H$156,C46+1,B46+1),"")</f>
        <v>100</v>
      </c>
      <c r="F46" s="13" t="n">
        <f aca="false">Val_pt*(Ceiling_e-E_zero)*(1-(1-Half_gap)^B46)</f>
        <v>0</v>
      </c>
      <c r="G46" s="15" t="n">
        <f aca="false">C46</f>
        <v>40</v>
      </c>
      <c r="H46" s="15" t="n">
        <f aca="false">IF(D46=1,INDEX(Grid!$R$6:$X$156,C46+1,B46+1),"")</f>
        <v>0</v>
      </c>
      <c r="I46" s="2" t="str">
        <f aca="false">IF(D46=1,INDEX(Sch_label,H46+1),"")</f>
        <v>none</v>
      </c>
      <c r="J46" s="15" t="n">
        <f aca="false">IF(D46=1,INDEX(Grid!$Z$6:$AF$156,C46+1,B46+1),0)</f>
        <v>0</v>
      </c>
      <c r="K46" s="16" t="n">
        <f aca="false">IF(J46=1,E46,0)</f>
        <v>0</v>
      </c>
      <c r="L46" s="17" t="n">
        <f aca="false">IF(D46=1,E46+W_board*F46,"")</f>
        <v>100</v>
      </c>
      <c r="Z46" s="12" t="str">
        <f aca="false">IF(AND($J46=1,$M46=1),N46*E46/Span_P+O46*F46/Span_S+P46*G46/Span_B,"")</f>
        <v/>
      </c>
      <c r="AA46" s="12" t="str">
        <f aca="false">IF(AND($J46=1,$M46=1),SUMPRODUCT(MAX($J$6:$J$1062*(N46*$K$6:$K$1062/Span_P+O46*$F$6:$F$1062/Span_S+P46*$G$6:$G$1062/Span_B)-(1-$J$6:$J$1062)*1000000000)),"")</f>
        <v/>
      </c>
      <c r="AB46" s="15" t="str">
        <f aca="false">IF(AND($J46=1,$M46=1),IF(AA46-Z46&lt;=0.000000001,1,0),"")</f>
        <v/>
      </c>
      <c r="AC46" s="13" t="str">
        <f aca="false">IF(AND($J46=1,$M46=0),IF(S46="",0,S46*INDEX(Grid!$B$6:$H$156,R46+1,Q46+1))+IF(V46="",0,V46*INDEX(Grid!$B$6:$H$156,U46+1,T46+1))+IF(Y46="",0,Y46*INDEX(Grid!$B$6:$H$156,X46+1,W46+1)),"")</f>
        <v/>
      </c>
      <c r="AD46" s="13" t="str">
        <f aca="false">IF(AND($J46=1,$M46=0),IF(S46="",0,S46*Val_pt*(Ceiling_e-E_zero)*(1-(1-Half_gap)^Q46))+IF(V46="",0,V46*Val_pt*(Ceiling_e-E_zero)*(1-(1-Half_gap)^T46))+IF(Y46="",0,Y46*Val_pt*(Ceiling_e-E_zero)*(1-(1-Half_gap)^W46)),"")</f>
        <v/>
      </c>
      <c r="AE46" s="13" t="str">
        <f aca="false">IF(AND($J46=1,$M46=0),IF(S46="",0,S46*R46)+IF(V46="",0,V46*U46)+IF(Y46="",0,Y46*X46),"")</f>
        <v/>
      </c>
      <c r="AF46" s="12" t="str">
        <f aca="false">IF(AND($J46=1,$M46=0),MIN((AC46-E46)/Span_P,(AD46-F46)/Span_S,(AE46-G46)/Span_B),"")</f>
        <v/>
      </c>
      <c r="AG46" s="15" t="str">
        <f aca="false">IF(AND($J46=1,$M46=0),IF(AF46&gt;0.0000001,1,0),"")</f>
        <v/>
      </c>
      <c r="AH46" s="15" t="str">
        <f aca="false">IF($J46=1,IF($M46=1,AB46,AG46),"")</f>
        <v/>
      </c>
      <c r="AI46" s="13" t="str">
        <f aca="false">IF($J46=1,(Ideal_P-E46)/Span_P,"")</f>
        <v/>
      </c>
      <c r="AJ46" s="13" t="str">
        <f aca="false">IF($J46=1,(Ideal_S-F46)/Span_S,"")</f>
        <v/>
      </c>
      <c r="AK46" s="13" t="str">
        <f aca="false">IF($J46=1,(Ideal_B-G46)/Span_B,"")</f>
        <v/>
      </c>
      <c r="AL46" s="12" t="str">
        <f aca="false">IF($J46=1,MAX(ChA_1*AI46,ChA_2*AJ46,ChA_3*AK46)+Rho*(ChA_1*AI46+ChA_2*AJ46+ChA_3*AK46),"")</f>
        <v/>
      </c>
      <c r="AM46" s="12" t="str">
        <f aca="false">IF($J46=1,MAX(ChB_1*AI46,ChB_2*AJ46,ChB_3*AK46)+Rho*(ChB_1*AI46+ChB_2*AJ46+ChB_3*AK46),"")</f>
        <v/>
      </c>
      <c r="AN46" s="12" t="str">
        <f aca="false">IF($J46=1,MAX(Cx_1*(Ref_P-E46)/Span_P,Cx_2*(Ref_S-F46)/Span_S,Cx_3*(Ref_B-G46)/Span_B),"")</f>
        <v/>
      </c>
    </row>
    <row r="47" customFormat="false" ht="15" hidden="false" customHeight="false" outlineLevel="0" collapsed="false">
      <c r="A47" s="2" t="n">
        <v>41</v>
      </c>
      <c r="B47" s="15" t="n">
        <f aca="false">INT(A47/151)</f>
        <v>0</v>
      </c>
      <c r="C47" s="15" t="n">
        <f aca="false">MOD(A47,151)</f>
        <v>41</v>
      </c>
      <c r="D47" s="15" t="n">
        <f aca="false">INDEX(Grid!$J$6:$P$156,C47+1,B47+1)</f>
        <v>1</v>
      </c>
      <c r="E47" s="16" t="n">
        <f aca="false">IF(D47=1,INDEX(Grid!$B$6:$H$156,C47+1,B47+1),"")</f>
        <v>99.0909090909091</v>
      </c>
      <c r="F47" s="13" t="n">
        <f aca="false">Val_pt*(Ceiling_e-E_zero)*(1-(1-Half_gap)^B47)</f>
        <v>0</v>
      </c>
      <c r="G47" s="15" t="n">
        <f aca="false">C47</f>
        <v>41</v>
      </c>
      <c r="H47" s="15" t="n">
        <f aca="false">IF(D47=1,INDEX(Grid!$R$6:$X$156,C47+1,B47+1),"")</f>
        <v>0</v>
      </c>
      <c r="I47" s="2" t="str">
        <f aca="false">IF(D47=1,INDEX(Sch_label,H47+1),"")</f>
        <v>none</v>
      </c>
      <c r="J47" s="15" t="n">
        <f aca="false">IF(D47=1,INDEX(Grid!$Z$6:$AF$156,C47+1,B47+1),0)</f>
        <v>0</v>
      </c>
      <c r="K47" s="16" t="n">
        <f aca="false">IF(J47=1,E47,0)</f>
        <v>0</v>
      </c>
      <c r="L47" s="17" t="n">
        <f aca="false">IF(D47=1,E47+W_board*F47,"")</f>
        <v>99.0909090909091</v>
      </c>
      <c r="Z47" s="12" t="str">
        <f aca="false">IF(AND($J47=1,$M47=1),N47*E47/Span_P+O47*F47/Span_S+P47*G47/Span_B,"")</f>
        <v/>
      </c>
      <c r="AA47" s="12" t="str">
        <f aca="false">IF(AND($J47=1,$M47=1),SUMPRODUCT(MAX($J$6:$J$1062*(N47*$K$6:$K$1062/Span_P+O47*$F$6:$F$1062/Span_S+P47*$G$6:$G$1062/Span_B)-(1-$J$6:$J$1062)*1000000000)),"")</f>
        <v/>
      </c>
      <c r="AB47" s="15" t="str">
        <f aca="false">IF(AND($J47=1,$M47=1),IF(AA47-Z47&lt;=0.000000001,1,0),"")</f>
        <v/>
      </c>
      <c r="AC47" s="13" t="str">
        <f aca="false">IF(AND($J47=1,$M47=0),IF(S47="",0,S47*INDEX(Grid!$B$6:$H$156,R47+1,Q47+1))+IF(V47="",0,V47*INDEX(Grid!$B$6:$H$156,U47+1,T47+1))+IF(Y47="",0,Y47*INDEX(Grid!$B$6:$H$156,X47+1,W47+1)),"")</f>
        <v/>
      </c>
      <c r="AD47" s="13" t="str">
        <f aca="false">IF(AND($J47=1,$M47=0),IF(S47="",0,S47*Val_pt*(Ceiling_e-E_zero)*(1-(1-Half_gap)^Q47))+IF(V47="",0,V47*Val_pt*(Ceiling_e-E_zero)*(1-(1-Half_gap)^T47))+IF(Y47="",0,Y47*Val_pt*(Ceiling_e-E_zero)*(1-(1-Half_gap)^W47)),"")</f>
        <v/>
      </c>
      <c r="AE47" s="13" t="str">
        <f aca="false">IF(AND($J47=1,$M47=0),IF(S47="",0,S47*R47)+IF(V47="",0,V47*U47)+IF(Y47="",0,Y47*X47),"")</f>
        <v/>
      </c>
      <c r="AF47" s="12" t="str">
        <f aca="false">IF(AND($J47=1,$M47=0),MIN((AC47-E47)/Span_P,(AD47-F47)/Span_S,(AE47-G47)/Span_B),"")</f>
        <v/>
      </c>
      <c r="AG47" s="15" t="str">
        <f aca="false">IF(AND($J47=1,$M47=0),IF(AF47&gt;0.0000001,1,0),"")</f>
        <v/>
      </c>
      <c r="AH47" s="15" t="str">
        <f aca="false">IF($J47=1,IF($M47=1,AB47,AG47),"")</f>
        <v/>
      </c>
      <c r="AI47" s="13" t="str">
        <f aca="false">IF($J47=1,(Ideal_P-E47)/Span_P,"")</f>
        <v/>
      </c>
      <c r="AJ47" s="13" t="str">
        <f aca="false">IF($J47=1,(Ideal_S-F47)/Span_S,"")</f>
        <v/>
      </c>
      <c r="AK47" s="13" t="str">
        <f aca="false">IF($J47=1,(Ideal_B-G47)/Span_B,"")</f>
        <v/>
      </c>
      <c r="AL47" s="12" t="str">
        <f aca="false">IF($J47=1,MAX(ChA_1*AI47,ChA_2*AJ47,ChA_3*AK47)+Rho*(ChA_1*AI47+ChA_2*AJ47+ChA_3*AK47),"")</f>
        <v/>
      </c>
      <c r="AM47" s="12" t="str">
        <f aca="false">IF($J47=1,MAX(ChB_1*AI47,ChB_2*AJ47,ChB_3*AK47)+Rho*(ChB_1*AI47+ChB_2*AJ47+ChB_3*AK47),"")</f>
        <v/>
      </c>
      <c r="AN47" s="12" t="str">
        <f aca="false">IF($J47=1,MAX(Cx_1*(Ref_P-E47)/Span_P,Cx_2*(Ref_S-F47)/Span_S,Cx_3*(Ref_B-G47)/Span_B),"")</f>
        <v/>
      </c>
    </row>
    <row r="48" customFormat="false" ht="15" hidden="false" customHeight="false" outlineLevel="0" collapsed="false">
      <c r="A48" s="2" t="n">
        <v>42</v>
      </c>
      <c r="B48" s="15" t="n">
        <f aca="false">INT(A48/151)</f>
        <v>0</v>
      </c>
      <c r="C48" s="15" t="n">
        <f aca="false">MOD(A48,151)</f>
        <v>42</v>
      </c>
      <c r="D48" s="15" t="n">
        <f aca="false">INDEX(Grid!$J$6:$P$156,C48+1,B48+1)</f>
        <v>1</v>
      </c>
      <c r="E48" s="16" t="n">
        <f aca="false">IF(D48=1,INDEX(Grid!$B$6:$H$156,C48+1,B48+1),"")</f>
        <v>98.1818181818182</v>
      </c>
      <c r="F48" s="13" t="n">
        <f aca="false">Val_pt*(Ceiling_e-E_zero)*(1-(1-Half_gap)^B48)</f>
        <v>0</v>
      </c>
      <c r="G48" s="15" t="n">
        <f aca="false">C48</f>
        <v>42</v>
      </c>
      <c r="H48" s="15" t="n">
        <f aca="false">IF(D48=1,INDEX(Grid!$R$6:$X$156,C48+1,B48+1),"")</f>
        <v>0</v>
      </c>
      <c r="I48" s="2" t="str">
        <f aca="false">IF(D48=1,INDEX(Sch_label,H48+1),"")</f>
        <v>none</v>
      </c>
      <c r="J48" s="15" t="n">
        <f aca="false">IF(D48=1,INDEX(Grid!$Z$6:$AF$156,C48+1,B48+1),0)</f>
        <v>0</v>
      </c>
      <c r="K48" s="16" t="n">
        <f aca="false">IF(J48=1,E48,0)</f>
        <v>0</v>
      </c>
      <c r="L48" s="17" t="n">
        <f aca="false">IF(D48=1,E48+W_board*F48,"")</f>
        <v>98.1818181818182</v>
      </c>
      <c r="Z48" s="12" t="str">
        <f aca="false">IF(AND($J48=1,$M48=1),N48*E48/Span_P+O48*F48/Span_S+P48*G48/Span_B,"")</f>
        <v/>
      </c>
      <c r="AA48" s="12" t="str">
        <f aca="false">IF(AND($J48=1,$M48=1),SUMPRODUCT(MAX($J$6:$J$1062*(N48*$K$6:$K$1062/Span_P+O48*$F$6:$F$1062/Span_S+P48*$G$6:$G$1062/Span_B)-(1-$J$6:$J$1062)*1000000000)),"")</f>
        <v/>
      </c>
      <c r="AB48" s="15" t="str">
        <f aca="false">IF(AND($J48=1,$M48=1),IF(AA48-Z48&lt;=0.000000001,1,0),"")</f>
        <v/>
      </c>
      <c r="AC48" s="13" t="str">
        <f aca="false">IF(AND($J48=1,$M48=0),IF(S48="",0,S48*INDEX(Grid!$B$6:$H$156,R48+1,Q48+1))+IF(V48="",0,V48*INDEX(Grid!$B$6:$H$156,U48+1,T48+1))+IF(Y48="",0,Y48*INDEX(Grid!$B$6:$H$156,X48+1,W48+1)),"")</f>
        <v/>
      </c>
      <c r="AD48" s="13" t="str">
        <f aca="false">IF(AND($J48=1,$M48=0),IF(S48="",0,S48*Val_pt*(Ceiling_e-E_zero)*(1-(1-Half_gap)^Q48))+IF(V48="",0,V48*Val_pt*(Ceiling_e-E_zero)*(1-(1-Half_gap)^T48))+IF(Y48="",0,Y48*Val_pt*(Ceiling_e-E_zero)*(1-(1-Half_gap)^W48)),"")</f>
        <v/>
      </c>
      <c r="AE48" s="13" t="str">
        <f aca="false">IF(AND($J48=1,$M48=0),IF(S48="",0,S48*R48)+IF(V48="",0,V48*U48)+IF(Y48="",0,Y48*X48),"")</f>
        <v/>
      </c>
      <c r="AF48" s="12" t="str">
        <f aca="false">IF(AND($J48=1,$M48=0),MIN((AC48-E48)/Span_P,(AD48-F48)/Span_S,(AE48-G48)/Span_B),"")</f>
        <v/>
      </c>
      <c r="AG48" s="15" t="str">
        <f aca="false">IF(AND($J48=1,$M48=0),IF(AF48&gt;0.0000001,1,0),"")</f>
        <v/>
      </c>
      <c r="AH48" s="15" t="str">
        <f aca="false">IF($J48=1,IF($M48=1,AB48,AG48),"")</f>
        <v/>
      </c>
      <c r="AI48" s="13" t="str">
        <f aca="false">IF($J48=1,(Ideal_P-E48)/Span_P,"")</f>
        <v/>
      </c>
      <c r="AJ48" s="13" t="str">
        <f aca="false">IF($J48=1,(Ideal_S-F48)/Span_S,"")</f>
        <v/>
      </c>
      <c r="AK48" s="13" t="str">
        <f aca="false">IF($J48=1,(Ideal_B-G48)/Span_B,"")</f>
        <v/>
      </c>
      <c r="AL48" s="12" t="str">
        <f aca="false">IF($J48=1,MAX(ChA_1*AI48,ChA_2*AJ48,ChA_3*AK48)+Rho*(ChA_1*AI48+ChA_2*AJ48+ChA_3*AK48),"")</f>
        <v/>
      </c>
      <c r="AM48" s="12" t="str">
        <f aca="false">IF($J48=1,MAX(ChB_1*AI48,ChB_2*AJ48,ChB_3*AK48)+Rho*(ChB_1*AI48+ChB_2*AJ48+ChB_3*AK48),"")</f>
        <v/>
      </c>
      <c r="AN48" s="12" t="str">
        <f aca="false">IF($J48=1,MAX(Cx_1*(Ref_P-E48)/Span_P,Cx_2*(Ref_S-F48)/Span_S,Cx_3*(Ref_B-G48)/Span_B),"")</f>
        <v/>
      </c>
    </row>
    <row r="49" customFormat="false" ht="15" hidden="false" customHeight="false" outlineLevel="0" collapsed="false">
      <c r="A49" s="2" t="n">
        <v>43</v>
      </c>
      <c r="B49" s="15" t="n">
        <f aca="false">INT(A49/151)</f>
        <v>0</v>
      </c>
      <c r="C49" s="15" t="n">
        <f aca="false">MOD(A49,151)</f>
        <v>43</v>
      </c>
      <c r="D49" s="15" t="n">
        <f aca="false">INDEX(Grid!$J$6:$P$156,C49+1,B49+1)</f>
        <v>1</v>
      </c>
      <c r="E49" s="16" t="n">
        <f aca="false">IF(D49=1,INDEX(Grid!$B$6:$H$156,C49+1,B49+1),"")</f>
        <v>97.2727272727273</v>
      </c>
      <c r="F49" s="13" t="n">
        <f aca="false">Val_pt*(Ceiling_e-E_zero)*(1-(1-Half_gap)^B49)</f>
        <v>0</v>
      </c>
      <c r="G49" s="15" t="n">
        <f aca="false">C49</f>
        <v>43</v>
      </c>
      <c r="H49" s="15" t="n">
        <f aca="false">IF(D49=1,INDEX(Grid!$R$6:$X$156,C49+1,B49+1),"")</f>
        <v>0</v>
      </c>
      <c r="I49" s="2" t="str">
        <f aca="false">IF(D49=1,INDEX(Sch_label,H49+1),"")</f>
        <v>none</v>
      </c>
      <c r="J49" s="15" t="n">
        <f aca="false">IF(D49=1,INDEX(Grid!$Z$6:$AF$156,C49+1,B49+1),0)</f>
        <v>0</v>
      </c>
      <c r="K49" s="16" t="n">
        <f aca="false">IF(J49=1,E49,0)</f>
        <v>0</v>
      </c>
      <c r="L49" s="17" t="n">
        <f aca="false">IF(D49=1,E49+W_board*F49,"")</f>
        <v>97.2727272727273</v>
      </c>
      <c r="Z49" s="12" t="str">
        <f aca="false">IF(AND($J49=1,$M49=1),N49*E49/Span_P+O49*F49/Span_S+P49*G49/Span_B,"")</f>
        <v/>
      </c>
      <c r="AA49" s="12" t="str">
        <f aca="false">IF(AND($J49=1,$M49=1),SUMPRODUCT(MAX($J$6:$J$1062*(N49*$K$6:$K$1062/Span_P+O49*$F$6:$F$1062/Span_S+P49*$G$6:$G$1062/Span_B)-(1-$J$6:$J$1062)*1000000000)),"")</f>
        <v/>
      </c>
      <c r="AB49" s="15" t="str">
        <f aca="false">IF(AND($J49=1,$M49=1),IF(AA49-Z49&lt;=0.000000001,1,0),"")</f>
        <v/>
      </c>
      <c r="AC49" s="13" t="str">
        <f aca="false">IF(AND($J49=1,$M49=0),IF(S49="",0,S49*INDEX(Grid!$B$6:$H$156,R49+1,Q49+1))+IF(V49="",0,V49*INDEX(Grid!$B$6:$H$156,U49+1,T49+1))+IF(Y49="",0,Y49*INDEX(Grid!$B$6:$H$156,X49+1,W49+1)),"")</f>
        <v/>
      </c>
      <c r="AD49" s="13" t="str">
        <f aca="false">IF(AND($J49=1,$M49=0),IF(S49="",0,S49*Val_pt*(Ceiling_e-E_zero)*(1-(1-Half_gap)^Q49))+IF(V49="",0,V49*Val_pt*(Ceiling_e-E_zero)*(1-(1-Half_gap)^T49))+IF(Y49="",0,Y49*Val_pt*(Ceiling_e-E_zero)*(1-(1-Half_gap)^W49)),"")</f>
        <v/>
      </c>
      <c r="AE49" s="13" t="str">
        <f aca="false">IF(AND($J49=1,$M49=0),IF(S49="",0,S49*R49)+IF(V49="",0,V49*U49)+IF(Y49="",0,Y49*X49),"")</f>
        <v/>
      </c>
      <c r="AF49" s="12" t="str">
        <f aca="false">IF(AND($J49=1,$M49=0),MIN((AC49-E49)/Span_P,(AD49-F49)/Span_S,(AE49-G49)/Span_B),"")</f>
        <v/>
      </c>
      <c r="AG49" s="15" t="str">
        <f aca="false">IF(AND($J49=1,$M49=0),IF(AF49&gt;0.0000001,1,0),"")</f>
        <v/>
      </c>
      <c r="AH49" s="15" t="str">
        <f aca="false">IF($J49=1,IF($M49=1,AB49,AG49),"")</f>
        <v/>
      </c>
      <c r="AI49" s="13" t="str">
        <f aca="false">IF($J49=1,(Ideal_P-E49)/Span_P,"")</f>
        <v/>
      </c>
      <c r="AJ49" s="13" t="str">
        <f aca="false">IF($J49=1,(Ideal_S-F49)/Span_S,"")</f>
        <v/>
      </c>
      <c r="AK49" s="13" t="str">
        <f aca="false">IF($J49=1,(Ideal_B-G49)/Span_B,"")</f>
        <v/>
      </c>
      <c r="AL49" s="12" t="str">
        <f aca="false">IF($J49=1,MAX(ChA_1*AI49,ChA_2*AJ49,ChA_3*AK49)+Rho*(ChA_1*AI49+ChA_2*AJ49+ChA_3*AK49),"")</f>
        <v/>
      </c>
      <c r="AM49" s="12" t="str">
        <f aca="false">IF($J49=1,MAX(ChB_1*AI49,ChB_2*AJ49,ChB_3*AK49)+Rho*(ChB_1*AI49+ChB_2*AJ49+ChB_3*AK49),"")</f>
        <v/>
      </c>
      <c r="AN49" s="12" t="str">
        <f aca="false">IF($J49=1,MAX(Cx_1*(Ref_P-E49)/Span_P,Cx_2*(Ref_S-F49)/Span_S,Cx_3*(Ref_B-G49)/Span_B),"")</f>
        <v/>
      </c>
    </row>
    <row r="50" customFormat="false" ht="15" hidden="false" customHeight="false" outlineLevel="0" collapsed="false">
      <c r="A50" s="2" t="n">
        <v>44</v>
      </c>
      <c r="B50" s="15" t="n">
        <f aca="false">INT(A50/151)</f>
        <v>0</v>
      </c>
      <c r="C50" s="15" t="n">
        <f aca="false">MOD(A50,151)</f>
        <v>44</v>
      </c>
      <c r="D50" s="15" t="n">
        <f aca="false">INDEX(Grid!$J$6:$P$156,C50+1,B50+1)</f>
        <v>1</v>
      </c>
      <c r="E50" s="16" t="n">
        <f aca="false">IF(D50=1,INDEX(Grid!$B$6:$H$156,C50+1,B50+1),"")</f>
        <v>96.3636363636364</v>
      </c>
      <c r="F50" s="13" t="n">
        <f aca="false">Val_pt*(Ceiling_e-E_zero)*(1-(1-Half_gap)^B50)</f>
        <v>0</v>
      </c>
      <c r="G50" s="15" t="n">
        <f aca="false">C50</f>
        <v>44</v>
      </c>
      <c r="H50" s="15" t="n">
        <f aca="false">IF(D50=1,INDEX(Grid!$R$6:$X$156,C50+1,B50+1),"")</f>
        <v>0</v>
      </c>
      <c r="I50" s="2" t="str">
        <f aca="false">IF(D50=1,INDEX(Sch_label,H50+1),"")</f>
        <v>none</v>
      </c>
      <c r="J50" s="15" t="n">
        <f aca="false">IF(D50=1,INDEX(Grid!$Z$6:$AF$156,C50+1,B50+1),0)</f>
        <v>0</v>
      </c>
      <c r="K50" s="16" t="n">
        <f aca="false">IF(J50=1,E50,0)</f>
        <v>0</v>
      </c>
      <c r="L50" s="17" t="n">
        <f aca="false">IF(D50=1,E50+W_board*F50,"")</f>
        <v>96.3636363636364</v>
      </c>
      <c r="Z50" s="12" t="str">
        <f aca="false">IF(AND($J50=1,$M50=1),N50*E50/Span_P+O50*F50/Span_S+P50*G50/Span_B,"")</f>
        <v/>
      </c>
      <c r="AA50" s="12" t="str">
        <f aca="false">IF(AND($J50=1,$M50=1),SUMPRODUCT(MAX($J$6:$J$1062*(N50*$K$6:$K$1062/Span_P+O50*$F$6:$F$1062/Span_S+P50*$G$6:$G$1062/Span_B)-(1-$J$6:$J$1062)*1000000000)),"")</f>
        <v/>
      </c>
      <c r="AB50" s="15" t="str">
        <f aca="false">IF(AND($J50=1,$M50=1),IF(AA50-Z50&lt;=0.000000001,1,0),"")</f>
        <v/>
      </c>
      <c r="AC50" s="13" t="str">
        <f aca="false">IF(AND($J50=1,$M50=0),IF(S50="",0,S50*INDEX(Grid!$B$6:$H$156,R50+1,Q50+1))+IF(V50="",0,V50*INDEX(Grid!$B$6:$H$156,U50+1,T50+1))+IF(Y50="",0,Y50*INDEX(Grid!$B$6:$H$156,X50+1,W50+1)),"")</f>
        <v/>
      </c>
      <c r="AD50" s="13" t="str">
        <f aca="false">IF(AND($J50=1,$M50=0),IF(S50="",0,S50*Val_pt*(Ceiling_e-E_zero)*(1-(1-Half_gap)^Q50))+IF(V50="",0,V50*Val_pt*(Ceiling_e-E_zero)*(1-(1-Half_gap)^T50))+IF(Y50="",0,Y50*Val_pt*(Ceiling_e-E_zero)*(1-(1-Half_gap)^W50)),"")</f>
        <v/>
      </c>
      <c r="AE50" s="13" t="str">
        <f aca="false">IF(AND($J50=1,$M50=0),IF(S50="",0,S50*R50)+IF(V50="",0,V50*U50)+IF(Y50="",0,Y50*X50),"")</f>
        <v/>
      </c>
      <c r="AF50" s="12" t="str">
        <f aca="false">IF(AND($J50=1,$M50=0),MIN((AC50-E50)/Span_P,(AD50-F50)/Span_S,(AE50-G50)/Span_B),"")</f>
        <v/>
      </c>
      <c r="AG50" s="15" t="str">
        <f aca="false">IF(AND($J50=1,$M50=0),IF(AF50&gt;0.0000001,1,0),"")</f>
        <v/>
      </c>
      <c r="AH50" s="15" t="str">
        <f aca="false">IF($J50=1,IF($M50=1,AB50,AG50),"")</f>
        <v/>
      </c>
      <c r="AI50" s="13" t="str">
        <f aca="false">IF($J50=1,(Ideal_P-E50)/Span_P,"")</f>
        <v/>
      </c>
      <c r="AJ50" s="13" t="str">
        <f aca="false">IF($J50=1,(Ideal_S-F50)/Span_S,"")</f>
        <v/>
      </c>
      <c r="AK50" s="13" t="str">
        <f aca="false">IF($J50=1,(Ideal_B-G50)/Span_B,"")</f>
        <v/>
      </c>
      <c r="AL50" s="12" t="str">
        <f aca="false">IF($J50=1,MAX(ChA_1*AI50,ChA_2*AJ50,ChA_3*AK50)+Rho*(ChA_1*AI50+ChA_2*AJ50+ChA_3*AK50),"")</f>
        <v/>
      </c>
      <c r="AM50" s="12" t="str">
        <f aca="false">IF($J50=1,MAX(ChB_1*AI50,ChB_2*AJ50,ChB_3*AK50)+Rho*(ChB_1*AI50+ChB_2*AJ50+ChB_3*AK50),"")</f>
        <v/>
      </c>
      <c r="AN50" s="12" t="str">
        <f aca="false">IF($J50=1,MAX(Cx_1*(Ref_P-E50)/Span_P,Cx_2*(Ref_S-F50)/Span_S,Cx_3*(Ref_B-G50)/Span_B),"")</f>
        <v/>
      </c>
    </row>
    <row r="51" customFormat="false" ht="15" hidden="false" customHeight="false" outlineLevel="0" collapsed="false">
      <c r="A51" s="2" t="n">
        <v>45</v>
      </c>
      <c r="B51" s="15" t="n">
        <f aca="false">INT(A51/151)</f>
        <v>0</v>
      </c>
      <c r="C51" s="15" t="n">
        <f aca="false">MOD(A51,151)</f>
        <v>45</v>
      </c>
      <c r="D51" s="15" t="n">
        <f aca="false">INDEX(Grid!$J$6:$P$156,C51+1,B51+1)</f>
        <v>1</v>
      </c>
      <c r="E51" s="16" t="n">
        <f aca="false">IF(D51=1,INDEX(Grid!$B$6:$H$156,C51+1,B51+1),"")</f>
        <v>95.4545454545454</v>
      </c>
      <c r="F51" s="13" t="n">
        <f aca="false">Val_pt*(Ceiling_e-E_zero)*(1-(1-Half_gap)^B51)</f>
        <v>0</v>
      </c>
      <c r="G51" s="15" t="n">
        <f aca="false">C51</f>
        <v>45</v>
      </c>
      <c r="H51" s="15" t="n">
        <f aca="false">IF(D51=1,INDEX(Grid!$R$6:$X$156,C51+1,B51+1),"")</f>
        <v>0</v>
      </c>
      <c r="I51" s="2" t="str">
        <f aca="false">IF(D51=1,INDEX(Sch_label,H51+1),"")</f>
        <v>none</v>
      </c>
      <c r="J51" s="15" t="n">
        <f aca="false">IF(D51=1,INDEX(Grid!$Z$6:$AF$156,C51+1,B51+1),0)</f>
        <v>0</v>
      </c>
      <c r="K51" s="16" t="n">
        <f aca="false">IF(J51=1,E51,0)</f>
        <v>0</v>
      </c>
      <c r="L51" s="17" t="n">
        <f aca="false">IF(D51=1,E51+W_board*F51,"")</f>
        <v>95.4545454545454</v>
      </c>
      <c r="Z51" s="12" t="str">
        <f aca="false">IF(AND($J51=1,$M51=1),N51*E51/Span_P+O51*F51/Span_S+P51*G51/Span_B,"")</f>
        <v/>
      </c>
      <c r="AA51" s="12" t="str">
        <f aca="false">IF(AND($J51=1,$M51=1),SUMPRODUCT(MAX($J$6:$J$1062*(N51*$K$6:$K$1062/Span_P+O51*$F$6:$F$1062/Span_S+P51*$G$6:$G$1062/Span_B)-(1-$J$6:$J$1062)*1000000000)),"")</f>
        <v/>
      </c>
      <c r="AB51" s="15" t="str">
        <f aca="false">IF(AND($J51=1,$M51=1),IF(AA51-Z51&lt;=0.000000001,1,0),"")</f>
        <v/>
      </c>
      <c r="AC51" s="13" t="str">
        <f aca="false">IF(AND($J51=1,$M51=0),IF(S51="",0,S51*INDEX(Grid!$B$6:$H$156,R51+1,Q51+1))+IF(V51="",0,V51*INDEX(Grid!$B$6:$H$156,U51+1,T51+1))+IF(Y51="",0,Y51*INDEX(Grid!$B$6:$H$156,X51+1,W51+1)),"")</f>
        <v/>
      </c>
      <c r="AD51" s="13" t="str">
        <f aca="false">IF(AND($J51=1,$M51=0),IF(S51="",0,S51*Val_pt*(Ceiling_e-E_zero)*(1-(1-Half_gap)^Q51))+IF(V51="",0,V51*Val_pt*(Ceiling_e-E_zero)*(1-(1-Half_gap)^T51))+IF(Y51="",0,Y51*Val_pt*(Ceiling_e-E_zero)*(1-(1-Half_gap)^W51)),"")</f>
        <v/>
      </c>
      <c r="AE51" s="13" t="str">
        <f aca="false">IF(AND($J51=1,$M51=0),IF(S51="",0,S51*R51)+IF(V51="",0,V51*U51)+IF(Y51="",0,Y51*X51),"")</f>
        <v/>
      </c>
      <c r="AF51" s="12" t="str">
        <f aca="false">IF(AND($J51=1,$M51=0),MIN((AC51-E51)/Span_P,(AD51-F51)/Span_S,(AE51-G51)/Span_B),"")</f>
        <v/>
      </c>
      <c r="AG51" s="15" t="str">
        <f aca="false">IF(AND($J51=1,$M51=0),IF(AF51&gt;0.0000001,1,0),"")</f>
        <v/>
      </c>
      <c r="AH51" s="15" t="str">
        <f aca="false">IF($J51=1,IF($M51=1,AB51,AG51),"")</f>
        <v/>
      </c>
      <c r="AI51" s="13" t="str">
        <f aca="false">IF($J51=1,(Ideal_P-E51)/Span_P,"")</f>
        <v/>
      </c>
      <c r="AJ51" s="13" t="str">
        <f aca="false">IF($J51=1,(Ideal_S-F51)/Span_S,"")</f>
        <v/>
      </c>
      <c r="AK51" s="13" t="str">
        <f aca="false">IF($J51=1,(Ideal_B-G51)/Span_B,"")</f>
        <v/>
      </c>
      <c r="AL51" s="12" t="str">
        <f aca="false">IF($J51=1,MAX(ChA_1*AI51,ChA_2*AJ51,ChA_3*AK51)+Rho*(ChA_1*AI51+ChA_2*AJ51+ChA_3*AK51),"")</f>
        <v/>
      </c>
      <c r="AM51" s="12" t="str">
        <f aca="false">IF($J51=1,MAX(ChB_1*AI51,ChB_2*AJ51,ChB_3*AK51)+Rho*(ChB_1*AI51+ChB_2*AJ51+ChB_3*AK51),"")</f>
        <v/>
      </c>
      <c r="AN51" s="12" t="str">
        <f aca="false">IF($J51=1,MAX(Cx_1*(Ref_P-E51)/Span_P,Cx_2*(Ref_S-F51)/Span_S,Cx_3*(Ref_B-G51)/Span_B),"")</f>
        <v/>
      </c>
    </row>
    <row r="52" customFormat="false" ht="15" hidden="false" customHeight="false" outlineLevel="0" collapsed="false">
      <c r="A52" s="2" t="n">
        <v>46</v>
      </c>
      <c r="B52" s="15" t="n">
        <f aca="false">INT(A52/151)</f>
        <v>0</v>
      </c>
      <c r="C52" s="15" t="n">
        <f aca="false">MOD(A52,151)</f>
        <v>46</v>
      </c>
      <c r="D52" s="15" t="n">
        <f aca="false">INDEX(Grid!$J$6:$P$156,C52+1,B52+1)</f>
        <v>1</v>
      </c>
      <c r="E52" s="16" t="n">
        <f aca="false">IF(D52=1,INDEX(Grid!$B$6:$H$156,C52+1,B52+1),"")</f>
        <v>94.5454545454545</v>
      </c>
      <c r="F52" s="13" t="n">
        <f aca="false">Val_pt*(Ceiling_e-E_zero)*(1-(1-Half_gap)^B52)</f>
        <v>0</v>
      </c>
      <c r="G52" s="15" t="n">
        <f aca="false">C52</f>
        <v>46</v>
      </c>
      <c r="H52" s="15" t="n">
        <f aca="false">IF(D52=1,INDEX(Grid!$R$6:$X$156,C52+1,B52+1),"")</f>
        <v>0</v>
      </c>
      <c r="I52" s="2" t="str">
        <f aca="false">IF(D52=1,INDEX(Sch_label,H52+1),"")</f>
        <v>none</v>
      </c>
      <c r="J52" s="15" t="n">
        <f aca="false">IF(D52=1,INDEX(Grid!$Z$6:$AF$156,C52+1,B52+1),0)</f>
        <v>0</v>
      </c>
      <c r="K52" s="16" t="n">
        <f aca="false">IF(J52=1,E52,0)</f>
        <v>0</v>
      </c>
      <c r="L52" s="17" t="n">
        <f aca="false">IF(D52=1,E52+W_board*F52,"")</f>
        <v>94.5454545454545</v>
      </c>
      <c r="Z52" s="12" t="str">
        <f aca="false">IF(AND($J52=1,$M52=1),N52*E52/Span_P+O52*F52/Span_S+P52*G52/Span_B,"")</f>
        <v/>
      </c>
      <c r="AA52" s="12" t="str">
        <f aca="false">IF(AND($J52=1,$M52=1),SUMPRODUCT(MAX($J$6:$J$1062*(N52*$K$6:$K$1062/Span_P+O52*$F$6:$F$1062/Span_S+P52*$G$6:$G$1062/Span_B)-(1-$J$6:$J$1062)*1000000000)),"")</f>
        <v/>
      </c>
      <c r="AB52" s="15" t="str">
        <f aca="false">IF(AND($J52=1,$M52=1),IF(AA52-Z52&lt;=0.000000001,1,0),"")</f>
        <v/>
      </c>
      <c r="AC52" s="13" t="str">
        <f aca="false">IF(AND($J52=1,$M52=0),IF(S52="",0,S52*INDEX(Grid!$B$6:$H$156,R52+1,Q52+1))+IF(V52="",0,V52*INDEX(Grid!$B$6:$H$156,U52+1,T52+1))+IF(Y52="",0,Y52*INDEX(Grid!$B$6:$H$156,X52+1,W52+1)),"")</f>
        <v/>
      </c>
      <c r="AD52" s="13" t="str">
        <f aca="false">IF(AND($J52=1,$M52=0),IF(S52="",0,S52*Val_pt*(Ceiling_e-E_zero)*(1-(1-Half_gap)^Q52))+IF(V52="",0,V52*Val_pt*(Ceiling_e-E_zero)*(1-(1-Half_gap)^T52))+IF(Y52="",0,Y52*Val_pt*(Ceiling_e-E_zero)*(1-(1-Half_gap)^W52)),"")</f>
        <v/>
      </c>
      <c r="AE52" s="13" t="str">
        <f aca="false">IF(AND($J52=1,$M52=0),IF(S52="",0,S52*R52)+IF(V52="",0,V52*U52)+IF(Y52="",0,Y52*X52),"")</f>
        <v/>
      </c>
      <c r="AF52" s="12" t="str">
        <f aca="false">IF(AND($J52=1,$M52=0),MIN((AC52-E52)/Span_P,(AD52-F52)/Span_S,(AE52-G52)/Span_B),"")</f>
        <v/>
      </c>
      <c r="AG52" s="15" t="str">
        <f aca="false">IF(AND($J52=1,$M52=0),IF(AF52&gt;0.0000001,1,0),"")</f>
        <v/>
      </c>
      <c r="AH52" s="15" t="str">
        <f aca="false">IF($J52=1,IF($M52=1,AB52,AG52),"")</f>
        <v/>
      </c>
      <c r="AI52" s="13" t="str">
        <f aca="false">IF($J52=1,(Ideal_P-E52)/Span_P,"")</f>
        <v/>
      </c>
      <c r="AJ52" s="13" t="str">
        <f aca="false">IF($J52=1,(Ideal_S-F52)/Span_S,"")</f>
        <v/>
      </c>
      <c r="AK52" s="13" t="str">
        <f aca="false">IF($J52=1,(Ideal_B-G52)/Span_B,"")</f>
        <v/>
      </c>
      <c r="AL52" s="12" t="str">
        <f aca="false">IF($J52=1,MAX(ChA_1*AI52,ChA_2*AJ52,ChA_3*AK52)+Rho*(ChA_1*AI52+ChA_2*AJ52+ChA_3*AK52),"")</f>
        <v/>
      </c>
      <c r="AM52" s="12" t="str">
        <f aca="false">IF($J52=1,MAX(ChB_1*AI52,ChB_2*AJ52,ChB_3*AK52)+Rho*(ChB_1*AI52+ChB_2*AJ52+ChB_3*AK52),"")</f>
        <v/>
      </c>
      <c r="AN52" s="12" t="str">
        <f aca="false">IF($J52=1,MAX(Cx_1*(Ref_P-E52)/Span_P,Cx_2*(Ref_S-F52)/Span_S,Cx_3*(Ref_B-G52)/Span_B),"")</f>
        <v/>
      </c>
    </row>
    <row r="53" customFormat="false" ht="15" hidden="false" customHeight="false" outlineLevel="0" collapsed="false">
      <c r="A53" s="2" t="n">
        <v>47</v>
      </c>
      <c r="B53" s="15" t="n">
        <f aca="false">INT(A53/151)</f>
        <v>0</v>
      </c>
      <c r="C53" s="15" t="n">
        <f aca="false">MOD(A53,151)</f>
        <v>47</v>
      </c>
      <c r="D53" s="15" t="n">
        <f aca="false">INDEX(Grid!$J$6:$P$156,C53+1,B53+1)</f>
        <v>1</v>
      </c>
      <c r="E53" s="16" t="n">
        <f aca="false">IF(D53=1,INDEX(Grid!$B$6:$H$156,C53+1,B53+1),"")</f>
        <v>93.6363636363636</v>
      </c>
      <c r="F53" s="13" t="n">
        <f aca="false">Val_pt*(Ceiling_e-E_zero)*(1-(1-Half_gap)^B53)</f>
        <v>0</v>
      </c>
      <c r="G53" s="15" t="n">
        <f aca="false">C53</f>
        <v>47</v>
      </c>
      <c r="H53" s="15" t="n">
        <f aca="false">IF(D53=1,INDEX(Grid!$R$6:$X$156,C53+1,B53+1),"")</f>
        <v>0</v>
      </c>
      <c r="I53" s="2" t="str">
        <f aca="false">IF(D53=1,INDEX(Sch_label,H53+1),"")</f>
        <v>none</v>
      </c>
      <c r="J53" s="15" t="n">
        <f aca="false">IF(D53=1,INDEX(Grid!$Z$6:$AF$156,C53+1,B53+1),0)</f>
        <v>0</v>
      </c>
      <c r="K53" s="16" t="n">
        <f aca="false">IF(J53=1,E53,0)</f>
        <v>0</v>
      </c>
      <c r="L53" s="17" t="n">
        <f aca="false">IF(D53=1,E53+W_board*F53,"")</f>
        <v>93.6363636363636</v>
      </c>
      <c r="Z53" s="12" t="str">
        <f aca="false">IF(AND($J53=1,$M53=1),N53*E53/Span_P+O53*F53/Span_S+P53*G53/Span_B,"")</f>
        <v/>
      </c>
      <c r="AA53" s="12" t="str">
        <f aca="false">IF(AND($J53=1,$M53=1),SUMPRODUCT(MAX($J$6:$J$1062*(N53*$K$6:$K$1062/Span_P+O53*$F$6:$F$1062/Span_S+P53*$G$6:$G$1062/Span_B)-(1-$J$6:$J$1062)*1000000000)),"")</f>
        <v/>
      </c>
      <c r="AB53" s="15" t="str">
        <f aca="false">IF(AND($J53=1,$M53=1),IF(AA53-Z53&lt;=0.000000001,1,0),"")</f>
        <v/>
      </c>
      <c r="AC53" s="13" t="str">
        <f aca="false">IF(AND($J53=1,$M53=0),IF(S53="",0,S53*INDEX(Grid!$B$6:$H$156,R53+1,Q53+1))+IF(V53="",0,V53*INDEX(Grid!$B$6:$H$156,U53+1,T53+1))+IF(Y53="",0,Y53*INDEX(Grid!$B$6:$H$156,X53+1,W53+1)),"")</f>
        <v/>
      </c>
      <c r="AD53" s="13" t="str">
        <f aca="false">IF(AND($J53=1,$M53=0),IF(S53="",0,S53*Val_pt*(Ceiling_e-E_zero)*(1-(1-Half_gap)^Q53))+IF(V53="",0,V53*Val_pt*(Ceiling_e-E_zero)*(1-(1-Half_gap)^T53))+IF(Y53="",0,Y53*Val_pt*(Ceiling_e-E_zero)*(1-(1-Half_gap)^W53)),"")</f>
        <v/>
      </c>
      <c r="AE53" s="13" t="str">
        <f aca="false">IF(AND($J53=1,$M53=0),IF(S53="",0,S53*R53)+IF(V53="",0,V53*U53)+IF(Y53="",0,Y53*X53),"")</f>
        <v/>
      </c>
      <c r="AF53" s="12" t="str">
        <f aca="false">IF(AND($J53=1,$M53=0),MIN((AC53-E53)/Span_P,(AD53-F53)/Span_S,(AE53-G53)/Span_B),"")</f>
        <v/>
      </c>
      <c r="AG53" s="15" t="str">
        <f aca="false">IF(AND($J53=1,$M53=0),IF(AF53&gt;0.0000001,1,0),"")</f>
        <v/>
      </c>
      <c r="AH53" s="15" t="str">
        <f aca="false">IF($J53=1,IF($M53=1,AB53,AG53),"")</f>
        <v/>
      </c>
      <c r="AI53" s="13" t="str">
        <f aca="false">IF($J53=1,(Ideal_P-E53)/Span_P,"")</f>
        <v/>
      </c>
      <c r="AJ53" s="13" t="str">
        <f aca="false">IF($J53=1,(Ideal_S-F53)/Span_S,"")</f>
        <v/>
      </c>
      <c r="AK53" s="13" t="str">
        <f aca="false">IF($J53=1,(Ideal_B-G53)/Span_B,"")</f>
        <v/>
      </c>
      <c r="AL53" s="12" t="str">
        <f aca="false">IF($J53=1,MAX(ChA_1*AI53,ChA_2*AJ53,ChA_3*AK53)+Rho*(ChA_1*AI53+ChA_2*AJ53+ChA_3*AK53),"")</f>
        <v/>
      </c>
      <c r="AM53" s="12" t="str">
        <f aca="false">IF($J53=1,MAX(ChB_1*AI53,ChB_2*AJ53,ChB_3*AK53)+Rho*(ChB_1*AI53+ChB_2*AJ53+ChB_3*AK53),"")</f>
        <v/>
      </c>
      <c r="AN53" s="12" t="str">
        <f aca="false">IF($J53=1,MAX(Cx_1*(Ref_P-E53)/Span_P,Cx_2*(Ref_S-F53)/Span_S,Cx_3*(Ref_B-G53)/Span_B),"")</f>
        <v/>
      </c>
    </row>
    <row r="54" customFormat="false" ht="15" hidden="false" customHeight="false" outlineLevel="0" collapsed="false">
      <c r="A54" s="2" t="n">
        <v>48</v>
      </c>
      <c r="B54" s="15" t="n">
        <f aca="false">INT(A54/151)</f>
        <v>0</v>
      </c>
      <c r="C54" s="15" t="n">
        <f aca="false">MOD(A54,151)</f>
        <v>48</v>
      </c>
      <c r="D54" s="15" t="n">
        <f aca="false">INDEX(Grid!$J$6:$P$156,C54+1,B54+1)</f>
        <v>1</v>
      </c>
      <c r="E54" s="16" t="n">
        <f aca="false">IF(D54=1,INDEX(Grid!$B$6:$H$156,C54+1,B54+1),"")</f>
        <v>92.7272727272727</v>
      </c>
      <c r="F54" s="13" t="n">
        <f aca="false">Val_pt*(Ceiling_e-E_zero)*(1-(1-Half_gap)^B54)</f>
        <v>0</v>
      </c>
      <c r="G54" s="15" t="n">
        <f aca="false">C54</f>
        <v>48</v>
      </c>
      <c r="H54" s="15" t="n">
        <f aca="false">IF(D54=1,INDEX(Grid!$R$6:$X$156,C54+1,B54+1),"")</f>
        <v>0</v>
      </c>
      <c r="I54" s="2" t="str">
        <f aca="false">IF(D54=1,INDEX(Sch_label,H54+1),"")</f>
        <v>none</v>
      </c>
      <c r="J54" s="15" t="n">
        <f aca="false">IF(D54=1,INDEX(Grid!$Z$6:$AF$156,C54+1,B54+1),0)</f>
        <v>0</v>
      </c>
      <c r="K54" s="16" t="n">
        <f aca="false">IF(J54=1,E54,0)</f>
        <v>0</v>
      </c>
      <c r="L54" s="17" t="n">
        <f aca="false">IF(D54=1,E54+W_board*F54,"")</f>
        <v>92.7272727272727</v>
      </c>
      <c r="Z54" s="12" t="str">
        <f aca="false">IF(AND($J54=1,$M54=1),N54*E54/Span_P+O54*F54/Span_S+P54*G54/Span_B,"")</f>
        <v/>
      </c>
      <c r="AA54" s="12" t="str">
        <f aca="false">IF(AND($J54=1,$M54=1),SUMPRODUCT(MAX($J$6:$J$1062*(N54*$K$6:$K$1062/Span_P+O54*$F$6:$F$1062/Span_S+P54*$G$6:$G$1062/Span_B)-(1-$J$6:$J$1062)*1000000000)),"")</f>
        <v/>
      </c>
      <c r="AB54" s="15" t="str">
        <f aca="false">IF(AND($J54=1,$M54=1),IF(AA54-Z54&lt;=0.000000001,1,0),"")</f>
        <v/>
      </c>
      <c r="AC54" s="13" t="str">
        <f aca="false">IF(AND($J54=1,$M54=0),IF(S54="",0,S54*INDEX(Grid!$B$6:$H$156,R54+1,Q54+1))+IF(V54="",0,V54*INDEX(Grid!$B$6:$H$156,U54+1,T54+1))+IF(Y54="",0,Y54*INDEX(Grid!$B$6:$H$156,X54+1,W54+1)),"")</f>
        <v/>
      </c>
      <c r="AD54" s="13" t="str">
        <f aca="false">IF(AND($J54=1,$M54=0),IF(S54="",0,S54*Val_pt*(Ceiling_e-E_zero)*(1-(1-Half_gap)^Q54))+IF(V54="",0,V54*Val_pt*(Ceiling_e-E_zero)*(1-(1-Half_gap)^T54))+IF(Y54="",0,Y54*Val_pt*(Ceiling_e-E_zero)*(1-(1-Half_gap)^W54)),"")</f>
        <v/>
      </c>
      <c r="AE54" s="13" t="str">
        <f aca="false">IF(AND($J54=1,$M54=0),IF(S54="",0,S54*R54)+IF(V54="",0,V54*U54)+IF(Y54="",0,Y54*X54),"")</f>
        <v/>
      </c>
      <c r="AF54" s="12" t="str">
        <f aca="false">IF(AND($J54=1,$M54=0),MIN((AC54-E54)/Span_P,(AD54-F54)/Span_S,(AE54-G54)/Span_B),"")</f>
        <v/>
      </c>
      <c r="AG54" s="15" t="str">
        <f aca="false">IF(AND($J54=1,$M54=0),IF(AF54&gt;0.0000001,1,0),"")</f>
        <v/>
      </c>
      <c r="AH54" s="15" t="str">
        <f aca="false">IF($J54=1,IF($M54=1,AB54,AG54),"")</f>
        <v/>
      </c>
      <c r="AI54" s="13" t="str">
        <f aca="false">IF($J54=1,(Ideal_P-E54)/Span_P,"")</f>
        <v/>
      </c>
      <c r="AJ54" s="13" t="str">
        <f aca="false">IF($J54=1,(Ideal_S-F54)/Span_S,"")</f>
        <v/>
      </c>
      <c r="AK54" s="13" t="str">
        <f aca="false">IF($J54=1,(Ideal_B-G54)/Span_B,"")</f>
        <v/>
      </c>
      <c r="AL54" s="12" t="str">
        <f aca="false">IF($J54=1,MAX(ChA_1*AI54,ChA_2*AJ54,ChA_3*AK54)+Rho*(ChA_1*AI54+ChA_2*AJ54+ChA_3*AK54),"")</f>
        <v/>
      </c>
      <c r="AM54" s="12" t="str">
        <f aca="false">IF($J54=1,MAX(ChB_1*AI54,ChB_2*AJ54,ChB_3*AK54)+Rho*(ChB_1*AI54+ChB_2*AJ54+ChB_3*AK54),"")</f>
        <v/>
      </c>
      <c r="AN54" s="12" t="str">
        <f aca="false">IF($J54=1,MAX(Cx_1*(Ref_P-E54)/Span_P,Cx_2*(Ref_S-F54)/Span_S,Cx_3*(Ref_B-G54)/Span_B),"")</f>
        <v/>
      </c>
    </row>
    <row r="55" customFormat="false" ht="15" hidden="false" customHeight="false" outlineLevel="0" collapsed="false">
      <c r="A55" s="2" t="n">
        <v>49</v>
      </c>
      <c r="B55" s="15" t="n">
        <f aca="false">INT(A55/151)</f>
        <v>0</v>
      </c>
      <c r="C55" s="15" t="n">
        <f aca="false">MOD(A55,151)</f>
        <v>49</v>
      </c>
      <c r="D55" s="15" t="n">
        <f aca="false">INDEX(Grid!$J$6:$P$156,C55+1,B55+1)</f>
        <v>1</v>
      </c>
      <c r="E55" s="16" t="n">
        <f aca="false">IF(D55=1,INDEX(Grid!$B$6:$H$156,C55+1,B55+1),"")</f>
        <v>91.8181818181818</v>
      </c>
      <c r="F55" s="13" t="n">
        <f aca="false">Val_pt*(Ceiling_e-E_zero)*(1-(1-Half_gap)^B55)</f>
        <v>0</v>
      </c>
      <c r="G55" s="15" t="n">
        <f aca="false">C55</f>
        <v>49</v>
      </c>
      <c r="H55" s="15" t="n">
        <f aca="false">IF(D55=1,INDEX(Grid!$R$6:$X$156,C55+1,B55+1),"")</f>
        <v>0</v>
      </c>
      <c r="I55" s="2" t="str">
        <f aca="false">IF(D55=1,INDEX(Sch_label,H55+1),"")</f>
        <v>none</v>
      </c>
      <c r="J55" s="15" t="n">
        <f aca="false">IF(D55=1,INDEX(Grid!$Z$6:$AF$156,C55+1,B55+1),0)</f>
        <v>0</v>
      </c>
      <c r="K55" s="16" t="n">
        <f aca="false">IF(J55=1,E55,0)</f>
        <v>0</v>
      </c>
      <c r="L55" s="17" t="n">
        <f aca="false">IF(D55=1,E55+W_board*F55,"")</f>
        <v>91.8181818181818</v>
      </c>
      <c r="Z55" s="12" t="str">
        <f aca="false">IF(AND($J55=1,$M55=1),N55*E55/Span_P+O55*F55/Span_S+P55*G55/Span_B,"")</f>
        <v/>
      </c>
      <c r="AA55" s="12" t="str">
        <f aca="false">IF(AND($J55=1,$M55=1),SUMPRODUCT(MAX($J$6:$J$1062*(N55*$K$6:$K$1062/Span_P+O55*$F$6:$F$1062/Span_S+P55*$G$6:$G$1062/Span_B)-(1-$J$6:$J$1062)*1000000000)),"")</f>
        <v/>
      </c>
      <c r="AB55" s="15" t="str">
        <f aca="false">IF(AND($J55=1,$M55=1),IF(AA55-Z55&lt;=0.000000001,1,0),"")</f>
        <v/>
      </c>
      <c r="AC55" s="13" t="str">
        <f aca="false">IF(AND($J55=1,$M55=0),IF(S55="",0,S55*INDEX(Grid!$B$6:$H$156,R55+1,Q55+1))+IF(V55="",0,V55*INDEX(Grid!$B$6:$H$156,U55+1,T55+1))+IF(Y55="",0,Y55*INDEX(Grid!$B$6:$H$156,X55+1,W55+1)),"")</f>
        <v/>
      </c>
      <c r="AD55" s="13" t="str">
        <f aca="false">IF(AND($J55=1,$M55=0),IF(S55="",0,S55*Val_pt*(Ceiling_e-E_zero)*(1-(1-Half_gap)^Q55))+IF(V55="",0,V55*Val_pt*(Ceiling_e-E_zero)*(1-(1-Half_gap)^T55))+IF(Y55="",0,Y55*Val_pt*(Ceiling_e-E_zero)*(1-(1-Half_gap)^W55)),"")</f>
        <v/>
      </c>
      <c r="AE55" s="13" t="str">
        <f aca="false">IF(AND($J55=1,$M55=0),IF(S55="",0,S55*R55)+IF(V55="",0,V55*U55)+IF(Y55="",0,Y55*X55),"")</f>
        <v/>
      </c>
      <c r="AF55" s="12" t="str">
        <f aca="false">IF(AND($J55=1,$M55=0),MIN((AC55-E55)/Span_P,(AD55-F55)/Span_S,(AE55-G55)/Span_B),"")</f>
        <v/>
      </c>
      <c r="AG55" s="15" t="str">
        <f aca="false">IF(AND($J55=1,$M55=0),IF(AF55&gt;0.0000001,1,0),"")</f>
        <v/>
      </c>
      <c r="AH55" s="15" t="str">
        <f aca="false">IF($J55=1,IF($M55=1,AB55,AG55),"")</f>
        <v/>
      </c>
      <c r="AI55" s="13" t="str">
        <f aca="false">IF($J55=1,(Ideal_P-E55)/Span_P,"")</f>
        <v/>
      </c>
      <c r="AJ55" s="13" t="str">
        <f aca="false">IF($J55=1,(Ideal_S-F55)/Span_S,"")</f>
        <v/>
      </c>
      <c r="AK55" s="13" t="str">
        <f aca="false">IF($J55=1,(Ideal_B-G55)/Span_B,"")</f>
        <v/>
      </c>
      <c r="AL55" s="12" t="str">
        <f aca="false">IF($J55=1,MAX(ChA_1*AI55,ChA_2*AJ55,ChA_3*AK55)+Rho*(ChA_1*AI55+ChA_2*AJ55+ChA_3*AK55),"")</f>
        <v/>
      </c>
      <c r="AM55" s="12" t="str">
        <f aca="false">IF($J55=1,MAX(ChB_1*AI55,ChB_2*AJ55,ChB_3*AK55)+Rho*(ChB_1*AI55+ChB_2*AJ55+ChB_3*AK55),"")</f>
        <v/>
      </c>
      <c r="AN55" s="12" t="str">
        <f aca="false">IF($J55=1,MAX(Cx_1*(Ref_P-E55)/Span_P,Cx_2*(Ref_S-F55)/Span_S,Cx_3*(Ref_B-G55)/Span_B),"")</f>
        <v/>
      </c>
    </row>
    <row r="56" customFormat="false" ht="15" hidden="false" customHeight="false" outlineLevel="0" collapsed="false">
      <c r="A56" s="2" t="n">
        <v>50</v>
      </c>
      <c r="B56" s="15" t="n">
        <f aca="false">INT(A56/151)</f>
        <v>0</v>
      </c>
      <c r="C56" s="15" t="n">
        <f aca="false">MOD(A56,151)</f>
        <v>50</v>
      </c>
      <c r="D56" s="15" t="n">
        <f aca="false">INDEX(Grid!$J$6:$P$156,C56+1,B56+1)</f>
        <v>1</v>
      </c>
      <c r="E56" s="16" t="n">
        <f aca="false">IF(D56=1,INDEX(Grid!$B$6:$H$156,C56+1,B56+1),"")</f>
        <v>90.9090909090909</v>
      </c>
      <c r="F56" s="13" t="n">
        <f aca="false">Val_pt*(Ceiling_e-E_zero)*(1-(1-Half_gap)^B56)</f>
        <v>0</v>
      </c>
      <c r="G56" s="15" t="n">
        <f aca="false">C56</f>
        <v>50</v>
      </c>
      <c r="H56" s="15" t="n">
        <f aca="false">IF(D56=1,INDEX(Grid!$R$6:$X$156,C56+1,B56+1),"")</f>
        <v>0</v>
      </c>
      <c r="I56" s="2" t="str">
        <f aca="false">IF(D56=1,INDEX(Sch_label,H56+1),"")</f>
        <v>none</v>
      </c>
      <c r="J56" s="15" t="n">
        <f aca="false">IF(D56=1,INDEX(Grid!$Z$6:$AF$156,C56+1,B56+1),0)</f>
        <v>0</v>
      </c>
      <c r="K56" s="16" t="n">
        <f aca="false">IF(J56=1,E56,0)</f>
        <v>0</v>
      </c>
      <c r="L56" s="17" t="n">
        <f aca="false">IF(D56=1,E56+W_board*F56,"")</f>
        <v>90.9090909090909</v>
      </c>
      <c r="Z56" s="12" t="str">
        <f aca="false">IF(AND($J56=1,$M56=1),N56*E56/Span_P+O56*F56/Span_S+P56*G56/Span_B,"")</f>
        <v/>
      </c>
      <c r="AA56" s="12" t="str">
        <f aca="false">IF(AND($J56=1,$M56=1),SUMPRODUCT(MAX($J$6:$J$1062*(N56*$K$6:$K$1062/Span_P+O56*$F$6:$F$1062/Span_S+P56*$G$6:$G$1062/Span_B)-(1-$J$6:$J$1062)*1000000000)),"")</f>
        <v/>
      </c>
      <c r="AB56" s="15" t="str">
        <f aca="false">IF(AND($J56=1,$M56=1),IF(AA56-Z56&lt;=0.000000001,1,0),"")</f>
        <v/>
      </c>
      <c r="AC56" s="13" t="str">
        <f aca="false">IF(AND($J56=1,$M56=0),IF(S56="",0,S56*INDEX(Grid!$B$6:$H$156,R56+1,Q56+1))+IF(V56="",0,V56*INDEX(Grid!$B$6:$H$156,U56+1,T56+1))+IF(Y56="",0,Y56*INDEX(Grid!$B$6:$H$156,X56+1,W56+1)),"")</f>
        <v/>
      </c>
      <c r="AD56" s="13" t="str">
        <f aca="false">IF(AND($J56=1,$M56=0),IF(S56="",0,S56*Val_pt*(Ceiling_e-E_zero)*(1-(1-Half_gap)^Q56))+IF(V56="",0,V56*Val_pt*(Ceiling_e-E_zero)*(1-(1-Half_gap)^T56))+IF(Y56="",0,Y56*Val_pt*(Ceiling_e-E_zero)*(1-(1-Half_gap)^W56)),"")</f>
        <v/>
      </c>
      <c r="AE56" s="13" t="str">
        <f aca="false">IF(AND($J56=1,$M56=0),IF(S56="",0,S56*R56)+IF(V56="",0,V56*U56)+IF(Y56="",0,Y56*X56),"")</f>
        <v/>
      </c>
      <c r="AF56" s="12" t="str">
        <f aca="false">IF(AND($J56=1,$M56=0),MIN((AC56-E56)/Span_P,(AD56-F56)/Span_S,(AE56-G56)/Span_B),"")</f>
        <v/>
      </c>
      <c r="AG56" s="15" t="str">
        <f aca="false">IF(AND($J56=1,$M56=0),IF(AF56&gt;0.0000001,1,0),"")</f>
        <v/>
      </c>
      <c r="AH56" s="15" t="str">
        <f aca="false">IF($J56=1,IF($M56=1,AB56,AG56),"")</f>
        <v/>
      </c>
      <c r="AI56" s="13" t="str">
        <f aca="false">IF($J56=1,(Ideal_P-E56)/Span_P,"")</f>
        <v/>
      </c>
      <c r="AJ56" s="13" t="str">
        <f aca="false">IF($J56=1,(Ideal_S-F56)/Span_S,"")</f>
        <v/>
      </c>
      <c r="AK56" s="13" t="str">
        <f aca="false">IF($J56=1,(Ideal_B-G56)/Span_B,"")</f>
        <v/>
      </c>
      <c r="AL56" s="12" t="str">
        <f aca="false">IF($J56=1,MAX(ChA_1*AI56,ChA_2*AJ56,ChA_3*AK56)+Rho*(ChA_1*AI56+ChA_2*AJ56+ChA_3*AK56),"")</f>
        <v/>
      </c>
      <c r="AM56" s="12" t="str">
        <f aca="false">IF($J56=1,MAX(ChB_1*AI56,ChB_2*AJ56,ChB_3*AK56)+Rho*(ChB_1*AI56+ChB_2*AJ56+ChB_3*AK56),"")</f>
        <v/>
      </c>
      <c r="AN56" s="12" t="str">
        <f aca="false">IF($J56=1,MAX(Cx_1*(Ref_P-E56)/Span_P,Cx_2*(Ref_S-F56)/Span_S,Cx_3*(Ref_B-G56)/Span_B),"")</f>
        <v/>
      </c>
    </row>
    <row r="57" customFormat="false" ht="15" hidden="false" customHeight="false" outlineLevel="0" collapsed="false">
      <c r="A57" s="2" t="n">
        <v>51</v>
      </c>
      <c r="B57" s="15" t="n">
        <f aca="false">INT(A57/151)</f>
        <v>0</v>
      </c>
      <c r="C57" s="15" t="n">
        <f aca="false">MOD(A57,151)</f>
        <v>51</v>
      </c>
      <c r="D57" s="15" t="n">
        <f aca="false">INDEX(Grid!$J$6:$P$156,C57+1,B57+1)</f>
        <v>1</v>
      </c>
      <c r="E57" s="16" t="n">
        <f aca="false">IF(D57=1,INDEX(Grid!$B$6:$H$156,C57+1,B57+1),"")</f>
        <v>90</v>
      </c>
      <c r="F57" s="13" t="n">
        <f aca="false">Val_pt*(Ceiling_e-E_zero)*(1-(1-Half_gap)^B57)</f>
        <v>0</v>
      </c>
      <c r="G57" s="15" t="n">
        <f aca="false">C57</f>
        <v>51</v>
      </c>
      <c r="H57" s="15" t="n">
        <f aca="false">IF(D57=1,INDEX(Grid!$R$6:$X$156,C57+1,B57+1),"")</f>
        <v>0</v>
      </c>
      <c r="I57" s="2" t="str">
        <f aca="false">IF(D57=1,INDEX(Sch_label,H57+1),"")</f>
        <v>none</v>
      </c>
      <c r="J57" s="15" t="n">
        <f aca="false">IF(D57=1,INDEX(Grid!$Z$6:$AF$156,C57+1,B57+1),0)</f>
        <v>0</v>
      </c>
      <c r="K57" s="16" t="n">
        <f aca="false">IF(J57=1,E57,0)</f>
        <v>0</v>
      </c>
      <c r="L57" s="17" t="n">
        <f aca="false">IF(D57=1,E57+W_board*F57,"")</f>
        <v>90</v>
      </c>
      <c r="Z57" s="12" t="str">
        <f aca="false">IF(AND($J57=1,$M57=1),N57*E57/Span_P+O57*F57/Span_S+P57*G57/Span_B,"")</f>
        <v/>
      </c>
      <c r="AA57" s="12" t="str">
        <f aca="false">IF(AND($J57=1,$M57=1),SUMPRODUCT(MAX($J$6:$J$1062*(N57*$K$6:$K$1062/Span_P+O57*$F$6:$F$1062/Span_S+P57*$G$6:$G$1062/Span_B)-(1-$J$6:$J$1062)*1000000000)),"")</f>
        <v/>
      </c>
      <c r="AB57" s="15" t="str">
        <f aca="false">IF(AND($J57=1,$M57=1),IF(AA57-Z57&lt;=0.000000001,1,0),"")</f>
        <v/>
      </c>
      <c r="AC57" s="13" t="str">
        <f aca="false">IF(AND($J57=1,$M57=0),IF(S57="",0,S57*INDEX(Grid!$B$6:$H$156,R57+1,Q57+1))+IF(V57="",0,V57*INDEX(Grid!$B$6:$H$156,U57+1,T57+1))+IF(Y57="",0,Y57*INDEX(Grid!$B$6:$H$156,X57+1,W57+1)),"")</f>
        <v/>
      </c>
      <c r="AD57" s="13" t="str">
        <f aca="false">IF(AND($J57=1,$M57=0),IF(S57="",0,S57*Val_pt*(Ceiling_e-E_zero)*(1-(1-Half_gap)^Q57))+IF(V57="",0,V57*Val_pt*(Ceiling_e-E_zero)*(1-(1-Half_gap)^T57))+IF(Y57="",0,Y57*Val_pt*(Ceiling_e-E_zero)*(1-(1-Half_gap)^W57)),"")</f>
        <v/>
      </c>
      <c r="AE57" s="13" t="str">
        <f aca="false">IF(AND($J57=1,$M57=0),IF(S57="",0,S57*R57)+IF(V57="",0,V57*U57)+IF(Y57="",0,Y57*X57),"")</f>
        <v/>
      </c>
      <c r="AF57" s="12" t="str">
        <f aca="false">IF(AND($J57=1,$M57=0),MIN((AC57-E57)/Span_P,(AD57-F57)/Span_S,(AE57-G57)/Span_B),"")</f>
        <v/>
      </c>
      <c r="AG57" s="15" t="str">
        <f aca="false">IF(AND($J57=1,$M57=0),IF(AF57&gt;0.0000001,1,0),"")</f>
        <v/>
      </c>
      <c r="AH57" s="15" t="str">
        <f aca="false">IF($J57=1,IF($M57=1,AB57,AG57),"")</f>
        <v/>
      </c>
      <c r="AI57" s="13" t="str">
        <f aca="false">IF($J57=1,(Ideal_P-E57)/Span_P,"")</f>
        <v/>
      </c>
      <c r="AJ57" s="13" t="str">
        <f aca="false">IF($J57=1,(Ideal_S-F57)/Span_S,"")</f>
        <v/>
      </c>
      <c r="AK57" s="13" t="str">
        <f aca="false">IF($J57=1,(Ideal_B-G57)/Span_B,"")</f>
        <v/>
      </c>
      <c r="AL57" s="12" t="str">
        <f aca="false">IF($J57=1,MAX(ChA_1*AI57,ChA_2*AJ57,ChA_3*AK57)+Rho*(ChA_1*AI57+ChA_2*AJ57+ChA_3*AK57),"")</f>
        <v/>
      </c>
      <c r="AM57" s="12" t="str">
        <f aca="false">IF($J57=1,MAX(ChB_1*AI57,ChB_2*AJ57,ChB_3*AK57)+Rho*(ChB_1*AI57+ChB_2*AJ57+ChB_3*AK57),"")</f>
        <v/>
      </c>
      <c r="AN57" s="12" t="str">
        <f aca="false">IF($J57=1,MAX(Cx_1*(Ref_P-E57)/Span_P,Cx_2*(Ref_S-F57)/Span_S,Cx_3*(Ref_B-G57)/Span_B),"")</f>
        <v/>
      </c>
    </row>
    <row r="58" customFormat="false" ht="15" hidden="false" customHeight="false" outlineLevel="0" collapsed="false">
      <c r="A58" s="2" t="n">
        <v>52</v>
      </c>
      <c r="B58" s="15" t="n">
        <f aca="false">INT(A58/151)</f>
        <v>0</v>
      </c>
      <c r="C58" s="15" t="n">
        <f aca="false">MOD(A58,151)</f>
        <v>52</v>
      </c>
      <c r="D58" s="15" t="n">
        <f aca="false">INDEX(Grid!$J$6:$P$156,C58+1,B58+1)</f>
        <v>1</v>
      </c>
      <c r="E58" s="16" t="n">
        <f aca="false">IF(D58=1,INDEX(Grid!$B$6:$H$156,C58+1,B58+1),"")</f>
        <v>89.0909090909091</v>
      </c>
      <c r="F58" s="13" t="n">
        <f aca="false">Val_pt*(Ceiling_e-E_zero)*(1-(1-Half_gap)^B58)</f>
        <v>0</v>
      </c>
      <c r="G58" s="15" t="n">
        <f aca="false">C58</f>
        <v>52</v>
      </c>
      <c r="H58" s="15" t="n">
        <f aca="false">IF(D58=1,INDEX(Grid!$R$6:$X$156,C58+1,B58+1),"")</f>
        <v>0</v>
      </c>
      <c r="I58" s="2" t="str">
        <f aca="false">IF(D58=1,INDEX(Sch_label,H58+1),"")</f>
        <v>none</v>
      </c>
      <c r="J58" s="15" t="n">
        <f aca="false">IF(D58=1,INDEX(Grid!$Z$6:$AF$156,C58+1,B58+1),0)</f>
        <v>0</v>
      </c>
      <c r="K58" s="16" t="n">
        <f aca="false">IF(J58=1,E58,0)</f>
        <v>0</v>
      </c>
      <c r="L58" s="17" t="n">
        <f aca="false">IF(D58=1,E58+W_board*F58,"")</f>
        <v>89.0909090909091</v>
      </c>
      <c r="Z58" s="12" t="str">
        <f aca="false">IF(AND($J58=1,$M58=1),N58*E58/Span_P+O58*F58/Span_S+P58*G58/Span_B,"")</f>
        <v/>
      </c>
      <c r="AA58" s="12" t="str">
        <f aca="false">IF(AND($J58=1,$M58=1),SUMPRODUCT(MAX($J$6:$J$1062*(N58*$K$6:$K$1062/Span_P+O58*$F$6:$F$1062/Span_S+P58*$G$6:$G$1062/Span_B)-(1-$J$6:$J$1062)*1000000000)),"")</f>
        <v/>
      </c>
      <c r="AB58" s="15" t="str">
        <f aca="false">IF(AND($J58=1,$M58=1),IF(AA58-Z58&lt;=0.000000001,1,0),"")</f>
        <v/>
      </c>
      <c r="AC58" s="13" t="str">
        <f aca="false">IF(AND($J58=1,$M58=0),IF(S58="",0,S58*INDEX(Grid!$B$6:$H$156,R58+1,Q58+1))+IF(V58="",0,V58*INDEX(Grid!$B$6:$H$156,U58+1,T58+1))+IF(Y58="",0,Y58*INDEX(Grid!$B$6:$H$156,X58+1,W58+1)),"")</f>
        <v/>
      </c>
      <c r="AD58" s="13" t="str">
        <f aca="false">IF(AND($J58=1,$M58=0),IF(S58="",0,S58*Val_pt*(Ceiling_e-E_zero)*(1-(1-Half_gap)^Q58))+IF(V58="",0,V58*Val_pt*(Ceiling_e-E_zero)*(1-(1-Half_gap)^T58))+IF(Y58="",0,Y58*Val_pt*(Ceiling_e-E_zero)*(1-(1-Half_gap)^W58)),"")</f>
        <v/>
      </c>
      <c r="AE58" s="13" t="str">
        <f aca="false">IF(AND($J58=1,$M58=0),IF(S58="",0,S58*R58)+IF(V58="",0,V58*U58)+IF(Y58="",0,Y58*X58),"")</f>
        <v/>
      </c>
      <c r="AF58" s="12" t="str">
        <f aca="false">IF(AND($J58=1,$M58=0),MIN((AC58-E58)/Span_P,(AD58-F58)/Span_S,(AE58-G58)/Span_B),"")</f>
        <v/>
      </c>
      <c r="AG58" s="15" t="str">
        <f aca="false">IF(AND($J58=1,$M58=0),IF(AF58&gt;0.0000001,1,0),"")</f>
        <v/>
      </c>
      <c r="AH58" s="15" t="str">
        <f aca="false">IF($J58=1,IF($M58=1,AB58,AG58),"")</f>
        <v/>
      </c>
      <c r="AI58" s="13" t="str">
        <f aca="false">IF($J58=1,(Ideal_P-E58)/Span_P,"")</f>
        <v/>
      </c>
      <c r="AJ58" s="13" t="str">
        <f aca="false">IF($J58=1,(Ideal_S-F58)/Span_S,"")</f>
        <v/>
      </c>
      <c r="AK58" s="13" t="str">
        <f aca="false">IF($J58=1,(Ideal_B-G58)/Span_B,"")</f>
        <v/>
      </c>
      <c r="AL58" s="12" t="str">
        <f aca="false">IF($J58=1,MAX(ChA_1*AI58,ChA_2*AJ58,ChA_3*AK58)+Rho*(ChA_1*AI58+ChA_2*AJ58+ChA_3*AK58),"")</f>
        <v/>
      </c>
      <c r="AM58" s="12" t="str">
        <f aca="false">IF($J58=1,MAX(ChB_1*AI58,ChB_2*AJ58,ChB_3*AK58)+Rho*(ChB_1*AI58+ChB_2*AJ58+ChB_3*AK58),"")</f>
        <v/>
      </c>
      <c r="AN58" s="12" t="str">
        <f aca="false">IF($J58=1,MAX(Cx_1*(Ref_P-E58)/Span_P,Cx_2*(Ref_S-F58)/Span_S,Cx_3*(Ref_B-G58)/Span_B),"")</f>
        <v/>
      </c>
    </row>
    <row r="59" customFormat="false" ht="15" hidden="false" customHeight="false" outlineLevel="0" collapsed="false">
      <c r="A59" s="2" t="n">
        <v>53</v>
      </c>
      <c r="B59" s="15" t="n">
        <f aca="false">INT(A59/151)</f>
        <v>0</v>
      </c>
      <c r="C59" s="15" t="n">
        <f aca="false">MOD(A59,151)</f>
        <v>53</v>
      </c>
      <c r="D59" s="15" t="n">
        <f aca="false">INDEX(Grid!$J$6:$P$156,C59+1,B59+1)</f>
        <v>1</v>
      </c>
      <c r="E59" s="16" t="n">
        <f aca="false">IF(D59=1,INDEX(Grid!$B$6:$H$156,C59+1,B59+1),"")</f>
        <v>88.1818181818182</v>
      </c>
      <c r="F59" s="13" t="n">
        <f aca="false">Val_pt*(Ceiling_e-E_zero)*(1-(1-Half_gap)^B59)</f>
        <v>0</v>
      </c>
      <c r="G59" s="15" t="n">
        <f aca="false">C59</f>
        <v>53</v>
      </c>
      <c r="H59" s="15" t="n">
        <f aca="false">IF(D59=1,INDEX(Grid!$R$6:$X$156,C59+1,B59+1),"")</f>
        <v>0</v>
      </c>
      <c r="I59" s="2" t="str">
        <f aca="false">IF(D59=1,INDEX(Sch_label,H59+1),"")</f>
        <v>none</v>
      </c>
      <c r="J59" s="15" t="n">
        <f aca="false">IF(D59=1,INDEX(Grid!$Z$6:$AF$156,C59+1,B59+1),0)</f>
        <v>0</v>
      </c>
      <c r="K59" s="16" t="n">
        <f aca="false">IF(J59=1,E59,0)</f>
        <v>0</v>
      </c>
      <c r="L59" s="17" t="n">
        <f aca="false">IF(D59=1,E59+W_board*F59,"")</f>
        <v>88.1818181818182</v>
      </c>
      <c r="Z59" s="12" t="str">
        <f aca="false">IF(AND($J59=1,$M59=1),N59*E59/Span_P+O59*F59/Span_S+P59*G59/Span_B,"")</f>
        <v/>
      </c>
      <c r="AA59" s="12" t="str">
        <f aca="false">IF(AND($J59=1,$M59=1),SUMPRODUCT(MAX($J$6:$J$1062*(N59*$K$6:$K$1062/Span_P+O59*$F$6:$F$1062/Span_S+P59*$G$6:$G$1062/Span_B)-(1-$J$6:$J$1062)*1000000000)),"")</f>
        <v/>
      </c>
      <c r="AB59" s="15" t="str">
        <f aca="false">IF(AND($J59=1,$M59=1),IF(AA59-Z59&lt;=0.000000001,1,0),"")</f>
        <v/>
      </c>
      <c r="AC59" s="13" t="str">
        <f aca="false">IF(AND($J59=1,$M59=0),IF(S59="",0,S59*INDEX(Grid!$B$6:$H$156,R59+1,Q59+1))+IF(V59="",0,V59*INDEX(Grid!$B$6:$H$156,U59+1,T59+1))+IF(Y59="",0,Y59*INDEX(Grid!$B$6:$H$156,X59+1,W59+1)),"")</f>
        <v/>
      </c>
      <c r="AD59" s="13" t="str">
        <f aca="false">IF(AND($J59=1,$M59=0),IF(S59="",0,S59*Val_pt*(Ceiling_e-E_zero)*(1-(1-Half_gap)^Q59))+IF(V59="",0,V59*Val_pt*(Ceiling_e-E_zero)*(1-(1-Half_gap)^T59))+IF(Y59="",0,Y59*Val_pt*(Ceiling_e-E_zero)*(1-(1-Half_gap)^W59)),"")</f>
        <v/>
      </c>
      <c r="AE59" s="13" t="str">
        <f aca="false">IF(AND($J59=1,$M59=0),IF(S59="",0,S59*R59)+IF(V59="",0,V59*U59)+IF(Y59="",0,Y59*X59),"")</f>
        <v/>
      </c>
      <c r="AF59" s="12" t="str">
        <f aca="false">IF(AND($J59=1,$M59=0),MIN((AC59-E59)/Span_P,(AD59-F59)/Span_S,(AE59-G59)/Span_B),"")</f>
        <v/>
      </c>
      <c r="AG59" s="15" t="str">
        <f aca="false">IF(AND($J59=1,$M59=0),IF(AF59&gt;0.0000001,1,0),"")</f>
        <v/>
      </c>
      <c r="AH59" s="15" t="str">
        <f aca="false">IF($J59=1,IF($M59=1,AB59,AG59),"")</f>
        <v/>
      </c>
      <c r="AI59" s="13" t="str">
        <f aca="false">IF($J59=1,(Ideal_P-E59)/Span_P,"")</f>
        <v/>
      </c>
      <c r="AJ59" s="13" t="str">
        <f aca="false">IF($J59=1,(Ideal_S-F59)/Span_S,"")</f>
        <v/>
      </c>
      <c r="AK59" s="13" t="str">
        <f aca="false">IF($J59=1,(Ideal_B-G59)/Span_B,"")</f>
        <v/>
      </c>
      <c r="AL59" s="12" t="str">
        <f aca="false">IF($J59=1,MAX(ChA_1*AI59,ChA_2*AJ59,ChA_3*AK59)+Rho*(ChA_1*AI59+ChA_2*AJ59+ChA_3*AK59),"")</f>
        <v/>
      </c>
      <c r="AM59" s="12" t="str">
        <f aca="false">IF($J59=1,MAX(ChB_1*AI59,ChB_2*AJ59,ChB_3*AK59)+Rho*(ChB_1*AI59+ChB_2*AJ59+ChB_3*AK59),"")</f>
        <v/>
      </c>
      <c r="AN59" s="12" t="str">
        <f aca="false">IF($J59=1,MAX(Cx_1*(Ref_P-E59)/Span_P,Cx_2*(Ref_S-F59)/Span_S,Cx_3*(Ref_B-G59)/Span_B),"")</f>
        <v/>
      </c>
    </row>
    <row r="60" customFormat="false" ht="15" hidden="false" customHeight="false" outlineLevel="0" collapsed="false">
      <c r="A60" s="2" t="n">
        <v>54</v>
      </c>
      <c r="B60" s="15" t="n">
        <f aca="false">INT(A60/151)</f>
        <v>0</v>
      </c>
      <c r="C60" s="15" t="n">
        <f aca="false">MOD(A60,151)</f>
        <v>54</v>
      </c>
      <c r="D60" s="15" t="n">
        <f aca="false">INDEX(Grid!$J$6:$P$156,C60+1,B60+1)</f>
        <v>1</v>
      </c>
      <c r="E60" s="16" t="n">
        <f aca="false">IF(D60=1,INDEX(Grid!$B$6:$H$156,C60+1,B60+1),"")</f>
        <v>87.2727272727273</v>
      </c>
      <c r="F60" s="13" t="n">
        <f aca="false">Val_pt*(Ceiling_e-E_zero)*(1-(1-Half_gap)^B60)</f>
        <v>0</v>
      </c>
      <c r="G60" s="15" t="n">
        <f aca="false">C60</f>
        <v>54</v>
      </c>
      <c r="H60" s="15" t="n">
        <f aca="false">IF(D60=1,INDEX(Grid!$R$6:$X$156,C60+1,B60+1),"")</f>
        <v>0</v>
      </c>
      <c r="I60" s="2" t="str">
        <f aca="false">IF(D60=1,INDEX(Sch_label,H60+1),"")</f>
        <v>none</v>
      </c>
      <c r="J60" s="15" t="n">
        <f aca="false">IF(D60=1,INDEX(Grid!$Z$6:$AF$156,C60+1,B60+1),0)</f>
        <v>0</v>
      </c>
      <c r="K60" s="16" t="n">
        <f aca="false">IF(J60=1,E60,0)</f>
        <v>0</v>
      </c>
      <c r="L60" s="17" t="n">
        <f aca="false">IF(D60=1,E60+W_board*F60,"")</f>
        <v>87.2727272727273</v>
      </c>
      <c r="Z60" s="12" t="str">
        <f aca="false">IF(AND($J60=1,$M60=1),N60*E60/Span_P+O60*F60/Span_S+P60*G60/Span_B,"")</f>
        <v/>
      </c>
      <c r="AA60" s="12" t="str">
        <f aca="false">IF(AND($J60=1,$M60=1),SUMPRODUCT(MAX($J$6:$J$1062*(N60*$K$6:$K$1062/Span_P+O60*$F$6:$F$1062/Span_S+P60*$G$6:$G$1062/Span_B)-(1-$J$6:$J$1062)*1000000000)),"")</f>
        <v/>
      </c>
      <c r="AB60" s="15" t="str">
        <f aca="false">IF(AND($J60=1,$M60=1),IF(AA60-Z60&lt;=0.000000001,1,0),"")</f>
        <v/>
      </c>
      <c r="AC60" s="13" t="str">
        <f aca="false">IF(AND($J60=1,$M60=0),IF(S60="",0,S60*INDEX(Grid!$B$6:$H$156,R60+1,Q60+1))+IF(V60="",0,V60*INDEX(Grid!$B$6:$H$156,U60+1,T60+1))+IF(Y60="",0,Y60*INDEX(Grid!$B$6:$H$156,X60+1,W60+1)),"")</f>
        <v/>
      </c>
      <c r="AD60" s="13" t="str">
        <f aca="false">IF(AND($J60=1,$M60=0),IF(S60="",0,S60*Val_pt*(Ceiling_e-E_zero)*(1-(1-Half_gap)^Q60))+IF(V60="",0,V60*Val_pt*(Ceiling_e-E_zero)*(1-(1-Half_gap)^T60))+IF(Y60="",0,Y60*Val_pt*(Ceiling_e-E_zero)*(1-(1-Half_gap)^W60)),"")</f>
        <v/>
      </c>
      <c r="AE60" s="13" t="str">
        <f aca="false">IF(AND($J60=1,$M60=0),IF(S60="",0,S60*R60)+IF(V60="",0,V60*U60)+IF(Y60="",0,Y60*X60),"")</f>
        <v/>
      </c>
      <c r="AF60" s="12" t="str">
        <f aca="false">IF(AND($J60=1,$M60=0),MIN((AC60-E60)/Span_P,(AD60-F60)/Span_S,(AE60-G60)/Span_B),"")</f>
        <v/>
      </c>
      <c r="AG60" s="15" t="str">
        <f aca="false">IF(AND($J60=1,$M60=0),IF(AF60&gt;0.0000001,1,0),"")</f>
        <v/>
      </c>
      <c r="AH60" s="15" t="str">
        <f aca="false">IF($J60=1,IF($M60=1,AB60,AG60),"")</f>
        <v/>
      </c>
      <c r="AI60" s="13" t="str">
        <f aca="false">IF($J60=1,(Ideal_P-E60)/Span_P,"")</f>
        <v/>
      </c>
      <c r="AJ60" s="13" t="str">
        <f aca="false">IF($J60=1,(Ideal_S-F60)/Span_S,"")</f>
        <v/>
      </c>
      <c r="AK60" s="13" t="str">
        <f aca="false">IF($J60=1,(Ideal_B-G60)/Span_B,"")</f>
        <v/>
      </c>
      <c r="AL60" s="12" t="str">
        <f aca="false">IF($J60=1,MAX(ChA_1*AI60,ChA_2*AJ60,ChA_3*AK60)+Rho*(ChA_1*AI60+ChA_2*AJ60+ChA_3*AK60),"")</f>
        <v/>
      </c>
      <c r="AM60" s="12" t="str">
        <f aca="false">IF($J60=1,MAX(ChB_1*AI60,ChB_2*AJ60,ChB_3*AK60)+Rho*(ChB_1*AI60+ChB_2*AJ60+ChB_3*AK60),"")</f>
        <v/>
      </c>
      <c r="AN60" s="12" t="str">
        <f aca="false">IF($J60=1,MAX(Cx_1*(Ref_P-E60)/Span_P,Cx_2*(Ref_S-F60)/Span_S,Cx_3*(Ref_B-G60)/Span_B),"")</f>
        <v/>
      </c>
    </row>
    <row r="61" customFormat="false" ht="15" hidden="false" customHeight="false" outlineLevel="0" collapsed="false">
      <c r="A61" s="2" t="n">
        <v>55</v>
      </c>
      <c r="B61" s="15" t="n">
        <f aca="false">INT(A61/151)</f>
        <v>0</v>
      </c>
      <c r="C61" s="15" t="n">
        <f aca="false">MOD(A61,151)</f>
        <v>55</v>
      </c>
      <c r="D61" s="15" t="n">
        <f aca="false">INDEX(Grid!$J$6:$P$156,C61+1,B61+1)</f>
        <v>1</v>
      </c>
      <c r="E61" s="16" t="n">
        <f aca="false">IF(D61=1,INDEX(Grid!$B$6:$H$156,C61+1,B61+1),"")</f>
        <v>86.3636363636364</v>
      </c>
      <c r="F61" s="13" t="n">
        <f aca="false">Val_pt*(Ceiling_e-E_zero)*(1-(1-Half_gap)^B61)</f>
        <v>0</v>
      </c>
      <c r="G61" s="15" t="n">
        <f aca="false">C61</f>
        <v>55</v>
      </c>
      <c r="H61" s="15" t="n">
        <f aca="false">IF(D61=1,INDEX(Grid!$R$6:$X$156,C61+1,B61+1),"")</f>
        <v>0</v>
      </c>
      <c r="I61" s="2" t="str">
        <f aca="false">IF(D61=1,INDEX(Sch_label,H61+1),"")</f>
        <v>none</v>
      </c>
      <c r="J61" s="15" t="n">
        <f aca="false">IF(D61=1,INDEX(Grid!$Z$6:$AF$156,C61+1,B61+1),0)</f>
        <v>0</v>
      </c>
      <c r="K61" s="16" t="n">
        <f aca="false">IF(J61=1,E61,0)</f>
        <v>0</v>
      </c>
      <c r="L61" s="17" t="n">
        <f aca="false">IF(D61=1,E61+W_board*F61,"")</f>
        <v>86.3636363636364</v>
      </c>
      <c r="Z61" s="12" t="str">
        <f aca="false">IF(AND($J61=1,$M61=1),N61*E61/Span_P+O61*F61/Span_S+P61*G61/Span_B,"")</f>
        <v/>
      </c>
      <c r="AA61" s="12" t="str">
        <f aca="false">IF(AND($J61=1,$M61=1),SUMPRODUCT(MAX($J$6:$J$1062*(N61*$K$6:$K$1062/Span_P+O61*$F$6:$F$1062/Span_S+P61*$G$6:$G$1062/Span_B)-(1-$J$6:$J$1062)*1000000000)),"")</f>
        <v/>
      </c>
      <c r="AB61" s="15" t="str">
        <f aca="false">IF(AND($J61=1,$M61=1),IF(AA61-Z61&lt;=0.000000001,1,0),"")</f>
        <v/>
      </c>
      <c r="AC61" s="13" t="str">
        <f aca="false">IF(AND($J61=1,$M61=0),IF(S61="",0,S61*INDEX(Grid!$B$6:$H$156,R61+1,Q61+1))+IF(V61="",0,V61*INDEX(Grid!$B$6:$H$156,U61+1,T61+1))+IF(Y61="",0,Y61*INDEX(Grid!$B$6:$H$156,X61+1,W61+1)),"")</f>
        <v/>
      </c>
      <c r="AD61" s="13" t="str">
        <f aca="false">IF(AND($J61=1,$M61=0),IF(S61="",0,S61*Val_pt*(Ceiling_e-E_zero)*(1-(1-Half_gap)^Q61))+IF(V61="",0,V61*Val_pt*(Ceiling_e-E_zero)*(1-(1-Half_gap)^T61))+IF(Y61="",0,Y61*Val_pt*(Ceiling_e-E_zero)*(1-(1-Half_gap)^W61)),"")</f>
        <v/>
      </c>
      <c r="AE61" s="13" t="str">
        <f aca="false">IF(AND($J61=1,$M61=0),IF(S61="",0,S61*R61)+IF(V61="",0,V61*U61)+IF(Y61="",0,Y61*X61),"")</f>
        <v/>
      </c>
      <c r="AF61" s="12" t="str">
        <f aca="false">IF(AND($J61=1,$M61=0),MIN((AC61-E61)/Span_P,(AD61-F61)/Span_S,(AE61-G61)/Span_B),"")</f>
        <v/>
      </c>
      <c r="AG61" s="15" t="str">
        <f aca="false">IF(AND($J61=1,$M61=0),IF(AF61&gt;0.0000001,1,0),"")</f>
        <v/>
      </c>
      <c r="AH61" s="15" t="str">
        <f aca="false">IF($J61=1,IF($M61=1,AB61,AG61),"")</f>
        <v/>
      </c>
      <c r="AI61" s="13" t="str">
        <f aca="false">IF($J61=1,(Ideal_P-E61)/Span_P,"")</f>
        <v/>
      </c>
      <c r="AJ61" s="13" t="str">
        <f aca="false">IF($J61=1,(Ideal_S-F61)/Span_S,"")</f>
        <v/>
      </c>
      <c r="AK61" s="13" t="str">
        <f aca="false">IF($J61=1,(Ideal_B-G61)/Span_B,"")</f>
        <v/>
      </c>
      <c r="AL61" s="12" t="str">
        <f aca="false">IF($J61=1,MAX(ChA_1*AI61,ChA_2*AJ61,ChA_3*AK61)+Rho*(ChA_1*AI61+ChA_2*AJ61+ChA_3*AK61),"")</f>
        <v/>
      </c>
      <c r="AM61" s="12" t="str">
        <f aca="false">IF($J61=1,MAX(ChB_1*AI61,ChB_2*AJ61,ChB_3*AK61)+Rho*(ChB_1*AI61+ChB_2*AJ61+ChB_3*AK61),"")</f>
        <v/>
      </c>
      <c r="AN61" s="12" t="str">
        <f aca="false">IF($J61=1,MAX(Cx_1*(Ref_P-E61)/Span_P,Cx_2*(Ref_S-F61)/Span_S,Cx_3*(Ref_B-G61)/Span_B),"")</f>
        <v/>
      </c>
    </row>
    <row r="62" customFormat="false" ht="15" hidden="false" customHeight="false" outlineLevel="0" collapsed="false">
      <c r="A62" s="2" t="n">
        <v>56</v>
      </c>
      <c r="B62" s="15" t="n">
        <f aca="false">INT(A62/151)</f>
        <v>0</v>
      </c>
      <c r="C62" s="15" t="n">
        <f aca="false">MOD(A62,151)</f>
        <v>56</v>
      </c>
      <c r="D62" s="15" t="n">
        <f aca="false">INDEX(Grid!$J$6:$P$156,C62+1,B62+1)</f>
        <v>1</v>
      </c>
      <c r="E62" s="16" t="n">
        <f aca="false">IF(D62=1,INDEX(Grid!$B$6:$H$156,C62+1,B62+1),"")</f>
        <v>85.4545454545454</v>
      </c>
      <c r="F62" s="13" t="n">
        <f aca="false">Val_pt*(Ceiling_e-E_zero)*(1-(1-Half_gap)^B62)</f>
        <v>0</v>
      </c>
      <c r="G62" s="15" t="n">
        <f aca="false">C62</f>
        <v>56</v>
      </c>
      <c r="H62" s="15" t="n">
        <f aca="false">IF(D62=1,INDEX(Grid!$R$6:$X$156,C62+1,B62+1),"")</f>
        <v>0</v>
      </c>
      <c r="I62" s="2" t="str">
        <f aca="false">IF(D62=1,INDEX(Sch_label,H62+1),"")</f>
        <v>none</v>
      </c>
      <c r="J62" s="15" t="n">
        <f aca="false">IF(D62=1,INDEX(Grid!$Z$6:$AF$156,C62+1,B62+1),0)</f>
        <v>0</v>
      </c>
      <c r="K62" s="16" t="n">
        <f aca="false">IF(J62=1,E62,0)</f>
        <v>0</v>
      </c>
      <c r="L62" s="17" t="n">
        <f aca="false">IF(D62=1,E62+W_board*F62,"")</f>
        <v>85.4545454545454</v>
      </c>
      <c r="Z62" s="12" t="str">
        <f aca="false">IF(AND($J62=1,$M62=1),N62*E62/Span_P+O62*F62/Span_S+P62*G62/Span_B,"")</f>
        <v/>
      </c>
      <c r="AA62" s="12" t="str">
        <f aca="false">IF(AND($J62=1,$M62=1),SUMPRODUCT(MAX($J$6:$J$1062*(N62*$K$6:$K$1062/Span_P+O62*$F$6:$F$1062/Span_S+P62*$G$6:$G$1062/Span_B)-(1-$J$6:$J$1062)*1000000000)),"")</f>
        <v/>
      </c>
      <c r="AB62" s="15" t="str">
        <f aca="false">IF(AND($J62=1,$M62=1),IF(AA62-Z62&lt;=0.000000001,1,0),"")</f>
        <v/>
      </c>
      <c r="AC62" s="13" t="str">
        <f aca="false">IF(AND($J62=1,$M62=0),IF(S62="",0,S62*INDEX(Grid!$B$6:$H$156,R62+1,Q62+1))+IF(V62="",0,V62*INDEX(Grid!$B$6:$H$156,U62+1,T62+1))+IF(Y62="",0,Y62*INDEX(Grid!$B$6:$H$156,X62+1,W62+1)),"")</f>
        <v/>
      </c>
      <c r="AD62" s="13" t="str">
        <f aca="false">IF(AND($J62=1,$M62=0),IF(S62="",0,S62*Val_pt*(Ceiling_e-E_zero)*(1-(1-Half_gap)^Q62))+IF(V62="",0,V62*Val_pt*(Ceiling_e-E_zero)*(1-(1-Half_gap)^T62))+IF(Y62="",0,Y62*Val_pt*(Ceiling_e-E_zero)*(1-(1-Half_gap)^W62)),"")</f>
        <v/>
      </c>
      <c r="AE62" s="13" t="str">
        <f aca="false">IF(AND($J62=1,$M62=0),IF(S62="",0,S62*R62)+IF(V62="",0,V62*U62)+IF(Y62="",0,Y62*X62),"")</f>
        <v/>
      </c>
      <c r="AF62" s="12" t="str">
        <f aca="false">IF(AND($J62=1,$M62=0),MIN((AC62-E62)/Span_P,(AD62-F62)/Span_S,(AE62-G62)/Span_B),"")</f>
        <v/>
      </c>
      <c r="AG62" s="15" t="str">
        <f aca="false">IF(AND($J62=1,$M62=0),IF(AF62&gt;0.0000001,1,0),"")</f>
        <v/>
      </c>
      <c r="AH62" s="15" t="str">
        <f aca="false">IF($J62=1,IF($M62=1,AB62,AG62),"")</f>
        <v/>
      </c>
      <c r="AI62" s="13" t="str">
        <f aca="false">IF($J62=1,(Ideal_P-E62)/Span_P,"")</f>
        <v/>
      </c>
      <c r="AJ62" s="13" t="str">
        <f aca="false">IF($J62=1,(Ideal_S-F62)/Span_S,"")</f>
        <v/>
      </c>
      <c r="AK62" s="13" t="str">
        <f aca="false">IF($J62=1,(Ideal_B-G62)/Span_B,"")</f>
        <v/>
      </c>
      <c r="AL62" s="12" t="str">
        <f aca="false">IF($J62=1,MAX(ChA_1*AI62,ChA_2*AJ62,ChA_3*AK62)+Rho*(ChA_1*AI62+ChA_2*AJ62+ChA_3*AK62),"")</f>
        <v/>
      </c>
      <c r="AM62" s="12" t="str">
        <f aca="false">IF($J62=1,MAX(ChB_1*AI62,ChB_2*AJ62,ChB_3*AK62)+Rho*(ChB_1*AI62+ChB_2*AJ62+ChB_3*AK62),"")</f>
        <v/>
      </c>
      <c r="AN62" s="12" t="str">
        <f aca="false">IF($J62=1,MAX(Cx_1*(Ref_P-E62)/Span_P,Cx_2*(Ref_S-F62)/Span_S,Cx_3*(Ref_B-G62)/Span_B),"")</f>
        <v/>
      </c>
    </row>
    <row r="63" customFormat="false" ht="15" hidden="false" customHeight="false" outlineLevel="0" collapsed="false">
      <c r="A63" s="2" t="n">
        <v>57</v>
      </c>
      <c r="B63" s="15" t="n">
        <f aca="false">INT(A63/151)</f>
        <v>0</v>
      </c>
      <c r="C63" s="15" t="n">
        <f aca="false">MOD(A63,151)</f>
        <v>57</v>
      </c>
      <c r="D63" s="15" t="n">
        <f aca="false">INDEX(Grid!$J$6:$P$156,C63+1,B63+1)</f>
        <v>1</v>
      </c>
      <c r="E63" s="16" t="n">
        <f aca="false">IF(D63=1,INDEX(Grid!$B$6:$H$156,C63+1,B63+1),"")</f>
        <v>84.5454545454545</v>
      </c>
      <c r="F63" s="13" t="n">
        <f aca="false">Val_pt*(Ceiling_e-E_zero)*(1-(1-Half_gap)^B63)</f>
        <v>0</v>
      </c>
      <c r="G63" s="15" t="n">
        <f aca="false">C63</f>
        <v>57</v>
      </c>
      <c r="H63" s="15" t="n">
        <f aca="false">IF(D63=1,INDEX(Grid!$R$6:$X$156,C63+1,B63+1),"")</f>
        <v>0</v>
      </c>
      <c r="I63" s="2" t="str">
        <f aca="false">IF(D63=1,INDEX(Sch_label,H63+1),"")</f>
        <v>none</v>
      </c>
      <c r="J63" s="15" t="n">
        <f aca="false">IF(D63=1,INDEX(Grid!$Z$6:$AF$156,C63+1,B63+1),0)</f>
        <v>0</v>
      </c>
      <c r="K63" s="16" t="n">
        <f aca="false">IF(J63=1,E63,0)</f>
        <v>0</v>
      </c>
      <c r="L63" s="17" t="n">
        <f aca="false">IF(D63=1,E63+W_board*F63,"")</f>
        <v>84.5454545454545</v>
      </c>
      <c r="Z63" s="12" t="str">
        <f aca="false">IF(AND($J63=1,$M63=1),N63*E63/Span_P+O63*F63/Span_S+P63*G63/Span_B,"")</f>
        <v/>
      </c>
      <c r="AA63" s="12" t="str">
        <f aca="false">IF(AND($J63=1,$M63=1),SUMPRODUCT(MAX($J$6:$J$1062*(N63*$K$6:$K$1062/Span_P+O63*$F$6:$F$1062/Span_S+P63*$G$6:$G$1062/Span_B)-(1-$J$6:$J$1062)*1000000000)),"")</f>
        <v/>
      </c>
      <c r="AB63" s="15" t="str">
        <f aca="false">IF(AND($J63=1,$M63=1),IF(AA63-Z63&lt;=0.000000001,1,0),"")</f>
        <v/>
      </c>
      <c r="AC63" s="13" t="str">
        <f aca="false">IF(AND($J63=1,$M63=0),IF(S63="",0,S63*INDEX(Grid!$B$6:$H$156,R63+1,Q63+1))+IF(V63="",0,V63*INDEX(Grid!$B$6:$H$156,U63+1,T63+1))+IF(Y63="",0,Y63*INDEX(Grid!$B$6:$H$156,X63+1,W63+1)),"")</f>
        <v/>
      </c>
      <c r="AD63" s="13" t="str">
        <f aca="false">IF(AND($J63=1,$M63=0),IF(S63="",0,S63*Val_pt*(Ceiling_e-E_zero)*(1-(1-Half_gap)^Q63))+IF(V63="",0,V63*Val_pt*(Ceiling_e-E_zero)*(1-(1-Half_gap)^T63))+IF(Y63="",0,Y63*Val_pt*(Ceiling_e-E_zero)*(1-(1-Half_gap)^W63)),"")</f>
        <v/>
      </c>
      <c r="AE63" s="13" t="str">
        <f aca="false">IF(AND($J63=1,$M63=0),IF(S63="",0,S63*R63)+IF(V63="",0,V63*U63)+IF(Y63="",0,Y63*X63),"")</f>
        <v/>
      </c>
      <c r="AF63" s="12" t="str">
        <f aca="false">IF(AND($J63=1,$M63=0),MIN((AC63-E63)/Span_P,(AD63-F63)/Span_S,(AE63-G63)/Span_B),"")</f>
        <v/>
      </c>
      <c r="AG63" s="15" t="str">
        <f aca="false">IF(AND($J63=1,$M63=0),IF(AF63&gt;0.0000001,1,0),"")</f>
        <v/>
      </c>
      <c r="AH63" s="15" t="str">
        <f aca="false">IF($J63=1,IF($M63=1,AB63,AG63),"")</f>
        <v/>
      </c>
      <c r="AI63" s="13" t="str">
        <f aca="false">IF($J63=1,(Ideal_P-E63)/Span_P,"")</f>
        <v/>
      </c>
      <c r="AJ63" s="13" t="str">
        <f aca="false">IF($J63=1,(Ideal_S-F63)/Span_S,"")</f>
        <v/>
      </c>
      <c r="AK63" s="13" t="str">
        <f aca="false">IF($J63=1,(Ideal_B-G63)/Span_B,"")</f>
        <v/>
      </c>
      <c r="AL63" s="12" t="str">
        <f aca="false">IF($J63=1,MAX(ChA_1*AI63,ChA_2*AJ63,ChA_3*AK63)+Rho*(ChA_1*AI63+ChA_2*AJ63+ChA_3*AK63),"")</f>
        <v/>
      </c>
      <c r="AM63" s="12" t="str">
        <f aca="false">IF($J63=1,MAX(ChB_1*AI63,ChB_2*AJ63,ChB_3*AK63)+Rho*(ChB_1*AI63+ChB_2*AJ63+ChB_3*AK63),"")</f>
        <v/>
      </c>
      <c r="AN63" s="12" t="str">
        <f aca="false">IF($J63=1,MAX(Cx_1*(Ref_P-E63)/Span_P,Cx_2*(Ref_S-F63)/Span_S,Cx_3*(Ref_B-G63)/Span_B),"")</f>
        <v/>
      </c>
    </row>
    <row r="64" customFormat="false" ht="15" hidden="false" customHeight="false" outlineLevel="0" collapsed="false">
      <c r="A64" s="2" t="n">
        <v>58</v>
      </c>
      <c r="B64" s="15" t="n">
        <f aca="false">INT(A64/151)</f>
        <v>0</v>
      </c>
      <c r="C64" s="15" t="n">
        <f aca="false">MOD(A64,151)</f>
        <v>58</v>
      </c>
      <c r="D64" s="15" t="n">
        <f aca="false">INDEX(Grid!$J$6:$P$156,C64+1,B64+1)</f>
        <v>1</v>
      </c>
      <c r="E64" s="16" t="n">
        <f aca="false">IF(D64=1,INDEX(Grid!$B$6:$H$156,C64+1,B64+1),"")</f>
        <v>83.6363636363636</v>
      </c>
      <c r="F64" s="13" t="n">
        <f aca="false">Val_pt*(Ceiling_e-E_zero)*(1-(1-Half_gap)^B64)</f>
        <v>0</v>
      </c>
      <c r="G64" s="15" t="n">
        <f aca="false">C64</f>
        <v>58</v>
      </c>
      <c r="H64" s="15" t="n">
        <f aca="false">IF(D64=1,INDEX(Grid!$R$6:$X$156,C64+1,B64+1),"")</f>
        <v>0</v>
      </c>
      <c r="I64" s="2" t="str">
        <f aca="false">IF(D64=1,INDEX(Sch_label,H64+1),"")</f>
        <v>none</v>
      </c>
      <c r="J64" s="15" t="n">
        <f aca="false">IF(D64=1,INDEX(Grid!$Z$6:$AF$156,C64+1,B64+1),0)</f>
        <v>0</v>
      </c>
      <c r="K64" s="16" t="n">
        <f aca="false">IF(J64=1,E64,0)</f>
        <v>0</v>
      </c>
      <c r="L64" s="17" t="n">
        <f aca="false">IF(D64=1,E64+W_board*F64,"")</f>
        <v>83.6363636363636</v>
      </c>
      <c r="Z64" s="12" t="str">
        <f aca="false">IF(AND($J64=1,$M64=1),N64*E64/Span_P+O64*F64/Span_S+P64*G64/Span_B,"")</f>
        <v/>
      </c>
      <c r="AA64" s="12" t="str">
        <f aca="false">IF(AND($J64=1,$M64=1),SUMPRODUCT(MAX($J$6:$J$1062*(N64*$K$6:$K$1062/Span_P+O64*$F$6:$F$1062/Span_S+P64*$G$6:$G$1062/Span_B)-(1-$J$6:$J$1062)*1000000000)),"")</f>
        <v/>
      </c>
      <c r="AB64" s="15" t="str">
        <f aca="false">IF(AND($J64=1,$M64=1),IF(AA64-Z64&lt;=0.000000001,1,0),"")</f>
        <v/>
      </c>
      <c r="AC64" s="13" t="str">
        <f aca="false">IF(AND($J64=1,$M64=0),IF(S64="",0,S64*INDEX(Grid!$B$6:$H$156,R64+1,Q64+1))+IF(V64="",0,V64*INDEX(Grid!$B$6:$H$156,U64+1,T64+1))+IF(Y64="",0,Y64*INDEX(Grid!$B$6:$H$156,X64+1,W64+1)),"")</f>
        <v/>
      </c>
      <c r="AD64" s="13" t="str">
        <f aca="false">IF(AND($J64=1,$M64=0),IF(S64="",0,S64*Val_pt*(Ceiling_e-E_zero)*(1-(1-Half_gap)^Q64))+IF(V64="",0,V64*Val_pt*(Ceiling_e-E_zero)*(1-(1-Half_gap)^T64))+IF(Y64="",0,Y64*Val_pt*(Ceiling_e-E_zero)*(1-(1-Half_gap)^W64)),"")</f>
        <v/>
      </c>
      <c r="AE64" s="13" t="str">
        <f aca="false">IF(AND($J64=1,$M64=0),IF(S64="",0,S64*R64)+IF(V64="",0,V64*U64)+IF(Y64="",0,Y64*X64),"")</f>
        <v/>
      </c>
      <c r="AF64" s="12" t="str">
        <f aca="false">IF(AND($J64=1,$M64=0),MIN((AC64-E64)/Span_P,(AD64-F64)/Span_S,(AE64-G64)/Span_B),"")</f>
        <v/>
      </c>
      <c r="AG64" s="15" t="str">
        <f aca="false">IF(AND($J64=1,$M64=0),IF(AF64&gt;0.0000001,1,0),"")</f>
        <v/>
      </c>
      <c r="AH64" s="15" t="str">
        <f aca="false">IF($J64=1,IF($M64=1,AB64,AG64),"")</f>
        <v/>
      </c>
      <c r="AI64" s="13" t="str">
        <f aca="false">IF($J64=1,(Ideal_P-E64)/Span_P,"")</f>
        <v/>
      </c>
      <c r="AJ64" s="13" t="str">
        <f aca="false">IF($J64=1,(Ideal_S-F64)/Span_S,"")</f>
        <v/>
      </c>
      <c r="AK64" s="13" t="str">
        <f aca="false">IF($J64=1,(Ideal_B-G64)/Span_B,"")</f>
        <v/>
      </c>
      <c r="AL64" s="12" t="str">
        <f aca="false">IF($J64=1,MAX(ChA_1*AI64,ChA_2*AJ64,ChA_3*AK64)+Rho*(ChA_1*AI64+ChA_2*AJ64+ChA_3*AK64),"")</f>
        <v/>
      </c>
      <c r="AM64" s="12" t="str">
        <f aca="false">IF($J64=1,MAX(ChB_1*AI64,ChB_2*AJ64,ChB_3*AK64)+Rho*(ChB_1*AI64+ChB_2*AJ64+ChB_3*AK64),"")</f>
        <v/>
      </c>
      <c r="AN64" s="12" t="str">
        <f aca="false">IF($J64=1,MAX(Cx_1*(Ref_P-E64)/Span_P,Cx_2*(Ref_S-F64)/Span_S,Cx_3*(Ref_B-G64)/Span_B),"")</f>
        <v/>
      </c>
    </row>
    <row r="65" customFormat="false" ht="15" hidden="false" customHeight="false" outlineLevel="0" collapsed="false">
      <c r="A65" s="2" t="n">
        <v>59</v>
      </c>
      <c r="B65" s="15" t="n">
        <f aca="false">INT(A65/151)</f>
        <v>0</v>
      </c>
      <c r="C65" s="15" t="n">
        <f aca="false">MOD(A65,151)</f>
        <v>59</v>
      </c>
      <c r="D65" s="15" t="n">
        <f aca="false">INDEX(Grid!$J$6:$P$156,C65+1,B65+1)</f>
        <v>1</v>
      </c>
      <c r="E65" s="16" t="n">
        <f aca="false">IF(D65=1,INDEX(Grid!$B$6:$H$156,C65+1,B65+1),"")</f>
        <v>82.7272727272727</v>
      </c>
      <c r="F65" s="13" t="n">
        <f aca="false">Val_pt*(Ceiling_e-E_zero)*(1-(1-Half_gap)^B65)</f>
        <v>0</v>
      </c>
      <c r="G65" s="15" t="n">
        <f aca="false">C65</f>
        <v>59</v>
      </c>
      <c r="H65" s="15" t="n">
        <f aca="false">IF(D65=1,INDEX(Grid!$R$6:$X$156,C65+1,B65+1),"")</f>
        <v>0</v>
      </c>
      <c r="I65" s="2" t="str">
        <f aca="false">IF(D65=1,INDEX(Sch_label,H65+1),"")</f>
        <v>none</v>
      </c>
      <c r="J65" s="15" t="n">
        <f aca="false">IF(D65=1,INDEX(Grid!$Z$6:$AF$156,C65+1,B65+1),0)</f>
        <v>0</v>
      </c>
      <c r="K65" s="16" t="n">
        <f aca="false">IF(J65=1,E65,0)</f>
        <v>0</v>
      </c>
      <c r="L65" s="17" t="n">
        <f aca="false">IF(D65=1,E65+W_board*F65,"")</f>
        <v>82.7272727272727</v>
      </c>
      <c r="Z65" s="12" t="str">
        <f aca="false">IF(AND($J65=1,$M65=1),N65*E65/Span_P+O65*F65/Span_S+P65*G65/Span_B,"")</f>
        <v/>
      </c>
      <c r="AA65" s="12" t="str">
        <f aca="false">IF(AND($J65=1,$M65=1),SUMPRODUCT(MAX($J$6:$J$1062*(N65*$K$6:$K$1062/Span_P+O65*$F$6:$F$1062/Span_S+P65*$G$6:$G$1062/Span_B)-(1-$J$6:$J$1062)*1000000000)),"")</f>
        <v/>
      </c>
      <c r="AB65" s="15" t="str">
        <f aca="false">IF(AND($J65=1,$M65=1),IF(AA65-Z65&lt;=0.000000001,1,0),"")</f>
        <v/>
      </c>
      <c r="AC65" s="13" t="str">
        <f aca="false">IF(AND($J65=1,$M65=0),IF(S65="",0,S65*INDEX(Grid!$B$6:$H$156,R65+1,Q65+1))+IF(V65="",0,V65*INDEX(Grid!$B$6:$H$156,U65+1,T65+1))+IF(Y65="",0,Y65*INDEX(Grid!$B$6:$H$156,X65+1,W65+1)),"")</f>
        <v/>
      </c>
      <c r="AD65" s="13" t="str">
        <f aca="false">IF(AND($J65=1,$M65=0),IF(S65="",0,S65*Val_pt*(Ceiling_e-E_zero)*(1-(1-Half_gap)^Q65))+IF(V65="",0,V65*Val_pt*(Ceiling_e-E_zero)*(1-(1-Half_gap)^T65))+IF(Y65="",0,Y65*Val_pt*(Ceiling_e-E_zero)*(1-(1-Half_gap)^W65)),"")</f>
        <v/>
      </c>
      <c r="AE65" s="13" t="str">
        <f aca="false">IF(AND($J65=1,$M65=0),IF(S65="",0,S65*R65)+IF(V65="",0,V65*U65)+IF(Y65="",0,Y65*X65),"")</f>
        <v/>
      </c>
      <c r="AF65" s="12" t="str">
        <f aca="false">IF(AND($J65=1,$M65=0),MIN((AC65-E65)/Span_P,(AD65-F65)/Span_S,(AE65-G65)/Span_B),"")</f>
        <v/>
      </c>
      <c r="AG65" s="15" t="str">
        <f aca="false">IF(AND($J65=1,$M65=0),IF(AF65&gt;0.0000001,1,0),"")</f>
        <v/>
      </c>
      <c r="AH65" s="15" t="str">
        <f aca="false">IF($J65=1,IF($M65=1,AB65,AG65),"")</f>
        <v/>
      </c>
      <c r="AI65" s="13" t="str">
        <f aca="false">IF($J65=1,(Ideal_P-E65)/Span_P,"")</f>
        <v/>
      </c>
      <c r="AJ65" s="13" t="str">
        <f aca="false">IF($J65=1,(Ideal_S-F65)/Span_S,"")</f>
        <v/>
      </c>
      <c r="AK65" s="13" t="str">
        <f aca="false">IF($J65=1,(Ideal_B-G65)/Span_B,"")</f>
        <v/>
      </c>
      <c r="AL65" s="12" t="str">
        <f aca="false">IF($J65=1,MAX(ChA_1*AI65,ChA_2*AJ65,ChA_3*AK65)+Rho*(ChA_1*AI65+ChA_2*AJ65+ChA_3*AK65),"")</f>
        <v/>
      </c>
      <c r="AM65" s="12" t="str">
        <f aca="false">IF($J65=1,MAX(ChB_1*AI65,ChB_2*AJ65,ChB_3*AK65)+Rho*(ChB_1*AI65+ChB_2*AJ65+ChB_3*AK65),"")</f>
        <v/>
      </c>
      <c r="AN65" s="12" t="str">
        <f aca="false">IF($J65=1,MAX(Cx_1*(Ref_P-E65)/Span_P,Cx_2*(Ref_S-F65)/Span_S,Cx_3*(Ref_B-G65)/Span_B),"")</f>
        <v/>
      </c>
    </row>
    <row r="66" customFormat="false" ht="15" hidden="false" customHeight="false" outlineLevel="0" collapsed="false">
      <c r="A66" s="2" t="n">
        <v>60</v>
      </c>
      <c r="B66" s="15" t="n">
        <f aca="false">INT(A66/151)</f>
        <v>0</v>
      </c>
      <c r="C66" s="15" t="n">
        <f aca="false">MOD(A66,151)</f>
        <v>60</v>
      </c>
      <c r="D66" s="15" t="n">
        <f aca="false">INDEX(Grid!$J$6:$P$156,C66+1,B66+1)</f>
        <v>1</v>
      </c>
      <c r="E66" s="16" t="n">
        <f aca="false">IF(D66=1,INDEX(Grid!$B$6:$H$156,C66+1,B66+1),"")</f>
        <v>81.8181818181818</v>
      </c>
      <c r="F66" s="13" t="n">
        <f aca="false">Val_pt*(Ceiling_e-E_zero)*(1-(1-Half_gap)^B66)</f>
        <v>0</v>
      </c>
      <c r="G66" s="15" t="n">
        <f aca="false">C66</f>
        <v>60</v>
      </c>
      <c r="H66" s="15" t="n">
        <f aca="false">IF(D66=1,INDEX(Grid!$R$6:$X$156,C66+1,B66+1),"")</f>
        <v>0</v>
      </c>
      <c r="I66" s="2" t="str">
        <f aca="false">IF(D66=1,INDEX(Sch_label,H66+1),"")</f>
        <v>none</v>
      </c>
      <c r="J66" s="15" t="n">
        <f aca="false">IF(D66=1,INDEX(Grid!$Z$6:$AF$156,C66+1,B66+1),0)</f>
        <v>0</v>
      </c>
      <c r="K66" s="16" t="n">
        <f aca="false">IF(J66=1,E66,0)</f>
        <v>0</v>
      </c>
      <c r="L66" s="17" t="n">
        <f aca="false">IF(D66=1,E66+W_board*F66,"")</f>
        <v>81.8181818181818</v>
      </c>
      <c r="Z66" s="12" t="str">
        <f aca="false">IF(AND($J66=1,$M66=1),N66*E66/Span_P+O66*F66/Span_S+P66*G66/Span_B,"")</f>
        <v/>
      </c>
      <c r="AA66" s="12" t="str">
        <f aca="false">IF(AND($J66=1,$M66=1),SUMPRODUCT(MAX($J$6:$J$1062*(N66*$K$6:$K$1062/Span_P+O66*$F$6:$F$1062/Span_S+P66*$G$6:$G$1062/Span_B)-(1-$J$6:$J$1062)*1000000000)),"")</f>
        <v/>
      </c>
      <c r="AB66" s="15" t="str">
        <f aca="false">IF(AND($J66=1,$M66=1),IF(AA66-Z66&lt;=0.000000001,1,0),"")</f>
        <v/>
      </c>
      <c r="AC66" s="13" t="str">
        <f aca="false">IF(AND($J66=1,$M66=0),IF(S66="",0,S66*INDEX(Grid!$B$6:$H$156,R66+1,Q66+1))+IF(V66="",0,V66*INDEX(Grid!$B$6:$H$156,U66+1,T66+1))+IF(Y66="",0,Y66*INDEX(Grid!$B$6:$H$156,X66+1,W66+1)),"")</f>
        <v/>
      </c>
      <c r="AD66" s="13" t="str">
        <f aca="false">IF(AND($J66=1,$M66=0),IF(S66="",0,S66*Val_pt*(Ceiling_e-E_zero)*(1-(1-Half_gap)^Q66))+IF(V66="",0,V66*Val_pt*(Ceiling_e-E_zero)*(1-(1-Half_gap)^T66))+IF(Y66="",0,Y66*Val_pt*(Ceiling_e-E_zero)*(1-(1-Half_gap)^W66)),"")</f>
        <v/>
      </c>
      <c r="AE66" s="13" t="str">
        <f aca="false">IF(AND($J66=1,$M66=0),IF(S66="",0,S66*R66)+IF(V66="",0,V66*U66)+IF(Y66="",0,Y66*X66),"")</f>
        <v/>
      </c>
      <c r="AF66" s="12" t="str">
        <f aca="false">IF(AND($J66=1,$M66=0),MIN((AC66-E66)/Span_P,(AD66-F66)/Span_S,(AE66-G66)/Span_B),"")</f>
        <v/>
      </c>
      <c r="AG66" s="15" t="str">
        <f aca="false">IF(AND($J66=1,$M66=0),IF(AF66&gt;0.0000001,1,0),"")</f>
        <v/>
      </c>
      <c r="AH66" s="15" t="str">
        <f aca="false">IF($J66=1,IF($M66=1,AB66,AG66),"")</f>
        <v/>
      </c>
      <c r="AI66" s="13" t="str">
        <f aca="false">IF($J66=1,(Ideal_P-E66)/Span_P,"")</f>
        <v/>
      </c>
      <c r="AJ66" s="13" t="str">
        <f aca="false">IF($J66=1,(Ideal_S-F66)/Span_S,"")</f>
        <v/>
      </c>
      <c r="AK66" s="13" t="str">
        <f aca="false">IF($J66=1,(Ideal_B-G66)/Span_B,"")</f>
        <v/>
      </c>
      <c r="AL66" s="12" t="str">
        <f aca="false">IF($J66=1,MAX(ChA_1*AI66,ChA_2*AJ66,ChA_3*AK66)+Rho*(ChA_1*AI66+ChA_2*AJ66+ChA_3*AK66),"")</f>
        <v/>
      </c>
      <c r="AM66" s="12" t="str">
        <f aca="false">IF($J66=1,MAX(ChB_1*AI66,ChB_2*AJ66,ChB_3*AK66)+Rho*(ChB_1*AI66+ChB_2*AJ66+ChB_3*AK66),"")</f>
        <v/>
      </c>
      <c r="AN66" s="12" t="str">
        <f aca="false">IF($J66=1,MAX(Cx_1*(Ref_P-E66)/Span_P,Cx_2*(Ref_S-F66)/Span_S,Cx_3*(Ref_B-G66)/Span_B),"")</f>
        <v/>
      </c>
    </row>
    <row r="67" customFormat="false" ht="15" hidden="false" customHeight="false" outlineLevel="0" collapsed="false">
      <c r="A67" s="2" t="n">
        <v>61</v>
      </c>
      <c r="B67" s="15" t="n">
        <f aca="false">INT(A67/151)</f>
        <v>0</v>
      </c>
      <c r="C67" s="15" t="n">
        <f aca="false">MOD(A67,151)</f>
        <v>61</v>
      </c>
      <c r="D67" s="15" t="n">
        <f aca="false">INDEX(Grid!$J$6:$P$156,C67+1,B67+1)</f>
        <v>1</v>
      </c>
      <c r="E67" s="16" t="n">
        <f aca="false">IF(D67=1,INDEX(Grid!$B$6:$H$156,C67+1,B67+1),"")</f>
        <v>80.9090909090909</v>
      </c>
      <c r="F67" s="13" t="n">
        <f aca="false">Val_pt*(Ceiling_e-E_zero)*(1-(1-Half_gap)^B67)</f>
        <v>0</v>
      </c>
      <c r="G67" s="15" t="n">
        <f aca="false">C67</f>
        <v>61</v>
      </c>
      <c r="H67" s="15" t="n">
        <f aca="false">IF(D67=1,INDEX(Grid!$R$6:$X$156,C67+1,B67+1),"")</f>
        <v>0</v>
      </c>
      <c r="I67" s="2" t="str">
        <f aca="false">IF(D67=1,INDEX(Sch_label,H67+1),"")</f>
        <v>none</v>
      </c>
      <c r="J67" s="15" t="n">
        <f aca="false">IF(D67=1,INDEX(Grid!$Z$6:$AF$156,C67+1,B67+1),0)</f>
        <v>0</v>
      </c>
      <c r="K67" s="16" t="n">
        <f aca="false">IF(J67=1,E67,0)</f>
        <v>0</v>
      </c>
      <c r="L67" s="17" t="n">
        <f aca="false">IF(D67=1,E67+W_board*F67,"")</f>
        <v>80.9090909090909</v>
      </c>
      <c r="Z67" s="12" t="str">
        <f aca="false">IF(AND($J67=1,$M67=1),N67*E67/Span_P+O67*F67/Span_S+P67*G67/Span_B,"")</f>
        <v/>
      </c>
      <c r="AA67" s="12" t="str">
        <f aca="false">IF(AND($J67=1,$M67=1),SUMPRODUCT(MAX($J$6:$J$1062*(N67*$K$6:$K$1062/Span_P+O67*$F$6:$F$1062/Span_S+P67*$G$6:$G$1062/Span_B)-(1-$J$6:$J$1062)*1000000000)),"")</f>
        <v/>
      </c>
      <c r="AB67" s="15" t="str">
        <f aca="false">IF(AND($J67=1,$M67=1),IF(AA67-Z67&lt;=0.000000001,1,0),"")</f>
        <v/>
      </c>
      <c r="AC67" s="13" t="str">
        <f aca="false">IF(AND($J67=1,$M67=0),IF(S67="",0,S67*INDEX(Grid!$B$6:$H$156,R67+1,Q67+1))+IF(V67="",0,V67*INDEX(Grid!$B$6:$H$156,U67+1,T67+1))+IF(Y67="",0,Y67*INDEX(Grid!$B$6:$H$156,X67+1,W67+1)),"")</f>
        <v/>
      </c>
      <c r="AD67" s="13" t="str">
        <f aca="false">IF(AND($J67=1,$M67=0),IF(S67="",0,S67*Val_pt*(Ceiling_e-E_zero)*(1-(1-Half_gap)^Q67))+IF(V67="",0,V67*Val_pt*(Ceiling_e-E_zero)*(1-(1-Half_gap)^T67))+IF(Y67="",0,Y67*Val_pt*(Ceiling_e-E_zero)*(1-(1-Half_gap)^W67)),"")</f>
        <v/>
      </c>
      <c r="AE67" s="13" t="str">
        <f aca="false">IF(AND($J67=1,$M67=0),IF(S67="",0,S67*R67)+IF(V67="",0,V67*U67)+IF(Y67="",0,Y67*X67),"")</f>
        <v/>
      </c>
      <c r="AF67" s="12" t="str">
        <f aca="false">IF(AND($J67=1,$M67=0),MIN((AC67-E67)/Span_P,(AD67-F67)/Span_S,(AE67-G67)/Span_B),"")</f>
        <v/>
      </c>
      <c r="AG67" s="15" t="str">
        <f aca="false">IF(AND($J67=1,$M67=0),IF(AF67&gt;0.0000001,1,0),"")</f>
        <v/>
      </c>
      <c r="AH67" s="15" t="str">
        <f aca="false">IF($J67=1,IF($M67=1,AB67,AG67),"")</f>
        <v/>
      </c>
      <c r="AI67" s="13" t="str">
        <f aca="false">IF($J67=1,(Ideal_P-E67)/Span_P,"")</f>
        <v/>
      </c>
      <c r="AJ67" s="13" t="str">
        <f aca="false">IF($J67=1,(Ideal_S-F67)/Span_S,"")</f>
        <v/>
      </c>
      <c r="AK67" s="13" t="str">
        <f aca="false">IF($J67=1,(Ideal_B-G67)/Span_B,"")</f>
        <v/>
      </c>
      <c r="AL67" s="12" t="str">
        <f aca="false">IF($J67=1,MAX(ChA_1*AI67,ChA_2*AJ67,ChA_3*AK67)+Rho*(ChA_1*AI67+ChA_2*AJ67+ChA_3*AK67),"")</f>
        <v/>
      </c>
      <c r="AM67" s="12" t="str">
        <f aca="false">IF($J67=1,MAX(ChB_1*AI67,ChB_2*AJ67,ChB_3*AK67)+Rho*(ChB_1*AI67+ChB_2*AJ67+ChB_3*AK67),"")</f>
        <v/>
      </c>
      <c r="AN67" s="12" t="str">
        <f aca="false">IF($J67=1,MAX(Cx_1*(Ref_P-E67)/Span_P,Cx_2*(Ref_S-F67)/Span_S,Cx_3*(Ref_B-G67)/Span_B),"")</f>
        <v/>
      </c>
    </row>
    <row r="68" customFormat="false" ht="15" hidden="false" customHeight="false" outlineLevel="0" collapsed="false">
      <c r="A68" s="2" t="n">
        <v>62</v>
      </c>
      <c r="B68" s="15" t="n">
        <f aca="false">INT(A68/151)</f>
        <v>0</v>
      </c>
      <c r="C68" s="15" t="n">
        <f aca="false">MOD(A68,151)</f>
        <v>62</v>
      </c>
      <c r="D68" s="15" t="n">
        <f aca="false">INDEX(Grid!$J$6:$P$156,C68+1,B68+1)</f>
        <v>1</v>
      </c>
      <c r="E68" s="16" t="n">
        <f aca="false">IF(D68=1,INDEX(Grid!$B$6:$H$156,C68+1,B68+1),"")</f>
        <v>80</v>
      </c>
      <c r="F68" s="13" t="n">
        <f aca="false">Val_pt*(Ceiling_e-E_zero)*(1-(1-Half_gap)^B68)</f>
        <v>0</v>
      </c>
      <c r="G68" s="15" t="n">
        <f aca="false">C68</f>
        <v>62</v>
      </c>
      <c r="H68" s="15" t="n">
        <f aca="false">IF(D68=1,INDEX(Grid!$R$6:$X$156,C68+1,B68+1),"")</f>
        <v>0</v>
      </c>
      <c r="I68" s="2" t="str">
        <f aca="false">IF(D68=1,INDEX(Sch_label,H68+1),"")</f>
        <v>none</v>
      </c>
      <c r="J68" s="15" t="n">
        <f aca="false">IF(D68=1,INDEX(Grid!$Z$6:$AF$156,C68+1,B68+1),0)</f>
        <v>0</v>
      </c>
      <c r="K68" s="16" t="n">
        <f aca="false">IF(J68=1,E68,0)</f>
        <v>0</v>
      </c>
      <c r="L68" s="17" t="n">
        <f aca="false">IF(D68=1,E68+W_board*F68,"")</f>
        <v>80</v>
      </c>
      <c r="Z68" s="12" t="str">
        <f aca="false">IF(AND($J68=1,$M68=1),N68*E68/Span_P+O68*F68/Span_S+P68*G68/Span_B,"")</f>
        <v/>
      </c>
      <c r="AA68" s="12" t="str">
        <f aca="false">IF(AND($J68=1,$M68=1),SUMPRODUCT(MAX($J$6:$J$1062*(N68*$K$6:$K$1062/Span_P+O68*$F$6:$F$1062/Span_S+P68*$G$6:$G$1062/Span_B)-(1-$J$6:$J$1062)*1000000000)),"")</f>
        <v/>
      </c>
      <c r="AB68" s="15" t="str">
        <f aca="false">IF(AND($J68=1,$M68=1),IF(AA68-Z68&lt;=0.000000001,1,0),"")</f>
        <v/>
      </c>
      <c r="AC68" s="13" t="str">
        <f aca="false">IF(AND($J68=1,$M68=0),IF(S68="",0,S68*INDEX(Grid!$B$6:$H$156,R68+1,Q68+1))+IF(V68="",0,V68*INDEX(Grid!$B$6:$H$156,U68+1,T68+1))+IF(Y68="",0,Y68*INDEX(Grid!$B$6:$H$156,X68+1,W68+1)),"")</f>
        <v/>
      </c>
      <c r="AD68" s="13" t="str">
        <f aca="false">IF(AND($J68=1,$M68=0),IF(S68="",0,S68*Val_pt*(Ceiling_e-E_zero)*(1-(1-Half_gap)^Q68))+IF(V68="",0,V68*Val_pt*(Ceiling_e-E_zero)*(1-(1-Half_gap)^T68))+IF(Y68="",0,Y68*Val_pt*(Ceiling_e-E_zero)*(1-(1-Half_gap)^W68)),"")</f>
        <v/>
      </c>
      <c r="AE68" s="13" t="str">
        <f aca="false">IF(AND($J68=1,$M68=0),IF(S68="",0,S68*R68)+IF(V68="",0,V68*U68)+IF(Y68="",0,Y68*X68),"")</f>
        <v/>
      </c>
      <c r="AF68" s="12" t="str">
        <f aca="false">IF(AND($J68=1,$M68=0),MIN((AC68-E68)/Span_P,(AD68-F68)/Span_S,(AE68-G68)/Span_B),"")</f>
        <v/>
      </c>
      <c r="AG68" s="15" t="str">
        <f aca="false">IF(AND($J68=1,$M68=0),IF(AF68&gt;0.0000001,1,0),"")</f>
        <v/>
      </c>
      <c r="AH68" s="15" t="str">
        <f aca="false">IF($J68=1,IF($M68=1,AB68,AG68),"")</f>
        <v/>
      </c>
      <c r="AI68" s="13" t="str">
        <f aca="false">IF($J68=1,(Ideal_P-E68)/Span_P,"")</f>
        <v/>
      </c>
      <c r="AJ68" s="13" t="str">
        <f aca="false">IF($J68=1,(Ideal_S-F68)/Span_S,"")</f>
        <v/>
      </c>
      <c r="AK68" s="13" t="str">
        <f aca="false">IF($J68=1,(Ideal_B-G68)/Span_B,"")</f>
        <v/>
      </c>
      <c r="AL68" s="12" t="str">
        <f aca="false">IF($J68=1,MAX(ChA_1*AI68,ChA_2*AJ68,ChA_3*AK68)+Rho*(ChA_1*AI68+ChA_2*AJ68+ChA_3*AK68),"")</f>
        <v/>
      </c>
      <c r="AM68" s="12" t="str">
        <f aca="false">IF($J68=1,MAX(ChB_1*AI68,ChB_2*AJ68,ChB_3*AK68)+Rho*(ChB_1*AI68+ChB_2*AJ68+ChB_3*AK68),"")</f>
        <v/>
      </c>
      <c r="AN68" s="12" t="str">
        <f aca="false">IF($J68=1,MAX(Cx_1*(Ref_P-E68)/Span_P,Cx_2*(Ref_S-F68)/Span_S,Cx_3*(Ref_B-G68)/Span_B),"")</f>
        <v/>
      </c>
    </row>
    <row r="69" customFormat="false" ht="15" hidden="false" customHeight="false" outlineLevel="0" collapsed="false">
      <c r="A69" s="2" t="n">
        <v>63</v>
      </c>
      <c r="B69" s="15" t="n">
        <f aca="false">INT(A69/151)</f>
        <v>0</v>
      </c>
      <c r="C69" s="15" t="n">
        <f aca="false">MOD(A69,151)</f>
        <v>63</v>
      </c>
      <c r="D69" s="15" t="n">
        <f aca="false">INDEX(Grid!$J$6:$P$156,C69+1,B69+1)</f>
        <v>1</v>
      </c>
      <c r="E69" s="16" t="n">
        <f aca="false">IF(D69=1,INDEX(Grid!$B$6:$H$156,C69+1,B69+1),"")</f>
        <v>79.0909090909091</v>
      </c>
      <c r="F69" s="13" t="n">
        <f aca="false">Val_pt*(Ceiling_e-E_zero)*(1-(1-Half_gap)^B69)</f>
        <v>0</v>
      </c>
      <c r="G69" s="15" t="n">
        <f aca="false">C69</f>
        <v>63</v>
      </c>
      <c r="H69" s="15" t="n">
        <f aca="false">IF(D69=1,INDEX(Grid!$R$6:$X$156,C69+1,B69+1),"")</f>
        <v>0</v>
      </c>
      <c r="I69" s="2" t="str">
        <f aca="false">IF(D69=1,INDEX(Sch_label,H69+1),"")</f>
        <v>none</v>
      </c>
      <c r="J69" s="15" t="n">
        <f aca="false">IF(D69=1,INDEX(Grid!$Z$6:$AF$156,C69+1,B69+1),0)</f>
        <v>0</v>
      </c>
      <c r="K69" s="16" t="n">
        <f aca="false">IF(J69=1,E69,0)</f>
        <v>0</v>
      </c>
      <c r="L69" s="17" t="n">
        <f aca="false">IF(D69=1,E69+W_board*F69,"")</f>
        <v>79.0909090909091</v>
      </c>
      <c r="Z69" s="12" t="str">
        <f aca="false">IF(AND($J69=1,$M69=1),N69*E69/Span_P+O69*F69/Span_S+P69*G69/Span_B,"")</f>
        <v/>
      </c>
      <c r="AA69" s="12" t="str">
        <f aca="false">IF(AND($J69=1,$M69=1),SUMPRODUCT(MAX($J$6:$J$1062*(N69*$K$6:$K$1062/Span_P+O69*$F$6:$F$1062/Span_S+P69*$G$6:$G$1062/Span_B)-(1-$J$6:$J$1062)*1000000000)),"")</f>
        <v/>
      </c>
      <c r="AB69" s="15" t="str">
        <f aca="false">IF(AND($J69=1,$M69=1),IF(AA69-Z69&lt;=0.000000001,1,0),"")</f>
        <v/>
      </c>
      <c r="AC69" s="13" t="str">
        <f aca="false">IF(AND($J69=1,$M69=0),IF(S69="",0,S69*INDEX(Grid!$B$6:$H$156,R69+1,Q69+1))+IF(V69="",0,V69*INDEX(Grid!$B$6:$H$156,U69+1,T69+1))+IF(Y69="",0,Y69*INDEX(Grid!$B$6:$H$156,X69+1,W69+1)),"")</f>
        <v/>
      </c>
      <c r="AD69" s="13" t="str">
        <f aca="false">IF(AND($J69=1,$M69=0),IF(S69="",0,S69*Val_pt*(Ceiling_e-E_zero)*(1-(1-Half_gap)^Q69))+IF(V69="",0,V69*Val_pt*(Ceiling_e-E_zero)*(1-(1-Half_gap)^T69))+IF(Y69="",0,Y69*Val_pt*(Ceiling_e-E_zero)*(1-(1-Half_gap)^W69)),"")</f>
        <v/>
      </c>
      <c r="AE69" s="13" t="str">
        <f aca="false">IF(AND($J69=1,$M69=0),IF(S69="",0,S69*R69)+IF(V69="",0,V69*U69)+IF(Y69="",0,Y69*X69),"")</f>
        <v/>
      </c>
      <c r="AF69" s="12" t="str">
        <f aca="false">IF(AND($J69=1,$M69=0),MIN((AC69-E69)/Span_P,(AD69-F69)/Span_S,(AE69-G69)/Span_B),"")</f>
        <v/>
      </c>
      <c r="AG69" s="15" t="str">
        <f aca="false">IF(AND($J69=1,$M69=0),IF(AF69&gt;0.0000001,1,0),"")</f>
        <v/>
      </c>
      <c r="AH69" s="15" t="str">
        <f aca="false">IF($J69=1,IF($M69=1,AB69,AG69),"")</f>
        <v/>
      </c>
      <c r="AI69" s="13" t="str">
        <f aca="false">IF($J69=1,(Ideal_P-E69)/Span_P,"")</f>
        <v/>
      </c>
      <c r="AJ69" s="13" t="str">
        <f aca="false">IF($J69=1,(Ideal_S-F69)/Span_S,"")</f>
        <v/>
      </c>
      <c r="AK69" s="13" t="str">
        <f aca="false">IF($J69=1,(Ideal_B-G69)/Span_B,"")</f>
        <v/>
      </c>
      <c r="AL69" s="12" t="str">
        <f aca="false">IF($J69=1,MAX(ChA_1*AI69,ChA_2*AJ69,ChA_3*AK69)+Rho*(ChA_1*AI69+ChA_2*AJ69+ChA_3*AK69),"")</f>
        <v/>
      </c>
      <c r="AM69" s="12" t="str">
        <f aca="false">IF($J69=1,MAX(ChB_1*AI69,ChB_2*AJ69,ChB_3*AK69)+Rho*(ChB_1*AI69+ChB_2*AJ69+ChB_3*AK69),"")</f>
        <v/>
      </c>
      <c r="AN69" s="12" t="str">
        <f aca="false">IF($J69=1,MAX(Cx_1*(Ref_P-E69)/Span_P,Cx_2*(Ref_S-F69)/Span_S,Cx_3*(Ref_B-G69)/Span_B),"")</f>
        <v/>
      </c>
    </row>
    <row r="70" customFormat="false" ht="15" hidden="false" customHeight="false" outlineLevel="0" collapsed="false">
      <c r="A70" s="2" t="n">
        <v>64</v>
      </c>
      <c r="B70" s="15" t="n">
        <f aca="false">INT(A70/151)</f>
        <v>0</v>
      </c>
      <c r="C70" s="15" t="n">
        <f aca="false">MOD(A70,151)</f>
        <v>64</v>
      </c>
      <c r="D70" s="15" t="n">
        <f aca="false">INDEX(Grid!$J$6:$P$156,C70+1,B70+1)</f>
        <v>1</v>
      </c>
      <c r="E70" s="16" t="n">
        <f aca="false">IF(D70=1,INDEX(Grid!$B$6:$H$156,C70+1,B70+1),"")</f>
        <v>78.1818181818182</v>
      </c>
      <c r="F70" s="13" t="n">
        <f aca="false">Val_pt*(Ceiling_e-E_zero)*(1-(1-Half_gap)^B70)</f>
        <v>0</v>
      </c>
      <c r="G70" s="15" t="n">
        <f aca="false">C70</f>
        <v>64</v>
      </c>
      <c r="H70" s="15" t="n">
        <f aca="false">IF(D70=1,INDEX(Grid!$R$6:$X$156,C70+1,B70+1),"")</f>
        <v>0</v>
      </c>
      <c r="I70" s="2" t="str">
        <f aca="false">IF(D70=1,INDEX(Sch_label,H70+1),"")</f>
        <v>none</v>
      </c>
      <c r="J70" s="15" t="n">
        <f aca="false">IF(D70=1,INDEX(Grid!$Z$6:$AF$156,C70+1,B70+1),0)</f>
        <v>0</v>
      </c>
      <c r="K70" s="16" t="n">
        <f aca="false">IF(J70=1,E70,0)</f>
        <v>0</v>
      </c>
      <c r="L70" s="17" t="n">
        <f aca="false">IF(D70=1,E70+W_board*F70,"")</f>
        <v>78.1818181818182</v>
      </c>
      <c r="Z70" s="12" t="str">
        <f aca="false">IF(AND($J70=1,$M70=1),N70*E70/Span_P+O70*F70/Span_S+P70*G70/Span_B,"")</f>
        <v/>
      </c>
      <c r="AA70" s="12" t="str">
        <f aca="false">IF(AND($J70=1,$M70=1),SUMPRODUCT(MAX($J$6:$J$1062*(N70*$K$6:$K$1062/Span_P+O70*$F$6:$F$1062/Span_S+P70*$G$6:$G$1062/Span_B)-(1-$J$6:$J$1062)*1000000000)),"")</f>
        <v/>
      </c>
      <c r="AB70" s="15" t="str">
        <f aca="false">IF(AND($J70=1,$M70=1),IF(AA70-Z70&lt;=0.000000001,1,0),"")</f>
        <v/>
      </c>
      <c r="AC70" s="13" t="str">
        <f aca="false">IF(AND($J70=1,$M70=0),IF(S70="",0,S70*INDEX(Grid!$B$6:$H$156,R70+1,Q70+1))+IF(V70="",0,V70*INDEX(Grid!$B$6:$H$156,U70+1,T70+1))+IF(Y70="",0,Y70*INDEX(Grid!$B$6:$H$156,X70+1,W70+1)),"")</f>
        <v/>
      </c>
      <c r="AD70" s="13" t="str">
        <f aca="false">IF(AND($J70=1,$M70=0),IF(S70="",0,S70*Val_pt*(Ceiling_e-E_zero)*(1-(1-Half_gap)^Q70))+IF(V70="",0,V70*Val_pt*(Ceiling_e-E_zero)*(1-(1-Half_gap)^T70))+IF(Y70="",0,Y70*Val_pt*(Ceiling_e-E_zero)*(1-(1-Half_gap)^W70)),"")</f>
        <v/>
      </c>
      <c r="AE70" s="13" t="str">
        <f aca="false">IF(AND($J70=1,$M70=0),IF(S70="",0,S70*R70)+IF(V70="",0,V70*U70)+IF(Y70="",0,Y70*X70),"")</f>
        <v/>
      </c>
      <c r="AF70" s="12" t="str">
        <f aca="false">IF(AND($J70=1,$M70=0),MIN((AC70-E70)/Span_P,(AD70-F70)/Span_S,(AE70-G70)/Span_B),"")</f>
        <v/>
      </c>
      <c r="AG70" s="15" t="str">
        <f aca="false">IF(AND($J70=1,$M70=0),IF(AF70&gt;0.0000001,1,0),"")</f>
        <v/>
      </c>
      <c r="AH70" s="15" t="str">
        <f aca="false">IF($J70=1,IF($M70=1,AB70,AG70),"")</f>
        <v/>
      </c>
      <c r="AI70" s="13" t="str">
        <f aca="false">IF($J70=1,(Ideal_P-E70)/Span_P,"")</f>
        <v/>
      </c>
      <c r="AJ70" s="13" t="str">
        <f aca="false">IF($J70=1,(Ideal_S-F70)/Span_S,"")</f>
        <v/>
      </c>
      <c r="AK70" s="13" t="str">
        <f aca="false">IF($J70=1,(Ideal_B-G70)/Span_B,"")</f>
        <v/>
      </c>
      <c r="AL70" s="12" t="str">
        <f aca="false">IF($J70=1,MAX(ChA_1*AI70,ChA_2*AJ70,ChA_3*AK70)+Rho*(ChA_1*AI70+ChA_2*AJ70+ChA_3*AK70),"")</f>
        <v/>
      </c>
      <c r="AM70" s="12" t="str">
        <f aca="false">IF($J70=1,MAX(ChB_1*AI70,ChB_2*AJ70,ChB_3*AK70)+Rho*(ChB_1*AI70+ChB_2*AJ70+ChB_3*AK70),"")</f>
        <v/>
      </c>
      <c r="AN70" s="12" t="str">
        <f aca="false">IF($J70=1,MAX(Cx_1*(Ref_P-E70)/Span_P,Cx_2*(Ref_S-F70)/Span_S,Cx_3*(Ref_B-G70)/Span_B),"")</f>
        <v/>
      </c>
    </row>
    <row r="71" customFormat="false" ht="15" hidden="false" customHeight="false" outlineLevel="0" collapsed="false">
      <c r="A71" s="2" t="n">
        <v>65</v>
      </c>
      <c r="B71" s="15" t="n">
        <f aca="false">INT(A71/151)</f>
        <v>0</v>
      </c>
      <c r="C71" s="15" t="n">
        <f aca="false">MOD(A71,151)</f>
        <v>65</v>
      </c>
      <c r="D71" s="15" t="n">
        <f aca="false">INDEX(Grid!$J$6:$P$156,C71+1,B71+1)</f>
        <v>1</v>
      </c>
      <c r="E71" s="16" t="n">
        <f aca="false">IF(D71=1,INDEX(Grid!$B$6:$H$156,C71+1,B71+1),"")</f>
        <v>77.2727272727273</v>
      </c>
      <c r="F71" s="13" t="n">
        <f aca="false">Val_pt*(Ceiling_e-E_zero)*(1-(1-Half_gap)^B71)</f>
        <v>0</v>
      </c>
      <c r="G71" s="15" t="n">
        <f aca="false">C71</f>
        <v>65</v>
      </c>
      <c r="H71" s="15" t="n">
        <f aca="false">IF(D71=1,INDEX(Grid!$R$6:$X$156,C71+1,B71+1),"")</f>
        <v>0</v>
      </c>
      <c r="I71" s="2" t="str">
        <f aca="false">IF(D71=1,INDEX(Sch_label,H71+1),"")</f>
        <v>none</v>
      </c>
      <c r="J71" s="15" t="n">
        <f aca="false">IF(D71=1,INDEX(Grid!$Z$6:$AF$156,C71+1,B71+1),0)</f>
        <v>0</v>
      </c>
      <c r="K71" s="16" t="n">
        <f aca="false">IF(J71=1,E71,0)</f>
        <v>0</v>
      </c>
      <c r="L71" s="17" t="n">
        <f aca="false">IF(D71=1,E71+W_board*F71,"")</f>
        <v>77.2727272727273</v>
      </c>
      <c r="Z71" s="12" t="str">
        <f aca="false">IF(AND($J71=1,$M71=1),N71*E71/Span_P+O71*F71/Span_S+P71*G71/Span_B,"")</f>
        <v/>
      </c>
      <c r="AA71" s="12" t="str">
        <f aca="false">IF(AND($J71=1,$M71=1),SUMPRODUCT(MAX($J$6:$J$1062*(N71*$K$6:$K$1062/Span_P+O71*$F$6:$F$1062/Span_S+P71*$G$6:$G$1062/Span_B)-(1-$J$6:$J$1062)*1000000000)),"")</f>
        <v/>
      </c>
      <c r="AB71" s="15" t="str">
        <f aca="false">IF(AND($J71=1,$M71=1),IF(AA71-Z71&lt;=0.000000001,1,0),"")</f>
        <v/>
      </c>
      <c r="AC71" s="13" t="str">
        <f aca="false">IF(AND($J71=1,$M71=0),IF(S71="",0,S71*INDEX(Grid!$B$6:$H$156,R71+1,Q71+1))+IF(V71="",0,V71*INDEX(Grid!$B$6:$H$156,U71+1,T71+1))+IF(Y71="",0,Y71*INDEX(Grid!$B$6:$H$156,X71+1,W71+1)),"")</f>
        <v/>
      </c>
      <c r="AD71" s="13" t="str">
        <f aca="false">IF(AND($J71=1,$M71=0),IF(S71="",0,S71*Val_pt*(Ceiling_e-E_zero)*(1-(1-Half_gap)^Q71))+IF(V71="",0,V71*Val_pt*(Ceiling_e-E_zero)*(1-(1-Half_gap)^T71))+IF(Y71="",0,Y71*Val_pt*(Ceiling_e-E_zero)*(1-(1-Half_gap)^W71)),"")</f>
        <v/>
      </c>
      <c r="AE71" s="13" t="str">
        <f aca="false">IF(AND($J71=1,$M71=0),IF(S71="",0,S71*R71)+IF(V71="",0,V71*U71)+IF(Y71="",0,Y71*X71),"")</f>
        <v/>
      </c>
      <c r="AF71" s="12" t="str">
        <f aca="false">IF(AND($J71=1,$M71=0),MIN((AC71-E71)/Span_P,(AD71-F71)/Span_S,(AE71-G71)/Span_B),"")</f>
        <v/>
      </c>
      <c r="AG71" s="15" t="str">
        <f aca="false">IF(AND($J71=1,$M71=0),IF(AF71&gt;0.0000001,1,0),"")</f>
        <v/>
      </c>
      <c r="AH71" s="15" t="str">
        <f aca="false">IF($J71=1,IF($M71=1,AB71,AG71),"")</f>
        <v/>
      </c>
      <c r="AI71" s="13" t="str">
        <f aca="false">IF($J71=1,(Ideal_P-E71)/Span_P,"")</f>
        <v/>
      </c>
      <c r="AJ71" s="13" t="str">
        <f aca="false">IF($J71=1,(Ideal_S-F71)/Span_S,"")</f>
        <v/>
      </c>
      <c r="AK71" s="13" t="str">
        <f aca="false">IF($J71=1,(Ideal_B-G71)/Span_B,"")</f>
        <v/>
      </c>
      <c r="AL71" s="12" t="str">
        <f aca="false">IF($J71=1,MAX(ChA_1*AI71,ChA_2*AJ71,ChA_3*AK71)+Rho*(ChA_1*AI71+ChA_2*AJ71+ChA_3*AK71),"")</f>
        <v/>
      </c>
      <c r="AM71" s="12" t="str">
        <f aca="false">IF($J71=1,MAX(ChB_1*AI71,ChB_2*AJ71,ChB_3*AK71)+Rho*(ChB_1*AI71+ChB_2*AJ71+ChB_3*AK71),"")</f>
        <v/>
      </c>
      <c r="AN71" s="12" t="str">
        <f aca="false">IF($J71=1,MAX(Cx_1*(Ref_P-E71)/Span_P,Cx_2*(Ref_S-F71)/Span_S,Cx_3*(Ref_B-G71)/Span_B),"")</f>
        <v/>
      </c>
    </row>
    <row r="72" customFormat="false" ht="15" hidden="false" customHeight="false" outlineLevel="0" collapsed="false">
      <c r="A72" s="2" t="n">
        <v>66</v>
      </c>
      <c r="B72" s="15" t="n">
        <f aca="false">INT(A72/151)</f>
        <v>0</v>
      </c>
      <c r="C72" s="15" t="n">
        <f aca="false">MOD(A72,151)</f>
        <v>66</v>
      </c>
      <c r="D72" s="15" t="n">
        <f aca="false">INDEX(Grid!$J$6:$P$156,C72+1,B72+1)</f>
        <v>1</v>
      </c>
      <c r="E72" s="16" t="n">
        <f aca="false">IF(D72=1,INDEX(Grid!$B$6:$H$156,C72+1,B72+1),"")</f>
        <v>76.3636363636364</v>
      </c>
      <c r="F72" s="13" t="n">
        <f aca="false">Val_pt*(Ceiling_e-E_zero)*(1-(1-Half_gap)^B72)</f>
        <v>0</v>
      </c>
      <c r="G72" s="15" t="n">
        <f aca="false">C72</f>
        <v>66</v>
      </c>
      <c r="H72" s="15" t="n">
        <f aca="false">IF(D72=1,INDEX(Grid!$R$6:$X$156,C72+1,B72+1),"")</f>
        <v>0</v>
      </c>
      <c r="I72" s="2" t="str">
        <f aca="false">IF(D72=1,INDEX(Sch_label,H72+1),"")</f>
        <v>none</v>
      </c>
      <c r="J72" s="15" t="n">
        <f aca="false">IF(D72=1,INDEX(Grid!$Z$6:$AF$156,C72+1,B72+1),0)</f>
        <v>0</v>
      </c>
      <c r="K72" s="16" t="n">
        <f aca="false">IF(J72=1,E72,0)</f>
        <v>0</v>
      </c>
      <c r="L72" s="17" t="n">
        <f aca="false">IF(D72=1,E72+W_board*F72,"")</f>
        <v>76.3636363636364</v>
      </c>
      <c r="Z72" s="12" t="str">
        <f aca="false">IF(AND($J72=1,$M72=1),N72*E72/Span_P+O72*F72/Span_S+P72*G72/Span_B,"")</f>
        <v/>
      </c>
      <c r="AA72" s="12" t="str">
        <f aca="false">IF(AND($J72=1,$M72=1),SUMPRODUCT(MAX($J$6:$J$1062*(N72*$K$6:$K$1062/Span_P+O72*$F$6:$F$1062/Span_S+P72*$G$6:$G$1062/Span_B)-(1-$J$6:$J$1062)*1000000000)),"")</f>
        <v/>
      </c>
      <c r="AB72" s="15" t="str">
        <f aca="false">IF(AND($J72=1,$M72=1),IF(AA72-Z72&lt;=0.000000001,1,0),"")</f>
        <v/>
      </c>
      <c r="AC72" s="13" t="str">
        <f aca="false">IF(AND($J72=1,$M72=0),IF(S72="",0,S72*INDEX(Grid!$B$6:$H$156,R72+1,Q72+1))+IF(V72="",0,V72*INDEX(Grid!$B$6:$H$156,U72+1,T72+1))+IF(Y72="",0,Y72*INDEX(Grid!$B$6:$H$156,X72+1,W72+1)),"")</f>
        <v/>
      </c>
      <c r="AD72" s="13" t="str">
        <f aca="false">IF(AND($J72=1,$M72=0),IF(S72="",0,S72*Val_pt*(Ceiling_e-E_zero)*(1-(1-Half_gap)^Q72))+IF(V72="",0,V72*Val_pt*(Ceiling_e-E_zero)*(1-(1-Half_gap)^T72))+IF(Y72="",0,Y72*Val_pt*(Ceiling_e-E_zero)*(1-(1-Half_gap)^W72)),"")</f>
        <v/>
      </c>
      <c r="AE72" s="13" t="str">
        <f aca="false">IF(AND($J72=1,$M72=0),IF(S72="",0,S72*R72)+IF(V72="",0,V72*U72)+IF(Y72="",0,Y72*X72),"")</f>
        <v/>
      </c>
      <c r="AF72" s="12" t="str">
        <f aca="false">IF(AND($J72=1,$M72=0),MIN((AC72-E72)/Span_P,(AD72-F72)/Span_S,(AE72-G72)/Span_B),"")</f>
        <v/>
      </c>
      <c r="AG72" s="15" t="str">
        <f aca="false">IF(AND($J72=1,$M72=0),IF(AF72&gt;0.0000001,1,0),"")</f>
        <v/>
      </c>
      <c r="AH72" s="15" t="str">
        <f aca="false">IF($J72=1,IF($M72=1,AB72,AG72),"")</f>
        <v/>
      </c>
      <c r="AI72" s="13" t="str">
        <f aca="false">IF($J72=1,(Ideal_P-E72)/Span_P,"")</f>
        <v/>
      </c>
      <c r="AJ72" s="13" t="str">
        <f aca="false">IF($J72=1,(Ideal_S-F72)/Span_S,"")</f>
        <v/>
      </c>
      <c r="AK72" s="13" t="str">
        <f aca="false">IF($J72=1,(Ideal_B-G72)/Span_B,"")</f>
        <v/>
      </c>
      <c r="AL72" s="12" t="str">
        <f aca="false">IF($J72=1,MAX(ChA_1*AI72,ChA_2*AJ72,ChA_3*AK72)+Rho*(ChA_1*AI72+ChA_2*AJ72+ChA_3*AK72),"")</f>
        <v/>
      </c>
      <c r="AM72" s="12" t="str">
        <f aca="false">IF($J72=1,MAX(ChB_1*AI72,ChB_2*AJ72,ChB_3*AK72)+Rho*(ChB_1*AI72+ChB_2*AJ72+ChB_3*AK72),"")</f>
        <v/>
      </c>
      <c r="AN72" s="12" t="str">
        <f aca="false">IF($J72=1,MAX(Cx_1*(Ref_P-E72)/Span_P,Cx_2*(Ref_S-F72)/Span_S,Cx_3*(Ref_B-G72)/Span_B),"")</f>
        <v/>
      </c>
    </row>
    <row r="73" customFormat="false" ht="15" hidden="false" customHeight="false" outlineLevel="0" collapsed="false">
      <c r="A73" s="2" t="n">
        <v>67</v>
      </c>
      <c r="B73" s="15" t="n">
        <f aca="false">INT(A73/151)</f>
        <v>0</v>
      </c>
      <c r="C73" s="15" t="n">
        <f aca="false">MOD(A73,151)</f>
        <v>67</v>
      </c>
      <c r="D73" s="15" t="n">
        <f aca="false">INDEX(Grid!$J$6:$P$156,C73+1,B73+1)</f>
        <v>1</v>
      </c>
      <c r="E73" s="16" t="n">
        <f aca="false">IF(D73=1,INDEX(Grid!$B$6:$H$156,C73+1,B73+1),"")</f>
        <v>75.4545454545454</v>
      </c>
      <c r="F73" s="13" t="n">
        <f aca="false">Val_pt*(Ceiling_e-E_zero)*(1-(1-Half_gap)^B73)</f>
        <v>0</v>
      </c>
      <c r="G73" s="15" t="n">
        <f aca="false">C73</f>
        <v>67</v>
      </c>
      <c r="H73" s="15" t="n">
        <f aca="false">IF(D73=1,INDEX(Grid!$R$6:$X$156,C73+1,B73+1),"")</f>
        <v>0</v>
      </c>
      <c r="I73" s="2" t="str">
        <f aca="false">IF(D73=1,INDEX(Sch_label,H73+1),"")</f>
        <v>none</v>
      </c>
      <c r="J73" s="15" t="n">
        <f aca="false">IF(D73=1,INDEX(Grid!$Z$6:$AF$156,C73+1,B73+1),0)</f>
        <v>0</v>
      </c>
      <c r="K73" s="16" t="n">
        <f aca="false">IF(J73=1,E73,0)</f>
        <v>0</v>
      </c>
      <c r="L73" s="17" t="n">
        <f aca="false">IF(D73=1,E73+W_board*F73,"")</f>
        <v>75.4545454545454</v>
      </c>
      <c r="Z73" s="12" t="str">
        <f aca="false">IF(AND($J73=1,$M73=1),N73*E73/Span_P+O73*F73/Span_S+P73*G73/Span_B,"")</f>
        <v/>
      </c>
      <c r="AA73" s="12" t="str">
        <f aca="false">IF(AND($J73=1,$M73=1),SUMPRODUCT(MAX($J$6:$J$1062*(N73*$K$6:$K$1062/Span_P+O73*$F$6:$F$1062/Span_S+P73*$G$6:$G$1062/Span_B)-(1-$J$6:$J$1062)*1000000000)),"")</f>
        <v/>
      </c>
      <c r="AB73" s="15" t="str">
        <f aca="false">IF(AND($J73=1,$M73=1),IF(AA73-Z73&lt;=0.000000001,1,0),"")</f>
        <v/>
      </c>
      <c r="AC73" s="13" t="str">
        <f aca="false">IF(AND($J73=1,$M73=0),IF(S73="",0,S73*INDEX(Grid!$B$6:$H$156,R73+1,Q73+1))+IF(V73="",0,V73*INDEX(Grid!$B$6:$H$156,U73+1,T73+1))+IF(Y73="",0,Y73*INDEX(Grid!$B$6:$H$156,X73+1,W73+1)),"")</f>
        <v/>
      </c>
      <c r="AD73" s="13" t="str">
        <f aca="false">IF(AND($J73=1,$M73=0),IF(S73="",0,S73*Val_pt*(Ceiling_e-E_zero)*(1-(1-Half_gap)^Q73))+IF(V73="",0,V73*Val_pt*(Ceiling_e-E_zero)*(1-(1-Half_gap)^T73))+IF(Y73="",0,Y73*Val_pt*(Ceiling_e-E_zero)*(1-(1-Half_gap)^W73)),"")</f>
        <v/>
      </c>
      <c r="AE73" s="13" t="str">
        <f aca="false">IF(AND($J73=1,$M73=0),IF(S73="",0,S73*R73)+IF(V73="",0,V73*U73)+IF(Y73="",0,Y73*X73),"")</f>
        <v/>
      </c>
      <c r="AF73" s="12" t="str">
        <f aca="false">IF(AND($J73=1,$M73=0),MIN((AC73-E73)/Span_P,(AD73-F73)/Span_S,(AE73-G73)/Span_B),"")</f>
        <v/>
      </c>
      <c r="AG73" s="15" t="str">
        <f aca="false">IF(AND($J73=1,$M73=0),IF(AF73&gt;0.0000001,1,0),"")</f>
        <v/>
      </c>
      <c r="AH73" s="15" t="str">
        <f aca="false">IF($J73=1,IF($M73=1,AB73,AG73),"")</f>
        <v/>
      </c>
      <c r="AI73" s="13" t="str">
        <f aca="false">IF($J73=1,(Ideal_P-E73)/Span_P,"")</f>
        <v/>
      </c>
      <c r="AJ73" s="13" t="str">
        <f aca="false">IF($J73=1,(Ideal_S-F73)/Span_S,"")</f>
        <v/>
      </c>
      <c r="AK73" s="13" t="str">
        <f aca="false">IF($J73=1,(Ideal_B-G73)/Span_B,"")</f>
        <v/>
      </c>
      <c r="AL73" s="12" t="str">
        <f aca="false">IF($J73=1,MAX(ChA_1*AI73,ChA_2*AJ73,ChA_3*AK73)+Rho*(ChA_1*AI73+ChA_2*AJ73+ChA_3*AK73),"")</f>
        <v/>
      </c>
      <c r="AM73" s="12" t="str">
        <f aca="false">IF($J73=1,MAX(ChB_1*AI73,ChB_2*AJ73,ChB_3*AK73)+Rho*(ChB_1*AI73+ChB_2*AJ73+ChB_3*AK73),"")</f>
        <v/>
      </c>
      <c r="AN73" s="12" t="str">
        <f aca="false">IF($J73=1,MAX(Cx_1*(Ref_P-E73)/Span_P,Cx_2*(Ref_S-F73)/Span_S,Cx_3*(Ref_B-G73)/Span_B),"")</f>
        <v/>
      </c>
    </row>
    <row r="74" customFormat="false" ht="15" hidden="false" customHeight="false" outlineLevel="0" collapsed="false">
      <c r="A74" s="2" t="n">
        <v>68</v>
      </c>
      <c r="B74" s="15" t="n">
        <f aca="false">INT(A74/151)</f>
        <v>0</v>
      </c>
      <c r="C74" s="15" t="n">
        <f aca="false">MOD(A74,151)</f>
        <v>68</v>
      </c>
      <c r="D74" s="15" t="n">
        <f aca="false">INDEX(Grid!$J$6:$P$156,C74+1,B74+1)</f>
        <v>1</v>
      </c>
      <c r="E74" s="16" t="n">
        <f aca="false">IF(D74=1,INDEX(Grid!$B$6:$H$156,C74+1,B74+1),"")</f>
        <v>74.5454545454545</v>
      </c>
      <c r="F74" s="13" t="n">
        <f aca="false">Val_pt*(Ceiling_e-E_zero)*(1-(1-Half_gap)^B74)</f>
        <v>0</v>
      </c>
      <c r="G74" s="15" t="n">
        <f aca="false">C74</f>
        <v>68</v>
      </c>
      <c r="H74" s="15" t="n">
        <f aca="false">IF(D74=1,INDEX(Grid!$R$6:$X$156,C74+1,B74+1),"")</f>
        <v>0</v>
      </c>
      <c r="I74" s="2" t="str">
        <f aca="false">IF(D74=1,INDEX(Sch_label,H74+1),"")</f>
        <v>none</v>
      </c>
      <c r="J74" s="15" t="n">
        <f aca="false">IF(D74=1,INDEX(Grid!$Z$6:$AF$156,C74+1,B74+1),0)</f>
        <v>0</v>
      </c>
      <c r="K74" s="16" t="n">
        <f aca="false">IF(J74=1,E74,0)</f>
        <v>0</v>
      </c>
      <c r="L74" s="17" t="n">
        <f aca="false">IF(D74=1,E74+W_board*F74,"")</f>
        <v>74.5454545454545</v>
      </c>
      <c r="Z74" s="12" t="str">
        <f aca="false">IF(AND($J74=1,$M74=1),N74*E74/Span_P+O74*F74/Span_S+P74*G74/Span_B,"")</f>
        <v/>
      </c>
      <c r="AA74" s="12" t="str">
        <f aca="false">IF(AND($J74=1,$M74=1),SUMPRODUCT(MAX($J$6:$J$1062*(N74*$K$6:$K$1062/Span_P+O74*$F$6:$F$1062/Span_S+P74*$G$6:$G$1062/Span_B)-(1-$J$6:$J$1062)*1000000000)),"")</f>
        <v/>
      </c>
      <c r="AB74" s="15" t="str">
        <f aca="false">IF(AND($J74=1,$M74=1),IF(AA74-Z74&lt;=0.000000001,1,0),"")</f>
        <v/>
      </c>
      <c r="AC74" s="13" t="str">
        <f aca="false">IF(AND($J74=1,$M74=0),IF(S74="",0,S74*INDEX(Grid!$B$6:$H$156,R74+1,Q74+1))+IF(V74="",0,V74*INDEX(Grid!$B$6:$H$156,U74+1,T74+1))+IF(Y74="",0,Y74*INDEX(Grid!$B$6:$H$156,X74+1,W74+1)),"")</f>
        <v/>
      </c>
      <c r="AD74" s="13" t="str">
        <f aca="false">IF(AND($J74=1,$M74=0),IF(S74="",0,S74*Val_pt*(Ceiling_e-E_zero)*(1-(1-Half_gap)^Q74))+IF(V74="",0,V74*Val_pt*(Ceiling_e-E_zero)*(1-(1-Half_gap)^T74))+IF(Y74="",0,Y74*Val_pt*(Ceiling_e-E_zero)*(1-(1-Half_gap)^W74)),"")</f>
        <v/>
      </c>
      <c r="AE74" s="13" t="str">
        <f aca="false">IF(AND($J74=1,$M74=0),IF(S74="",0,S74*R74)+IF(V74="",0,V74*U74)+IF(Y74="",0,Y74*X74),"")</f>
        <v/>
      </c>
      <c r="AF74" s="12" t="str">
        <f aca="false">IF(AND($J74=1,$M74=0),MIN((AC74-E74)/Span_P,(AD74-F74)/Span_S,(AE74-G74)/Span_B),"")</f>
        <v/>
      </c>
      <c r="AG74" s="15" t="str">
        <f aca="false">IF(AND($J74=1,$M74=0),IF(AF74&gt;0.0000001,1,0),"")</f>
        <v/>
      </c>
      <c r="AH74" s="15" t="str">
        <f aca="false">IF($J74=1,IF($M74=1,AB74,AG74),"")</f>
        <v/>
      </c>
      <c r="AI74" s="13" t="str">
        <f aca="false">IF($J74=1,(Ideal_P-E74)/Span_P,"")</f>
        <v/>
      </c>
      <c r="AJ74" s="13" t="str">
        <f aca="false">IF($J74=1,(Ideal_S-F74)/Span_S,"")</f>
        <v/>
      </c>
      <c r="AK74" s="13" t="str">
        <f aca="false">IF($J74=1,(Ideal_B-G74)/Span_B,"")</f>
        <v/>
      </c>
      <c r="AL74" s="12" t="str">
        <f aca="false">IF($J74=1,MAX(ChA_1*AI74,ChA_2*AJ74,ChA_3*AK74)+Rho*(ChA_1*AI74+ChA_2*AJ74+ChA_3*AK74),"")</f>
        <v/>
      </c>
      <c r="AM74" s="12" t="str">
        <f aca="false">IF($J74=1,MAX(ChB_1*AI74,ChB_2*AJ74,ChB_3*AK74)+Rho*(ChB_1*AI74+ChB_2*AJ74+ChB_3*AK74),"")</f>
        <v/>
      </c>
      <c r="AN74" s="12" t="str">
        <f aca="false">IF($J74=1,MAX(Cx_1*(Ref_P-E74)/Span_P,Cx_2*(Ref_S-F74)/Span_S,Cx_3*(Ref_B-G74)/Span_B),"")</f>
        <v/>
      </c>
    </row>
    <row r="75" customFormat="false" ht="15" hidden="false" customHeight="false" outlineLevel="0" collapsed="false">
      <c r="A75" s="2" t="n">
        <v>69</v>
      </c>
      <c r="B75" s="15" t="n">
        <f aca="false">INT(A75/151)</f>
        <v>0</v>
      </c>
      <c r="C75" s="15" t="n">
        <f aca="false">MOD(A75,151)</f>
        <v>69</v>
      </c>
      <c r="D75" s="15" t="n">
        <f aca="false">INDEX(Grid!$J$6:$P$156,C75+1,B75+1)</f>
        <v>1</v>
      </c>
      <c r="E75" s="16" t="n">
        <f aca="false">IF(D75=1,INDEX(Grid!$B$6:$H$156,C75+1,B75+1),"")</f>
        <v>73.6363636363636</v>
      </c>
      <c r="F75" s="13" t="n">
        <f aca="false">Val_pt*(Ceiling_e-E_zero)*(1-(1-Half_gap)^B75)</f>
        <v>0</v>
      </c>
      <c r="G75" s="15" t="n">
        <f aca="false">C75</f>
        <v>69</v>
      </c>
      <c r="H75" s="15" t="n">
        <f aca="false">IF(D75=1,INDEX(Grid!$R$6:$X$156,C75+1,B75+1),"")</f>
        <v>0</v>
      </c>
      <c r="I75" s="2" t="str">
        <f aca="false">IF(D75=1,INDEX(Sch_label,H75+1),"")</f>
        <v>none</v>
      </c>
      <c r="J75" s="15" t="n">
        <f aca="false">IF(D75=1,INDEX(Grid!$Z$6:$AF$156,C75+1,B75+1),0)</f>
        <v>0</v>
      </c>
      <c r="K75" s="16" t="n">
        <f aca="false">IF(J75=1,E75,0)</f>
        <v>0</v>
      </c>
      <c r="L75" s="17" t="n">
        <f aca="false">IF(D75=1,E75+W_board*F75,"")</f>
        <v>73.6363636363636</v>
      </c>
      <c r="Z75" s="12" t="str">
        <f aca="false">IF(AND($J75=1,$M75=1),N75*E75/Span_P+O75*F75/Span_S+P75*G75/Span_B,"")</f>
        <v/>
      </c>
      <c r="AA75" s="12" t="str">
        <f aca="false">IF(AND($J75=1,$M75=1),SUMPRODUCT(MAX($J$6:$J$1062*(N75*$K$6:$K$1062/Span_P+O75*$F$6:$F$1062/Span_S+P75*$G$6:$G$1062/Span_B)-(1-$J$6:$J$1062)*1000000000)),"")</f>
        <v/>
      </c>
      <c r="AB75" s="15" t="str">
        <f aca="false">IF(AND($J75=1,$M75=1),IF(AA75-Z75&lt;=0.000000001,1,0),"")</f>
        <v/>
      </c>
      <c r="AC75" s="13" t="str">
        <f aca="false">IF(AND($J75=1,$M75=0),IF(S75="",0,S75*INDEX(Grid!$B$6:$H$156,R75+1,Q75+1))+IF(V75="",0,V75*INDEX(Grid!$B$6:$H$156,U75+1,T75+1))+IF(Y75="",0,Y75*INDEX(Grid!$B$6:$H$156,X75+1,W75+1)),"")</f>
        <v/>
      </c>
      <c r="AD75" s="13" t="str">
        <f aca="false">IF(AND($J75=1,$M75=0),IF(S75="",0,S75*Val_pt*(Ceiling_e-E_zero)*(1-(1-Half_gap)^Q75))+IF(V75="",0,V75*Val_pt*(Ceiling_e-E_zero)*(1-(1-Half_gap)^T75))+IF(Y75="",0,Y75*Val_pt*(Ceiling_e-E_zero)*(1-(1-Half_gap)^W75)),"")</f>
        <v/>
      </c>
      <c r="AE75" s="13" t="str">
        <f aca="false">IF(AND($J75=1,$M75=0),IF(S75="",0,S75*R75)+IF(V75="",0,V75*U75)+IF(Y75="",0,Y75*X75),"")</f>
        <v/>
      </c>
      <c r="AF75" s="12" t="str">
        <f aca="false">IF(AND($J75=1,$M75=0),MIN((AC75-E75)/Span_P,(AD75-F75)/Span_S,(AE75-G75)/Span_B),"")</f>
        <v/>
      </c>
      <c r="AG75" s="15" t="str">
        <f aca="false">IF(AND($J75=1,$M75=0),IF(AF75&gt;0.0000001,1,0),"")</f>
        <v/>
      </c>
      <c r="AH75" s="15" t="str">
        <f aca="false">IF($J75=1,IF($M75=1,AB75,AG75),"")</f>
        <v/>
      </c>
      <c r="AI75" s="13" t="str">
        <f aca="false">IF($J75=1,(Ideal_P-E75)/Span_P,"")</f>
        <v/>
      </c>
      <c r="AJ75" s="13" t="str">
        <f aca="false">IF($J75=1,(Ideal_S-F75)/Span_S,"")</f>
        <v/>
      </c>
      <c r="AK75" s="13" t="str">
        <f aca="false">IF($J75=1,(Ideal_B-G75)/Span_B,"")</f>
        <v/>
      </c>
      <c r="AL75" s="12" t="str">
        <f aca="false">IF($J75=1,MAX(ChA_1*AI75,ChA_2*AJ75,ChA_3*AK75)+Rho*(ChA_1*AI75+ChA_2*AJ75+ChA_3*AK75),"")</f>
        <v/>
      </c>
      <c r="AM75" s="12" t="str">
        <f aca="false">IF($J75=1,MAX(ChB_1*AI75,ChB_2*AJ75,ChB_3*AK75)+Rho*(ChB_1*AI75+ChB_2*AJ75+ChB_3*AK75),"")</f>
        <v/>
      </c>
      <c r="AN75" s="12" t="str">
        <f aca="false">IF($J75=1,MAX(Cx_1*(Ref_P-E75)/Span_P,Cx_2*(Ref_S-F75)/Span_S,Cx_3*(Ref_B-G75)/Span_B),"")</f>
        <v/>
      </c>
    </row>
    <row r="76" customFormat="false" ht="15" hidden="false" customHeight="false" outlineLevel="0" collapsed="false">
      <c r="A76" s="2" t="n">
        <v>70</v>
      </c>
      <c r="B76" s="15" t="n">
        <f aca="false">INT(A76/151)</f>
        <v>0</v>
      </c>
      <c r="C76" s="15" t="n">
        <f aca="false">MOD(A76,151)</f>
        <v>70</v>
      </c>
      <c r="D76" s="15" t="n">
        <f aca="false">INDEX(Grid!$J$6:$P$156,C76+1,B76+1)</f>
        <v>1</v>
      </c>
      <c r="E76" s="16" t="n">
        <f aca="false">IF(D76=1,INDEX(Grid!$B$6:$H$156,C76+1,B76+1),"")</f>
        <v>72.7272727272727</v>
      </c>
      <c r="F76" s="13" t="n">
        <f aca="false">Val_pt*(Ceiling_e-E_zero)*(1-(1-Half_gap)^B76)</f>
        <v>0</v>
      </c>
      <c r="G76" s="15" t="n">
        <f aca="false">C76</f>
        <v>70</v>
      </c>
      <c r="H76" s="15" t="n">
        <f aca="false">IF(D76=1,INDEX(Grid!$R$6:$X$156,C76+1,B76+1),"")</f>
        <v>0</v>
      </c>
      <c r="I76" s="2" t="str">
        <f aca="false">IF(D76=1,INDEX(Sch_label,H76+1),"")</f>
        <v>none</v>
      </c>
      <c r="J76" s="15" t="n">
        <f aca="false">IF(D76=1,INDEX(Grid!$Z$6:$AF$156,C76+1,B76+1),0)</f>
        <v>0</v>
      </c>
      <c r="K76" s="16" t="n">
        <f aca="false">IF(J76=1,E76,0)</f>
        <v>0</v>
      </c>
      <c r="L76" s="17" t="n">
        <f aca="false">IF(D76=1,E76+W_board*F76,"")</f>
        <v>72.7272727272727</v>
      </c>
      <c r="Z76" s="12" t="str">
        <f aca="false">IF(AND($J76=1,$M76=1),N76*E76/Span_P+O76*F76/Span_S+P76*G76/Span_B,"")</f>
        <v/>
      </c>
      <c r="AA76" s="12" t="str">
        <f aca="false">IF(AND($J76=1,$M76=1),SUMPRODUCT(MAX($J$6:$J$1062*(N76*$K$6:$K$1062/Span_P+O76*$F$6:$F$1062/Span_S+P76*$G$6:$G$1062/Span_B)-(1-$J$6:$J$1062)*1000000000)),"")</f>
        <v/>
      </c>
      <c r="AB76" s="15" t="str">
        <f aca="false">IF(AND($J76=1,$M76=1),IF(AA76-Z76&lt;=0.000000001,1,0),"")</f>
        <v/>
      </c>
      <c r="AC76" s="13" t="str">
        <f aca="false">IF(AND($J76=1,$M76=0),IF(S76="",0,S76*INDEX(Grid!$B$6:$H$156,R76+1,Q76+1))+IF(V76="",0,V76*INDEX(Grid!$B$6:$H$156,U76+1,T76+1))+IF(Y76="",0,Y76*INDEX(Grid!$B$6:$H$156,X76+1,W76+1)),"")</f>
        <v/>
      </c>
      <c r="AD76" s="13" t="str">
        <f aca="false">IF(AND($J76=1,$M76=0),IF(S76="",0,S76*Val_pt*(Ceiling_e-E_zero)*(1-(1-Half_gap)^Q76))+IF(V76="",0,V76*Val_pt*(Ceiling_e-E_zero)*(1-(1-Half_gap)^T76))+IF(Y76="",0,Y76*Val_pt*(Ceiling_e-E_zero)*(1-(1-Half_gap)^W76)),"")</f>
        <v/>
      </c>
      <c r="AE76" s="13" t="str">
        <f aca="false">IF(AND($J76=1,$M76=0),IF(S76="",0,S76*R76)+IF(V76="",0,V76*U76)+IF(Y76="",0,Y76*X76),"")</f>
        <v/>
      </c>
      <c r="AF76" s="12" t="str">
        <f aca="false">IF(AND($J76=1,$M76=0),MIN((AC76-E76)/Span_P,(AD76-F76)/Span_S,(AE76-G76)/Span_B),"")</f>
        <v/>
      </c>
      <c r="AG76" s="15" t="str">
        <f aca="false">IF(AND($J76=1,$M76=0),IF(AF76&gt;0.0000001,1,0),"")</f>
        <v/>
      </c>
      <c r="AH76" s="15" t="str">
        <f aca="false">IF($J76=1,IF($M76=1,AB76,AG76),"")</f>
        <v/>
      </c>
      <c r="AI76" s="13" t="str">
        <f aca="false">IF($J76=1,(Ideal_P-E76)/Span_P,"")</f>
        <v/>
      </c>
      <c r="AJ76" s="13" t="str">
        <f aca="false">IF($J76=1,(Ideal_S-F76)/Span_S,"")</f>
        <v/>
      </c>
      <c r="AK76" s="13" t="str">
        <f aca="false">IF($J76=1,(Ideal_B-G76)/Span_B,"")</f>
        <v/>
      </c>
      <c r="AL76" s="12" t="str">
        <f aca="false">IF($J76=1,MAX(ChA_1*AI76,ChA_2*AJ76,ChA_3*AK76)+Rho*(ChA_1*AI76+ChA_2*AJ76+ChA_3*AK76),"")</f>
        <v/>
      </c>
      <c r="AM76" s="12" t="str">
        <f aca="false">IF($J76=1,MAX(ChB_1*AI76,ChB_2*AJ76,ChB_3*AK76)+Rho*(ChB_1*AI76+ChB_2*AJ76+ChB_3*AK76),"")</f>
        <v/>
      </c>
      <c r="AN76" s="12" t="str">
        <f aca="false">IF($J76=1,MAX(Cx_1*(Ref_P-E76)/Span_P,Cx_2*(Ref_S-F76)/Span_S,Cx_3*(Ref_B-G76)/Span_B),"")</f>
        <v/>
      </c>
    </row>
    <row r="77" customFormat="false" ht="15" hidden="false" customHeight="false" outlineLevel="0" collapsed="false">
      <c r="A77" s="2" t="n">
        <v>71</v>
      </c>
      <c r="B77" s="15" t="n">
        <f aca="false">INT(A77/151)</f>
        <v>0</v>
      </c>
      <c r="C77" s="15" t="n">
        <f aca="false">MOD(A77,151)</f>
        <v>71</v>
      </c>
      <c r="D77" s="15" t="n">
        <f aca="false">INDEX(Grid!$J$6:$P$156,C77+1,B77+1)</f>
        <v>1</v>
      </c>
      <c r="E77" s="16" t="n">
        <f aca="false">IF(D77=1,INDEX(Grid!$B$6:$H$156,C77+1,B77+1),"")</f>
        <v>71.8181818181818</v>
      </c>
      <c r="F77" s="13" t="n">
        <f aca="false">Val_pt*(Ceiling_e-E_zero)*(1-(1-Half_gap)^B77)</f>
        <v>0</v>
      </c>
      <c r="G77" s="15" t="n">
        <f aca="false">C77</f>
        <v>71</v>
      </c>
      <c r="H77" s="15" t="n">
        <f aca="false">IF(D77=1,INDEX(Grid!$R$6:$X$156,C77+1,B77+1),"")</f>
        <v>0</v>
      </c>
      <c r="I77" s="2" t="str">
        <f aca="false">IF(D77=1,INDEX(Sch_label,H77+1),"")</f>
        <v>none</v>
      </c>
      <c r="J77" s="15" t="n">
        <f aca="false">IF(D77=1,INDEX(Grid!$Z$6:$AF$156,C77+1,B77+1),0)</f>
        <v>0</v>
      </c>
      <c r="K77" s="16" t="n">
        <f aca="false">IF(J77=1,E77,0)</f>
        <v>0</v>
      </c>
      <c r="L77" s="17" t="n">
        <f aca="false">IF(D77=1,E77+W_board*F77,"")</f>
        <v>71.8181818181818</v>
      </c>
      <c r="Z77" s="12" t="str">
        <f aca="false">IF(AND($J77=1,$M77=1),N77*E77/Span_P+O77*F77/Span_S+P77*G77/Span_B,"")</f>
        <v/>
      </c>
      <c r="AA77" s="12" t="str">
        <f aca="false">IF(AND($J77=1,$M77=1),SUMPRODUCT(MAX($J$6:$J$1062*(N77*$K$6:$K$1062/Span_P+O77*$F$6:$F$1062/Span_S+P77*$G$6:$G$1062/Span_B)-(1-$J$6:$J$1062)*1000000000)),"")</f>
        <v/>
      </c>
      <c r="AB77" s="15" t="str">
        <f aca="false">IF(AND($J77=1,$M77=1),IF(AA77-Z77&lt;=0.000000001,1,0),"")</f>
        <v/>
      </c>
      <c r="AC77" s="13" t="str">
        <f aca="false">IF(AND($J77=1,$M77=0),IF(S77="",0,S77*INDEX(Grid!$B$6:$H$156,R77+1,Q77+1))+IF(V77="",0,V77*INDEX(Grid!$B$6:$H$156,U77+1,T77+1))+IF(Y77="",0,Y77*INDEX(Grid!$B$6:$H$156,X77+1,W77+1)),"")</f>
        <v/>
      </c>
      <c r="AD77" s="13" t="str">
        <f aca="false">IF(AND($J77=1,$M77=0),IF(S77="",0,S77*Val_pt*(Ceiling_e-E_zero)*(1-(1-Half_gap)^Q77))+IF(V77="",0,V77*Val_pt*(Ceiling_e-E_zero)*(1-(1-Half_gap)^T77))+IF(Y77="",0,Y77*Val_pt*(Ceiling_e-E_zero)*(1-(1-Half_gap)^W77)),"")</f>
        <v/>
      </c>
      <c r="AE77" s="13" t="str">
        <f aca="false">IF(AND($J77=1,$M77=0),IF(S77="",0,S77*R77)+IF(V77="",0,V77*U77)+IF(Y77="",0,Y77*X77),"")</f>
        <v/>
      </c>
      <c r="AF77" s="12" t="str">
        <f aca="false">IF(AND($J77=1,$M77=0),MIN((AC77-E77)/Span_P,(AD77-F77)/Span_S,(AE77-G77)/Span_B),"")</f>
        <v/>
      </c>
      <c r="AG77" s="15" t="str">
        <f aca="false">IF(AND($J77=1,$M77=0),IF(AF77&gt;0.0000001,1,0),"")</f>
        <v/>
      </c>
      <c r="AH77" s="15" t="str">
        <f aca="false">IF($J77=1,IF($M77=1,AB77,AG77),"")</f>
        <v/>
      </c>
      <c r="AI77" s="13" t="str">
        <f aca="false">IF($J77=1,(Ideal_P-E77)/Span_P,"")</f>
        <v/>
      </c>
      <c r="AJ77" s="13" t="str">
        <f aca="false">IF($J77=1,(Ideal_S-F77)/Span_S,"")</f>
        <v/>
      </c>
      <c r="AK77" s="13" t="str">
        <f aca="false">IF($J77=1,(Ideal_B-G77)/Span_B,"")</f>
        <v/>
      </c>
      <c r="AL77" s="12" t="str">
        <f aca="false">IF($J77=1,MAX(ChA_1*AI77,ChA_2*AJ77,ChA_3*AK77)+Rho*(ChA_1*AI77+ChA_2*AJ77+ChA_3*AK77),"")</f>
        <v/>
      </c>
      <c r="AM77" s="12" t="str">
        <f aca="false">IF($J77=1,MAX(ChB_1*AI77,ChB_2*AJ77,ChB_3*AK77)+Rho*(ChB_1*AI77+ChB_2*AJ77+ChB_3*AK77),"")</f>
        <v/>
      </c>
      <c r="AN77" s="12" t="str">
        <f aca="false">IF($J77=1,MAX(Cx_1*(Ref_P-E77)/Span_P,Cx_2*(Ref_S-F77)/Span_S,Cx_3*(Ref_B-G77)/Span_B),"")</f>
        <v/>
      </c>
    </row>
    <row r="78" customFormat="false" ht="15" hidden="false" customHeight="false" outlineLevel="0" collapsed="false">
      <c r="A78" s="2" t="n">
        <v>72</v>
      </c>
      <c r="B78" s="15" t="n">
        <f aca="false">INT(A78/151)</f>
        <v>0</v>
      </c>
      <c r="C78" s="15" t="n">
        <f aca="false">MOD(A78,151)</f>
        <v>72</v>
      </c>
      <c r="D78" s="15" t="n">
        <f aca="false">INDEX(Grid!$J$6:$P$156,C78+1,B78+1)</f>
        <v>1</v>
      </c>
      <c r="E78" s="16" t="n">
        <f aca="false">IF(D78=1,INDEX(Grid!$B$6:$H$156,C78+1,B78+1),"")</f>
        <v>70.9090909090909</v>
      </c>
      <c r="F78" s="13" t="n">
        <f aca="false">Val_pt*(Ceiling_e-E_zero)*(1-(1-Half_gap)^B78)</f>
        <v>0</v>
      </c>
      <c r="G78" s="15" t="n">
        <f aca="false">C78</f>
        <v>72</v>
      </c>
      <c r="H78" s="15" t="n">
        <f aca="false">IF(D78=1,INDEX(Grid!$R$6:$X$156,C78+1,B78+1),"")</f>
        <v>0</v>
      </c>
      <c r="I78" s="2" t="str">
        <f aca="false">IF(D78=1,INDEX(Sch_label,H78+1),"")</f>
        <v>none</v>
      </c>
      <c r="J78" s="15" t="n">
        <f aca="false">IF(D78=1,INDEX(Grid!$Z$6:$AF$156,C78+1,B78+1),0)</f>
        <v>0</v>
      </c>
      <c r="K78" s="16" t="n">
        <f aca="false">IF(J78=1,E78,0)</f>
        <v>0</v>
      </c>
      <c r="L78" s="17" t="n">
        <f aca="false">IF(D78=1,E78+W_board*F78,"")</f>
        <v>70.9090909090909</v>
      </c>
      <c r="Z78" s="12" t="str">
        <f aca="false">IF(AND($J78=1,$M78=1),N78*E78/Span_P+O78*F78/Span_S+P78*G78/Span_B,"")</f>
        <v/>
      </c>
      <c r="AA78" s="12" t="str">
        <f aca="false">IF(AND($J78=1,$M78=1),SUMPRODUCT(MAX($J$6:$J$1062*(N78*$K$6:$K$1062/Span_P+O78*$F$6:$F$1062/Span_S+P78*$G$6:$G$1062/Span_B)-(1-$J$6:$J$1062)*1000000000)),"")</f>
        <v/>
      </c>
      <c r="AB78" s="15" t="str">
        <f aca="false">IF(AND($J78=1,$M78=1),IF(AA78-Z78&lt;=0.000000001,1,0),"")</f>
        <v/>
      </c>
      <c r="AC78" s="13" t="str">
        <f aca="false">IF(AND($J78=1,$M78=0),IF(S78="",0,S78*INDEX(Grid!$B$6:$H$156,R78+1,Q78+1))+IF(V78="",0,V78*INDEX(Grid!$B$6:$H$156,U78+1,T78+1))+IF(Y78="",0,Y78*INDEX(Grid!$B$6:$H$156,X78+1,W78+1)),"")</f>
        <v/>
      </c>
      <c r="AD78" s="13" t="str">
        <f aca="false">IF(AND($J78=1,$M78=0),IF(S78="",0,S78*Val_pt*(Ceiling_e-E_zero)*(1-(1-Half_gap)^Q78))+IF(V78="",0,V78*Val_pt*(Ceiling_e-E_zero)*(1-(1-Half_gap)^T78))+IF(Y78="",0,Y78*Val_pt*(Ceiling_e-E_zero)*(1-(1-Half_gap)^W78)),"")</f>
        <v/>
      </c>
      <c r="AE78" s="13" t="str">
        <f aca="false">IF(AND($J78=1,$M78=0),IF(S78="",0,S78*R78)+IF(V78="",0,V78*U78)+IF(Y78="",0,Y78*X78),"")</f>
        <v/>
      </c>
      <c r="AF78" s="12" t="str">
        <f aca="false">IF(AND($J78=1,$M78=0),MIN((AC78-E78)/Span_P,(AD78-F78)/Span_S,(AE78-G78)/Span_B),"")</f>
        <v/>
      </c>
      <c r="AG78" s="15" t="str">
        <f aca="false">IF(AND($J78=1,$M78=0),IF(AF78&gt;0.0000001,1,0),"")</f>
        <v/>
      </c>
      <c r="AH78" s="15" t="str">
        <f aca="false">IF($J78=1,IF($M78=1,AB78,AG78),"")</f>
        <v/>
      </c>
      <c r="AI78" s="13" t="str">
        <f aca="false">IF($J78=1,(Ideal_P-E78)/Span_P,"")</f>
        <v/>
      </c>
      <c r="AJ78" s="13" t="str">
        <f aca="false">IF($J78=1,(Ideal_S-F78)/Span_S,"")</f>
        <v/>
      </c>
      <c r="AK78" s="13" t="str">
        <f aca="false">IF($J78=1,(Ideal_B-G78)/Span_B,"")</f>
        <v/>
      </c>
      <c r="AL78" s="12" t="str">
        <f aca="false">IF($J78=1,MAX(ChA_1*AI78,ChA_2*AJ78,ChA_3*AK78)+Rho*(ChA_1*AI78+ChA_2*AJ78+ChA_3*AK78),"")</f>
        <v/>
      </c>
      <c r="AM78" s="12" t="str">
        <f aca="false">IF($J78=1,MAX(ChB_1*AI78,ChB_2*AJ78,ChB_3*AK78)+Rho*(ChB_1*AI78+ChB_2*AJ78+ChB_3*AK78),"")</f>
        <v/>
      </c>
      <c r="AN78" s="12" t="str">
        <f aca="false">IF($J78=1,MAX(Cx_1*(Ref_P-E78)/Span_P,Cx_2*(Ref_S-F78)/Span_S,Cx_3*(Ref_B-G78)/Span_B),"")</f>
        <v/>
      </c>
    </row>
    <row r="79" customFormat="false" ht="15" hidden="false" customHeight="false" outlineLevel="0" collapsed="false">
      <c r="A79" s="2" t="n">
        <v>73</v>
      </c>
      <c r="B79" s="15" t="n">
        <f aca="false">INT(A79/151)</f>
        <v>0</v>
      </c>
      <c r="C79" s="15" t="n">
        <f aca="false">MOD(A79,151)</f>
        <v>73</v>
      </c>
      <c r="D79" s="15" t="n">
        <f aca="false">INDEX(Grid!$J$6:$P$156,C79+1,B79+1)</f>
        <v>1</v>
      </c>
      <c r="E79" s="16" t="n">
        <f aca="false">IF(D79=1,INDEX(Grid!$B$6:$H$156,C79+1,B79+1),"")</f>
        <v>70</v>
      </c>
      <c r="F79" s="13" t="n">
        <f aca="false">Val_pt*(Ceiling_e-E_zero)*(1-(1-Half_gap)^B79)</f>
        <v>0</v>
      </c>
      <c r="G79" s="15" t="n">
        <f aca="false">C79</f>
        <v>73</v>
      </c>
      <c r="H79" s="15" t="n">
        <f aca="false">IF(D79=1,INDEX(Grid!$R$6:$X$156,C79+1,B79+1),"")</f>
        <v>0</v>
      </c>
      <c r="I79" s="2" t="str">
        <f aca="false">IF(D79=1,INDEX(Sch_label,H79+1),"")</f>
        <v>none</v>
      </c>
      <c r="J79" s="15" t="n">
        <f aca="false">IF(D79=1,INDEX(Grid!$Z$6:$AF$156,C79+1,B79+1),0)</f>
        <v>0</v>
      </c>
      <c r="K79" s="16" t="n">
        <f aca="false">IF(J79=1,E79,0)</f>
        <v>0</v>
      </c>
      <c r="L79" s="17" t="n">
        <f aca="false">IF(D79=1,E79+W_board*F79,"")</f>
        <v>70</v>
      </c>
      <c r="Z79" s="12" t="str">
        <f aca="false">IF(AND($J79=1,$M79=1),N79*E79/Span_P+O79*F79/Span_S+P79*G79/Span_B,"")</f>
        <v/>
      </c>
      <c r="AA79" s="12" t="str">
        <f aca="false">IF(AND($J79=1,$M79=1),SUMPRODUCT(MAX($J$6:$J$1062*(N79*$K$6:$K$1062/Span_P+O79*$F$6:$F$1062/Span_S+P79*$G$6:$G$1062/Span_B)-(1-$J$6:$J$1062)*1000000000)),"")</f>
        <v/>
      </c>
      <c r="AB79" s="15" t="str">
        <f aca="false">IF(AND($J79=1,$M79=1),IF(AA79-Z79&lt;=0.000000001,1,0),"")</f>
        <v/>
      </c>
      <c r="AC79" s="13" t="str">
        <f aca="false">IF(AND($J79=1,$M79=0),IF(S79="",0,S79*INDEX(Grid!$B$6:$H$156,R79+1,Q79+1))+IF(V79="",0,V79*INDEX(Grid!$B$6:$H$156,U79+1,T79+1))+IF(Y79="",0,Y79*INDEX(Grid!$B$6:$H$156,X79+1,W79+1)),"")</f>
        <v/>
      </c>
      <c r="AD79" s="13" t="str">
        <f aca="false">IF(AND($J79=1,$M79=0),IF(S79="",0,S79*Val_pt*(Ceiling_e-E_zero)*(1-(1-Half_gap)^Q79))+IF(V79="",0,V79*Val_pt*(Ceiling_e-E_zero)*(1-(1-Half_gap)^T79))+IF(Y79="",0,Y79*Val_pt*(Ceiling_e-E_zero)*(1-(1-Half_gap)^W79)),"")</f>
        <v/>
      </c>
      <c r="AE79" s="13" t="str">
        <f aca="false">IF(AND($J79=1,$M79=0),IF(S79="",0,S79*R79)+IF(V79="",0,V79*U79)+IF(Y79="",0,Y79*X79),"")</f>
        <v/>
      </c>
      <c r="AF79" s="12" t="str">
        <f aca="false">IF(AND($J79=1,$M79=0),MIN((AC79-E79)/Span_P,(AD79-F79)/Span_S,(AE79-G79)/Span_B),"")</f>
        <v/>
      </c>
      <c r="AG79" s="15" t="str">
        <f aca="false">IF(AND($J79=1,$M79=0),IF(AF79&gt;0.0000001,1,0),"")</f>
        <v/>
      </c>
      <c r="AH79" s="15" t="str">
        <f aca="false">IF($J79=1,IF($M79=1,AB79,AG79),"")</f>
        <v/>
      </c>
      <c r="AI79" s="13" t="str">
        <f aca="false">IF($J79=1,(Ideal_P-E79)/Span_P,"")</f>
        <v/>
      </c>
      <c r="AJ79" s="13" t="str">
        <f aca="false">IF($J79=1,(Ideal_S-F79)/Span_S,"")</f>
        <v/>
      </c>
      <c r="AK79" s="13" t="str">
        <f aca="false">IF($J79=1,(Ideal_B-G79)/Span_B,"")</f>
        <v/>
      </c>
      <c r="AL79" s="12" t="str">
        <f aca="false">IF($J79=1,MAX(ChA_1*AI79,ChA_2*AJ79,ChA_3*AK79)+Rho*(ChA_1*AI79+ChA_2*AJ79+ChA_3*AK79),"")</f>
        <v/>
      </c>
      <c r="AM79" s="12" t="str">
        <f aca="false">IF($J79=1,MAX(ChB_1*AI79,ChB_2*AJ79,ChB_3*AK79)+Rho*(ChB_1*AI79+ChB_2*AJ79+ChB_3*AK79),"")</f>
        <v/>
      </c>
      <c r="AN79" s="12" t="str">
        <f aca="false">IF($J79=1,MAX(Cx_1*(Ref_P-E79)/Span_P,Cx_2*(Ref_S-F79)/Span_S,Cx_3*(Ref_B-G79)/Span_B),"")</f>
        <v/>
      </c>
    </row>
    <row r="80" customFormat="false" ht="15" hidden="false" customHeight="false" outlineLevel="0" collapsed="false">
      <c r="A80" s="2" t="n">
        <v>74</v>
      </c>
      <c r="B80" s="15" t="n">
        <f aca="false">INT(A80/151)</f>
        <v>0</v>
      </c>
      <c r="C80" s="15" t="n">
        <f aca="false">MOD(A80,151)</f>
        <v>74</v>
      </c>
      <c r="D80" s="15" t="n">
        <f aca="false">INDEX(Grid!$J$6:$P$156,C80+1,B80+1)</f>
        <v>1</v>
      </c>
      <c r="E80" s="16" t="n">
        <f aca="false">IF(D80=1,INDEX(Grid!$B$6:$H$156,C80+1,B80+1),"")</f>
        <v>69.0909090909091</v>
      </c>
      <c r="F80" s="13" t="n">
        <f aca="false">Val_pt*(Ceiling_e-E_zero)*(1-(1-Half_gap)^B80)</f>
        <v>0</v>
      </c>
      <c r="G80" s="15" t="n">
        <f aca="false">C80</f>
        <v>74</v>
      </c>
      <c r="H80" s="15" t="n">
        <f aca="false">IF(D80=1,INDEX(Grid!$R$6:$X$156,C80+1,B80+1),"")</f>
        <v>0</v>
      </c>
      <c r="I80" s="2" t="str">
        <f aca="false">IF(D80=1,INDEX(Sch_label,H80+1),"")</f>
        <v>none</v>
      </c>
      <c r="J80" s="15" t="n">
        <f aca="false">IF(D80=1,INDEX(Grid!$Z$6:$AF$156,C80+1,B80+1),0)</f>
        <v>0</v>
      </c>
      <c r="K80" s="16" t="n">
        <f aca="false">IF(J80=1,E80,0)</f>
        <v>0</v>
      </c>
      <c r="L80" s="17" t="n">
        <f aca="false">IF(D80=1,E80+W_board*F80,"")</f>
        <v>69.0909090909091</v>
      </c>
      <c r="Z80" s="12" t="str">
        <f aca="false">IF(AND($J80=1,$M80=1),N80*E80/Span_P+O80*F80/Span_S+P80*G80/Span_B,"")</f>
        <v/>
      </c>
      <c r="AA80" s="12" t="str">
        <f aca="false">IF(AND($J80=1,$M80=1),SUMPRODUCT(MAX($J$6:$J$1062*(N80*$K$6:$K$1062/Span_P+O80*$F$6:$F$1062/Span_S+P80*$G$6:$G$1062/Span_B)-(1-$J$6:$J$1062)*1000000000)),"")</f>
        <v/>
      </c>
      <c r="AB80" s="15" t="str">
        <f aca="false">IF(AND($J80=1,$M80=1),IF(AA80-Z80&lt;=0.000000001,1,0),"")</f>
        <v/>
      </c>
      <c r="AC80" s="13" t="str">
        <f aca="false">IF(AND($J80=1,$M80=0),IF(S80="",0,S80*INDEX(Grid!$B$6:$H$156,R80+1,Q80+1))+IF(V80="",0,V80*INDEX(Grid!$B$6:$H$156,U80+1,T80+1))+IF(Y80="",0,Y80*INDEX(Grid!$B$6:$H$156,X80+1,W80+1)),"")</f>
        <v/>
      </c>
      <c r="AD80" s="13" t="str">
        <f aca="false">IF(AND($J80=1,$M80=0),IF(S80="",0,S80*Val_pt*(Ceiling_e-E_zero)*(1-(1-Half_gap)^Q80))+IF(V80="",0,V80*Val_pt*(Ceiling_e-E_zero)*(1-(1-Half_gap)^T80))+IF(Y80="",0,Y80*Val_pt*(Ceiling_e-E_zero)*(1-(1-Half_gap)^W80)),"")</f>
        <v/>
      </c>
      <c r="AE80" s="13" t="str">
        <f aca="false">IF(AND($J80=1,$M80=0),IF(S80="",0,S80*R80)+IF(V80="",0,V80*U80)+IF(Y80="",0,Y80*X80),"")</f>
        <v/>
      </c>
      <c r="AF80" s="12" t="str">
        <f aca="false">IF(AND($J80=1,$M80=0),MIN((AC80-E80)/Span_P,(AD80-F80)/Span_S,(AE80-G80)/Span_B),"")</f>
        <v/>
      </c>
      <c r="AG80" s="15" t="str">
        <f aca="false">IF(AND($J80=1,$M80=0),IF(AF80&gt;0.0000001,1,0),"")</f>
        <v/>
      </c>
      <c r="AH80" s="15" t="str">
        <f aca="false">IF($J80=1,IF($M80=1,AB80,AG80),"")</f>
        <v/>
      </c>
      <c r="AI80" s="13" t="str">
        <f aca="false">IF($J80=1,(Ideal_P-E80)/Span_P,"")</f>
        <v/>
      </c>
      <c r="AJ80" s="13" t="str">
        <f aca="false">IF($J80=1,(Ideal_S-F80)/Span_S,"")</f>
        <v/>
      </c>
      <c r="AK80" s="13" t="str">
        <f aca="false">IF($J80=1,(Ideal_B-G80)/Span_B,"")</f>
        <v/>
      </c>
      <c r="AL80" s="12" t="str">
        <f aca="false">IF($J80=1,MAX(ChA_1*AI80,ChA_2*AJ80,ChA_3*AK80)+Rho*(ChA_1*AI80+ChA_2*AJ80+ChA_3*AK80),"")</f>
        <v/>
      </c>
      <c r="AM80" s="12" t="str">
        <f aca="false">IF($J80=1,MAX(ChB_1*AI80,ChB_2*AJ80,ChB_3*AK80)+Rho*(ChB_1*AI80+ChB_2*AJ80+ChB_3*AK80),"")</f>
        <v/>
      </c>
      <c r="AN80" s="12" t="str">
        <f aca="false">IF($J80=1,MAX(Cx_1*(Ref_P-E80)/Span_P,Cx_2*(Ref_S-F80)/Span_S,Cx_3*(Ref_B-G80)/Span_B),"")</f>
        <v/>
      </c>
    </row>
    <row r="81" customFormat="false" ht="15" hidden="false" customHeight="false" outlineLevel="0" collapsed="false">
      <c r="A81" s="2" t="n">
        <v>75</v>
      </c>
      <c r="B81" s="15" t="n">
        <f aca="false">INT(A81/151)</f>
        <v>0</v>
      </c>
      <c r="C81" s="15" t="n">
        <f aca="false">MOD(A81,151)</f>
        <v>75</v>
      </c>
      <c r="D81" s="15" t="n">
        <f aca="false">INDEX(Grid!$J$6:$P$156,C81+1,B81+1)</f>
        <v>1</v>
      </c>
      <c r="E81" s="16" t="n">
        <f aca="false">IF(D81=1,INDEX(Grid!$B$6:$H$156,C81+1,B81+1),"")</f>
        <v>68.1818181818182</v>
      </c>
      <c r="F81" s="13" t="n">
        <f aca="false">Val_pt*(Ceiling_e-E_zero)*(1-(1-Half_gap)^B81)</f>
        <v>0</v>
      </c>
      <c r="G81" s="15" t="n">
        <f aca="false">C81</f>
        <v>75</v>
      </c>
      <c r="H81" s="15" t="n">
        <f aca="false">IF(D81=1,INDEX(Grid!$R$6:$X$156,C81+1,B81+1),"")</f>
        <v>0</v>
      </c>
      <c r="I81" s="2" t="str">
        <f aca="false">IF(D81=1,INDEX(Sch_label,H81+1),"")</f>
        <v>none</v>
      </c>
      <c r="J81" s="15" t="n">
        <f aca="false">IF(D81=1,INDEX(Grid!$Z$6:$AF$156,C81+1,B81+1),0)</f>
        <v>0</v>
      </c>
      <c r="K81" s="16" t="n">
        <f aca="false">IF(J81=1,E81,0)</f>
        <v>0</v>
      </c>
      <c r="L81" s="17" t="n">
        <f aca="false">IF(D81=1,E81+W_board*F81,"")</f>
        <v>68.1818181818182</v>
      </c>
      <c r="Z81" s="12" t="str">
        <f aca="false">IF(AND($J81=1,$M81=1),N81*E81/Span_P+O81*F81/Span_S+P81*G81/Span_B,"")</f>
        <v/>
      </c>
      <c r="AA81" s="12" t="str">
        <f aca="false">IF(AND($J81=1,$M81=1),SUMPRODUCT(MAX($J$6:$J$1062*(N81*$K$6:$K$1062/Span_P+O81*$F$6:$F$1062/Span_S+P81*$G$6:$G$1062/Span_B)-(1-$J$6:$J$1062)*1000000000)),"")</f>
        <v/>
      </c>
      <c r="AB81" s="15" t="str">
        <f aca="false">IF(AND($J81=1,$M81=1),IF(AA81-Z81&lt;=0.000000001,1,0),"")</f>
        <v/>
      </c>
      <c r="AC81" s="13" t="str">
        <f aca="false">IF(AND($J81=1,$M81=0),IF(S81="",0,S81*INDEX(Grid!$B$6:$H$156,R81+1,Q81+1))+IF(V81="",0,V81*INDEX(Grid!$B$6:$H$156,U81+1,T81+1))+IF(Y81="",0,Y81*INDEX(Grid!$B$6:$H$156,X81+1,W81+1)),"")</f>
        <v/>
      </c>
      <c r="AD81" s="13" t="str">
        <f aca="false">IF(AND($J81=1,$M81=0),IF(S81="",0,S81*Val_pt*(Ceiling_e-E_zero)*(1-(1-Half_gap)^Q81))+IF(V81="",0,V81*Val_pt*(Ceiling_e-E_zero)*(1-(1-Half_gap)^T81))+IF(Y81="",0,Y81*Val_pt*(Ceiling_e-E_zero)*(1-(1-Half_gap)^W81)),"")</f>
        <v/>
      </c>
      <c r="AE81" s="13" t="str">
        <f aca="false">IF(AND($J81=1,$M81=0),IF(S81="",0,S81*R81)+IF(V81="",0,V81*U81)+IF(Y81="",0,Y81*X81),"")</f>
        <v/>
      </c>
      <c r="AF81" s="12" t="str">
        <f aca="false">IF(AND($J81=1,$M81=0),MIN((AC81-E81)/Span_P,(AD81-F81)/Span_S,(AE81-G81)/Span_B),"")</f>
        <v/>
      </c>
      <c r="AG81" s="15" t="str">
        <f aca="false">IF(AND($J81=1,$M81=0),IF(AF81&gt;0.0000001,1,0),"")</f>
        <v/>
      </c>
      <c r="AH81" s="15" t="str">
        <f aca="false">IF($J81=1,IF($M81=1,AB81,AG81),"")</f>
        <v/>
      </c>
      <c r="AI81" s="13" t="str">
        <f aca="false">IF($J81=1,(Ideal_P-E81)/Span_P,"")</f>
        <v/>
      </c>
      <c r="AJ81" s="13" t="str">
        <f aca="false">IF($J81=1,(Ideal_S-F81)/Span_S,"")</f>
        <v/>
      </c>
      <c r="AK81" s="13" t="str">
        <f aca="false">IF($J81=1,(Ideal_B-G81)/Span_B,"")</f>
        <v/>
      </c>
      <c r="AL81" s="12" t="str">
        <f aca="false">IF($J81=1,MAX(ChA_1*AI81,ChA_2*AJ81,ChA_3*AK81)+Rho*(ChA_1*AI81+ChA_2*AJ81+ChA_3*AK81),"")</f>
        <v/>
      </c>
      <c r="AM81" s="12" t="str">
        <f aca="false">IF($J81=1,MAX(ChB_1*AI81,ChB_2*AJ81,ChB_3*AK81)+Rho*(ChB_1*AI81+ChB_2*AJ81+ChB_3*AK81),"")</f>
        <v/>
      </c>
      <c r="AN81" s="12" t="str">
        <f aca="false">IF($J81=1,MAX(Cx_1*(Ref_P-E81)/Span_P,Cx_2*(Ref_S-F81)/Span_S,Cx_3*(Ref_B-G81)/Span_B),"")</f>
        <v/>
      </c>
    </row>
    <row r="82" customFormat="false" ht="15" hidden="false" customHeight="false" outlineLevel="0" collapsed="false">
      <c r="A82" s="2" t="n">
        <v>76</v>
      </c>
      <c r="B82" s="15" t="n">
        <f aca="false">INT(A82/151)</f>
        <v>0</v>
      </c>
      <c r="C82" s="15" t="n">
        <f aca="false">MOD(A82,151)</f>
        <v>76</v>
      </c>
      <c r="D82" s="15" t="n">
        <f aca="false">INDEX(Grid!$J$6:$P$156,C82+1,B82+1)</f>
        <v>1</v>
      </c>
      <c r="E82" s="16" t="n">
        <f aca="false">IF(D82=1,INDEX(Grid!$B$6:$H$156,C82+1,B82+1),"")</f>
        <v>67.2727272727273</v>
      </c>
      <c r="F82" s="13" t="n">
        <f aca="false">Val_pt*(Ceiling_e-E_zero)*(1-(1-Half_gap)^B82)</f>
        <v>0</v>
      </c>
      <c r="G82" s="15" t="n">
        <f aca="false">C82</f>
        <v>76</v>
      </c>
      <c r="H82" s="15" t="n">
        <f aca="false">IF(D82=1,INDEX(Grid!$R$6:$X$156,C82+1,B82+1),"")</f>
        <v>0</v>
      </c>
      <c r="I82" s="2" t="str">
        <f aca="false">IF(D82=1,INDEX(Sch_label,H82+1),"")</f>
        <v>none</v>
      </c>
      <c r="J82" s="15" t="n">
        <f aca="false">IF(D82=1,INDEX(Grid!$Z$6:$AF$156,C82+1,B82+1),0)</f>
        <v>0</v>
      </c>
      <c r="K82" s="16" t="n">
        <f aca="false">IF(J82=1,E82,0)</f>
        <v>0</v>
      </c>
      <c r="L82" s="17" t="n">
        <f aca="false">IF(D82=1,E82+W_board*F82,"")</f>
        <v>67.2727272727273</v>
      </c>
      <c r="Z82" s="12" t="str">
        <f aca="false">IF(AND($J82=1,$M82=1),N82*E82/Span_P+O82*F82/Span_S+P82*G82/Span_B,"")</f>
        <v/>
      </c>
      <c r="AA82" s="12" t="str">
        <f aca="false">IF(AND($J82=1,$M82=1),SUMPRODUCT(MAX($J$6:$J$1062*(N82*$K$6:$K$1062/Span_P+O82*$F$6:$F$1062/Span_S+P82*$G$6:$G$1062/Span_B)-(1-$J$6:$J$1062)*1000000000)),"")</f>
        <v/>
      </c>
      <c r="AB82" s="15" t="str">
        <f aca="false">IF(AND($J82=1,$M82=1),IF(AA82-Z82&lt;=0.000000001,1,0),"")</f>
        <v/>
      </c>
      <c r="AC82" s="13" t="str">
        <f aca="false">IF(AND($J82=1,$M82=0),IF(S82="",0,S82*INDEX(Grid!$B$6:$H$156,R82+1,Q82+1))+IF(V82="",0,V82*INDEX(Grid!$B$6:$H$156,U82+1,T82+1))+IF(Y82="",0,Y82*INDEX(Grid!$B$6:$H$156,X82+1,W82+1)),"")</f>
        <v/>
      </c>
      <c r="AD82" s="13" t="str">
        <f aca="false">IF(AND($J82=1,$M82=0),IF(S82="",0,S82*Val_pt*(Ceiling_e-E_zero)*(1-(1-Half_gap)^Q82))+IF(V82="",0,V82*Val_pt*(Ceiling_e-E_zero)*(1-(1-Half_gap)^T82))+IF(Y82="",0,Y82*Val_pt*(Ceiling_e-E_zero)*(1-(1-Half_gap)^W82)),"")</f>
        <v/>
      </c>
      <c r="AE82" s="13" t="str">
        <f aca="false">IF(AND($J82=1,$M82=0),IF(S82="",0,S82*R82)+IF(V82="",0,V82*U82)+IF(Y82="",0,Y82*X82),"")</f>
        <v/>
      </c>
      <c r="AF82" s="12" t="str">
        <f aca="false">IF(AND($J82=1,$M82=0),MIN((AC82-E82)/Span_P,(AD82-F82)/Span_S,(AE82-G82)/Span_B),"")</f>
        <v/>
      </c>
      <c r="AG82" s="15" t="str">
        <f aca="false">IF(AND($J82=1,$M82=0),IF(AF82&gt;0.0000001,1,0),"")</f>
        <v/>
      </c>
      <c r="AH82" s="15" t="str">
        <f aca="false">IF($J82=1,IF($M82=1,AB82,AG82),"")</f>
        <v/>
      </c>
      <c r="AI82" s="13" t="str">
        <f aca="false">IF($J82=1,(Ideal_P-E82)/Span_P,"")</f>
        <v/>
      </c>
      <c r="AJ82" s="13" t="str">
        <f aca="false">IF($J82=1,(Ideal_S-F82)/Span_S,"")</f>
        <v/>
      </c>
      <c r="AK82" s="13" t="str">
        <f aca="false">IF($J82=1,(Ideal_B-G82)/Span_B,"")</f>
        <v/>
      </c>
      <c r="AL82" s="12" t="str">
        <f aca="false">IF($J82=1,MAX(ChA_1*AI82,ChA_2*AJ82,ChA_3*AK82)+Rho*(ChA_1*AI82+ChA_2*AJ82+ChA_3*AK82),"")</f>
        <v/>
      </c>
      <c r="AM82" s="12" t="str">
        <f aca="false">IF($J82=1,MAX(ChB_1*AI82,ChB_2*AJ82,ChB_3*AK82)+Rho*(ChB_1*AI82+ChB_2*AJ82+ChB_3*AK82),"")</f>
        <v/>
      </c>
      <c r="AN82" s="12" t="str">
        <f aca="false">IF($J82=1,MAX(Cx_1*(Ref_P-E82)/Span_P,Cx_2*(Ref_S-F82)/Span_S,Cx_3*(Ref_B-G82)/Span_B),"")</f>
        <v/>
      </c>
    </row>
    <row r="83" customFormat="false" ht="15" hidden="false" customHeight="false" outlineLevel="0" collapsed="false">
      <c r="A83" s="2" t="n">
        <v>77</v>
      </c>
      <c r="B83" s="15" t="n">
        <f aca="false">INT(A83/151)</f>
        <v>0</v>
      </c>
      <c r="C83" s="15" t="n">
        <f aca="false">MOD(A83,151)</f>
        <v>77</v>
      </c>
      <c r="D83" s="15" t="n">
        <f aca="false">INDEX(Grid!$J$6:$P$156,C83+1,B83+1)</f>
        <v>1</v>
      </c>
      <c r="E83" s="16" t="n">
        <f aca="false">IF(D83=1,INDEX(Grid!$B$6:$H$156,C83+1,B83+1),"")</f>
        <v>66.3636363636364</v>
      </c>
      <c r="F83" s="13" t="n">
        <f aca="false">Val_pt*(Ceiling_e-E_zero)*(1-(1-Half_gap)^B83)</f>
        <v>0</v>
      </c>
      <c r="G83" s="15" t="n">
        <f aca="false">C83</f>
        <v>77</v>
      </c>
      <c r="H83" s="15" t="n">
        <f aca="false">IF(D83=1,INDEX(Grid!$R$6:$X$156,C83+1,B83+1),"")</f>
        <v>0</v>
      </c>
      <c r="I83" s="2" t="str">
        <f aca="false">IF(D83=1,INDEX(Sch_label,H83+1),"")</f>
        <v>none</v>
      </c>
      <c r="J83" s="15" t="n">
        <f aca="false">IF(D83=1,INDEX(Grid!$Z$6:$AF$156,C83+1,B83+1),0)</f>
        <v>0</v>
      </c>
      <c r="K83" s="16" t="n">
        <f aca="false">IF(J83=1,E83,0)</f>
        <v>0</v>
      </c>
      <c r="L83" s="17" t="n">
        <f aca="false">IF(D83=1,E83+W_board*F83,"")</f>
        <v>66.3636363636364</v>
      </c>
      <c r="Z83" s="12" t="str">
        <f aca="false">IF(AND($J83=1,$M83=1),N83*E83/Span_P+O83*F83/Span_S+P83*G83/Span_B,"")</f>
        <v/>
      </c>
      <c r="AA83" s="12" t="str">
        <f aca="false">IF(AND($J83=1,$M83=1),SUMPRODUCT(MAX($J$6:$J$1062*(N83*$K$6:$K$1062/Span_P+O83*$F$6:$F$1062/Span_S+P83*$G$6:$G$1062/Span_B)-(1-$J$6:$J$1062)*1000000000)),"")</f>
        <v/>
      </c>
      <c r="AB83" s="15" t="str">
        <f aca="false">IF(AND($J83=1,$M83=1),IF(AA83-Z83&lt;=0.000000001,1,0),"")</f>
        <v/>
      </c>
      <c r="AC83" s="13" t="str">
        <f aca="false">IF(AND($J83=1,$M83=0),IF(S83="",0,S83*INDEX(Grid!$B$6:$H$156,R83+1,Q83+1))+IF(V83="",0,V83*INDEX(Grid!$B$6:$H$156,U83+1,T83+1))+IF(Y83="",0,Y83*INDEX(Grid!$B$6:$H$156,X83+1,W83+1)),"")</f>
        <v/>
      </c>
      <c r="AD83" s="13" t="str">
        <f aca="false">IF(AND($J83=1,$M83=0),IF(S83="",0,S83*Val_pt*(Ceiling_e-E_zero)*(1-(1-Half_gap)^Q83))+IF(V83="",0,V83*Val_pt*(Ceiling_e-E_zero)*(1-(1-Half_gap)^T83))+IF(Y83="",0,Y83*Val_pt*(Ceiling_e-E_zero)*(1-(1-Half_gap)^W83)),"")</f>
        <v/>
      </c>
      <c r="AE83" s="13" t="str">
        <f aca="false">IF(AND($J83=1,$M83=0),IF(S83="",0,S83*R83)+IF(V83="",0,V83*U83)+IF(Y83="",0,Y83*X83),"")</f>
        <v/>
      </c>
      <c r="AF83" s="12" t="str">
        <f aca="false">IF(AND($J83=1,$M83=0),MIN((AC83-E83)/Span_P,(AD83-F83)/Span_S,(AE83-G83)/Span_B),"")</f>
        <v/>
      </c>
      <c r="AG83" s="15" t="str">
        <f aca="false">IF(AND($J83=1,$M83=0),IF(AF83&gt;0.0000001,1,0),"")</f>
        <v/>
      </c>
      <c r="AH83" s="15" t="str">
        <f aca="false">IF($J83=1,IF($M83=1,AB83,AG83),"")</f>
        <v/>
      </c>
      <c r="AI83" s="13" t="str">
        <f aca="false">IF($J83=1,(Ideal_P-E83)/Span_P,"")</f>
        <v/>
      </c>
      <c r="AJ83" s="13" t="str">
        <f aca="false">IF($J83=1,(Ideal_S-F83)/Span_S,"")</f>
        <v/>
      </c>
      <c r="AK83" s="13" t="str">
        <f aca="false">IF($J83=1,(Ideal_B-G83)/Span_B,"")</f>
        <v/>
      </c>
      <c r="AL83" s="12" t="str">
        <f aca="false">IF($J83=1,MAX(ChA_1*AI83,ChA_2*AJ83,ChA_3*AK83)+Rho*(ChA_1*AI83+ChA_2*AJ83+ChA_3*AK83),"")</f>
        <v/>
      </c>
      <c r="AM83" s="12" t="str">
        <f aca="false">IF($J83=1,MAX(ChB_1*AI83,ChB_2*AJ83,ChB_3*AK83)+Rho*(ChB_1*AI83+ChB_2*AJ83+ChB_3*AK83),"")</f>
        <v/>
      </c>
      <c r="AN83" s="12" t="str">
        <f aca="false">IF($J83=1,MAX(Cx_1*(Ref_P-E83)/Span_P,Cx_2*(Ref_S-F83)/Span_S,Cx_3*(Ref_B-G83)/Span_B),"")</f>
        <v/>
      </c>
    </row>
    <row r="84" customFormat="false" ht="15" hidden="false" customHeight="false" outlineLevel="0" collapsed="false">
      <c r="A84" s="2" t="n">
        <v>78</v>
      </c>
      <c r="B84" s="15" t="n">
        <f aca="false">INT(A84/151)</f>
        <v>0</v>
      </c>
      <c r="C84" s="15" t="n">
        <f aca="false">MOD(A84,151)</f>
        <v>78</v>
      </c>
      <c r="D84" s="15" t="n">
        <f aca="false">INDEX(Grid!$J$6:$P$156,C84+1,B84+1)</f>
        <v>1</v>
      </c>
      <c r="E84" s="16" t="n">
        <f aca="false">IF(D84=1,INDEX(Grid!$B$6:$H$156,C84+1,B84+1),"")</f>
        <v>65.4545454545454</v>
      </c>
      <c r="F84" s="13" t="n">
        <f aca="false">Val_pt*(Ceiling_e-E_zero)*(1-(1-Half_gap)^B84)</f>
        <v>0</v>
      </c>
      <c r="G84" s="15" t="n">
        <f aca="false">C84</f>
        <v>78</v>
      </c>
      <c r="H84" s="15" t="n">
        <f aca="false">IF(D84=1,INDEX(Grid!$R$6:$X$156,C84+1,B84+1),"")</f>
        <v>0</v>
      </c>
      <c r="I84" s="2" t="str">
        <f aca="false">IF(D84=1,INDEX(Sch_label,H84+1),"")</f>
        <v>none</v>
      </c>
      <c r="J84" s="15" t="n">
        <f aca="false">IF(D84=1,INDEX(Grid!$Z$6:$AF$156,C84+1,B84+1),0)</f>
        <v>0</v>
      </c>
      <c r="K84" s="16" t="n">
        <f aca="false">IF(J84=1,E84,0)</f>
        <v>0</v>
      </c>
      <c r="L84" s="17" t="n">
        <f aca="false">IF(D84=1,E84+W_board*F84,"")</f>
        <v>65.4545454545454</v>
      </c>
      <c r="Z84" s="12" t="str">
        <f aca="false">IF(AND($J84=1,$M84=1),N84*E84/Span_P+O84*F84/Span_S+P84*G84/Span_B,"")</f>
        <v/>
      </c>
      <c r="AA84" s="12" t="str">
        <f aca="false">IF(AND($J84=1,$M84=1),SUMPRODUCT(MAX($J$6:$J$1062*(N84*$K$6:$K$1062/Span_P+O84*$F$6:$F$1062/Span_S+P84*$G$6:$G$1062/Span_B)-(1-$J$6:$J$1062)*1000000000)),"")</f>
        <v/>
      </c>
      <c r="AB84" s="15" t="str">
        <f aca="false">IF(AND($J84=1,$M84=1),IF(AA84-Z84&lt;=0.000000001,1,0),"")</f>
        <v/>
      </c>
      <c r="AC84" s="13" t="str">
        <f aca="false">IF(AND($J84=1,$M84=0),IF(S84="",0,S84*INDEX(Grid!$B$6:$H$156,R84+1,Q84+1))+IF(V84="",0,V84*INDEX(Grid!$B$6:$H$156,U84+1,T84+1))+IF(Y84="",0,Y84*INDEX(Grid!$B$6:$H$156,X84+1,W84+1)),"")</f>
        <v/>
      </c>
      <c r="AD84" s="13" t="str">
        <f aca="false">IF(AND($J84=1,$M84=0),IF(S84="",0,S84*Val_pt*(Ceiling_e-E_zero)*(1-(1-Half_gap)^Q84))+IF(V84="",0,V84*Val_pt*(Ceiling_e-E_zero)*(1-(1-Half_gap)^T84))+IF(Y84="",0,Y84*Val_pt*(Ceiling_e-E_zero)*(1-(1-Half_gap)^W84)),"")</f>
        <v/>
      </c>
      <c r="AE84" s="13" t="str">
        <f aca="false">IF(AND($J84=1,$M84=0),IF(S84="",0,S84*R84)+IF(V84="",0,V84*U84)+IF(Y84="",0,Y84*X84),"")</f>
        <v/>
      </c>
      <c r="AF84" s="12" t="str">
        <f aca="false">IF(AND($J84=1,$M84=0),MIN((AC84-E84)/Span_P,(AD84-F84)/Span_S,(AE84-G84)/Span_B),"")</f>
        <v/>
      </c>
      <c r="AG84" s="15" t="str">
        <f aca="false">IF(AND($J84=1,$M84=0),IF(AF84&gt;0.0000001,1,0),"")</f>
        <v/>
      </c>
      <c r="AH84" s="15" t="str">
        <f aca="false">IF($J84=1,IF($M84=1,AB84,AG84),"")</f>
        <v/>
      </c>
      <c r="AI84" s="13" t="str">
        <f aca="false">IF($J84=1,(Ideal_P-E84)/Span_P,"")</f>
        <v/>
      </c>
      <c r="AJ84" s="13" t="str">
        <f aca="false">IF($J84=1,(Ideal_S-F84)/Span_S,"")</f>
        <v/>
      </c>
      <c r="AK84" s="13" t="str">
        <f aca="false">IF($J84=1,(Ideal_B-G84)/Span_B,"")</f>
        <v/>
      </c>
      <c r="AL84" s="12" t="str">
        <f aca="false">IF($J84=1,MAX(ChA_1*AI84,ChA_2*AJ84,ChA_3*AK84)+Rho*(ChA_1*AI84+ChA_2*AJ84+ChA_3*AK84),"")</f>
        <v/>
      </c>
      <c r="AM84" s="12" t="str">
        <f aca="false">IF($J84=1,MAX(ChB_1*AI84,ChB_2*AJ84,ChB_3*AK84)+Rho*(ChB_1*AI84+ChB_2*AJ84+ChB_3*AK84),"")</f>
        <v/>
      </c>
      <c r="AN84" s="12" t="str">
        <f aca="false">IF($J84=1,MAX(Cx_1*(Ref_P-E84)/Span_P,Cx_2*(Ref_S-F84)/Span_S,Cx_3*(Ref_B-G84)/Span_B),"")</f>
        <v/>
      </c>
    </row>
    <row r="85" customFormat="false" ht="15" hidden="false" customHeight="false" outlineLevel="0" collapsed="false">
      <c r="A85" s="2" t="n">
        <v>79</v>
      </c>
      <c r="B85" s="15" t="n">
        <f aca="false">INT(A85/151)</f>
        <v>0</v>
      </c>
      <c r="C85" s="15" t="n">
        <f aca="false">MOD(A85,151)</f>
        <v>79</v>
      </c>
      <c r="D85" s="15" t="n">
        <f aca="false">INDEX(Grid!$J$6:$P$156,C85+1,B85+1)</f>
        <v>1</v>
      </c>
      <c r="E85" s="16" t="n">
        <f aca="false">IF(D85=1,INDEX(Grid!$B$6:$H$156,C85+1,B85+1),"")</f>
        <v>64.5454545454545</v>
      </c>
      <c r="F85" s="13" t="n">
        <f aca="false">Val_pt*(Ceiling_e-E_zero)*(1-(1-Half_gap)^B85)</f>
        <v>0</v>
      </c>
      <c r="G85" s="15" t="n">
        <f aca="false">C85</f>
        <v>79</v>
      </c>
      <c r="H85" s="15" t="n">
        <f aca="false">IF(D85=1,INDEX(Grid!$R$6:$X$156,C85+1,B85+1),"")</f>
        <v>0</v>
      </c>
      <c r="I85" s="2" t="str">
        <f aca="false">IF(D85=1,INDEX(Sch_label,H85+1),"")</f>
        <v>none</v>
      </c>
      <c r="J85" s="15" t="n">
        <f aca="false">IF(D85=1,INDEX(Grid!$Z$6:$AF$156,C85+1,B85+1),0)</f>
        <v>0</v>
      </c>
      <c r="K85" s="16" t="n">
        <f aca="false">IF(J85=1,E85,0)</f>
        <v>0</v>
      </c>
      <c r="L85" s="17" t="n">
        <f aca="false">IF(D85=1,E85+W_board*F85,"")</f>
        <v>64.5454545454545</v>
      </c>
      <c r="Z85" s="12" t="str">
        <f aca="false">IF(AND($J85=1,$M85=1),N85*E85/Span_P+O85*F85/Span_S+P85*G85/Span_B,"")</f>
        <v/>
      </c>
      <c r="AA85" s="12" t="str">
        <f aca="false">IF(AND($J85=1,$M85=1),SUMPRODUCT(MAX($J$6:$J$1062*(N85*$K$6:$K$1062/Span_P+O85*$F$6:$F$1062/Span_S+P85*$G$6:$G$1062/Span_B)-(1-$J$6:$J$1062)*1000000000)),"")</f>
        <v/>
      </c>
      <c r="AB85" s="15" t="str">
        <f aca="false">IF(AND($J85=1,$M85=1),IF(AA85-Z85&lt;=0.000000001,1,0),"")</f>
        <v/>
      </c>
      <c r="AC85" s="13" t="str">
        <f aca="false">IF(AND($J85=1,$M85=0),IF(S85="",0,S85*INDEX(Grid!$B$6:$H$156,R85+1,Q85+1))+IF(V85="",0,V85*INDEX(Grid!$B$6:$H$156,U85+1,T85+1))+IF(Y85="",0,Y85*INDEX(Grid!$B$6:$H$156,X85+1,W85+1)),"")</f>
        <v/>
      </c>
      <c r="AD85" s="13" t="str">
        <f aca="false">IF(AND($J85=1,$M85=0),IF(S85="",0,S85*Val_pt*(Ceiling_e-E_zero)*(1-(1-Half_gap)^Q85))+IF(V85="",0,V85*Val_pt*(Ceiling_e-E_zero)*(1-(1-Half_gap)^T85))+IF(Y85="",0,Y85*Val_pt*(Ceiling_e-E_zero)*(1-(1-Half_gap)^W85)),"")</f>
        <v/>
      </c>
      <c r="AE85" s="13" t="str">
        <f aca="false">IF(AND($J85=1,$M85=0),IF(S85="",0,S85*R85)+IF(V85="",0,V85*U85)+IF(Y85="",0,Y85*X85),"")</f>
        <v/>
      </c>
      <c r="AF85" s="12" t="str">
        <f aca="false">IF(AND($J85=1,$M85=0),MIN((AC85-E85)/Span_P,(AD85-F85)/Span_S,(AE85-G85)/Span_B),"")</f>
        <v/>
      </c>
      <c r="AG85" s="15" t="str">
        <f aca="false">IF(AND($J85=1,$M85=0),IF(AF85&gt;0.0000001,1,0),"")</f>
        <v/>
      </c>
      <c r="AH85" s="15" t="str">
        <f aca="false">IF($J85=1,IF($M85=1,AB85,AG85),"")</f>
        <v/>
      </c>
      <c r="AI85" s="13" t="str">
        <f aca="false">IF($J85=1,(Ideal_P-E85)/Span_P,"")</f>
        <v/>
      </c>
      <c r="AJ85" s="13" t="str">
        <f aca="false">IF($J85=1,(Ideal_S-F85)/Span_S,"")</f>
        <v/>
      </c>
      <c r="AK85" s="13" t="str">
        <f aca="false">IF($J85=1,(Ideal_B-G85)/Span_B,"")</f>
        <v/>
      </c>
      <c r="AL85" s="12" t="str">
        <f aca="false">IF($J85=1,MAX(ChA_1*AI85,ChA_2*AJ85,ChA_3*AK85)+Rho*(ChA_1*AI85+ChA_2*AJ85+ChA_3*AK85),"")</f>
        <v/>
      </c>
      <c r="AM85" s="12" t="str">
        <f aca="false">IF($J85=1,MAX(ChB_1*AI85,ChB_2*AJ85,ChB_3*AK85)+Rho*(ChB_1*AI85+ChB_2*AJ85+ChB_3*AK85),"")</f>
        <v/>
      </c>
      <c r="AN85" s="12" t="str">
        <f aca="false">IF($J85=1,MAX(Cx_1*(Ref_P-E85)/Span_P,Cx_2*(Ref_S-F85)/Span_S,Cx_3*(Ref_B-G85)/Span_B),"")</f>
        <v/>
      </c>
    </row>
    <row r="86" customFormat="false" ht="15" hidden="false" customHeight="false" outlineLevel="0" collapsed="false">
      <c r="A86" s="2" t="n">
        <v>80</v>
      </c>
      <c r="B86" s="15" t="n">
        <f aca="false">INT(A86/151)</f>
        <v>0</v>
      </c>
      <c r="C86" s="15" t="n">
        <f aca="false">MOD(A86,151)</f>
        <v>80</v>
      </c>
      <c r="D86" s="15" t="n">
        <f aca="false">INDEX(Grid!$J$6:$P$156,C86+1,B86+1)</f>
        <v>1</v>
      </c>
      <c r="E86" s="16" t="n">
        <f aca="false">IF(D86=1,INDEX(Grid!$B$6:$H$156,C86+1,B86+1),"")</f>
        <v>63.6363636363636</v>
      </c>
      <c r="F86" s="13" t="n">
        <f aca="false">Val_pt*(Ceiling_e-E_zero)*(1-(1-Half_gap)^B86)</f>
        <v>0</v>
      </c>
      <c r="G86" s="15" t="n">
        <f aca="false">C86</f>
        <v>80</v>
      </c>
      <c r="H86" s="15" t="n">
        <f aca="false">IF(D86=1,INDEX(Grid!$R$6:$X$156,C86+1,B86+1),"")</f>
        <v>0</v>
      </c>
      <c r="I86" s="2" t="str">
        <f aca="false">IF(D86=1,INDEX(Sch_label,H86+1),"")</f>
        <v>none</v>
      </c>
      <c r="J86" s="15" t="n">
        <f aca="false">IF(D86=1,INDEX(Grid!$Z$6:$AF$156,C86+1,B86+1),0)</f>
        <v>0</v>
      </c>
      <c r="K86" s="16" t="n">
        <f aca="false">IF(J86=1,E86,0)</f>
        <v>0</v>
      </c>
      <c r="L86" s="17" t="n">
        <f aca="false">IF(D86=1,E86+W_board*F86,"")</f>
        <v>63.6363636363636</v>
      </c>
      <c r="Z86" s="12" t="str">
        <f aca="false">IF(AND($J86=1,$M86=1),N86*E86/Span_P+O86*F86/Span_S+P86*G86/Span_B,"")</f>
        <v/>
      </c>
      <c r="AA86" s="12" t="str">
        <f aca="false">IF(AND($J86=1,$M86=1),SUMPRODUCT(MAX($J$6:$J$1062*(N86*$K$6:$K$1062/Span_P+O86*$F$6:$F$1062/Span_S+P86*$G$6:$G$1062/Span_B)-(1-$J$6:$J$1062)*1000000000)),"")</f>
        <v/>
      </c>
      <c r="AB86" s="15" t="str">
        <f aca="false">IF(AND($J86=1,$M86=1),IF(AA86-Z86&lt;=0.000000001,1,0),"")</f>
        <v/>
      </c>
      <c r="AC86" s="13" t="str">
        <f aca="false">IF(AND($J86=1,$M86=0),IF(S86="",0,S86*INDEX(Grid!$B$6:$H$156,R86+1,Q86+1))+IF(V86="",0,V86*INDEX(Grid!$B$6:$H$156,U86+1,T86+1))+IF(Y86="",0,Y86*INDEX(Grid!$B$6:$H$156,X86+1,W86+1)),"")</f>
        <v/>
      </c>
      <c r="AD86" s="13" t="str">
        <f aca="false">IF(AND($J86=1,$M86=0),IF(S86="",0,S86*Val_pt*(Ceiling_e-E_zero)*(1-(1-Half_gap)^Q86))+IF(V86="",0,V86*Val_pt*(Ceiling_e-E_zero)*(1-(1-Half_gap)^T86))+IF(Y86="",0,Y86*Val_pt*(Ceiling_e-E_zero)*(1-(1-Half_gap)^W86)),"")</f>
        <v/>
      </c>
      <c r="AE86" s="13" t="str">
        <f aca="false">IF(AND($J86=1,$M86=0),IF(S86="",0,S86*R86)+IF(V86="",0,V86*U86)+IF(Y86="",0,Y86*X86),"")</f>
        <v/>
      </c>
      <c r="AF86" s="12" t="str">
        <f aca="false">IF(AND($J86=1,$M86=0),MIN((AC86-E86)/Span_P,(AD86-F86)/Span_S,(AE86-G86)/Span_B),"")</f>
        <v/>
      </c>
      <c r="AG86" s="15" t="str">
        <f aca="false">IF(AND($J86=1,$M86=0),IF(AF86&gt;0.0000001,1,0),"")</f>
        <v/>
      </c>
      <c r="AH86" s="15" t="str">
        <f aca="false">IF($J86=1,IF($M86=1,AB86,AG86),"")</f>
        <v/>
      </c>
      <c r="AI86" s="13" t="str">
        <f aca="false">IF($J86=1,(Ideal_P-E86)/Span_P,"")</f>
        <v/>
      </c>
      <c r="AJ86" s="13" t="str">
        <f aca="false">IF($J86=1,(Ideal_S-F86)/Span_S,"")</f>
        <v/>
      </c>
      <c r="AK86" s="13" t="str">
        <f aca="false">IF($J86=1,(Ideal_B-G86)/Span_B,"")</f>
        <v/>
      </c>
      <c r="AL86" s="12" t="str">
        <f aca="false">IF($J86=1,MAX(ChA_1*AI86,ChA_2*AJ86,ChA_3*AK86)+Rho*(ChA_1*AI86+ChA_2*AJ86+ChA_3*AK86),"")</f>
        <v/>
      </c>
      <c r="AM86" s="12" t="str">
        <f aca="false">IF($J86=1,MAX(ChB_1*AI86,ChB_2*AJ86,ChB_3*AK86)+Rho*(ChB_1*AI86+ChB_2*AJ86+ChB_3*AK86),"")</f>
        <v/>
      </c>
      <c r="AN86" s="12" t="str">
        <f aca="false">IF($J86=1,MAX(Cx_1*(Ref_P-E86)/Span_P,Cx_2*(Ref_S-F86)/Span_S,Cx_3*(Ref_B-G86)/Span_B),"")</f>
        <v/>
      </c>
    </row>
    <row r="87" customFormat="false" ht="15" hidden="false" customHeight="false" outlineLevel="0" collapsed="false">
      <c r="A87" s="2" t="n">
        <v>81</v>
      </c>
      <c r="B87" s="15" t="n">
        <f aca="false">INT(A87/151)</f>
        <v>0</v>
      </c>
      <c r="C87" s="15" t="n">
        <f aca="false">MOD(A87,151)</f>
        <v>81</v>
      </c>
      <c r="D87" s="15" t="n">
        <f aca="false">INDEX(Grid!$J$6:$P$156,C87+1,B87+1)</f>
        <v>1</v>
      </c>
      <c r="E87" s="16" t="n">
        <f aca="false">IF(D87=1,INDEX(Grid!$B$6:$H$156,C87+1,B87+1),"")</f>
        <v>62.7272727272727</v>
      </c>
      <c r="F87" s="13" t="n">
        <f aca="false">Val_pt*(Ceiling_e-E_zero)*(1-(1-Half_gap)^B87)</f>
        <v>0</v>
      </c>
      <c r="G87" s="15" t="n">
        <f aca="false">C87</f>
        <v>81</v>
      </c>
      <c r="H87" s="15" t="n">
        <f aca="false">IF(D87=1,INDEX(Grid!$R$6:$X$156,C87+1,B87+1),"")</f>
        <v>0</v>
      </c>
      <c r="I87" s="2" t="str">
        <f aca="false">IF(D87=1,INDEX(Sch_label,H87+1),"")</f>
        <v>none</v>
      </c>
      <c r="J87" s="15" t="n">
        <f aca="false">IF(D87=1,INDEX(Grid!$Z$6:$AF$156,C87+1,B87+1),0)</f>
        <v>0</v>
      </c>
      <c r="K87" s="16" t="n">
        <f aca="false">IF(J87=1,E87,0)</f>
        <v>0</v>
      </c>
      <c r="L87" s="17" t="n">
        <f aca="false">IF(D87=1,E87+W_board*F87,"")</f>
        <v>62.7272727272727</v>
      </c>
      <c r="Z87" s="12" t="str">
        <f aca="false">IF(AND($J87=1,$M87=1),N87*E87/Span_P+O87*F87/Span_S+P87*G87/Span_B,"")</f>
        <v/>
      </c>
      <c r="AA87" s="12" t="str">
        <f aca="false">IF(AND($J87=1,$M87=1),SUMPRODUCT(MAX($J$6:$J$1062*(N87*$K$6:$K$1062/Span_P+O87*$F$6:$F$1062/Span_S+P87*$G$6:$G$1062/Span_B)-(1-$J$6:$J$1062)*1000000000)),"")</f>
        <v/>
      </c>
      <c r="AB87" s="15" t="str">
        <f aca="false">IF(AND($J87=1,$M87=1),IF(AA87-Z87&lt;=0.000000001,1,0),"")</f>
        <v/>
      </c>
      <c r="AC87" s="13" t="str">
        <f aca="false">IF(AND($J87=1,$M87=0),IF(S87="",0,S87*INDEX(Grid!$B$6:$H$156,R87+1,Q87+1))+IF(V87="",0,V87*INDEX(Grid!$B$6:$H$156,U87+1,T87+1))+IF(Y87="",0,Y87*INDEX(Grid!$B$6:$H$156,X87+1,W87+1)),"")</f>
        <v/>
      </c>
      <c r="AD87" s="13" t="str">
        <f aca="false">IF(AND($J87=1,$M87=0),IF(S87="",0,S87*Val_pt*(Ceiling_e-E_zero)*(1-(1-Half_gap)^Q87))+IF(V87="",0,V87*Val_pt*(Ceiling_e-E_zero)*(1-(1-Half_gap)^T87))+IF(Y87="",0,Y87*Val_pt*(Ceiling_e-E_zero)*(1-(1-Half_gap)^W87)),"")</f>
        <v/>
      </c>
      <c r="AE87" s="13" t="str">
        <f aca="false">IF(AND($J87=1,$M87=0),IF(S87="",0,S87*R87)+IF(V87="",0,V87*U87)+IF(Y87="",0,Y87*X87),"")</f>
        <v/>
      </c>
      <c r="AF87" s="12" t="str">
        <f aca="false">IF(AND($J87=1,$M87=0),MIN((AC87-E87)/Span_P,(AD87-F87)/Span_S,(AE87-G87)/Span_B),"")</f>
        <v/>
      </c>
      <c r="AG87" s="15" t="str">
        <f aca="false">IF(AND($J87=1,$M87=0),IF(AF87&gt;0.0000001,1,0),"")</f>
        <v/>
      </c>
      <c r="AH87" s="15" t="str">
        <f aca="false">IF($J87=1,IF($M87=1,AB87,AG87),"")</f>
        <v/>
      </c>
      <c r="AI87" s="13" t="str">
        <f aca="false">IF($J87=1,(Ideal_P-E87)/Span_P,"")</f>
        <v/>
      </c>
      <c r="AJ87" s="13" t="str">
        <f aca="false">IF($J87=1,(Ideal_S-F87)/Span_S,"")</f>
        <v/>
      </c>
      <c r="AK87" s="13" t="str">
        <f aca="false">IF($J87=1,(Ideal_B-G87)/Span_B,"")</f>
        <v/>
      </c>
      <c r="AL87" s="12" t="str">
        <f aca="false">IF($J87=1,MAX(ChA_1*AI87,ChA_2*AJ87,ChA_3*AK87)+Rho*(ChA_1*AI87+ChA_2*AJ87+ChA_3*AK87),"")</f>
        <v/>
      </c>
      <c r="AM87" s="12" t="str">
        <f aca="false">IF($J87=1,MAX(ChB_1*AI87,ChB_2*AJ87,ChB_3*AK87)+Rho*(ChB_1*AI87+ChB_2*AJ87+ChB_3*AK87),"")</f>
        <v/>
      </c>
      <c r="AN87" s="12" t="str">
        <f aca="false">IF($J87=1,MAX(Cx_1*(Ref_P-E87)/Span_P,Cx_2*(Ref_S-F87)/Span_S,Cx_3*(Ref_B-G87)/Span_B),"")</f>
        <v/>
      </c>
    </row>
    <row r="88" customFormat="false" ht="15" hidden="false" customHeight="false" outlineLevel="0" collapsed="false">
      <c r="A88" s="2" t="n">
        <v>82</v>
      </c>
      <c r="B88" s="15" t="n">
        <f aca="false">INT(A88/151)</f>
        <v>0</v>
      </c>
      <c r="C88" s="15" t="n">
        <f aca="false">MOD(A88,151)</f>
        <v>82</v>
      </c>
      <c r="D88" s="15" t="n">
        <f aca="false">INDEX(Grid!$J$6:$P$156,C88+1,B88+1)</f>
        <v>1</v>
      </c>
      <c r="E88" s="16" t="n">
        <f aca="false">IF(D88=1,INDEX(Grid!$B$6:$H$156,C88+1,B88+1),"")</f>
        <v>61.8181818181818</v>
      </c>
      <c r="F88" s="13" t="n">
        <f aca="false">Val_pt*(Ceiling_e-E_zero)*(1-(1-Half_gap)^B88)</f>
        <v>0</v>
      </c>
      <c r="G88" s="15" t="n">
        <f aca="false">C88</f>
        <v>82</v>
      </c>
      <c r="H88" s="15" t="n">
        <f aca="false">IF(D88=1,INDEX(Grid!$R$6:$X$156,C88+1,B88+1),"")</f>
        <v>0</v>
      </c>
      <c r="I88" s="2" t="str">
        <f aca="false">IF(D88=1,INDEX(Sch_label,H88+1),"")</f>
        <v>none</v>
      </c>
      <c r="J88" s="15" t="n">
        <f aca="false">IF(D88=1,INDEX(Grid!$Z$6:$AF$156,C88+1,B88+1),0)</f>
        <v>0</v>
      </c>
      <c r="K88" s="16" t="n">
        <f aca="false">IF(J88=1,E88,0)</f>
        <v>0</v>
      </c>
      <c r="L88" s="17" t="n">
        <f aca="false">IF(D88=1,E88+W_board*F88,"")</f>
        <v>61.8181818181818</v>
      </c>
      <c r="Z88" s="12" t="str">
        <f aca="false">IF(AND($J88=1,$M88=1),N88*E88/Span_P+O88*F88/Span_S+P88*G88/Span_B,"")</f>
        <v/>
      </c>
      <c r="AA88" s="12" t="str">
        <f aca="false">IF(AND($J88=1,$M88=1),SUMPRODUCT(MAX($J$6:$J$1062*(N88*$K$6:$K$1062/Span_P+O88*$F$6:$F$1062/Span_S+P88*$G$6:$G$1062/Span_B)-(1-$J$6:$J$1062)*1000000000)),"")</f>
        <v/>
      </c>
      <c r="AB88" s="15" t="str">
        <f aca="false">IF(AND($J88=1,$M88=1),IF(AA88-Z88&lt;=0.000000001,1,0),"")</f>
        <v/>
      </c>
      <c r="AC88" s="13" t="str">
        <f aca="false">IF(AND($J88=1,$M88=0),IF(S88="",0,S88*INDEX(Grid!$B$6:$H$156,R88+1,Q88+1))+IF(V88="",0,V88*INDEX(Grid!$B$6:$H$156,U88+1,T88+1))+IF(Y88="",0,Y88*INDEX(Grid!$B$6:$H$156,X88+1,W88+1)),"")</f>
        <v/>
      </c>
      <c r="AD88" s="13" t="str">
        <f aca="false">IF(AND($J88=1,$M88=0),IF(S88="",0,S88*Val_pt*(Ceiling_e-E_zero)*(1-(1-Half_gap)^Q88))+IF(V88="",0,V88*Val_pt*(Ceiling_e-E_zero)*(1-(1-Half_gap)^T88))+IF(Y88="",0,Y88*Val_pt*(Ceiling_e-E_zero)*(1-(1-Half_gap)^W88)),"")</f>
        <v/>
      </c>
      <c r="AE88" s="13" t="str">
        <f aca="false">IF(AND($J88=1,$M88=0),IF(S88="",0,S88*R88)+IF(V88="",0,V88*U88)+IF(Y88="",0,Y88*X88),"")</f>
        <v/>
      </c>
      <c r="AF88" s="12" t="str">
        <f aca="false">IF(AND($J88=1,$M88=0),MIN((AC88-E88)/Span_P,(AD88-F88)/Span_S,(AE88-G88)/Span_B),"")</f>
        <v/>
      </c>
      <c r="AG88" s="15" t="str">
        <f aca="false">IF(AND($J88=1,$M88=0),IF(AF88&gt;0.0000001,1,0),"")</f>
        <v/>
      </c>
      <c r="AH88" s="15" t="str">
        <f aca="false">IF($J88=1,IF($M88=1,AB88,AG88),"")</f>
        <v/>
      </c>
      <c r="AI88" s="13" t="str">
        <f aca="false">IF($J88=1,(Ideal_P-E88)/Span_P,"")</f>
        <v/>
      </c>
      <c r="AJ88" s="13" t="str">
        <f aca="false">IF($J88=1,(Ideal_S-F88)/Span_S,"")</f>
        <v/>
      </c>
      <c r="AK88" s="13" t="str">
        <f aca="false">IF($J88=1,(Ideal_B-G88)/Span_B,"")</f>
        <v/>
      </c>
      <c r="AL88" s="12" t="str">
        <f aca="false">IF($J88=1,MAX(ChA_1*AI88,ChA_2*AJ88,ChA_3*AK88)+Rho*(ChA_1*AI88+ChA_2*AJ88+ChA_3*AK88),"")</f>
        <v/>
      </c>
      <c r="AM88" s="12" t="str">
        <f aca="false">IF($J88=1,MAX(ChB_1*AI88,ChB_2*AJ88,ChB_3*AK88)+Rho*(ChB_1*AI88+ChB_2*AJ88+ChB_3*AK88),"")</f>
        <v/>
      </c>
      <c r="AN88" s="12" t="str">
        <f aca="false">IF($J88=1,MAX(Cx_1*(Ref_P-E88)/Span_P,Cx_2*(Ref_S-F88)/Span_S,Cx_3*(Ref_B-G88)/Span_B),"")</f>
        <v/>
      </c>
    </row>
    <row r="89" customFormat="false" ht="15" hidden="false" customHeight="false" outlineLevel="0" collapsed="false">
      <c r="A89" s="2" t="n">
        <v>83</v>
      </c>
      <c r="B89" s="15" t="n">
        <f aca="false">INT(A89/151)</f>
        <v>0</v>
      </c>
      <c r="C89" s="15" t="n">
        <f aca="false">MOD(A89,151)</f>
        <v>83</v>
      </c>
      <c r="D89" s="15" t="n">
        <f aca="false">INDEX(Grid!$J$6:$P$156,C89+1,B89+1)</f>
        <v>1</v>
      </c>
      <c r="E89" s="16" t="n">
        <f aca="false">IF(D89=1,INDEX(Grid!$B$6:$H$156,C89+1,B89+1),"")</f>
        <v>60.9090909090909</v>
      </c>
      <c r="F89" s="13" t="n">
        <f aca="false">Val_pt*(Ceiling_e-E_zero)*(1-(1-Half_gap)^B89)</f>
        <v>0</v>
      </c>
      <c r="G89" s="15" t="n">
        <f aca="false">C89</f>
        <v>83</v>
      </c>
      <c r="H89" s="15" t="n">
        <f aca="false">IF(D89=1,INDEX(Grid!$R$6:$X$156,C89+1,B89+1),"")</f>
        <v>0</v>
      </c>
      <c r="I89" s="2" t="str">
        <f aca="false">IF(D89=1,INDEX(Sch_label,H89+1),"")</f>
        <v>none</v>
      </c>
      <c r="J89" s="15" t="n">
        <f aca="false">IF(D89=1,INDEX(Grid!$Z$6:$AF$156,C89+1,B89+1),0)</f>
        <v>0</v>
      </c>
      <c r="K89" s="16" t="n">
        <f aca="false">IF(J89=1,E89,0)</f>
        <v>0</v>
      </c>
      <c r="L89" s="17" t="n">
        <f aca="false">IF(D89=1,E89+W_board*F89,"")</f>
        <v>60.9090909090909</v>
      </c>
      <c r="Z89" s="12" t="str">
        <f aca="false">IF(AND($J89=1,$M89=1),N89*E89/Span_P+O89*F89/Span_S+P89*G89/Span_B,"")</f>
        <v/>
      </c>
      <c r="AA89" s="12" t="str">
        <f aca="false">IF(AND($J89=1,$M89=1),SUMPRODUCT(MAX($J$6:$J$1062*(N89*$K$6:$K$1062/Span_P+O89*$F$6:$F$1062/Span_S+P89*$G$6:$G$1062/Span_B)-(1-$J$6:$J$1062)*1000000000)),"")</f>
        <v/>
      </c>
      <c r="AB89" s="15" t="str">
        <f aca="false">IF(AND($J89=1,$M89=1),IF(AA89-Z89&lt;=0.000000001,1,0),"")</f>
        <v/>
      </c>
      <c r="AC89" s="13" t="str">
        <f aca="false">IF(AND($J89=1,$M89=0),IF(S89="",0,S89*INDEX(Grid!$B$6:$H$156,R89+1,Q89+1))+IF(V89="",0,V89*INDEX(Grid!$B$6:$H$156,U89+1,T89+1))+IF(Y89="",0,Y89*INDEX(Grid!$B$6:$H$156,X89+1,W89+1)),"")</f>
        <v/>
      </c>
      <c r="AD89" s="13" t="str">
        <f aca="false">IF(AND($J89=1,$M89=0),IF(S89="",0,S89*Val_pt*(Ceiling_e-E_zero)*(1-(1-Half_gap)^Q89))+IF(V89="",0,V89*Val_pt*(Ceiling_e-E_zero)*(1-(1-Half_gap)^T89))+IF(Y89="",0,Y89*Val_pt*(Ceiling_e-E_zero)*(1-(1-Half_gap)^W89)),"")</f>
        <v/>
      </c>
      <c r="AE89" s="13" t="str">
        <f aca="false">IF(AND($J89=1,$M89=0),IF(S89="",0,S89*R89)+IF(V89="",0,V89*U89)+IF(Y89="",0,Y89*X89),"")</f>
        <v/>
      </c>
      <c r="AF89" s="12" t="str">
        <f aca="false">IF(AND($J89=1,$M89=0),MIN((AC89-E89)/Span_P,(AD89-F89)/Span_S,(AE89-G89)/Span_B),"")</f>
        <v/>
      </c>
      <c r="AG89" s="15" t="str">
        <f aca="false">IF(AND($J89=1,$M89=0),IF(AF89&gt;0.0000001,1,0),"")</f>
        <v/>
      </c>
      <c r="AH89" s="15" t="str">
        <f aca="false">IF($J89=1,IF($M89=1,AB89,AG89),"")</f>
        <v/>
      </c>
      <c r="AI89" s="13" t="str">
        <f aca="false">IF($J89=1,(Ideal_P-E89)/Span_P,"")</f>
        <v/>
      </c>
      <c r="AJ89" s="13" t="str">
        <f aca="false">IF($J89=1,(Ideal_S-F89)/Span_S,"")</f>
        <v/>
      </c>
      <c r="AK89" s="13" t="str">
        <f aca="false">IF($J89=1,(Ideal_B-G89)/Span_B,"")</f>
        <v/>
      </c>
      <c r="AL89" s="12" t="str">
        <f aca="false">IF($J89=1,MAX(ChA_1*AI89,ChA_2*AJ89,ChA_3*AK89)+Rho*(ChA_1*AI89+ChA_2*AJ89+ChA_3*AK89),"")</f>
        <v/>
      </c>
      <c r="AM89" s="12" t="str">
        <f aca="false">IF($J89=1,MAX(ChB_1*AI89,ChB_2*AJ89,ChB_3*AK89)+Rho*(ChB_1*AI89+ChB_2*AJ89+ChB_3*AK89),"")</f>
        <v/>
      </c>
      <c r="AN89" s="12" t="str">
        <f aca="false">IF($J89=1,MAX(Cx_1*(Ref_P-E89)/Span_P,Cx_2*(Ref_S-F89)/Span_S,Cx_3*(Ref_B-G89)/Span_B),"")</f>
        <v/>
      </c>
    </row>
    <row r="90" customFormat="false" ht="15" hidden="false" customHeight="false" outlineLevel="0" collapsed="false">
      <c r="A90" s="2" t="n">
        <v>84</v>
      </c>
      <c r="B90" s="15" t="n">
        <f aca="false">INT(A90/151)</f>
        <v>0</v>
      </c>
      <c r="C90" s="15" t="n">
        <f aca="false">MOD(A90,151)</f>
        <v>84</v>
      </c>
      <c r="D90" s="15" t="n">
        <f aca="false">INDEX(Grid!$J$6:$P$156,C90+1,B90+1)</f>
        <v>1</v>
      </c>
      <c r="E90" s="16" t="n">
        <f aca="false">IF(D90=1,INDEX(Grid!$B$6:$H$156,C90+1,B90+1),"")</f>
        <v>60</v>
      </c>
      <c r="F90" s="13" t="n">
        <f aca="false">Val_pt*(Ceiling_e-E_zero)*(1-(1-Half_gap)^B90)</f>
        <v>0</v>
      </c>
      <c r="G90" s="15" t="n">
        <f aca="false">C90</f>
        <v>84</v>
      </c>
      <c r="H90" s="15" t="n">
        <f aca="false">IF(D90=1,INDEX(Grid!$R$6:$X$156,C90+1,B90+1),"")</f>
        <v>0</v>
      </c>
      <c r="I90" s="2" t="str">
        <f aca="false">IF(D90=1,INDEX(Sch_label,H90+1),"")</f>
        <v>none</v>
      </c>
      <c r="J90" s="15" t="n">
        <f aca="false">IF(D90=1,INDEX(Grid!$Z$6:$AF$156,C90+1,B90+1),0)</f>
        <v>0</v>
      </c>
      <c r="K90" s="16" t="n">
        <f aca="false">IF(J90=1,E90,0)</f>
        <v>0</v>
      </c>
      <c r="L90" s="17" t="n">
        <f aca="false">IF(D90=1,E90+W_board*F90,"")</f>
        <v>60</v>
      </c>
      <c r="Z90" s="12" t="str">
        <f aca="false">IF(AND($J90=1,$M90=1),N90*E90/Span_P+O90*F90/Span_S+P90*G90/Span_B,"")</f>
        <v/>
      </c>
      <c r="AA90" s="12" t="str">
        <f aca="false">IF(AND($J90=1,$M90=1),SUMPRODUCT(MAX($J$6:$J$1062*(N90*$K$6:$K$1062/Span_P+O90*$F$6:$F$1062/Span_S+P90*$G$6:$G$1062/Span_B)-(1-$J$6:$J$1062)*1000000000)),"")</f>
        <v/>
      </c>
      <c r="AB90" s="15" t="str">
        <f aca="false">IF(AND($J90=1,$M90=1),IF(AA90-Z90&lt;=0.000000001,1,0),"")</f>
        <v/>
      </c>
      <c r="AC90" s="13" t="str">
        <f aca="false">IF(AND($J90=1,$M90=0),IF(S90="",0,S90*INDEX(Grid!$B$6:$H$156,R90+1,Q90+1))+IF(V90="",0,V90*INDEX(Grid!$B$6:$H$156,U90+1,T90+1))+IF(Y90="",0,Y90*INDEX(Grid!$B$6:$H$156,X90+1,W90+1)),"")</f>
        <v/>
      </c>
      <c r="AD90" s="13" t="str">
        <f aca="false">IF(AND($J90=1,$M90=0),IF(S90="",0,S90*Val_pt*(Ceiling_e-E_zero)*(1-(1-Half_gap)^Q90))+IF(V90="",0,V90*Val_pt*(Ceiling_e-E_zero)*(1-(1-Half_gap)^T90))+IF(Y90="",0,Y90*Val_pt*(Ceiling_e-E_zero)*(1-(1-Half_gap)^W90)),"")</f>
        <v/>
      </c>
      <c r="AE90" s="13" t="str">
        <f aca="false">IF(AND($J90=1,$M90=0),IF(S90="",0,S90*R90)+IF(V90="",0,V90*U90)+IF(Y90="",0,Y90*X90),"")</f>
        <v/>
      </c>
      <c r="AF90" s="12" t="str">
        <f aca="false">IF(AND($J90=1,$M90=0),MIN((AC90-E90)/Span_P,(AD90-F90)/Span_S,(AE90-G90)/Span_B),"")</f>
        <v/>
      </c>
      <c r="AG90" s="15" t="str">
        <f aca="false">IF(AND($J90=1,$M90=0),IF(AF90&gt;0.0000001,1,0),"")</f>
        <v/>
      </c>
      <c r="AH90" s="15" t="str">
        <f aca="false">IF($J90=1,IF($M90=1,AB90,AG90),"")</f>
        <v/>
      </c>
      <c r="AI90" s="13" t="str">
        <f aca="false">IF($J90=1,(Ideal_P-E90)/Span_P,"")</f>
        <v/>
      </c>
      <c r="AJ90" s="13" t="str">
        <f aca="false">IF($J90=1,(Ideal_S-F90)/Span_S,"")</f>
        <v/>
      </c>
      <c r="AK90" s="13" t="str">
        <f aca="false">IF($J90=1,(Ideal_B-G90)/Span_B,"")</f>
        <v/>
      </c>
      <c r="AL90" s="12" t="str">
        <f aca="false">IF($J90=1,MAX(ChA_1*AI90,ChA_2*AJ90,ChA_3*AK90)+Rho*(ChA_1*AI90+ChA_2*AJ90+ChA_3*AK90),"")</f>
        <v/>
      </c>
      <c r="AM90" s="12" t="str">
        <f aca="false">IF($J90=1,MAX(ChB_1*AI90,ChB_2*AJ90,ChB_3*AK90)+Rho*(ChB_1*AI90+ChB_2*AJ90+ChB_3*AK90),"")</f>
        <v/>
      </c>
      <c r="AN90" s="12" t="str">
        <f aca="false">IF($J90=1,MAX(Cx_1*(Ref_P-E90)/Span_P,Cx_2*(Ref_S-F90)/Span_S,Cx_3*(Ref_B-G90)/Span_B),"")</f>
        <v/>
      </c>
    </row>
    <row r="91" customFormat="false" ht="15" hidden="false" customHeight="false" outlineLevel="0" collapsed="false">
      <c r="A91" s="2" t="n">
        <v>85</v>
      </c>
      <c r="B91" s="15" t="n">
        <f aca="false">INT(A91/151)</f>
        <v>0</v>
      </c>
      <c r="C91" s="15" t="n">
        <f aca="false">MOD(A91,151)</f>
        <v>85</v>
      </c>
      <c r="D91" s="15" t="n">
        <f aca="false">INDEX(Grid!$J$6:$P$156,C91+1,B91+1)</f>
        <v>1</v>
      </c>
      <c r="E91" s="16" t="n">
        <f aca="false">IF(D91=1,INDEX(Grid!$B$6:$H$156,C91+1,B91+1),"")</f>
        <v>59.0909090909091</v>
      </c>
      <c r="F91" s="13" t="n">
        <f aca="false">Val_pt*(Ceiling_e-E_zero)*(1-(1-Half_gap)^B91)</f>
        <v>0</v>
      </c>
      <c r="G91" s="15" t="n">
        <f aca="false">C91</f>
        <v>85</v>
      </c>
      <c r="H91" s="15" t="n">
        <f aca="false">IF(D91=1,INDEX(Grid!$R$6:$X$156,C91+1,B91+1),"")</f>
        <v>0</v>
      </c>
      <c r="I91" s="2" t="str">
        <f aca="false">IF(D91=1,INDEX(Sch_label,H91+1),"")</f>
        <v>none</v>
      </c>
      <c r="J91" s="15" t="n">
        <f aca="false">IF(D91=1,INDEX(Grid!$Z$6:$AF$156,C91+1,B91+1),0)</f>
        <v>0</v>
      </c>
      <c r="K91" s="16" t="n">
        <f aca="false">IF(J91=1,E91,0)</f>
        <v>0</v>
      </c>
      <c r="L91" s="17" t="n">
        <f aca="false">IF(D91=1,E91+W_board*F91,"")</f>
        <v>59.0909090909091</v>
      </c>
      <c r="Z91" s="12" t="str">
        <f aca="false">IF(AND($J91=1,$M91=1),N91*E91/Span_P+O91*F91/Span_S+P91*G91/Span_B,"")</f>
        <v/>
      </c>
      <c r="AA91" s="12" t="str">
        <f aca="false">IF(AND($J91=1,$M91=1),SUMPRODUCT(MAX($J$6:$J$1062*(N91*$K$6:$K$1062/Span_P+O91*$F$6:$F$1062/Span_S+P91*$G$6:$G$1062/Span_B)-(1-$J$6:$J$1062)*1000000000)),"")</f>
        <v/>
      </c>
      <c r="AB91" s="15" t="str">
        <f aca="false">IF(AND($J91=1,$M91=1),IF(AA91-Z91&lt;=0.000000001,1,0),"")</f>
        <v/>
      </c>
      <c r="AC91" s="13" t="str">
        <f aca="false">IF(AND($J91=1,$M91=0),IF(S91="",0,S91*INDEX(Grid!$B$6:$H$156,R91+1,Q91+1))+IF(V91="",0,V91*INDEX(Grid!$B$6:$H$156,U91+1,T91+1))+IF(Y91="",0,Y91*INDEX(Grid!$B$6:$H$156,X91+1,W91+1)),"")</f>
        <v/>
      </c>
      <c r="AD91" s="13" t="str">
        <f aca="false">IF(AND($J91=1,$M91=0),IF(S91="",0,S91*Val_pt*(Ceiling_e-E_zero)*(1-(1-Half_gap)^Q91))+IF(V91="",0,V91*Val_pt*(Ceiling_e-E_zero)*(1-(1-Half_gap)^T91))+IF(Y91="",0,Y91*Val_pt*(Ceiling_e-E_zero)*(1-(1-Half_gap)^W91)),"")</f>
        <v/>
      </c>
      <c r="AE91" s="13" t="str">
        <f aca="false">IF(AND($J91=1,$M91=0),IF(S91="",0,S91*R91)+IF(V91="",0,V91*U91)+IF(Y91="",0,Y91*X91),"")</f>
        <v/>
      </c>
      <c r="AF91" s="12" t="str">
        <f aca="false">IF(AND($J91=1,$M91=0),MIN((AC91-E91)/Span_P,(AD91-F91)/Span_S,(AE91-G91)/Span_B),"")</f>
        <v/>
      </c>
      <c r="AG91" s="15" t="str">
        <f aca="false">IF(AND($J91=1,$M91=0),IF(AF91&gt;0.0000001,1,0),"")</f>
        <v/>
      </c>
      <c r="AH91" s="15" t="str">
        <f aca="false">IF($J91=1,IF($M91=1,AB91,AG91),"")</f>
        <v/>
      </c>
      <c r="AI91" s="13" t="str">
        <f aca="false">IF($J91=1,(Ideal_P-E91)/Span_P,"")</f>
        <v/>
      </c>
      <c r="AJ91" s="13" t="str">
        <f aca="false">IF($J91=1,(Ideal_S-F91)/Span_S,"")</f>
        <v/>
      </c>
      <c r="AK91" s="13" t="str">
        <f aca="false">IF($J91=1,(Ideal_B-G91)/Span_B,"")</f>
        <v/>
      </c>
      <c r="AL91" s="12" t="str">
        <f aca="false">IF($J91=1,MAX(ChA_1*AI91,ChA_2*AJ91,ChA_3*AK91)+Rho*(ChA_1*AI91+ChA_2*AJ91+ChA_3*AK91),"")</f>
        <v/>
      </c>
      <c r="AM91" s="12" t="str">
        <f aca="false">IF($J91=1,MAX(ChB_1*AI91,ChB_2*AJ91,ChB_3*AK91)+Rho*(ChB_1*AI91+ChB_2*AJ91+ChB_3*AK91),"")</f>
        <v/>
      </c>
      <c r="AN91" s="12" t="str">
        <f aca="false">IF($J91=1,MAX(Cx_1*(Ref_P-E91)/Span_P,Cx_2*(Ref_S-F91)/Span_S,Cx_3*(Ref_B-G91)/Span_B),"")</f>
        <v/>
      </c>
    </row>
    <row r="92" customFormat="false" ht="15" hidden="false" customHeight="false" outlineLevel="0" collapsed="false">
      <c r="A92" s="2" t="n">
        <v>86</v>
      </c>
      <c r="B92" s="15" t="n">
        <f aca="false">INT(A92/151)</f>
        <v>0</v>
      </c>
      <c r="C92" s="15" t="n">
        <f aca="false">MOD(A92,151)</f>
        <v>86</v>
      </c>
      <c r="D92" s="15" t="n">
        <f aca="false">INDEX(Grid!$J$6:$P$156,C92+1,B92+1)</f>
        <v>1</v>
      </c>
      <c r="E92" s="16" t="n">
        <f aca="false">IF(D92=1,INDEX(Grid!$B$6:$H$156,C92+1,B92+1),"")</f>
        <v>58.1818181818182</v>
      </c>
      <c r="F92" s="13" t="n">
        <f aca="false">Val_pt*(Ceiling_e-E_zero)*(1-(1-Half_gap)^B92)</f>
        <v>0</v>
      </c>
      <c r="G92" s="15" t="n">
        <f aca="false">C92</f>
        <v>86</v>
      </c>
      <c r="H92" s="15" t="n">
        <f aca="false">IF(D92=1,INDEX(Grid!$R$6:$X$156,C92+1,B92+1),"")</f>
        <v>0</v>
      </c>
      <c r="I92" s="2" t="str">
        <f aca="false">IF(D92=1,INDEX(Sch_label,H92+1),"")</f>
        <v>none</v>
      </c>
      <c r="J92" s="15" t="n">
        <f aca="false">IF(D92=1,INDEX(Grid!$Z$6:$AF$156,C92+1,B92+1),0)</f>
        <v>0</v>
      </c>
      <c r="K92" s="16" t="n">
        <f aca="false">IF(J92=1,E92,0)</f>
        <v>0</v>
      </c>
      <c r="L92" s="17" t="n">
        <f aca="false">IF(D92=1,E92+W_board*F92,"")</f>
        <v>58.1818181818182</v>
      </c>
      <c r="Z92" s="12" t="str">
        <f aca="false">IF(AND($J92=1,$M92=1),N92*E92/Span_P+O92*F92/Span_S+P92*G92/Span_B,"")</f>
        <v/>
      </c>
      <c r="AA92" s="12" t="str">
        <f aca="false">IF(AND($J92=1,$M92=1),SUMPRODUCT(MAX($J$6:$J$1062*(N92*$K$6:$K$1062/Span_P+O92*$F$6:$F$1062/Span_S+P92*$G$6:$G$1062/Span_B)-(1-$J$6:$J$1062)*1000000000)),"")</f>
        <v/>
      </c>
      <c r="AB92" s="15" t="str">
        <f aca="false">IF(AND($J92=1,$M92=1),IF(AA92-Z92&lt;=0.000000001,1,0),"")</f>
        <v/>
      </c>
      <c r="AC92" s="13" t="str">
        <f aca="false">IF(AND($J92=1,$M92=0),IF(S92="",0,S92*INDEX(Grid!$B$6:$H$156,R92+1,Q92+1))+IF(V92="",0,V92*INDEX(Grid!$B$6:$H$156,U92+1,T92+1))+IF(Y92="",0,Y92*INDEX(Grid!$B$6:$H$156,X92+1,W92+1)),"")</f>
        <v/>
      </c>
      <c r="AD92" s="13" t="str">
        <f aca="false">IF(AND($J92=1,$M92=0),IF(S92="",0,S92*Val_pt*(Ceiling_e-E_zero)*(1-(1-Half_gap)^Q92))+IF(V92="",0,V92*Val_pt*(Ceiling_e-E_zero)*(1-(1-Half_gap)^T92))+IF(Y92="",0,Y92*Val_pt*(Ceiling_e-E_zero)*(1-(1-Half_gap)^W92)),"")</f>
        <v/>
      </c>
      <c r="AE92" s="13" t="str">
        <f aca="false">IF(AND($J92=1,$M92=0),IF(S92="",0,S92*R92)+IF(V92="",0,V92*U92)+IF(Y92="",0,Y92*X92),"")</f>
        <v/>
      </c>
      <c r="AF92" s="12" t="str">
        <f aca="false">IF(AND($J92=1,$M92=0),MIN((AC92-E92)/Span_P,(AD92-F92)/Span_S,(AE92-G92)/Span_B),"")</f>
        <v/>
      </c>
      <c r="AG92" s="15" t="str">
        <f aca="false">IF(AND($J92=1,$M92=0),IF(AF92&gt;0.0000001,1,0),"")</f>
        <v/>
      </c>
      <c r="AH92" s="15" t="str">
        <f aca="false">IF($J92=1,IF($M92=1,AB92,AG92),"")</f>
        <v/>
      </c>
      <c r="AI92" s="13" t="str">
        <f aca="false">IF($J92=1,(Ideal_P-E92)/Span_P,"")</f>
        <v/>
      </c>
      <c r="AJ92" s="13" t="str">
        <f aca="false">IF($J92=1,(Ideal_S-F92)/Span_S,"")</f>
        <v/>
      </c>
      <c r="AK92" s="13" t="str">
        <f aca="false">IF($J92=1,(Ideal_B-G92)/Span_B,"")</f>
        <v/>
      </c>
      <c r="AL92" s="12" t="str">
        <f aca="false">IF($J92=1,MAX(ChA_1*AI92,ChA_2*AJ92,ChA_3*AK92)+Rho*(ChA_1*AI92+ChA_2*AJ92+ChA_3*AK92),"")</f>
        <v/>
      </c>
      <c r="AM92" s="12" t="str">
        <f aca="false">IF($J92=1,MAX(ChB_1*AI92,ChB_2*AJ92,ChB_3*AK92)+Rho*(ChB_1*AI92+ChB_2*AJ92+ChB_3*AK92),"")</f>
        <v/>
      </c>
      <c r="AN92" s="12" t="str">
        <f aca="false">IF($J92=1,MAX(Cx_1*(Ref_P-E92)/Span_P,Cx_2*(Ref_S-F92)/Span_S,Cx_3*(Ref_B-G92)/Span_B),"")</f>
        <v/>
      </c>
    </row>
    <row r="93" customFormat="false" ht="15" hidden="false" customHeight="false" outlineLevel="0" collapsed="false">
      <c r="A93" s="2" t="n">
        <v>87</v>
      </c>
      <c r="B93" s="15" t="n">
        <f aca="false">INT(A93/151)</f>
        <v>0</v>
      </c>
      <c r="C93" s="15" t="n">
        <f aca="false">MOD(A93,151)</f>
        <v>87</v>
      </c>
      <c r="D93" s="15" t="n">
        <f aca="false">INDEX(Grid!$J$6:$P$156,C93+1,B93+1)</f>
        <v>1</v>
      </c>
      <c r="E93" s="16" t="n">
        <f aca="false">IF(D93=1,INDEX(Grid!$B$6:$H$156,C93+1,B93+1),"")</f>
        <v>57.2727272727273</v>
      </c>
      <c r="F93" s="13" t="n">
        <f aca="false">Val_pt*(Ceiling_e-E_zero)*(1-(1-Half_gap)^B93)</f>
        <v>0</v>
      </c>
      <c r="G93" s="15" t="n">
        <f aca="false">C93</f>
        <v>87</v>
      </c>
      <c r="H93" s="15" t="n">
        <f aca="false">IF(D93=1,INDEX(Grid!$R$6:$X$156,C93+1,B93+1),"")</f>
        <v>0</v>
      </c>
      <c r="I93" s="2" t="str">
        <f aca="false">IF(D93=1,INDEX(Sch_label,H93+1),"")</f>
        <v>none</v>
      </c>
      <c r="J93" s="15" t="n">
        <f aca="false">IF(D93=1,INDEX(Grid!$Z$6:$AF$156,C93+1,B93+1),0)</f>
        <v>0</v>
      </c>
      <c r="K93" s="16" t="n">
        <f aca="false">IF(J93=1,E93,0)</f>
        <v>0</v>
      </c>
      <c r="L93" s="17" t="n">
        <f aca="false">IF(D93=1,E93+W_board*F93,"")</f>
        <v>57.2727272727273</v>
      </c>
      <c r="Z93" s="12" t="str">
        <f aca="false">IF(AND($J93=1,$M93=1),N93*E93/Span_P+O93*F93/Span_S+P93*G93/Span_B,"")</f>
        <v/>
      </c>
      <c r="AA93" s="12" t="str">
        <f aca="false">IF(AND($J93=1,$M93=1),SUMPRODUCT(MAX($J$6:$J$1062*(N93*$K$6:$K$1062/Span_P+O93*$F$6:$F$1062/Span_S+P93*$G$6:$G$1062/Span_B)-(1-$J$6:$J$1062)*1000000000)),"")</f>
        <v/>
      </c>
      <c r="AB93" s="15" t="str">
        <f aca="false">IF(AND($J93=1,$M93=1),IF(AA93-Z93&lt;=0.000000001,1,0),"")</f>
        <v/>
      </c>
      <c r="AC93" s="13" t="str">
        <f aca="false">IF(AND($J93=1,$M93=0),IF(S93="",0,S93*INDEX(Grid!$B$6:$H$156,R93+1,Q93+1))+IF(V93="",0,V93*INDEX(Grid!$B$6:$H$156,U93+1,T93+1))+IF(Y93="",0,Y93*INDEX(Grid!$B$6:$H$156,X93+1,W93+1)),"")</f>
        <v/>
      </c>
      <c r="AD93" s="13" t="str">
        <f aca="false">IF(AND($J93=1,$M93=0),IF(S93="",0,S93*Val_pt*(Ceiling_e-E_zero)*(1-(1-Half_gap)^Q93))+IF(V93="",0,V93*Val_pt*(Ceiling_e-E_zero)*(1-(1-Half_gap)^T93))+IF(Y93="",0,Y93*Val_pt*(Ceiling_e-E_zero)*(1-(1-Half_gap)^W93)),"")</f>
        <v/>
      </c>
      <c r="AE93" s="13" t="str">
        <f aca="false">IF(AND($J93=1,$M93=0),IF(S93="",0,S93*R93)+IF(V93="",0,V93*U93)+IF(Y93="",0,Y93*X93),"")</f>
        <v/>
      </c>
      <c r="AF93" s="12" t="str">
        <f aca="false">IF(AND($J93=1,$M93=0),MIN((AC93-E93)/Span_P,(AD93-F93)/Span_S,(AE93-G93)/Span_B),"")</f>
        <v/>
      </c>
      <c r="AG93" s="15" t="str">
        <f aca="false">IF(AND($J93=1,$M93=0),IF(AF93&gt;0.0000001,1,0),"")</f>
        <v/>
      </c>
      <c r="AH93" s="15" t="str">
        <f aca="false">IF($J93=1,IF($M93=1,AB93,AG93),"")</f>
        <v/>
      </c>
      <c r="AI93" s="13" t="str">
        <f aca="false">IF($J93=1,(Ideal_P-E93)/Span_P,"")</f>
        <v/>
      </c>
      <c r="AJ93" s="13" t="str">
        <f aca="false">IF($J93=1,(Ideal_S-F93)/Span_S,"")</f>
        <v/>
      </c>
      <c r="AK93" s="13" t="str">
        <f aca="false">IF($J93=1,(Ideal_B-G93)/Span_B,"")</f>
        <v/>
      </c>
      <c r="AL93" s="12" t="str">
        <f aca="false">IF($J93=1,MAX(ChA_1*AI93,ChA_2*AJ93,ChA_3*AK93)+Rho*(ChA_1*AI93+ChA_2*AJ93+ChA_3*AK93),"")</f>
        <v/>
      </c>
      <c r="AM93" s="12" t="str">
        <f aca="false">IF($J93=1,MAX(ChB_1*AI93,ChB_2*AJ93,ChB_3*AK93)+Rho*(ChB_1*AI93+ChB_2*AJ93+ChB_3*AK93),"")</f>
        <v/>
      </c>
      <c r="AN93" s="12" t="str">
        <f aca="false">IF($J93=1,MAX(Cx_1*(Ref_P-E93)/Span_P,Cx_2*(Ref_S-F93)/Span_S,Cx_3*(Ref_B-G93)/Span_B),"")</f>
        <v/>
      </c>
    </row>
    <row r="94" customFormat="false" ht="15" hidden="false" customHeight="false" outlineLevel="0" collapsed="false">
      <c r="A94" s="2" t="n">
        <v>88</v>
      </c>
      <c r="B94" s="15" t="n">
        <f aca="false">INT(A94/151)</f>
        <v>0</v>
      </c>
      <c r="C94" s="15" t="n">
        <f aca="false">MOD(A94,151)</f>
        <v>88</v>
      </c>
      <c r="D94" s="15" t="n">
        <f aca="false">INDEX(Grid!$J$6:$P$156,C94+1,B94+1)</f>
        <v>1</v>
      </c>
      <c r="E94" s="16" t="n">
        <f aca="false">IF(D94=1,INDEX(Grid!$B$6:$H$156,C94+1,B94+1),"")</f>
        <v>56.3636363636363</v>
      </c>
      <c r="F94" s="13" t="n">
        <f aca="false">Val_pt*(Ceiling_e-E_zero)*(1-(1-Half_gap)^B94)</f>
        <v>0</v>
      </c>
      <c r="G94" s="15" t="n">
        <f aca="false">C94</f>
        <v>88</v>
      </c>
      <c r="H94" s="15" t="n">
        <f aca="false">IF(D94=1,INDEX(Grid!$R$6:$X$156,C94+1,B94+1),"")</f>
        <v>0</v>
      </c>
      <c r="I94" s="2" t="str">
        <f aca="false">IF(D94=1,INDEX(Sch_label,H94+1),"")</f>
        <v>none</v>
      </c>
      <c r="J94" s="15" t="n">
        <f aca="false">IF(D94=1,INDEX(Grid!$Z$6:$AF$156,C94+1,B94+1),0)</f>
        <v>0</v>
      </c>
      <c r="K94" s="16" t="n">
        <f aca="false">IF(J94=1,E94,0)</f>
        <v>0</v>
      </c>
      <c r="L94" s="17" t="n">
        <f aca="false">IF(D94=1,E94+W_board*F94,"")</f>
        <v>56.3636363636363</v>
      </c>
      <c r="Z94" s="12" t="str">
        <f aca="false">IF(AND($J94=1,$M94=1),N94*E94/Span_P+O94*F94/Span_S+P94*G94/Span_B,"")</f>
        <v/>
      </c>
      <c r="AA94" s="12" t="str">
        <f aca="false">IF(AND($J94=1,$M94=1),SUMPRODUCT(MAX($J$6:$J$1062*(N94*$K$6:$K$1062/Span_P+O94*$F$6:$F$1062/Span_S+P94*$G$6:$G$1062/Span_B)-(1-$J$6:$J$1062)*1000000000)),"")</f>
        <v/>
      </c>
      <c r="AB94" s="15" t="str">
        <f aca="false">IF(AND($J94=1,$M94=1),IF(AA94-Z94&lt;=0.000000001,1,0),"")</f>
        <v/>
      </c>
      <c r="AC94" s="13" t="str">
        <f aca="false">IF(AND($J94=1,$M94=0),IF(S94="",0,S94*INDEX(Grid!$B$6:$H$156,R94+1,Q94+1))+IF(V94="",0,V94*INDEX(Grid!$B$6:$H$156,U94+1,T94+1))+IF(Y94="",0,Y94*INDEX(Grid!$B$6:$H$156,X94+1,W94+1)),"")</f>
        <v/>
      </c>
      <c r="AD94" s="13" t="str">
        <f aca="false">IF(AND($J94=1,$M94=0),IF(S94="",0,S94*Val_pt*(Ceiling_e-E_zero)*(1-(1-Half_gap)^Q94))+IF(V94="",0,V94*Val_pt*(Ceiling_e-E_zero)*(1-(1-Half_gap)^T94))+IF(Y94="",0,Y94*Val_pt*(Ceiling_e-E_zero)*(1-(1-Half_gap)^W94)),"")</f>
        <v/>
      </c>
      <c r="AE94" s="13" t="str">
        <f aca="false">IF(AND($J94=1,$M94=0),IF(S94="",0,S94*R94)+IF(V94="",0,V94*U94)+IF(Y94="",0,Y94*X94),"")</f>
        <v/>
      </c>
      <c r="AF94" s="12" t="str">
        <f aca="false">IF(AND($J94=1,$M94=0),MIN((AC94-E94)/Span_P,(AD94-F94)/Span_S,(AE94-G94)/Span_B),"")</f>
        <v/>
      </c>
      <c r="AG94" s="15" t="str">
        <f aca="false">IF(AND($J94=1,$M94=0),IF(AF94&gt;0.0000001,1,0),"")</f>
        <v/>
      </c>
      <c r="AH94" s="15" t="str">
        <f aca="false">IF($J94=1,IF($M94=1,AB94,AG94),"")</f>
        <v/>
      </c>
      <c r="AI94" s="13" t="str">
        <f aca="false">IF($J94=1,(Ideal_P-E94)/Span_P,"")</f>
        <v/>
      </c>
      <c r="AJ94" s="13" t="str">
        <f aca="false">IF($J94=1,(Ideal_S-F94)/Span_S,"")</f>
        <v/>
      </c>
      <c r="AK94" s="13" t="str">
        <f aca="false">IF($J94=1,(Ideal_B-G94)/Span_B,"")</f>
        <v/>
      </c>
      <c r="AL94" s="12" t="str">
        <f aca="false">IF($J94=1,MAX(ChA_1*AI94,ChA_2*AJ94,ChA_3*AK94)+Rho*(ChA_1*AI94+ChA_2*AJ94+ChA_3*AK94),"")</f>
        <v/>
      </c>
      <c r="AM94" s="12" t="str">
        <f aca="false">IF($J94=1,MAX(ChB_1*AI94,ChB_2*AJ94,ChB_3*AK94)+Rho*(ChB_1*AI94+ChB_2*AJ94+ChB_3*AK94),"")</f>
        <v/>
      </c>
      <c r="AN94" s="12" t="str">
        <f aca="false">IF($J94=1,MAX(Cx_1*(Ref_P-E94)/Span_P,Cx_2*(Ref_S-F94)/Span_S,Cx_3*(Ref_B-G94)/Span_B),"")</f>
        <v/>
      </c>
    </row>
    <row r="95" customFormat="false" ht="15" hidden="false" customHeight="false" outlineLevel="0" collapsed="false">
      <c r="A95" s="2" t="n">
        <v>89</v>
      </c>
      <c r="B95" s="15" t="n">
        <f aca="false">INT(A95/151)</f>
        <v>0</v>
      </c>
      <c r="C95" s="15" t="n">
        <f aca="false">MOD(A95,151)</f>
        <v>89</v>
      </c>
      <c r="D95" s="15" t="n">
        <f aca="false">INDEX(Grid!$J$6:$P$156,C95+1,B95+1)</f>
        <v>1</v>
      </c>
      <c r="E95" s="16" t="n">
        <f aca="false">IF(D95=1,INDEX(Grid!$B$6:$H$156,C95+1,B95+1),"")</f>
        <v>55.4545454545454</v>
      </c>
      <c r="F95" s="13" t="n">
        <f aca="false">Val_pt*(Ceiling_e-E_zero)*(1-(1-Half_gap)^B95)</f>
        <v>0</v>
      </c>
      <c r="G95" s="15" t="n">
        <f aca="false">C95</f>
        <v>89</v>
      </c>
      <c r="H95" s="15" t="n">
        <f aca="false">IF(D95=1,INDEX(Grid!$R$6:$X$156,C95+1,B95+1),"")</f>
        <v>0</v>
      </c>
      <c r="I95" s="2" t="str">
        <f aca="false">IF(D95=1,INDEX(Sch_label,H95+1),"")</f>
        <v>none</v>
      </c>
      <c r="J95" s="15" t="n">
        <f aca="false">IF(D95=1,INDEX(Grid!$Z$6:$AF$156,C95+1,B95+1),0)</f>
        <v>0</v>
      </c>
      <c r="K95" s="16" t="n">
        <f aca="false">IF(J95=1,E95,0)</f>
        <v>0</v>
      </c>
      <c r="L95" s="17" t="n">
        <f aca="false">IF(D95=1,E95+W_board*F95,"")</f>
        <v>55.4545454545454</v>
      </c>
      <c r="Z95" s="12" t="str">
        <f aca="false">IF(AND($J95=1,$M95=1),N95*E95/Span_P+O95*F95/Span_S+P95*G95/Span_B,"")</f>
        <v/>
      </c>
      <c r="AA95" s="12" t="str">
        <f aca="false">IF(AND($J95=1,$M95=1),SUMPRODUCT(MAX($J$6:$J$1062*(N95*$K$6:$K$1062/Span_P+O95*$F$6:$F$1062/Span_S+P95*$G$6:$G$1062/Span_B)-(1-$J$6:$J$1062)*1000000000)),"")</f>
        <v/>
      </c>
      <c r="AB95" s="15" t="str">
        <f aca="false">IF(AND($J95=1,$M95=1),IF(AA95-Z95&lt;=0.000000001,1,0),"")</f>
        <v/>
      </c>
      <c r="AC95" s="13" t="str">
        <f aca="false">IF(AND($J95=1,$M95=0),IF(S95="",0,S95*INDEX(Grid!$B$6:$H$156,R95+1,Q95+1))+IF(V95="",0,V95*INDEX(Grid!$B$6:$H$156,U95+1,T95+1))+IF(Y95="",0,Y95*INDEX(Grid!$B$6:$H$156,X95+1,W95+1)),"")</f>
        <v/>
      </c>
      <c r="AD95" s="13" t="str">
        <f aca="false">IF(AND($J95=1,$M95=0),IF(S95="",0,S95*Val_pt*(Ceiling_e-E_zero)*(1-(1-Half_gap)^Q95))+IF(V95="",0,V95*Val_pt*(Ceiling_e-E_zero)*(1-(1-Half_gap)^T95))+IF(Y95="",0,Y95*Val_pt*(Ceiling_e-E_zero)*(1-(1-Half_gap)^W95)),"")</f>
        <v/>
      </c>
      <c r="AE95" s="13" t="str">
        <f aca="false">IF(AND($J95=1,$M95=0),IF(S95="",0,S95*R95)+IF(V95="",0,V95*U95)+IF(Y95="",0,Y95*X95),"")</f>
        <v/>
      </c>
      <c r="AF95" s="12" t="str">
        <f aca="false">IF(AND($J95=1,$M95=0),MIN((AC95-E95)/Span_P,(AD95-F95)/Span_S,(AE95-G95)/Span_B),"")</f>
        <v/>
      </c>
      <c r="AG95" s="15" t="str">
        <f aca="false">IF(AND($J95=1,$M95=0),IF(AF95&gt;0.0000001,1,0),"")</f>
        <v/>
      </c>
      <c r="AH95" s="15" t="str">
        <f aca="false">IF($J95=1,IF($M95=1,AB95,AG95),"")</f>
        <v/>
      </c>
      <c r="AI95" s="13" t="str">
        <f aca="false">IF($J95=1,(Ideal_P-E95)/Span_P,"")</f>
        <v/>
      </c>
      <c r="AJ95" s="13" t="str">
        <f aca="false">IF($J95=1,(Ideal_S-F95)/Span_S,"")</f>
        <v/>
      </c>
      <c r="AK95" s="13" t="str">
        <f aca="false">IF($J95=1,(Ideal_B-G95)/Span_B,"")</f>
        <v/>
      </c>
      <c r="AL95" s="12" t="str">
        <f aca="false">IF($J95=1,MAX(ChA_1*AI95,ChA_2*AJ95,ChA_3*AK95)+Rho*(ChA_1*AI95+ChA_2*AJ95+ChA_3*AK95),"")</f>
        <v/>
      </c>
      <c r="AM95" s="12" t="str">
        <f aca="false">IF($J95=1,MAX(ChB_1*AI95,ChB_2*AJ95,ChB_3*AK95)+Rho*(ChB_1*AI95+ChB_2*AJ95+ChB_3*AK95),"")</f>
        <v/>
      </c>
      <c r="AN95" s="12" t="str">
        <f aca="false">IF($J95=1,MAX(Cx_1*(Ref_P-E95)/Span_P,Cx_2*(Ref_S-F95)/Span_S,Cx_3*(Ref_B-G95)/Span_B),"")</f>
        <v/>
      </c>
    </row>
    <row r="96" customFormat="false" ht="15" hidden="false" customHeight="false" outlineLevel="0" collapsed="false">
      <c r="A96" s="2" t="n">
        <v>90</v>
      </c>
      <c r="B96" s="15" t="n">
        <f aca="false">INT(A96/151)</f>
        <v>0</v>
      </c>
      <c r="C96" s="15" t="n">
        <f aca="false">MOD(A96,151)</f>
        <v>90</v>
      </c>
      <c r="D96" s="15" t="n">
        <f aca="false">INDEX(Grid!$J$6:$P$156,C96+1,B96+1)</f>
        <v>1</v>
      </c>
      <c r="E96" s="16" t="n">
        <f aca="false">IF(D96=1,INDEX(Grid!$B$6:$H$156,C96+1,B96+1),"")</f>
        <v>54.5454545454545</v>
      </c>
      <c r="F96" s="13" t="n">
        <f aca="false">Val_pt*(Ceiling_e-E_zero)*(1-(1-Half_gap)^B96)</f>
        <v>0</v>
      </c>
      <c r="G96" s="15" t="n">
        <f aca="false">C96</f>
        <v>90</v>
      </c>
      <c r="H96" s="15" t="n">
        <f aca="false">IF(D96=1,INDEX(Grid!$R$6:$X$156,C96+1,B96+1),"")</f>
        <v>0</v>
      </c>
      <c r="I96" s="2" t="str">
        <f aca="false">IF(D96=1,INDEX(Sch_label,H96+1),"")</f>
        <v>none</v>
      </c>
      <c r="J96" s="15" t="n">
        <f aca="false">IF(D96=1,INDEX(Grid!$Z$6:$AF$156,C96+1,B96+1),0)</f>
        <v>0</v>
      </c>
      <c r="K96" s="16" t="n">
        <f aca="false">IF(J96=1,E96,0)</f>
        <v>0</v>
      </c>
      <c r="L96" s="17" t="n">
        <f aca="false">IF(D96=1,E96+W_board*F96,"")</f>
        <v>54.5454545454545</v>
      </c>
      <c r="Z96" s="12" t="str">
        <f aca="false">IF(AND($J96=1,$M96=1),N96*E96/Span_P+O96*F96/Span_S+P96*G96/Span_B,"")</f>
        <v/>
      </c>
      <c r="AA96" s="12" t="str">
        <f aca="false">IF(AND($J96=1,$M96=1),SUMPRODUCT(MAX($J$6:$J$1062*(N96*$K$6:$K$1062/Span_P+O96*$F$6:$F$1062/Span_S+P96*$G$6:$G$1062/Span_B)-(1-$J$6:$J$1062)*1000000000)),"")</f>
        <v/>
      </c>
      <c r="AB96" s="15" t="str">
        <f aca="false">IF(AND($J96=1,$M96=1),IF(AA96-Z96&lt;=0.000000001,1,0),"")</f>
        <v/>
      </c>
      <c r="AC96" s="13" t="str">
        <f aca="false">IF(AND($J96=1,$M96=0),IF(S96="",0,S96*INDEX(Grid!$B$6:$H$156,R96+1,Q96+1))+IF(V96="",0,V96*INDEX(Grid!$B$6:$H$156,U96+1,T96+1))+IF(Y96="",0,Y96*INDEX(Grid!$B$6:$H$156,X96+1,W96+1)),"")</f>
        <v/>
      </c>
      <c r="AD96" s="13" t="str">
        <f aca="false">IF(AND($J96=1,$M96=0),IF(S96="",0,S96*Val_pt*(Ceiling_e-E_zero)*(1-(1-Half_gap)^Q96))+IF(V96="",0,V96*Val_pt*(Ceiling_e-E_zero)*(1-(1-Half_gap)^T96))+IF(Y96="",0,Y96*Val_pt*(Ceiling_e-E_zero)*(1-(1-Half_gap)^W96)),"")</f>
        <v/>
      </c>
      <c r="AE96" s="13" t="str">
        <f aca="false">IF(AND($J96=1,$M96=0),IF(S96="",0,S96*R96)+IF(V96="",0,V96*U96)+IF(Y96="",0,Y96*X96),"")</f>
        <v/>
      </c>
      <c r="AF96" s="12" t="str">
        <f aca="false">IF(AND($J96=1,$M96=0),MIN((AC96-E96)/Span_P,(AD96-F96)/Span_S,(AE96-G96)/Span_B),"")</f>
        <v/>
      </c>
      <c r="AG96" s="15" t="str">
        <f aca="false">IF(AND($J96=1,$M96=0),IF(AF96&gt;0.0000001,1,0),"")</f>
        <v/>
      </c>
      <c r="AH96" s="15" t="str">
        <f aca="false">IF($J96=1,IF($M96=1,AB96,AG96),"")</f>
        <v/>
      </c>
      <c r="AI96" s="13" t="str">
        <f aca="false">IF($J96=1,(Ideal_P-E96)/Span_P,"")</f>
        <v/>
      </c>
      <c r="AJ96" s="13" t="str">
        <f aca="false">IF($J96=1,(Ideal_S-F96)/Span_S,"")</f>
        <v/>
      </c>
      <c r="AK96" s="13" t="str">
        <f aca="false">IF($J96=1,(Ideal_B-G96)/Span_B,"")</f>
        <v/>
      </c>
      <c r="AL96" s="12" t="str">
        <f aca="false">IF($J96=1,MAX(ChA_1*AI96,ChA_2*AJ96,ChA_3*AK96)+Rho*(ChA_1*AI96+ChA_2*AJ96+ChA_3*AK96),"")</f>
        <v/>
      </c>
      <c r="AM96" s="12" t="str">
        <f aca="false">IF($J96=1,MAX(ChB_1*AI96,ChB_2*AJ96,ChB_3*AK96)+Rho*(ChB_1*AI96+ChB_2*AJ96+ChB_3*AK96),"")</f>
        <v/>
      </c>
      <c r="AN96" s="12" t="str">
        <f aca="false">IF($J96=1,MAX(Cx_1*(Ref_P-E96)/Span_P,Cx_2*(Ref_S-F96)/Span_S,Cx_3*(Ref_B-G96)/Span_B),"")</f>
        <v/>
      </c>
    </row>
    <row r="97" customFormat="false" ht="15" hidden="false" customHeight="false" outlineLevel="0" collapsed="false">
      <c r="A97" s="2" t="n">
        <v>91</v>
      </c>
      <c r="B97" s="15" t="n">
        <f aca="false">INT(A97/151)</f>
        <v>0</v>
      </c>
      <c r="C97" s="15" t="n">
        <f aca="false">MOD(A97,151)</f>
        <v>91</v>
      </c>
      <c r="D97" s="15" t="n">
        <f aca="false">INDEX(Grid!$J$6:$P$156,C97+1,B97+1)</f>
        <v>1</v>
      </c>
      <c r="E97" s="16" t="n">
        <f aca="false">IF(D97=1,INDEX(Grid!$B$6:$H$156,C97+1,B97+1),"")</f>
        <v>53.6363636363636</v>
      </c>
      <c r="F97" s="13" t="n">
        <f aca="false">Val_pt*(Ceiling_e-E_zero)*(1-(1-Half_gap)^B97)</f>
        <v>0</v>
      </c>
      <c r="G97" s="15" t="n">
        <f aca="false">C97</f>
        <v>91</v>
      </c>
      <c r="H97" s="15" t="n">
        <f aca="false">IF(D97=1,INDEX(Grid!$R$6:$X$156,C97+1,B97+1),"")</f>
        <v>0</v>
      </c>
      <c r="I97" s="2" t="str">
        <f aca="false">IF(D97=1,INDEX(Sch_label,H97+1),"")</f>
        <v>none</v>
      </c>
      <c r="J97" s="15" t="n">
        <f aca="false">IF(D97=1,INDEX(Grid!$Z$6:$AF$156,C97+1,B97+1),0)</f>
        <v>0</v>
      </c>
      <c r="K97" s="16" t="n">
        <f aca="false">IF(J97=1,E97,0)</f>
        <v>0</v>
      </c>
      <c r="L97" s="17" t="n">
        <f aca="false">IF(D97=1,E97+W_board*F97,"")</f>
        <v>53.6363636363636</v>
      </c>
      <c r="Z97" s="12" t="str">
        <f aca="false">IF(AND($J97=1,$M97=1),N97*E97/Span_P+O97*F97/Span_S+P97*G97/Span_B,"")</f>
        <v/>
      </c>
      <c r="AA97" s="12" t="str">
        <f aca="false">IF(AND($J97=1,$M97=1),SUMPRODUCT(MAX($J$6:$J$1062*(N97*$K$6:$K$1062/Span_P+O97*$F$6:$F$1062/Span_S+P97*$G$6:$G$1062/Span_B)-(1-$J$6:$J$1062)*1000000000)),"")</f>
        <v/>
      </c>
      <c r="AB97" s="15" t="str">
        <f aca="false">IF(AND($J97=1,$M97=1),IF(AA97-Z97&lt;=0.000000001,1,0),"")</f>
        <v/>
      </c>
      <c r="AC97" s="13" t="str">
        <f aca="false">IF(AND($J97=1,$M97=0),IF(S97="",0,S97*INDEX(Grid!$B$6:$H$156,R97+1,Q97+1))+IF(V97="",0,V97*INDEX(Grid!$B$6:$H$156,U97+1,T97+1))+IF(Y97="",0,Y97*INDEX(Grid!$B$6:$H$156,X97+1,W97+1)),"")</f>
        <v/>
      </c>
      <c r="AD97" s="13" t="str">
        <f aca="false">IF(AND($J97=1,$M97=0),IF(S97="",0,S97*Val_pt*(Ceiling_e-E_zero)*(1-(1-Half_gap)^Q97))+IF(V97="",0,V97*Val_pt*(Ceiling_e-E_zero)*(1-(1-Half_gap)^T97))+IF(Y97="",0,Y97*Val_pt*(Ceiling_e-E_zero)*(1-(1-Half_gap)^W97)),"")</f>
        <v/>
      </c>
      <c r="AE97" s="13" t="str">
        <f aca="false">IF(AND($J97=1,$M97=0),IF(S97="",0,S97*R97)+IF(V97="",0,V97*U97)+IF(Y97="",0,Y97*X97),"")</f>
        <v/>
      </c>
      <c r="AF97" s="12" t="str">
        <f aca="false">IF(AND($J97=1,$M97=0),MIN((AC97-E97)/Span_P,(AD97-F97)/Span_S,(AE97-G97)/Span_B),"")</f>
        <v/>
      </c>
      <c r="AG97" s="15" t="str">
        <f aca="false">IF(AND($J97=1,$M97=0),IF(AF97&gt;0.0000001,1,0),"")</f>
        <v/>
      </c>
      <c r="AH97" s="15" t="str">
        <f aca="false">IF($J97=1,IF($M97=1,AB97,AG97),"")</f>
        <v/>
      </c>
      <c r="AI97" s="13" t="str">
        <f aca="false">IF($J97=1,(Ideal_P-E97)/Span_P,"")</f>
        <v/>
      </c>
      <c r="AJ97" s="13" t="str">
        <f aca="false">IF($J97=1,(Ideal_S-F97)/Span_S,"")</f>
        <v/>
      </c>
      <c r="AK97" s="13" t="str">
        <f aca="false">IF($J97=1,(Ideal_B-G97)/Span_B,"")</f>
        <v/>
      </c>
      <c r="AL97" s="12" t="str">
        <f aca="false">IF($J97=1,MAX(ChA_1*AI97,ChA_2*AJ97,ChA_3*AK97)+Rho*(ChA_1*AI97+ChA_2*AJ97+ChA_3*AK97),"")</f>
        <v/>
      </c>
      <c r="AM97" s="12" t="str">
        <f aca="false">IF($J97=1,MAX(ChB_1*AI97,ChB_2*AJ97,ChB_3*AK97)+Rho*(ChB_1*AI97+ChB_2*AJ97+ChB_3*AK97),"")</f>
        <v/>
      </c>
      <c r="AN97" s="12" t="str">
        <f aca="false">IF($J97=1,MAX(Cx_1*(Ref_P-E97)/Span_P,Cx_2*(Ref_S-F97)/Span_S,Cx_3*(Ref_B-G97)/Span_B),"")</f>
        <v/>
      </c>
    </row>
    <row r="98" customFormat="false" ht="15" hidden="false" customHeight="false" outlineLevel="0" collapsed="false">
      <c r="A98" s="2" t="n">
        <v>92</v>
      </c>
      <c r="B98" s="15" t="n">
        <f aca="false">INT(A98/151)</f>
        <v>0</v>
      </c>
      <c r="C98" s="15" t="n">
        <f aca="false">MOD(A98,151)</f>
        <v>92</v>
      </c>
      <c r="D98" s="15" t="n">
        <f aca="false">INDEX(Grid!$J$6:$P$156,C98+1,B98+1)</f>
        <v>1</v>
      </c>
      <c r="E98" s="16" t="n">
        <f aca="false">IF(D98=1,INDEX(Grid!$B$6:$H$156,C98+1,B98+1),"")</f>
        <v>52.7272727272727</v>
      </c>
      <c r="F98" s="13" t="n">
        <f aca="false">Val_pt*(Ceiling_e-E_zero)*(1-(1-Half_gap)^B98)</f>
        <v>0</v>
      </c>
      <c r="G98" s="15" t="n">
        <f aca="false">C98</f>
        <v>92</v>
      </c>
      <c r="H98" s="15" t="n">
        <f aca="false">IF(D98=1,INDEX(Grid!$R$6:$X$156,C98+1,B98+1),"")</f>
        <v>0</v>
      </c>
      <c r="I98" s="2" t="str">
        <f aca="false">IF(D98=1,INDEX(Sch_label,H98+1),"")</f>
        <v>none</v>
      </c>
      <c r="J98" s="15" t="n">
        <f aca="false">IF(D98=1,INDEX(Grid!$Z$6:$AF$156,C98+1,B98+1),0)</f>
        <v>0</v>
      </c>
      <c r="K98" s="16" t="n">
        <f aca="false">IF(J98=1,E98,0)</f>
        <v>0</v>
      </c>
      <c r="L98" s="17" t="n">
        <f aca="false">IF(D98=1,E98+W_board*F98,"")</f>
        <v>52.7272727272727</v>
      </c>
      <c r="Z98" s="12" t="str">
        <f aca="false">IF(AND($J98=1,$M98=1),N98*E98/Span_P+O98*F98/Span_S+P98*G98/Span_B,"")</f>
        <v/>
      </c>
      <c r="AA98" s="12" t="str">
        <f aca="false">IF(AND($J98=1,$M98=1),SUMPRODUCT(MAX($J$6:$J$1062*(N98*$K$6:$K$1062/Span_P+O98*$F$6:$F$1062/Span_S+P98*$G$6:$G$1062/Span_B)-(1-$J$6:$J$1062)*1000000000)),"")</f>
        <v/>
      </c>
      <c r="AB98" s="15" t="str">
        <f aca="false">IF(AND($J98=1,$M98=1),IF(AA98-Z98&lt;=0.000000001,1,0),"")</f>
        <v/>
      </c>
      <c r="AC98" s="13" t="str">
        <f aca="false">IF(AND($J98=1,$M98=0),IF(S98="",0,S98*INDEX(Grid!$B$6:$H$156,R98+1,Q98+1))+IF(V98="",0,V98*INDEX(Grid!$B$6:$H$156,U98+1,T98+1))+IF(Y98="",0,Y98*INDEX(Grid!$B$6:$H$156,X98+1,W98+1)),"")</f>
        <v/>
      </c>
      <c r="AD98" s="13" t="str">
        <f aca="false">IF(AND($J98=1,$M98=0),IF(S98="",0,S98*Val_pt*(Ceiling_e-E_zero)*(1-(1-Half_gap)^Q98))+IF(V98="",0,V98*Val_pt*(Ceiling_e-E_zero)*(1-(1-Half_gap)^T98))+IF(Y98="",0,Y98*Val_pt*(Ceiling_e-E_zero)*(1-(1-Half_gap)^W98)),"")</f>
        <v/>
      </c>
      <c r="AE98" s="13" t="str">
        <f aca="false">IF(AND($J98=1,$M98=0),IF(S98="",0,S98*R98)+IF(V98="",0,V98*U98)+IF(Y98="",0,Y98*X98),"")</f>
        <v/>
      </c>
      <c r="AF98" s="12" t="str">
        <f aca="false">IF(AND($J98=1,$M98=0),MIN((AC98-E98)/Span_P,(AD98-F98)/Span_S,(AE98-G98)/Span_B),"")</f>
        <v/>
      </c>
      <c r="AG98" s="15" t="str">
        <f aca="false">IF(AND($J98=1,$M98=0),IF(AF98&gt;0.0000001,1,0),"")</f>
        <v/>
      </c>
      <c r="AH98" s="15" t="str">
        <f aca="false">IF($J98=1,IF($M98=1,AB98,AG98),"")</f>
        <v/>
      </c>
      <c r="AI98" s="13" t="str">
        <f aca="false">IF($J98=1,(Ideal_P-E98)/Span_P,"")</f>
        <v/>
      </c>
      <c r="AJ98" s="13" t="str">
        <f aca="false">IF($J98=1,(Ideal_S-F98)/Span_S,"")</f>
        <v/>
      </c>
      <c r="AK98" s="13" t="str">
        <f aca="false">IF($J98=1,(Ideal_B-G98)/Span_B,"")</f>
        <v/>
      </c>
      <c r="AL98" s="12" t="str">
        <f aca="false">IF($J98=1,MAX(ChA_1*AI98,ChA_2*AJ98,ChA_3*AK98)+Rho*(ChA_1*AI98+ChA_2*AJ98+ChA_3*AK98),"")</f>
        <v/>
      </c>
      <c r="AM98" s="12" t="str">
        <f aca="false">IF($J98=1,MAX(ChB_1*AI98,ChB_2*AJ98,ChB_3*AK98)+Rho*(ChB_1*AI98+ChB_2*AJ98+ChB_3*AK98),"")</f>
        <v/>
      </c>
      <c r="AN98" s="12" t="str">
        <f aca="false">IF($J98=1,MAX(Cx_1*(Ref_P-E98)/Span_P,Cx_2*(Ref_S-F98)/Span_S,Cx_3*(Ref_B-G98)/Span_B),"")</f>
        <v/>
      </c>
    </row>
    <row r="99" customFormat="false" ht="15" hidden="false" customHeight="false" outlineLevel="0" collapsed="false">
      <c r="A99" s="2" t="n">
        <v>93</v>
      </c>
      <c r="B99" s="15" t="n">
        <f aca="false">INT(A99/151)</f>
        <v>0</v>
      </c>
      <c r="C99" s="15" t="n">
        <f aca="false">MOD(A99,151)</f>
        <v>93</v>
      </c>
      <c r="D99" s="15" t="n">
        <f aca="false">INDEX(Grid!$J$6:$P$156,C99+1,B99+1)</f>
        <v>1</v>
      </c>
      <c r="E99" s="16" t="n">
        <f aca="false">IF(D99=1,INDEX(Grid!$B$6:$H$156,C99+1,B99+1),"")</f>
        <v>51.8181818181818</v>
      </c>
      <c r="F99" s="13" t="n">
        <f aca="false">Val_pt*(Ceiling_e-E_zero)*(1-(1-Half_gap)^B99)</f>
        <v>0</v>
      </c>
      <c r="G99" s="15" t="n">
        <f aca="false">C99</f>
        <v>93</v>
      </c>
      <c r="H99" s="15" t="n">
        <f aca="false">IF(D99=1,INDEX(Grid!$R$6:$X$156,C99+1,B99+1),"")</f>
        <v>0</v>
      </c>
      <c r="I99" s="2" t="str">
        <f aca="false">IF(D99=1,INDEX(Sch_label,H99+1),"")</f>
        <v>none</v>
      </c>
      <c r="J99" s="15" t="n">
        <f aca="false">IF(D99=1,INDEX(Grid!$Z$6:$AF$156,C99+1,B99+1),0)</f>
        <v>0</v>
      </c>
      <c r="K99" s="16" t="n">
        <f aca="false">IF(J99=1,E99,0)</f>
        <v>0</v>
      </c>
      <c r="L99" s="17" t="n">
        <f aca="false">IF(D99=1,E99+W_board*F99,"")</f>
        <v>51.8181818181818</v>
      </c>
      <c r="Z99" s="12" t="str">
        <f aca="false">IF(AND($J99=1,$M99=1),N99*E99/Span_P+O99*F99/Span_S+P99*G99/Span_B,"")</f>
        <v/>
      </c>
      <c r="AA99" s="12" t="str">
        <f aca="false">IF(AND($J99=1,$M99=1),SUMPRODUCT(MAX($J$6:$J$1062*(N99*$K$6:$K$1062/Span_P+O99*$F$6:$F$1062/Span_S+P99*$G$6:$G$1062/Span_B)-(1-$J$6:$J$1062)*1000000000)),"")</f>
        <v/>
      </c>
      <c r="AB99" s="15" t="str">
        <f aca="false">IF(AND($J99=1,$M99=1),IF(AA99-Z99&lt;=0.000000001,1,0),"")</f>
        <v/>
      </c>
      <c r="AC99" s="13" t="str">
        <f aca="false">IF(AND($J99=1,$M99=0),IF(S99="",0,S99*INDEX(Grid!$B$6:$H$156,R99+1,Q99+1))+IF(V99="",0,V99*INDEX(Grid!$B$6:$H$156,U99+1,T99+1))+IF(Y99="",0,Y99*INDEX(Grid!$B$6:$H$156,X99+1,W99+1)),"")</f>
        <v/>
      </c>
      <c r="AD99" s="13" t="str">
        <f aca="false">IF(AND($J99=1,$M99=0),IF(S99="",0,S99*Val_pt*(Ceiling_e-E_zero)*(1-(1-Half_gap)^Q99))+IF(V99="",0,V99*Val_pt*(Ceiling_e-E_zero)*(1-(1-Half_gap)^T99))+IF(Y99="",0,Y99*Val_pt*(Ceiling_e-E_zero)*(1-(1-Half_gap)^W99)),"")</f>
        <v/>
      </c>
      <c r="AE99" s="13" t="str">
        <f aca="false">IF(AND($J99=1,$M99=0),IF(S99="",0,S99*R99)+IF(V99="",0,V99*U99)+IF(Y99="",0,Y99*X99),"")</f>
        <v/>
      </c>
      <c r="AF99" s="12" t="str">
        <f aca="false">IF(AND($J99=1,$M99=0),MIN((AC99-E99)/Span_P,(AD99-F99)/Span_S,(AE99-G99)/Span_B),"")</f>
        <v/>
      </c>
      <c r="AG99" s="15" t="str">
        <f aca="false">IF(AND($J99=1,$M99=0),IF(AF99&gt;0.0000001,1,0),"")</f>
        <v/>
      </c>
      <c r="AH99" s="15" t="str">
        <f aca="false">IF($J99=1,IF($M99=1,AB99,AG99),"")</f>
        <v/>
      </c>
      <c r="AI99" s="13" t="str">
        <f aca="false">IF($J99=1,(Ideal_P-E99)/Span_P,"")</f>
        <v/>
      </c>
      <c r="AJ99" s="13" t="str">
        <f aca="false">IF($J99=1,(Ideal_S-F99)/Span_S,"")</f>
        <v/>
      </c>
      <c r="AK99" s="13" t="str">
        <f aca="false">IF($J99=1,(Ideal_B-G99)/Span_B,"")</f>
        <v/>
      </c>
      <c r="AL99" s="12" t="str">
        <f aca="false">IF($J99=1,MAX(ChA_1*AI99,ChA_2*AJ99,ChA_3*AK99)+Rho*(ChA_1*AI99+ChA_2*AJ99+ChA_3*AK99),"")</f>
        <v/>
      </c>
      <c r="AM99" s="12" t="str">
        <f aca="false">IF($J99=1,MAX(ChB_1*AI99,ChB_2*AJ99,ChB_3*AK99)+Rho*(ChB_1*AI99+ChB_2*AJ99+ChB_3*AK99),"")</f>
        <v/>
      </c>
      <c r="AN99" s="12" t="str">
        <f aca="false">IF($J99=1,MAX(Cx_1*(Ref_P-E99)/Span_P,Cx_2*(Ref_S-F99)/Span_S,Cx_3*(Ref_B-G99)/Span_B),"")</f>
        <v/>
      </c>
    </row>
    <row r="100" customFormat="false" ht="15" hidden="false" customHeight="false" outlineLevel="0" collapsed="false">
      <c r="A100" s="2" t="n">
        <v>94</v>
      </c>
      <c r="B100" s="15" t="n">
        <f aca="false">INT(A100/151)</f>
        <v>0</v>
      </c>
      <c r="C100" s="15" t="n">
        <f aca="false">MOD(A100,151)</f>
        <v>94</v>
      </c>
      <c r="D100" s="15" t="n">
        <f aca="false">INDEX(Grid!$J$6:$P$156,C100+1,B100+1)</f>
        <v>1</v>
      </c>
      <c r="E100" s="16" t="n">
        <f aca="false">IF(D100=1,INDEX(Grid!$B$6:$H$156,C100+1,B100+1),"")</f>
        <v>50.9090909090909</v>
      </c>
      <c r="F100" s="13" t="n">
        <f aca="false">Val_pt*(Ceiling_e-E_zero)*(1-(1-Half_gap)^B100)</f>
        <v>0</v>
      </c>
      <c r="G100" s="15" t="n">
        <f aca="false">C100</f>
        <v>94</v>
      </c>
      <c r="H100" s="15" t="n">
        <f aca="false">IF(D100=1,INDEX(Grid!$R$6:$X$156,C100+1,B100+1),"")</f>
        <v>0</v>
      </c>
      <c r="I100" s="2" t="str">
        <f aca="false">IF(D100=1,INDEX(Sch_label,H100+1),"")</f>
        <v>none</v>
      </c>
      <c r="J100" s="15" t="n">
        <f aca="false">IF(D100=1,INDEX(Grid!$Z$6:$AF$156,C100+1,B100+1),0)</f>
        <v>0</v>
      </c>
      <c r="K100" s="16" t="n">
        <f aca="false">IF(J100=1,E100,0)</f>
        <v>0</v>
      </c>
      <c r="L100" s="17" t="n">
        <f aca="false">IF(D100=1,E100+W_board*F100,"")</f>
        <v>50.9090909090909</v>
      </c>
      <c r="Z100" s="12" t="str">
        <f aca="false">IF(AND($J100=1,$M100=1),N100*E100/Span_P+O100*F100/Span_S+P100*G100/Span_B,"")</f>
        <v/>
      </c>
      <c r="AA100" s="12" t="str">
        <f aca="false">IF(AND($J100=1,$M100=1),SUMPRODUCT(MAX($J$6:$J$1062*(N100*$K$6:$K$1062/Span_P+O100*$F$6:$F$1062/Span_S+P100*$G$6:$G$1062/Span_B)-(1-$J$6:$J$1062)*1000000000)),"")</f>
        <v/>
      </c>
      <c r="AB100" s="15" t="str">
        <f aca="false">IF(AND($J100=1,$M100=1),IF(AA100-Z100&lt;=0.000000001,1,0),"")</f>
        <v/>
      </c>
      <c r="AC100" s="13" t="str">
        <f aca="false">IF(AND($J100=1,$M100=0),IF(S100="",0,S100*INDEX(Grid!$B$6:$H$156,R100+1,Q100+1))+IF(V100="",0,V100*INDEX(Grid!$B$6:$H$156,U100+1,T100+1))+IF(Y100="",0,Y100*INDEX(Grid!$B$6:$H$156,X100+1,W100+1)),"")</f>
        <v/>
      </c>
      <c r="AD100" s="13" t="str">
        <f aca="false">IF(AND($J100=1,$M100=0),IF(S100="",0,S100*Val_pt*(Ceiling_e-E_zero)*(1-(1-Half_gap)^Q100))+IF(V100="",0,V100*Val_pt*(Ceiling_e-E_zero)*(1-(1-Half_gap)^T100))+IF(Y100="",0,Y100*Val_pt*(Ceiling_e-E_zero)*(1-(1-Half_gap)^W100)),"")</f>
        <v/>
      </c>
      <c r="AE100" s="13" t="str">
        <f aca="false">IF(AND($J100=1,$M100=0),IF(S100="",0,S100*R100)+IF(V100="",0,V100*U100)+IF(Y100="",0,Y100*X100),"")</f>
        <v/>
      </c>
      <c r="AF100" s="12" t="str">
        <f aca="false">IF(AND($J100=1,$M100=0),MIN((AC100-E100)/Span_P,(AD100-F100)/Span_S,(AE100-G100)/Span_B),"")</f>
        <v/>
      </c>
      <c r="AG100" s="15" t="str">
        <f aca="false">IF(AND($J100=1,$M100=0),IF(AF100&gt;0.0000001,1,0),"")</f>
        <v/>
      </c>
      <c r="AH100" s="15" t="str">
        <f aca="false">IF($J100=1,IF($M100=1,AB100,AG100),"")</f>
        <v/>
      </c>
      <c r="AI100" s="13" t="str">
        <f aca="false">IF($J100=1,(Ideal_P-E100)/Span_P,"")</f>
        <v/>
      </c>
      <c r="AJ100" s="13" t="str">
        <f aca="false">IF($J100=1,(Ideal_S-F100)/Span_S,"")</f>
        <v/>
      </c>
      <c r="AK100" s="13" t="str">
        <f aca="false">IF($J100=1,(Ideal_B-G100)/Span_B,"")</f>
        <v/>
      </c>
      <c r="AL100" s="12" t="str">
        <f aca="false">IF($J100=1,MAX(ChA_1*AI100,ChA_2*AJ100,ChA_3*AK100)+Rho*(ChA_1*AI100+ChA_2*AJ100+ChA_3*AK100),"")</f>
        <v/>
      </c>
      <c r="AM100" s="12" t="str">
        <f aca="false">IF($J100=1,MAX(ChB_1*AI100,ChB_2*AJ100,ChB_3*AK100)+Rho*(ChB_1*AI100+ChB_2*AJ100+ChB_3*AK100),"")</f>
        <v/>
      </c>
      <c r="AN100" s="12" t="str">
        <f aca="false">IF($J100=1,MAX(Cx_1*(Ref_P-E100)/Span_P,Cx_2*(Ref_S-F100)/Span_S,Cx_3*(Ref_B-G100)/Span_B),"")</f>
        <v/>
      </c>
    </row>
    <row r="101" customFormat="false" ht="15" hidden="false" customHeight="false" outlineLevel="0" collapsed="false">
      <c r="A101" s="2" t="n">
        <v>95</v>
      </c>
      <c r="B101" s="15" t="n">
        <f aca="false">INT(A101/151)</f>
        <v>0</v>
      </c>
      <c r="C101" s="15" t="n">
        <f aca="false">MOD(A101,151)</f>
        <v>95</v>
      </c>
      <c r="D101" s="15" t="n">
        <f aca="false">INDEX(Grid!$J$6:$P$156,C101+1,B101+1)</f>
        <v>1</v>
      </c>
      <c r="E101" s="16" t="n">
        <f aca="false">IF(D101=1,INDEX(Grid!$B$6:$H$156,C101+1,B101+1),"")</f>
        <v>50</v>
      </c>
      <c r="F101" s="13" t="n">
        <f aca="false">Val_pt*(Ceiling_e-E_zero)*(1-(1-Half_gap)^B101)</f>
        <v>0</v>
      </c>
      <c r="G101" s="15" t="n">
        <f aca="false">C101</f>
        <v>95</v>
      </c>
      <c r="H101" s="15" t="n">
        <f aca="false">IF(D101=1,INDEX(Grid!$R$6:$X$156,C101+1,B101+1),"")</f>
        <v>0</v>
      </c>
      <c r="I101" s="2" t="str">
        <f aca="false">IF(D101=1,INDEX(Sch_label,H101+1),"")</f>
        <v>none</v>
      </c>
      <c r="J101" s="15" t="n">
        <f aca="false">IF(D101=1,INDEX(Grid!$Z$6:$AF$156,C101+1,B101+1),0)</f>
        <v>0</v>
      </c>
      <c r="K101" s="16" t="n">
        <f aca="false">IF(J101=1,E101,0)</f>
        <v>0</v>
      </c>
      <c r="L101" s="17" t="n">
        <f aca="false">IF(D101=1,E101+W_board*F101,"")</f>
        <v>50</v>
      </c>
      <c r="Z101" s="12" t="str">
        <f aca="false">IF(AND($J101=1,$M101=1),N101*E101/Span_P+O101*F101/Span_S+P101*G101/Span_B,"")</f>
        <v/>
      </c>
      <c r="AA101" s="12" t="str">
        <f aca="false">IF(AND($J101=1,$M101=1),SUMPRODUCT(MAX($J$6:$J$1062*(N101*$K$6:$K$1062/Span_P+O101*$F$6:$F$1062/Span_S+P101*$G$6:$G$1062/Span_B)-(1-$J$6:$J$1062)*1000000000)),"")</f>
        <v/>
      </c>
      <c r="AB101" s="15" t="str">
        <f aca="false">IF(AND($J101=1,$M101=1),IF(AA101-Z101&lt;=0.000000001,1,0),"")</f>
        <v/>
      </c>
      <c r="AC101" s="13" t="str">
        <f aca="false">IF(AND($J101=1,$M101=0),IF(S101="",0,S101*INDEX(Grid!$B$6:$H$156,R101+1,Q101+1))+IF(V101="",0,V101*INDEX(Grid!$B$6:$H$156,U101+1,T101+1))+IF(Y101="",0,Y101*INDEX(Grid!$B$6:$H$156,X101+1,W101+1)),"")</f>
        <v/>
      </c>
      <c r="AD101" s="13" t="str">
        <f aca="false">IF(AND($J101=1,$M101=0),IF(S101="",0,S101*Val_pt*(Ceiling_e-E_zero)*(1-(1-Half_gap)^Q101))+IF(V101="",0,V101*Val_pt*(Ceiling_e-E_zero)*(1-(1-Half_gap)^T101))+IF(Y101="",0,Y101*Val_pt*(Ceiling_e-E_zero)*(1-(1-Half_gap)^W101)),"")</f>
        <v/>
      </c>
      <c r="AE101" s="13" t="str">
        <f aca="false">IF(AND($J101=1,$M101=0),IF(S101="",0,S101*R101)+IF(V101="",0,V101*U101)+IF(Y101="",0,Y101*X101),"")</f>
        <v/>
      </c>
      <c r="AF101" s="12" t="str">
        <f aca="false">IF(AND($J101=1,$M101=0),MIN((AC101-E101)/Span_P,(AD101-F101)/Span_S,(AE101-G101)/Span_B),"")</f>
        <v/>
      </c>
      <c r="AG101" s="15" t="str">
        <f aca="false">IF(AND($J101=1,$M101=0),IF(AF101&gt;0.0000001,1,0),"")</f>
        <v/>
      </c>
      <c r="AH101" s="15" t="str">
        <f aca="false">IF($J101=1,IF($M101=1,AB101,AG101),"")</f>
        <v/>
      </c>
      <c r="AI101" s="13" t="str">
        <f aca="false">IF($J101=1,(Ideal_P-E101)/Span_P,"")</f>
        <v/>
      </c>
      <c r="AJ101" s="13" t="str">
        <f aca="false">IF($J101=1,(Ideal_S-F101)/Span_S,"")</f>
        <v/>
      </c>
      <c r="AK101" s="13" t="str">
        <f aca="false">IF($J101=1,(Ideal_B-G101)/Span_B,"")</f>
        <v/>
      </c>
      <c r="AL101" s="12" t="str">
        <f aca="false">IF($J101=1,MAX(ChA_1*AI101,ChA_2*AJ101,ChA_3*AK101)+Rho*(ChA_1*AI101+ChA_2*AJ101+ChA_3*AK101),"")</f>
        <v/>
      </c>
      <c r="AM101" s="12" t="str">
        <f aca="false">IF($J101=1,MAX(ChB_1*AI101,ChB_2*AJ101,ChB_3*AK101)+Rho*(ChB_1*AI101+ChB_2*AJ101+ChB_3*AK101),"")</f>
        <v/>
      </c>
      <c r="AN101" s="12" t="str">
        <f aca="false">IF($J101=1,MAX(Cx_1*(Ref_P-E101)/Span_P,Cx_2*(Ref_S-F101)/Span_S,Cx_3*(Ref_B-G101)/Span_B),"")</f>
        <v/>
      </c>
    </row>
    <row r="102" customFormat="false" ht="15" hidden="false" customHeight="false" outlineLevel="0" collapsed="false">
      <c r="A102" s="2" t="n">
        <v>96</v>
      </c>
      <c r="B102" s="15" t="n">
        <f aca="false">INT(A102/151)</f>
        <v>0</v>
      </c>
      <c r="C102" s="15" t="n">
        <f aca="false">MOD(A102,151)</f>
        <v>96</v>
      </c>
      <c r="D102" s="15" t="n">
        <f aca="false">INDEX(Grid!$J$6:$P$156,C102+1,B102+1)</f>
        <v>1</v>
      </c>
      <c r="E102" s="16" t="n">
        <f aca="false">IF(D102=1,INDEX(Grid!$B$6:$H$156,C102+1,B102+1),"")</f>
        <v>49.0909090909091</v>
      </c>
      <c r="F102" s="13" t="n">
        <f aca="false">Val_pt*(Ceiling_e-E_zero)*(1-(1-Half_gap)^B102)</f>
        <v>0</v>
      </c>
      <c r="G102" s="15" t="n">
        <f aca="false">C102</f>
        <v>96</v>
      </c>
      <c r="H102" s="15" t="n">
        <f aca="false">IF(D102=1,INDEX(Grid!$R$6:$X$156,C102+1,B102+1),"")</f>
        <v>0</v>
      </c>
      <c r="I102" s="2" t="str">
        <f aca="false">IF(D102=1,INDEX(Sch_label,H102+1),"")</f>
        <v>none</v>
      </c>
      <c r="J102" s="15" t="n">
        <f aca="false">IF(D102=1,INDEX(Grid!$Z$6:$AF$156,C102+1,B102+1),0)</f>
        <v>0</v>
      </c>
      <c r="K102" s="16" t="n">
        <f aca="false">IF(J102=1,E102,0)</f>
        <v>0</v>
      </c>
      <c r="L102" s="17" t="n">
        <f aca="false">IF(D102=1,E102+W_board*F102,"")</f>
        <v>49.0909090909091</v>
      </c>
      <c r="Z102" s="12" t="str">
        <f aca="false">IF(AND($J102=1,$M102=1),N102*E102/Span_P+O102*F102/Span_S+P102*G102/Span_B,"")</f>
        <v/>
      </c>
      <c r="AA102" s="12" t="str">
        <f aca="false">IF(AND($J102=1,$M102=1),SUMPRODUCT(MAX($J$6:$J$1062*(N102*$K$6:$K$1062/Span_P+O102*$F$6:$F$1062/Span_S+P102*$G$6:$G$1062/Span_B)-(1-$J$6:$J$1062)*1000000000)),"")</f>
        <v/>
      </c>
      <c r="AB102" s="15" t="str">
        <f aca="false">IF(AND($J102=1,$M102=1),IF(AA102-Z102&lt;=0.000000001,1,0),"")</f>
        <v/>
      </c>
      <c r="AC102" s="13" t="str">
        <f aca="false">IF(AND($J102=1,$M102=0),IF(S102="",0,S102*INDEX(Grid!$B$6:$H$156,R102+1,Q102+1))+IF(V102="",0,V102*INDEX(Grid!$B$6:$H$156,U102+1,T102+1))+IF(Y102="",0,Y102*INDEX(Grid!$B$6:$H$156,X102+1,W102+1)),"")</f>
        <v/>
      </c>
      <c r="AD102" s="13" t="str">
        <f aca="false">IF(AND($J102=1,$M102=0),IF(S102="",0,S102*Val_pt*(Ceiling_e-E_zero)*(1-(1-Half_gap)^Q102))+IF(V102="",0,V102*Val_pt*(Ceiling_e-E_zero)*(1-(1-Half_gap)^T102))+IF(Y102="",0,Y102*Val_pt*(Ceiling_e-E_zero)*(1-(1-Half_gap)^W102)),"")</f>
        <v/>
      </c>
      <c r="AE102" s="13" t="str">
        <f aca="false">IF(AND($J102=1,$M102=0),IF(S102="",0,S102*R102)+IF(V102="",0,V102*U102)+IF(Y102="",0,Y102*X102),"")</f>
        <v/>
      </c>
      <c r="AF102" s="12" t="str">
        <f aca="false">IF(AND($J102=1,$M102=0),MIN((AC102-E102)/Span_P,(AD102-F102)/Span_S,(AE102-G102)/Span_B),"")</f>
        <v/>
      </c>
      <c r="AG102" s="15" t="str">
        <f aca="false">IF(AND($J102=1,$M102=0),IF(AF102&gt;0.0000001,1,0),"")</f>
        <v/>
      </c>
      <c r="AH102" s="15" t="str">
        <f aca="false">IF($J102=1,IF($M102=1,AB102,AG102),"")</f>
        <v/>
      </c>
      <c r="AI102" s="13" t="str">
        <f aca="false">IF($J102=1,(Ideal_P-E102)/Span_P,"")</f>
        <v/>
      </c>
      <c r="AJ102" s="13" t="str">
        <f aca="false">IF($J102=1,(Ideal_S-F102)/Span_S,"")</f>
        <v/>
      </c>
      <c r="AK102" s="13" t="str">
        <f aca="false">IF($J102=1,(Ideal_B-G102)/Span_B,"")</f>
        <v/>
      </c>
      <c r="AL102" s="12" t="str">
        <f aca="false">IF($J102=1,MAX(ChA_1*AI102,ChA_2*AJ102,ChA_3*AK102)+Rho*(ChA_1*AI102+ChA_2*AJ102+ChA_3*AK102),"")</f>
        <v/>
      </c>
      <c r="AM102" s="12" t="str">
        <f aca="false">IF($J102=1,MAX(ChB_1*AI102,ChB_2*AJ102,ChB_3*AK102)+Rho*(ChB_1*AI102+ChB_2*AJ102+ChB_3*AK102),"")</f>
        <v/>
      </c>
      <c r="AN102" s="12" t="str">
        <f aca="false">IF($J102=1,MAX(Cx_1*(Ref_P-E102)/Span_P,Cx_2*(Ref_S-F102)/Span_S,Cx_3*(Ref_B-G102)/Span_B),"")</f>
        <v/>
      </c>
    </row>
    <row r="103" customFormat="false" ht="15" hidden="false" customHeight="false" outlineLevel="0" collapsed="false">
      <c r="A103" s="2" t="n">
        <v>97</v>
      </c>
      <c r="B103" s="15" t="n">
        <f aca="false">INT(A103/151)</f>
        <v>0</v>
      </c>
      <c r="C103" s="15" t="n">
        <f aca="false">MOD(A103,151)</f>
        <v>97</v>
      </c>
      <c r="D103" s="15" t="n">
        <f aca="false">INDEX(Grid!$J$6:$P$156,C103+1,B103+1)</f>
        <v>1</v>
      </c>
      <c r="E103" s="16" t="n">
        <f aca="false">IF(D103=1,INDEX(Grid!$B$6:$H$156,C103+1,B103+1),"")</f>
        <v>48.1818181818182</v>
      </c>
      <c r="F103" s="13" t="n">
        <f aca="false">Val_pt*(Ceiling_e-E_zero)*(1-(1-Half_gap)^B103)</f>
        <v>0</v>
      </c>
      <c r="G103" s="15" t="n">
        <f aca="false">C103</f>
        <v>97</v>
      </c>
      <c r="H103" s="15" t="n">
        <f aca="false">IF(D103=1,INDEX(Grid!$R$6:$X$156,C103+1,B103+1),"")</f>
        <v>0</v>
      </c>
      <c r="I103" s="2" t="str">
        <f aca="false">IF(D103=1,INDEX(Sch_label,H103+1),"")</f>
        <v>none</v>
      </c>
      <c r="J103" s="15" t="n">
        <f aca="false">IF(D103=1,INDEX(Grid!$Z$6:$AF$156,C103+1,B103+1),0)</f>
        <v>0</v>
      </c>
      <c r="K103" s="16" t="n">
        <f aca="false">IF(J103=1,E103,0)</f>
        <v>0</v>
      </c>
      <c r="L103" s="17" t="n">
        <f aca="false">IF(D103=1,E103+W_board*F103,"")</f>
        <v>48.1818181818182</v>
      </c>
      <c r="Z103" s="12" t="str">
        <f aca="false">IF(AND($J103=1,$M103=1),N103*E103/Span_P+O103*F103/Span_S+P103*G103/Span_B,"")</f>
        <v/>
      </c>
      <c r="AA103" s="12" t="str">
        <f aca="false">IF(AND($J103=1,$M103=1),SUMPRODUCT(MAX($J$6:$J$1062*(N103*$K$6:$K$1062/Span_P+O103*$F$6:$F$1062/Span_S+P103*$G$6:$G$1062/Span_B)-(1-$J$6:$J$1062)*1000000000)),"")</f>
        <v/>
      </c>
      <c r="AB103" s="15" t="str">
        <f aca="false">IF(AND($J103=1,$M103=1),IF(AA103-Z103&lt;=0.000000001,1,0),"")</f>
        <v/>
      </c>
      <c r="AC103" s="13" t="str">
        <f aca="false">IF(AND($J103=1,$M103=0),IF(S103="",0,S103*INDEX(Grid!$B$6:$H$156,R103+1,Q103+1))+IF(V103="",0,V103*INDEX(Grid!$B$6:$H$156,U103+1,T103+1))+IF(Y103="",0,Y103*INDEX(Grid!$B$6:$H$156,X103+1,W103+1)),"")</f>
        <v/>
      </c>
      <c r="AD103" s="13" t="str">
        <f aca="false">IF(AND($J103=1,$M103=0),IF(S103="",0,S103*Val_pt*(Ceiling_e-E_zero)*(1-(1-Half_gap)^Q103))+IF(V103="",0,V103*Val_pt*(Ceiling_e-E_zero)*(1-(1-Half_gap)^T103))+IF(Y103="",0,Y103*Val_pt*(Ceiling_e-E_zero)*(1-(1-Half_gap)^W103)),"")</f>
        <v/>
      </c>
      <c r="AE103" s="13" t="str">
        <f aca="false">IF(AND($J103=1,$M103=0),IF(S103="",0,S103*R103)+IF(V103="",0,V103*U103)+IF(Y103="",0,Y103*X103),"")</f>
        <v/>
      </c>
      <c r="AF103" s="12" t="str">
        <f aca="false">IF(AND($J103=1,$M103=0),MIN((AC103-E103)/Span_P,(AD103-F103)/Span_S,(AE103-G103)/Span_B),"")</f>
        <v/>
      </c>
      <c r="AG103" s="15" t="str">
        <f aca="false">IF(AND($J103=1,$M103=0),IF(AF103&gt;0.0000001,1,0),"")</f>
        <v/>
      </c>
      <c r="AH103" s="15" t="str">
        <f aca="false">IF($J103=1,IF($M103=1,AB103,AG103),"")</f>
        <v/>
      </c>
      <c r="AI103" s="13" t="str">
        <f aca="false">IF($J103=1,(Ideal_P-E103)/Span_P,"")</f>
        <v/>
      </c>
      <c r="AJ103" s="13" t="str">
        <f aca="false">IF($J103=1,(Ideal_S-F103)/Span_S,"")</f>
        <v/>
      </c>
      <c r="AK103" s="13" t="str">
        <f aca="false">IF($J103=1,(Ideal_B-G103)/Span_B,"")</f>
        <v/>
      </c>
      <c r="AL103" s="12" t="str">
        <f aca="false">IF($J103=1,MAX(ChA_1*AI103,ChA_2*AJ103,ChA_3*AK103)+Rho*(ChA_1*AI103+ChA_2*AJ103+ChA_3*AK103),"")</f>
        <v/>
      </c>
      <c r="AM103" s="12" t="str">
        <f aca="false">IF($J103=1,MAX(ChB_1*AI103,ChB_2*AJ103,ChB_3*AK103)+Rho*(ChB_1*AI103+ChB_2*AJ103+ChB_3*AK103),"")</f>
        <v/>
      </c>
      <c r="AN103" s="12" t="str">
        <f aca="false">IF($J103=1,MAX(Cx_1*(Ref_P-E103)/Span_P,Cx_2*(Ref_S-F103)/Span_S,Cx_3*(Ref_B-G103)/Span_B),"")</f>
        <v/>
      </c>
    </row>
    <row r="104" customFormat="false" ht="15" hidden="false" customHeight="false" outlineLevel="0" collapsed="false">
      <c r="A104" s="2" t="n">
        <v>98</v>
      </c>
      <c r="B104" s="15" t="n">
        <f aca="false">INT(A104/151)</f>
        <v>0</v>
      </c>
      <c r="C104" s="15" t="n">
        <f aca="false">MOD(A104,151)</f>
        <v>98</v>
      </c>
      <c r="D104" s="15" t="n">
        <f aca="false">INDEX(Grid!$J$6:$P$156,C104+1,B104+1)</f>
        <v>1</v>
      </c>
      <c r="E104" s="16" t="n">
        <f aca="false">IF(D104=1,INDEX(Grid!$B$6:$H$156,C104+1,B104+1),"")</f>
        <v>47.2727272727273</v>
      </c>
      <c r="F104" s="13" t="n">
        <f aca="false">Val_pt*(Ceiling_e-E_zero)*(1-(1-Half_gap)^B104)</f>
        <v>0</v>
      </c>
      <c r="G104" s="15" t="n">
        <f aca="false">C104</f>
        <v>98</v>
      </c>
      <c r="H104" s="15" t="n">
        <f aca="false">IF(D104=1,INDEX(Grid!$R$6:$X$156,C104+1,B104+1),"")</f>
        <v>0</v>
      </c>
      <c r="I104" s="2" t="str">
        <f aca="false">IF(D104=1,INDEX(Sch_label,H104+1),"")</f>
        <v>none</v>
      </c>
      <c r="J104" s="15" t="n">
        <f aca="false">IF(D104=1,INDEX(Grid!$Z$6:$AF$156,C104+1,B104+1),0)</f>
        <v>0</v>
      </c>
      <c r="K104" s="16" t="n">
        <f aca="false">IF(J104=1,E104,0)</f>
        <v>0</v>
      </c>
      <c r="L104" s="17" t="n">
        <f aca="false">IF(D104=1,E104+W_board*F104,"")</f>
        <v>47.2727272727273</v>
      </c>
      <c r="Z104" s="12" t="str">
        <f aca="false">IF(AND($J104=1,$M104=1),N104*E104/Span_P+O104*F104/Span_S+P104*G104/Span_B,"")</f>
        <v/>
      </c>
      <c r="AA104" s="12" t="str">
        <f aca="false">IF(AND($J104=1,$M104=1),SUMPRODUCT(MAX($J$6:$J$1062*(N104*$K$6:$K$1062/Span_P+O104*$F$6:$F$1062/Span_S+P104*$G$6:$G$1062/Span_B)-(1-$J$6:$J$1062)*1000000000)),"")</f>
        <v/>
      </c>
      <c r="AB104" s="15" t="str">
        <f aca="false">IF(AND($J104=1,$M104=1),IF(AA104-Z104&lt;=0.000000001,1,0),"")</f>
        <v/>
      </c>
      <c r="AC104" s="13" t="str">
        <f aca="false">IF(AND($J104=1,$M104=0),IF(S104="",0,S104*INDEX(Grid!$B$6:$H$156,R104+1,Q104+1))+IF(V104="",0,V104*INDEX(Grid!$B$6:$H$156,U104+1,T104+1))+IF(Y104="",0,Y104*INDEX(Grid!$B$6:$H$156,X104+1,W104+1)),"")</f>
        <v/>
      </c>
      <c r="AD104" s="13" t="str">
        <f aca="false">IF(AND($J104=1,$M104=0),IF(S104="",0,S104*Val_pt*(Ceiling_e-E_zero)*(1-(1-Half_gap)^Q104))+IF(V104="",0,V104*Val_pt*(Ceiling_e-E_zero)*(1-(1-Half_gap)^T104))+IF(Y104="",0,Y104*Val_pt*(Ceiling_e-E_zero)*(1-(1-Half_gap)^W104)),"")</f>
        <v/>
      </c>
      <c r="AE104" s="13" t="str">
        <f aca="false">IF(AND($J104=1,$M104=0),IF(S104="",0,S104*R104)+IF(V104="",0,V104*U104)+IF(Y104="",0,Y104*X104),"")</f>
        <v/>
      </c>
      <c r="AF104" s="12" t="str">
        <f aca="false">IF(AND($J104=1,$M104=0),MIN((AC104-E104)/Span_P,(AD104-F104)/Span_S,(AE104-G104)/Span_B),"")</f>
        <v/>
      </c>
      <c r="AG104" s="15" t="str">
        <f aca="false">IF(AND($J104=1,$M104=0),IF(AF104&gt;0.0000001,1,0),"")</f>
        <v/>
      </c>
      <c r="AH104" s="15" t="str">
        <f aca="false">IF($J104=1,IF($M104=1,AB104,AG104),"")</f>
        <v/>
      </c>
      <c r="AI104" s="13" t="str">
        <f aca="false">IF($J104=1,(Ideal_P-E104)/Span_P,"")</f>
        <v/>
      </c>
      <c r="AJ104" s="13" t="str">
        <f aca="false">IF($J104=1,(Ideal_S-F104)/Span_S,"")</f>
        <v/>
      </c>
      <c r="AK104" s="13" t="str">
        <f aca="false">IF($J104=1,(Ideal_B-G104)/Span_B,"")</f>
        <v/>
      </c>
      <c r="AL104" s="12" t="str">
        <f aca="false">IF($J104=1,MAX(ChA_1*AI104,ChA_2*AJ104,ChA_3*AK104)+Rho*(ChA_1*AI104+ChA_2*AJ104+ChA_3*AK104),"")</f>
        <v/>
      </c>
      <c r="AM104" s="12" t="str">
        <f aca="false">IF($J104=1,MAX(ChB_1*AI104,ChB_2*AJ104,ChB_3*AK104)+Rho*(ChB_1*AI104+ChB_2*AJ104+ChB_3*AK104),"")</f>
        <v/>
      </c>
      <c r="AN104" s="12" t="str">
        <f aca="false">IF($J104=1,MAX(Cx_1*(Ref_P-E104)/Span_P,Cx_2*(Ref_S-F104)/Span_S,Cx_3*(Ref_B-G104)/Span_B),"")</f>
        <v/>
      </c>
    </row>
    <row r="105" customFormat="false" ht="15" hidden="false" customHeight="false" outlineLevel="0" collapsed="false">
      <c r="A105" s="2" t="n">
        <v>99</v>
      </c>
      <c r="B105" s="15" t="n">
        <f aca="false">INT(A105/151)</f>
        <v>0</v>
      </c>
      <c r="C105" s="15" t="n">
        <f aca="false">MOD(A105,151)</f>
        <v>99</v>
      </c>
      <c r="D105" s="15" t="n">
        <f aca="false">INDEX(Grid!$J$6:$P$156,C105+1,B105+1)</f>
        <v>1</v>
      </c>
      <c r="E105" s="16" t="n">
        <f aca="false">IF(D105=1,INDEX(Grid!$B$6:$H$156,C105+1,B105+1),"")</f>
        <v>46.3636363636363</v>
      </c>
      <c r="F105" s="13" t="n">
        <f aca="false">Val_pt*(Ceiling_e-E_zero)*(1-(1-Half_gap)^B105)</f>
        <v>0</v>
      </c>
      <c r="G105" s="15" t="n">
        <f aca="false">C105</f>
        <v>99</v>
      </c>
      <c r="H105" s="15" t="n">
        <f aca="false">IF(D105=1,INDEX(Grid!$R$6:$X$156,C105+1,B105+1),"")</f>
        <v>0</v>
      </c>
      <c r="I105" s="2" t="str">
        <f aca="false">IF(D105=1,INDEX(Sch_label,H105+1),"")</f>
        <v>none</v>
      </c>
      <c r="J105" s="15" t="n">
        <f aca="false">IF(D105=1,INDEX(Grid!$Z$6:$AF$156,C105+1,B105+1),0)</f>
        <v>0</v>
      </c>
      <c r="K105" s="16" t="n">
        <f aca="false">IF(J105=1,E105,0)</f>
        <v>0</v>
      </c>
      <c r="L105" s="17" t="n">
        <f aca="false">IF(D105=1,E105+W_board*F105,"")</f>
        <v>46.3636363636363</v>
      </c>
      <c r="Z105" s="12" t="str">
        <f aca="false">IF(AND($J105=1,$M105=1),N105*E105/Span_P+O105*F105/Span_S+P105*G105/Span_B,"")</f>
        <v/>
      </c>
      <c r="AA105" s="12" t="str">
        <f aca="false">IF(AND($J105=1,$M105=1),SUMPRODUCT(MAX($J$6:$J$1062*(N105*$K$6:$K$1062/Span_P+O105*$F$6:$F$1062/Span_S+P105*$G$6:$G$1062/Span_B)-(1-$J$6:$J$1062)*1000000000)),"")</f>
        <v/>
      </c>
      <c r="AB105" s="15" t="str">
        <f aca="false">IF(AND($J105=1,$M105=1),IF(AA105-Z105&lt;=0.000000001,1,0),"")</f>
        <v/>
      </c>
      <c r="AC105" s="13" t="str">
        <f aca="false">IF(AND($J105=1,$M105=0),IF(S105="",0,S105*INDEX(Grid!$B$6:$H$156,R105+1,Q105+1))+IF(V105="",0,V105*INDEX(Grid!$B$6:$H$156,U105+1,T105+1))+IF(Y105="",0,Y105*INDEX(Grid!$B$6:$H$156,X105+1,W105+1)),"")</f>
        <v/>
      </c>
      <c r="AD105" s="13" t="str">
        <f aca="false">IF(AND($J105=1,$M105=0),IF(S105="",0,S105*Val_pt*(Ceiling_e-E_zero)*(1-(1-Half_gap)^Q105))+IF(V105="",0,V105*Val_pt*(Ceiling_e-E_zero)*(1-(1-Half_gap)^T105))+IF(Y105="",0,Y105*Val_pt*(Ceiling_e-E_zero)*(1-(1-Half_gap)^W105)),"")</f>
        <v/>
      </c>
      <c r="AE105" s="13" t="str">
        <f aca="false">IF(AND($J105=1,$M105=0),IF(S105="",0,S105*R105)+IF(V105="",0,V105*U105)+IF(Y105="",0,Y105*X105),"")</f>
        <v/>
      </c>
      <c r="AF105" s="12" t="str">
        <f aca="false">IF(AND($J105=1,$M105=0),MIN((AC105-E105)/Span_P,(AD105-F105)/Span_S,(AE105-G105)/Span_B),"")</f>
        <v/>
      </c>
      <c r="AG105" s="15" t="str">
        <f aca="false">IF(AND($J105=1,$M105=0),IF(AF105&gt;0.0000001,1,0),"")</f>
        <v/>
      </c>
      <c r="AH105" s="15" t="str">
        <f aca="false">IF($J105=1,IF($M105=1,AB105,AG105),"")</f>
        <v/>
      </c>
      <c r="AI105" s="13" t="str">
        <f aca="false">IF($J105=1,(Ideal_P-E105)/Span_P,"")</f>
        <v/>
      </c>
      <c r="AJ105" s="13" t="str">
        <f aca="false">IF($J105=1,(Ideal_S-F105)/Span_S,"")</f>
        <v/>
      </c>
      <c r="AK105" s="13" t="str">
        <f aca="false">IF($J105=1,(Ideal_B-G105)/Span_B,"")</f>
        <v/>
      </c>
      <c r="AL105" s="12" t="str">
        <f aca="false">IF($J105=1,MAX(ChA_1*AI105,ChA_2*AJ105,ChA_3*AK105)+Rho*(ChA_1*AI105+ChA_2*AJ105+ChA_3*AK105),"")</f>
        <v/>
      </c>
      <c r="AM105" s="12" t="str">
        <f aca="false">IF($J105=1,MAX(ChB_1*AI105,ChB_2*AJ105,ChB_3*AK105)+Rho*(ChB_1*AI105+ChB_2*AJ105+ChB_3*AK105),"")</f>
        <v/>
      </c>
      <c r="AN105" s="12" t="str">
        <f aca="false">IF($J105=1,MAX(Cx_1*(Ref_P-E105)/Span_P,Cx_2*(Ref_S-F105)/Span_S,Cx_3*(Ref_B-G105)/Span_B),"")</f>
        <v/>
      </c>
    </row>
    <row r="106" customFormat="false" ht="15" hidden="false" customHeight="false" outlineLevel="0" collapsed="false">
      <c r="A106" s="2" t="n">
        <v>100</v>
      </c>
      <c r="B106" s="15" t="n">
        <f aca="false">INT(A106/151)</f>
        <v>0</v>
      </c>
      <c r="C106" s="15" t="n">
        <f aca="false">MOD(A106,151)</f>
        <v>100</v>
      </c>
      <c r="D106" s="15" t="n">
        <f aca="false">INDEX(Grid!$J$6:$P$156,C106+1,B106+1)</f>
        <v>1</v>
      </c>
      <c r="E106" s="16" t="n">
        <f aca="false">IF(D106=1,INDEX(Grid!$B$6:$H$156,C106+1,B106+1),"")</f>
        <v>45.4545454545454</v>
      </c>
      <c r="F106" s="13" t="n">
        <f aca="false">Val_pt*(Ceiling_e-E_zero)*(1-(1-Half_gap)^B106)</f>
        <v>0</v>
      </c>
      <c r="G106" s="15" t="n">
        <f aca="false">C106</f>
        <v>100</v>
      </c>
      <c r="H106" s="15" t="n">
        <f aca="false">IF(D106=1,INDEX(Grid!$R$6:$X$156,C106+1,B106+1),"")</f>
        <v>0</v>
      </c>
      <c r="I106" s="2" t="str">
        <f aca="false">IF(D106=1,INDEX(Sch_label,H106+1),"")</f>
        <v>none</v>
      </c>
      <c r="J106" s="15" t="n">
        <f aca="false">IF(D106=1,INDEX(Grid!$Z$6:$AF$156,C106+1,B106+1),0)</f>
        <v>0</v>
      </c>
      <c r="K106" s="16" t="n">
        <f aca="false">IF(J106=1,E106,0)</f>
        <v>0</v>
      </c>
      <c r="L106" s="17" t="n">
        <f aca="false">IF(D106=1,E106+W_board*F106,"")</f>
        <v>45.4545454545454</v>
      </c>
      <c r="Z106" s="12" t="str">
        <f aca="false">IF(AND($J106=1,$M106=1),N106*E106/Span_P+O106*F106/Span_S+P106*G106/Span_B,"")</f>
        <v/>
      </c>
      <c r="AA106" s="12" t="str">
        <f aca="false">IF(AND($J106=1,$M106=1),SUMPRODUCT(MAX($J$6:$J$1062*(N106*$K$6:$K$1062/Span_P+O106*$F$6:$F$1062/Span_S+P106*$G$6:$G$1062/Span_B)-(1-$J$6:$J$1062)*1000000000)),"")</f>
        <v/>
      </c>
      <c r="AB106" s="15" t="str">
        <f aca="false">IF(AND($J106=1,$M106=1),IF(AA106-Z106&lt;=0.000000001,1,0),"")</f>
        <v/>
      </c>
      <c r="AC106" s="13" t="str">
        <f aca="false">IF(AND($J106=1,$M106=0),IF(S106="",0,S106*INDEX(Grid!$B$6:$H$156,R106+1,Q106+1))+IF(V106="",0,V106*INDEX(Grid!$B$6:$H$156,U106+1,T106+1))+IF(Y106="",0,Y106*INDEX(Grid!$B$6:$H$156,X106+1,W106+1)),"")</f>
        <v/>
      </c>
      <c r="AD106" s="13" t="str">
        <f aca="false">IF(AND($J106=1,$M106=0),IF(S106="",0,S106*Val_pt*(Ceiling_e-E_zero)*(1-(1-Half_gap)^Q106))+IF(V106="",0,V106*Val_pt*(Ceiling_e-E_zero)*(1-(1-Half_gap)^T106))+IF(Y106="",0,Y106*Val_pt*(Ceiling_e-E_zero)*(1-(1-Half_gap)^W106)),"")</f>
        <v/>
      </c>
      <c r="AE106" s="13" t="str">
        <f aca="false">IF(AND($J106=1,$M106=0),IF(S106="",0,S106*R106)+IF(V106="",0,V106*U106)+IF(Y106="",0,Y106*X106),"")</f>
        <v/>
      </c>
      <c r="AF106" s="12" t="str">
        <f aca="false">IF(AND($J106=1,$M106=0),MIN((AC106-E106)/Span_P,(AD106-F106)/Span_S,(AE106-G106)/Span_B),"")</f>
        <v/>
      </c>
      <c r="AG106" s="15" t="str">
        <f aca="false">IF(AND($J106=1,$M106=0),IF(AF106&gt;0.0000001,1,0),"")</f>
        <v/>
      </c>
      <c r="AH106" s="15" t="str">
        <f aca="false">IF($J106=1,IF($M106=1,AB106,AG106),"")</f>
        <v/>
      </c>
      <c r="AI106" s="13" t="str">
        <f aca="false">IF($J106=1,(Ideal_P-E106)/Span_P,"")</f>
        <v/>
      </c>
      <c r="AJ106" s="13" t="str">
        <f aca="false">IF($J106=1,(Ideal_S-F106)/Span_S,"")</f>
        <v/>
      </c>
      <c r="AK106" s="13" t="str">
        <f aca="false">IF($J106=1,(Ideal_B-G106)/Span_B,"")</f>
        <v/>
      </c>
      <c r="AL106" s="12" t="str">
        <f aca="false">IF($J106=1,MAX(ChA_1*AI106,ChA_2*AJ106,ChA_3*AK106)+Rho*(ChA_1*AI106+ChA_2*AJ106+ChA_3*AK106),"")</f>
        <v/>
      </c>
      <c r="AM106" s="12" t="str">
        <f aca="false">IF($J106=1,MAX(ChB_1*AI106,ChB_2*AJ106,ChB_3*AK106)+Rho*(ChB_1*AI106+ChB_2*AJ106+ChB_3*AK106),"")</f>
        <v/>
      </c>
      <c r="AN106" s="12" t="str">
        <f aca="false">IF($J106=1,MAX(Cx_1*(Ref_P-E106)/Span_P,Cx_2*(Ref_S-F106)/Span_S,Cx_3*(Ref_B-G106)/Span_B),"")</f>
        <v/>
      </c>
    </row>
    <row r="107" customFormat="false" ht="15" hidden="false" customHeight="false" outlineLevel="0" collapsed="false">
      <c r="A107" s="2" t="n">
        <v>101</v>
      </c>
      <c r="B107" s="15" t="n">
        <f aca="false">INT(A107/151)</f>
        <v>0</v>
      </c>
      <c r="C107" s="15" t="n">
        <f aca="false">MOD(A107,151)</f>
        <v>101</v>
      </c>
      <c r="D107" s="15" t="n">
        <f aca="false">INDEX(Grid!$J$6:$P$156,C107+1,B107+1)</f>
        <v>1</v>
      </c>
      <c r="E107" s="16" t="n">
        <f aca="false">IF(D107=1,INDEX(Grid!$B$6:$H$156,C107+1,B107+1),"")</f>
        <v>44.5454545454545</v>
      </c>
      <c r="F107" s="13" t="n">
        <f aca="false">Val_pt*(Ceiling_e-E_zero)*(1-(1-Half_gap)^B107)</f>
        <v>0</v>
      </c>
      <c r="G107" s="15" t="n">
        <f aca="false">C107</f>
        <v>101</v>
      </c>
      <c r="H107" s="15" t="n">
        <f aca="false">IF(D107=1,INDEX(Grid!$R$6:$X$156,C107+1,B107+1),"")</f>
        <v>0</v>
      </c>
      <c r="I107" s="2" t="str">
        <f aca="false">IF(D107=1,INDEX(Sch_label,H107+1),"")</f>
        <v>none</v>
      </c>
      <c r="J107" s="15" t="n">
        <f aca="false">IF(D107=1,INDEX(Grid!$Z$6:$AF$156,C107+1,B107+1),0)</f>
        <v>0</v>
      </c>
      <c r="K107" s="16" t="n">
        <f aca="false">IF(J107=1,E107,0)</f>
        <v>0</v>
      </c>
      <c r="L107" s="17" t="n">
        <f aca="false">IF(D107=1,E107+W_board*F107,"")</f>
        <v>44.5454545454545</v>
      </c>
      <c r="Z107" s="12" t="str">
        <f aca="false">IF(AND($J107=1,$M107=1),N107*E107/Span_P+O107*F107/Span_S+P107*G107/Span_B,"")</f>
        <v/>
      </c>
      <c r="AA107" s="12" t="str">
        <f aca="false">IF(AND($J107=1,$M107=1),SUMPRODUCT(MAX($J$6:$J$1062*(N107*$K$6:$K$1062/Span_P+O107*$F$6:$F$1062/Span_S+P107*$G$6:$G$1062/Span_B)-(1-$J$6:$J$1062)*1000000000)),"")</f>
        <v/>
      </c>
      <c r="AB107" s="15" t="str">
        <f aca="false">IF(AND($J107=1,$M107=1),IF(AA107-Z107&lt;=0.000000001,1,0),"")</f>
        <v/>
      </c>
      <c r="AC107" s="13" t="str">
        <f aca="false">IF(AND($J107=1,$M107=0),IF(S107="",0,S107*INDEX(Grid!$B$6:$H$156,R107+1,Q107+1))+IF(V107="",0,V107*INDEX(Grid!$B$6:$H$156,U107+1,T107+1))+IF(Y107="",0,Y107*INDEX(Grid!$B$6:$H$156,X107+1,W107+1)),"")</f>
        <v/>
      </c>
      <c r="AD107" s="13" t="str">
        <f aca="false">IF(AND($J107=1,$M107=0),IF(S107="",0,S107*Val_pt*(Ceiling_e-E_zero)*(1-(1-Half_gap)^Q107))+IF(V107="",0,V107*Val_pt*(Ceiling_e-E_zero)*(1-(1-Half_gap)^T107))+IF(Y107="",0,Y107*Val_pt*(Ceiling_e-E_zero)*(1-(1-Half_gap)^W107)),"")</f>
        <v/>
      </c>
      <c r="AE107" s="13" t="str">
        <f aca="false">IF(AND($J107=1,$M107=0),IF(S107="",0,S107*R107)+IF(V107="",0,V107*U107)+IF(Y107="",0,Y107*X107),"")</f>
        <v/>
      </c>
      <c r="AF107" s="12" t="str">
        <f aca="false">IF(AND($J107=1,$M107=0),MIN((AC107-E107)/Span_P,(AD107-F107)/Span_S,(AE107-G107)/Span_B),"")</f>
        <v/>
      </c>
      <c r="AG107" s="15" t="str">
        <f aca="false">IF(AND($J107=1,$M107=0),IF(AF107&gt;0.0000001,1,0),"")</f>
        <v/>
      </c>
      <c r="AH107" s="15" t="str">
        <f aca="false">IF($J107=1,IF($M107=1,AB107,AG107),"")</f>
        <v/>
      </c>
      <c r="AI107" s="13" t="str">
        <f aca="false">IF($J107=1,(Ideal_P-E107)/Span_P,"")</f>
        <v/>
      </c>
      <c r="AJ107" s="13" t="str">
        <f aca="false">IF($J107=1,(Ideal_S-F107)/Span_S,"")</f>
        <v/>
      </c>
      <c r="AK107" s="13" t="str">
        <f aca="false">IF($J107=1,(Ideal_B-G107)/Span_B,"")</f>
        <v/>
      </c>
      <c r="AL107" s="12" t="str">
        <f aca="false">IF($J107=1,MAX(ChA_1*AI107,ChA_2*AJ107,ChA_3*AK107)+Rho*(ChA_1*AI107+ChA_2*AJ107+ChA_3*AK107),"")</f>
        <v/>
      </c>
      <c r="AM107" s="12" t="str">
        <f aca="false">IF($J107=1,MAX(ChB_1*AI107,ChB_2*AJ107,ChB_3*AK107)+Rho*(ChB_1*AI107+ChB_2*AJ107+ChB_3*AK107),"")</f>
        <v/>
      </c>
      <c r="AN107" s="12" t="str">
        <f aca="false">IF($J107=1,MAX(Cx_1*(Ref_P-E107)/Span_P,Cx_2*(Ref_S-F107)/Span_S,Cx_3*(Ref_B-G107)/Span_B),"")</f>
        <v/>
      </c>
    </row>
    <row r="108" customFormat="false" ht="15" hidden="false" customHeight="false" outlineLevel="0" collapsed="false">
      <c r="A108" s="2" t="n">
        <v>102</v>
      </c>
      <c r="B108" s="15" t="n">
        <f aca="false">INT(A108/151)</f>
        <v>0</v>
      </c>
      <c r="C108" s="15" t="n">
        <f aca="false">MOD(A108,151)</f>
        <v>102</v>
      </c>
      <c r="D108" s="15" t="n">
        <f aca="false">INDEX(Grid!$J$6:$P$156,C108+1,B108+1)</f>
        <v>1</v>
      </c>
      <c r="E108" s="16" t="n">
        <f aca="false">IF(D108=1,INDEX(Grid!$B$6:$H$156,C108+1,B108+1),"")</f>
        <v>43.6363636363636</v>
      </c>
      <c r="F108" s="13" t="n">
        <f aca="false">Val_pt*(Ceiling_e-E_zero)*(1-(1-Half_gap)^B108)</f>
        <v>0</v>
      </c>
      <c r="G108" s="15" t="n">
        <f aca="false">C108</f>
        <v>102</v>
      </c>
      <c r="H108" s="15" t="n">
        <f aca="false">IF(D108=1,INDEX(Grid!$R$6:$X$156,C108+1,B108+1),"")</f>
        <v>0</v>
      </c>
      <c r="I108" s="2" t="str">
        <f aca="false">IF(D108=1,INDEX(Sch_label,H108+1),"")</f>
        <v>none</v>
      </c>
      <c r="J108" s="15" t="n">
        <f aca="false">IF(D108=1,INDEX(Grid!$Z$6:$AF$156,C108+1,B108+1),0)</f>
        <v>0</v>
      </c>
      <c r="K108" s="16" t="n">
        <f aca="false">IF(J108=1,E108,0)</f>
        <v>0</v>
      </c>
      <c r="L108" s="17" t="n">
        <f aca="false">IF(D108=1,E108+W_board*F108,"")</f>
        <v>43.6363636363636</v>
      </c>
      <c r="Z108" s="12" t="str">
        <f aca="false">IF(AND($J108=1,$M108=1),N108*E108/Span_P+O108*F108/Span_S+P108*G108/Span_B,"")</f>
        <v/>
      </c>
      <c r="AA108" s="12" t="str">
        <f aca="false">IF(AND($J108=1,$M108=1),SUMPRODUCT(MAX($J$6:$J$1062*(N108*$K$6:$K$1062/Span_P+O108*$F$6:$F$1062/Span_S+P108*$G$6:$G$1062/Span_B)-(1-$J$6:$J$1062)*1000000000)),"")</f>
        <v/>
      </c>
      <c r="AB108" s="15" t="str">
        <f aca="false">IF(AND($J108=1,$M108=1),IF(AA108-Z108&lt;=0.000000001,1,0),"")</f>
        <v/>
      </c>
      <c r="AC108" s="13" t="str">
        <f aca="false">IF(AND($J108=1,$M108=0),IF(S108="",0,S108*INDEX(Grid!$B$6:$H$156,R108+1,Q108+1))+IF(V108="",0,V108*INDEX(Grid!$B$6:$H$156,U108+1,T108+1))+IF(Y108="",0,Y108*INDEX(Grid!$B$6:$H$156,X108+1,W108+1)),"")</f>
        <v/>
      </c>
      <c r="AD108" s="13" t="str">
        <f aca="false">IF(AND($J108=1,$M108=0),IF(S108="",0,S108*Val_pt*(Ceiling_e-E_zero)*(1-(1-Half_gap)^Q108))+IF(V108="",0,V108*Val_pt*(Ceiling_e-E_zero)*(1-(1-Half_gap)^T108))+IF(Y108="",0,Y108*Val_pt*(Ceiling_e-E_zero)*(1-(1-Half_gap)^W108)),"")</f>
        <v/>
      </c>
      <c r="AE108" s="13" t="str">
        <f aca="false">IF(AND($J108=1,$M108=0),IF(S108="",0,S108*R108)+IF(V108="",0,V108*U108)+IF(Y108="",0,Y108*X108),"")</f>
        <v/>
      </c>
      <c r="AF108" s="12" t="str">
        <f aca="false">IF(AND($J108=1,$M108=0),MIN((AC108-E108)/Span_P,(AD108-F108)/Span_S,(AE108-G108)/Span_B),"")</f>
        <v/>
      </c>
      <c r="AG108" s="15" t="str">
        <f aca="false">IF(AND($J108=1,$M108=0),IF(AF108&gt;0.0000001,1,0),"")</f>
        <v/>
      </c>
      <c r="AH108" s="15" t="str">
        <f aca="false">IF($J108=1,IF($M108=1,AB108,AG108),"")</f>
        <v/>
      </c>
      <c r="AI108" s="13" t="str">
        <f aca="false">IF($J108=1,(Ideal_P-E108)/Span_P,"")</f>
        <v/>
      </c>
      <c r="AJ108" s="13" t="str">
        <f aca="false">IF($J108=1,(Ideal_S-F108)/Span_S,"")</f>
        <v/>
      </c>
      <c r="AK108" s="13" t="str">
        <f aca="false">IF($J108=1,(Ideal_B-G108)/Span_B,"")</f>
        <v/>
      </c>
      <c r="AL108" s="12" t="str">
        <f aca="false">IF($J108=1,MAX(ChA_1*AI108,ChA_2*AJ108,ChA_3*AK108)+Rho*(ChA_1*AI108+ChA_2*AJ108+ChA_3*AK108),"")</f>
        <v/>
      </c>
      <c r="AM108" s="12" t="str">
        <f aca="false">IF($J108=1,MAX(ChB_1*AI108,ChB_2*AJ108,ChB_3*AK108)+Rho*(ChB_1*AI108+ChB_2*AJ108+ChB_3*AK108),"")</f>
        <v/>
      </c>
      <c r="AN108" s="12" t="str">
        <f aca="false">IF($J108=1,MAX(Cx_1*(Ref_P-E108)/Span_P,Cx_2*(Ref_S-F108)/Span_S,Cx_3*(Ref_B-G108)/Span_B),"")</f>
        <v/>
      </c>
    </row>
    <row r="109" customFormat="false" ht="15" hidden="false" customHeight="false" outlineLevel="0" collapsed="false">
      <c r="A109" s="2" t="n">
        <v>103</v>
      </c>
      <c r="B109" s="15" t="n">
        <f aca="false">INT(A109/151)</f>
        <v>0</v>
      </c>
      <c r="C109" s="15" t="n">
        <f aca="false">MOD(A109,151)</f>
        <v>103</v>
      </c>
      <c r="D109" s="15" t="n">
        <f aca="false">INDEX(Grid!$J$6:$P$156,C109+1,B109+1)</f>
        <v>1</v>
      </c>
      <c r="E109" s="16" t="n">
        <f aca="false">IF(D109=1,INDEX(Grid!$B$6:$H$156,C109+1,B109+1),"")</f>
        <v>42.7272727272727</v>
      </c>
      <c r="F109" s="13" t="n">
        <f aca="false">Val_pt*(Ceiling_e-E_zero)*(1-(1-Half_gap)^B109)</f>
        <v>0</v>
      </c>
      <c r="G109" s="15" t="n">
        <f aca="false">C109</f>
        <v>103</v>
      </c>
      <c r="H109" s="15" t="n">
        <f aca="false">IF(D109=1,INDEX(Grid!$R$6:$X$156,C109+1,B109+1),"")</f>
        <v>0</v>
      </c>
      <c r="I109" s="2" t="str">
        <f aca="false">IF(D109=1,INDEX(Sch_label,H109+1),"")</f>
        <v>none</v>
      </c>
      <c r="J109" s="15" t="n">
        <f aca="false">IF(D109=1,INDEX(Grid!$Z$6:$AF$156,C109+1,B109+1),0)</f>
        <v>0</v>
      </c>
      <c r="K109" s="16" t="n">
        <f aca="false">IF(J109=1,E109,0)</f>
        <v>0</v>
      </c>
      <c r="L109" s="17" t="n">
        <f aca="false">IF(D109=1,E109+W_board*F109,"")</f>
        <v>42.7272727272727</v>
      </c>
      <c r="Z109" s="12" t="str">
        <f aca="false">IF(AND($J109=1,$M109=1),N109*E109/Span_P+O109*F109/Span_S+P109*G109/Span_B,"")</f>
        <v/>
      </c>
      <c r="AA109" s="12" t="str">
        <f aca="false">IF(AND($J109=1,$M109=1),SUMPRODUCT(MAX($J$6:$J$1062*(N109*$K$6:$K$1062/Span_P+O109*$F$6:$F$1062/Span_S+P109*$G$6:$G$1062/Span_B)-(1-$J$6:$J$1062)*1000000000)),"")</f>
        <v/>
      </c>
      <c r="AB109" s="15" t="str">
        <f aca="false">IF(AND($J109=1,$M109=1),IF(AA109-Z109&lt;=0.000000001,1,0),"")</f>
        <v/>
      </c>
      <c r="AC109" s="13" t="str">
        <f aca="false">IF(AND($J109=1,$M109=0),IF(S109="",0,S109*INDEX(Grid!$B$6:$H$156,R109+1,Q109+1))+IF(V109="",0,V109*INDEX(Grid!$B$6:$H$156,U109+1,T109+1))+IF(Y109="",0,Y109*INDEX(Grid!$B$6:$H$156,X109+1,W109+1)),"")</f>
        <v/>
      </c>
      <c r="AD109" s="13" t="str">
        <f aca="false">IF(AND($J109=1,$M109=0),IF(S109="",0,S109*Val_pt*(Ceiling_e-E_zero)*(1-(1-Half_gap)^Q109))+IF(V109="",0,V109*Val_pt*(Ceiling_e-E_zero)*(1-(1-Half_gap)^T109))+IF(Y109="",0,Y109*Val_pt*(Ceiling_e-E_zero)*(1-(1-Half_gap)^W109)),"")</f>
        <v/>
      </c>
      <c r="AE109" s="13" t="str">
        <f aca="false">IF(AND($J109=1,$M109=0),IF(S109="",0,S109*R109)+IF(V109="",0,V109*U109)+IF(Y109="",0,Y109*X109),"")</f>
        <v/>
      </c>
      <c r="AF109" s="12" t="str">
        <f aca="false">IF(AND($J109=1,$M109=0),MIN((AC109-E109)/Span_P,(AD109-F109)/Span_S,(AE109-G109)/Span_B),"")</f>
        <v/>
      </c>
      <c r="AG109" s="15" t="str">
        <f aca="false">IF(AND($J109=1,$M109=0),IF(AF109&gt;0.0000001,1,0),"")</f>
        <v/>
      </c>
      <c r="AH109" s="15" t="str">
        <f aca="false">IF($J109=1,IF($M109=1,AB109,AG109),"")</f>
        <v/>
      </c>
      <c r="AI109" s="13" t="str">
        <f aca="false">IF($J109=1,(Ideal_P-E109)/Span_P,"")</f>
        <v/>
      </c>
      <c r="AJ109" s="13" t="str">
        <f aca="false">IF($J109=1,(Ideal_S-F109)/Span_S,"")</f>
        <v/>
      </c>
      <c r="AK109" s="13" t="str">
        <f aca="false">IF($J109=1,(Ideal_B-G109)/Span_B,"")</f>
        <v/>
      </c>
      <c r="AL109" s="12" t="str">
        <f aca="false">IF($J109=1,MAX(ChA_1*AI109,ChA_2*AJ109,ChA_3*AK109)+Rho*(ChA_1*AI109+ChA_2*AJ109+ChA_3*AK109),"")</f>
        <v/>
      </c>
      <c r="AM109" s="12" t="str">
        <f aca="false">IF($J109=1,MAX(ChB_1*AI109,ChB_2*AJ109,ChB_3*AK109)+Rho*(ChB_1*AI109+ChB_2*AJ109+ChB_3*AK109),"")</f>
        <v/>
      </c>
      <c r="AN109" s="12" t="str">
        <f aca="false">IF($J109=1,MAX(Cx_1*(Ref_P-E109)/Span_P,Cx_2*(Ref_S-F109)/Span_S,Cx_3*(Ref_B-G109)/Span_B),"")</f>
        <v/>
      </c>
    </row>
    <row r="110" customFormat="false" ht="15" hidden="false" customHeight="false" outlineLevel="0" collapsed="false">
      <c r="A110" s="2" t="n">
        <v>104</v>
      </c>
      <c r="B110" s="15" t="n">
        <f aca="false">INT(A110/151)</f>
        <v>0</v>
      </c>
      <c r="C110" s="15" t="n">
        <f aca="false">MOD(A110,151)</f>
        <v>104</v>
      </c>
      <c r="D110" s="15" t="n">
        <f aca="false">INDEX(Grid!$J$6:$P$156,C110+1,B110+1)</f>
        <v>1</v>
      </c>
      <c r="E110" s="16" t="n">
        <f aca="false">IF(D110=1,INDEX(Grid!$B$6:$H$156,C110+1,B110+1),"")</f>
        <v>41.8181818181818</v>
      </c>
      <c r="F110" s="13" t="n">
        <f aca="false">Val_pt*(Ceiling_e-E_zero)*(1-(1-Half_gap)^B110)</f>
        <v>0</v>
      </c>
      <c r="G110" s="15" t="n">
        <f aca="false">C110</f>
        <v>104</v>
      </c>
      <c r="H110" s="15" t="n">
        <f aca="false">IF(D110=1,INDEX(Grid!$R$6:$X$156,C110+1,B110+1),"")</f>
        <v>0</v>
      </c>
      <c r="I110" s="2" t="str">
        <f aca="false">IF(D110=1,INDEX(Sch_label,H110+1),"")</f>
        <v>none</v>
      </c>
      <c r="J110" s="15" t="n">
        <f aca="false">IF(D110=1,INDEX(Grid!$Z$6:$AF$156,C110+1,B110+1),0)</f>
        <v>0</v>
      </c>
      <c r="K110" s="16" t="n">
        <f aca="false">IF(J110=1,E110,0)</f>
        <v>0</v>
      </c>
      <c r="L110" s="17" t="n">
        <f aca="false">IF(D110=1,E110+W_board*F110,"")</f>
        <v>41.8181818181818</v>
      </c>
      <c r="Z110" s="12" t="str">
        <f aca="false">IF(AND($J110=1,$M110=1),N110*E110/Span_P+O110*F110/Span_S+P110*G110/Span_B,"")</f>
        <v/>
      </c>
      <c r="AA110" s="12" t="str">
        <f aca="false">IF(AND($J110=1,$M110=1),SUMPRODUCT(MAX($J$6:$J$1062*(N110*$K$6:$K$1062/Span_P+O110*$F$6:$F$1062/Span_S+P110*$G$6:$G$1062/Span_B)-(1-$J$6:$J$1062)*1000000000)),"")</f>
        <v/>
      </c>
      <c r="AB110" s="15" t="str">
        <f aca="false">IF(AND($J110=1,$M110=1),IF(AA110-Z110&lt;=0.000000001,1,0),"")</f>
        <v/>
      </c>
      <c r="AC110" s="13" t="str">
        <f aca="false">IF(AND($J110=1,$M110=0),IF(S110="",0,S110*INDEX(Grid!$B$6:$H$156,R110+1,Q110+1))+IF(V110="",0,V110*INDEX(Grid!$B$6:$H$156,U110+1,T110+1))+IF(Y110="",0,Y110*INDEX(Grid!$B$6:$H$156,X110+1,W110+1)),"")</f>
        <v/>
      </c>
      <c r="AD110" s="13" t="str">
        <f aca="false">IF(AND($J110=1,$M110=0),IF(S110="",0,S110*Val_pt*(Ceiling_e-E_zero)*(1-(1-Half_gap)^Q110))+IF(V110="",0,V110*Val_pt*(Ceiling_e-E_zero)*(1-(1-Half_gap)^T110))+IF(Y110="",0,Y110*Val_pt*(Ceiling_e-E_zero)*(1-(1-Half_gap)^W110)),"")</f>
        <v/>
      </c>
      <c r="AE110" s="13" t="str">
        <f aca="false">IF(AND($J110=1,$M110=0),IF(S110="",0,S110*R110)+IF(V110="",0,V110*U110)+IF(Y110="",0,Y110*X110),"")</f>
        <v/>
      </c>
      <c r="AF110" s="12" t="str">
        <f aca="false">IF(AND($J110=1,$M110=0),MIN((AC110-E110)/Span_P,(AD110-F110)/Span_S,(AE110-G110)/Span_B),"")</f>
        <v/>
      </c>
      <c r="AG110" s="15" t="str">
        <f aca="false">IF(AND($J110=1,$M110=0),IF(AF110&gt;0.0000001,1,0),"")</f>
        <v/>
      </c>
      <c r="AH110" s="15" t="str">
        <f aca="false">IF($J110=1,IF($M110=1,AB110,AG110),"")</f>
        <v/>
      </c>
      <c r="AI110" s="13" t="str">
        <f aca="false">IF($J110=1,(Ideal_P-E110)/Span_P,"")</f>
        <v/>
      </c>
      <c r="AJ110" s="13" t="str">
        <f aca="false">IF($J110=1,(Ideal_S-F110)/Span_S,"")</f>
        <v/>
      </c>
      <c r="AK110" s="13" t="str">
        <f aca="false">IF($J110=1,(Ideal_B-G110)/Span_B,"")</f>
        <v/>
      </c>
      <c r="AL110" s="12" t="str">
        <f aca="false">IF($J110=1,MAX(ChA_1*AI110,ChA_2*AJ110,ChA_3*AK110)+Rho*(ChA_1*AI110+ChA_2*AJ110+ChA_3*AK110),"")</f>
        <v/>
      </c>
      <c r="AM110" s="12" t="str">
        <f aca="false">IF($J110=1,MAX(ChB_1*AI110,ChB_2*AJ110,ChB_3*AK110)+Rho*(ChB_1*AI110+ChB_2*AJ110+ChB_3*AK110),"")</f>
        <v/>
      </c>
      <c r="AN110" s="12" t="str">
        <f aca="false">IF($J110=1,MAX(Cx_1*(Ref_P-E110)/Span_P,Cx_2*(Ref_S-F110)/Span_S,Cx_3*(Ref_B-G110)/Span_B),"")</f>
        <v/>
      </c>
    </row>
    <row r="111" customFormat="false" ht="15" hidden="false" customHeight="false" outlineLevel="0" collapsed="false">
      <c r="A111" s="2" t="n">
        <v>105</v>
      </c>
      <c r="B111" s="15" t="n">
        <f aca="false">INT(A111/151)</f>
        <v>0</v>
      </c>
      <c r="C111" s="15" t="n">
        <f aca="false">MOD(A111,151)</f>
        <v>105</v>
      </c>
      <c r="D111" s="15" t="n">
        <f aca="false">INDEX(Grid!$J$6:$P$156,C111+1,B111+1)</f>
        <v>1</v>
      </c>
      <c r="E111" s="16" t="n">
        <f aca="false">IF(D111=1,INDEX(Grid!$B$6:$H$156,C111+1,B111+1),"")</f>
        <v>40.9090909090909</v>
      </c>
      <c r="F111" s="13" t="n">
        <f aca="false">Val_pt*(Ceiling_e-E_zero)*(1-(1-Half_gap)^B111)</f>
        <v>0</v>
      </c>
      <c r="G111" s="15" t="n">
        <f aca="false">C111</f>
        <v>105</v>
      </c>
      <c r="H111" s="15" t="n">
        <f aca="false">IF(D111=1,INDEX(Grid!$R$6:$X$156,C111+1,B111+1),"")</f>
        <v>0</v>
      </c>
      <c r="I111" s="2" t="str">
        <f aca="false">IF(D111=1,INDEX(Sch_label,H111+1),"")</f>
        <v>none</v>
      </c>
      <c r="J111" s="15" t="n">
        <f aca="false">IF(D111=1,INDEX(Grid!$Z$6:$AF$156,C111+1,B111+1),0)</f>
        <v>0</v>
      </c>
      <c r="K111" s="16" t="n">
        <f aca="false">IF(J111=1,E111,0)</f>
        <v>0</v>
      </c>
      <c r="L111" s="17" t="n">
        <f aca="false">IF(D111=1,E111+W_board*F111,"")</f>
        <v>40.9090909090909</v>
      </c>
      <c r="Z111" s="12" t="str">
        <f aca="false">IF(AND($J111=1,$M111=1),N111*E111/Span_P+O111*F111/Span_S+P111*G111/Span_B,"")</f>
        <v/>
      </c>
      <c r="AA111" s="12" t="str">
        <f aca="false">IF(AND($J111=1,$M111=1),SUMPRODUCT(MAX($J$6:$J$1062*(N111*$K$6:$K$1062/Span_P+O111*$F$6:$F$1062/Span_S+P111*$G$6:$G$1062/Span_B)-(1-$J$6:$J$1062)*1000000000)),"")</f>
        <v/>
      </c>
      <c r="AB111" s="15" t="str">
        <f aca="false">IF(AND($J111=1,$M111=1),IF(AA111-Z111&lt;=0.000000001,1,0),"")</f>
        <v/>
      </c>
      <c r="AC111" s="13" t="str">
        <f aca="false">IF(AND($J111=1,$M111=0),IF(S111="",0,S111*INDEX(Grid!$B$6:$H$156,R111+1,Q111+1))+IF(V111="",0,V111*INDEX(Grid!$B$6:$H$156,U111+1,T111+1))+IF(Y111="",0,Y111*INDEX(Grid!$B$6:$H$156,X111+1,W111+1)),"")</f>
        <v/>
      </c>
      <c r="AD111" s="13" t="str">
        <f aca="false">IF(AND($J111=1,$M111=0),IF(S111="",0,S111*Val_pt*(Ceiling_e-E_zero)*(1-(1-Half_gap)^Q111))+IF(V111="",0,V111*Val_pt*(Ceiling_e-E_zero)*(1-(1-Half_gap)^T111))+IF(Y111="",0,Y111*Val_pt*(Ceiling_e-E_zero)*(1-(1-Half_gap)^W111)),"")</f>
        <v/>
      </c>
      <c r="AE111" s="13" t="str">
        <f aca="false">IF(AND($J111=1,$M111=0),IF(S111="",0,S111*R111)+IF(V111="",0,V111*U111)+IF(Y111="",0,Y111*X111),"")</f>
        <v/>
      </c>
      <c r="AF111" s="12" t="str">
        <f aca="false">IF(AND($J111=1,$M111=0),MIN((AC111-E111)/Span_P,(AD111-F111)/Span_S,(AE111-G111)/Span_B),"")</f>
        <v/>
      </c>
      <c r="AG111" s="15" t="str">
        <f aca="false">IF(AND($J111=1,$M111=0),IF(AF111&gt;0.0000001,1,0),"")</f>
        <v/>
      </c>
      <c r="AH111" s="15" t="str">
        <f aca="false">IF($J111=1,IF($M111=1,AB111,AG111),"")</f>
        <v/>
      </c>
      <c r="AI111" s="13" t="str">
        <f aca="false">IF($J111=1,(Ideal_P-E111)/Span_P,"")</f>
        <v/>
      </c>
      <c r="AJ111" s="13" t="str">
        <f aca="false">IF($J111=1,(Ideal_S-F111)/Span_S,"")</f>
        <v/>
      </c>
      <c r="AK111" s="13" t="str">
        <f aca="false">IF($J111=1,(Ideal_B-G111)/Span_B,"")</f>
        <v/>
      </c>
      <c r="AL111" s="12" t="str">
        <f aca="false">IF($J111=1,MAX(ChA_1*AI111,ChA_2*AJ111,ChA_3*AK111)+Rho*(ChA_1*AI111+ChA_2*AJ111+ChA_3*AK111),"")</f>
        <v/>
      </c>
      <c r="AM111" s="12" t="str">
        <f aca="false">IF($J111=1,MAX(ChB_1*AI111,ChB_2*AJ111,ChB_3*AK111)+Rho*(ChB_1*AI111+ChB_2*AJ111+ChB_3*AK111),"")</f>
        <v/>
      </c>
      <c r="AN111" s="12" t="str">
        <f aca="false">IF($J111=1,MAX(Cx_1*(Ref_P-E111)/Span_P,Cx_2*(Ref_S-F111)/Span_S,Cx_3*(Ref_B-G111)/Span_B),"")</f>
        <v/>
      </c>
    </row>
    <row r="112" customFormat="false" ht="15" hidden="false" customHeight="false" outlineLevel="0" collapsed="false">
      <c r="A112" s="2" t="n">
        <v>106</v>
      </c>
      <c r="B112" s="15" t="n">
        <f aca="false">INT(A112/151)</f>
        <v>0</v>
      </c>
      <c r="C112" s="15" t="n">
        <f aca="false">MOD(A112,151)</f>
        <v>106</v>
      </c>
      <c r="D112" s="15" t="n">
        <f aca="false">INDEX(Grid!$J$6:$P$156,C112+1,B112+1)</f>
        <v>1</v>
      </c>
      <c r="E112" s="16" t="n">
        <f aca="false">IF(D112=1,INDEX(Grid!$B$6:$H$156,C112+1,B112+1),"")</f>
        <v>40</v>
      </c>
      <c r="F112" s="13" t="n">
        <f aca="false">Val_pt*(Ceiling_e-E_zero)*(1-(1-Half_gap)^B112)</f>
        <v>0</v>
      </c>
      <c r="G112" s="15" t="n">
        <f aca="false">C112</f>
        <v>106</v>
      </c>
      <c r="H112" s="15" t="n">
        <f aca="false">IF(D112=1,INDEX(Grid!$R$6:$X$156,C112+1,B112+1),"")</f>
        <v>0</v>
      </c>
      <c r="I112" s="2" t="str">
        <f aca="false">IF(D112=1,INDEX(Sch_label,H112+1),"")</f>
        <v>none</v>
      </c>
      <c r="J112" s="15" t="n">
        <f aca="false">IF(D112=1,INDEX(Grid!$Z$6:$AF$156,C112+1,B112+1),0)</f>
        <v>0</v>
      </c>
      <c r="K112" s="16" t="n">
        <f aca="false">IF(J112=1,E112,0)</f>
        <v>0</v>
      </c>
      <c r="L112" s="17" t="n">
        <f aca="false">IF(D112=1,E112+W_board*F112,"")</f>
        <v>40</v>
      </c>
      <c r="Z112" s="12" t="str">
        <f aca="false">IF(AND($J112=1,$M112=1),N112*E112/Span_P+O112*F112/Span_S+P112*G112/Span_B,"")</f>
        <v/>
      </c>
      <c r="AA112" s="12" t="str">
        <f aca="false">IF(AND($J112=1,$M112=1),SUMPRODUCT(MAX($J$6:$J$1062*(N112*$K$6:$K$1062/Span_P+O112*$F$6:$F$1062/Span_S+P112*$G$6:$G$1062/Span_B)-(1-$J$6:$J$1062)*1000000000)),"")</f>
        <v/>
      </c>
      <c r="AB112" s="15" t="str">
        <f aca="false">IF(AND($J112=1,$M112=1),IF(AA112-Z112&lt;=0.000000001,1,0),"")</f>
        <v/>
      </c>
      <c r="AC112" s="13" t="str">
        <f aca="false">IF(AND($J112=1,$M112=0),IF(S112="",0,S112*INDEX(Grid!$B$6:$H$156,R112+1,Q112+1))+IF(V112="",0,V112*INDEX(Grid!$B$6:$H$156,U112+1,T112+1))+IF(Y112="",0,Y112*INDEX(Grid!$B$6:$H$156,X112+1,W112+1)),"")</f>
        <v/>
      </c>
      <c r="AD112" s="13" t="str">
        <f aca="false">IF(AND($J112=1,$M112=0),IF(S112="",0,S112*Val_pt*(Ceiling_e-E_zero)*(1-(1-Half_gap)^Q112))+IF(V112="",0,V112*Val_pt*(Ceiling_e-E_zero)*(1-(1-Half_gap)^T112))+IF(Y112="",0,Y112*Val_pt*(Ceiling_e-E_zero)*(1-(1-Half_gap)^W112)),"")</f>
        <v/>
      </c>
      <c r="AE112" s="13" t="str">
        <f aca="false">IF(AND($J112=1,$M112=0),IF(S112="",0,S112*R112)+IF(V112="",0,V112*U112)+IF(Y112="",0,Y112*X112),"")</f>
        <v/>
      </c>
      <c r="AF112" s="12" t="str">
        <f aca="false">IF(AND($J112=1,$M112=0),MIN((AC112-E112)/Span_P,(AD112-F112)/Span_S,(AE112-G112)/Span_B),"")</f>
        <v/>
      </c>
      <c r="AG112" s="15" t="str">
        <f aca="false">IF(AND($J112=1,$M112=0),IF(AF112&gt;0.0000001,1,0),"")</f>
        <v/>
      </c>
      <c r="AH112" s="15" t="str">
        <f aca="false">IF($J112=1,IF($M112=1,AB112,AG112),"")</f>
        <v/>
      </c>
      <c r="AI112" s="13" t="str">
        <f aca="false">IF($J112=1,(Ideal_P-E112)/Span_P,"")</f>
        <v/>
      </c>
      <c r="AJ112" s="13" t="str">
        <f aca="false">IF($J112=1,(Ideal_S-F112)/Span_S,"")</f>
        <v/>
      </c>
      <c r="AK112" s="13" t="str">
        <f aca="false">IF($J112=1,(Ideal_B-G112)/Span_B,"")</f>
        <v/>
      </c>
      <c r="AL112" s="12" t="str">
        <f aca="false">IF($J112=1,MAX(ChA_1*AI112,ChA_2*AJ112,ChA_3*AK112)+Rho*(ChA_1*AI112+ChA_2*AJ112+ChA_3*AK112),"")</f>
        <v/>
      </c>
      <c r="AM112" s="12" t="str">
        <f aca="false">IF($J112=1,MAX(ChB_1*AI112,ChB_2*AJ112,ChB_3*AK112)+Rho*(ChB_1*AI112+ChB_2*AJ112+ChB_3*AK112),"")</f>
        <v/>
      </c>
      <c r="AN112" s="12" t="str">
        <f aca="false">IF($J112=1,MAX(Cx_1*(Ref_P-E112)/Span_P,Cx_2*(Ref_S-F112)/Span_S,Cx_3*(Ref_B-G112)/Span_B),"")</f>
        <v/>
      </c>
    </row>
    <row r="113" customFormat="false" ht="15" hidden="false" customHeight="false" outlineLevel="0" collapsed="false">
      <c r="A113" s="2" t="n">
        <v>107</v>
      </c>
      <c r="B113" s="15" t="n">
        <f aca="false">INT(A113/151)</f>
        <v>0</v>
      </c>
      <c r="C113" s="15" t="n">
        <f aca="false">MOD(A113,151)</f>
        <v>107</v>
      </c>
      <c r="D113" s="15" t="n">
        <f aca="false">INDEX(Grid!$J$6:$P$156,C113+1,B113+1)</f>
        <v>1</v>
      </c>
      <c r="E113" s="16" t="n">
        <f aca="false">IF(D113=1,INDEX(Grid!$B$6:$H$156,C113+1,B113+1),"")</f>
        <v>39.0909090909091</v>
      </c>
      <c r="F113" s="13" t="n">
        <f aca="false">Val_pt*(Ceiling_e-E_zero)*(1-(1-Half_gap)^B113)</f>
        <v>0</v>
      </c>
      <c r="G113" s="15" t="n">
        <f aca="false">C113</f>
        <v>107</v>
      </c>
      <c r="H113" s="15" t="n">
        <f aca="false">IF(D113=1,INDEX(Grid!$R$6:$X$156,C113+1,B113+1),"")</f>
        <v>0</v>
      </c>
      <c r="I113" s="2" t="str">
        <f aca="false">IF(D113=1,INDEX(Sch_label,H113+1),"")</f>
        <v>none</v>
      </c>
      <c r="J113" s="15" t="n">
        <f aca="false">IF(D113=1,INDEX(Grid!$Z$6:$AF$156,C113+1,B113+1),0)</f>
        <v>0</v>
      </c>
      <c r="K113" s="16" t="n">
        <f aca="false">IF(J113=1,E113,0)</f>
        <v>0</v>
      </c>
      <c r="L113" s="17" t="n">
        <f aca="false">IF(D113=1,E113+W_board*F113,"")</f>
        <v>39.0909090909091</v>
      </c>
      <c r="Z113" s="12" t="str">
        <f aca="false">IF(AND($J113=1,$M113=1),N113*E113/Span_P+O113*F113/Span_S+P113*G113/Span_B,"")</f>
        <v/>
      </c>
      <c r="AA113" s="12" t="str">
        <f aca="false">IF(AND($J113=1,$M113=1),SUMPRODUCT(MAX($J$6:$J$1062*(N113*$K$6:$K$1062/Span_P+O113*$F$6:$F$1062/Span_S+P113*$G$6:$G$1062/Span_B)-(1-$J$6:$J$1062)*1000000000)),"")</f>
        <v/>
      </c>
      <c r="AB113" s="15" t="str">
        <f aca="false">IF(AND($J113=1,$M113=1),IF(AA113-Z113&lt;=0.000000001,1,0),"")</f>
        <v/>
      </c>
      <c r="AC113" s="13" t="str">
        <f aca="false">IF(AND($J113=1,$M113=0),IF(S113="",0,S113*INDEX(Grid!$B$6:$H$156,R113+1,Q113+1))+IF(V113="",0,V113*INDEX(Grid!$B$6:$H$156,U113+1,T113+1))+IF(Y113="",0,Y113*INDEX(Grid!$B$6:$H$156,X113+1,W113+1)),"")</f>
        <v/>
      </c>
      <c r="AD113" s="13" t="str">
        <f aca="false">IF(AND($J113=1,$M113=0),IF(S113="",0,S113*Val_pt*(Ceiling_e-E_zero)*(1-(1-Half_gap)^Q113))+IF(V113="",0,V113*Val_pt*(Ceiling_e-E_zero)*(1-(1-Half_gap)^T113))+IF(Y113="",0,Y113*Val_pt*(Ceiling_e-E_zero)*(1-(1-Half_gap)^W113)),"")</f>
        <v/>
      </c>
      <c r="AE113" s="13" t="str">
        <f aca="false">IF(AND($J113=1,$M113=0),IF(S113="",0,S113*R113)+IF(V113="",0,V113*U113)+IF(Y113="",0,Y113*X113),"")</f>
        <v/>
      </c>
      <c r="AF113" s="12" t="str">
        <f aca="false">IF(AND($J113=1,$M113=0),MIN((AC113-E113)/Span_P,(AD113-F113)/Span_S,(AE113-G113)/Span_B),"")</f>
        <v/>
      </c>
      <c r="AG113" s="15" t="str">
        <f aca="false">IF(AND($J113=1,$M113=0),IF(AF113&gt;0.0000001,1,0),"")</f>
        <v/>
      </c>
      <c r="AH113" s="15" t="str">
        <f aca="false">IF($J113=1,IF($M113=1,AB113,AG113),"")</f>
        <v/>
      </c>
      <c r="AI113" s="13" t="str">
        <f aca="false">IF($J113=1,(Ideal_P-E113)/Span_P,"")</f>
        <v/>
      </c>
      <c r="AJ113" s="13" t="str">
        <f aca="false">IF($J113=1,(Ideal_S-F113)/Span_S,"")</f>
        <v/>
      </c>
      <c r="AK113" s="13" t="str">
        <f aca="false">IF($J113=1,(Ideal_B-G113)/Span_B,"")</f>
        <v/>
      </c>
      <c r="AL113" s="12" t="str">
        <f aca="false">IF($J113=1,MAX(ChA_1*AI113,ChA_2*AJ113,ChA_3*AK113)+Rho*(ChA_1*AI113+ChA_2*AJ113+ChA_3*AK113),"")</f>
        <v/>
      </c>
      <c r="AM113" s="12" t="str">
        <f aca="false">IF($J113=1,MAX(ChB_1*AI113,ChB_2*AJ113,ChB_3*AK113)+Rho*(ChB_1*AI113+ChB_2*AJ113+ChB_3*AK113),"")</f>
        <v/>
      </c>
      <c r="AN113" s="12" t="str">
        <f aca="false">IF($J113=1,MAX(Cx_1*(Ref_P-E113)/Span_P,Cx_2*(Ref_S-F113)/Span_S,Cx_3*(Ref_B-G113)/Span_B),"")</f>
        <v/>
      </c>
    </row>
    <row r="114" customFormat="false" ht="15" hidden="false" customHeight="false" outlineLevel="0" collapsed="false">
      <c r="A114" s="2" t="n">
        <v>108</v>
      </c>
      <c r="B114" s="15" t="n">
        <f aca="false">INT(A114/151)</f>
        <v>0</v>
      </c>
      <c r="C114" s="15" t="n">
        <f aca="false">MOD(A114,151)</f>
        <v>108</v>
      </c>
      <c r="D114" s="15" t="n">
        <f aca="false">INDEX(Grid!$J$6:$P$156,C114+1,B114+1)</f>
        <v>1</v>
      </c>
      <c r="E114" s="16" t="n">
        <f aca="false">IF(D114=1,INDEX(Grid!$B$6:$H$156,C114+1,B114+1),"")</f>
        <v>38.1818181818182</v>
      </c>
      <c r="F114" s="13" t="n">
        <f aca="false">Val_pt*(Ceiling_e-E_zero)*(1-(1-Half_gap)^B114)</f>
        <v>0</v>
      </c>
      <c r="G114" s="15" t="n">
        <f aca="false">C114</f>
        <v>108</v>
      </c>
      <c r="H114" s="15" t="n">
        <f aca="false">IF(D114=1,INDEX(Grid!$R$6:$X$156,C114+1,B114+1),"")</f>
        <v>0</v>
      </c>
      <c r="I114" s="2" t="str">
        <f aca="false">IF(D114=1,INDEX(Sch_label,H114+1),"")</f>
        <v>none</v>
      </c>
      <c r="J114" s="15" t="n">
        <f aca="false">IF(D114=1,INDEX(Grid!$Z$6:$AF$156,C114+1,B114+1),0)</f>
        <v>0</v>
      </c>
      <c r="K114" s="16" t="n">
        <f aca="false">IF(J114=1,E114,0)</f>
        <v>0</v>
      </c>
      <c r="L114" s="17" t="n">
        <f aca="false">IF(D114=1,E114+W_board*F114,"")</f>
        <v>38.1818181818182</v>
      </c>
      <c r="Z114" s="12" t="str">
        <f aca="false">IF(AND($J114=1,$M114=1),N114*E114/Span_P+O114*F114/Span_S+P114*G114/Span_B,"")</f>
        <v/>
      </c>
      <c r="AA114" s="12" t="str">
        <f aca="false">IF(AND($J114=1,$M114=1),SUMPRODUCT(MAX($J$6:$J$1062*(N114*$K$6:$K$1062/Span_P+O114*$F$6:$F$1062/Span_S+P114*$G$6:$G$1062/Span_B)-(1-$J$6:$J$1062)*1000000000)),"")</f>
        <v/>
      </c>
      <c r="AB114" s="15" t="str">
        <f aca="false">IF(AND($J114=1,$M114=1),IF(AA114-Z114&lt;=0.000000001,1,0),"")</f>
        <v/>
      </c>
      <c r="AC114" s="13" t="str">
        <f aca="false">IF(AND($J114=1,$M114=0),IF(S114="",0,S114*INDEX(Grid!$B$6:$H$156,R114+1,Q114+1))+IF(V114="",0,V114*INDEX(Grid!$B$6:$H$156,U114+1,T114+1))+IF(Y114="",0,Y114*INDEX(Grid!$B$6:$H$156,X114+1,W114+1)),"")</f>
        <v/>
      </c>
      <c r="AD114" s="13" t="str">
        <f aca="false">IF(AND($J114=1,$M114=0),IF(S114="",0,S114*Val_pt*(Ceiling_e-E_zero)*(1-(1-Half_gap)^Q114))+IF(V114="",0,V114*Val_pt*(Ceiling_e-E_zero)*(1-(1-Half_gap)^T114))+IF(Y114="",0,Y114*Val_pt*(Ceiling_e-E_zero)*(1-(1-Half_gap)^W114)),"")</f>
        <v/>
      </c>
      <c r="AE114" s="13" t="str">
        <f aca="false">IF(AND($J114=1,$M114=0),IF(S114="",0,S114*R114)+IF(V114="",0,V114*U114)+IF(Y114="",0,Y114*X114),"")</f>
        <v/>
      </c>
      <c r="AF114" s="12" t="str">
        <f aca="false">IF(AND($J114=1,$M114=0),MIN((AC114-E114)/Span_P,(AD114-F114)/Span_S,(AE114-G114)/Span_B),"")</f>
        <v/>
      </c>
      <c r="AG114" s="15" t="str">
        <f aca="false">IF(AND($J114=1,$M114=0),IF(AF114&gt;0.0000001,1,0),"")</f>
        <v/>
      </c>
      <c r="AH114" s="15" t="str">
        <f aca="false">IF($J114=1,IF($M114=1,AB114,AG114),"")</f>
        <v/>
      </c>
      <c r="AI114" s="13" t="str">
        <f aca="false">IF($J114=1,(Ideal_P-E114)/Span_P,"")</f>
        <v/>
      </c>
      <c r="AJ114" s="13" t="str">
        <f aca="false">IF($J114=1,(Ideal_S-F114)/Span_S,"")</f>
        <v/>
      </c>
      <c r="AK114" s="13" t="str">
        <f aca="false">IF($J114=1,(Ideal_B-G114)/Span_B,"")</f>
        <v/>
      </c>
      <c r="AL114" s="12" t="str">
        <f aca="false">IF($J114=1,MAX(ChA_1*AI114,ChA_2*AJ114,ChA_3*AK114)+Rho*(ChA_1*AI114+ChA_2*AJ114+ChA_3*AK114),"")</f>
        <v/>
      </c>
      <c r="AM114" s="12" t="str">
        <f aca="false">IF($J114=1,MAX(ChB_1*AI114,ChB_2*AJ114,ChB_3*AK114)+Rho*(ChB_1*AI114+ChB_2*AJ114+ChB_3*AK114),"")</f>
        <v/>
      </c>
      <c r="AN114" s="12" t="str">
        <f aca="false">IF($J114=1,MAX(Cx_1*(Ref_P-E114)/Span_P,Cx_2*(Ref_S-F114)/Span_S,Cx_3*(Ref_B-G114)/Span_B),"")</f>
        <v/>
      </c>
    </row>
    <row r="115" customFormat="false" ht="15" hidden="false" customHeight="false" outlineLevel="0" collapsed="false">
      <c r="A115" s="2" t="n">
        <v>109</v>
      </c>
      <c r="B115" s="15" t="n">
        <f aca="false">INT(A115/151)</f>
        <v>0</v>
      </c>
      <c r="C115" s="15" t="n">
        <f aca="false">MOD(A115,151)</f>
        <v>109</v>
      </c>
      <c r="D115" s="15" t="n">
        <f aca="false">INDEX(Grid!$J$6:$P$156,C115+1,B115+1)</f>
        <v>1</v>
      </c>
      <c r="E115" s="16" t="n">
        <f aca="false">IF(D115=1,INDEX(Grid!$B$6:$H$156,C115+1,B115+1),"")</f>
        <v>37.2727272727273</v>
      </c>
      <c r="F115" s="13" t="n">
        <f aca="false">Val_pt*(Ceiling_e-E_zero)*(1-(1-Half_gap)^B115)</f>
        <v>0</v>
      </c>
      <c r="G115" s="15" t="n">
        <f aca="false">C115</f>
        <v>109</v>
      </c>
      <c r="H115" s="15" t="n">
        <f aca="false">IF(D115=1,INDEX(Grid!$R$6:$X$156,C115+1,B115+1),"")</f>
        <v>0</v>
      </c>
      <c r="I115" s="2" t="str">
        <f aca="false">IF(D115=1,INDEX(Sch_label,H115+1),"")</f>
        <v>none</v>
      </c>
      <c r="J115" s="15" t="n">
        <f aca="false">IF(D115=1,INDEX(Grid!$Z$6:$AF$156,C115+1,B115+1),0)</f>
        <v>0</v>
      </c>
      <c r="K115" s="16" t="n">
        <f aca="false">IF(J115=1,E115,0)</f>
        <v>0</v>
      </c>
      <c r="L115" s="17" t="n">
        <f aca="false">IF(D115=1,E115+W_board*F115,"")</f>
        <v>37.2727272727273</v>
      </c>
      <c r="Z115" s="12" t="str">
        <f aca="false">IF(AND($J115=1,$M115=1),N115*E115/Span_P+O115*F115/Span_S+P115*G115/Span_B,"")</f>
        <v/>
      </c>
      <c r="AA115" s="12" t="str">
        <f aca="false">IF(AND($J115=1,$M115=1),SUMPRODUCT(MAX($J$6:$J$1062*(N115*$K$6:$K$1062/Span_P+O115*$F$6:$F$1062/Span_S+P115*$G$6:$G$1062/Span_B)-(1-$J$6:$J$1062)*1000000000)),"")</f>
        <v/>
      </c>
      <c r="AB115" s="15" t="str">
        <f aca="false">IF(AND($J115=1,$M115=1),IF(AA115-Z115&lt;=0.000000001,1,0),"")</f>
        <v/>
      </c>
      <c r="AC115" s="13" t="str">
        <f aca="false">IF(AND($J115=1,$M115=0),IF(S115="",0,S115*INDEX(Grid!$B$6:$H$156,R115+1,Q115+1))+IF(V115="",0,V115*INDEX(Grid!$B$6:$H$156,U115+1,T115+1))+IF(Y115="",0,Y115*INDEX(Grid!$B$6:$H$156,X115+1,W115+1)),"")</f>
        <v/>
      </c>
      <c r="AD115" s="13" t="str">
        <f aca="false">IF(AND($J115=1,$M115=0),IF(S115="",0,S115*Val_pt*(Ceiling_e-E_zero)*(1-(1-Half_gap)^Q115))+IF(V115="",0,V115*Val_pt*(Ceiling_e-E_zero)*(1-(1-Half_gap)^T115))+IF(Y115="",0,Y115*Val_pt*(Ceiling_e-E_zero)*(1-(1-Half_gap)^W115)),"")</f>
        <v/>
      </c>
      <c r="AE115" s="13" t="str">
        <f aca="false">IF(AND($J115=1,$M115=0),IF(S115="",0,S115*R115)+IF(V115="",0,V115*U115)+IF(Y115="",0,Y115*X115),"")</f>
        <v/>
      </c>
      <c r="AF115" s="12" t="str">
        <f aca="false">IF(AND($J115=1,$M115=0),MIN((AC115-E115)/Span_P,(AD115-F115)/Span_S,(AE115-G115)/Span_B),"")</f>
        <v/>
      </c>
      <c r="AG115" s="15" t="str">
        <f aca="false">IF(AND($J115=1,$M115=0),IF(AF115&gt;0.0000001,1,0),"")</f>
        <v/>
      </c>
      <c r="AH115" s="15" t="str">
        <f aca="false">IF($J115=1,IF($M115=1,AB115,AG115),"")</f>
        <v/>
      </c>
      <c r="AI115" s="13" t="str">
        <f aca="false">IF($J115=1,(Ideal_P-E115)/Span_P,"")</f>
        <v/>
      </c>
      <c r="AJ115" s="13" t="str">
        <f aca="false">IF($J115=1,(Ideal_S-F115)/Span_S,"")</f>
        <v/>
      </c>
      <c r="AK115" s="13" t="str">
        <f aca="false">IF($J115=1,(Ideal_B-G115)/Span_B,"")</f>
        <v/>
      </c>
      <c r="AL115" s="12" t="str">
        <f aca="false">IF($J115=1,MAX(ChA_1*AI115,ChA_2*AJ115,ChA_3*AK115)+Rho*(ChA_1*AI115+ChA_2*AJ115+ChA_3*AK115),"")</f>
        <v/>
      </c>
      <c r="AM115" s="12" t="str">
        <f aca="false">IF($J115=1,MAX(ChB_1*AI115,ChB_2*AJ115,ChB_3*AK115)+Rho*(ChB_1*AI115+ChB_2*AJ115+ChB_3*AK115),"")</f>
        <v/>
      </c>
      <c r="AN115" s="12" t="str">
        <f aca="false">IF($J115=1,MAX(Cx_1*(Ref_P-E115)/Span_P,Cx_2*(Ref_S-F115)/Span_S,Cx_3*(Ref_B-G115)/Span_B),"")</f>
        <v/>
      </c>
    </row>
    <row r="116" customFormat="false" ht="15" hidden="false" customHeight="false" outlineLevel="0" collapsed="false">
      <c r="A116" s="2" t="n">
        <v>110</v>
      </c>
      <c r="B116" s="15" t="n">
        <f aca="false">INT(A116/151)</f>
        <v>0</v>
      </c>
      <c r="C116" s="15" t="n">
        <f aca="false">MOD(A116,151)</f>
        <v>110</v>
      </c>
      <c r="D116" s="15" t="n">
        <f aca="false">INDEX(Grid!$J$6:$P$156,C116+1,B116+1)</f>
        <v>1</v>
      </c>
      <c r="E116" s="16" t="n">
        <f aca="false">IF(D116=1,INDEX(Grid!$B$6:$H$156,C116+1,B116+1),"")</f>
        <v>36.3636363636363</v>
      </c>
      <c r="F116" s="13" t="n">
        <f aca="false">Val_pt*(Ceiling_e-E_zero)*(1-(1-Half_gap)^B116)</f>
        <v>0</v>
      </c>
      <c r="G116" s="15" t="n">
        <f aca="false">C116</f>
        <v>110</v>
      </c>
      <c r="H116" s="15" t="n">
        <f aca="false">IF(D116=1,INDEX(Grid!$R$6:$X$156,C116+1,B116+1),"")</f>
        <v>0</v>
      </c>
      <c r="I116" s="2" t="str">
        <f aca="false">IF(D116=1,INDEX(Sch_label,H116+1),"")</f>
        <v>none</v>
      </c>
      <c r="J116" s="15" t="n">
        <f aca="false">IF(D116=1,INDEX(Grid!$Z$6:$AF$156,C116+1,B116+1),0)</f>
        <v>0</v>
      </c>
      <c r="K116" s="16" t="n">
        <f aca="false">IF(J116=1,E116,0)</f>
        <v>0</v>
      </c>
      <c r="L116" s="17" t="n">
        <f aca="false">IF(D116=1,E116+W_board*F116,"")</f>
        <v>36.3636363636363</v>
      </c>
      <c r="Z116" s="12" t="str">
        <f aca="false">IF(AND($J116=1,$M116=1),N116*E116/Span_P+O116*F116/Span_S+P116*G116/Span_B,"")</f>
        <v/>
      </c>
      <c r="AA116" s="12" t="str">
        <f aca="false">IF(AND($J116=1,$M116=1),SUMPRODUCT(MAX($J$6:$J$1062*(N116*$K$6:$K$1062/Span_P+O116*$F$6:$F$1062/Span_S+P116*$G$6:$G$1062/Span_B)-(1-$J$6:$J$1062)*1000000000)),"")</f>
        <v/>
      </c>
      <c r="AB116" s="15" t="str">
        <f aca="false">IF(AND($J116=1,$M116=1),IF(AA116-Z116&lt;=0.000000001,1,0),"")</f>
        <v/>
      </c>
      <c r="AC116" s="13" t="str">
        <f aca="false">IF(AND($J116=1,$M116=0),IF(S116="",0,S116*INDEX(Grid!$B$6:$H$156,R116+1,Q116+1))+IF(V116="",0,V116*INDEX(Grid!$B$6:$H$156,U116+1,T116+1))+IF(Y116="",0,Y116*INDEX(Grid!$B$6:$H$156,X116+1,W116+1)),"")</f>
        <v/>
      </c>
      <c r="AD116" s="13" t="str">
        <f aca="false">IF(AND($J116=1,$M116=0),IF(S116="",0,S116*Val_pt*(Ceiling_e-E_zero)*(1-(1-Half_gap)^Q116))+IF(V116="",0,V116*Val_pt*(Ceiling_e-E_zero)*(1-(1-Half_gap)^T116))+IF(Y116="",0,Y116*Val_pt*(Ceiling_e-E_zero)*(1-(1-Half_gap)^W116)),"")</f>
        <v/>
      </c>
      <c r="AE116" s="13" t="str">
        <f aca="false">IF(AND($J116=1,$M116=0),IF(S116="",0,S116*R116)+IF(V116="",0,V116*U116)+IF(Y116="",0,Y116*X116),"")</f>
        <v/>
      </c>
      <c r="AF116" s="12" t="str">
        <f aca="false">IF(AND($J116=1,$M116=0),MIN((AC116-E116)/Span_P,(AD116-F116)/Span_S,(AE116-G116)/Span_B),"")</f>
        <v/>
      </c>
      <c r="AG116" s="15" t="str">
        <f aca="false">IF(AND($J116=1,$M116=0),IF(AF116&gt;0.0000001,1,0),"")</f>
        <v/>
      </c>
      <c r="AH116" s="15" t="str">
        <f aca="false">IF($J116=1,IF($M116=1,AB116,AG116),"")</f>
        <v/>
      </c>
      <c r="AI116" s="13" t="str">
        <f aca="false">IF($J116=1,(Ideal_P-E116)/Span_P,"")</f>
        <v/>
      </c>
      <c r="AJ116" s="13" t="str">
        <f aca="false">IF($J116=1,(Ideal_S-F116)/Span_S,"")</f>
        <v/>
      </c>
      <c r="AK116" s="13" t="str">
        <f aca="false">IF($J116=1,(Ideal_B-G116)/Span_B,"")</f>
        <v/>
      </c>
      <c r="AL116" s="12" t="str">
        <f aca="false">IF($J116=1,MAX(ChA_1*AI116,ChA_2*AJ116,ChA_3*AK116)+Rho*(ChA_1*AI116+ChA_2*AJ116+ChA_3*AK116),"")</f>
        <v/>
      </c>
      <c r="AM116" s="12" t="str">
        <f aca="false">IF($J116=1,MAX(ChB_1*AI116,ChB_2*AJ116,ChB_3*AK116)+Rho*(ChB_1*AI116+ChB_2*AJ116+ChB_3*AK116),"")</f>
        <v/>
      </c>
      <c r="AN116" s="12" t="str">
        <f aca="false">IF($J116=1,MAX(Cx_1*(Ref_P-E116)/Span_P,Cx_2*(Ref_S-F116)/Span_S,Cx_3*(Ref_B-G116)/Span_B),"")</f>
        <v/>
      </c>
    </row>
    <row r="117" customFormat="false" ht="15" hidden="false" customHeight="false" outlineLevel="0" collapsed="false">
      <c r="A117" s="2" t="n">
        <v>111</v>
      </c>
      <c r="B117" s="15" t="n">
        <f aca="false">INT(A117/151)</f>
        <v>0</v>
      </c>
      <c r="C117" s="15" t="n">
        <f aca="false">MOD(A117,151)</f>
        <v>111</v>
      </c>
      <c r="D117" s="15" t="n">
        <f aca="false">INDEX(Grid!$J$6:$P$156,C117+1,B117+1)</f>
        <v>1</v>
      </c>
      <c r="E117" s="16" t="n">
        <f aca="false">IF(D117=1,INDEX(Grid!$B$6:$H$156,C117+1,B117+1),"")</f>
        <v>35.4545454545454</v>
      </c>
      <c r="F117" s="13" t="n">
        <f aca="false">Val_pt*(Ceiling_e-E_zero)*(1-(1-Half_gap)^B117)</f>
        <v>0</v>
      </c>
      <c r="G117" s="15" t="n">
        <f aca="false">C117</f>
        <v>111</v>
      </c>
      <c r="H117" s="15" t="n">
        <f aca="false">IF(D117=1,INDEX(Grid!$R$6:$X$156,C117+1,B117+1),"")</f>
        <v>0</v>
      </c>
      <c r="I117" s="2" t="str">
        <f aca="false">IF(D117=1,INDEX(Sch_label,H117+1),"")</f>
        <v>none</v>
      </c>
      <c r="J117" s="15" t="n">
        <f aca="false">IF(D117=1,INDEX(Grid!$Z$6:$AF$156,C117+1,B117+1),0)</f>
        <v>0</v>
      </c>
      <c r="K117" s="16" t="n">
        <f aca="false">IF(J117=1,E117,0)</f>
        <v>0</v>
      </c>
      <c r="L117" s="17" t="n">
        <f aca="false">IF(D117=1,E117+W_board*F117,"")</f>
        <v>35.4545454545454</v>
      </c>
      <c r="Z117" s="12" t="str">
        <f aca="false">IF(AND($J117=1,$M117=1),N117*E117/Span_P+O117*F117/Span_S+P117*G117/Span_B,"")</f>
        <v/>
      </c>
      <c r="AA117" s="12" t="str">
        <f aca="false">IF(AND($J117=1,$M117=1),SUMPRODUCT(MAX($J$6:$J$1062*(N117*$K$6:$K$1062/Span_P+O117*$F$6:$F$1062/Span_S+P117*$G$6:$G$1062/Span_B)-(1-$J$6:$J$1062)*1000000000)),"")</f>
        <v/>
      </c>
      <c r="AB117" s="15" t="str">
        <f aca="false">IF(AND($J117=1,$M117=1),IF(AA117-Z117&lt;=0.000000001,1,0),"")</f>
        <v/>
      </c>
      <c r="AC117" s="13" t="str">
        <f aca="false">IF(AND($J117=1,$M117=0),IF(S117="",0,S117*INDEX(Grid!$B$6:$H$156,R117+1,Q117+1))+IF(V117="",0,V117*INDEX(Grid!$B$6:$H$156,U117+1,T117+1))+IF(Y117="",0,Y117*INDEX(Grid!$B$6:$H$156,X117+1,W117+1)),"")</f>
        <v/>
      </c>
      <c r="AD117" s="13" t="str">
        <f aca="false">IF(AND($J117=1,$M117=0),IF(S117="",0,S117*Val_pt*(Ceiling_e-E_zero)*(1-(1-Half_gap)^Q117))+IF(V117="",0,V117*Val_pt*(Ceiling_e-E_zero)*(1-(1-Half_gap)^T117))+IF(Y117="",0,Y117*Val_pt*(Ceiling_e-E_zero)*(1-(1-Half_gap)^W117)),"")</f>
        <v/>
      </c>
      <c r="AE117" s="13" t="str">
        <f aca="false">IF(AND($J117=1,$M117=0),IF(S117="",0,S117*R117)+IF(V117="",0,V117*U117)+IF(Y117="",0,Y117*X117),"")</f>
        <v/>
      </c>
      <c r="AF117" s="12" t="str">
        <f aca="false">IF(AND($J117=1,$M117=0),MIN((AC117-E117)/Span_P,(AD117-F117)/Span_S,(AE117-G117)/Span_B),"")</f>
        <v/>
      </c>
      <c r="AG117" s="15" t="str">
        <f aca="false">IF(AND($J117=1,$M117=0),IF(AF117&gt;0.0000001,1,0),"")</f>
        <v/>
      </c>
      <c r="AH117" s="15" t="str">
        <f aca="false">IF($J117=1,IF($M117=1,AB117,AG117),"")</f>
        <v/>
      </c>
      <c r="AI117" s="13" t="str">
        <f aca="false">IF($J117=1,(Ideal_P-E117)/Span_P,"")</f>
        <v/>
      </c>
      <c r="AJ117" s="13" t="str">
        <f aca="false">IF($J117=1,(Ideal_S-F117)/Span_S,"")</f>
        <v/>
      </c>
      <c r="AK117" s="13" t="str">
        <f aca="false">IF($J117=1,(Ideal_B-G117)/Span_B,"")</f>
        <v/>
      </c>
      <c r="AL117" s="12" t="str">
        <f aca="false">IF($J117=1,MAX(ChA_1*AI117,ChA_2*AJ117,ChA_3*AK117)+Rho*(ChA_1*AI117+ChA_2*AJ117+ChA_3*AK117),"")</f>
        <v/>
      </c>
      <c r="AM117" s="12" t="str">
        <f aca="false">IF($J117=1,MAX(ChB_1*AI117,ChB_2*AJ117,ChB_3*AK117)+Rho*(ChB_1*AI117+ChB_2*AJ117+ChB_3*AK117),"")</f>
        <v/>
      </c>
      <c r="AN117" s="12" t="str">
        <f aca="false">IF($J117=1,MAX(Cx_1*(Ref_P-E117)/Span_P,Cx_2*(Ref_S-F117)/Span_S,Cx_3*(Ref_B-G117)/Span_B),"")</f>
        <v/>
      </c>
    </row>
    <row r="118" customFormat="false" ht="15" hidden="false" customHeight="false" outlineLevel="0" collapsed="false">
      <c r="A118" s="2" t="n">
        <v>112</v>
      </c>
      <c r="B118" s="15" t="n">
        <f aca="false">INT(A118/151)</f>
        <v>0</v>
      </c>
      <c r="C118" s="15" t="n">
        <f aca="false">MOD(A118,151)</f>
        <v>112</v>
      </c>
      <c r="D118" s="15" t="n">
        <f aca="false">INDEX(Grid!$J$6:$P$156,C118+1,B118+1)</f>
        <v>1</v>
      </c>
      <c r="E118" s="16" t="n">
        <f aca="false">IF(D118=1,INDEX(Grid!$B$6:$H$156,C118+1,B118+1),"")</f>
        <v>34.5454545454545</v>
      </c>
      <c r="F118" s="13" t="n">
        <f aca="false">Val_pt*(Ceiling_e-E_zero)*(1-(1-Half_gap)^B118)</f>
        <v>0</v>
      </c>
      <c r="G118" s="15" t="n">
        <f aca="false">C118</f>
        <v>112</v>
      </c>
      <c r="H118" s="15" t="n">
        <f aca="false">IF(D118=1,INDEX(Grid!$R$6:$X$156,C118+1,B118+1),"")</f>
        <v>0</v>
      </c>
      <c r="I118" s="2" t="str">
        <f aca="false">IF(D118=1,INDEX(Sch_label,H118+1),"")</f>
        <v>none</v>
      </c>
      <c r="J118" s="15" t="n">
        <f aca="false">IF(D118=1,INDEX(Grid!$Z$6:$AF$156,C118+1,B118+1),0)</f>
        <v>0</v>
      </c>
      <c r="K118" s="16" t="n">
        <f aca="false">IF(J118=1,E118,0)</f>
        <v>0</v>
      </c>
      <c r="L118" s="17" t="n">
        <f aca="false">IF(D118=1,E118+W_board*F118,"")</f>
        <v>34.5454545454545</v>
      </c>
      <c r="Z118" s="12" t="str">
        <f aca="false">IF(AND($J118=1,$M118=1),N118*E118/Span_P+O118*F118/Span_S+P118*G118/Span_B,"")</f>
        <v/>
      </c>
      <c r="AA118" s="12" t="str">
        <f aca="false">IF(AND($J118=1,$M118=1),SUMPRODUCT(MAX($J$6:$J$1062*(N118*$K$6:$K$1062/Span_P+O118*$F$6:$F$1062/Span_S+P118*$G$6:$G$1062/Span_B)-(1-$J$6:$J$1062)*1000000000)),"")</f>
        <v/>
      </c>
      <c r="AB118" s="15" t="str">
        <f aca="false">IF(AND($J118=1,$M118=1),IF(AA118-Z118&lt;=0.000000001,1,0),"")</f>
        <v/>
      </c>
      <c r="AC118" s="13" t="str">
        <f aca="false">IF(AND($J118=1,$M118=0),IF(S118="",0,S118*INDEX(Grid!$B$6:$H$156,R118+1,Q118+1))+IF(V118="",0,V118*INDEX(Grid!$B$6:$H$156,U118+1,T118+1))+IF(Y118="",0,Y118*INDEX(Grid!$B$6:$H$156,X118+1,W118+1)),"")</f>
        <v/>
      </c>
      <c r="AD118" s="13" t="str">
        <f aca="false">IF(AND($J118=1,$M118=0),IF(S118="",0,S118*Val_pt*(Ceiling_e-E_zero)*(1-(1-Half_gap)^Q118))+IF(V118="",0,V118*Val_pt*(Ceiling_e-E_zero)*(1-(1-Half_gap)^T118))+IF(Y118="",0,Y118*Val_pt*(Ceiling_e-E_zero)*(1-(1-Half_gap)^W118)),"")</f>
        <v/>
      </c>
      <c r="AE118" s="13" t="str">
        <f aca="false">IF(AND($J118=1,$M118=0),IF(S118="",0,S118*R118)+IF(V118="",0,V118*U118)+IF(Y118="",0,Y118*X118),"")</f>
        <v/>
      </c>
      <c r="AF118" s="12" t="str">
        <f aca="false">IF(AND($J118=1,$M118=0),MIN((AC118-E118)/Span_P,(AD118-F118)/Span_S,(AE118-G118)/Span_B),"")</f>
        <v/>
      </c>
      <c r="AG118" s="15" t="str">
        <f aca="false">IF(AND($J118=1,$M118=0),IF(AF118&gt;0.0000001,1,0),"")</f>
        <v/>
      </c>
      <c r="AH118" s="15" t="str">
        <f aca="false">IF($J118=1,IF($M118=1,AB118,AG118),"")</f>
        <v/>
      </c>
      <c r="AI118" s="13" t="str">
        <f aca="false">IF($J118=1,(Ideal_P-E118)/Span_P,"")</f>
        <v/>
      </c>
      <c r="AJ118" s="13" t="str">
        <f aca="false">IF($J118=1,(Ideal_S-F118)/Span_S,"")</f>
        <v/>
      </c>
      <c r="AK118" s="13" t="str">
        <f aca="false">IF($J118=1,(Ideal_B-G118)/Span_B,"")</f>
        <v/>
      </c>
      <c r="AL118" s="12" t="str">
        <f aca="false">IF($J118=1,MAX(ChA_1*AI118,ChA_2*AJ118,ChA_3*AK118)+Rho*(ChA_1*AI118+ChA_2*AJ118+ChA_3*AK118),"")</f>
        <v/>
      </c>
      <c r="AM118" s="12" t="str">
        <f aca="false">IF($J118=1,MAX(ChB_1*AI118,ChB_2*AJ118,ChB_3*AK118)+Rho*(ChB_1*AI118+ChB_2*AJ118+ChB_3*AK118),"")</f>
        <v/>
      </c>
      <c r="AN118" s="12" t="str">
        <f aca="false">IF($J118=1,MAX(Cx_1*(Ref_P-E118)/Span_P,Cx_2*(Ref_S-F118)/Span_S,Cx_3*(Ref_B-G118)/Span_B),"")</f>
        <v/>
      </c>
    </row>
    <row r="119" customFormat="false" ht="15" hidden="false" customHeight="false" outlineLevel="0" collapsed="false">
      <c r="A119" s="2" t="n">
        <v>113</v>
      </c>
      <c r="B119" s="15" t="n">
        <f aca="false">INT(A119/151)</f>
        <v>0</v>
      </c>
      <c r="C119" s="15" t="n">
        <f aca="false">MOD(A119,151)</f>
        <v>113</v>
      </c>
      <c r="D119" s="15" t="n">
        <f aca="false">INDEX(Grid!$J$6:$P$156,C119+1,B119+1)</f>
        <v>1</v>
      </c>
      <c r="E119" s="16" t="n">
        <f aca="false">IF(D119=1,INDEX(Grid!$B$6:$H$156,C119+1,B119+1),"")</f>
        <v>33.6363636363636</v>
      </c>
      <c r="F119" s="13" t="n">
        <f aca="false">Val_pt*(Ceiling_e-E_zero)*(1-(1-Half_gap)^B119)</f>
        <v>0</v>
      </c>
      <c r="G119" s="15" t="n">
        <f aca="false">C119</f>
        <v>113</v>
      </c>
      <c r="H119" s="15" t="n">
        <f aca="false">IF(D119=1,INDEX(Grid!$R$6:$X$156,C119+1,B119+1),"")</f>
        <v>0</v>
      </c>
      <c r="I119" s="2" t="str">
        <f aca="false">IF(D119=1,INDEX(Sch_label,H119+1),"")</f>
        <v>none</v>
      </c>
      <c r="J119" s="15" t="n">
        <f aca="false">IF(D119=1,INDEX(Grid!$Z$6:$AF$156,C119+1,B119+1),0)</f>
        <v>0</v>
      </c>
      <c r="K119" s="16" t="n">
        <f aca="false">IF(J119=1,E119,0)</f>
        <v>0</v>
      </c>
      <c r="L119" s="17" t="n">
        <f aca="false">IF(D119=1,E119+W_board*F119,"")</f>
        <v>33.6363636363636</v>
      </c>
      <c r="Z119" s="12" t="str">
        <f aca="false">IF(AND($J119=1,$M119=1),N119*E119/Span_P+O119*F119/Span_S+P119*G119/Span_B,"")</f>
        <v/>
      </c>
      <c r="AA119" s="12" t="str">
        <f aca="false">IF(AND($J119=1,$M119=1),SUMPRODUCT(MAX($J$6:$J$1062*(N119*$K$6:$K$1062/Span_P+O119*$F$6:$F$1062/Span_S+P119*$G$6:$G$1062/Span_B)-(1-$J$6:$J$1062)*1000000000)),"")</f>
        <v/>
      </c>
      <c r="AB119" s="15" t="str">
        <f aca="false">IF(AND($J119=1,$M119=1),IF(AA119-Z119&lt;=0.000000001,1,0),"")</f>
        <v/>
      </c>
      <c r="AC119" s="13" t="str">
        <f aca="false">IF(AND($J119=1,$M119=0),IF(S119="",0,S119*INDEX(Grid!$B$6:$H$156,R119+1,Q119+1))+IF(V119="",0,V119*INDEX(Grid!$B$6:$H$156,U119+1,T119+1))+IF(Y119="",0,Y119*INDEX(Grid!$B$6:$H$156,X119+1,W119+1)),"")</f>
        <v/>
      </c>
      <c r="AD119" s="13" t="str">
        <f aca="false">IF(AND($J119=1,$M119=0),IF(S119="",0,S119*Val_pt*(Ceiling_e-E_zero)*(1-(1-Half_gap)^Q119))+IF(V119="",0,V119*Val_pt*(Ceiling_e-E_zero)*(1-(1-Half_gap)^T119))+IF(Y119="",0,Y119*Val_pt*(Ceiling_e-E_zero)*(1-(1-Half_gap)^W119)),"")</f>
        <v/>
      </c>
      <c r="AE119" s="13" t="str">
        <f aca="false">IF(AND($J119=1,$M119=0),IF(S119="",0,S119*R119)+IF(V119="",0,V119*U119)+IF(Y119="",0,Y119*X119),"")</f>
        <v/>
      </c>
      <c r="AF119" s="12" t="str">
        <f aca="false">IF(AND($J119=1,$M119=0),MIN((AC119-E119)/Span_P,(AD119-F119)/Span_S,(AE119-G119)/Span_B),"")</f>
        <v/>
      </c>
      <c r="AG119" s="15" t="str">
        <f aca="false">IF(AND($J119=1,$M119=0),IF(AF119&gt;0.0000001,1,0),"")</f>
        <v/>
      </c>
      <c r="AH119" s="15" t="str">
        <f aca="false">IF($J119=1,IF($M119=1,AB119,AG119),"")</f>
        <v/>
      </c>
      <c r="AI119" s="13" t="str">
        <f aca="false">IF($J119=1,(Ideal_P-E119)/Span_P,"")</f>
        <v/>
      </c>
      <c r="AJ119" s="13" t="str">
        <f aca="false">IF($J119=1,(Ideal_S-F119)/Span_S,"")</f>
        <v/>
      </c>
      <c r="AK119" s="13" t="str">
        <f aca="false">IF($J119=1,(Ideal_B-G119)/Span_B,"")</f>
        <v/>
      </c>
      <c r="AL119" s="12" t="str">
        <f aca="false">IF($J119=1,MAX(ChA_1*AI119,ChA_2*AJ119,ChA_3*AK119)+Rho*(ChA_1*AI119+ChA_2*AJ119+ChA_3*AK119),"")</f>
        <v/>
      </c>
      <c r="AM119" s="12" t="str">
        <f aca="false">IF($J119=1,MAX(ChB_1*AI119,ChB_2*AJ119,ChB_3*AK119)+Rho*(ChB_1*AI119+ChB_2*AJ119+ChB_3*AK119),"")</f>
        <v/>
      </c>
      <c r="AN119" s="12" t="str">
        <f aca="false">IF($J119=1,MAX(Cx_1*(Ref_P-E119)/Span_P,Cx_2*(Ref_S-F119)/Span_S,Cx_3*(Ref_B-G119)/Span_B),"")</f>
        <v/>
      </c>
    </row>
    <row r="120" customFormat="false" ht="15" hidden="false" customHeight="false" outlineLevel="0" collapsed="false">
      <c r="A120" s="2" t="n">
        <v>114</v>
      </c>
      <c r="B120" s="15" t="n">
        <f aca="false">INT(A120/151)</f>
        <v>0</v>
      </c>
      <c r="C120" s="15" t="n">
        <f aca="false">MOD(A120,151)</f>
        <v>114</v>
      </c>
      <c r="D120" s="15" t="n">
        <f aca="false">INDEX(Grid!$J$6:$P$156,C120+1,B120+1)</f>
        <v>1</v>
      </c>
      <c r="E120" s="16" t="n">
        <f aca="false">IF(D120=1,INDEX(Grid!$B$6:$H$156,C120+1,B120+1),"")</f>
        <v>32.7272727272727</v>
      </c>
      <c r="F120" s="13" t="n">
        <f aca="false">Val_pt*(Ceiling_e-E_zero)*(1-(1-Half_gap)^B120)</f>
        <v>0</v>
      </c>
      <c r="G120" s="15" t="n">
        <f aca="false">C120</f>
        <v>114</v>
      </c>
      <c r="H120" s="15" t="n">
        <f aca="false">IF(D120=1,INDEX(Grid!$R$6:$X$156,C120+1,B120+1),"")</f>
        <v>0</v>
      </c>
      <c r="I120" s="2" t="str">
        <f aca="false">IF(D120=1,INDEX(Sch_label,H120+1),"")</f>
        <v>none</v>
      </c>
      <c r="J120" s="15" t="n">
        <f aca="false">IF(D120=1,INDEX(Grid!$Z$6:$AF$156,C120+1,B120+1),0)</f>
        <v>0</v>
      </c>
      <c r="K120" s="16" t="n">
        <f aca="false">IF(J120=1,E120,0)</f>
        <v>0</v>
      </c>
      <c r="L120" s="17" t="n">
        <f aca="false">IF(D120=1,E120+W_board*F120,"")</f>
        <v>32.7272727272727</v>
      </c>
      <c r="Z120" s="12" t="str">
        <f aca="false">IF(AND($J120=1,$M120=1),N120*E120/Span_P+O120*F120/Span_S+P120*G120/Span_B,"")</f>
        <v/>
      </c>
      <c r="AA120" s="12" t="str">
        <f aca="false">IF(AND($J120=1,$M120=1),SUMPRODUCT(MAX($J$6:$J$1062*(N120*$K$6:$K$1062/Span_P+O120*$F$6:$F$1062/Span_S+P120*$G$6:$G$1062/Span_B)-(1-$J$6:$J$1062)*1000000000)),"")</f>
        <v/>
      </c>
      <c r="AB120" s="15" t="str">
        <f aca="false">IF(AND($J120=1,$M120=1),IF(AA120-Z120&lt;=0.000000001,1,0),"")</f>
        <v/>
      </c>
      <c r="AC120" s="13" t="str">
        <f aca="false">IF(AND($J120=1,$M120=0),IF(S120="",0,S120*INDEX(Grid!$B$6:$H$156,R120+1,Q120+1))+IF(V120="",0,V120*INDEX(Grid!$B$6:$H$156,U120+1,T120+1))+IF(Y120="",0,Y120*INDEX(Grid!$B$6:$H$156,X120+1,W120+1)),"")</f>
        <v/>
      </c>
      <c r="AD120" s="13" t="str">
        <f aca="false">IF(AND($J120=1,$M120=0),IF(S120="",0,S120*Val_pt*(Ceiling_e-E_zero)*(1-(1-Half_gap)^Q120))+IF(V120="",0,V120*Val_pt*(Ceiling_e-E_zero)*(1-(1-Half_gap)^T120))+IF(Y120="",0,Y120*Val_pt*(Ceiling_e-E_zero)*(1-(1-Half_gap)^W120)),"")</f>
        <v/>
      </c>
      <c r="AE120" s="13" t="str">
        <f aca="false">IF(AND($J120=1,$M120=0),IF(S120="",0,S120*R120)+IF(V120="",0,V120*U120)+IF(Y120="",0,Y120*X120),"")</f>
        <v/>
      </c>
      <c r="AF120" s="12" t="str">
        <f aca="false">IF(AND($J120=1,$M120=0),MIN((AC120-E120)/Span_P,(AD120-F120)/Span_S,(AE120-G120)/Span_B),"")</f>
        <v/>
      </c>
      <c r="AG120" s="15" t="str">
        <f aca="false">IF(AND($J120=1,$M120=0),IF(AF120&gt;0.0000001,1,0),"")</f>
        <v/>
      </c>
      <c r="AH120" s="15" t="str">
        <f aca="false">IF($J120=1,IF($M120=1,AB120,AG120),"")</f>
        <v/>
      </c>
      <c r="AI120" s="13" t="str">
        <f aca="false">IF($J120=1,(Ideal_P-E120)/Span_P,"")</f>
        <v/>
      </c>
      <c r="AJ120" s="13" t="str">
        <f aca="false">IF($J120=1,(Ideal_S-F120)/Span_S,"")</f>
        <v/>
      </c>
      <c r="AK120" s="13" t="str">
        <f aca="false">IF($J120=1,(Ideal_B-G120)/Span_B,"")</f>
        <v/>
      </c>
      <c r="AL120" s="12" t="str">
        <f aca="false">IF($J120=1,MAX(ChA_1*AI120,ChA_2*AJ120,ChA_3*AK120)+Rho*(ChA_1*AI120+ChA_2*AJ120+ChA_3*AK120),"")</f>
        <v/>
      </c>
      <c r="AM120" s="12" t="str">
        <f aca="false">IF($J120=1,MAX(ChB_1*AI120,ChB_2*AJ120,ChB_3*AK120)+Rho*(ChB_1*AI120+ChB_2*AJ120+ChB_3*AK120),"")</f>
        <v/>
      </c>
      <c r="AN120" s="12" t="str">
        <f aca="false">IF($J120=1,MAX(Cx_1*(Ref_P-E120)/Span_P,Cx_2*(Ref_S-F120)/Span_S,Cx_3*(Ref_B-G120)/Span_B),"")</f>
        <v/>
      </c>
    </row>
    <row r="121" customFormat="false" ht="15" hidden="false" customHeight="false" outlineLevel="0" collapsed="false">
      <c r="A121" s="2" t="n">
        <v>115</v>
      </c>
      <c r="B121" s="15" t="n">
        <f aca="false">INT(A121/151)</f>
        <v>0</v>
      </c>
      <c r="C121" s="15" t="n">
        <f aca="false">MOD(A121,151)</f>
        <v>115</v>
      </c>
      <c r="D121" s="15" t="n">
        <f aca="false">INDEX(Grid!$J$6:$P$156,C121+1,B121+1)</f>
        <v>1</v>
      </c>
      <c r="E121" s="16" t="n">
        <f aca="false">IF(D121=1,INDEX(Grid!$B$6:$H$156,C121+1,B121+1),"")</f>
        <v>31.8181818181818</v>
      </c>
      <c r="F121" s="13" t="n">
        <f aca="false">Val_pt*(Ceiling_e-E_zero)*(1-(1-Half_gap)^B121)</f>
        <v>0</v>
      </c>
      <c r="G121" s="15" t="n">
        <f aca="false">C121</f>
        <v>115</v>
      </c>
      <c r="H121" s="15" t="n">
        <f aca="false">IF(D121=1,INDEX(Grid!$R$6:$X$156,C121+1,B121+1),"")</f>
        <v>0</v>
      </c>
      <c r="I121" s="2" t="str">
        <f aca="false">IF(D121=1,INDEX(Sch_label,H121+1),"")</f>
        <v>none</v>
      </c>
      <c r="J121" s="15" t="n">
        <f aca="false">IF(D121=1,INDEX(Grid!$Z$6:$AF$156,C121+1,B121+1),0)</f>
        <v>0</v>
      </c>
      <c r="K121" s="16" t="n">
        <f aca="false">IF(J121=1,E121,0)</f>
        <v>0</v>
      </c>
      <c r="L121" s="17" t="n">
        <f aca="false">IF(D121=1,E121+W_board*F121,"")</f>
        <v>31.8181818181818</v>
      </c>
      <c r="Z121" s="12" t="str">
        <f aca="false">IF(AND($J121=1,$M121=1),N121*E121/Span_P+O121*F121/Span_S+P121*G121/Span_B,"")</f>
        <v/>
      </c>
      <c r="AA121" s="12" t="str">
        <f aca="false">IF(AND($J121=1,$M121=1),SUMPRODUCT(MAX($J$6:$J$1062*(N121*$K$6:$K$1062/Span_P+O121*$F$6:$F$1062/Span_S+P121*$G$6:$G$1062/Span_B)-(1-$J$6:$J$1062)*1000000000)),"")</f>
        <v/>
      </c>
      <c r="AB121" s="15" t="str">
        <f aca="false">IF(AND($J121=1,$M121=1),IF(AA121-Z121&lt;=0.000000001,1,0),"")</f>
        <v/>
      </c>
      <c r="AC121" s="13" t="str">
        <f aca="false">IF(AND($J121=1,$M121=0),IF(S121="",0,S121*INDEX(Grid!$B$6:$H$156,R121+1,Q121+1))+IF(V121="",0,V121*INDEX(Grid!$B$6:$H$156,U121+1,T121+1))+IF(Y121="",0,Y121*INDEX(Grid!$B$6:$H$156,X121+1,W121+1)),"")</f>
        <v/>
      </c>
      <c r="AD121" s="13" t="str">
        <f aca="false">IF(AND($J121=1,$M121=0),IF(S121="",0,S121*Val_pt*(Ceiling_e-E_zero)*(1-(1-Half_gap)^Q121))+IF(V121="",0,V121*Val_pt*(Ceiling_e-E_zero)*(1-(1-Half_gap)^T121))+IF(Y121="",0,Y121*Val_pt*(Ceiling_e-E_zero)*(1-(1-Half_gap)^W121)),"")</f>
        <v/>
      </c>
      <c r="AE121" s="13" t="str">
        <f aca="false">IF(AND($J121=1,$M121=0),IF(S121="",0,S121*R121)+IF(V121="",0,V121*U121)+IF(Y121="",0,Y121*X121),"")</f>
        <v/>
      </c>
      <c r="AF121" s="12" t="str">
        <f aca="false">IF(AND($J121=1,$M121=0),MIN((AC121-E121)/Span_P,(AD121-F121)/Span_S,(AE121-G121)/Span_B),"")</f>
        <v/>
      </c>
      <c r="AG121" s="15" t="str">
        <f aca="false">IF(AND($J121=1,$M121=0),IF(AF121&gt;0.0000001,1,0),"")</f>
        <v/>
      </c>
      <c r="AH121" s="15" t="str">
        <f aca="false">IF($J121=1,IF($M121=1,AB121,AG121),"")</f>
        <v/>
      </c>
      <c r="AI121" s="13" t="str">
        <f aca="false">IF($J121=1,(Ideal_P-E121)/Span_P,"")</f>
        <v/>
      </c>
      <c r="AJ121" s="13" t="str">
        <f aca="false">IF($J121=1,(Ideal_S-F121)/Span_S,"")</f>
        <v/>
      </c>
      <c r="AK121" s="13" t="str">
        <f aca="false">IF($J121=1,(Ideal_B-G121)/Span_B,"")</f>
        <v/>
      </c>
      <c r="AL121" s="12" t="str">
        <f aca="false">IF($J121=1,MAX(ChA_1*AI121,ChA_2*AJ121,ChA_3*AK121)+Rho*(ChA_1*AI121+ChA_2*AJ121+ChA_3*AK121),"")</f>
        <v/>
      </c>
      <c r="AM121" s="12" t="str">
        <f aca="false">IF($J121=1,MAX(ChB_1*AI121,ChB_2*AJ121,ChB_3*AK121)+Rho*(ChB_1*AI121+ChB_2*AJ121+ChB_3*AK121),"")</f>
        <v/>
      </c>
      <c r="AN121" s="12" t="str">
        <f aca="false">IF($J121=1,MAX(Cx_1*(Ref_P-E121)/Span_P,Cx_2*(Ref_S-F121)/Span_S,Cx_3*(Ref_B-G121)/Span_B),"")</f>
        <v/>
      </c>
    </row>
    <row r="122" customFormat="false" ht="15" hidden="false" customHeight="false" outlineLevel="0" collapsed="false">
      <c r="A122" s="2" t="n">
        <v>116</v>
      </c>
      <c r="B122" s="15" t="n">
        <f aca="false">INT(A122/151)</f>
        <v>0</v>
      </c>
      <c r="C122" s="15" t="n">
        <f aca="false">MOD(A122,151)</f>
        <v>116</v>
      </c>
      <c r="D122" s="15" t="n">
        <f aca="false">INDEX(Grid!$J$6:$P$156,C122+1,B122+1)</f>
        <v>1</v>
      </c>
      <c r="E122" s="16" t="n">
        <f aca="false">IF(D122=1,INDEX(Grid!$B$6:$H$156,C122+1,B122+1),"")</f>
        <v>30.9090909090909</v>
      </c>
      <c r="F122" s="13" t="n">
        <f aca="false">Val_pt*(Ceiling_e-E_zero)*(1-(1-Half_gap)^B122)</f>
        <v>0</v>
      </c>
      <c r="G122" s="15" t="n">
        <f aca="false">C122</f>
        <v>116</v>
      </c>
      <c r="H122" s="15" t="n">
        <f aca="false">IF(D122=1,INDEX(Grid!$R$6:$X$156,C122+1,B122+1),"")</f>
        <v>0</v>
      </c>
      <c r="I122" s="2" t="str">
        <f aca="false">IF(D122=1,INDEX(Sch_label,H122+1),"")</f>
        <v>none</v>
      </c>
      <c r="J122" s="15" t="n">
        <f aca="false">IF(D122=1,INDEX(Grid!$Z$6:$AF$156,C122+1,B122+1),0)</f>
        <v>0</v>
      </c>
      <c r="K122" s="16" t="n">
        <f aca="false">IF(J122=1,E122,0)</f>
        <v>0</v>
      </c>
      <c r="L122" s="17" t="n">
        <f aca="false">IF(D122=1,E122+W_board*F122,"")</f>
        <v>30.9090909090909</v>
      </c>
      <c r="Z122" s="12" t="str">
        <f aca="false">IF(AND($J122=1,$M122=1),N122*E122/Span_P+O122*F122/Span_S+P122*G122/Span_B,"")</f>
        <v/>
      </c>
      <c r="AA122" s="12" t="str">
        <f aca="false">IF(AND($J122=1,$M122=1),SUMPRODUCT(MAX($J$6:$J$1062*(N122*$K$6:$K$1062/Span_P+O122*$F$6:$F$1062/Span_S+P122*$G$6:$G$1062/Span_B)-(1-$J$6:$J$1062)*1000000000)),"")</f>
        <v/>
      </c>
      <c r="AB122" s="15" t="str">
        <f aca="false">IF(AND($J122=1,$M122=1),IF(AA122-Z122&lt;=0.000000001,1,0),"")</f>
        <v/>
      </c>
      <c r="AC122" s="13" t="str">
        <f aca="false">IF(AND($J122=1,$M122=0),IF(S122="",0,S122*INDEX(Grid!$B$6:$H$156,R122+1,Q122+1))+IF(V122="",0,V122*INDEX(Grid!$B$6:$H$156,U122+1,T122+1))+IF(Y122="",0,Y122*INDEX(Grid!$B$6:$H$156,X122+1,W122+1)),"")</f>
        <v/>
      </c>
      <c r="AD122" s="13" t="str">
        <f aca="false">IF(AND($J122=1,$M122=0),IF(S122="",0,S122*Val_pt*(Ceiling_e-E_zero)*(1-(1-Half_gap)^Q122))+IF(V122="",0,V122*Val_pt*(Ceiling_e-E_zero)*(1-(1-Half_gap)^T122))+IF(Y122="",0,Y122*Val_pt*(Ceiling_e-E_zero)*(1-(1-Half_gap)^W122)),"")</f>
        <v/>
      </c>
      <c r="AE122" s="13" t="str">
        <f aca="false">IF(AND($J122=1,$M122=0),IF(S122="",0,S122*R122)+IF(V122="",0,V122*U122)+IF(Y122="",0,Y122*X122),"")</f>
        <v/>
      </c>
      <c r="AF122" s="12" t="str">
        <f aca="false">IF(AND($J122=1,$M122=0),MIN((AC122-E122)/Span_P,(AD122-F122)/Span_S,(AE122-G122)/Span_B),"")</f>
        <v/>
      </c>
      <c r="AG122" s="15" t="str">
        <f aca="false">IF(AND($J122=1,$M122=0),IF(AF122&gt;0.0000001,1,0),"")</f>
        <v/>
      </c>
      <c r="AH122" s="15" t="str">
        <f aca="false">IF($J122=1,IF($M122=1,AB122,AG122),"")</f>
        <v/>
      </c>
      <c r="AI122" s="13" t="str">
        <f aca="false">IF($J122=1,(Ideal_P-E122)/Span_P,"")</f>
        <v/>
      </c>
      <c r="AJ122" s="13" t="str">
        <f aca="false">IF($J122=1,(Ideal_S-F122)/Span_S,"")</f>
        <v/>
      </c>
      <c r="AK122" s="13" t="str">
        <f aca="false">IF($J122=1,(Ideal_B-G122)/Span_B,"")</f>
        <v/>
      </c>
      <c r="AL122" s="12" t="str">
        <f aca="false">IF($J122=1,MAX(ChA_1*AI122,ChA_2*AJ122,ChA_3*AK122)+Rho*(ChA_1*AI122+ChA_2*AJ122+ChA_3*AK122),"")</f>
        <v/>
      </c>
      <c r="AM122" s="12" t="str">
        <f aca="false">IF($J122=1,MAX(ChB_1*AI122,ChB_2*AJ122,ChB_3*AK122)+Rho*(ChB_1*AI122+ChB_2*AJ122+ChB_3*AK122),"")</f>
        <v/>
      </c>
      <c r="AN122" s="12" t="str">
        <f aca="false">IF($J122=1,MAX(Cx_1*(Ref_P-E122)/Span_P,Cx_2*(Ref_S-F122)/Span_S,Cx_3*(Ref_B-G122)/Span_B),"")</f>
        <v/>
      </c>
    </row>
    <row r="123" customFormat="false" ht="15" hidden="false" customHeight="false" outlineLevel="0" collapsed="false">
      <c r="A123" s="2" t="n">
        <v>117</v>
      </c>
      <c r="B123" s="15" t="n">
        <f aca="false">INT(A123/151)</f>
        <v>0</v>
      </c>
      <c r="C123" s="15" t="n">
        <f aca="false">MOD(A123,151)</f>
        <v>117</v>
      </c>
      <c r="D123" s="15" t="n">
        <f aca="false">INDEX(Grid!$J$6:$P$156,C123+1,B123+1)</f>
        <v>1</v>
      </c>
      <c r="E123" s="16" t="n">
        <f aca="false">IF(D123=1,INDEX(Grid!$B$6:$H$156,C123+1,B123+1),"")</f>
        <v>30</v>
      </c>
      <c r="F123" s="13" t="n">
        <f aca="false">Val_pt*(Ceiling_e-E_zero)*(1-(1-Half_gap)^B123)</f>
        <v>0</v>
      </c>
      <c r="G123" s="15" t="n">
        <f aca="false">C123</f>
        <v>117</v>
      </c>
      <c r="H123" s="15" t="n">
        <f aca="false">IF(D123=1,INDEX(Grid!$R$6:$X$156,C123+1,B123+1),"")</f>
        <v>0</v>
      </c>
      <c r="I123" s="2" t="str">
        <f aca="false">IF(D123=1,INDEX(Sch_label,H123+1),"")</f>
        <v>none</v>
      </c>
      <c r="J123" s="15" t="n">
        <f aca="false">IF(D123=1,INDEX(Grid!$Z$6:$AF$156,C123+1,B123+1),0)</f>
        <v>0</v>
      </c>
      <c r="K123" s="16" t="n">
        <f aca="false">IF(J123=1,E123,0)</f>
        <v>0</v>
      </c>
      <c r="L123" s="17" t="n">
        <f aca="false">IF(D123=1,E123+W_board*F123,"")</f>
        <v>30</v>
      </c>
      <c r="Z123" s="12" t="str">
        <f aca="false">IF(AND($J123=1,$M123=1),N123*E123/Span_P+O123*F123/Span_S+P123*G123/Span_B,"")</f>
        <v/>
      </c>
      <c r="AA123" s="12" t="str">
        <f aca="false">IF(AND($J123=1,$M123=1),SUMPRODUCT(MAX($J$6:$J$1062*(N123*$K$6:$K$1062/Span_P+O123*$F$6:$F$1062/Span_S+P123*$G$6:$G$1062/Span_B)-(1-$J$6:$J$1062)*1000000000)),"")</f>
        <v/>
      </c>
      <c r="AB123" s="15" t="str">
        <f aca="false">IF(AND($J123=1,$M123=1),IF(AA123-Z123&lt;=0.000000001,1,0),"")</f>
        <v/>
      </c>
      <c r="AC123" s="13" t="str">
        <f aca="false">IF(AND($J123=1,$M123=0),IF(S123="",0,S123*INDEX(Grid!$B$6:$H$156,R123+1,Q123+1))+IF(V123="",0,V123*INDEX(Grid!$B$6:$H$156,U123+1,T123+1))+IF(Y123="",0,Y123*INDEX(Grid!$B$6:$H$156,X123+1,W123+1)),"")</f>
        <v/>
      </c>
      <c r="AD123" s="13" t="str">
        <f aca="false">IF(AND($J123=1,$M123=0),IF(S123="",0,S123*Val_pt*(Ceiling_e-E_zero)*(1-(1-Half_gap)^Q123))+IF(V123="",0,V123*Val_pt*(Ceiling_e-E_zero)*(1-(1-Half_gap)^T123))+IF(Y123="",0,Y123*Val_pt*(Ceiling_e-E_zero)*(1-(1-Half_gap)^W123)),"")</f>
        <v/>
      </c>
      <c r="AE123" s="13" t="str">
        <f aca="false">IF(AND($J123=1,$M123=0),IF(S123="",0,S123*R123)+IF(V123="",0,V123*U123)+IF(Y123="",0,Y123*X123),"")</f>
        <v/>
      </c>
      <c r="AF123" s="12" t="str">
        <f aca="false">IF(AND($J123=1,$M123=0),MIN((AC123-E123)/Span_P,(AD123-F123)/Span_S,(AE123-G123)/Span_B),"")</f>
        <v/>
      </c>
      <c r="AG123" s="15" t="str">
        <f aca="false">IF(AND($J123=1,$M123=0),IF(AF123&gt;0.0000001,1,0),"")</f>
        <v/>
      </c>
      <c r="AH123" s="15" t="str">
        <f aca="false">IF($J123=1,IF($M123=1,AB123,AG123),"")</f>
        <v/>
      </c>
      <c r="AI123" s="13" t="str">
        <f aca="false">IF($J123=1,(Ideal_P-E123)/Span_P,"")</f>
        <v/>
      </c>
      <c r="AJ123" s="13" t="str">
        <f aca="false">IF($J123=1,(Ideal_S-F123)/Span_S,"")</f>
        <v/>
      </c>
      <c r="AK123" s="13" t="str">
        <f aca="false">IF($J123=1,(Ideal_B-G123)/Span_B,"")</f>
        <v/>
      </c>
      <c r="AL123" s="12" t="str">
        <f aca="false">IF($J123=1,MAX(ChA_1*AI123,ChA_2*AJ123,ChA_3*AK123)+Rho*(ChA_1*AI123+ChA_2*AJ123+ChA_3*AK123),"")</f>
        <v/>
      </c>
      <c r="AM123" s="12" t="str">
        <f aca="false">IF($J123=1,MAX(ChB_1*AI123,ChB_2*AJ123,ChB_3*AK123)+Rho*(ChB_1*AI123+ChB_2*AJ123+ChB_3*AK123),"")</f>
        <v/>
      </c>
      <c r="AN123" s="12" t="str">
        <f aca="false">IF($J123=1,MAX(Cx_1*(Ref_P-E123)/Span_P,Cx_2*(Ref_S-F123)/Span_S,Cx_3*(Ref_B-G123)/Span_B),"")</f>
        <v/>
      </c>
    </row>
    <row r="124" customFormat="false" ht="15" hidden="false" customHeight="false" outlineLevel="0" collapsed="false">
      <c r="A124" s="2" t="n">
        <v>118</v>
      </c>
      <c r="B124" s="15" t="n">
        <f aca="false">INT(A124/151)</f>
        <v>0</v>
      </c>
      <c r="C124" s="15" t="n">
        <f aca="false">MOD(A124,151)</f>
        <v>118</v>
      </c>
      <c r="D124" s="15" t="n">
        <f aca="false">INDEX(Grid!$J$6:$P$156,C124+1,B124+1)</f>
        <v>1</v>
      </c>
      <c r="E124" s="16" t="n">
        <f aca="false">IF(D124=1,INDEX(Grid!$B$6:$H$156,C124+1,B124+1),"")</f>
        <v>29.0909090909091</v>
      </c>
      <c r="F124" s="13" t="n">
        <f aca="false">Val_pt*(Ceiling_e-E_zero)*(1-(1-Half_gap)^B124)</f>
        <v>0</v>
      </c>
      <c r="G124" s="15" t="n">
        <f aca="false">C124</f>
        <v>118</v>
      </c>
      <c r="H124" s="15" t="n">
        <f aca="false">IF(D124=1,INDEX(Grid!$R$6:$X$156,C124+1,B124+1),"")</f>
        <v>0</v>
      </c>
      <c r="I124" s="2" t="str">
        <f aca="false">IF(D124=1,INDEX(Sch_label,H124+1),"")</f>
        <v>none</v>
      </c>
      <c r="J124" s="15" t="n">
        <f aca="false">IF(D124=1,INDEX(Grid!$Z$6:$AF$156,C124+1,B124+1),0)</f>
        <v>0</v>
      </c>
      <c r="K124" s="16" t="n">
        <f aca="false">IF(J124=1,E124,0)</f>
        <v>0</v>
      </c>
      <c r="L124" s="17" t="n">
        <f aca="false">IF(D124=1,E124+W_board*F124,"")</f>
        <v>29.0909090909091</v>
      </c>
      <c r="Z124" s="12" t="str">
        <f aca="false">IF(AND($J124=1,$M124=1),N124*E124/Span_P+O124*F124/Span_S+P124*G124/Span_B,"")</f>
        <v/>
      </c>
      <c r="AA124" s="12" t="str">
        <f aca="false">IF(AND($J124=1,$M124=1),SUMPRODUCT(MAX($J$6:$J$1062*(N124*$K$6:$K$1062/Span_P+O124*$F$6:$F$1062/Span_S+P124*$G$6:$G$1062/Span_B)-(1-$J$6:$J$1062)*1000000000)),"")</f>
        <v/>
      </c>
      <c r="AB124" s="15" t="str">
        <f aca="false">IF(AND($J124=1,$M124=1),IF(AA124-Z124&lt;=0.000000001,1,0),"")</f>
        <v/>
      </c>
      <c r="AC124" s="13" t="str">
        <f aca="false">IF(AND($J124=1,$M124=0),IF(S124="",0,S124*INDEX(Grid!$B$6:$H$156,R124+1,Q124+1))+IF(V124="",0,V124*INDEX(Grid!$B$6:$H$156,U124+1,T124+1))+IF(Y124="",0,Y124*INDEX(Grid!$B$6:$H$156,X124+1,W124+1)),"")</f>
        <v/>
      </c>
      <c r="AD124" s="13" t="str">
        <f aca="false">IF(AND($J124=1,$M124=0),IF(S124="",0,S124*Val_pt*(Ceiling_e-E_zero)*(1-(1-Half_gap)^Q124))+IF(V124="",0,V124*Val_pt*(Ceiling_e-E_zero)*(1-(1-Half_gap)^T124))+IF(Y124="",0,Y124*Val_pt*(Ceiling_e-E_zero)*(1-(1-Half_gap)^W124)),"")</f>
        <v/>
      </c>
      <c r="AE124" s="13" t="str">
        <f aca="false">IF(AND($J124=1,$M124=0),IF(S124="",0,S124*R124)+IF(V124="",0,V124*U124)+IF(Y124="",0,Y124*X124),"")</f>
        <v/>
      </c>
      <c r="AF124" s="12" t="str">
        <f aca="false">IF(AND($J124=1,$M124=0),MIN((AC124-E124)/Span_P,(AD124-F124)/Span_S,(AE124-G124)/Span_B),"")</f>
        <v/>
      </c>
      <c r="AG124" s="15" t="str">
        <f aca="false">IF(AND($J124=1,$M124=0),IF(AF124&gt;0.0000001,1,0),"")</f>
        <v/>
      </c>
      <c r="AH124" s="15" t="str">
        <f aca="false">IF($J124=1,IF($M124=1,AB124,AG124),"")</f>
        <v/>
      </c>
      <c r="AI124" s="13" t="str">
        <f aca="false">IF($J124=1,(Ideal_P-E124)/Span_P,"")</f>
        <v/>
      </c>
      <c r="AJ124" s="13" t="str">
        <f aca="false">IF($J124=1,(Ideal_S-F124)/Span_S,"")</f>
        <v/>
      </c>
      <c r="AK124" s="13" t="str">
        <f aca="false">IF($J124=1,(Ideal_B-G124)/Span_B,"")</f>
        <v/>
      </c>
      <c r="AL124" s="12" t="str">
        <f aca="false">IF($J124=1,MAX(ChA_1*AI124,ChA_2*AJ124,ChA_3*AK124)+Rho*(ChA_1*AI124+ChA_2*AJ124+ChA_3*AK124),"")</f>
        <v/>
      </c>
      <c r="AM124" s="12" t="str">
        <f aca="false">IF($J124=1,MAX(ChB_1*AI124,ChB_2*AJ124,ChB_3*AK124)+Rho*(ChB_1*AI124+ChB_2*AJ124+ChB_3*AK124),"")</f>
        <v/>
      </c>
      <c r="AN124" s="12" t="str">
        <f aca="false">IF($J124=1,MAX(Cx_1*(Ref_P-E124)/Span_P,Cx_2*(Ref_S-F124)/Span_S,Cx_3*(Ref_B-G124)/Span_B),"")</f>
        <v/>
      </c>
    </row>
    <row r="125" customFormat="false" ht="15" hidden="false" customHeight="false" outlineLevel="0" collapsed="false">
      <c r="A125" s="2" t="n">
        <v>119</v>
      </c>
      <c r="B125" s="15" t="n">
        <f aca="false">INT(A125/151)</f>
        <v>0</v>
      </c>
      <c r="C125" s="15" t="n">
        <f aca="false">MOD(A125,151)</f>
        <v>119</v>
      </c>
      <c r="D125" s="15" t="n">
        <f aca="false">INDEX(Grid!$J$6:$P$156,C125+1,B125+1)</f>
        <v>1</v>
      </c>
      <c r="E125" s="16" t="n">
        <f aca="false">IF(D125=1,INDEX(Grid!$B$6:$H$156,C125+1,B125+1),"")</f>
        <v>28.1818181818182</v>
      </c>
      <c r="F125" s="13" t="n">
        <f aca="false">Val_pt*(Ceiling_e-E_zero)*(1-(1-Half_gap)^B125)</f>
        <v>0</v>
      </c>
      <c r="G125" s="15" t="n">
        <f aca="false">C125</f>
        <v>119</v>
      </c>
      <c r="H125" s="15" t="n">
        <f aca="false">IF(D125=1,INDEX(Grid!$R$6:$X$156,C125+1,B125+1),"")</f>
        <v>0</v>
      </c>
      <c r="I125" s="2" t="str">
        <f aca="false">IF(D125=1,INDEX(Sch_label,H125+1),"")</f>
        <v>none</v>
      </c>
      <c r="J125" s="15" t="n">
        <f aca="false">IF(D125=1,INDEX(Grid!$Z$6:$AF$156,C125+1,B125+1),0)</f>
        <v>0</v>
      </c>
      <c r="K125" s="16" t="n">
        <f aca="false">IF(J125=1,E125,0)</f>
        <v>0</v>
      </c>
      <c r="L125" s="17" t="n">
        <f aca="false">IF(D125=1,E125+W_board*F125,"")</f>
        <v>28.1818181818182</v>
      </c>
      <c r="Z125" s="12" t="str">
        <f aca="false">IF(AND($J125=1,$M125=1),N125*E125/Span_P+O125*F125/Span_S+P125*G125/Span_B,"")</f>
        <v/>
      </c>
      <c r="AA125" s="12" t="str">
        <f aca="false">IF(AND($J125=1,$M125=1),SUMPRODUCT(MAX($J$6:$J$1062*(N125*$K$6:$K$1062/Span_P+O125*$F$6:$F$1062/Span_S+P125*$G$6:$G$1062/Span_B)-(1-$J$6:$J$1062)*1000000000)),"")</f>
        <v/>
      </c>
      <c r="AB125" s="15" t="str">
        <f aca="false">IF(AND($J125=1,$M125=1),IF(AA125-Z125&lt;=0.000000001,1,0),"")</f>
        <v/>
      </c>
      <c r="AC125" s="13" t="str">
        <f aca="false">IF(AND($J125=1,$M125=0),IF(S125="",0,S125*INDEX(Grid!$B$6:$H$156,R125+1,Q125+1))+IF(V125="",0,V125*INDEX(Grid!$B$6:$H$156,U125+1,T125+1))+IF(Y125="",0,Y125*INDEX(Grid!$B$6:$H$156,X125+1,W125+1)),"")</f>
        <v/>
      </c>
      <c r="AD125" s="13" t="str">
        <f aca="false">IF(AND($J125=1,$M125=0),IF(S125="",0,S125*Val_pt*(Ceiling_e-E_zero)*(1-(1-Half_gap)^Q125))+IF(V125="",0,V125*Val_pt*(Ceiling_e-E_zero)*(1-(1-Half_gap)^T125))+IF(Y125="",0,Y125*Val_pt*(Ceiling_e-E_zero)*(1-(1-Half_gap)^W125)),"")</f>
        <v/>
      </c>
      <c r="AE125" s="13" t="str">
        <f aca="false">IF(AND($J125=1,$M125=0),IF(S125="",0,S125*R125)+IF(V125="",0,V125*U125)+IF(Y125="",0,Y125*X125),"")</f>
        <v/>
      </c>
      <c r="AF125" s="12" t="str">
        <f aca="false">IF(AND($J125=1,$M125=0),MIN((AC125-E125)/Span_P,(AD125-F125)/Span_S,(AE125-G125)/Span_B),"")</f>
        <v/>
      </c>
      <c r="AG125" s="15" t="str">
        <f aca="false">IF(AND($J125=1,$M125=0),IF(AF125&gt;0.0000001,1,0),"")</f>
        <v/>
      </c>
      <c r="AH125" s="15" t="str">
        <f aca="false">IF($J125=1,IF($M125=1,AB125,AG125),"")</f>
        <v/>
      </c>
      <c r="AI125" s="13" t="str">
        <f aca="false">IF($J125=1,(Ideal_P-E125)/Span_P,"")</f>
        <v/>
      </c>
      <c r="AJ125" s="13" t="str">
        <f aca="false">IF($J125=1,(Ideal_S-F125)/Span_S,"")</f>
        <v/>
      </c>
      <c r="AK125" s="13" t="str">
        <f aca="false">IF($J125=1,(Ideal_B-G125)/Span_B,"")</f>
        <v/>
      </c>
      <c r="AL125" s="12" t="str">
        <f aca="false">IF($J125=1,MAX(ChA_1*AI125,ChA_2*AJ125,ChA_3*AK125)+Rho*(ChA_1*AI125+ChA_2*AJ125+ChA_3*AK125),"")</f>
        <v/>
      </c>
      <c r="AM125" s="12" t="str">
        <f aca="false">IF($J125=1,MAX(ChB_1*AI125,ChB_2*AJ125,ChB_3*AK125)+Rho*(ChB_1*AI125+ChB_2*AJ125+ChB_3*AK125),"")</f>
        <v/>
      </c>
      <c r="AN125" s="12" t="str">
        <f aca="false">IF($J125=1,MAX(Cx_1*(Ref_P-E125)/Span_P,Cx_2*(Ref_S-F125)/Span_S,Cx_3*(Ref_B-G125)/Span_B),"")</f>
        <v/>
      </c>
    </row>
    <row r="126" customFormat="false" ht="15" hidden="false" customHeight="false" outlineLevel="0" collapsed="false">
      <c r="A126" s="2" t="n">
        <v>120</v>
      </c>
      <c r="B126" s="15" t="n">
        <f aca="false">INT(A126/151)</f>
        <v>0</v>
      </c>
      <c r="C126" s="15" t="n">
        <f aca="false">MOD(A126,151)</f>
        <v>120</v>
      </c>
      <c r="D126" s="15" t="n">
        <f aca="false">INDEX(Grid!$J$6:$P$156,C126+1,B126+1)</f>
        <v>1</v>
      </c>
      <c r="E126" s="16" t="n">
        <f aca="false">IF(D126=1,INDEX(Grid!$B$6:$H$156,C126+1,B126+1),"")</f>
        <v>27.2727272727273</v>
      </c>
      <c r="F126" s="13" t="n">
        <f aca="false">Val_pt*(Ceiling_e-E_zero)*(1-(1-Half_gap)^B126)</f>
        <v>0</v>
      </c>
      <c r="G126" s="15" t="n">
        <f aca="false">C126</f>
        <v>120</v>
      </c>
      <c r="H126" s="15" t="n">
        <f aca="false">IF(D126=1,INDEX(Grid!$R$6:$X$156,C126+1,B126+1),"")</f>
        <v>0</v>
      </c>
      <c r="I126" s="2" t="str">
        <f aca="false">IF(D126=1,INDEX(Sch_label,H126+1),"")</f>
        <v>none</v>
      </c>
      <c r="J126" s="15" t="n">
        <f aca="false">IF(D126=1,INDEX(Grid!$Z$6:$AF$156,C126+1,B126+1),0)</f>
        <v>0</v>
      </c>
      <c r="K126" s="16" t="n">
        <f aca="false">IF(J126=1,E126,0)</f>
        <v>0</v>
      </c>
      <c r="L126" s="17" t="n">
        <f aca="false">IF(D126=1,E126+W_board*F126,"")</f>
        <v>27.2727272727273</v>
      </c>
      <c r="Z126" s="12" t="str">
        <f aca="false">IF(AND($J126=1,$M126=1),N126*E126/Span_P+O126*F126/Span_S+P126*G126/Span_B,"")</f>
        <v/>
      </c>
      <c r="AA126" s="12" t="str">
        <f aca="false">IF(AND($J126=1,$M126=1),SUMPRODUCT(MAX($J$6:$J$1062*(N126*$K$6:$K$1062/Span_P+O126*$F$6:$F$1062/Span_S+P126*$G$6:$G$1062/Span_B)-(1-$J$6:$J$1062)*1000000000)),"")</f>
        <v/>
      </c>
      <c r="AB126" s="15" t="str">
        <f aca="false">IF(AND($J126=1,$M126=1),IF(AA126-Z126&lt;=0.000000001,1,0),"")</f>
        <v/>
      </c>
      <c r="AC126" s="13" t="str">
        <f aca="false">IF(AND($J126=1,$M126=0),IF(S126="",0,S126*INDEX(Grid!$B$6:$H$156,R126+1,Q126+1))+IF(V126="",0,V126*INDEX(Grid!$B$6:$H$156,U126+1,T126+1))+IF(Y126="",0,Y126*INDEX(Grid!$B$6:$H$156,X126+1,W126+1)),"")</f>
        <v/>
      </c>
      <c r="AD126" s="13" t="str">
        <f aca="false">IF(AND($J126=1,$M126=0),IF(S126="",0,S126*Val_pt*(Ceiling_e-E_zero)*(1-(1-Half_gap)^Q126))+IF(V126="",0,V126*Val_pt*(Ceiling_e-E_zero)*(1-(1-Half_gap)^T126))+IF(Y126="",0,Y126*Val_pt*(Ceiling_e-E_zero)*(1-(1-Half_gap)^W126)),"")</f>
        <v/>
      </c>
      <c r="AE126" s="13" t="str">
        <f aca="false">IF(AND($J126=1,$M126=0),IF(S126="",0,S126*R126)+IF(V126="",0,V126*U126)+IF(Y126="",0,Y126*X126),"")</f>
        <v/>
      </c>
      <c r="AF126" s="12" t="str">
        <f aca="false">IF(AND($J126=1,$M126=0),MIN((AC126-E126)/Span_P,(AD126-F126)/Span_S,(AE126-G126)/Span_B),"")</f>
        <v/>
      </c>
      <c r="AG126" s="15" t="str">
        <f aca="false">IF(AND($J126=1,$M126=0),IF(AF126&gt;0.0000001,1,0),"")</f>
        <v/>
      </c>
      <c r="AH126" s="15" t="str">
        <f aca="false">IF($J126=1,IF($M126=1,AB126,AG126),"")</f>
        <v/>
      </c>
      <c r="AI126" s="13" t="str">
        <f aca="false">IF($J126=1,(Ideal_P-E126)/Span_P,"")</f>
        <v/>
      </c>
      <c r="AJ126" s="13" t="str">
        <f aca="false">IF($J126=1,(Ideal_S-F126)/Span_S,"")</f>
        <v/>
      </c>
      <c r="AK126" s="13" t="str">
        <f aca="false">IF($J126=1,(Ideal_B-G126)/Span_B,"")</f>
        <v/>
      </c>
      <c r="AL126" s="12" t="str">
        <f aca="false">IF($J126=1,MAX(ChA_1*AI126,ChA_2*AJ126,ChA_3*AK126)+Rho*(ChA_1*AI126+ChA_2*AJ126+ChA_3*AK126),"")</f>
        <v/>
      </c>
      <c r="AM126" s="12" t="str">
        <f aca="false">IF($J126=1,MAX(ChB_1*AI126,ChB_2*AJ126,ChB_3*AK126)+Rho*(ChB_1*AI126+ChB_2*AJ126+ChB_3*AK126),"")</f>
        <v/>
      </c>
      <c r="AN126" s="12" t="str">
        <f aca="false">IF($J126=1,MAX(Cx_1*(Ref_P-E126)/Span_P,Cx_2*(Ref_S-F126)/Span_S,Cx_3*(Ref_B-G126)/Span_B),"")</f>
        <v/>
      </c>
    </row>
    <row r="127" customFormat="false" ht="15" hidden="false" customHeight="false" outlineLevel="0" collapsed="false">
      <c r="A127" s="2" t="n">
        <v>121</v>
      </c>
      <c r="B127" s="15" t="n">
        <f aca="false">INT(A127/151)</f>
        <v>0</v>
      </c>
      <c r="C127" s="15" t="n">
        <f aca="false">MOD(A127,151)</f>
        <v>121</v>
      </c>
      <c r="D127" s="15" t="n">
        <f aca="false">INDEX(Grid!$J$6:$P$156,C127+1,B127+1)</f>
        <v>1</v>
      </c>
      <c r="E127" s="16" t="n">
        <f aca="false">IF(D127=1,INDEX(Grid!$B$6:$H$156,C127+1,B127+1),"")</f>
        <v>26.3636363636363</v>
      </c>
      <c r="F127" s="13" t="n">
        <f aca="false">Val_pt*(Ceiling_e-E_zero)*(1-(1-Half_gap)^B127)</f>
        <v>0</v>
      </c>
      <c r="G127" s="15" t="n">
        <f aca="false">C127</f>
        <v>121</v>
      </c>
      <c r="H127" s="15" t="n">
        <f aca="false">IF(D127=1,INDEX(Grid!$R$6:$X$156,C127+1,B127+1),"")</f>
        <v>0</v>
      </c>
      <c r="I127" s="2" t="str">
        <f aca="false">IF(D127=1,INDEX(Sch_label,H127+1),"")</f>
        <v>none</v>
      </c>
      <c r="J127" s="15" t="n">
        <f aca="false">IF(D127=1,INDEX(Grid!$Z$6:$AF$156,C127+1,B127+1),0)</f>
        <v>0</v>
      </c>
      <c r="K127" s="16" t="n">
        <f aca="false">IF(J127=1,E127,0)</f>
        <v>0</v>
      </c>
      <c r="L127" s="17" t="n">
        <f aca="false">IF(D127=1,E127+W_board*F127,"")</f>
        <v>26.3636363636363</v>
      </c>
      <c r="Z127" s="12" t="str">
        <f aca="false">IF(AND($J127=1,$M127=1),N127*E127/Span_P+O127*F127/Span_S+P127*G127/Span_B,"")</f>
        <v/>
      </c>
      <c r="AA127" s="12" t="str">
        <f aca="false">IF(AND($J127=1,$M127=1),SUMPRODUCT(MAX($J$6:$J$1062*(N127*$K$6:$K$1062/Span_P+O127*$F$6:$F$1062/Span_S+P127*$G$6:$G$1062/Span_B)-(1-$J$6:$J$1062)*1000000000)),"")</f>
        <v/>
      </c>
      <c r="AB127" s="15" t="str">
        <f aca="false">IF(AND($J127=1,$M127=1),IF(AA127-Z127&lt;=0.000000001,1,0),"")</f>
        <v/>
      </c>
      <c r="AC127" s="13" t="str">
        <f aca="false">IF(AND($J127=1,$M127=0),IF(S127="",0,S127*INDEX(Grid!$B$6:$H$156,R127+1,Q127+1))+IF(V127="",0,V127*INDEX(Grid!$B$6:$H$156,U127+1,T127+1))+IF(Y127="",0,Y127*INDEX(Grid!$B$6:$H$156,X127+1,W127+1)),"")</f>
        <v/>
      </c>
      <c r="AD127" s="13" t="str">
        <f aca="false">IF(AND($J127=1,$M127=0),IF(S127="",0,S127*Val_pt*(Ceiling_e-E_zero)*(1-(1-Half_gap)^Q127))+IF(V127="",0,V127*Val_pt*(Ceiling_e-E_zero)*(1-(1-Half_gap)^T127))+IF(Y127="",0,Y127*Val_pt*(Ceiling_e-E_zero)*(1-(1-Half_gap)^W127)),"")</f>
        <v/>
      </c>
      <c r="AE127" s="13" t="str">
        <f aca="false">IF(AND($J127=1,$M127=0),IF(S127="",0,S127*R127)+IF(V127="",0,V127*U127)+IF(Y127="",0,Y127*X127),"")</f>
        <v/>
      </c>
      <c r="AF127" s="12" t="str">
        <f aca="false">IF(AND($J127=1,$M127=0),MIN((AC127-E127)/Span_P,(AD127-F127)/Span_S,(AE127-G127)/Span_B),"")</f>
        <v/>
      </c>
      <c r="AG127" s="15" t="str">
        <f aca="false">IF(AND($J127=1,$M127=0),IF(AF127&gt;0.0000001,1,0),"")</f>
        <v/>
      </c>
      <c r="AH127" s="15" t="str">
        <f aca="false">IF($J127=1,IF($M127=1,AB127,AG127),"")</f>
        <v/>
      </c>
      <c r="AI127" s="13" t="str">
        <f aca="false">IF($J127=1,(Ideal_P-E127)/Span_P,"")</f>
        <v/>
      </c>
      <c r="AJ127" s="13" t="str">
        <f aca="false">IF($J127=1,(Ideal_S-F127)/Span_S,"")</f>
        <v/>
      </c>
      <c r="AK127" s="13" t="str">
        <f aca="false">IF($J127=1,(Ideal_B-G127)/Span_B,"")</f>
        <v/>
      </c>
      <c r="AL127" s="12" t="str">
        <f aca="false">IF($J127=1,MAX(ChA_1*AI127,ChA_2*AJ127,ChA_3*AK127)+Rho*(ChA_1*AI127+ChA_2*AJ127+ChA_3*AK127),"")</f>
        <v/>
      </c>
      <c r="AM127" s="12" t="str">
        <f aca="false">IF($J127=1,MAX(ChB_1*AI127,ChB_2*AJ127,ChB_3*AK127)+Rho*(ChB_1*AI127+ChB_2*AJ127+ChB_3*AK127),"")</f>
        <v/>
      </c>
      <c r="AN127" s="12" t="str">
        <f aca="false">IF($J127=1,MAX(Cx_1*(Ref_P-E127)/Span_P,Cx_2*(Ref_S-F127)/Span_S,Cx_3*(Ref_B-G127)/Span_B),"")</f>
        <v/>
      </c>
    </row>
    <row r="128" customFormat="false" ht="15" hidden="false" customHeight="false" outlineLevel="0" collapsed="false">
      <c r="A128" s="2" t="n">
        <v>122</v>
      </c>
      <c r="B128" s="15" t="n">
        <f aca="false">INT(A128/151)</f>
        <v>0</v>
      </c>
      <c r="C128" s="15" t="n">
        <f aca="false">MOD(A128,151)</f>
        <v>122</v>
      </c>
      <c r="D128" s="15" t="n">
        <f aca="false">INDEX(Grid!$J$6:$P$156,C128+1,B128+1)</f>
        <v>1</v>
      </c>
      <c r="E128" s="16" t="n">
        <f aca="false">IF(D128=1,INDEX(Grid!$B$6:$H$156,C128+1,B128+1),"")</f>
        <v>25.4545454545454</v>
      </c>
      <c r="F128" s="13" t="n">
        <f aca="false">Val_pt*(Ceiling_e-E_zero)*(1-(1-Half_gap)^B128)</f>
        <v>0</v>
      </c>
      <c r="G128" s="15" t="n">
        <f aca="false">C128</f>
        <v>122</v>
      </c>
      <c r="H128" s="15" t="n">
        <f aca="false">IF(D128=1,INDEX(Grid!$R$6:$X$156,C128+1,B128+1),"")</f>
        <v>0</v>
      </c>
      <c r="I128" s="2" t="str">
        <f aca="false">IF(D128=1,INDEX(Sch_label,H128+1),"")</f>
        <v>none</v>
      </c>
      <c r="J128" s="15" t="n">
        <f aca="false">IF(D128=1,INDEX(Grid!$Z$6:$AF$156,C128+1,B128+1),0)</f>
        <v>0</v>
      </c>
      <c r="K128" s="16" t="n">
        <f aca="false">IF(J128=1,E128,0)</f>
        <v>0</v>
      </c>
      <c r="L128" s="17" t="n">
        <f aca="false">IF(D128=1,E128+W_board*F128,"")</f>
        <v>25.4545454545454</v>
      </c>
      <c r="Z128" s="12" t="str">
        <f aca="false">IF(AND($J128=1,$M128=1),N128*E128/Span_P+O128*F128/Span_S+P128*G128/Span_B,"")</f>
        <v/>
      </c>
      <c r="AA128" s="12" t="str">
        <f aca="false">IF(AND($J128=1,$M128=1),SUMPRODUCT(MAX($J$6:$J$1062*(N128*$K$6:$K$1062/Span_P+O128*$F$6:$F$1062/Span_S+P128*$G$6:$G$1062/Span_B)-(1-$J$6:$J$1062)*1000000000)),"")</f>
        <v/>
      </c>
      <c r="AB128" s="15" t="str">
        <f aca="false">IF(AND($J128=1,$M128=1),IF(AA128-Z128&lt;=0.000000001,1,0),"")</f>
        <v/>
      </c>
      <c r="AC128" s="13" t="str">
        <f aca="false">IF(AND($J128=1,$M128=0),IF(S128="",0,S128*INDEX(Grid!$B$6:$H$156,R128+1,Q128+1))+IF(V128="",0,V128*INDEX(Grid!$B$6:$H$156,U128+1,T128+1))+IF(Y128="",0,Y128*INDEX(Grid!$B$6:$H$156,X128+1,W128+1)),"")</f>
        <v/>
      </c>
      <c r="AD128" s="13" t="str">
        <f aca="false">IF(AND($J128=1,$M128=0),IF(S128="",0,S128*Val_pt*(Ceiling_e-E_zero)*(1-(1-Half_gap)^Q128))+IF(V128="",0,V128*Val_pt*(Ceiling_e-E_zero)*(1-(1-Half_gap)^T128))+IF(Y128="",0,Y128*Val_pt*(Ceiling_e-E_zero)*(1-(1-Half_gap)^W128)),"")</f>
        <v/>
      </c>
      <c r="AE128" s="13" t="str">
        <f aca="false">IF(AND($J128=1,$M128=0),IF(S128="",0,S128*R128)+IF(V128="",0,V128*U128)+IF(Y128="",0,Y128*X128),"")</f>
        <v/>
      </c>
      <c r="AF128" s="12" t="str">
        <f aca="false">IF(AND($J128=1,$M128=0),MIN((AC128-E128)/Span_P,(AD128-F128)/Span_S,(AE128-G128)/Span_B),"")</f>
        <v/>
      </c>
      <c r="AG128" s="15" t="str">
        <f aca="false">IF(AND($J128=1,$M128=0),IF(AF128&gt;0.0000001,1,0),"")</f>
        <v/>
      </c>
      <c r="AH128" s="15" t="str">
        <f aca="false">IF($J128=1,IF($M128=1,AB128,AG128),"")</f>
        <v/>
      </c>
      <c r="AI128" s="13" t="str">
        <f aca="false">IF($J128=1,(Ideal_P-E128)/Span_P,"")</f>
        <v/>
      </c>
      <c r="AJ128" s="13" t="str">
        <f aca="false">IF($J128=1,(Ideal_S-F128)/Span_S,"")</f>
        <v/>
      </c>
      <c r="AK128" s="13" t="str">
        <f aca="false">IF($J128=1,(Ideal_B-G128)/Span_B,"")</f>
        <v/>
      </c>
      <c r="AL128" s="12" t="str">
        <f aca="false">IF($J128=1,MAX(ChA_1*AI128,ChA_2*AJ128,ChA_3*AK128)+Rho*(ChA_1*AI128+ChA_2*AJ128+ChA_3*AK128),"")</f>
        <v/>
      </c>
      <c r="AM128" s="12" t="str">
        <f aca="false">IF($J128=1,MAX(ChB_1*AI128,ChB_2*AJ128,ChB_3*AK128)+Rho*(ChB_1*AI128+ChB_2*AJ128+ChB_3*AK128),"")</f>
        <v/>
      </c>
      <c r="AN128" s="12" t="str">
        <f aca="false">IF($J128=1,MAX(Cx_1*(Ref_P-E128)/Span_P,Cx_2*(Ref_S-F128)/Span_S,Cx_3*(Ref_B-G128)/Span_B),"")</f>
        <v/>
      </c>
    </row>
    <row r="129" customFormat="false" ht="15" hidden="false" customHeight="false" outlineLevel="0" collapsed="false">
      <c r="A129" s="2" t="n">
        <v>123</v>
      </c>
      <c r="B129" s="15" t="n">
        <f aca="false">INT(A129/151)</f>
        <v>0</v>
      </c>
      <c r="C129" s="15" t="n">
        <f aca="false">MOD(A129,151)</f>
        <v>123</v>
      </c>
      <c r="D129" s="15" t="n">
        <f aca="false">INDEX(Grid!$J$6:$P$156,C129+1,B129+1)</f>
        <v>1</v>
      </c>
      <c r="E129" s="16" t="n">
        <f aca="false">IF(D129=1,INDEX(Grid!$B$6:$H$156,C129+1,B129+1),"")</f>
        <v>24.5454545454545</v>
      </c>
      <c r="F129" s="13" t="n">
        <f aca="false">Val_pt*(Ceiling_e-E_zero)*(1-(1-Half_gap)^B129)</f>
        <v>0</v>
      </c>
      <c r="G129" s="15" t="n">
        <f aca="false">C129</f>
        <v>123</v>
      </c>
      <c r="H129" s="15" t="n">
        <f aca="false">IF(D129=1,INDEX(Grid!$R$6:$X$156,C129+1,B129+1),"")</f>
        <v>0</v>
      </c>
      <c r="I129" s="2" t="str">
        <f aca="false">IF(D129=1,INDEX(Sch_label,H129+1),"")</f>
        <v>none</v>
      </c>
      <c r="J129" s="15" t="n">
        <f aca="false">IF(D129=1,INDEX(Grid!$Z$6:$AF$156,C129+1,B129+1),0)</f>
        <v>0</v>
      </c>
      <c r="K129" s="16" t="n">
        <f aca="false">IF(J129=1,E129,0)</f>
        <v>0</v>
      </c>
      <c r="L129" s="17" t="n">
        <f aca="false">IF(D129=1,E129+W_board*F129,"")</f>
        <v>24.5454545454545</v>
      </c>
      <c r="Z129" s="12" t="str">
        <f aca="false">IF(AND($J129=1,$M129=1),N129*E129/Span_P+O129*F129/Span_S+P129*G129/Span_B,"")</f>
        <v/>
      </c>
      <c r="AA129" s="12" t="str">
        <f aca="false">IF(AND($J129=1,$M129=1),SUMPRODUCT(MAX($J$6:$J$1062*(N129*$K$6:$K$1062/Span_P+O129*$F$6:$F$1062/Span_S+P129*$G$6:$G$1062/Span_B)-(1-$J$6:$J$1062)*1000000000)),"")</f>
        <v/>
      </c>
      <c r="AB129" s="15" t="str">
        <f aca="false">IF(AND($J129=1,$M129=1),IF(AA129-Z129&lt;=0.000000001,1,0),"")</f>
        <v/>
      </c>
      <c r="AC129" s="13" t="str">
        <f aca="false">IF(AND($J129=1,$M129=0),IF(S129="",0,S129*INDEX(Grid!$B$6:$H$156,R129+1,Q129+1))+IF(V129="",0,V129*INDEX(Grid!$B$6:$H$156,U129+1,T129+1))+IF(Y129="",0,Y129*INDEX(Grid!$B$6:$H$156,X129+1,W129+1)),"")</f>
        <v/>
      </c>
      <c r="AD129" s="13" t="str">
        <f aca="false">IF(AND($J129=1,$M129=0),IF(S129="",0,S129*Val_pt*(Ceiling_e-E_zero)*(1-(1-Half_gap)^Q129))+IF(V129="",0,V129*Val_pt*(Ceiling_e-E_zero)*(1-(1-Half_gap)^T129))+IF(Y129="",0,Y129*Val_pt*(Ceiling_e-E_zero)*(1-(1-Half_gap)^W129)),"")</f>
        <v/>
      </c>
      <c r="AE129" s="13" t="str">
        <f aca="false">IF(AND($J129=1,$M129=0),IF(S129="",0,S129*R129)+IF(V129="",0,V129*U129)+IF(Y129="",0,Y129*X129),"")</f>
        <v/>
      </c>
      <c r="AF129" s="12" t="str">
        <f aca="false">IF(AND($J129=1,$M129=0),MIN((AC129-E129)/Span_P,(AD129-F129)/Span_S,(AE129-G129)/Span_B),"")</f>
        <v/>
      </c>
      <c r="AG129" s="15" t="str">
        <f aca="false">IF(AND($J129=1,$M129=0),IF(AF129&gt;0.0000001,1,0),"")</f>
        <v/>
      </c>
      <c r="AH129" s="15" t="str">
        <f aca="false">IF($J129=1,IF($M129=1,AB129,AG129),"")</f>
        <v/>
      </c>
      <c r="AI129" s="13" t="str">
        <f aca="false">IF($J129=1,(Ideal_P-E129)/Span_P,"")</f>
        <v/>
      </c>
      <c r="AJ129" s="13" t="str">
        <f aca="false">IF($J129=1,(Ideal_S-F129)/Span_S,"")</f>
        <v/>
      </c>
      <c r="AK129" s="13" t="str">
        <f aca="false">IF($J129=1,(Ideal_B-G129)/Span_B,"")</f>
        <v/>
      </c>
      <c r="AL129" s="12" t="str">
        <f aca="false">IF($J129=1,MAX(ChA_1*AI129,ChA_2*AJ129,ChA_3*AK129)+Rho*(ChA_1*AI129+ChA_2*AJ129+ChA_3*AK129),"")</f>
        <v/>
      </c>
      <c r="AM129" s="12" t="str">
        <f aca="false">IF($J129=1,MAX(ChB_1*AI129,ChB_2*AJ129,ChB_3*AK129)+Rho*(ChB_1*AI129+ChB_2*AJ129+ChB_3*AK129),"")</f>
        <v/>
      </c>
      <c r="AN129" s="12" t="str">
        <f aca="false">IF($J129=1,MAX(Cx_1*(Ref_P-E129)/Span_P,Cx_2*(Ref_S-F129)/Span_S,Cx_3*(Ref_B-G129)/Span_B),"")</f>
        <v/>
      </c>
    </row>
    <row r="130" customFormat="false" ht="15" hidden="false" customHeight="false" outlineLevel="0" collapsed="false">
      <c r="A130" s="2" t="n">
        <v>124</v>
      </c>
      <c r="B130" s="15" t="n">
        <f aca="false">INT(A130/151)</f>
        <v>0</v>
      </c>
      <c r="C130" s="15" t="n">
        <f aca="false">MOD(A130,151)</f>
        <v>124</v>
      </c>
      <c r="D130" s="15" t="n">
        <f aca="false">INDEX(Grid!$J$6:$P$156,C130+1,B130+1)</f>
        <v>1</v>
      </c>
      <c r="E130" s="16" t="n">
        <f aca="false">IF(D130=1,INDEX(Grid!$B$6:$H$156,C130+1,B130+1),"")</f>
        <v>23.6363636363636</v>
      </c>
      <c r="F130" s="13" t="n">
        <f aca="false">Val_pt*(Ceiling_e-E_zero)*(1-(1-Half_gap)^B130)</f>
        <v>0</v>
      </c>
      <c r="G130" s="15" t="n">
        <f aca="false">C130</f>
        <v>124</v>
      </c>
      <c r="H130" s="15" t="n">
        <f aca="false">IF(D130=1,INDEX(Grid!$R$6:$X$156,C130+1,B130+1),"")</f>
        <v>0</v>
      </c>
      <c r="I130" s="2" t="str">
        <f aca="false">IF(D130=1,INDEX(Sch_label,H130+1),"")</f>
        <v>none</v>
      </c>
      <c r="J130" s="15" t="n">
        <f aca="false">IF(D130=1,INDEX(Grid!$Z$6:$AF$156,C130+1,B130+1),0)</f>
        <v>0</v>
      </c>
      <c r="K130" s="16" t="n">
        <f aca="false">IF(J130=1,E130,0)</f>
        <v>0</v>
      </c>
      <c r="L130" s="17" t="n">
        <f aca="false">IF(D130=1,E130+W_board*F130,"")</f>
        <v>23.6363636363636</v>
      </c>
      <c r="Z130" s="12" t="str">
        <f aca="false">IF(AND($J130=1,$M130=1),N130*E130/Span_P+O130*F130/Span_S+P130*G130/Span_B,"")</f>
        <v/>
      </c>
      <c r="AA130" s="12" t="str">
        <f aca="false">IF(AND($J130=1,$M130=1),SUMPRODUCT(MAX($J$6:$J$1062*(N130*$K$6:$K$1062/Span_P+O130*$F$6:$F$1062/Span_S+P130*$G$6:$G$1062/Span_B)-(1-$J$6:$J$1062)*1000000000)),"")</f>
        <v/>
      </c>
      <c r="AB130" s="15" t="str">
        <f aca="false">IF(AND($J130=1,$M130=1),IF(AA130-Z130&lt;=0.000000001,1,0),"")</f>
        <v/>
      </c>
      <c r="AC130" s="13" t="str">
        <f aca="false">IF(AND($J130=1,$M130=0),IF(S130="",0,S130*INDEX(Grid!$B$6:$H$156,R130+1,Q130+1))+IF(V130="",0,V130*INDEX(Grid!$B$6:$H$156,U130+1,T130+1))+IF(Y130="",0,Y130*INDEX(Grid!$B$6:$H$156,X130+1,W130+1)),"")</f>
        <v/>
      </c>
      <c r="AD130" s="13" t="str">
        <f aca="false">IF(AND($J130=1,$M130=0),IF(S130="",0,S130*Val_pt*(Ceiling_e-E_zero)*(1-(1-Half_gap)^Q130))+IF(V130="",0,V130*Val_pt*(Ceiling_e-E_zero)*(1-(1-Half_gap)^T130))+IF(Y130="",0,Y130*Val_pt*(Ceiling_e-E_zero)*(1-(1-Half_gap)^W130)),"")</f>
        <v/>
      </c>
      <c r="AE130" s="13" t="str">
        <f aca="false">IF(AND($J130=1,$M130=0),IF(S130="",0,S130*R130)+IF(V130="",0,V130*U130)+IF(Y130="",0,Y130*X130),"")</f>
        <v/>
      </c>
      <c r="AF130" s="12" t="str">
        <f aca="false">IF(AND($J130=1,$M130=0),MIN((AC130-E130)/Span_P,(AD130-F130)/Span_S,(AE130-G130)/Span_B),"")</f>
        <v/>
      </c>
      <c r="AG130" s="15" t="str">
        <f aca="false">IF(AND($J130=1,$M130=0),IF(AF130&gt;0.0000001,1,0),"")</f>
        <v/>
      </c>
      <c r="AH130" s="15" t="str">
        <f aca="false">IF($J130=1,IF($M130=1,AB130,AG130),"")</f>
        <v/>
      </c>
      <c r="AI130" s="13" t="str">
        <f aca="false">IF($J130=1,(Ideal_P-E130)/Span_P,"")</f>
        <v/>
      </c>
      <c r="AJ130" s="13" t="str">
        <f aca="false">IF($J130=1,(Ideal_S-F130)/Span_S,"")</f>
        <v/>
      </c>
      <c r="AK130" s="13" t="str">
        <f aca="false">IF($J130=1,(Ideal_B-G130)/Span_B,"")</f>
        <v/>
      </c>
      <c r="AL130" s="12" t="str">
        <f aca="false">IF($J130=1,MAX(ChA_1*AI130,ChA_2*AJ130,ChA_3*AK130)+Rho*(ChA_1*AI130+ChA_2*AJ130+ChA_3*AK130),"")</f>
        <v/>
      </c>
      <c r="AM130" s="12" t="str">
        <f aca="false">IF($J130=1,MAX(ChB_1*AI130,ChB_2*AJ130,ChB_3*AK130)+Rho*(ChB_1*AI130+ChB_2*AJ130+ChB_3*AK130),"")</f>
        <v/>
      </c>
      <c r="AN130" s="12" t="str">
        <f aca="false">IF($J130=1,MAX(Cx_1*(Ref_P-E130)/Span_P,Cx_2*(Ref_S-F130)/Span_S,Cx_3*(Ref_B-G130)/Span_B),"")</f>
        <v/>
      </c>
    </row>
    <row r="131" customFormat="false" ht="15" hidden="false" customHeight="false" outlineLevel="0" collapsed="false">
      <c r="A131" s="2" t="n">
        <v>125</v>
      </c>
      <c r="B131" s="15" t="n">
        <f aca="false">INT(A131/151)</f>
        <v>0</v>
      </c>
      <c r="C131" s="15" t="n">
        <f aca="false">MOD(A131,151)</f>
        <v>125</v>
      </c>
      <c r="D131" s="15" t="n">
        <f aca="false">INDEX(Grid!$J$6:$P$156,C131+1,B131+1)</f>
        <v>1</v>
      </c>
      <c r="E131" s="16" t="n">
        <f aca="false">IF(D131=1,INDEX(Grid!$B$6:$H$156,C131+1,B131+1),"")</f>
        <v>22.7272727272727</v>
      </c>
      <c r="F131" s="13" t="n">
        <f aca="false">Val_pt*(Ceiling_e-E_zero)*(1-(1-Half_gap)^B131)</f>
        <v>0</v>
      </c>
      <c r="G131" s="15" t="n">
        <f aca="false">C131</f>
        <v>125</v>
      </c>
      <c r="H131" s="15" t="n">
        <f aca="false">IF(D131=1,INDEX(Grid!$R$6:$X$156,C131+1,B131+1),"")</f>
        <v>0</v>
      </c>
      <c r="I131" s="2" t="str">
        <f aca="false">IF(D131=1,INDEX(Sch_label,H131+1),"")</f>
        <v>none</v>
      </c>
      <c r="J131" s="15" t="n">
        <f aca="false">IF(D131=1,INDEX(Grid!$Z$6:$AF$156,C131+1,B131+1),0)</f>
        <v>0</v>
      </c>
      <c r="K131" s="16" t="n">
        <f aca="false">IF(J131=1,E131,0)</f>
        <v>0</v>
      </c>
      <c r="L131" s="17" t="n">
        <f aca="false">IF(D131=1,E131+W_board*F131,"")</f>
        <v>22.7272727272727</v>
      </c>
      <c r="Z131" s="12" t="str">
        <f aca="false">IF(AND($J131=1,$M131=1),N131*E131/Span_P+O131*F131/Span_S+P131*G131/Span_B,"")</f>
        <v/>
      </c>
      <c r="AA131" s="12" t="str">
        <f aca="false">IF(AND($J131=1,$M131=1),SUMPRODUCT(MAX($J$6:$J$1062*(N131*$K$6:$K$1062/Span_P+O131*$F$6:$F$1062/Span_S+P131*$G$6:$G$1062/Span_B)-(1-$J$6:$J$1062)*1000000000)),"")</f>
        <v/>
      </c>
      <c r="AB131" s="15" t="str">
        <f aca="false">IF(AND($J131=1,$M131=1),IF(AA131-Z131&lt;=0.000000001,1,0),"")</f>
        <v/>
      </c>
      <c r="AC131" s="13" t="str">
        <f aca="false">IF(AND($J131=1,$M131=0),IF(S131="",0,S131*INDEX(Grid!$B$6:$H$156,R131+1,Q131+1))+IF(V131="",0,V131*INDEX(Grid!$B$6:$H$156,U131+1,T131+1))+IF(Y131="",0,Y131*INDEX(Grid!$B$6:$H$156,X131+1,W131+1)),"")</f>
        <v/>
      </c>
      <c r="AD131" s="13" t="str">
        <f aca="false">IF(AND($J131=1,$M131=0),IF(S131="",0,S131*Val_pt*(Ceiling_e-E_zero)*(1-(1-Half_gap)^Q131))+IF(V131="",0,V131*Val_pt*(Ceiling_e-E_zero)*(1-(1-Half_gap)^T131))+IF(Y131="",0,Y131*Val_pt*(Ceiling_e-E_zero)*(1-(1-Half_gap)^W131)),"")</f>
        <v/>
      </c>
      <c r="AE131" s="13" t="str">
        <f aca="false">IF(AND($J131=1,$M131=0),IF(S131="",0,S131*R131)+IF(V131="",0,V131*U131)+IF(Y131="",0,Y131*X131),"")</f>
        <v/>
      </c>
      <c r="AF131" s="12" t="str">
        <f aca="false">IF(AND($J131=1,$M131=0),MIN((AC131-E131)/Span_P,(AD131-F131)/Span_S,(AE131-G131)/Span_B),"")</f>
        <v/>
      </c>
      <c r="AG131" s="15" t="str">
        <f aca="false">IF(AND($J131=1,$M131=0),IF(AF131&gt;0.0000001,1,0),"")</f>
        <v/>
      </c>
      <c r="AH131" s="15" t="str">
        <f aca="false">IF($J131=1,IF($M131=1,AB131,AG131),"")</f>
        <v/>
      </c>
      <c r="AI131" s="13" t="str">
        <f aca="false">IF($J131=1,(Ideal_P-E131)/Span_P,"")</f>
        <v/>
      </c>
      <c r="AJ131" s="13" t="str">
        <f aca="false">IF($J131=1,(Ideal_S-F131)/Span_S,"")</f>
        <v/>
      </c>
      <c r="AK131" s="13" t="str">
        <f aca="false">IF($J131=1,(Ideal_B-G131)/Span_B,"")</f>
        <v/>
      </c>
      <c r="AL131" s="12" t="str">
        <f aca="false">IF($J131=1,MAX(ChA_1*AI131,ChA_2*AJ131,ChA_3*AK131)+Rho*(ChA_1*AI131+ChA_2*AJ131+ChA_3*AK131),"")</f>
        <v/>
      </c>
      <c r="AM131" s="12" t="str">
        <f aca="false">IF($J131=1,MAX(ChB_1*AI131,ChB_2*AJ131,ChB_3*AK131)+Rho*(ChB_1*AI131+ChB_2*AJ131+ChB_3*AK131),"")</f>
        <v/>
      </c>
      <c r="AN131" s="12" t="str">
        <f aca="false">IF($J131=1,MAX(Cx_1*(Ref_P-E131)/Span_P,Cx_2*(Ref_S-F131)/Span_S,Cx_3*(Ref_B-G131)/Span_B),"")</f>
        <v/>
      </c>
    </row>
    <row r="132" customFormat="false" ht="15" hidden="false" customHeight="false" outlineLevel="0" collapsed="false">
      <c r="A132" s="2" t="n">
        <v>126</v>
      </c>
      <c r="B132" s="15" t="n">
        <f aca="false">INT(A132/151)</f>
        <v>0</v>
      </c>
      <c r="C132" s="15" t="n">
        <f aca="false">MOD(A132,151)</f>
        <v>126</v>
      </c>
      <c r="D132" s="15" t="n">
        <f aca="false">INDEX(Grid!$J$6:$P$156,C132+1,B132+1)</f>
        <v>1</v>
      </c>
      <c r="E132" s="16" t="n">
        <f aca="false">IF(D132=1,INDEX(Grid!$B$6:$H$156,C132+1,B132+1),"")</f>
        <v>21.8181818181818</v>
      </c>
      <c r="F132" s="13" t="n">
        <f aca="false">Val_pt*(Ceiling_e-E_zero)*(1-(1-Half_gap)^B132)</f>
        <v>0</v>
      </c>
      <c r="G132" s="15" t="n">
        <f aca="false">C132</f>
        <v>126</v>
      </c>
      <c r="H132" s="15" t="n">
        <f aca="false">IF(D132=1,INDEX(Grid!$R$6:$X$156,C132+1,B132+1),"")</f>
        <v>0</v>
      </c>
      <c r="I132" s="2" t="str">
        <f aca="false">IF(D132=1,INDEX(Sch_label,H132+1),"")</f>
        <v>none</v>
      </c>
      <c r="J132" s="15" t="n">
        <f aca="false">IF(D132=1,INDEX(Grid!$Z$6:$AF$156,C132+1,B132+1),0)</f>
        <v>0</v>
      </c>
      <c r="K132" s="16" t="n">
        <f aca="false">IF(J132=1,E132,0)</f>
        <v>0</v>
      </c>
      <c r="L132" s="17" t="n">
        <f aca="false">IF(D132=1,E132+W_board*F132,"")</f>
        <v>21.8181818181818</v>
      </c>
      <c r="Z132" s="12" t="str">
        <f aca="false">IF(AND($J132=1,$M132=1),N132*E132/Span_P+O132*F132/Span_S+P132*G132/Span_B,"")</f>
        <v/>
      </c>
      <c r="AA132" s="12" t="str">
        <f aca="false">IF(AND($J132=1,$M132=1),SUMPRODUCT(MAX($J$6:$J$1062*(N132*$K$6:$K$1062/Span_P+O132*$F$6:$F$1062/Span_S+P132*$G$6:$G$1062/Span_B)-(1-$J$6:$J$1062)*1000000000)),"")</f>
        <v/>
      </c>
      <c r="AB132" s="15" t="str">
        <f aca="false">IF(AND($J132=1,$M132=1),IF(AA132-Z132&lt;=0.000000001,1,0),"")</f>
        <v/>
      </c>
      <c r="AC132" s="13" t="str">
        <f aca="false">IF(AND($J132=1,$M132=0),IF(S132="",0,S132*INDEX(Grid!$B$6:$H$156,R132+1,Q132+1))+IF(V132="",0,V132*INDEX(Grid!$B$6:$H$156,U132+1,T132+1))+IF(Y132="",0,Y132*INDEX(Grid!$B$6:$H$156,X132+1,W132+1)),"")</f>
        <v/>
      </c>
      <c r="AD132" s="13" t="str">
        <f aca="false">IF(AND($J132=1,$M132=0),IF(S132="",0,S132*Val_pt*(Ceiling_e-E_zero)*(1-(1-Half_gap)^Q132))+IF(V132="",0,V132*Val_pt*(Ceiling_e-E_zero)*(1-(1-Half_gap)^T132))+IF(Y132="",0,Y132*Val_pt*(Ceiling_e-E_zero)*(1-(1-Half_gap)^W132)),"")</f>
        <v/>
      </c>
      <c r="AE132" s="13" t="str">
        <f aca="false">IF(AND($J132=1,$M132=0),IF(S132="",0,S132*R132)+IF(V132="",0,V132*U132)+IF(Y132="",0,Y132*X132),"")</f>
        <v/>
      </c>
      <c r="AF132" s="12" t="str">
        <f aca="false">IF(AND($J132=1,$M132=0),MIN((AC132-E132)/Span_P,(AD132-F132)/Span_S,(AE132-G132)/Span_B),"")</f>
        <v/>
      </c>
      <c r="AG132" s="15" t="str">
        <f aca="false">IF(AND($J132=1,$M132=0),IF(AF132&gt;0.0000001,1,0),"")</f>
        <v/>
      </c>
      <c r="AH132" s="15" t="str">
        <f aca="false">IF($J132=1,IF($M132=1,AB132,AG132),"")</f>
        <v/>
      </c>
      <c r="AI132" s="13" t="str">
        <f aca="false">IF($J132=1,(Ideal_P-E132)/Span_P,"")</f>
        <v/>
      </c>
      <c r="AJ132" s="13" t="str">
        <f aca="false">IF($J132=1,(Ideal_S-F132)/Span_S,"")</f>
        <v/>
      </c>
      <c r="AK132" s="13" t="str">
        <f aca="false">IF($J132=1,(Ideal_B-G132)/Span_B,"")</f>
        <v/>
      </c>
      <c r="AL132" s="12" t="str">
        <f aca="false">IF($J132=1,MAX(ChA_1*AI132,ChA_2*AJ132,ChA_3*AK132)+Rho*(ChA_1*AI132+ChA_2*AJ132+ChA_3*AK132),"")</f>
        <v/>
      </c>
      <c r="AM132" s="12" t="str">
        <f aca="false">IF($J132=1,MAX(ChB_1*AI132,ChB_2*AJ132,ChB_3*AK132)+Rho*(ChB_1*AI132+ChB_2*AJ132+ChB_3*AK132),"")</f>
        <v/>
      </c>
      <c r="AN132" s="12" t="str">
        <f aca="false">IF($J132=1,MAX(Cx_1*(Ref_P-E132)/Span_P,Cx_2*(Ref_S-F132)/Span_S,Cx_3*(Ref_B-G132)/Span_B),"")</f>
        <v/>
      </c>
    </row>
    <row r="133" customFormat="false" ht="15" hidden="false" customHeight="false" outlineLevel="0" collapsed="false">
      <c r="A133" s="2" t="n">
        <v>127</v>
      </c>
      <c r="B133" s="15" t="n">
        <f aca="false">INT(A133/151)</f>
        <v>0</v>
      </c>
      <c r="C133" s="15" t="n">
        <f aca="false">MOD(A133,151)</f>
        <v>127</v>
      </c>
      <c r="D133" s="15" t="n">
        <f aca="false">INDEX(Grid!$J$6:$P$156,C133+1,B133+1)</f>
        <v>1</v>
      </c>
      <c r="E133" s="16" t="n">
        <f aca="false">IF(D133=1,INDEX(Grid!$B$6:$H$156,C133+1,B133+1),"")</f>
        <v>20.9090909090909</v>
      </c>
      <c r="F133" s="13" t="n">
        <f aca="false">Val_pt*(Ceiling_e-E_zero)*(1-(1-Half_gap)^B133)</f>
        <v>0</v>
      </c>
      <c r="G133" s="15" t="n">
        <f aca="false">C133</f>
        <v>127</v>
      </c>
      <c r="H133" s="15" t="n">
        <f aca="false">IF(D133=1,INDEX(Grid!$R$6:$X$156,C133+1,B133+1),"")</f>
        <v>0</v>
      </c>
      <c r="I133" s="2" t="str">
        <f aca="false">IF(D133=1,INDEX(Sch_label,H133+1),"")</f>
        <v>none</v>
      </c>
      <c r="J133" s="15" t="n">
        <f aca="false">IF(D133=1,INDEX(Grid!$Z$6:$AF$156,C133+1,B133+1),0)</f>
        <v>0</v>
      </c>
      <c r="K133" s="16" t="n">
        <f aca="false">IF(J133=1,E133,0)</f>
        <v>0</v>
      </c>
      <c r="L133" s="17" t="n">
        <f aca="false">IF(D133=1,E133+W_board*F133,"")</f>
        <v>20.9090909090909</v>
      </c>
      <c r="Z133" s="12" t="str">
        <f aca="false">IF(AND($J133=1,$M133=1),N133*E133/Span_P+O133*F133/Span_S+P133*G133/Span_B,"")</f>
        <v/>
      </c>
      <c r="AA133" s="12" t="str">
        <f aca="false">IF(AND($J133=1,$M133=1),SUMPRODUCT(MAX($J$6:$J$1062*(N133*$K$6:$K$1062/Span_P+O133*$F$6:$F$1062/Span_S+P133*$G$6:$G$1062/Span_B)-(1-$J$6:$J$1062)*1000000000)),"")</f>
        <v/>
      </c>
      <c r="AB133" s="15" t="str">
        <f aca="false">IF(AND($J133=1,$M133=1),IF(AA133-Z133&lt;=0.000000001,1,0),"")</f>
        <v/>
      </c>
      <c r="AC133" s="13" t="str">
        <f aca="false">IF(AND($J133=1,$M133=0),IF(S133="",0,S133*INDEX(Grid!$B$6:$H$156,R133+1,Q133+1))+IF(V133="",0,V133*INDEX(Grid!$B$6:$H$156,U133+1,T133+1))+IF(Y133="",0,Y133*INDEX(Grid!$B$6:$H$156,X133+1,W133+1)),"")</f>
        <v/>
      </c>
      <c r="AD133" s="13" t="str">
        <f aca="false">IF(AND($J133=1,$M133=0),IF(S133="",0,S133*Val_pt*(Ceiling_e-E_zero)*(1-(1-Half_gap)^Q133))+IF(V133="",0,V133*Val_pt*(Ceiling_e-E_zero)*(1-(1-Half_gap)^T133))+IF(Y133="",0,Y133*Val_pt*(Ceiling_e-E_zero)*(1-(1-Half_gap)^W133)),"")</f>
        <v/>
      </c>
      <c r="AE133" s="13" t="str">
        <f aca="false">IF(AND($J133=1,$M133=0),IF(S133="",0,S133*R133)+IF(V133="",0,V133*U133)+IF(Y133="",0,Y133*X133),"")</f>
        <v/>
      </c>
      <c r="AF133" s="12" t="str">
        <f aca="false">IF(AND($J133=1,$M133=0),MIN((AC133-E133)/Span_P,(AD133-F133)/Span_S,(AE133-G133)/Span_B),"")</f>
        <v/>
      </c>
      <c r="AG133" s="15" t="str">
        <f aca="false">IF(AND($J133=1,$M133=0),IF(AF133&gt;0.0000001,1,0),"")</f>
        <v/>
      </c>
      <c r="AH133" s="15" t="str">
        <f aca="false">IF($J133=1,IF($M133=1,AB133,AG133),"")</f>
        <v/>
      </c>
      <c r="AI133" s="13" t="str">
        <f aca="false">IF($J133=1,(Ideal_P-E133)/Span_P,"")</f>
        <v/>
      </c>
      <c r="AJ133" s="13" t="str">
        <f aca="false">IF($J133=1,(Ideal_S-F133)/Span_S,"")</f>
        <v/>
      </c>
      <c r="AK133" s="13" t="str">
        <f aca="false">IF($J133=1,(Ideal_B-G133)/Span_B,"")</f>
        <v/>
      </c>
      <c r="AL133" s="12" t="str">
        <f aca="false">IF($J133=1,MAX(ChA_1*AI133,ChA_2*AJ133,ChA_3*AK133)+Rho*(ChA_1*AI133+ChA_2*AJ133+ChA_3*AK133),"")</f>
        <v/>
      </c>
      <c r="AM133" s="12" t="str">
        <f aca="false">IF($J133=1,MAX(ChB_1*AI133,ChB_2*AJ133,ChB_3*AK133)+Rho*(ChB_1*AI133+ChB_2*AJ133+ChB_3*AK133),"")</f>
        <v/>
      </c>
      <c r="AN133" s="12" t="str">
        <f aca="false">IF($J133=1,MAX(Cx_1*(Ref_P-E133)/Span_P,Cx_2*(Ref_S-F133)/Span_S,Cx_3*(Ref_B-G133)/Span_B),"")</f>
        <v/>
      </c>
    </row>
    <row r="134" customFormat="false" ht="15" hidden="false" customHeight="false" outlineLevel="0" collapsed="false">
      <c r="A134" s="2" t="n">
        <v>128</v>
      </c>
      <c r="B134" s="15" t="n">
        <f aca="false">INT(A134/151)</f>
        <v>0</v>
      </c>
      <c r="C134" s="15" t="n">
        <f aca="false">MOD(A134,151)</f>
        <v>128</v>
      </c>
      <c r="D134" s="15" t="n">
        <f aca="false">INDEX(Grid!$J$6:$P$156,C134+1,B134+1)</f>
        <v>1</v>
      </c>
      <c r="E134" s="16" t="n">
        <f aca="false">IF(D134=1,INDEX(Grid!$B$6:$H$156,C134+1,B134+1),"")</f>
        <v>20</v>
      </c>
      <c r="F134" s="13" t="n">
        <f aca="false">Val_pt*(Ceiling_e-E_zero)*(1-(1-Half_gap)^B134)</f>
        <v>0</v>
      </c>
      <c r="G134" s="15" t="n">
        <f aca="false">C134</f>
        <v>128</v>
      </c>
      <c r="H134" s="15" t="n">
        <f aca="false">IF(D134=1,INDEX(Grid!$R$6:$X$156,C134+1,B134+1),"")</f>
        <v>0</v>
      </c>
      <c r="I134" s="2" t="str">
        <f aca="false">IF(D134=1,INDEX(Sch_label,H134+1),"")</f>
        <v>none</v>
      </c>
      <c r="J134" s="15" t="n">
        <f aca="false">IF(D134=1,INDEX(Grid!$Z$6:$AF$156,C134+1,B134+1),0)</f>
        <v>0</v>
      </c>
      <c r="K134" s="16" t="n">
        <f aca="false">IF(J134=1,E134,0)</f>
        <v>0</v>
      </c>
      <c r="L134" s="17" t="n">
        <f aca="false">IF(D134=1,E134+W_board*F134,"")</f>
        <v>20</v>
      </c>
      <c r="Z134" s="12" t="str">
        <f aca="false">IF(AND($J134=1,$M134=1),N134*E134/Span_P+O134*F134/Span_S+P134*G134/Span_B,"")</f>
        <v/>
      </c>
      <c r="AA134" s="12" t="str">
        <f aca="false">IF(AND($J134=1,$M134=1),SUMPRODUCT(MAX($J$6:$J$1062*(N134*$K$6:$K$1062/Span_P+O134*$F$6:$F$1062/Span_S+P134*$G$6:$G$1062/Span_B)-(1-$J$6:$J$1062)*1000000000)),"")</f>
        <v/>
      </c>
      <c r="AB134" s="15" t="str">
        <f aca="false">IF(AND($J134=1,$M134=1),IF(AA134-Z134&lt;=0.000000001,1,0),"")</f>
        <v/>
      </c>
      <c r="AC134" s="13" t="str">
        <f aca="false">IF(AND($J134=1,$M134=0),IF(S134="",0,S134*INDEX(Grid!$B$6:$H$156,R134+1,Q134+1))+IF(V134="",0,V134*INDEX(Grid!$B$6:$H$156,U134+1,T134+1))+IF(Y134="",0,Y134*INDEX(Grid!$B$6:$H$156,X134+1,W134+1)),"")</f>
        <v/>
      </c>
      <c r="AD134" s="13" t="str">
        <f aca="false">IF(AND($J134=1,$M134=0),IF(S134="",0,S134*Val_pt*(Ceiling_e-E_zero)*(1-(1-Half_gap)^Q134))+IF(V134="",0,V134*Val_pt*(Ceiling_e-E_zero)*(1-(1-Half_gap)^T134))+IF(Y134="",0,Y134*Val_pt*(Ceiling_e-E_zero)*(1-(1-Half_gap)^W134)),"")</f>
        <v/>
      </c>
      <c r="AE134" s="13" t="str">
        <f aca="false">IF(AND($J134=1,$M134=0),IF(S134="",0,S134*R134)+IF(V134="",0,V134*U134)+IF(Y134="",0,Y134*X134),"")</f>
        <v/>
      </c>
      <c r="AF134" s="12" t="str">
        <f aca="false">IF(AND($J134=1,$M134=0),MIN((AC134-E134)/Span_P,(AD134-F134)/Span_S,(AE134-G134)/Span_B),"")</f>
        <v/>
      </c>
      <c r="AG134" s="15" t="str">
        <f aca="false">IF(AND($J134=1,$M134=0),IF(AF134&gt;0.0000001,1,0),"")</f>
        <v/>
      </c>
      <c r="AH134" s="15" t="str">
        <f aca="false">IF($J134=1,IF($M134=1,AB134,AG134),"")</f>
        <v/>
      </c>
      <c r="AI134" s="13" t="str">
        <f aca="false">IF($J134=1,(Ideal_P-E134)/Span_P,"")</f>
        <v/>
      </c>
      <c r="AJ134" s="13" t="str">
        <f aca="false">IF($J134=1,(Ideal_S-F134)/Span_S,"")</f>
        <v/>
      </c>
      <c r="AK134" s="13" t="str">
        <f aca="false">IF($J134=1,(Ideal_B-G134)/Span_B,"")</f>
        <v/>
      </c>
      <c r="AL134" s="12" t="str">
        <f aca="false">IF($J134=1,MAX(ChA_1*AI134,ChA_2*AJ134,ChA_3*AK134)+Rho*(ChA_1*AI134+ChA_2*AJ134+ChA_3*AK134),"")</f>
        <v/>
      </c>
      <c r="AM134" s="12" t="str">
        <f aca="false">IF($J134=1,MAX(ChB_1*AI134,ChB_2*AJ134,ChB_3*AK134)+Rho*(ChB_1*AI134+ChB_2*AJ134+ChB_3*AK134),"")</f>
        <v/>
      </c>
      <c r="AN134" s="12" t="str">
        <f aca="false">IF($J134=1,MAX(Cx_1*(Ref_P-E134)/Span_P,Cx_2*(Ref_S-F134)/Span_S,Cx_3*(Ref_B-G134)/Span_B),"")</f>
        <v/>
      </c>
    </row>
    <row r="135" customFormat="false" ht="15" hidden="false" customHeight="false" outlineLevel="0" collapsed="false">
      <c r="A135" s="2" t="n">
        <v>129</v>
      </c>
      <c r="B135" s="15" t="n">
        <f aca="false">INT(A135/151)</f>
        <v>0</v>
      </c>
      <c r="C135" s="15" t="n">
        <f aca="false">MOD(A135,151)</f>
        <v>129</v>
      </c>
      <c r="D135" s="15" t="n">
        <f aca="false">INDEX(Grid!$J$6:$P$156,C135+1,B135+1)</f>
        <v>1</v>
      </c>
      <c r="E135" s="16" t="n">
        <f aca="false">IF(D135=1,INDEX(Grid!$B$6:$H$156,C135+1,B135+1),"")</f>
        <v>19.0909090909091</v>
      </c>
      <c r="F135" s="13" t="n">
        <f aca="false">Val_pt*(Ceiling_e-E_zero)*(1-(1-Half_gap)^B135)</f>
        <v>0</v>
      </c>
      <c r="G135" s="15" t="n">
        <f aca="false">C135</f>
        <v>129</v>
      </c>
      <c r="H135" s="15" t="n">
        <f aca="false">IF(D135=1,INDEX(Grid!$R$6:$X$156,C135+1,B135+1),"")</f>
        <v>0</v>
      </c>
      <c r="I135" s="2" t="str">
        <f aca="false">IF(D135=1,INDEX(Sch_label,H135+1),"")</f>
        <v>none</v>
      </c>
      <c r="J135" s="15" t="n">
        <f aca="false">IF(D135=1,INDEX(Grid!$Z$6:$AF$156,C135+1,B135+1),0)</f>
        <v>0</v>
      </c>
      <c r="K135" s="16" t="n">
        <f aca="false">IF(J135=1,E135,0)</f>
        <v>0</v>
      </c>
      <c r="L135" s="17" t="n">
        <f aca="false">IF(D135=1,E135+W_board*F135,"")</f>
        <v>19.0909090909091</v>
      </c>
      <c r="Z135" s="12" t="str">
        <f aca="false">IF(AND($J135=1,$M135=1),N135*E135/Span_P+O135*F135/Span_S+P135*G135/Span_B,"")</f>
        <v/>
      </c>
      <c r="AA135" s="12" t="str">
        <f aca="false">IF(AND($J135=1,$M135=1),SUMPRODUCT(MAX($J$6:$J$1062*(N135*$K$6:$K$1062/Span_P+O135*$F$6:$F$1062/Span_S+P135*$G$6:$G$1062/Span_B)-(1-$J$6:$J$1062)*1000000000)),"")</f>
        <v/>
      </c>
      <c r="AB135" s="15" t="str">
        <f aca="false">IF(AND($J135=1,$M135=1),IF(AA135-Z135&lt;=0.000000001,1,0),"")</f>
        <v/>
      </c>
      <c r="AC135" s="13" t="str">
        <f aca="false">IF(AND($J135=1,$M135=0),IF(S135="",0,S135*INDEX(Grid!$B$6:$H$156,R135+1,Q135+1))+IF(V135="",0,V135*INDEX(Grid!$B$6:$H$156,U135+1,T135+1))+IF(Y135="",0,Y135*INDEX(Grid!$B$6:$H$156,X135+1,W135+1)),"")</f>
        <v/>
      </c>
      <c r="AD135" s="13" t="str">
        <f aca="false">IF(AND($J135=1,$M135=0),IF(S135="",0,S135*Val_pt*(Ceiling_e-E_zero)*(1-(1-Half_gap)^Q135))+IF(V135="",0,V135*Val_pt*(Ceiling_e-E_zero)*(1-(1-Half_gap)^T135))+IF(Y135="",0,Y135*Val_pt*(Ceiling_e-E_zero)*(1-(1-Half_gap)^W135)),"")</f>
        <v/>
      </c>
      <c r="AE135" s="13" t="str">
        <f aca="false">IF(AND($J135=1,$M135=0),IF(S135="",0,S135*R135)+IF(V135="",0,V135*U135)+IF(Y135="",0,Y135*X135),"")</f>
        <v/>
      </c>
      <c r="AF135" s="12" t="str">
        <f aca="false">IF(AND($J135=1,$M135=0),MIN((AC135-E135)/Span_P,(AD135-F135)/Span_S,(AE135-G135)/Span_B),"")</f>
        <v/>
      </c>
      <c r="AG135" s="15" t="str">
        <f aca="false">IF(AND($J135=1,$M135=0),IF(AF135&gt;0.0000001,1,0),"")</f>
        <v/>
      </c>
      <c r="AH135" s="15" t="str">
        <f aca="false">IF($J135=1,IF($M135=1,AB135,AG135),"")</f>
        <v/>
      </c>
      <c r="AI135" s="13" t="str">
        <f aca="false">IF($J135=1,(Ideal_P-E135)/Span_P,"")</f>
        <v/>
      </c>
      <c r="AJ135" s="13" t="str">
        <f aca="false">IF($J135=1,(Ideal_S-F135)/Span_S,"")</f>
        <v/>
      </c>
      <c r="AK135" s="13" t="str">
        <f aca="false">IF($J135=1,(Ideal_B-G135)/Span_B,"")</f>
        <v/>
      </c>
      <c r="AL135" s="12" t="str">
        <f aca="false">IF($J135=1,MAX(ChA_1*AI135,ChA_2*AJ135,ChA_3*AK135)+Rho*(ChA_1*AI135+ChA_2*AJ135+ChA_3*AK135),"")</f>
        <v/>
      </c>
      <c r="AM135" s="12" t="str">
        <f aca="false">IF($J135=1,MAX(ChB_1*AI135,ChB_2*AJ135,ChB_3*AK135)+Rho*(ChB_1*AI135+ChB_2*AJ135+ChB_3*AK135),"")</f>
        <v/>
      </c>
      <c r="AN135" s="12" t="str">
        <f aca="false">IF($J135=1,MAX(Cx_1*(Ref_P-E135)/Span_P,Cx_2*(Ref_S-F135)/Span_S,Cx_3*(Ref_B-G135)/Span_B),"")</f>
        <v/>
      </c>
    </row>
    <row r="136" customFormat="false" ht="15" hidden="false" customHeight="false" outlineLevel="0" collapsed="false">
      <c r="A136" s="2" t="n">
        <v>130</v>
      </c>
      <c r="B136" s="15" t="n">
        <f aca="false">INT(A136/151)</f>
        <v>0</v>
      </c>
      <c r="C136" s="15" t="n">
        <f aca="false">MOD(A136,151)</f>
        <v>130</v>
      </c>
      <c r="D136" s="15" t="n">
        <f aca="false">INDEX(Grid!$J$6:$P$156,C136+1,B136+1)</f>
        <v>1</v>
      </c>
      <c r="E136" s="16" t="n">
        <f aca="false">IF(D136=1,INDEX(Grid!$B$6:$H$156,C136+1,B136+1),"")</f>
        <v>18.1818181818182</v>
      </c>
      <c r="F136" s="13" t="n">
        <f aca="false">Val_pt*(Ceiling_e-E_zero)*(1-(1-Half_gap)^B136)</f>
        <v>0</v>
      </c>
      <c r="G136" s="15" t="n">
        <f aca="false">C136</f>
        <v>130</v>
      </c>
      <c r="H136" s="15" t="n">
        <f aca="false">IF(D136=1,INDEX(Grid!$R$6:$X$156,C136+1,B136+1),"")</f>
        <v>0</v>
      </c>
      <c r="I136" s="2" t="str">
        <f aca="false">IF(D136=1,INDEX(Sch_label,H136+1),"")</f>
        <v>none</v>
      </c>
      <c r="J136" s="15" t="n">
        <f aca="false">IF(D136=1,INDEX(Grid!$Z$6:$AF$156,C136+1,B136+1),0)</f>
        <v>0</v>
      </c>
      <c r="K136" s="16" t="n">
        <f aca="false">IF(J136=1,E136,0)</f>
        <v>0</v>
      </c>
      <c r="L136" s="17" t="n">
        <f aca="false">IF(D136=1,E136+W_board*F136,"")</f>
        <v>18.1818181818182</v>
      </c>
      <c r="Z136" s="12" t="str">
        <f aca="false">IF(AND($J136=1,$M136=1),N136*E136/Span_P+O136*F136/Span_S+P136*G136/Span_B,"")</f>
        <v/>
      </c>
      <c r="AA136" s="12" t="str">
        <f aca="false">IF(AND($J136=1,$M136=1),SUMPRODUCT(MAX($J$6:$J$1062*(N136*$K$6:$K$1062/Span_P+O136*$F$6:$F$1062/Span_S+P136*$G$6:$G$1062/Span_B)-(1-$J$6:$J$1062)*1000000000)),"")</f>
        <v/>
      </c>
      <c r="AB136" s="15" t="str">
        <f aca="false">IF(AND($J136=1,$M136=1),IF(AA136-Z136&lt;=0.000000001,1,0),"")</f>
        <v/>
      </c>
      <c r="AC136" s="13" t="str">
        <f aca="false">IF(AND($J136=1,$M136=0),IF(S136="",0,S136*INDEX(Grid!$B$6:$H$156,R136+1,Q136+1))+IF(V136="",0,V136*INDEX(Grid!$B$6:$H$156,U136+1,T136+1))+IF(Y136="",0,Y136*INDEX(Grid!$B$6:$H$156,X136+1,W136+1)),"")</f>
        <v/>
      </c>
      <c r="AD136" s="13" t="str">
        <f aca="false">IF(AND($J136=1,$M136=0),IF(S136="",0,S136*Val_pt*(Ceiling_e-E_zero)*(1-(1-Half_gap)^Q136))+IF(V136="",0,V136*Val_pt*(Ceiling_e-E_zero)*(1-(1-Half_gap)^T136))+IF(Y136="",0,Y136*Val_pt*(Ceiling_e-E_zero)*(1-(1-Half_gap)^W136)),"")</f>
        <v/>
      </c>
      <c r="AE136" s="13" t="str">
        <f aca="false">IF(AND($J136=1,$M136=0),IF(S136="",0,S136*R136)+IF(V136="",0,V136*U136)+IF(Y136="",0,Y136*X136),"")</f>
        <v/>
      </c>
      <c r="AF136" s="12" t="str">
        <f aca="false">IF(AND($J136=1,$M136=0),MIN((AC136-E136)/Span_P,(AD136-F136)/Span_S,(AE136-G136)/Span_B),"")</f>
        <v/>
      </c>
      <c r="AG136" s="15" t="str">
        <f aca="false">IF(AND($J136=1,$M136=0),IF(AF136&gt;0.0000001,1,0),"")</f>
        <v/>
      </c>
      <c r="AH136" s="15" t="str">
        <f aca="false">IF($J136=1,IF($M136=1,AB136,AG136),"")</f>
        <v/>
      </c>
      <c r="AI136" s="13" t="str">
        <f aca="false">IF($J136=1,(Ideal_P-E136)/Span_P,"")</f>
        <v/>
      </c>
      <c r="AJ136" s="13" t="str">
        <f aca="false">IF($J136=1,(Ideal_S-F136)/Span_S,"")</f>
        <v/>
      </c>
      <c r="AK136" s="13" t="str">
        <f aca="false">IF($J136=1,(Ideal_B-G136)/Span_B,"")</f>
        <v/>
      </c>
      <c r="AL136" s="12" t="str">
        <f aca="false">IF($J136=1,MAX(ChA_1*AI136,ChA_2*AJ136,ChA_3*AK136)+Rho*(ChA_1*AI136+ChA_2*AJ136+ChA_3*AK136),"")</f>
        <v/>
      </c>
      <c r="AM136" s="12" t="str">
        <f aca="false">IF($J136=1,MAX(ChB_1*AI136,ChB_2*AJ136,ChB_3*AK136)+Rho*(ChB_1*AI136+ChB_2*AJ136+ChB_3*AK136),"")</f>
        <v/>
      </c>
      <c r="AN136" s="12" t="str">
        <f aca="false">IF($J136=1,MAX(Cx_1*(Ref_P-E136)/Span_P,Cx_2*(Ref_S-F136)/Span_S,Cx_3*(Ref_B-G136)/Span_B),"")</f>
        <v/>
      </c>
    </row>
    <row r="137" customFormat="false" ht="15" hidden="false" customHeight="false" outlineLevel="0" collapsed="false">
      <c r="A137" s="2" t="n">
        <v>131</v>
      </c>
      <c r="B137" s="15" t="n">
        <f aca="false">INT(A137/151)</f>
        <v>0</v>
      </c>
      <c r="C137" s="15" t="n">
        <f aca="false">MOD(A137,151)</f>
        <v>131</v>
      </c>
      <c r="D137" s="15" t="n">
        <f aca="false">INDEX(Grid!$J$6:$P$156,C137+1,B137+1)</f>
        <v>1</v>
      </c>
      <c r="E137" s="16" t="n">
        <f aca="false">IF(D137=1,INDEX(Grid!$B$6:$H$156,C137+1,B137+1),"")</f>
        <v>17.2727272727273</v>
      </c>
      <c r="F137" s="13" t="n">
        <f aca="false">Val_pt*(Ceiling_e-E_zero)*(1-(1-Half_gap)^B137)</f>
        <v>0</v>
      </c>
      <c r="G137" s="15" t="n">
        <f aca="false">C137</f>
        <v>131</v>
      </c>
      <c r="H137" s="15" t="n">
        <f aca="false">IF(D137=1,INDEX(Grid!$R$6:$X$156,C137+1,B137+1),"")</f>
        <v>0</v>
      </c>
      <c r="I137" s="2" t="str">
        <f aca="false">IF(D137=1,INDEX(Sch_label,H137+1),"")</f>
        <v>none</v>
      </c>
      <c r="J137" s="15" t="n">
        <f aca="false">IF(D137=1,INDEX(Grid!$Z$6:$AF$156,C137+1,B137+1),0)</f>
        <v>0</v>
      </c>
      <c r="K137" s="16" t="n">
        <f aca="false">IF(J137=1,E137,0)</f>
        <v>0</v>
      </c>
      <c r="L137" s="17" t="n">
        <f aca="false">IF(D137=1,E137+W_board*F137,"")</f>
        <v>17.2727272727273</v>
      </c>
      <c r="Z137" s="12" t="str">
        <f aca="false">IF(AND($J137=1,$M137=1),N137*E137/Span_P+O137*F137/Span_S+P137*G137/Span_B,"")</f>
        <v/>
      </c>
      <c r="AA137" s="12" t="str">
        <f aca="false">IF(AND($J137=1,$M137=1),SUMPRODUCT(MAX($J$6:$J$1062*(N137*$K$6:$K$1062/Span_P+O137*$F$6:$F$1062/Span_S+P137*$G$6:$G$1062/Span_B)-(1-$J$6:$J$1062)*1000000000)),"")</f>
        <v/>
      </c>
      <c r="AB137" s="15" t="str">
        <f aca="false">IF(AND($J137=1,$M137=1),IF(AA137-Z137&lt;=0.000000001,1,0),"")</f>
        <v/>
      </c>
      <c r="AC137" s="13" t="str">
        <f aca="false">IF(AND($J137=1,$M137=0),IF(S137="",0,S137*INDEX(Grid!$B$6:$H$156,R137+1,Q137+1))+IF(V137="",0,V137*INDEX(Grid!$B$6:$H$156,U137+1,T137+1))+IF(Y137="",0,Y137*INDEX(Grid!$B$6:$H$156,X137+1,W137+1)),"")</f>
        <v/>
      </c>
      <c r="AD137" s="13" t="str">
        <f aca="false">IF(AND($J137=1,$M137=0),IF(S137="",0,S137*Val_pt*(Ceiling_e-E_zero)*(1-(1-Half_gap)^Q137))+IF(V137="",0,V137*Val_pt*(Ceiling_e-E_zero)*(1-(1-Half_gap)^T137))+IF(Y137="",0,Y137*Val_pt*(Ceiling_e-E_zero)*(1-(1-Half_gap)^W137)),"")</f>
        <v/>
      </c>
      <c r="AE137" s="13" t="str">
        <f aca="false">IF(AND($J137=1,$M137=0),IF(S137="",0,S137*R137)+IF(V137="",0,V137*U137)+IF(Y137="",0,Y137*X137),"")</f>
        <v/>
      </c>
      <c r="AF137" s="12" t="str">
        <f aca="false">IF(AND($J137=1,$M137=0),MIN((AC137-E137)/Span_P,(AD137-F137)/Span_S,(AE137-G137)/Span_B),"")</f>
        <v/>
      </c>
      <c r="AG137" s="15" t="str">
        <f aca="false">IF(AND($J137=1,$M137=0),IF(AF137&gt;0.0000001,1,0),"")</f>
        <v/>
      </c>
      <c r="AH137" s="15" t="str">
        <f aca="false">IF($J137=1,IF($M137=1,AB137,AG137),"")</f>
        <v/>
      </c>
      <c r="AI137" s="13" t="str">
        <f aca="false">IF($J137=1,(Ideal_P-E137)/Span_P,"")</f>
        <v/>
      </c>
      <c r="AJ137" s="13" t="str">
        <f aca="false">IF($J137=1,(Ideal_S-F137)/Span_S,"")</f>
        <v/>
      </c>
      <c r="AK137" s="13" t="str">
        <f aca="false">IF($J137=1,(Ideal_B-G137)/Span_B,"")</f>
        <v/>
      </c>
      <c r="AL137" s="12" t="str">
        <f aca="false">IF($J137=1,MAX(ChA_1*AI137,ChA_2*AJ137,ChA_3*AK137)+Rho*(ChA_1*AI137+ChA_2*AJ137+ChA_3*AK137),"")</f>
        <v/>
      </c>
      <c r="AM137" s="12" t="str">
        <f aca="false">IF($J137=1,MAX(ChB_1*AI137,ChB_2*AJ137,ChB_3*AK137)+Rho*(ChB_1*AI137+ChB_2*AJ137+ChB_3*AK137),"")</f>
        <v/>
      </c>
      <c r="AN137" s="12" t="str">
        <f aca="false">IF($J137=1,MAX(Cx_1*(Ref_P-E137)/Span_P,Cx_2*(Ref_S-F137)/Span_S,Cx_3*(Ref_B-G137)/Span_B),"")</f>
        <v/>
      </c>
    </row>
    <row r="138" customFormat="false" ht="15" hidden="false" customHeight="false" outlineLevel="0" collapsed="false">
      <c r="A138" s="2" t="n">
        <v>132</v>
      </c>
      <c r="B138" s="15" t="n">
        <f aca="false">INT(A138/151)</f>
        <v>0</v>
      </c>
      <c r="C138" s="15" t="n">
        <f aca="false">MOD(A138,151)</f>
        <v>132</v>
      </c>
      <c r="D138" s="15" t="n">
        <f aca="false">INDEX(Grid!$J$6:$P$156,C138+1,B138+1)</f>
        <v>1</v>
      </c>
      <c r="E138" s="16" t="n">
        <f aca="false">IF(D138=1,INDEX(Grid!$B$6:$H$156,C138+1,B138+1),"")</f>
        <v>16.3636363636363</v>
      </c>
      <c r="F138" s="13" t="n">
        <f aca="false">Val_pt*(Ceiling_e-E_zero)*(1-(1-Half_gap)^B138)</f>
        <v>0</v>
      </c>
      <c r="G138" s="15" t="n">
        <f aca="false">C138</f>
        <v>132</v>
      </c>
      <c r="H138" s="15" t="n">
        <f aca="false">IF(D138=1,INDEX(Grid!$R$6:$X$156,C138+1,B138+1),"")</f>
        <v>0</v>
      </c>
      <c r="I138" s="2" t="str">
        <f aca="false">IF(D138=1,INDEX(Sch_label,H138+1),"")</f>
        <v>none</v>
      </c>
      <c r="J138" s="15" t="n">
        <f aca="false">IF(D138=1,INDEX(Grid!$Z$6:$AF$156,C138+1,B138+1),0)</f>
        <v>0</v>
      </c>
      <c r="K138" s="16" t="n">
        <f aca="false">IF(J138=1,E138,0)</f>
        <v>0</v>
      </c>
      <c r="L138" s="17" t="n">
        <f aca="false">IF(D138=1,E138+W_board*F138,"")</f>
        <v>16.3636363636363</v>
      </c>
      <c r="Z138" s="12" t="str">
        <f aca="false">IF(AND($J138=1,$M138=1),N138*E138/Span_P+O138*F138/Span_S+P138*G138/Span_B,"")</f>
        <v/>
      </c>
      <c r="AA138" s="12" t="str">
        <f aca="false">IF(AND($J138=1,$M138=1),SUMPRODUCT(MAX($J$6:$J$1062*(N138*$K$6:$K$1062/Span_P+O138*$F$6:$F$1062/Span_S+P138*$G$6:$G$1062/Span_B)-(1-$J$6:$J$1062)*1000000000)),"")</f>
        <v/>
      </c>
      <c r="AB138" s="15" t="str">
        <f aca="false">IF(AND($J138=1,$M138=1),IF(AA138-Z138&lt;=0.000000001,1,0),"")</f>
        <v/>
      </c>
      <c r="AC138" s="13" t="str">
        <f aca="false">IF(AND($J138=1,$M138=0),IF(S138="",0,S138*INDEX(Grid!$B$6:$H$156,R138+1,Q138+1))+IF(V138="",0,V138*INDEX(Grid!$B$6:$H$156,U138+1,T138+1))+IF(Y138="",0,Y138*INDEX(Grid!$B$6:$H$156,X138+1,W138+1)),"")</f>
        <v/>
      </c>
      <c r="AD138" s="13" t="str">
        <f aca="false">IF(AND($J138=1,$M138=0),IF(S138="",0,S138*Val_pt*(Ceiling_e-E_zero)*(1-(1-Half_gap)^Q138))+IF(V138="",0,V138*Val_pt*(Ceiling_e-E_zero)*(1-(1-Half_gap)^T138))+IF(Y138="",0,Y138*Val_pt*(Ceiling_e-E_zero)*(1-(1-Half_gap)^W138)),"")</f>
        <v/>
      </c>
      <c r="AE138" s="13" t="str">
        <f aca="false">IF(AND($J138=1,$M138=0),IF(S138="",0,S138*R138)+IF(V138="",0,V138*U138)+IF(Y138="",0,Y138*X138),"")</f>
        <v/>
      </c>
      <c r="AF138" s="12" t="str">
        <f aca="false">IF(AND($J138=1,$M138=0),MIN((AC138-E138)/Span_P,(AD138-F138)/Span_S,(AE138-G138)/Span_B),"")</f>
        <v/>
      </c>
      <c r="AG138" s="15" t="str">
        <f aca="false">IF(AND($J138=1,$M138=0),IF(AF138&gt;0.0000001,1,0),"")</f>
        <v/>
      </c>
      <c r="AH138" s="15" t="str">
        <f aca="false">IF($J138=1,IF($M138=1,AB138,AG138),"")</f>
        <v/>
      </c>
      <c r="AI138" s="13" t="str">
        <f aca="false">IF($J138=1,(Ideal_P-E138)/Span_P,"")</f>
        <v/>
      </c>
      <c r="AJ138" s="13" t="str">
        <f aca="false">IF($J138=1,(Ideal_S-F138)/Span_S,"")</f>
        <v/>
      </c>
      <c r="AK138" s="13" t="str">
        <f aca="false">IF($J138=1,(Ideal_B-G138)/Span_B,"")</f>
        <v/>
      </c>
      <c r="AL138" s="12" t="str">
        <f aca="false">IF($J138=1,MAX(ChA_1*AI138,ChA_2*AJ138,ChA_3*AK138)+Rho*(ChA_1*AI138+ChA_2*AJ138+ChA_3*AK138),"")</f>
        <v/>
      </c>
      <c r="AM138" s="12" t="str">
        <f aca="false">IF($J138=1,MAX(ChB_1*AI138,ChB_2*AJ138,ChB_3*AK138)+Rho*(ChB_1*AI138+ChB_2*AJ138+ChB_3*AK138),"")</f>
        <v/>
      </c>
      <c r="AN138" s="12" t="str">
        <f aca="false">IF($J138=1,MAX(Cx_1*(Ref_P-E138)/Span_P,Cx_2*(Ref_S-F138)/Span_S,Cx_3*(Ref_B-G138)/Span_B),"")</f>
        <v/>
      </c>
    </row>
    <row r="139" customFormat="false" ht="15" hidden="false" customHeight="false" outlineLevel="0" collapsed="false">
      <c r="A139" s="2" t="n">
        <v>133</v>
      </c>
      <c r="B139" s="15" t="n">
        <f aca="false">INT(A139/151)</f>
        <v>0</v>
      </c>
      <c r="C139" s="15" t="n">
        <f aca="false">MOD(A139,151)</f>
        <v>133</v>
      </c>
      <c r="D139" s="15" t="n">
        <f aca="false">INDEX(Grid!$J$6:$P$156,C139+1,B139+1)</f>
        <v>1</v>
      </c>
      <c r="E139" s="16" t="n">
        <f aca="false">IF(D139=1,INDEX(Grid!$B$6:$H$156,C139+1,B139+1),"")</f>
        <v>15.4545454545454</v>
      </c>
      <c r="F139" s="13" t="n">
        <f aca="false">Val_pt*(Ceiling_e-E_zero)*(1-(1-Half_gap)^B139)</f>
        <v>0</v>
      </c>
      <c r="G139" s="15" t="n">
        <f aca="false">C139</f>
        <v>133</v>
      </c>
      <c r="H139" s="15" t="n">
        <f aca="false">IF(D139=1,INDEX(Grid!$R$6:$X$156,C139+1,B139+1),"")</f>
        <v>0</v>
      </c>
      <c r="I139" s="2" t="str">
        <f aca="false">IF(D139=1,INDEX(Sch_label,H139+1),"")</f>
        <v>none</v>
      </c>
      <c r="J139" s="15" t="n">
        <f aca="false">IF(D139=1,INDEX(Grid!$Z$6:$AF$156,C139+1,B139+1),0)</f>
        <v>0</v>
      </c>
      <c r="K139" s="16" t="n">
        <f aca="false">IF(J139=1,E139,0)</f>
        <v>0</v>
      </c>
      <c r="L139" s="17" t="n">
        <f aca="false">IF(D139=1,E139+W_board*F139,"")</f>
        <v>15.4545454545454</v>
      </c>
      <c r="Z139" s="12" t="str">
        <f aca="false">IF(AND($J139=1,$M139=1),N139*E139/Span_P+O139*F139/Span_S+P139*G139/Span_B,"")</f>
        <v/>
      </c>
      <c r="AA139" s="12" t="str">
        <f aca="false">IF(AND($J139=1,$M139=1),SUMPRODUCT(MAX($J$6:$J$1062*(N139*$K$6:$K$1062/Span_P+O139*$F$6:$F$1062/Span_S+P139*$G$6:$G$1062/Span_B)-(1-$J$6:$J$1062)*1000000000)),"")</f>
        <v/>
      </c>
      <c r="AB139" s="15" t="str">
        <f aca="false">IF(AND($J139=1,$M139=1),IF(AA139-Z139&lt;=0.000000001,1,0),"")</f>
        <v/>
      </c>
      <c r="AC139" s="13" t="str">
        <f aca="false">IF(AND($J139=1,$M139=0),IF(S139="",0,S139*INDEX(Grid!$B$6:$H$156,R139+1,Q139+1))+IF(V139="",0,V139*INDEX(Grid!$B$6:$H$156,U139+1,T139+1))+IF(Y139="",0,Y139*INDEX(Grid!$B$6:$H$156,X139+1,W139+1)),"")</f>
        <v/>
      </c>
      <c r="AD139" s="13" t="str">
        <f aca="false">IF(AND($J139=1,$M139=0),IF(S139="",0,S139*Val_pt*(Ceiling_e-E_zero)*(1-(1-Half_gap)^Q139))+IF(V139="",0,V139*Val_pt*(Ceiling_e-E_zero)*(1-(1-Half_gap)^T139))+IF(Y139="",0,Y139*Val_pt*(Ceiling_e-E_zero)*(1-(1-Half_gap)^W139)),"")</f>
        <v/>
      </c>
      <c r="AE139" s="13" t="str">
        <f aca="false">IF(AND($J139=1,$M139=0),IF(S139="",0,S139*R139)+IF(V139="",0,V139*U139)+IF(Y139="",0,Y139*X139),"")</f>
        <v/>
      </c>
      <c r="AF139" s="12" t="str">
        <f aca="false">IF(AND($J139=1,$M139=0),MIN((AC139-E139)/Span_P,(AD139-F139)/Span_S,(AE139-G139)/Span_B),"")</f>
        <v/>
      </c>
      <c r="AG139" s="15" t="str">
        <f aca="false">IF(AND($J139=1,$M139=0),IF(AF139&gt;0.0000001,1,0),"")</f>
        <v/>
      </c>
      <c r="AH139" s="15" t="str">
        <f aca="false">IF($J139=1,IF($M139=1,AB139,AG139),"")</f>
        <v/>
      </c>
      <c r="AI139" s="13" t="str">
        <f aca="false">IF($J139=1,(Ideal_P-E139)/Span_P,"")</f>
        <v/>
      </c>
      <c r="AJ139" s="13" t="str">
        <f aca="false">IF($J139=1,(Ideal_S-F139)/Span_S,"")</f>
        <v/>
      </c>
      <c r="AK139" s="13" t="str">
        <f aca="false">IF($J139=1,(Ideal_B-G139)/Span_B,"")</f>
        <v/>
      </c>
      <c r="AL139" s="12" t="str">
        <f aca="false">IF($J139=1,MAX(ChA_1*AI139,ChA_2*AJ139,ChA_3*AK139)+Rho*(ChA_1*AI139+ChA_2*AJ139+ChA_3*AK139),"")</f>
        <v/>
      </c>
      <c r="AM139" s="12" t="str">
        <f aca="false">IF($J139=1,MAX(ChB_1*AI139,ChB_2*AJ139,ChB_3*AK139)+Rho*(ChB_1*AI139+ChB_2*AJ139+ChB_3*AK139),"")</f>
        <v/>
      </c>
      <c r="AN139" s="12" t="str">
        <f aca="false">IF($J139=1,MAX(Cx_1*(Ref_P-E139)/Span_P,Cx_2*(Ref_S-F139)/Span_S,Cx_3*(Ref_B-G139)/Span_B),"")</f>
        <v/>
      </c>
    </row>
    <row r="140" customFormat="false" ht="15" hidden="false" customHeight="false" outlineLevel="0" collapsed="false">
      <c r="A140" s="2" t="n">
        <v>134</v>
      </c>
      <c r="B140" s="15" t="n">
        <f aca="false">INT(A140/151)</f>
        <v>0</v>
      </c>
      <c r="C140" s="15" t="n">
        <f aca="false">MOD(A140,151)</f>
        <v>134</v>
      </c>
      <c r="D140" s="15" t="n">
        <f aca="false">INDEX(Grid!$J$6:$P$156,C140+1,B140+1)</f>
        <v>1</v>
      </c>
      <c r="E140" s="16" t="n">
        <f aca="false">IF(D140=1,INDEX(Grid!$B$6:$H$156,C140+1,B140+1),"")</f>
        <v>14.5454545454545</v>
      </c>
      <c r="F140" s="13" t="n">
        <f aca="false">Val_pt*(Ceiling_e-E_zero)*(1-(1-Half_gap)^B140)</f>
        <v>0</v>
      </c>
      <c r="G140" s="15" t="n">
        <f aca="false">C140</f>
        <v>134</v>
      </c>
      <c r="H140" s="15" t="n">
        <f aca="false">IF(D140=1,INDEX(Grid!$R$6:$X$156,C140+1,B140+1),"")</f>
        <v>0</v>
      </c>
      <c r="I140" s="2" t="str">
        <f aca="false">IF(D140=1,INDEX(Sch_label,H140+1),"")</f>
        <v>none</v>
      </c>
      <c r="J140" s="15" t="n">
        <f aca="false">IF(D140=1,INDEX(Grid!$Z$6:$AF$156,C140+1,B140+1),0)</f>
        <v>0</v>
      </c>
      <c r="K140" s="16" t="n">
        <f aca="false">IF(J140=1,E140,0)</f>
        <v>0</v>
      </c>
      <c r="L140" s="17" t="n">
        <f aca="false">IF(D140=1,E140+W_board*F140,"")</f>
        <v>14.5454545454545</v>
      </c>
      <c r="Z140" s="12" t="str">
        <f aca="false">IF(AND($J140=1,$M140=1),N140*E140/Span_P+O140*F140/Span_S+P140*G140/Span_B,"")</f>
        <v/>
      </c>
      <c r="AA140" s="12" t="str">
        <f aca="false">IF(AND($J140=1,$M140=1),SUMPRODUCT(MAX($J$6:$J$1062*(N140*$K$6:$K$1062/Span_P+O140*$F$6:$F$1062/Span_S+P140*$G$6:$G$1062/Span_B)-(1-$J$6:$J$1062)*1000000000)),"")</f>
        <v/>
      </c>
      <c r="AB140" s="15" t="str">
        <f aca="false">IF(AND($J140=1,$M140=1),IF(AA140-Z140&lt;=0.000000001,1,0),"")</f>
        <v/>
      </c>
      <c r="AC140" s="13" t="str">
        <f aca="false">IF(AND($J140=1,$M140=0),IF(S140="",0,S140*INDEX(Grid!$B$6:$H$156,R140+1,Q140+1))+IF(V140="",0,V140*INDEX(Grid!$B$6:$H$156,U140+1,T140+1))+IF(Y140="",0,Y140*INDEX(Grid!$B$6:$H$156,X140+1,W140+1)),"")</f>
        <v/>
      </c>
      <c r="AD140" s="13" t="str">
        <f aca="false">IF(AND($J140=1,$M140=0),IF(S140="",0,S140*Val_pt*(Ceiling_e-E_zero)*(1-(1-Half_gap)^Q140))+IF(V140="",0,V140*Val_pt*(Ceiling_e-E_zero)*(1-(1-Half_gap)^T140))+IF(Y140="",0,Y140*Val_pt*(Ceiling_e-E_zero)*(1-(1-Half_gap)^W140)),"")</f>
        <v/>
      </c>
      <c r="AE140" s="13" t="str">
        <f aca="false">IF(AND($J140=1,$M140=0),IF(S140="",0,S140*R140)+IF(V140="",0,V140*U140)+IF(Y140="",0,Y140*X140),"")</f>
        <v/>
      </c>
      <c r="AF140" s="12" t="str">
        <f aca="false">IF(AND($J140=1,$M140=0),MIN((AC140-E140)/Span_P,(AD140-F140)/Span_S,(AE140-G140)/Span_B),"")</f>
        <v/>
      </c>
      <c r="AG140" s="15" t="str">
        <f aca="false">IF(AND($J140=1,$M140=0),IF(AF140&gt;0.0000001,1,0),"")</f>
        <v/>
      </c>
      <c r="AH140" s="15" t="str">
        <f aca="false">IF($J140=1,IF($M140=1,AB140,AG140),"")</f>
        <v/>
      </c>
      <c r="AI140" s="13" t="str">
        <f aca="false">IF($J140=1,(Ideal_P-E140)/Span_P,"")</f>
        <v/>
      </c>
      <c r="AJ140" s="13" t="str">
        <f aca="false">IF($J140=1,(Ideal_S-F140)/Span_S,"")</f>
        <v/>
      </c>
      <c r="AK140" s="13" t="str">
        <f aca="false">IF($J140=1,(Ideal_B-G140)/Span_B,"")</f>
        <v/>
      </c>
      <c r="AL140" s="12" t="str">
        <f aca="false">IF($J140=1,MAX(ChA_1*AI140,ChA_2*AJ140,ChA_3*AK140)+Rho*(ChA_1*AI140+ChA_2*AJ140+ChA_3*AK140),"")</f>
        <v/>
      </c>
      <c r="AM140" s="12" t="str">
        <f aca="false">IF($J140=1,MAX(ChB_1*AI140,ChB_2*AJ140,ChB_3*AK140)+Rho*(ChB_1*AI140+ChB_2*AJ140+ChB_3*AK140),"")</f>
        <v/>
      </c>
      <c r="AN140" s="12" t="str">
        <f aca="false">IF($J140=1,MAX(Cx_1*(Ref_P-E140)/Span_P,Cx_2*(Ref_S-F140)/Span_S,Cx_3*(Ref_B-G140)/Span_B),"")</f>
        <v/>
      </c>
    </row>
    <row r="141" customFormat="false" ht="15" hidden="false" customHeight="false" outlineLevel="0" collapsed="false">
      <c r="A141" s="2" t="n">
        <v>135</v>
      </c>
      <c r="B141" s="15" t="n">
        <f aca="false">INT(A141/151)</f>
        <v>0</v>
      </c>
      <c r="C141" s="15" t="n">
        <f aca="false">MOD(A141,151)</f>
        <v>135</v>
      </c>
      <c r="D141" s="15" t="n">
        <f aca="false">INDEX(Grid!$J$6:$P$156,C141+1,B141+1)</f>
        <v>1</v>
      </c>
      <c r="E141" s="16" t="n">
        <f aca="false">IF(D141=1,INDEX(Grid!$B$6:$H$156,C141+1,B141+1),"")</f>
        <v>13.6363636363636</v>
      </c>
      <c r="F141" s="13" t="n">
        <f aca="false">Val_pt*(Ceiling_e-E_zero)*(1-(1-Half_gap)^B141)</f>
        <v>0</v>
      </c>
      <c r="G141" s="15" t="n">
        <f aca="false">C141</f>
        <v>135</v>
      </c>
      <c r="H141" s="15" t="n">
        <f aca="false">IF(D141=1,INDEX(Grid!$R$6:$X$156,C141+1,B141+1),"")</f>
        <v>0</v>
      </c>
      <c r="I141" s="2" t="str">
        <f aca="false">IF(D141=1,INDEX(Sch_label,H141+1),"")</f>
        <v>none</v>
      </c>
      <c r="J141" s="15" t="n">
        <f aca="false">IF(D141=1,INDEX(Grid!$Z$6:$AF$156,C141+1,B141+1),0)</f>
        <v>0</v>
      </c>
      <c r="K141" s="16" t="n">
        <f aca="false">IF(J141=1,E141,0)</f>
        <v>0</v>
      </c>
      <c r="L141" s="17" t="n">
        <f aca="false">IF(D141=1,E141+W_board*F141,"")</f>
        <v>13.6363636363636</v>
      </c>
      <c r="Z141" s="12" t="str">
        <f aca="false">IF(AND($J141=1,$M141=1),N141*E141/Span_P+O141*F141/Span_S+P141*G141/Span_B,"")</f>
        <v/>
      </c>
      <c r="AA141" s="12" t="str">
        <f aca="false">IF(AND($J141=1,$M141=1),SUMPRODUCT(MAX($J$6:$J$1062*(N141*$K$6:$K$1062/Span_P+O141*$F$6:$F$1062/Span_S+P141*$G$6:$G$1062/Span_B)-(1-$J$6:$J$1062)*1000000000)),"")</f>
        <v/>
      </c>
      <c r="AB141" s="15" t="str">
        <f aca="false">IF(AND($J141=1,$M141=1),IF(AA141-Z141&lt;=0.000000001,1,0),"")</f>
        <v/>
      </c>
      <c r="AC141" s="13" t="str">
        <f aca="false">IF(AND($J141=1,$M141=0),IF(S141="",0,S141*INDEX(Grid!$B$6:$H$156,R141+1,Q141+1))+IF(V141="",0,V141*INDEX(Grid!$B$6:$H$156,U141+1,T141+1))+IF(Y141="",0,Y141*INDEX(Grid!$B$6:$H$156,X141+1,W141+1)),"")</f>
        <v/>
      </c>
      <c r="AD141" s="13" t="str">
        <f aca="false">IF(AND($J141=1,$M141=0),IF(S141="",0,S141*Val_pt*(Ceiling_e-E_zero)*(1-(1-Half_gap)^Q141))+IF(V141="",0,V141*Val_pt*(Ceiling_e-E_zero)*(1-(1-Half_gap)^T141))+IF(Y141="",0,Y141*Val_pt*(Ceiling_e-E_zero)*(1-(1-Half_gap)^W141)),"")</f>
        <v/>
      </c>
      <c r="AE141" s="13" t="str">
        <f aca="false">IF(AND($J141=1,$M141=0),IF(S141="",0,S141*R141)+IF(V141="",0,V141*U141)+IF(Y141="",0,Y141*X141),"")</f>
        <v/>
      </c>
      <c r="AF141" s="12" t="str">
        <f aca="false">IF(AND($J141=1,$M141=0),MIN((AC141-E141)/Span_P,(AD141-F141)/Span_S,(AE141-G141)/Span_B),"")</f>
        <v/>
      </c>
      <c r="AG141" s="15" t="str">
        <f aca="false">IF(AND($J141=1,$M141=0),IF(AF141&gt;0.0000001,1,0),"")</f>
        <v/>
      </c>
      <c r="AH141" s="15" t="str">
        <f aca="false">IF($J141=1,IF($M141=1,AB141,AG141),"")</f>
        <v/>
      </c>
      <c r="AI141" s="13" t="str">
        <f aca="false">IF($J141=1,(Ideal_P-E141)/Span_P,"")</f>
        <v/>
      </c>
      <c r="AJ141" s="13" t="str">
        <f aca="false">IF($J141=1,(Ideal_S-F141)/Span_S,"")</f>
        <v/>
      </c>
      <c r="AK141" s="13" t="str">
        <f aca="false">IF($J141=1,(Ideal_B-G141)/Span_B,"")</f>
        <v/>
      </c>
      <c r="AL141" s="12" t="str">
        <f aca="false">IF($J141=1,MAX(ChA_1*AI141,ChA_2*AJ141,ChA_3*AK141)+Rho*(ChA_1*AI141+ChA_2*AJ141+ChA_3*AK141),"")</f>
        <v/>
      </c>
      <c r="AM141" s="12" t="str">
        <f aca="false">IF($J141=1,MAX(ChB_1*AI141,ChB_2*AJ141,ChB_3*AK141)+Rho*(ChB_1*AI141+ChB_2*AJ141+ChB_3*AK141),"")</f>
        <v/>
      </c>
      <c r="AN141" s="12" t="str">
        <f aca="false">IF($J141=1,MAX(Cx_1*(Ref_P-E141)/Span_P,Cx_2*(Ref_S-F141)/Span_S,Cx_3*(Ref_B-G141)/Span_B),"")</f>
        <v/>
      </c>
    </row>
    <row r="142" customFormat="false" ht="15" hidden="false" customHeight="false" outlineLevel="0" collapsed="false">
      <c r="A142" s="2" t="n">
        <v>136</v>
      </c>
      <c r="B142" s="15" t="n">
        <f aca="false">INT(A142/151)</f>
        <v>0</v>
      </c>
      <c r="C142" s="15" t="n">
        <f aca="false">MOD(A142,151)</f>
        <v>136</v>
      </c>
      <c r="D142" s="15" t="n">
        <f aca="false">INDEX(Grid!$J$6:$P$156,C142+1,B142+1)</f>
        <v>1</v>
      </c>
      <c r="E142" s="16" t="n">
        <f aca="false">IF(D142=1,INDEX(Grid!$B$6:$H$156,C142+1,B142+1),"")</f>
        <v>12.7272727272727</v>
      </c>
      <c r="F142" s="13" t="n">
        <f aca="false">Val_pt*(Ceiling_e-E_zero)*(1-(1-Half_gap)^B142)</f>
        <v>0</v>
      </c>
      <c r="G142" s="15" t="n">
        <f aca="false">C142</f>
        <v>136</v>
      </c>
      <c r="H142" s="15" t="n">
        <f aca="false">IF(D142=1,INDEX(Grid!$R$6:$X$156,C142+1,B142+1),"")</f>
        <v>0</v>
      </c>
      <c r="I142" s="2" t="str">
        <f aca="false">IF(D142=1,INDEX(Sch_label,H142+1),"")</f>
        <v>none</v>
      </c>
      <c r="J142" s="15" t="n">
        <f aca="false">IF(D142=1,INDEX(Grid!$Z$6:$AF$156,C142+1,B142+1),0)</f>
        <v>0</v>
      </c>
      <c r="K142" s="16" t="n">
        <f aca="false">IF(J142=1,E142,0)</f>
        <v>0</v>
      </c>
      <c r="L142" s="17" t="n">
        <f aca="false">IF(D142=1,E142+W_board*F142,"")</f>
        <v>12.7272727272727</v>
      </c>
      <c r="Z142" s="12" t="str">
        <f aca="false">IF(AND($J142=1,$M142=1),N142*E142/Span_P+O142*F142/Span_S+P142*G142/Span_B,"")</f>
        <v/>
      </c>
      <c r="AA142" s="12" t="str">
        <f aca="false">IF(AND($J142=1,$M142=1),SUMPRODUCT(MAX($J$6:$J$1062*(N142*$K$6:$K$1062/Span_P+O142*$F$6:$F$1062/Span_S+P142*$G$6:$G$1062/Span_B)-(1-$J$6:$J$1062)*1000000000)),"")</f>
        <v/>
      </c>
      <c r="AB142" s="15" t="str">
        <f aca="false">IF(AND($J142=1,$M142=1),IF(AA142-Z142&lt;=0.000000001,1,0),"")</f>
        <v/>
      </c>
      <c r="AC142" s="13" t="str">
        <f aca="false">IF(AND($J142=1,$M142=0),IF(S142="",0,S142*INDEX(Grid!$B$6:$H$156,R142+1,Q142+1))+IF(V142="",0,V142*INDEX(Grid!$B$6:$H$156,U142+1,T142+1))+IF(Y142="",0,Y142*INDEX(Grid!$B$6:$H$156,X142+1,W142+1)),"")</f>
        <v/>
      </c>
      <c r="AD142" s="13" t="str">
        <f aca="false">IF(AND($J142=1,$M142=0),IF(S142="",0,S142*Val_pt*(Ceiling_e-E_zero)*(1-(1-Half_gap)^Q142))+IF(V142="",0,V142*Val_pt*(Ceiling_e-E_zero)*(1-(1-Half_gap)^T142))+IF(Y142="",0,Y142*Val_pt*(Ceiling_e-E_zero)*(1-(1-Half_gap)^W142)),"")</f>
        <v/>
      </c>
      <c r="AE142" s="13" t="str">
        <f aca="false">IF(AND($J142=1,$M142=0),IF(S142="",0,S142*R142)+IF(V142="",0,V142*U142)+IF(Y142="",0,Y142*X142),"")</f>
        <v/>
      </c>
      <c r="AF142" s="12" t="str">
        <f aca="false">IF(AND($J142=1,$M142=0),MIN((AC142-E142)/Span_P,(AD142-F142)/Span_S,(AE142-G142)/Span_B),"")</f>
        <v/>
      </c>
      <c r="AG142" s="15" t="str">
        <f aca="false">IF(AND($J142=1,$M142=0),IF(AF142&gt;0.0000001,1,0),"")</f>
        <v/>
      </c>
      <c r="AH142" s="15" t="str">
        <f aca="false">IF($J142=1,IF($M142=1,AB142,AG142),"")</f>
        <v/>
      </c>
      <c r="AI142" s="13" t="str">
        <f aca="false">IF($J142=1,(Ideal_P-E142)/Span_P,"")</f>
        <v/>
      </c>
      <c r="AJ142" s="13" t="str">
        <f aca="false">IF($J142=1,(Ideal_S-F142)/Span_S,"")</f>
        <v/>
      </c>
      <c r="AK142" s="13" t="str">
        <f aca="false">IF($J142=1,(Ideal_B-G142)/Span_B,"")</f>
        <v/>
      </c>
      <c r="AL142" s="12" t="str">
        <f aca="false">IF($J142=1,MAX(ChA_1*AI142,ChA_2*AJ142,ChA_3*AK142)+Rho*(ChA_1*AI142+ChA_2*AJ142+ChA_3*AK142),"")</f>
        <v/>
      </c>
      <c r="AM142" s="12" t="str">
        <f aca="false">IF($J142=1,MAX(ChB_1*AI142,ChB_2*AJ142,ChB_3*AK142)+Rho*(ChB_1*AI142+ChB_2*AJ142+ChB_3*AK142),"")</f>
        <v/>
      </c>
      <c r="AN142" s="12" t="str">
        <f aca="false">IF($J142=1,MAX(Cx_1*(Ref_P-E142)/Span_P,Cx_2*(Ref_S-F142)/Span_S,Cx_3*(Ref_B-G142)/Span_B),"")</f>
        <v/>
      </c>
    </row>
    <row r="143" customFormat="false" ht="15" hidden="false" customHeight="false" outlineLevel="0" collapsed="false">
      <c r="A143" s="2" t="n">
        <v>137</v>
      </c>
      <c r="B143" s="15" t="n">
        <f aca="false">INT(A143/151)</f>
        <v>0</v>
      </c>
      <c r="C143" s="15" t="n">
        <f aca="false">MOD(A143,151)</f>
        <v>137</v>
      </c>
      <c r="D143" s="15" t="n">
        <f aca="false">INDEX(Grid!$J$6:$P$156,C143+1,B143+1)</f>
        <v>1</v>
      </c>
      <c r="E143" s="16" t="n">
        <f aca="false">IF(D143=1,INDEX(Grid!$B$6:$H$156,C143+1,B143+1),"")</f>
        <v>11.8181818181818</v>
      </c>
      <c r="F143" s="13" t="n">
        <f aca="false">Val_pt*(Ceiling_e-E_zero)*(1-(1-Half_gap)^B143)</f>
        <v>0</v>
      </c>
      <c r="G143" s="15" t="n">
        <f aca="false">C143</f>
        <v>137</v>
      </c>
      <c r="H143" s="15" t="n">
        <f aca="false">IF(D143=1,INDEX(Grid!$R$6:$X$156,C143+1,B143+1),"")</f>
        <v>0</v>
      </c>
      <c r="I143" s="2" t="str">
        <f aca="false">IF(D143=1,INDEX(Sch_label,H143+1),"")</f>
        <v>none</v>
      </c>
      <c r="J143" s="15" t="n">
        <f aca="false">IF(D143=1,INDEX(Grid!$Z$6:$AF$156,C143+1,B143+1),0)</f>
        <v>0</v>
      </c>
      <c r="K143" s="16" t="n">
        <f aca="false">IF(J143=1,E143,0)</f>
        <v>0</v>
      </c>
      <c r="L143" s="17" t="n">
        <f aca="false">IF(D143=1,E143+W_board*F143,"")</f>
        <v>11.8181818181818</v>
      </c>
      <c r="Z143" s="12" t="str">
        <f aca="false">IF(AND($J143=1,$M143=1),N143*E143/Span_P+O143*F143/Span_S+P143*G143/Span_B,"")</f>
        <v/>
      </c>
      <c r="AA143" s="12" t="str">
        <f aca="false">IF(AND($J143=1,$M143=1),SUMPRODUCT(MAX($J$6:$J$1062*(N143*$K$6:$K$1062/Span_P+O143*$F$6:$F$1062/Span_S+P143*$G$6:$G$1062/Span_B)-(1-$J$6:$J$1062)*1000000000)),"")</f>
        <v/>
      </c>
      <c r="AB143" s="15" t="str">
        <f aca="false">IF(AND($J143=1,$M143=1),IF(AA143-Z143&lt;=0.000000001,1,0),"")</f>
        <v/>
      </c>
      <c r="AC143" s="13" t="str">
        <f aca="false">IF(AND($J143=1,$M143=0),IF(S143="",0,S143*INDEX(Grid!$B$6:$H$156,R143+1,Q143+1))+IF(V143="",0,V143*INDEX(Grid!$B$6:$H$156,U143+1,T143+1))+IF(Y143="",0,Y143*INDEX(Grid!$B$6:$H$156,X143+1,W143+1)),"")</f>
        <v/>
      </c>
      <c r="AD143" s="13" t="str">
        <f aca="false">IF(AND($J143=1,$M143=0),IF(S143="",0,S143*Val_pt*(Ceiling_e-E_zero)*(1-(1-Half_gap)^Q143))+IF(V143="",0,V143*Val_pt*(Ceiling_e-E_zero)*(1-(1-Half_gap)^T143))+IF(Y143="",0,Y143*Val_pt*(Ceiling_e-E_zero)*(1-(1-Half_gap)^W143)),"")</f>
        <v/>
      </c>
      <c r="AE143" s="13" t="str">
        <f aca="false">IF(AND($J143=1,$M143=0),IF(S143="",0,S143*R143)+IF(V143="",0,V143*U143)+IF(Y143="",0,Y143*X143),"")</f>
        <v/>
      </c>
      <c r="AF143" s="12" t="str">
        <f aca="false">IF(AND($J143=1,$M143=0),MIN((AC143-E143)/Span_P,(AD143-F143)/Span_S,(AE143-G143)/Span_B),"")</f>
        <v/>
      </c>
      <c r="AG143" s="15" t="str">
        <f aca="false">IF(AND($J143=1,$M143=0),IF(AF143&gt;0.0000001,1,0),"")</f>
        <v/>
      </c>
      <c r="AH143" s="15" t="str">
        <f aca="false">IF($J143=1,IF($M143=1,AB143,AG143),"")</f>
        <v/>
      </c>
      <c r="AI143" s="13" t="str">
        <f aca="false">IF($J143=1,(Ideal_P-E143)/Span_P,"")</f>
        <v/>
      </c>
      <c r="AJ143" s="13" t="str">
        <f aca="false">IF($J143=1,(Ideal_S-F143)/Span_S,"")</f>
        <v/>
      </c>
      <c r="AK143" s="13" t="str">
        <f aca="false">IF($J143=1,(Ideal_B-G143)/Span_B,"")</f>
        <v/>
      </c>
      <c r="AL143" s="12" t="str">
        <f aca="false">IF($J143=1,MAX(ChA_1*AI143,ChA_2*AJ143,ChA_3*AK143)+Rho*(ChA_1*AI143+ChA_2*AJ143+ChA_3*AK143),"")</f>
        <v/>
      </c>
      <c r="AM143" s="12" t="str">
        <f aca="false">IF($J143=1,MAX(ChB_1*AI143,ChB_2*AJ143,ChB_3*AK143)+Rho*(ChB_1*AI143+ChB_2*AJ143+ChB_3*AK143),"")</f>
        <v/>
      </c>
      <c r="AN143" s="12" t="str">
        <f aca="false">IF($J143=1,MAX(Cx_1*(Ref_P-E143)/Span_P,Cx_2*(Ref_S-F143)/Span_S,Cx_3*(Ref_B-G143)/Span_B),"")</f>
        <v/>
      </c>
    </row>
    <row r="144" customFormat="false" ht="15" hidden="false" customHeight="false" outlineLevel="0" collapsed="false">
      <c r="A144" s="2" t="n">
        <v>138</v>
      </c>
      <c r="B144" s="15" t="n">
        <f aca="false">INT(A144/151)</f>
        <v>0</v>
      </c>
      <c r="C144" s="15" t="n">
        <f aca="false">MOD(A144,151)</f>
        <v>138</v>
      </c>
      <c r="D144" s="15" t="n">
        <f aca="false">INDEX(Grid!$J$6:$P$156,C144+1,B144+1)</f>
        <v>1</v>
      </c>
      <c r="E144" s="16" t="n">
        <f aca="false">IF(D144=1,INDEX(Grid!$B$6:$H$156,C144+1,B144+1),"")</f>
        <v>10.9090909090909</v>
      </c>
      <c r="F144" s="13" t="n">
        <f aca="false">Val_pt*(Ceiling_e-E_zero)*(1-(1-Half_gap)^B144)</f>
        <v>0</v>
      </c>
      <c r="G144" s="15" t="n">
        <f aca="false">C144</f>
        <v>138</v>
      </c>
      <c r="H144" s="15" t="n">
        <f aca="false">IF(D144=1,INDEX(Grid!$R$6:$X$156,C144+1,B144+1),"")</f>
        <v>0</v>
      </c>
      <c r="I144" s="2" t="str">
        <f aca="false">IF(D144=1,INDEX(Sch_label,H144+1),"")</f>
        <v>none</v>
      </c>
      <c r="J144" s="15" t="n">
        <f aca="false">IF(D144=1,INDEX(Grid!$Z$6:$AF$156,C144+1,B144+1),0)</f>
        <v>0</v>
      </c>
      <c r="K144" s="16" t="n">
        <f aca="false">IF(J144=1,E144,0)</f>
        <v>0</v>
      </c>
      <c r="L144" s="17" t="n">
        <f aca="false">IF(D144=1,E144+W_board*F144,"")</f>
        <v>10.9090909090909</v>
      </c>
      <c r="Z144" s="12" t="str">
        <f aca="false">IF(AND($J144=1,$M144=1),N144*E144/Span_P+O144*F144/Span_S+P144*G144/Span_B,"")</f>
        <v/>
      </c>
      <c r="AA144" s="12" t="str">
        <f aca="false">IF(AND($J144=1,$M144=1),SUMPRODUCT(MAX($J$6:$J$1062*(N144*$K$6:$K$1062/Span_P+O144*$F$6:$F$1062/Span_S+P144*$G$6:$G$1062/Span_B)-(1-$J$6:$J$1062)*1000000000)),"")</f>
        <v/>
      </c>
      <c r="AB144" s="15" t="str">
        <f aca="false">IF(AND($J144=1,$M144=1),IF(AA144-Z144&lt;=0.000000001,1,0),"")</f>
        <v/>
      </c>
      <c r="AC144" s="13" t="str">
        <f aca="false">IF(AND($J144=1,$M144=0),IF(S144="",0,S144*INDEX(Grid!$B$6:$H$156,R144+1,Q144+1))+IF(V144="",0,V144*INDEX(Grid!$B$6:$H$156,U144+1,T144+1))+IF(Y144="",0,Y144*INDEX(Grid!$B$6:$H$156,X144+1,W144+1)),"")</f>
        <v/>
      </c>
      <c r="AD144" s="13" t="str">
        <f aca="false">IF(AND($J144=1,$M144=0),IF(S144="",0,S144*Val_pt*(Ceiling_e-E_zero)*(1-(1-Half_gap)^Q144))+IF(V144="",0,V144*Val_pt*(Ceiling_e-E_zero)*(1-(1-Half_gap)^T144))+IF(Y144="",0,Y144*Val_pt*(Ceiling_e-E_zero)*(1-(1-Half_gap)^W144)),"")</f>
        <v/>
      </c>
      <c r="AE144" s="13" t="str">
        <f aca="false">IF(AND($J144=1,$M144=0),IF(S144="",0,S144*R144)+IF(V144="",0,V144*U144)+IF(Y144="",0,Y144*X144),"")</f>
        <v/>
      </c>
      <c r="AF144" s="12" t="str">
        <f aca="false">IF(AND($J144=1,$M144=0),MIN((AC144-E144)/Span_P,(AD144-F144)/Span_S,(AE144-G144)/Span_B),"")</f>
        <v/>
      </c>
      <c r="AG144" s="15" t="str">
        <f aca="false">IF(AND($J144=1,$M144=0),IF(AF144&gt;0.0000001,1,0),"")</f>
        <v/>
      </c>
      <c r="AH144" s="15" t="str">
        <f aca="false">IF($J144=1,IF($M144=1,AB144,AG144),"")</f>
        <v/>
      </c>
      <c r="AI144" s="13" t="str">
        <f aca="false">IF($J144=1,(Ideal_P-E144)/Span_P,"")</f>
        <v/>
      </c>
      <c r="AJ144" s="13" t="str">
        <f aca="false">IF($J144=1,(Ideal_S-F144)/Span_S,"")</f>
        <v/>
      </c>
      <c r="AK144" s="13" t="str">
        <f aca="false">IF($J144=1,(Ideal_B-G144)/Span_B,"")</f>
        <v/>
      </c>
      <c r="AL144" s="12" t="str">
        <f aca="false">IF($J144=1,MAX(ChA_1*AI144,ChA_2*AJ144,ChA_3*AK144)+Rho*(ChA_1*AI144+ChA_2*AJ144+ChA_3*AK144),"")</f>
        <v/>
      </c>
      <c r="AM144" s="12" t="str">
        <f aca="false">IF($J144=1,MAX(ChB_1*AI144,ChB_2*AJ144,ChB_3*AK144)+Rho*(ChB_1*AI144+ChB_2*AJ144+ChB_3*AK144),"")</f>
        <v/>
      </c>
      <c r="AN144" s="12" t="str">
        <f aca="false">IF($J144=1,MAX(Cx_1*(Ref_P-E144)/Span_P,Cx_2*(Ref_S-F144)/Span_S,Cx_3*(Ref_B-G144)/Span_B),"")</f>
        <v/>
      </c>
    </row>
    <row r="145" customFormat="false" ht="15" hidden="false" customHeight="false" outlineLevel="0" collapsed="false">
      <c r="A145" s="2" t="n">
        <v>139</v>
      </c>
      <c r="B145" s="15" t="n">
        <f aca="false">INT(A145/151)</f>
        <v>0</v>
      </c>
      <c r="C145" s="15" t="n">
        <f aca="false">MOD(A145,151)</f>
        <v>139</v>
      </c>
      <c r="D145" s="15" t="n">
        <f aca="false">INDEX(Grid!$J$6:$P$156,C145+1,B145+1)</f>
        <v>1</v>
      </c>
      <c r="E145" s="16" t="n">
        <f aca="false">IF(D145=1,INDEX(Grid!$B$6:$H$156,C145+1,B145+1),"")</f>
        <v>9.99999999999999</v>
      </c>
      <c r="F145" s="13" t="n">
        <f aca="false">Val_pt*(Ceiling_e-E_zero)*(1-(1-Half_gap)^B145)</f>
        <v>0</v>
      </c>
      <c r="G145" s="15" t="n">
        <f aca="false">C145</f>
        <v>139</v>
      </c>
      <c r="H145" s="15" t="n">
        <f aca="false">IF(D145=1,INDEX(Grid!$R$6:$X$156,C145+1,B145+1),"")</f>
        <v>0</v>
      </c>
      <c r="I145" s="2" t="str">
        <f aca="false">IF(D145=1,INDEX(Sch_label,H145+1),"")</f>
        <v>none</v>
      </c>
      <c r="J145" s="15" t="n">
        <f aca="false">IF(D145=1,INDEX(Grid!$Z$6:$AF$156,C145+1,B145+1),0)</f>
        <v>0</v>
      </c>
      <c r="K145" s="16" t="n">
        <f aca="false">IF(J145=1,E145,0)</f>
        <v>0</v>
      </c>
      <c r="L145" s="17" t="n">
        <f aca="false">IF(D145=1,E145+W_board*F145,"")</f>
        <v>9.99999999999999</v>
      </c>
      <c r="Z145" s="12" t="str">
        <f aca="false">IF(AND($J145=1,$M145=1),N145*E145/Span_P+O145*F145/Span_S+P145*G145/Span_B,"")</f>
        <v/>
      </c>
      <c r="AA145" s="12" t="str">
        <f aca="false">IF(AND($J145=1,$M145=1),SUMPRODUCT(MAX($J$6:$J$1062*(N145*$K$6:$K$1062/Span_P+O145*$F$6:$F$1062/Span_S+P145*$G$6:$G$1062/Span_B)-(1-$J$6:$J$1062)*1000000000)),"")</f>
        <v/>
      </c>
      <c r="AB145" s="15" t="str">
        <f aca="false">IF(AND($J145=1,$M145=1),IF(AA145-Z145&lt;=0.000000001,1,0),"")</f>
        <v/>
      </c>
      <c r="AC145" s="13" t="str">
        <f aca="false">IF(AND($J145=1,$M145=0),IF(S145="",0,S145*INDEX(Grid!$B$6:$H$156,R145+1,Q145+1))+IF(V145="",0,V145*INDEX(Grid!$B$6:$H$156,U145+1,T145+1))+IF(Y145="",0,Y145*INDEX(Grid!$B$6:$H$156,X145+1,W145+1)),"")</f>
        <v/>
      </c>
      <c r="AD145" s="13" t="str">
        <f aca="false">IF(AND($J145=1,$M145=0),IF(S145="",0,S145*Val_pt*(Ceiling_e-E_zero)*(1-(1-Half_gap)^Q145))+IF(V145="",0,V145*Val_pt*(Ceiling_e-E_zero)*(1-(1-Half_gap)^T145))+IF(Y145="",0,Y145*Val_pt*(Ceiling_e-E_zero)*(1-(1-Half_gap)^W145)),"")</f>
        <v/>
      </c>
      <c r="AE145" s="13" t="str">
        <f aca="false">IF(AND($J145=1,$M145=0),IF(S145="",0,S145*R145)+IF(V145="",0,V145*U145)+IF(Y145="",0,Y145*X145),"")</f>
        <v/>
      </c>
      <c r="AF145" s="12" t="str">
        <f aca="false">IF(AND($J145=1,$M145=0),MIN((AC145-E145)/Span_P,(AD145-F145)/Span_S,(AE145-G145)/Span_B),"")</f>
        <v/>
      </c>
      <c r="AG145" s="15" t="str">
        <f aca="false">IF(AND($J145=1,$M145=0),IF(AF145&gt;0.0000001,1,0),"")</f>
        <v/>
      </c>
      <c r="AH145" s="15" t="str">
        <f aca="false">IF($J145=1,IF($M145=1,AB145,AG145),"")</f>
        <v/>
      </c>
      <c r="AI145" s="13" t="str">
        <f aca="false">IF($J145=1,(Ideal_P-E145)/Span_P,"")</f>
        <v/>
      </c>
      <c r="AJ145" s="13" t="str">
        <f aca="false">IF($J145=1,(Ideal_S-F145)/Span_S,"")</f>
        <v/>
      </c>
      <c r="AK145" s="13" t="str">
        <f aca="false">IF($J145=1,(Ideal_B-G145)/Span_B,"")</f>
        <v/>
      </c>
      <c r="AL145" s="12" t="str">
        <f aca="false">IF($J145=1,MAX(ChA_1*AI145,ChA_2*AJ145,ChA_3*AK145)+Rho*(ChA_1*AI145+ChA_2*AJ145+ChA_3*AK145),"")</f>
        <v/>
      </c>
      <c r="AM145" s="12" t="str">
        <f aca="false">IF($J145=1,MAX(ChB_1*AI145,ChB_2*AJ145,ChB_3*AK145)+Rho*(ChB_1*AI145+ChB_2*AJ145+ChB_3*AK145),"")</f>
        <v/>
      </c>
      <c r="AN145" s="12" t="str">
        <f aca="false">IF($J145=1,MAX(Cx_1*(Ref_P-E145)/Span_P,Cx_2*(Ref_S-F145)/Span_S,Cx_3*(Ref_B-G145)/Span_B),"")</f>
        <v/>
      </c>
    </row>
    <row r="146" customFormat="false" ht="15" hidden="false" customHeight="false" outlineLevel="0" collapsed="false">
      <c r="A146" s="2" t="n">
        <v>140</v>
      </c>
      <c r="B146" s="15" t="n">
        <f aca="false">INT(A146/151)</f>
        <v>0</v>
      </c>
      <c r="C146" s="15" t="n">
        <f aca="false">MOD(A146,151)</f>
        <v>140</v>
      </c>
      <c r="D146" s="15" t="n">
        <f aca="false">INDEX(Grid!$J$6:$P$156,C146+1,B146+1)</f>
        <v>1</v>
      </c>
      <c r="E146" s="16" t="n">
        <f aca="false">IF(D146=1,INDEX(Grid!$B$6:$H$156,C146+1,B146+1),"")</f>
        <v>9.09090909090908</v>
      </c>
      <c r="F146" s="13" t="n">
        <f aca="false">Val_pt*(Ceiling_e-E_zero)*(1-(1-Half_gap)^B146)</f>
        <v>0</v>
      </c>
      <c r="G146" s="15" t="n">
        <f aca="false">C146</f>
        <v>140</v>
      </c>
      <c r="H146" s="15" t="n">
        <f aca="false">IF(D146=1,INDEX(Grid!$R$6:$X$156,C146+1,B146+1),"")</f>
        <v>0</v>
      </c>
      <c r="I146" s="2" t="str">
        <f aca="false">IF(D146=1,INDEX(Sch_label,H146+1),"")</f>
        <v>none</v>
      </c>
      <c r="J146" s="15" t="n">
        <f aca="false">IF(D146=1,INDEX(Grid!$Z$6:$AF$156,C146+1,B146+1),0)</f>
        <v>0</v>
      </c>
      <c r="K146" s="16" t="n">
        <f aca="false">IF(J146=1,E146,0)</f>
        <v>0</v>
      </c>
      <c r="L146" s="17" t="n">
        <f aca="false">IF(D146=1,E146+W_board*F146,"")</f>
        <v>9.09090909090908</v>
      </c>
      <c r="Z146" s="12" t="str">
        <f aca="false">IF(AND($J146=1,$M146=1),N146*E146/Span_P+O146*F146/Span_S+P146*G146/Span_B,"")</f>
        <v/>
      </c>
      <c r="AA146" s="12" t="str">
        <f aca="false">IF(AND($J146=1,$M146=1),SUMPRODUCT(MAX($J$6:$J$1062*(N146*$K$6:$K$1062/Span_P+O146*$F$6:$F$1062/Span_S+P146*$G$6:$G$1062/Span_B)-(1-$J$6:$J$1062)*1000000000)),"")</f>
        <v/>
      </c>
      <c r="AB146" s="15" t="str">
        <f aca="false">IF(AND($J146=1,$M146=1),IF(AA146-Z146&lt;=0.000000001,1,0),"")</f>
        <v/>
      </c>
      <c r="AC146" s="13" t="str">
        <f aca="false">IF(AND($J146=1,$M146=0),IF(S146="",0,S146*INDEX(Grid!$B$6:$H$156,R146+1,Q146+1))+IF(V146="",0,V146*INDEX(Grid!$B$6:$H$156,U146+1,T146+1))+IF(Y146="",0,Y146*INDEX(Grid!$B$6:$H$156,X146+1,W146+1)),"")</f>
        <v/>
      </c>
      <c r="AD146" s="13" t="str">
        <f aca="false">IF(AND($J146=1,$M146=0),IF(S146="",0,S146*Val_pt*(Ceiling_e-E_zero)*(1-(1-Half_gap)^Q146))+IF(V146="",0,V146*Val_pt*(Ceiling_e-E_zero)*(1-(1-Half_gap)^T146))+IF(Y146="",0,Y146*Val_pt*(Ceiling_e-E_zero)*(1-(1-Half_gap)^W146)),"")</f>
        <v/>
      </c>
      <c r="AE146" s="13" t="str">
        <f aca="false">IF(AND($J146=1,$M146=0),IF(S146="",0,S146*R146)+IF(V146="",0,V146*U146)+IF(Y146="",0,Y146*X146),"")</f>
        <v/>
      </c>
      <c r="AF146" s="12" t="str">
        <f aca="false">IF(AND($J146=1,$M146=0),MIN((AC146-E146)/Span_P,(AD146-F146)/Span_S,(AE146-G146)/Span_B),"")</f>
        <v/>
      </c>
      <c r="AG146" s="15" t="str">
        <f aca="false">IF(AND($J146=1,$M146=0),IF(AF146&gt;0.0000001,1,0),"")</f>
        <v/>
      </c>
      <c r="AH146" s="15" t="str">
        <f aca="false">IF($J146=1,IF($M146=1,AB146,AG146),"")</f>
        <v/>
      </c>
      <c r="AI146" s="13" t="str">
        <f aca="false">IF($J146=1,(Ideal_P-E146)/Span_P,"")</f>
        <v/>
      </c>
      <c r="AJ146" s="13" t="str">
        <f aca="false">IF($J146=1,(Ideal_S-F146)/Span_S,"")</f>
        <v/>
      </c>
      <c r="AK146" s="13" t="str">
        <f aca="false">IF($J146=1,(Ideal_B-G146)/Span_B,"")</f>
        <v/>
      </c>
      <c r="AL146" s="12" t="str">
        <f aca="false">IF($J146=1,MAX(ChA_1*AI146,ChA_2*AJ146,ChA_3*AK146)+Rho*(ChA_1*AI146+ChA_2*AJ146+ChA_3*AK146),"")</f>
        <v/>
      </c>
      <c r="AM146" s="12" t="str">
        <f aca="false">IF($J146=1,MAX(ChB_1*AI146,ChB_2*AJ146,ChB_3*AK146)+Rho*(ChB_1*AI146+ChB_2*AJ146+ChB_3*AK146),"")</f>
        <v/>
      </c>
      <c r="AN146" s="12" t="str">
        <f aca="false">IF($J146=1,MAX(Cx_1*(Ref_P-E146)/Span_P,Cx_2*(Ref_S-F146)/Span_S,Cx_3*(Ref_B-G146)/Span_B),"")</f>
        <v/>
      </c>
    </row>
    <row r="147" customFormat="false" ht="15" hidden="false" customHeight="false" outlineLevel="0" collapsed="false">
      <c r="A147" s="2" t="n">
        <v>141</v>
      </c>
      <c r="B147" s="15" t="n">
        <f aca="false">INT(A147/151)</f>
        <v>0</v>
      </c>
      <c r="C147" s="15" t="n">
        <f aca="false">MOD(A147,151)</f>
        <v>141</v>
      </c>
      <c r="D147" s="15" t="n">
        <f aca="false">INDEX(Grid!$J$6:$P$156,C147+1,B147+1)</f>
        <v>1</v>
      </c>
      <c r="E147" s="16" t="n">
        <f aca="false">IF(D147=1,INDEX(Grid!$B$6:$H$156,C147+1,B147+1),"")</f>
        <v>8.18181818181816</v>
      </c>
      <c r="F147" s="13" t="n">
        <f aca="false">Val_pt*(Ceiling_e-E_zero)*(1-(1-Half_gap)^B147)</f>
        <v>0</v>
      </c>
      <c r="G147" s="15" t="n">
        <f aca="false">C147</f>
        <v>141</v>
      </c>
      <c r="H147" s="15" t="n">
        <f aca="false">IF(D147=1,INDEX(Grid!$R$6:$X$156,C147+1,B147+1),"")</f>
        <v>0</v>
      </c>
      <c r="I147" s="2" t="str">
        <f aca="false">IF(D147=1,INDEX(Sch_label,H147+1),"")</f>
        <v>none</v>
      </c>
      <c r="J147" s="15" t="n">
        <f aca="false">IF(D147=1,INDEX(Grid!$Z$6:$AF$156,C147+1,B147+1),0)</f>
        <v>0</v>
      </c>
      <c r="K147" s="16" t="n">
        <f aca="false">IF(J147=1,E147,0)</f>
        <v>0</v>
      </c>
      <c r="L147" s="17" t="n">
        <f aca="false">IF(D147=1,E147+W_board*F147,"")</f>
        <v>8.18181818181816</v>
      </c>
      <c r="Z147" s="12" t="str">
        <f aca="false">IF(AND($J147=1,$M147=1),N147*E147/Span_P+O147*F147/Span_S+P147*G147/Span_B,"")</f>
        <v/>
      </c>
      <c r="AA147" s="12" t="str">
        <f aca="false">IF(AND($J147=1,$M147=1),SUMPRODUCT(MAX($J$6:$J$1062*(N147*$K$6:$K$1062/Span_P+O147*$F$6:$F$1062/Span_S+P147*$G$6:$G$1062/Span_B)-(1-$J$6:$J$1062)*1000000000)),"")</f>
        <v/>
      </c>
      <c r="AB147" s="15" t="str">
        <f aca="false">IF(AND($J147=1,$M147=1),IF(AA147-Z147&lt;=0.000000001,1,0),"")</f>
        <v/>
      </c>
      <c r="AC147" s="13" t="str">
        <f aca="false">IF(AND($J147=1,$M147=0),IF(S147="",0,S147*INDEX(Grid!$B$6:$H$156,R147+1,Q147+1))+IF(V147="",0,V147*INDEX(Grid!$B$6:$H$156,U147+1,T147+1))+IF(Y147="",0,Y147*INDEX(Grid!$B$6:$H$156,X147+1,W147+1)),"")</f>
        <v/>
      </c>
      <c r="AD147" s="13" t="str">
        <f aca="false">IF(AND($J147=1,$M147=0),IF(S147="",0,S147*Val_pt*(Ceiling_e-E_zero)*(1-(1-Half_gap)^Q147))+IF(V147="",0,V147*Val_pt*(Ceiling_e-E_zero)*(1-(1-Half_gap)^T147))+IF(Y147="",0,Y147*Val_pt*(Ceiling_e-E_zero)*(1-(1-Half_gap)^W147)),"")</f>
        <v/>
      </c>
      <c r="AE147" s="13" t="str">
        <f aca="false">IF(AND($J147=1,$M147=0),IF(S147="",0,S147*R147)+IF(V147="",0,V147*U147)+IF(Y147="",0,Y147*X147),"")</f>
        <v/>
      </c>
      <c r="AF147" s="12" t="str">
        <f aca="false">IF(AND($J147=1,$M147=0),MIN((AC147-E147)/Span_P,(AD147-F147)/Span_S,(AE147-G147)/Span_B),"")</f>
        <v/>
      </c>
      <c r="AG147" s="15" t="str">
        <f aca="false">IF(AND($J147=1,$M147=0),IF(AF147&gt;0.0000001,1,0),"")</f>
        <v/>
      </c>
      <c r="AH147" s="15" t="str">
        <f aca="false">IF($J147=1,IF($M147=1,AB147,AG147),"")</f>
        <v/>
      </c>
      <c r="AI147" s="13" t="str">
        <f aca="false">IF($J147=1,(Ideal_P-E147)/Span_P,"")</f>
        <v/>
      </c>
      <c r="AJ147" s="13" t="str">
        <f aca="false">IF($J147=1,(Ideal_S-F147)/Span_S,"")</f>
        <v/>
      </c>
      <c r="AK147" s="13" t="str">
        <f aca="false">IF($J147=1,(Ideal_B-G147)/Span_B,"")</f>
        <v/>
      </c>
      <c r="AL147" s="12" t="str">
        <f aca="false">IF($J147=1,MAX(ChA_1*AI147,ChA_2*AJ147,ChA_3*AK147)+Rho*(ChA_1*AI147+ChA_2*AJ147+ChA_3*AK147),"")</f>
        <v/>
      </c>
      <c r="AM147" s="12" t="str">
        <f aca="false">IF($J147=1,MAX(ChB_1*AI147,ChB_2*AJ147,ChB_3*AK147)+Rho*(ChB_1*AI147+ChB_2*AJ147+ChB_3*AK147),"")</f>
        <v/>
      </c>
      <c r="AN147" s="12" t="str">
        <f aca="false">IF($J147=1,MAX(Cx_1*(Ref_P-E147)/Span_P,Cx_2*(Ref_S-F147)/Span_S,Cx_3*(Ref_B-G147)/Span_B),"")</f>
        <v/>
      </c>
    </row>
    <row r="148" customFormat="false" ht="15" hidden="false" customHeight="false" outlineLevel="0" collapsed="false">
      <c r="A148" s="2" t="n">
        <v>142</v>
      </c>
      <c r="B148" s="15" t="n">
        <f aca="false">INT(A148/151)</f>
        <v>0</v>
      </c>
      <c r="C148" s="15" t="n">
        <f aca="false">MOD(A148,151)</f>
        <v>142</v>
      </c>
      <c r="D148" s="15" t="n">
        <f aca="false">INDEX(Grid!$J$6:$P$156,C148+1,B148+1)</f>
        <v>1</v>
      </c>
      <c r="E148" s="16" t="n">
        <f aca="false">IF(D148=1,INDEX(Grid!$B$6:$H$156,C148+1,B148+1),"")</f>
        <v>7.27272727272725</v>
      </c>
      <c r="F148" s="13" t="n">
        <f aca="false">Val_pt*(Ceiling_e-E_zero)*(1-(1-Half_gap)^B148)</f>
        <v>0</v>
      </c>
      <c r="G148" s="15" t="n">
        <f aca="false">C148</f>
        <v>142</v>
      </c>
      <c r="H148" s="15" t="n">
        <f aca="false">IF(D148=1,INDEX(Grid!$R$6:$X$156,C148+1,B148+1),"")</f>
        <v>0</v>
      </c>
      <c r="I148" s="2" t="str">
        <f aca="false">IF(D148=1,INDEX(Sch_label,H148+1),"")</f>
        <v>none</v>
      </c>
      <c r="J148" s="15" t="n">
        <f aca="false">IF(D148=1,INDEX(Grid!$Z$6:$AF$156,C148+1,B148+1),0)</f>
        <v>0</v>
      </c>
      <c r="K148" s="16" t="n">
        <f aca="false">IF(J148=1,E148,0)</f>
        <v>0</v>
      </c>
      <c r="L148" s="17" t="n">
        <f aca="false">IF(D148=1,E148+W_board*F148,"")</f>
        <v>7.27272727272725</v>
      </c>
      <c r="Z148" s="12" t="str">
        <f aca="false">IF(AND($J148=1,$M148=1),N148*E148/Span_P+O148*F148/Span_S+P148*G148/Span_B,"")</f>
        <v/>
      </c>
      <c r="AA148" s="12" t="str">
        <f aca="false">IF(AND($J148=1,$M148=1),SUMPRODUCT(MAX($J$6:$J$1062*(N148*$K$6:$K$1062/Span_P+O148*$F$6:$F$1062/Span_S+P148*$G$6:$G$1062/Span_B)-(1-$J$6:$J$1062)*1000000000)),"")</f>
        <v/>
      </c>
      <c r="AB148" s="15" t="str">
        <f aca="false">IF(AND($J148=1,$M148=1),IF(AA148-Z148&lt;=0.000000001,1,0),"")</f>
        <v/>
      </c>
      <c r="AC148" s="13" t="str">
        <f aca="false">IF(AND($J148=1,$M148=0),IF(S148="",0,S148*INDEX(Grid!$B$6:$H$156,R148+1,Q148+1))+IF(V148="",0,V148*INDEX(Grid!$B$6:$H$156,U148+1,T148+1))+IF(Y148="",0,Y148*INDEX(Grid!$B$6:$H$156,X148+1,W148+1)),"")</f>
        <v/>
      </c>
      <c r="AD148" s="13" t="str">
        <f aca="false">IF(AND($J148=1,$M148=0),IF(S148="",0,S148*Val_pt*(Ceiling_e-E_zero)*(1-(1-Half_gap)^Q148))+IF(V148="",0,V148*Val_pt*(Ceiling_e-E_zero)*(1-(1-Half_gap)^T148))+IF(Y148="",0,Y148*Val_pt*(Ceiling_e-E_zero)*(1-(1-Half_gap)^W148)),"")</f>
        <v/>
      </c>
      <c r="AE148" s="13" t="str">
        <f aca="false">IF(AND($J148=1,$M148=0),IF(S148="",0,S148*R148)+IF(V148="",0,V148*U148)+IF(Y148="",0,Y148*X148),"")</f>
        <v/>
      </c>
      <c r="AF148" s="12" t="str">
        <f aca="false">IF(AND($J148=1,$M148=0),MIN((AC148-E148)/Span_P,(AD148-F148)/Span_S,(AE148-G148)/Span_B),"")</f>
        <v/>
      </c>
      <c r="AG148" s="15" t="str">
        <f aca="false">IF(AND($J148=1,$M148=0),IF(AF148&gt;0.0000001,1,0),"")</f>
        <v/>
      </c>
      <c r="AH148" s="15" t="str">
        <f aca="false">IF($J148=1,IF($M148=1,AB148,AG148),"")</f>
        <v/>
      </c>
      <c r="AI148" s="13" t="str">
        <f aca="false">IF($J148=1,(Ideal_P-E148)/Span_P,"")</f>
        <v/>
      </c>
      <c r="AJ148" s="13" t="str">
        <f aca="false">IF($J148=1,(Ideal_S-F148)/Span_S,"")</f>
        <v/>
      </c>
      <c r="AK148" s="13" t="str">
        <f aca="false">IF($J148=1,(Ideal_B-G148)/Span_B,"")</f>
        <v/>
      </c>
      <c r="AL148" s="12" t="str">
        <f aca="false">IF($J148=1,MAX(ChA_1*AI148,ChA_2*AJ148,ChA_3*AK148)+Rho*(ChA_1*AI148+ChA_2*AJ148+ChA_3*AK148),"")</f>
        <v/>
      </c>
      <c r="AM148" s="12" t="str">
        <f aca="false">IF($J148=1,MAX(ChB_1*AI148,ChB_2*AJ148,ChB_3*AK148)+Rho*(ChB_1*AI148+ChB_2*AJ148+ChB_3*AK148),"")</f>
        <v/>
      </c>
      <c r="AN148" s="12" t="str">
        <f aca="false">IF($J148=1,MAX(Cx_1*(Ref_P-E148)/Span_P,Cx_2*(Ref_S-F148)/Span_S,Cx_3*(Ref_B-G148)/Span_B),"")</f>
        <v/>
      </c>
    </row>
    <row r="149" customFormat="false" ht="15" hidden="false" customHeight="false" outlineLevel="0" collapsed="false">
      <c r="A149" s="2" t="n">
        <v>143</v>
      </c>
      <c r="B149" s="15" t="n">
        <f aca="false">INT(A149/151)</f>
        <v>0</v>
      </c>
      <c r="C149" s="15" t="n">
        <f aca="false">MOD(A149,151)</f>
        <v>143</v>
      </c>
      <c r="D149" s="15" t="n">
        <f aca="false">INDEX(Grid!$J$6:$P$156,C149+1,B149+1)</f>
        <v>1</v>
      </c>
      <c r="E149" s="16" t="n">
        <f aca="false">IF(D149=1,INDEX(Grid!$B$6:$H$156,C149+1,B149+1),"")</f>
        <v>6.36363636363635</v>
      </c>
      <c r="F149" s="13" t="n">
        <f aca="false">Val_pt*(Ceiling_e-E_zero)*(1-(1-Half_gap)^B149)</f>
        <v>0</v>
      </c>
      <c r="G149" s="15" t="n">
        <f aca="false">C149</f>
        <v>143</v>
      </c>
      <c r="H149" s="15" t="n">
        <f aca="false">IF(D149=1,INDEX(Grid!$R$6:$X$156,C149+1,B149+1),"")</f>
        <v>0</v>
      </c>
      <c r="I149" s="2" t="str">
        <f aca="false">IF(D149=1,INDEX(Sch_label,H149+1),"")</f>
        <v>none</v>
      </c>
      <c r="J149" s="15" t="n">
        <f aca="false">IF(D149=1,INDEX(Grid!$Z$6:$AF$156,C149+1,B149+1),0)</f>
        <v>0</v>
      </c>
      <c r="K149" s="16" t="n">
        <f aca="false">IF(J149=1,E149,0)</f>
        <v>0</v>
      </c>
      <c r="L149" s="17" t="n">
        <f aca="false">IF(D149=1,E149+W_board*F149,"")</f>
        <v>6.36363636363635</v>
      </c>
      <c r="Z149" s="12" t="str">
        <f aca="false">IF(AND($J149=1,$M149=1),N149*E149/Span_P+O149*F149/Span_S+P149*G149/Span_B,"")</f>
        <v/>
      </c>
      <c r="AA149" s="12" t="str">
        <f aca="false">IF(AND($J149=1,$M149=1),SUMPRODUCT(MAX($J$6:$J$1062*(N149*$K$6:$K$1062/Span_P+O149*$F$6:$F$1062/Span_S+P149*$G$6:$G$1062/Span_B)-(1-$J$6:$J$1062)*1000000000)),"")</f>
        <v/>
      </c>
      <c r="AB149" s="15" t="str">
        <f aca="false">IF(AND($J149=1,$M149=1),IF(AA149-Z149&lt;=0.000000001,1,0),"")</f>
        <v/>
      </c>
      <c r="AC149" s="13" t="str">
        <f aca="false">IF(AND($J149=1,$M149=0),IF(S149="",0,S149*INDEX(Grid!$B$6:$H$156,R149+1,Q149+1))+IF(V149="",0,V149*INDEX(Grid!$B$6:$H$156,U149+1,T149+1))+IF(Y149="",0,Y149*INDEX(Grid!$B$6:$H$156,X149+1,W149+1)),"")</f>
        <v/>
      </c>
      <c r="AD149" s="13" t="str">
        <f aca="false">IF(AND($J149=1,$M149=0),IF(S149="",0,S149*Val_pt*(Ceiling_e-E_zero)*(1-(1-Half_gap)^Q149))+IF(V149="",0,V149*Val_pt*(Ceiling_e-E_zero)*(1-(1-Half_gap)^T149))+IF(Y149="",0,Y149*Val_pt*(Ceiling_e-E_zero)*(1-(1-Half_gap)^W149)),"")</f>
        <v/>
      </c>
      <c r="AE149" s="13" t="str">
        <f aca="false">IF(AND($J149=1,$M149=0),IF(S149="",0,S149*R149)+IF(V149="",0,V149*U149)+IF(Y149="",0,Y149*X149),"")</f>
        <v/>
      </c>
      <c r="AF149" s="12" t="str">
        <f aca="false">IF(AND($J149=1,$M149=0),MIN((AC149-E149)/Span_P,(AD149-F149)/Span_S,(AE149-G149)/Span_B),"")</f>
        <v/>
      </c>
      <c r="AG149" s="15" t="str">
        <f aca="false">IF(AND($J149=1,$M149=0),IF(AF149&gt;0.0000001,1,0),"")</f>
        <v/>
      </c>
      <c r="AH149" s="15" t="str">
        <f aca="false">IF($J149=1,IF($M149=1,AB149,AG149),"")</f>
        <v/>
      </c>
      <c r="AI149" s="13" t="str">
        <f aca="false">IF($J149=1,(Ideal_P-E149)/Span_P,"")</f>
        <v/>
      </c>
      <c r="AJ149" s="13" t="str">
        <f aca="false">IF($J149=1,(Ideal_S-F149)/Span_S,"")</f>
        <v/>
      </c>
      <c r="AK149" s="13" t="str">
        <f aca="false">IF($J149=1,(Ideal_B-G149)/Span_B,"")</f>
        <v/>
      </c>
      <c r="AL149" s="12" t="str">
        <f aca="false">IF($J149=1,MAX(ChA_1*AI149,ChA_2*AJ149,ChA_3*AK149)+Rho*(ChA_1*AI149+ChA_2*AJ149+ChA_3*AK149),"")</f>
        <v/>
      </c>
      <c r="AM149" s="12" t="str">
        <f aca="false">IF($J149=1,MAX(ChB_1*AI149,ChB_2*AJ149,ChB_3*AK149)+Rho*(ChB_1*AI149+ChB_2*AJ149+ChB_3*AK149),"")</f>
        <v/>
      </c>
      <c r="AN149" s="12" t="str">
        <f aca="false">IF($J149=1,MAX(Cx_1*(Ref_P-E149)/Span_P,Cx_2*(Ref_S-F149)/Span_S,Cx_3*(Ref_B-G149)/Span_B),"")</f>
        <v/>
      </c>
    </row>
    <row r="150" customFormat="false" ht="15" hidden="false" customHeight="false" outlineLevel="0" collapsed="false">
      <c r="A150" s="2" t="n">
        <v>144</v>
      </c>
      <c r="B150" s="15" t="n">
        <f aca="false">INT(A150/151)</f>
        <v>0</v>
      </c>
      <c r="C150" s="15" t="n">
        <f aca="false">MOD(A150,151)</f>
        <v>144</v>
      </c>
      <c r="D150" s="15" t="n">
        <f aca="false">INDEX(Grid!$J$6:$P$156,C150+1,B150+1)</f>
        <v>1</v>
      </c>
      <c r="E150" s="16" t="n">
        <f aca="false">IF(D150=1,INDEX(Grid!$B$6:$H$156,C150+1,B150+1),"")</f>
        <v>5.45454545454544</v>
      </c>
      <c r="F150" s="13" t="n">
        <f aca="false">Val_pt*(Ceiling_e-E_zero)*(1-(1-Half_gap)^B150)</f>
        <v>0</v>
      </c>
      <c r="G150" s="15" t="n">
        <f aca="false">C150</f>
        <v>144</v>
      </c>
      <c r="H150" s="15" t="n">
        <f aca="false">IF(D150=1,INDEX(Grid!$R$6:$X$156,C150+1,B150+1),"")</f>
        <v>0</v>
      </c>
      <c r="I150" s="2" t="str">
        <f aca="false">IF(D150=1,INDEX(Sch_label,H150+1),"")</f>
        <v>none</v>
      </c>
      <c r="J150" s="15" t="n">
        <f aca="false">IF(D150=1,INDEX(Grid!$Z$6:$AF$156,C150+1,B150+1),0)</f>
        <v>0</v>
      </c>
      <c r="K150" s="16" t="n">
        <f aca="false">IF(J150=1,E150,0)</f>
        <v>0</v>
      </c>
      <c r="L150" s="17" t="n">
        <f aca="false">IF(D150=1,E150+W_board*F150,"")</f>
        <v>5.45454545454544</v>
      </c>
      <c r="Z150" s="12" t="str">
        <f aca="false">IF(AND($J150=1,$M150=1),N150*E150/Span_P+O150*F150/Span_S+P150*G150/Span_B,"")</f>
        <v/>
      </c>
      <c r="AA150" s="12" t="str">
        <f aca="false">IF(AND($J150=1,$M150=1),SUMPRODUCT(MAX($J$6:$J$1062*(N150*$K$6:$K$1062/Span_P+O150*$F$6:$F$1062/Span_S+P150*$G$6:$G$1062/Span_B)-(1-$J$6:$J$1062)*1000000000)),"")</f>
        <v/>
      </c>
      <c r="AB150" s="15" t="str">
        <f aca="false">IF(AND($J150=1,$M150=1),IF(AA150-Z150&lt;=0.000000001,1,0),"")</f>
        <v/>
      </c>
      <c r="AC150" s="13" t="str">
        <f aca="false">IF(AND($J150=1,$M150=0),IF(S150="",0,S150*INDEX(Grid!$B$6:$H$156,R150+1,Q150+1))+IF(V150="",0,V150*INDEX(Grid!$B$6:$H$156,U150+1,T150+1))+IF(Y150="",0,Y150*INDEX(Grid!$B$6:$H$156,X150+1,W150+1)),"")</f>
        <v/>
      </c>
      <c r="AD150" s="13" t="str">
        <f aca="false">IF(AND($J150=1,$M150=0),IF(S150="",0,S150*Val_pt*(Ceiling_e-E_zero)*(1-(1-Half_gap)^Q150))+IF(V150="",0,V150*Val_pt*(Ceiling_e-E_zero)*(1-(1-Half_gap)^T150))+IF(Y150="",0,Y150*Val_pt*(Ceiling_e-E_zero)*(1-(1-Half_gap)^W150)),"")</f>
        <v/>
      </c>
      <c r="AE150" s="13" t="str">
        <f aca="false">IF(AND($J150=1,$M150=0),IF(S150="",0,S150*R150)+IF(V150="",0,V150*U150)+IF(Y150="",0,Y150*X150),"")</f>
        <v/>
      </c>
      <c r="AF150" s="12" t="str">
        <f aca="false">IF(AND($J150=1,$M150=0),MIN((AC150-E150)/Span_P,(AD150-F150)/Span_S,(AE150-G150)/Span_B),"")</f>
        <v/>
      </c>
      <c r="AG150" s="15" t="str">
        <f aca="false">IF(AND($J150=1,$M150=0),IF(AF150&gt;0.0000001,1,0),"")</f>
        <v/>
      </c>
      <c r="AH150" s="15" t="str">
        <f aca="false">IF($J150=1,IF($M150=1,AB150,AG150),"")</f>
        <v/>
      </c>
      <c r="AI150" s="13" t="str">
        <f aca="false">IF($J150=1,(Ideal_P-E150)/Span_P,"")</f>
        <v/>
      </c>
      <c r="AJ150" s="13" t="str">
        <f aca="false">IF($J150=1,(Ideal_S-F150)/Span_S,"")</f>
        <v/>
      </c>
      <c r="AK150" s="13" t="str">
        <f aca="false">IF($J150=1,(Ideal_B-G150)/Span_B,"")</f>
        <v/>
      </c>
      <c r="AL150" s="12" t="str">
        <f aca="false">IF($J150=1,MAX(ChA_1*AI150,ChA_2*AJ150,ChA_3*AK150)+Rho*(ChA_1*AI150+ChA_2*AJ150+ChA_3*AK150),"")</f>
        <v/>
      </c>
      <c r="AM150" s="12" t="str">
        <f aca="false">IF($J150=1,MAX(ChB_1*AI150,ChB_2*AJ150,ChB_3*AK150)+Rho*(ChB_1*AI150+ChB_2*AJ150+ChB_3*AK150),"")</f>
        <v/>
      </c>
      <c r="AN150" s="12" t="str">
        <f aca="false">IF($J150=1,MAX(Cx_1*(Ref_P-E150)/Span_P,Cx_2*(Ref_S-F150)/Span_S,Cx_3*(Ref_B-G150)/Span_B),"")</f>
        <v/>
      </c>
    </row>
    <row r="151" customFormat="false" ht="15" hidden="false" customHeight="false" outlineLevel="0" collapsed="false">
      <c r="A151" s="2" t="n">
        <v>145</v>
      </c>
      <c r="B151" s="15" t="n">
        <f aca="false">INT(A151/151)</f>
        <v>0</v>
      </c>
      <c r="C151" s="15" t="n">
        <f aca="false">MOD(A151,151)</f>
        <v>145</v>
      </c>
      <c r="D151" s="15" t="n">
        <f aca="false">INDEX(Grid!$J$6:$P$156,C151+1,B151+1)</f>
        <v>1</v>
      </c>
      <c r="E151" s="16" t="n">
        <f aca="false">IF(D151=1,INDEX(Grid!$B$6:$H$156,C151+1,B151+1),"")</f>
        <v>4.54545454545453</v>
      </c>
      <c r="F151" s="13" t="n">
        <f aca="false">Val_pt*(Ceiling_e-E_zero)*(1-(1-Half_gap)^B151)</f>
        <v>0</v>
      </c>
      <c r="G151" s="15" t="n">
        <f aca="false">C151</f>
        <v>145</v>
      </c>
      <c r="H151" s="15" t="n">
        <f aca="false">IF(D151=1,INDEX(Grid!$R$6:$X$156,C151+1,B151+1),"")</f>
        <v>0</v>
      </c>
      <c r="I151" s="2" t="str">
        <f aca="false">IF(D151=1,INDEX(Sch_label,H151+1),"")</f>
        <v>none</v>
      </c>
      <c r="J151" s="15" t="n">
        <f aca="false">IF(D151=1,INDEX(Grid!$Z$6:$AF$156,C151+1,B151+1),0)</f>
        <v>0</v>
      </c>
      <c r="K151" s="16" t="n">
        <f aca="false">IF(J151=1,E151,0)</f>
        <v>0</v>
      </c>
      <c r="L151" s="17" t="n">
        <f aca="false">IF(D151=1,E151+W_board*F151,"")</f>
        <v>4.54545454545453</v>
      </c>
      <c r="Z151" s="12" t="str">
        <f aca="false">IF(AND($J151=1,$M151=1),N151*E151/Span_P+O151*F151/Span_S+P151*G151/Span_B,"")</f>
        <v/>
      </c>
      <c r="AA151" s="12" t="str">
        <f aca="false">IF(AND($J151=1,$M151=1),SUMPRODUCT(MAX($J$6:$J$1062*(N151*$K$6:$K$1062/Span_P+O151*$F$6:$F$1062/Span_S+P151*$G$6:$G$1062/Span_B)-(1-$J$6:$J$1062)*1000000000)),"")</f>
        <v/>
      </c>
      <c r="AB151" s="15" t="str">
        <f aca="false">IF(AND($J151=1,$M151=1),IF(AA151-Z151&lt;=0.000000001,1,0),"")</f>
        <v/>
      </c>
      <c r="AC151" s="13" t="str">
        <f aca="false">IF(AND($J151=1,$M151=0),IF(S151="",0,S151*INDEX(Grid!$B$6:$H$156,R151+1,Q151+1))+IF(V151="",0,V151*INDEX(Grid!$B$6:$H$156,U151+1,T151+1))+IF(Y151="",0,Y151*INDEX(Grid!$B$6:$H$156,X151+1,W151+1)),"")</f>
        <v/>
      </c>
      <c r="AD151" s="13" t="str">
        <f aca="false">IF(AND($J151=1,$M151=0),IF(S151="",0,S151*Val_pt*(Ceiling_e-E_zero)*(1-(1-Half_gap)^Q151))+IF(V151="",0,V151*Val_pt*(Ceiling_e-E_zero)*(1-(1-Half_gap)^T151))+IF(Y151="",0,Y151*Val_pt*(Ceiling_e-E_zero)*(1-(1-Half_gap)^W151)),"")</f>
        <v/>
      </c>
      <c r="AE151" s="13" t="str">
        <f aca="false">IF(AND($J151=1,$M151=0),IF(S151="",0,S151*R151)+IF(V151="",0,V151*U151)+IF(Y151="",0,Y151*X151),"")</f>
        <v/>
      </c>
      <c r="AF151" s="12" t="str">
        <f aca="false">IF(AND($J151=1,$M151=0),MIN((AC151-E151)/Span_P,(AD151-F151)/Span_S,(AE151-G151)/Span_B),"")</f>
        <v/>
      </c>
      <c r="AG151" s="15" t="str">
        <f aca="false">IF(AND($J151=1,$M151=0),IF(AF151&gt;0.0000001,1,0),"")</f>
        <v/>
      </c>
      <c r="AH151" s="15" t="str">
        <f aca="false">IF($J151=1,IF($M151=1,AB151,AG151),"")</f>
        <v/>
      </c>
      <c r="AI151" s="13" t="str">
        <f aca="false">IF($J151=1,(Ideal_P-E151)/Span_P,"")</f>
        <v/>
      </c>
      <c r="AJ151" s="13" t="str">
        <f aca="false">IF($J151=1,(Ideal_S-F151)/Span_S,"")</f>
        <v/>
      </c>
      <c r="AK151" s="13" t="str">
        <f aca="false">IF($J151=1,(Ideal_B-G151)/Span_B,"")</f>
        <v/>
      </c>
      <c r="AL151" s="12" t="str">
        <f aca="false">IF($J151=1,MAX(ChA_1*AI151,ChA_2*AJ151,ChA_3*AK151)+Rho*(ChA_1*AI151+ChA_2*AJ151+ChA_3*AK151),"")</f>
        <v/>
      </c>
      <c r="AM151" s="12" t="str">
        <f aca="false">IF($J151=1,MAX(ChB_1*AI151,ChB_2*AJ151,ChB_3*AK151)+Rho*(ChB_1*AI151+ChB_2*AJ151+ChB_3*AK151),"")</f>
        <v/>
      </c>
      <c r="AN151" s="12" t="str">
        <f aca="false">IF($J151=1,MAX(Cx_1*(Ref_P-E151)/Span_P,Cx_2*(Ref_S-F151)/Span_S,Cx_3*(Ref_B-G151)/Span_B),"")</f>
        <v/>
      </c>
    </row>
    <row r="152" customFormat="false" ht="15" hidden="false" customHeight="false" outlineLevel="0" collapsed="false">
      <c r="A152" s="2" t="n">
        <v>146</v>
      </c>
      <c r="B152" s="15" t="n">
        <f aca="false">INT(A152/151)</f>
        <v>0</v>
      </c>
      <c r="C152" s="15" t="n">
        <f aca="false">MOD(A152,151)</f>
        <v>146</v>
      </c>
      <c r="D152" s="15" t="n">
        <f aca="false">INDEX(Grid!$J$6:$P$156,C152+1,B152+1)</f>
        <v>1</v>
      </c>
      <c r="E152" s="16" t="n">
        <f aca="false">IF(D152=1,INDEX(Grid!$B$6:$H$156,C152+1,B152+1),"")</f>
        <v>3.63636363636363</v>
      </c>
      <c r="F152" s="13" t="n">
        <f aca="false">Val_pt*(Ceiling_e-E_zero)*(1-(1-Half_gap)^B152)</f>
        <v>0</v>
      </c>
      <c r="G152" s="15" t="n">
        <f aca="false">C152</f>
        <v>146</v>
      </c>
      <c r="H152" s="15" t="n">
        <f aca="false">IF(D152=1,INDEX(Grid!$R$6:$X$156,C152+1,B152+1),"")</f>
        <v>0</v>
      </c>
      <c r="I152" s="2" t="str">
        <f aca="false">IF(D152=1,INDEX(Sch_label,H152+1),"")</f>
        <v>none</v>
      </c>
      <c r="J152" s="15" t="n">
        <f aca="false">IF(D152=1,INDEX(Grid!$Z$6:$AF$156,C152+1,B152+1),0)</f>
        <v>0</v>
      </c>
      <c r="K152" s="16" t="n">
        <f aca="false">IF(J152=1,E152,0)</f>
        <v>0</v>
      </c>
      <c r="L152" s="17" t="n">
        <f aca="false">IF(D152=1,E152+W_board*F152,"")</f>
        <v>3.63636363636363</v>
      </c>
      <c r="Z152" s="12" t="str">
        <f aca="false">IF(AND($J152=1,$M152=1),N152*E152/Span_P+O152*F152/Span_S+P152*G152/Span_B,"")</f>
        <v/>
      </c>
      <c r="AA152" s="12" t="str">
        <f aca="false">IF(AND($J152=1,$M152=1),SUMPRODUCT(MAX($J$6:$J$1062*(N152*$K$6:$K$1062/Span_P+O152*$F$6:$F$1062/Span_S+P152*$G$6:$G$1062/Span_B)-(1-$J$6:$J$1062)*1000000000)),"")</f>
        <v/>
      </c>
      <c r="AB152" s="15" t="str">
        <f aca="false">IF(AND($J152=1,$M152=1),IF(AA152-Z152&lt;=0.000000001,1,0),"")</f>
        <v/>
      </c>
      <c r="AC152" s="13" t="str">
        <f aca="false">IF(AND($J152=1,$M152=0),IF(S152="",0,S152*INDEX(Grid!$B$6:$H$156,R152+1,Q152+1))+IF(V152="",0,V152*INDEX(Grid!$B$6:$H$156,U152+1,T152+1))+IF(Y152="",0,Y152*INDEX(Grid!$B$6:$H$156,X152+1,W152+1)),"")</f>
        <v/>
      </c>
      <c r="AD152" s="13" t="str">
        <f aca="false">IF(AND($J152=1,$M152=0),IF(S152="",0,S152*Val_pt*(Ceiling_e-E_zero)*(1-(1-Half_gap)^Q152))+IF(V152="",0,V152*Val_pt*(Ceiling_e-E_zero)*(1-(1-Half_gap)^T152))+IF(Y152="",0,Y152*Val_pt*(Ceiling_e-E_zero)*(1-(1-Half_gap)^W152)),"")</f>
        <v/>
      </c>
      <c r="AE152" s="13" t="str">
        <f aca="false">IF(AND($J152=1,$M152=0),IF(S152="",0,S152*R152)+IF(V152="",0,V152*U152)+IF(Y152="",0,Y152*X152),"")</f>
        <v/>
      </c>
      <c r="AF152" s="12" t="str">
        <f aca="false">IF(AND($J152=1,$M152=0),MIN((AC152-E152)/Span_P,(AD152-F152)/Span_S,(AE152-G152)/Span_B),"")</f>
        <v/>
      </c>
      <c r="AG152" s="15" t="str">
        <f aca="false">IF(AND($J152=1,$M152=0),IF(AF152&gt;0.0000001,1,0),"")</f>
        <v/>
      </c>
      <c r="AH152" s="15" t="str">
        <f aca="false">IF($J152=1,IF($M152=1,AB152,AG152),"")</f>
        <v/>
      </c>
      <c r="AI152" s="13" t="str">
        <f aca="false">IF($J152=1,(Ideal_P-E152)/Span_P,"")</f>
        <v/>
      </c>
      <c r="AJ152" s="13" t="str">
        <f aca="false">IF($J152=1,(Ideal_S-F152)/Span_S,"")</f>
        <v/>
      </c>
      <c r="AK152" s="13" t="str">
        <f aca="false">IF($J152=1,(Ideal_B-G152)/Span_B,"")</f>
        <v/>
      </c>
      <c r="AL152" s="12" t="str">
        <f aca="false">IF($J152=1,MAX(ChA_1*AI152,ChA_2*AJ152,ChA_3*AK152)+Rho*(ChA_1*AI152+ChA_2*AJ152+ChA_3*AK152),"")</f>
        <v/>
      </c>
      <c r="AM152" s="12" t="str">
        <f aca="false">IF($J152=1,MAX(ChB_1*AI152,ChB_2*AJ152,ChB_3*AK152)+Rho*(ChB_1*AI152+ChB_2*AJ152+ChB_3*AK152),"")</f>
        <v/>
      </c>
      <c r="AN152" s="12" t="str">
        <f aca="false">IF($J152=1,MAX(Cx_1*(Ref_P-E152)/Span_P,Cx_2*(Ref_S-F152)/Span_S,Cx_3*(Ref_B-G152)/Span_B),"")</f>
        <v/>
      </c>
    </row>
    <row r="153" customFormat="false" ht="15" hidden="false" customHeight="false" outlineLevel="0" collapsed="false">
      <c r="A153" s="2" t="n">
        <v>147</v>
      </c>
      <c r="B153" s="15" t="n">
        <f aca="false">INT(A153/151)</f>
        <v>0</v>
      </c>
      <c r="C153" s="15" t="n">
        <f aca="false">MOD(A153,151)</f>
        <v>147</v>
      </c>
      <c r="D153" s="15" t="n">
        <f aca="false">INDEX(Grid!$J$6:$P$156,C153+1,B153+1)</f>
        <v>1</v>
      </c>
      <c r="E153" s="16" t="n">
        <f aca="false">IF(D153=1,INDEX(Grid!$B$6:$H$156,C153+1,B153+1),"")</f>
        <v>2.72727272727272</v>
      </c>
      <c r="F153" s="13" t="n">
        <f aca="false">Val_pt*(Ceiling_e-E_zero)*(1-(1-Half_gap)^B153)</f>
        <v>0</v>
      </c>
      <c r="G153" s="15" t="n">
        <f aca="false">C153</f>
        <v>147</v>
      </c>
      <c r="H153" s="15" t="n">
        <f aca="false">IF(D153=1,INDEX(Grid!$R$6:$X$156,C153+1,B153+1),"")</f>
        <v>0</v>
      </c>
      <c r="I153" s="2" t="str">
        <f aca="false">IF(D153=1,INDEX(Sch_label,H153+1),"")</f>
        <v>none</v>
      </c>
      <c r="J153" s="15" t="n">
        <f aca="false">IF(D153=1,INDEX(Grid!$Z$6:$AF$156,C153+1,B153+1),0)</f>
        <v>0</v>
      </c>
      <c r="K153" s="16" t="n">
        <f aca="false">IF(J153=1,E153,0)</f>
        <v>0</v>
      </c>
      <c r="L153" s="17" t="n">
        <f aca="false">IF(D153=1,E153+W_board*F153,"")</f>
        <v>2.72727272727272</v>
      </c>
      <c r="Z153" s="12" t="str">
        <f aca="false">IF(AND($J153=1,$M153=1),N153*E153/Span_P+O153*F153/Span_S+P153*G153/Span_B,"")</f>
        <v/>
      </c>
      <c r="AA153" s="12" t="str">
        <f aca="false">IF(AND($J153=1,$M153=1),SUMPRODUCT(MAX($J$6:$J$1062*(N153*$K$6:$K$1062/Span_P+O153*$F$6:$F$1062/Span_S+P153*$G$6:$G$1062/Span_B)-(1-$J$6:$J$1062)*1000000000)),"")</f>
        <v/>
      </c>
      <c r="AB153" s="15" t="str">
        <f aca="false">IF(AND($J153=1,$M153=1),IF(AA153-Z153&lt;=0.000000001,1,0),"")</f>
        <v/>
      </c>
      <c r="AC153" s="13" t="str">
        <f aca="false">IF(AND($J153=1,$M153=0),IF(S153="",0,S153*INDEX(Grid!$B$6:$H$156,R153+1,Q153+1))+IF(V153="",0,V153*INDEX(Grid!$B$6:$H$156,U153+1,T153+1))+IF(Y153="",0,Y153*INDEX(Grid!$B$6:$H$156,X153+1,W153+1)),"")</f>
        <v/>
      </c>
      <c r="AD153" s="13" t="str">
        <f aca="false">IF(AND($J153=1,$M153=0),IF(S153="",0,S153*Val_pt*(Ceiling_e-E_zero)*(1-(1-Half_gap)^Q153))+IF(V153="",0,V153*Val_pt*(Ceiling_e-E_zero)*(1-(1-Half_gap)^T153))+IF(Y153="",0,Y153*Val_pt*(Ceiling_e-E_zero)*(1-(1-Half_gap)^W153)),"")</f>
        <v/>
      </c>
      <c r="AE153" s="13" t="str">
        <f aca="false">IF(AND($J153=1,$M153=0),IF(S153="",0,S153*R153)+IF(V153="",0,V153*U153)+IF(Y153="",0,Y153*X153),"")</f>
        <v/>
      </c>
      <c r="AF153" s="12" t="str">
        <f aca="false">IF(AND($J153=1,$M153=0),MIN((AC153-E153)/Span_P,(AD153-F153)/Span_S,(AE153-G153)/Span_B),"")</f>
        <v/>
      </c>
      <c r="AG153" s="15" t="str">
        <f aca="false">IF(AND($J153=1,$M153=0),IF(AF153&gt;0.0000001,1,0),"")</f>
        <v/>
      </c>
      <c r="AH153" s="15" t="str">
        <f aca="false">IF($J153=1,IF($M153=1,AB153,AG153),"")</f>
        <v/>
      </c>
      <c r="AI153" s="13" t="str">
        <f aca="false">IF($J153=1,(Ideal_P-E153)/Span_P,"")</f>
        <v/>
      </c>
      <c r="AJ153" s="13" t="str">
        <f aca="false">IF($J153=1,(Ideal_S-F153)/Span_S,"")</f>
        <v/>
      </c>
      <c r="AK153" s="13" t="str">
        <f aca="false">IF($J153=1,(Ideal_B-G153)/Span_B,"")</f>
        <v/>
      </c>
      <c r="AL153" s="12" t="str">
        <f aca="false">IF($J153=1,MAX(ChA_1*AI153,ChA_2*AJ153,ChA_3*AK153)+Rho*(ChA_1*AI153+ChA_2*AJ153+ChA_3*AK153),"")</f>
        <v/>
      </c>
      <c r="AM153" s="12" t="str">
        <f aca="false">IF($J153=1,MAX(ChB_1*AI153,ChB_2*AJ153,ChB_3*AK153)+Rho*(ChB_1*AI153+ChB_2*AJ153+ChB_3*AK153),"")</f>
        <v/>
      </c>
      <c r="AN153" s="12" t="str">
        <f aca="false">IF($J153=1,MAX(Cx_1*(Ref_P-E153)/Span_P,Cx_2*(Ref_S-F153)/Span_S,Cx_3*(Ref_B-G153)/Span_B),"")</f>
        <v/>
      </c>
    </row>
    <row r="154" customFormat="false" ht="15" hidden="false" customHeight="false" outlineLevel="0" collapsed="false">
      <c r="A154" s="2" t="n">
        <v>148</v>
      </c>
      <c r="B154" s="15" t="n">
        <f aca="false">INT(A154/151)</f>
        <v>0</v>
      </c>
      <c r="C154" s="15" t="n">
        <f aca="false">MOD(A154,151)</f>
        <v>148</v>
      </c>
      <c r="D154" s="15" t="n">
        <f aca="false">INDEX(Grid!$J$6:$P$156,C154+1,B154+1)</f>
        <v>1</v>
      </c>
      <c r="E154" s="16" t="n">
        <f aca="false">IF(D154=1,INDEX(Grid!$B$6:$H$156,C154+1,B154+1),"")</f>
        <v>1.81818181818181</v>
      </c>
      <c r="F154" s="13" t="n">
        <f aca="false">Val_pt*(Ceiling_e-E_zero)*(1-(1-Half_gap)^B154)</f>
        <v>0</v>
      </c>
      <c r="G154" s="15" t="n">
        <f aca="false">C154</f>
        <v>148</v>
      </c>
      <c r="H154" s="15" t="n">
        <f aca="false">IF(D154=1,INDEX(Grid!$R$6:$X$156,C154+1,B154+1),"")</f>
        <v>0</v>
      </c>
      <c r="I154" s="2" t="str">
        <f aca="false">IF(D154=1,INDEX(Sch_label,H154+1),"")</f>
        <v>none</v>
      </c>
      <c r="J154" s="15" t="n">
        <f aca="false">IF(D154=1,INDEX(Grid!$Z$6:$AF$156,C154+1,B154+1),0)</f>
        <v>0</v>
      </c>
      <c r="K154" s="16" t="n">
        <f aca="false">IF(J154=1,E154,0)</f>
        <v>0</v>
      </c>
      <c r="L154" s="17" t="n">
        <f aca="false">IF(D154=1,E154+W_board*F154,"")</f>
        <v>1.81818181818181</v>
      </c>
      <c r="Z154" s="12" t="str">
        <f aca="false">IF(AND($J154=1,$M154=1),N154*E154/Span_P+O154*F154/Span_S+P154*G154/Span_B,"")</f>
        <v/>
      </c>
      <c r="AA154" s="12" t="str">
        <f aca="false">IF(AND($J154=1,$M154=1),SUMPRODUCT(MAX($J$6:$J$1062*(N154*$K$6:$K$1062/Span_P+O154*$F$6:$F$1062/Span_S+P154*$G$6:$G$1062/Span_B)-(1-$J$6:$J$1062)*1000000000)),"")</f>
        <v/>
      </c>
      <c r="AB154" s="15" t="str">
        <f aca="false">IF(AND($J154=1,$M154=1),IF(AA154-Z154&lt;=0.000000001,1,0),"")</f>
        <v/>
      </c>
      <c r="AC154" s="13" t="str">
        <f aca="false">IF(AND($J154=1,$M154=0),IF(S154="",0,S154*INDEX(Grid!$B$6:$H$156,R154+1,Q154+1))+IF(V154="",0,V154*INDEX(Grid!$B$6:$H$156,U154+1,T154+1))+IF(Y154="",0,Y154*INDEX(Grid!$B$6:$H$156,X154+1,W154+1)),"")</f>
        <v/>
      </c>
      <c r="AD154" s="13" t="str">
        <f aca="false">IF(AND($J154=1,$M154=0),IF(S154="",0,S154*Val_pt*(Ceiling_e-E_zero)*(1-(1-Half_gap)^Q154))+IF(V154="",0,V154*Val_pt*(Ceiling_e-E_zero)*(1-(1-Half_gap)^T154))+IF(Y154="",0,Y154*Val_pt*(Ceiling_e-E_zero)*(1-(1-Half_gap)^W154)),"")</f>
        <v/>
      </c>
      <c r="AE154" s="13" t="str">
        <f aca="false">IF(AND($J154=1,$M154=0),IF(S154="",0,S154*R154)+IF(V154="",0,V154*U154)+IF(Y154="",0,Y154*X154),"")</f>
        <v/>
      </c>
      <c r="AF154" s="12" t="str">
        <f aca="false">IF(AND($J154=1,$M154=0),MIN((AC154-E154)/Span_P,(AD154-F154)/Span_S,(AE154-G154)/Span_B),"")</f>
        <v/>
      </c>
      <c r="AG154" s="15" t="str">
        <f aca="false">IF(AND($J154=1,$M154=0),IF(AF154&gt;0.0000001,1,0),"")</f>
        <v/>
      </c>
      <c r="AH154" s="15" t="str">
        <f aca="false">IF($J154=1,IF($M154=1,AB154,AG154),"")</f>
        <v/>
      </c>
      <c r="AI154" s="13" t="str">
        <f aca="false">IF($J154=1,(Ideal_P-E154)/Span_P,"")</f>
        <v/>
      </c>
      <c r="AJ154" s="13" t="str">
        <f aca="false">IF($J154=1,(Ideal_S-F154)/Span_S,"")</f>
        <v/>
      </c>
      <c r="AK154" s="13" t="str">
        <f aca="false">IF($J154=1,(Ideal_B-G154)/Span_B,"")</f>
        <v/>
      </c>
      <c r="AL154" s="12" t="str">
        <f aca="false">IF($J154=1,MAX(ChA_1*AI154,ChA_2*AJ154,ChA_3*AK154)+Rho*(ChA_1*AI154+ChA_2*AJ154+ChA_3*AK154),"")</f>
        <v/>
      </c>
      <c r="AM154" s="12" t="str">
        <f aca="false">IF($J154=1,MAX(ChB_1*AI154,ChB_2*AJ154,ChB_3*AK154)+Rho*(ChB_1*AI154+ChB_2*AJ154+ChB_3*AK154),"")</f>
        <v/>
      </c>
      <c r="AN154" s="12" t="str">
        <f aca="false">IF($J154=1,MAX(Cx_1*(Ref_P-E154)/Span_P,Cx_2*(Ref_S-F154)/Span_S,Cx_3*(Ref_B-G154)/Span_B),"")</f>
        <v/>
      </c>
    </row>
    <row r="155" customFormat="false" ht="15" hidden="false" customHeight="false" outlineLevel="0" collapsed="false">
      <c r="A155" s="2" t="n">
        <v>149</v>
      </c>
      <c r="B155" s="15" t="n">
        <f aca="false">INT(A155/151)</f>
        <v>0</v>
      </c>
      <c r="C155" s="15" t="n">
        <f aca="false">MOD(A155,151)</f>
        <v>149</v>
      </c>
      <c r="D155" s="15" t="n">
        <f aca="false">INDEX(Grid!$J$6:$P$156,C155+1,B155+1)</f>
        <v>1</v>
      </c>
      <c r="E155" s="16" t="n">
        <f aca="false">IF(D155=1,INDEX(Grid!$B$6:$H$156,C155+1,B155+1),"")</f>
        <v>0.909090909090907</v>
      </c>
      <c r="F155" s="13" t="n">
        <f aca="false">Val_pt*(Ceiling_e-E_zero)*(1-(1-Half_gap)^B155)</f>
        <v>0</v>
      </c>
      <c r="G155" s="15" t="n">
        <f aca="false">C155</f>
        <v>149</v>
      </c>
      <c r="H155" s="15" t="n">
        <f aca="false">IF(D155=1,INDEX(Grid!$R$6:$X$156,C155+1,B155+1),"")</f>
        <v>0</v>
      </c>
      <c r="I155" s="2" t="str">
        <f aca="false">IF(D155=1,INDEX(Sch_label,H155+1),"")</f>
        <v>none</v>
      </c>
      <c r="J155" s="15" t="n">
        <f aca="false">IF(D155=1,INDEX(Grid!$Z$6:$AF$156,C155+1,B155+1),0)</f>
        <v>0</v>
      </c>
      <c r="K155" s="16" t="n">
        <f aca="false">IF(J155=1,E155,0)</f>
        <v>0</v>
      </c>
      <c r="L155" s="17" t="n">
        <f aca="false">IF(D155=1,E155+W_board*F155,"")</f>
        <v>0.909090909090907</v>
      </c>
      <c r="Z155" s="12" t="str">
        <f aca="false">IF(AND($J155=1,$M155=1),N155*E155/Span_P+O155*F155/Span_S+P155*G155/Span_B,"")</f>
        <v/>
      </c>
      <c r="AA155" s="12" t="str">
        <f aca="false">IF(AND($J155=1,$M155=1),SUMPRODUCT(MAX($J$6:$J$1062*(N155*$K$6:$K$1062/Span_P+O155*$F$6:$F$1062/Span_S+P155*$G$6:$G$1062/Span_B)-(1-$J$6:$J$1062)*1000000000)),"")</f>
        <v/>
      </c>
      <c r="AB155" s="15" t="str">
        <f aca="false">IF(AND($J155=1,$M155=1),IF(AA155-Z155&lt;=0.000000001,1,0),"")</f>
        <v/>
      </c>
      <c r="AC155" s="13" t="str">
        <f aca="false">IF(AND($J155=1,$M155=0),IF(S155="",0,S155*INDEX(Grid!$B$6:$H$156,R155+1,Q155+1))+IF(V155="",0,V155*INDEX(Grid!$B$6:$H$156,U155+1,T155+1))+IF(Y155="",0,Y155*INDEX(Grid!$B$6:$H$156,X155+1,W155+1)),"")</f>
        <v/>
      </c>
      <c r="AD155" s="13" t="str">
        <f aca="false">IF(AND($J155=1,$M155=0),IF(S155="",0,S155*Val_pt*(Ceiling_e-E_zero)*(1-(1-Half_gap)^Q155))+IF(V155="",0,V155*Val_pt*(Ceiling_e-E_zero)*(1-(1-Half_gap)^T155))+IF(Y155="",0,Y155*Val_pt*(Ceiling_e-E_zero)*(1-(1-Half_gap)^W155)),"")</f>
        <v/>
      </c>
      <c r="AE155" s="13" t="str">
        <f aca="false">IF(AND($J155=1,$M155=0),IF(S155="",0,S155*R155)+IF(V155="",0,V155*U155)+IF(Y155="",0,Y155*X155),"")</f>
        <v/>
      </c>
      <c r="AF155" s="12" t="str">
        <f aca="false">IF(AND($J155=1,$M155=0),MIN((AC155-E155)/Span_P,(AD155-F155)/Span_S,(AE155-G155)/Span_B),"")</f>
        <v/>
      </c>
      <c r="AG155" s="15" t="str">
        <f aca="false">IF(AND($J155=1,$M155=0),IF(AF155&gt;0.0000001,1,0),"")</f>
        <v/>
      </c>
      <c r="AH155" s="15" t="str">
        <f aca="false">IF($J155=1,IF($M155=1,AB155,AG155),"")</f>
        <v/>
      </c>
      <c r="AI155" s="13" t="str">
        <f aca="false">IF($J155=1,(Ideal_P-E155)/Span_P,"")</f>
        <v/>
      </c>
      <c r="AJ155" s="13" t="str">
        <f aca="false">IF($J155=1,(Ideal_S-F155)/Span_S,"")</f>
        <v/>
      </c>
      <c r="AK155" s="13" t="str">
        <f aca="false">IF($J155=1,(Ideal_B-G155)/Span_B,"")</f>
        <v/>
      </c>
      <c r="AL155" s="12" t="str">
        <f aca="false">IF($J155=1,MAX(ChA_1*AI155,ChA_2*AJ155,ChA_3*AK155)+Rho*(ChA_1*AI155+ChA_2*AJ155+ChA_3*AK155),"")</f>
        <v/>
      </c>
      <c r="AM155" s="12" t="str">
        <f aca="false">IF($J155=1,MAX(ChB_1*AI155,ChB_2*AJ155,ChB_3*AK155)+Rho*(ChB_1*AI155+ChB_2*AJ155+ChB_3*AK155),"")</f>
        <v/>
      </c>
      <c r="AN155" s="12" t="str">
        <f aca="false">IF($J155=1,MAX(Cx_1*(Ref_P-E155)/Span_P,Cx_2*(Ref_S-F155)/Span_S,Cx_3*(Ref_B-G155)/Span_B),"")</f>
        <v/>
      </c>
    </row>
    <row r="156" customFormat="false" ht="15" hidden="false" customHeight="false" outlineLevel="0" collapsed="false">
      <c r="A156" s="2" t="n">
        <v>150</v>
      </c>
      <c r="B156" s="15" t="n">
        <f aca="false">INT(A156/151)</f>
        <v>0</v>
      </c>
      <c r="C156" s="15" t="n">
        <f aca="false">MOD(A156,151)</f>
        <v>150</v>
      </c>
      <c r="D156" s="15" t="n">
        <f aca="false">INDEX(Grid!$J$6:$P$156,C156+1,B156+1)</f>
        <v>1</v>
      </c>
      <c r="E156" s="16" t="n">
        <f aca="false">IF(D156=1,INDEX(Grid!$B$6:$H$156,C156+1,B156+1),"")</f>
        <v>0</v>
      </c>
      <c r="F156" s="13" t="n">
        <f aca="false">Val_pt*(Ceiling_e-E_zero)*(1-(1-Half_gap)^B156)</f>
        <v>0</v>
      </c>
      <c r="G156" s="15" t="n">
        <f aca="false">C156</f>
        <v>150</v>
      </c>
      <c r="H156" s="15" t="n">
        <f aca="false">IF(D156=1,INDEX(Grid!$R$6:$X$156,C156+1,B156+1),"")</f>
        <v>0</v>
      </c>
      <c r="I156" s="2" t="str">
        <f aca="false">IF(D156=1,INDEX(Sch_label,H156+1),"")</f>
        <v>none</v>
      </c>
      <c r="J156" s="15" t="n">
        <f aca="false">IF(D156=1,INDEX(Grid!$Z$6:$AF$156,C156+1,B156+1),0)</f>
        <v>0</v>
      </c>
      <c r="K156" s="16" t="n">
        <f aca="false">IF(J156=1,E156,0)</f>
        <v>0</v>
      </c>
      <c r="L156" s="17" t="n">
        <f aca="false">IF(D156=1,E156+W_board*F156,"")</f>
        <v>0</v>
      </c>
      <c r="Z156" s="12" t="str">
        <f aca="false">IF(AND($J156=1,$M156=1),N156*E156/Span_P+O156*F156/Span_S+P156*G156/Span_B,"")</f>
        <v/>
      </c>
      <c r="AA156" s="12" t="str">
        <f aca="false">IF(AND($J156=1,$M156=1),SUMPRODUCT(MAX($J$6:$J$1062*(N156*$K$6:$K$1062/Span_P+O156*$F$6:$F$1062/Span_S+P156*$G$6:$G$1062/Span_B)-(1-$J$6:$J$1062)*1000000000)),"")</f>
        <v/>
      </c>
      <c r="AB156" s="15" t="str">
        <f aca="false">IF(AND($J156=1,$M156=1),IF(AA156-Z156&lt;=0.000000001,1,0),"")</f>
        <v/>
      </c>
      <c r="AC156" s="13" t="str">
        <f aca="false">IF(AND($J156=1,$M156=0),IF(S156="",0,S156*INDEX(Grid!$B$6:$H$156,R156+1,Q156+1))+IF(V156="",0,V156*INDEX(Grid!$B$6:$H$156,U156+1,T156+1))+IF(Y156="",0,Y156*INDEX(Grid!$B$6:$H$156,X156+1,W156+1)),"")</f>
        <v/>
      </c>
      <c r="AD156" s="13" t="str">
        <f aca="false">IF(AND($J156=1,$M156=0),IF(S156="",0,S156*Val_pt*(Ceiling_e-E_zero)*(1-(1-Half_gap)^Q156))+IF(V156="",0,V156*Val_pt*(Ceiling_e-E_zero)*(1-(1-Half_gap)^T156))+IF(Y156="",0,Y156*Val_pt*(Ceiling_e-E_zero)*(1-(1-Half_gap)^W156)),"")</f>
        <v/>
      </c>
      <c r="AE156" s="13" t="str">
        <f aca="false">IF(AND($J156=1,$M156=0),IF(S156="",0,S156*R156)+IF(V156="",0,V156*U156)+IF(Y156="",0,Y156*X156),"")</f>
        <v/>
      </c>
      <c r="AF156" s="12" t="str">
        <f aca="false">IF(AND($J156=1,$M156=0),MIN((AC156-E156)/Span_P,(AD156-F156)/Span_S,(AE156-G156)/Span_B),"")</f>
        <v/>
      </c>
      <c r="AG156" s="15" t="str">
        <f aca="false">IF(AND($J156=1,$M156=0),IF(AF156&gt;0.0000001,1,0),"")</f>
        <v/>
      </c>
      <c r="AH156" s="15" t="str">
        <f aca="false">IF($J156=1,IF($M156=1,AB156,AG156),"")</f>
        <v/>
      </c>
      <c r="AI156" s="13" t="str">
        <f aca="false">IF($J156=1,(Ideal_P-E156)/Span_P,"")</f>
        <v/>
      </c>
      <c r="AJ156" s="13" t="str">
        <f aca="false">IF($J156=1,(Ideal_S-F156)/Span_S,"")</f>
        <v/>
      </c>
      <c r="AK156" s="13" t="str">
        <f aca="false">IF($J156=1,(Ideal_B-G156)/Span_B,"")</f>
        <v/>
      </c>
      <c r="AL156" s="12" t="str">
        <f aca="false">IF($J156=1,MAX(ChA_1*AI156,ChA_2*AJ156,ChA_3*AK156)+Rho*(ChA_1*AI156+ChA_2*AJ156+ChA_3*AK156),"")</f>
        <v/>
      </c>
      <c r="AM156" s="12" t="str">
        <f aca="false">IF($J156=1,MAX(ChB_1*AI156,ChB_2*AJ156,ChB_3*AK156)+Rho*(ChB_1*AI156+ChB_2*AJ156+ChB_3*AK156),"")</f>
        <v/>
      </c>
      <c r="AN156" s="12" t="str">
        <f aca="false">IF($J156=1,MAX(Cx_1*(Ref_P-E156)/Span_P,Cx_2*(Ref_S-F156)/Span_S,Cx_3*(Ref_B-G156)/Span_B),"")</f>
        <v/>
      </c>
    </row>
    <row r="157" customFormat="false" ht="15" hidden="false" customHeight="false" outlineLevel="0" collapsed="false">
      <c r="A157" s="2" t="n">
        <v>151</v>
      </c>
      <c r="B157" s="15" t="n">
        <f aca="false">INT(A157/151)</f>
        <v>1</v>
      </c>
      <c r="C157" s="15" t="n">
        <f aca="false">MOD(A157,151)</f>
        <v>0</v>
      </c>
      <c r="D157" s="15" t="n">
        <f aca="false">INDEX(Grid!$J$6:$P$156,C157+1,B157+1)</f>
        <v>1</v>
      </c>
      <c r="E157" s="16" t="n">
        <f aca="false">IF(D157=1,INDEX(Grid!$B$6:$H$156,C157+1,B157+1),"")</f>
        <v>370.67264406927</v>
      </c>
      <c r="F157" s="13" t="n">
        <f aca="false">Val_pt*(Ceiling_e-E_zero)*(1-(1-Half_gap)^B157)</f>
        <v>70</v>
      </c>
      <c r="G157" s="15" t="n">
        <f aca="false">C157</f>
        <v>0</v>
      </c>
      <c r="H157" s="15" t="n">
        <f aca="false">IF(D157=1,INDEX(Grid!$R$6:$X$156,C157+1,B157+1),"")</f>
        <v>32</v>
      </c>
      <c r="I157" s="2" t="str">
        <f aca="false">IF(D157=1,INDEX(Sch_label,H157+1),"")</f>
        <v>1</v>
      </c>
      <c r="J157" s="15" t="n">
        <f aca="false">IF(D157=1,INDEX(Grid!$Z$6:$AF$156,C157+1,B157+1),0)</f>
        <v>0</v>
      </c>
      <c r="K157" s="16" t="n">
        <f aca="false">IF(J157=1,E157,0)</f>
        <v>0</v>
      </c>
      <c r="L157" s="17" t="n">
        <f aca="false">IF(D157=1,E157+W_board*F157,"")</f>
        <v>765.804395106914</v>
      </c>
      <c r="Z157" s="12" t="str">
        <f aca="false">IF(AND($J157=1,$M157=1),N157*E157/Span_P+O157*F157/Span_S+P157*G157/Span_B,"")</f>
        <v/>
      </c>
      <c r="AA157" s="12" t="str">
        <f aca="false">IF(AND($J157=1,$M157=1),SUMPRODUCT(MAX($J$6:$J$1062*(N157*$K$6:$K$1062/Span_P+O157*$F$6:$F$1062/Span_S+P157*$G$6:$G$1062/Span_B)-(1-$J$6:$J$1062)*1000000000)),"")</f>
        <v/>
      </c>
      <c r="AB157" s="15" t="str">
        <f aca="false">IF(AND($J157=1,$M157=1),IF(AA157-Z157&lt;=0.000000001,1,0),"")</f>
        <v/>
      </c>
      <c r="AC157" s="13" t="str">
        <f aca="false">IF(AND($J157=1,$M157=0),IF(S157="",0,S157*INDEX(Grid!$B$6:$H$156,R157+1,Q157+1))+IF(V157="",0,V157*INDEX(Grid!$B$6:$H$156,U157+1,T157+1))+IF(Y157="",0,Y157*INDEX(Grid!$B$6:$H$156,X157+1,W157+1)),"")</f>
        <v/>
      </c>
      <c r="AD157" s="13" t="str">
        <f aca="false">IF(AND($J157=1,$M157=0),IF(S157="",0,S157*Val_pt*(Ceiling_e-E_zero)*(1-(1-Half_gap)^Q157))+IF(V157="",0,V157*Val_pt*(Ceiling_e-E_zero)*(1-(1-Half_gap)^T157))+IF(Y157="",0,Y157*Val_pt*(Ceiling_e-E_zero)*(1-(1-Half_gap)^W157)),"")</f>
        <v/>
      </c>
      <c r="AE157" s="13" t="str">
        <f aca="false">IF(AND($J157=1,$M157=0),IF(S157="",0,S157*R157)+IF(V157="",0,V157*U157)+IF(Y157="",0,Y157*X157),"")</f>
        <v/>
      </c>
      <c r="AF157" s="12" t="str">
        <f aca="false">IF(AND($J157=1,$M157=0),MIN((AC157-E157)/Span_P,(AD157-F157)/Span_S,(AE157-G157)/Span_B),"")</f>
        <v/>
      </c>
      <c r="AG157" s="15" t="str">
        <f aca="false">IF(AND($J157=1,$M157=0),IF(AF157&gt;0.0000001,1,0),"")</f>
        <v/>
      </c>
      <c r="AH157" s="15" t="str">
        <f aca="false">IF($J157=1,IF($M157=1,AB157,AG157),"")</f>
        <v/>
      </c>
      <c r="AI157" s="13" t="str">
        <f aca="false">IF($J157=1,(Ideal_P-E157)/Span_P,"")</f>
        <v/>
      </c>
      <c r="AJ157" s="13" t="str">
        <f aca="false">IF($J157=1,(Ideal_S-F157)/Span_S,"")</f>
        <v/>
      </c>
      <c r="AK157" s="13" t="str">
        <f aca="false">IF($J157=1,(Ideal_B-G157)/Span_B,"")</f>
        <v/>
      </c>
      <c r="AL157" s="12" t="str">
        <f aca="false">IF($J157=1,MAX(ChA_1*AI157,ChA_2*AJ157,ChA_3*AK157)+Rho*(ChA_1*AI157+ChA_2*AJ157+ChA_3*AK157),"")</f>
        <v/>
      </c>
      <c r="AM157" s="12" t="str">
        <f aca="false">IF($J157=1,MAX(ChB_1*AI157,ChB_2*AJ157,ChB_3*AK157)+Rho*(ChB_1*AI157+ChB_2*AJ157+ChB_3*AK157),"")</f>
        <v/>
      </c>
      <c r="AN157" s="12" t="str">
        <f aca="false">IF($J157=1,MAX(Cx_1*(Ref_P-E157)/Span_P,Cx_2*(Ref_S-F157)/Span_S,Cx_3*(Ref_B-G157)/Span_B),"")</f>
        <v/>
      </c>
    </row>
    <row r="158" customFormat="false" ht="15" hidden="false" customHeight="false" outlineLevel="0" collapsed="false">
      <c r="A158" s="2" t="n">
        <v>152</v>
      </c>
      <c r="B158" s="15" t="n">
        <f aca="false">INT(A158/151)</f>
        <v>1</v>
      </c>
      <c r="C158" s="15" t="n">
        <f aca="false">MOD(A158,151)</f>
        <v>1</v>
      </c>
      <c r="D158" s="15" t="n">
        <f aca="false">INDEX(Grid!$J$6:$P$156,C158+1,B158+1)</f>
        <v>1</v>
      </c>
      <c r="E158" s="16" t="n">
        <f aca="false">IF(D158=1,INDEX(Grid!$B$6:$H$156,C158+1,B158+1),"")</f>
        <v>369.763553160179</v>
      </c>
      <c r="F158" s="13" t="n">
        <f aca="false">Val_pt*(Ceiling_e-E_zero)*(1-(1-Half_gap)^B158)</f>
        <v>70</v>
      </c>
      <c r="G158" s="15" t="n">
        <f aca="false">C158</f>
        <v>1</v>
      </c>
      <c r="H158" s="15" t="n">
        <f aca="false">IF(D158=1,INDEX(Grid!$R$6:$X$156,C158+1,B158+1),"")</f>
        <v>32</v>
      </c>
      <c r="I158" s="2" t="str">
        <f aca="false">IF(D158=1,INDEX(Sch_label,H158+1),"")</f>
        <v>1</v>
      </c>
      <c r="J158" s="15" t="n">
        <f aca="false">IF(D158=1,INDEX(Grid!$Z$6:$AF$156,C158+1,B158+1),0)</f>
        <v>0</v>
      </c>
      <c r="K158" s="16" t="n">
        <f aca="false">IF(J158=1,E158,0)</f>
        <v>0</v>
      </c>
      <c r="L158" s="17" t="n">
        <f aca="false">IF(D158=1,E158+W_board*F158,"")</f>
        <v>764.895304197823</v>
      </c>
      <c r="Z158" s="12" t="str">
        <f aca="false">IF(AND($J158=1,$M158=1),N158*E158/Span_P+O158*F158/Span_S+P158*G158/Span_B,"")</f>
        <v/>
      </c>
      <c r="AA158" s="12" t="str">
        <f aca="false">IF(AND($J158=1,$M158=1),SUMPRODUCT(MAX($J$6:$J$1062*(N158*$K$6:$K$1062/Span_P+O158*$F$6:$F$1062/Span_S+P158*$G$6:$G$1062/Span_B)-(1-$J$6:$J$1062)*1000000000)),"")</f>
        <v/>
      </c>
      <c r="AB158" s="15" t="str">
        <f aca="false">IF(AND($J158=1,$M158=1),IF(AA158-Z158&lt;=0.000000001,1,0),"")</f>
        <v/>
      </c>
      <c r="AC158" s="13" t="str">
        <f aca="false">IF(AND($J158=1,$M158=0),IF(S158="",0,S158*INDEX(Grid!$B$6:$H$156,R158+1,Q158+1))+IF(V158="",0,V158*INDEX(Grid!$B$6:$H$156,U158+1,T158+1))+IF(Y158="",0,Y158*INDEX(Grid!$B$6:$H$156,X158+1,W158+1)),"")</f>
        <v/>
      </c>
      <c r="AD158" s="13" t="str">
        <f aca="false">IF(AND($J158=1,$M158=0),IF(S158="",0,S158*Val_pt*(Ceiling_e-E_zero)*(1-(1-Half_gap)^Q158))+IF(V158="",0,V158*Val_pt*(Ceiling_e-E_zero)*(1-(1-Half_gap)^T158))+IF(Y158="",0,Y158*Val_pt*(Ceiling_e-E_zero)*(1-(1-Half_gap)^W158)),"")</f>
        <v/>
      </c>
      <c r="AE158" s="13" t="str">
        <f aca="false">IF(AND($J158=1,$M158=0),IF(S158="",0,S158*R158)+IF(V158="",0,V158*U158)+IF(Y158="",0,Y158*X158),"")</f>
        <v/>
      </c>
      <c r="AF158" s="12" t="str">
        <f aca="false">IF(AND($J158=1,$M158=0),MIN((AC158-E158)/Span_P,(AD158-F158)/Span_S,(AE158-G158)/Span_B),"")</f>
        <v/>
      </c>
      <c r="AG158" s="15" t="str">
        <f aca="false">IF(AND($J158=1,$M158=0),IF(AF158&gt;0.0000001,1,0),"")</f>
        <v/>
      </c>
      <c r="AH158" s="15" t="str">
        <f aca="false">IF($J158=1,IF($M158=1,AB158,AG158),"")</f>
        <v/>
      </c>
      <c r="AI158" s="13" t="str">
        <f aca="false">IF($J158=1,(Ideal_P-E158)/Span_P,"")</f>
        <v/>
      </c>
      <c r="AJ158" s="13" t="str">
        <f aca="false">IF($J158=1,(Ideal_S-F158)/Span_S,"")</f>
        <v/>
      </c>
      <c r="AK158" s="13" t="str">
        <f aca="false">IF($J158=1,(Ideal_B-G158)/Span_B,"")</f>
        <v/>
      </c>
      <c r="AL158" s="12" t="str">
        <f aca="false">IF($J158=1,MAX(ChA_1*AI158,ChA_2*AJ158,ChA_3*AK158)+Rho*(ChA_1*AI158+ChA_2*AJ158+ChA_3*AK158),"")</f>
        <v/>
      </c>
      <c r="AM158" s="12" t="str">
        <f aca="false">IF($J158=1,MAX(ChB_1*AI158,ChB_2*AJ158,ChB_3*AK158)+Rho*(ChB_1*AI158+ChB_2*AJ158+ChB_3*AK158),"")</f>
        <v/>
      </c>
      <c r="AN158" s="12" t="str">
        <f aca="false">IF($J158=1,MAX(Cx_1*(Ref_P-E158)/Span_P,Cx_2*(Ref_S-F158)/Span_S,Cx_3*(Ref_B-G158)/Span_B),"")</f>
        <v/>
      </c>
    </row>
    <row r="159" customFormat="false" ht="15" hidden="false" customHeight="false" outlineLevel="0" collapsed="false">
      <c r="A159" s="2" t="n">
        <v>153</v>
      </c>
      <c r="B159" s="15" t="n">
        <f aca="false">INT(A159/151)</f>
        <v>1</v>
      </c>
      <c r="C159" s="15" t="n">
        <f aca="false">MOD(A159,151)</f>
        <v>2</v>
      </c>
      <c r="D159" s="15" t="n">
        <f aca="false">INDEX(Grid!$J$6:$P$156,C159+1,B159+1)</f>
        <v>1</v>
      </c>
      <c r="E159" s="16" t="n">
        <f aca="false">IF(D159=1,INDEX(Grid!$B$6:$H$156,C159+1,B159+1),"")</f>
        <v>368.854462251088</v>
      </c>
      <c r="F159" s="13" t="n">
        <f aca="false">Val_pt*(Ceiling_e-E_zero)*(1-(1-Half_gap)^B159)</f>
        <v>70</v>
      </c>
      <c r="G159" s="15" t="n">
        <f aca="false">C159</f>
        <v>2</v>
      </c>
      <c r="H159" s="15" t="n">
        <f aca="false">IF(D159=1,INDEX(Grid!$R$6:$X$156,C159+1,B159+1),"")</f>
        <v>32</v>
      </c>
      <c r="I159" s="2" t="str">
        <f aca="false">IF(D159=1,INDEX(Sch_label,H159+1),"")</f>
        <v>1</v>
      </c>
      <c r="J159" s="15" t="n">
        <f aca="false">IF(D159=1,INDEX(Grid!$Z$6:$AF$156,C159+1,B159+1),0)</f>
        <v>0</v>
      </c>
      <c r="K159" s="16" t="n">
        <f aca="false">IF(J159=1,E159,0)</f>
        <v>0</v>
      </c>
      <c r="L159" s="17" t="n">
        <f aca="false">IF(D159=1,E159+W_board*F159,"")</f>
        <v>763.986213288732</v>
      </c>
      <c r="Z159" s="12" t="str">
        <f aca="false">IF(AND($J159=1,$M159=1),N159*E159/Span_P+O159*F159/Span_S+P159*G159/Span_B,"")</f>
        <v/>
      </c>
      <c r="AA159" s="12" t="str">
        <f aca="false">IF(AND($J159=1,$M159=1),SUMPRODUCT(MAX($J$6:$J$1062*(N159*$K$6:$K$1062/Span_P+O159*$F$6:$F$1062/Span_S+P159*$G$6:$G$1062/Span_B)-(1-$J$6:$J$1062)*1000000000)),"")</f>
        <v/>
      </c>
      <c r="AB159" s="15" t="str">
        <f aca="false">IF(AND($J159=1,$M159=1),IF(AA159-Z159&lt;=0.000000001,1,0),"")</f>
        <v/>
      </c>
      <c r="AC159" s="13" t="str">
        <f aca="false">IF(AND($J159=1,$M159=0),IF(S159="",0,S159*INDEX(Grid!$B$6:$H$156,R159+1,Q159+1))+IF(V159="",0,V159*INDEX(Grid!$B$6:$H$156,U159+1,T159+1))+IF(Y159="",0,Y159*INDEX(Grid!$B$6:$H$156,X159+1,W159+1)),"")</f>
        <v/>
      </c>
      <c r="AD159" s="13" t="str">
        <f aca="false">IF(AND($J159=1,$M159=0),IF(S159="",0,S159*Val_pt*(Ceiling_e-E_zero)*(1-(1-Half_gap)^Q159))+IF(V159="",0,V159*Val_pt*(Ceiling_e-E_zero)*(1-(1-Half_gap)^T159))+IF(Y159="",0,Y159*Val_pt*(Ceiling_e-E_zero)*(1-(1-Half_gap)^W159)),"")</f>
        <v/>
      </c>
      <c r="AE159" s="13" t="str">
        <f aca="false">IF(AND($J159=1,$M159=0),IF(S159="",0,S159*R159)+IF(V159="",0,V159*U159)+IF(Y159="",0,Y159*X159),"")</f>
        <v/>
      </c>
      <c r="AF159" s="12" t="str">
        <f aca="false">IF(AND($J159=1,$M159=0),MIN((AC159-E159)/Span_P,(AD159-F159)/Span_S,(AE159-G159)/Span_B),"")</f>
        <v/>
      </c>
      <c r="AG159" s="15" t="str">
        <f aca="false">IF(AND($J159=1,$M159=0),IF(AF159&gt;0.0000001,1,0),"")</f>
        <v/>
      </c>
      <c r="AH159" s="15" t="str">
        <f aca="false">IF($J159=1,IF($M159=1,AB159,AG159),"")</f>
        <v/>
      </c>
      <c r="AI159" s="13" t="str">
        <f aca="false">IF($J159=1,(Ideal_P-E159)/Span_P,"")</f>
        <v/>
      </c>
      <c r="AJ159" s="13" t="str">
        <f aca="false">IF($J159=1,(Ideal_S-F159)/Span_S,"")</f>
        <v/>
      </c>
      <c r="AK159" s="13" t="str">
        <f aca="false">IF($J159=1,(Ideal_B-G159)/Span_B,"")</f>
        <v/>
      </c>
      <c r="AL159" s="12" t="str">
        <f aca="false">IF($J159=1,MAX(ChA_1*AI159,ChA_2*AJ159,ChA_3*AK159)+Rho*(ChA_1*AI159+ChA_2*AJ159+ChA_3*AK159),"")</f>
        <v/>
      </c>
      <c r="AM159" s="12" t="str">
        <f aca="false">IF($J159=1,MAX(ChB_1*AI159,ChB_2*AJ159,ChB_3*AK159)+Rho*(ChB_1*AI159+ChB_2*AJ159+ChB_3*AK159),"")</f>
        <v/>
      </c>
      <c r="AN159" s="12" t="str">
        <f aca="false">IF($J159=1,MAX(Cx_1*(Ref_P-E159)/Span_P,Cx_2*(Ref_S-F159)/Span_S,Cx_3*(Ref_B-G159)/Span_B),"")</f>
        <v/>
      </c>
    </row>
    <row r="160" customFormat="false" ht="15" hidden="false" customHeight="false" outlineLevel="0" collapsed="false">
      <c r="A160" s="2" t="n">
        <v>154</v>
      </c>
      <c r="B160" s="15" t="n">
        <f aca="false">INT(A160/151)</f>
        <v>1</v>
      </c>
      <c r="C160" s="15" t="n">
        <f aca="false">MOD(A160,151)</f>
        <v>3</v>
      </c>
      <c r="D160" s="15" t="n">
        <f aca="false">INDEX(Grid!$J$6:$P$156,C160+1,B160+1)</f>
        <v>1</v>
      </c>
      <c r="E160" s="16" t="n">
        <f aca="false">IF(D160=1,INDEX(Grid!$B$6:$H$156,C160+1,B160+1),"")</f>
        <v>367.945371341997</v>
      </c>
      <c r="F160" s="13" t="n">
        <f aca="false">Val_pt*(Ceiling_e-E_zero)*(1-(1-Half_gap)^B160)</f>
        <v>70</v>
      </c>
      <c r="G160" s="15" t="n">
        <f aca="false">C160</f>
        <v>3</v>
      </c>
      <c r="H160" s="15" t="n">
        <f aca="false">IF(D160=1,INDEX(Grid!$R$6:$X$156,C160+1,B160+1),"")</f>
        <v>32</v>
      </c>
      <c r="I160" s="2" t="str">
        <f aca="false">IF(D160=1,INDEX(Sch_label,H160+1),"")</f>
        <v>1</v>
      </c>
      <c r="J160" s="15" t="n">
        <f aca="false">IF(D160=1,INDEX(Grid!$Z$6:$AF$156,C160+1,B160+1),0)</f>
        <v>0</v>
      </c>
      <c r="K160" s="16" t="n">
        <f aca="false">IF(J160=1,E160,0)</f>
        <v>0</v>
      </c>
      <c r="L160" s="17" t="n">
        <f aca="false">IF(D160=1,E160+W_board*F160,"")</f>
        <v>763.077122379641</v>
      </c>
      <c r="Z160" s="12" t="str">
        <f aca="false">IF(AND($J160=1,$M160=1),N160*E160/Span_P+O160*F160/Span_S+P160*G160/Span_B,"")</f>
        <v/>
      </c>
      <c r="AA160" s="12" t="str">
        <f aca="false">IF(AND($J160=1,$M160=1),SUMPRODUCT(MAX($J$6:$J$1062*(N160*$K$6:$K$1062/Span_P+O160*$F$6:$F$1062/Span_S+P160*$G$6:$G$1062/Span_B)-(1-$J$6:$J$1062)*1000000000)),"")</f>
        <v/>
      </c>
      <c r="AB160" s="15" t="str">
        <f aca="false">IF(AND($J160=1,$M160=1),IF(AA160-Z160&lt;=0.000000001,1,0),"")</f>
        <v/>
      </c>
      <c r="AC160" s="13" t="str">
        <f aca="false">IF(AND($J160=1,$M160=0),IF(S160="",0,S160*INDEX(Grid!$B$6:$H$156,R160+1,Q160+1))+IF(V160="",0,V160*INDEX(Grid!$B$6:$H$156,U160+1,T160+1))+IF(Y160="",0,Y160*INDEX(Grid!$B$6:$H$156,X160+1,W160+1)),"")</f>
        <v/>
      </c>
      <c r="AD160" s="13" t="str">
        <f aca="false">IF(AND($J160=1,$M160=0),IF(S160="",0,S160*Val_pt*(Ceiling_e-E_zero)*(1-(1-Half_gap)^Q160))+IF(V160="",0,V160*Val_pt*(Ceiling_e-E_zero)*(1-(1-Half_gap)^T160))+IF(Y160="",0,Y160*Val_pt*(Ceiling_e-E_zero)*(1-(1-Half_gap)^W160)),"")</f>
        <v/>
      </c>
      <c r="AE160" s="13" t="str">
        <f aca="false">IF(AND($J160=1,$M160=0),IF(S160="",0,S160*R160)+IF(V160="",0,V160*U160)+IF(Y160="",0,Y160*X160),"")</f>
        <v/>
      </c>
      <c r="AF160" s="12" t="str">
        <f aca="false">IF(AND($J160=1,$M160=0),MIN((AC160-E160)/Span_P,(AD160-F160)/Span_S,(AE160-G160)/Span_B),"")</f>
        <v/>
      </c>
      <c r="AG160" s="15" t="str">
        <f aca="false">IF(AND($J160=1,$M160=0),IF(AF160&gt;0.0000001,1,0),"")</f>
        <v/>
      </c>
      <c r="AH160" s="15" t="str">
        <f aca="false">IF($J160=1,IF($M160=1,AB160,AG160),"")</f>
        <v/>
      </c>
      <c r="AI160" s="13" t="str">
        <f aca="false">IF($J160=1,(Ideal_P-E160)/Span_P,"")</f>
        <v/>
      </c>
      <c r="AJ160" s="13" t="str">
        <f aca="false">IF($J160=1,(Ideal_S-F160)/Span_S,"")</f>
        <v/>
      </c>
      <c r="AK160" s="13" t="str">
        <f aca="false">IF($J160=1,(Ideal_B-G160)/Span_B,"")</f>
        <v/>
      </c>
      <c r="AL160" s="12" t="str">
        <f aca="false">IF($J160=1,MAX(ChA_1*AI160,ChA_2*AJ160,ChA_3*AK160)+Rho*(ChA_1*AI160+ChA_2*AJ160+ChA_3*AK160),"")</f>
        <v/>
      </c>
      <c r="AM160" s="12" t="str">
        <f aca="false">IF($J160=1,MAX(ChB_1*AI160,ChB_2*AJ160,ChB_3*AK160)+Rho*(ChB_1*AI160+ChB_2*AJ160+ChB_3*AK160),"")</f>
        <v/>
      </c>
      <c r="AN160" s="12" t="str">
        <f aca="false">IF($J160=1,MAX(Cx_1*(Ref_P-E160)/Span_P,Cx_2*(Ref_S-F160)/Span_S,Cx_3*(Ref_B-G160)/Span_B),"")</f>
        <v/>
      </c>
    </row>
    <row r="161" customFormat="false" ht="15" hidden="false" customHeight="false" outlineLevel="0" collapsed="false">
      <c r="A161" s="2" t="n">
        <v>155</v>
      </c>
      <c r="B161" s="15" t="n">
        <f aca="false">INT(A161/151)</f>
        <v>1</v>
      </c>
      <c r="C161" s="15" t="n">
        <f aca="false">MOD(A161,151)</f>
        <v>4</v>
      </c>
      <c r="D161" s="15" t="n">
        <f aca="false">INDEX(Grid!$J$6:$P$156,C161+1,B161+1)</f>
        <v>1</v>
      </c>
      <c r="E161" s="16" t="n">
        <f aca="false">IF(D161=1,INDEX(Grid!$B$6:$H$156,C161+1,B161+1),"")</f>
        <v>367.036280432906</v>
      </c>
      <c r="F161" s="13" t="n">
        <f aca="false">Val_pt*(Ceiling_e-E_zero)*(1-(1-Half_gap)^B161)</f>
        <v>70</v>
      </c>
      <c r="G161" s="15" t="n">
        <f aca="false">C161</f>
        <v>4</v>
      </c>
      <c r="H161" s="15" t="n">
        <f aca="false">IF(D161=1,INDEX(Grid!$R$6:$X$156,C161+1,B161+1),"")</f>
        <v>32</v>
      </c>
      <c r="I161" s="2" t="str">
        <f aca="false">IF(D161=1,INDEX(Sch_label,H161+1),"")</f>
        <v>1</v>
      </c>
      <c r="J161" s="15" t="n">
        <f aca="false">IF(D161=1,INDEX(Grid!$Z$6:$AF$156,C161+1,B161+1),0)</f>
        <v>0</v>
      </c>
      <c r="K161" s="16" t="n">
        <f aca="false">IF(J161=1,E161,0)</f>
        <v>0</v>
      </c>
      <c r="L161" s="17" t="n">
        <f aca="false">IF(D161=1,E161+W_board*F161,"")</f>
        <v>762.16803147055</v>
      </c>
      <c r="Z161" s="12" t="str">
        <f aca="false">IF(AND($J161=1,$M161=1),N161*E161/Span_P+O161*F161/Span_S+P161*G161/Span_B,"")</f>
        <v/>
      </c>
      <c r="AA161" s="12" t="str">
        <f aca="false">IF(AND($J161=1,$M161=1),SUMPRODUCT(MAX($J$6:$J$1062*(N161*$K$6:$K$1062/Span_P+O161*$F$6:$F$1062/Span_S+P161*$G$6:$G$1062/Span_B)-(1-$J$6:$J$1062)*1000000000)),"")</f>
        <v/>
      </c>
      <c r="AB161" s="15" t="str">
        <f aca="false">IF(AND($J161=1,$M161=1),IF(AA161-Z161&lt;=0.000000001,1,0),"")</f>
        <v/>
      </c>
      <c r="AC161" s="13" t="str">
        <f aca="false">IF(AND($J161=1,$M161=0),IF(S161="",0,S161*INDEX(Grid!$B$6:$H$156,R161+1,Q161+1))+IF(V161="",0,V161*INDEX(Grid!$B$6:$H$156,U161+1,T161+1))+IF(Y161="",0,Y161*INDEX(Grid!$B$6:$H$156,X161+1,W161+1)),"")</f>
        <v/>
      </c>
      <c r="AD161" s="13" t="str">
        <f aca="false">IF(AND($J161=1,$M161=0),IF(S161="",0,S161*Val_pt*(Ceiling_e-E_zero)*(1-(1-Half_gap)^Q161))+IF(V161="",0,V161*Val_pt*(Ceiling_e-E_zero)*(1-(1-Half_gap)^T161))+IF(Y161="",0,Y161*Val_pt*(Ceiling_e-E_zero)*(1-(1-Half_gap)^W161)),"")</f>
        <v/>
      </c>
      <c r="AE161" s="13" t="str">
        <f aca="false">IF(AND($J161=1,$M161=0),IF(S161="",0,S161*R161)+IF(V161="",0,V161*U161)+IF(Y161="",0,Y161*X161),"")</f>
        <v/>
      </c>
      <c r="AF161" s="12" t="str">
        <f aca="false">IF(AND($J161=1,$M161=0),MIN((AC161-E161)/Span_P,(AD161-F161)/Span_S,(AE161-G161)/Span_B),"")</f>
        <v/>
      </c>
      <c r="AG161" s="15" t="str">
        <f aca="false">IF(AND($J161=1,$M161=0),IF(AF161&gt;0.0000001,1,0),"")</f>
        <v/>
      </c>
      <c r="AH161" s="15" t="str">
        <f aca="false">IF($J161=1,IF($M161=1,AB161,AG161),"")</f>
        <v/>
      </c>
      <c r="AI161" s="13" t="str">
        <f aca="false">IF($J161=1,(Ideal_P-E161)/Span_P,"")</f>
        <v/>
      </c>
      <c r="AJ161" s="13" t="str">
        <f aca="false">IF($J161=1,(Ideal_S-F161)/Span_S,"")</f>
        <v/>
      </c>
      <c r="AK161" s="13" t="str">
        <f aca="false">IF($J161=1,(Ideal_B-G161)/Span_B,"")</f>
        <v/>
      </c>
      <c r="AL161" s="12" t="str">
        <f aca="false">IF($J161=1,MAX(ChA_1*AI161,ChA_2*AJ161,ChA_3*AK161)+Rho*(ChA_1*AI161+ChA_2*AJ161+ChA_3*AK161),"")</f>
        <v/>
      </c>
      <c r="AM161" s="12" t="str">
        <f aca="false">IF($J161=1,MAX(ChB_1*AI161,ChB_2*AJ161,ChB_3*AK161)+Rho*(ChB_1*AI161+ChB_2*AJ161+ChB_3*AK161),"")</f>
        <v/>
      </c>
      <c r="AN161" s="12" t="str">
        <f aca="false">IF($J161=1,MAX(Cx_1*(Ref_P-E161)/Span_P,Cx_2*(Ref_S-F161)/Span_S,Cx_3*(Ref_B-G161)/Span_B),"")</f>
        <v/>
      </c>
    </row>
    <row r="162" customFormat="false" ht="15" hidden="false" customHeight="false" outlineLevel="0" collapsed="false">
      <c r="A162" s="2" t="n">
        <v>156</v>
      </c>
      <c r="B162" s="15" t="n">
        <f aca="false">INT(A162/151)</f>
        <v>1</v>
      </c>
      <c r="C162" s="15" t="n">
        <f aca="false">MOD(A162,151)</f>
        <v>5</v>
      </c>
      <c r="D162" s="15" t="n">
        <f aca="false">INDEX(Grid!$J$6:$P$156,C162+1,B162+1)</f>
        <v>1</v>
      </c>
      <c r="E162" s="16" t="n">
        <f aca="false">IF(D162=1,INDEX(Grid!$B$6:$H$156,C162+1,B162+1),"")</f>
        <v>366.127189523815</v>
      </c>
      <c r="F162" s="13" t="n">
        <f aca="false">Val_pt*(Ceiling_e-E_zero)*(1-(1-Half_gap)^B162)</f>
        <v>70</v>
      </c>
      <c r="G162" s="15" t="n">
        <f aca="false">C162</f>
        <v>5</v>
      </c>
      <c r="H162" s="15" t="n">
        <f aca="false">IF(D162=1,INDEX(Grid!$R$6:$X$156,C162+1,B162+1),"")</f>
        <v>32</v>
      </c>
      <c r="I162" s="2" t="str">
        <f aca="false">IF(D162=1,INDEX(Sch_label,H162+1),"")</f>
        <v>1</v>
      </c>
      <c r="J162" s="15" t="n">
        <f aca="false">IF(D162=1,INDEX(Grid!$Z$6:$AF$156,C162+1,B162+1),0)</f>
        <v>0</v>
      </c>
      <c r="K162" s="16" t="n">
        <f aca="false">IF(J162=1,E162,0)</f>
        <v>0</v>
      </c>
      <c r="L162" s="17" t="n">
        <f aca="false">IF(D162=1,E162+W_board*F162,"")</f>
        <v>761.258940561459</v>
      </c>
      <c r="Z162" s="12" t="str">
        <f aca="false">IF(AND($J162=1,$M162=1),N162*E162/Span_P+O162*F162/Span_S+P162*G162/Span_B,"")</f>
        <v/>
      </c>
      <c r="AA162" s="12" t="str">
        <f aca="false">IF(AND($J162=1,$M162=1),SUMPRODUCT(MAX($J$6:$J$1062*(N162*$K$6:$K$1062/Span_P+O162*$F$6:$F$1062/Span_S+P162*$G$6:$G$1062/Span_B)-(1-$J$6:$J$1062)*1000000000)),"")</f>
        <v/>
      </c>
      <c r="AB162" s="15" t="str">
        <f aca="false">IF(AND($J162=1,$M162=1),IF(AA162-Z162&lt;=0.000000001,1,0),"")</f>
        <v/>
      </c>
      <c r="AC162" s="13" t="str">
        <f aca="false">IF(AND($J162=1,$M162=0),IF(S162="",0,S162*INDEX(Grid!$B$6:$H$156,R162+1,Q162+1))+IF(V162="",0,V162*INDEX(Grid!$B$6:$H$156,U162+1,T162+1))+IF(Y162="",0,Y162*INDEX(Grid!$B$6:$H$156,X162+1,W162+1)),"")</f>
        <v/>
      </c>
      <c r="AD162" s="13" t="str">
        <f aca="false">IF(AND($J162=1,$M162=0),IF(S162="",0,S162*Val_pt*(Ceiling_e-E_zero)*(1-(1-Half_gap)^Q162))+IF(V162="",0,V162*Val_pt*(Ceiling_e-E_zero)*(1-(1-Half_gap)^T162))+IF(Y162="",0,Y162*Val_pt*(Ceiling_e-E_zero)*(1-(1-Half_gap)^W162)),"")</f>
        <v/>
      </c>
      <c r="AE162" s="13" t="str">
        <f aca="false">IF(AND($J162=1,$M162=0),IF(S162="",0,S162*R162)+IF(V162="",0,V162*U162)+IF(Y162="",0,Y162*X162),"")</f>
        <v/>
      </c>
      <c r="AF162" s="12" t="str">
        <f aca="false">IF(AND($J162=1,$M162=0),MIN((AC162-E162)/Span_P,(AD162-F162)/Span_S,(AE162-G162)/Span_B),"")</f>
        <v/>
      </c>
      <c r="AG162" s="15" t="str">
        <f aca="false">IF(AND($J162=1,$M162=0),IF(AF162&gt;0.0000001,1,0),"")</f>
        <v/>
      </c>
      <c r="AH162" s="15" t="str">
        <f aca="false">IF($J162=1,IF($M162=1,AB162,AG162),"")</f>
        <v/>
      </c>
      <c r="AI162" s="13" t="str">
        <f aca="false">IF($J162=1,(Ideal_P-E162)/Span_P,"")</f>
        <v/>
      </c>
      <c r="AJ162" s="13" t="str">
        <f aca="false">IF($J162=1,(Ideal_S-F162)/Span_S,"")</f>
        <v/>
      </c>
      <c r="AK162" s="13" t="str">
        <f aca="false">IF($J162=1,(Ideal_B-G162)/Span_B,"")</f>
        <v/>
      </c>
      <c r="AL162" s="12" t="str">
        <f aca="false">IF($J162=1,MAX(ChA_1*AI162,ChA_2*AJ162,ChA_3*AK162)+Rho*(ChA_1*AI162+ChA_2*AJ162+ChA_3*AK162),"")</f>
        <v/>
      </c>
      <c r="AM162" s="12" t="str">
        <f aca="false">IF($J162=1,MAX(ChB_1*AI162,ChB_2*AJ162,ChB_3*AK162)+Rho*(ChB_1*AI162+ChB_2*AJ162+ChB_3*AK162),"")</f>
        <v/>
      </c>
      <c r="AN162" s="12" t="str">
        <f aca="false">IF($J162=1,MAX(Cx_1*(Ref_P-E162)/Span_P,Cx_2*(Ref_S-F162)/Span_S,Cx_3*(Ref_B-G162)/Span_B),"")</f>
        <v/>
      </c>
    </row>
    <row r="163" customFormat="false" ht="15" hidden="false" customHeight="false" outlineLevel="0" collapsed="false">
      <c r="A163" s="2" t="n">
        <v>157</v>
      </c>
      <c r="B163" s="15" t="n">
        <f aca="false">INT(A163/151)</f>
        <v>1</v>
      </c>
      <c r="C163" s="15" t="n">
        <f aca="false">MOD(A163,151)</f>
        <v>6</v>
      </c>
      <c r="D163" s="15" t="n">
        <f aca="false">INDEX(Grid!$J$6:$P$156,C163+1,B163+1)</f>
        <v>1</v>
      </c>
      <c r="E163" s="16" t="n">
        <f aca="false">IF(D163=1,INDEX(Grid!$B$6:$H$156,C163+1,B163+1),"")</f>
        <v>365.218098614725</v>
      </c>
      <c r="F163" s="13" t="n">
        <f aca="false">Val_pt*(Ceiling_e-E_zero)*(1-(1-Half_gap)^B163)</f>
        <v>70</v>
      </c>
      <c r="G163" s="15" t="n">
        <f aca="false">C163</f>
        <v>6</v>
      </c>
      <c r="H163" s="15" t="n">
        <f aca="false">IF(D163=1,INDEX(Grid!$R$6:$X$156,C163+1,B163+1),"")</f>
        <v>32</v>
      </c>
      <c r="I163" s="2" t="str">
        <f aca="false">IF(D163=1,INDEX(Sch_label,H163+1),"")</f>
        <v>1</v>
      </c>
      <c r="J163" s="15" t="n">
        <f aca="false">IF(D163=1,INDEX(Grid!$Z$6:$AF$156,C163+1,B163+1),0)</f>
        <v>0</v>
      </c>
      <c r="K163" s="16" t="n">
        <f aca="false">IF(J163=1,E163,0)</f>
        <v>0</v>
      </c>
      <c r="L163" s="17" t="n">
        <f aca="false">IF(D163=1,E163+W_board*F163,"")</f>
        <v>760.349849652369</v>
      </c>
      <c r="Z163" s="12" t="str">
        <f aca="false">IF(AND($J163=1,$M163=1),N163*E163/Span_P+O163*F163/Span_S+P163*G163/Span_B,"")</f>
        <v/>
      </c>
      <c r="AA163" s="12" t="str">
        <f aca="false">IF(AND($J163=1,$M163=1),SUMPRODUCT(MAX($J$6:$J$1062*(N163*$K$6:$K$1062/Span_P+O163*$F$6:$F$1062/Span_S+P163*$G$6:$G$1062/Span_B)-(1-$J$6:$J$1062)*1000000000)),"")</f>
        <v/>
      </c>
      <c r="AB163" s="15" t="str">
        <f aca="false">IF(AND($J163=1,$M163=1),IF(AA163-Z163&lt;=0.000000001,1,0),"")</f>
        <v/>
      </c>
      <c r="AC163" s="13" t="str">
        <f aca="false">IF(AND($J163=1,$M163=0),IF(S163="",0,S163*INDEX(Grid!$B$6:$H$156,R163+1,Q163+1))+IF(V163="",0,V163*INDEX(Grid!$B$6:$H$156,U163+1,T163+1))+IF(Y163="",0,Y163*INDEX(Grid!$B$6:$H$156,X163+1,W163+1)),"")</f>
        <v/>
      </c>
      <c r="AD163" s="13" t="str">
        <f aca="false">IF(AND($J163=1,$M163=0),IF(S163="",0,S163*Val_pt*(Ceiling_e-E_zero)*(1-(1-Half_gap)^Q163))+IF(V163="",0,V163*Val_pt*(Ceiling_e-E_zero)*(1-(1-Half_gap)^T163))+IF(Y163="",0,Y163*Val_pt*(Ceiling_e-E_zero)*(1-(1-Half_gap)^W163)),"")</f>
        <v/>
      </c>
      <c r="AE163" s="13" t="str">
        <f aca="false">IF(AND($J163=1,$M163=0),IF(S163="",0,S163*R163)+IF(V163="",0,V163*U163)+IF(Y163="",0,Y163*X163),"")</f>
        <v/>
      </c>
      <c r="AF163" s="12" t="str">
        <f aca="false">IF(AND($J163=1,$M163=0),MIN((AC163-E163)/Span_P,(AD163-F163)/Span_S,(AE163-G163)/Span_B),"")</f>
        <v/>
      </c>
      <c r="AG163" s="15" t="str">
        <f aca="false">IF(AND($J163=1,$M163=0),IF(AF163&gt;0.0000001,1,0),"")</f>
        <v/>
      </c>
      <c r="AH163" s="15" t="str">
        <f aca="false">IF($J163=1,IF($M163=1,AB163,AG163),"")</f>
        <v/>
      </c>
      <c r="AI163" s="13" t="str">
        <f aca="false">IF($J163=1,(Ideal_P-E163)/Span_P,"")</f>
        <v/>
      </c>
      <c r="AJ163" s="13" t="str">
        <f aca="false">IF($J163=1,(Ideal_S-F163)/Span_S,"")</f>
        <v/>
      </c>
      <c r="AK163" s="13" t="str">
        <f aca="false">IF($J163=1,(Ideal_B-G163)/Span_B,"")</f>
        <v/>
      </c>
      <c r="AL163" s="12" t="str">
        <f aca="false">IF($J163=1,MAX(ChA_1*AI163,ChA_2*AJ163,ChA_3*AK163)+Rho*(ChA_1*AI163+ChA_2*AJ163+ChA_3*AK163),"")</f>
        <v/>
      </c>
      <c r="AM163" s="12" t="str">
        <f aca="false">IF($J163=1,MAX(ChB_1*AI163,ChB_2*AJ163,ChB_3*AK163)+Rho*(ChB_1*AI163+ChB_2*AJ163+ChB_3*AK163),"")</f>
        <v/>
      </c>
      <c r="AN163" s="12" t="str">
        <f aca="false">IF($J163=1,MAX(Cx_1*(Ref_P-E163)/Span_P,Cx_2*(Ref_S-F163)/Span_S,Cx_3*(Ref_B-G163)/Span_B),"")</f>
        <v/>
      </c>
    </row>
    <row r="164" customFormat="false" ht="15" hidden="false" customHeight="false" outlineLevel="0" collapsed="false">
      <c r="A164" s="2" t="n">
        <v>158</v>
      </c>
      <c r="B164" s="15" t="n">
        <f aca="false">INT(A164/151)</f>
        <v>1</v>
      </c>
      <c r="C164" s="15" t="n">
        <f aca="false">MOD(A164,151)</f>
        <v>7</v>
      </c>
      <c r="D164" s="15" t="n">
        <f aca="false">INDEX(Grid!$J$6:$P$156,C164+1,B164+1)</f>
        <v>1</v>
      </c>
      <c r="E164" s="16" t="n">
        <f aca="false">IF(D164=1,INDEX(Grid!$B$6:$H$156,C164+1,B164+1),"")</f>
        <v>364.309007705634</v>
      </c>
      <c r="F164" s="13" t="n">
        <f aca="false">Val_pt*(Ceiling_e-E_zero)*(1-(1-Half_gap)^B164)</f>
        <v>70</v>
      </c>
      <c r="G164" s="15" t="n">
        <f aca="false">C164</f>
        <v>7</v>
      </c>
      <c r="H164" s="15" t="n">
        <f aca="false">IF(D164=1,INDEX(Grid!$R$6:$X$156,C164+1,B164+1),"")</f>
        <v>32</v>
      </c>
      <c r="I164" s="2" t="str">
        <f aca="false">IF(D164=1,INDEX(Sch_label,H164+1),"")</f>
        <v>1</v>
      </c>
      <c r="J164" s="15" t="n">
        <f aca="false">IF(D164=1,INDEX(Grid!$Z$6:$AF$156,C164+1,B164+1),0)</f>
        <v>0</v>
      </c>
      <c r="K164" s="16" t="n">
        <f aca="false">IF(J164=1,E164,0)</f>
        <v>0</v>
      </c>
      <c r="L164" s="17" t="n">
        <f aca="false">IF(D164=1,E164+W_board*F164,"")</f>
        <v>759.440758743278</v>
      </c>
      <c r="Z164" s="12" t="str">
        <f aca="false">IF(AND($J164=1,$M164=1),N164*E164/Span_P+O164*F164/Span_S+P164*G164/Span_B,"")</f>
        <v/>
      </c>
      <c r="AA164" s="12" t="str">
        <f aca="false">IF(AND($J164=1,$M164=1),SUMPRODUCT(MAX($J$6:$J$1062*(N164*$K$6:$K$1062/Span_P+O164*$F$6:$F$1062/Span_S+P164*$G$6:$G$1062/Span_B)-(1-$J$6:$J$1062)*1000000000)),"")</f>
        <v/>
      </c>
      <c r="AB164" s="15" t="str">
        <f aca="false">IF(AND($J164=1,$M164=1),IF(AA164-Z164&lt;=0.000000001,1,0),"")</f>
        <v/>
      </c>
      <c r="AC164" s="13" t="str">
        <f aca="false">IF(AND($J164=1,$M164=0),IF(S164="",0,S164*INDEX(Grid!$B$6:$H$156,R164+1,Q164+1))+IF(V164="",0,V164*INDEX(Grid!$B$6:$H$156,U164+1,T164+1))+IF(Y164="",0,Y164*INDEX(Grid!$B$6:$H$156,X164+1,W164+1)),"")</f>
        <v/>
      </c>
      <c r="AD164" s="13" t="str">
        <f aca="false">IF(AND($J164=1,$M164=0),IF(S164="",0,S164*Val_pt*(Ceiling_e-E_zero)*(1-(1-Half_gap)^Q164))+IF(V164="",0,V164*Val_pt*(Ceiling_e-E_zero)*(1-(1-Half_gap)^T164))+IF(Y164="",0,Y164*Val_pt*(Ceiling_e-E_zero)*(1-(1-Half_gap)^W164)),"")</f>
        <v/>
      </c>
      <c r="AE164" s="13" t="str">
        <f aca="false">IF(AND($J164=1,$M164=0),IF(S164="",0,S164*R164)+IF(V164="",0,V164*U164)+IF(Y164="",0,Y164*X164),"")</f>
        <v/>
      </c>
      <c r="AF164" s="12" t="str">
        <f aca="false">IF(AND($J164=1,$M164=0),MIN((AC164-E164)/Span_P,(AD164-F164)/Span_S,(AE164-G164)/Span_B),"")</f>
        <v/>
      </c>
      <c r="AG164" s="15" t="str">
        <f aca="false">IF(AND($J164=1,$M164=0),IF(AF164&gt;0.0000001,1,0),"")</f>
        <v/>
      </c>
      <c r="AH164" s="15" t="str">
        <f aca="false">IF($J164=1,IF($M164=1,AB164,AG164),"")</f>
        <v/>
      </c>
      <c r="AI164" s="13" t="str">
        <f aca="false">IF($J164=1,(Ideal_P-E164)/Span_P,"")</f>
        <v/>
      </c>
      <c r="AJ164" s="13" t="str">
        <f aca="false">IF($J164=1,(Ideal_S-F164)/Span_S,"")</f>
        <v/>
      </c>
      <c r="AK164" s="13" t="str">
        <f aca="false">IF($J164=1,(Ideal_B-G164)/Span_B,"")</f>
        <v/>
      </c>
      <c r="AL164" s="12" t="str">
        <f aca="false">IF($J164=1,MAX(ChA_1*AI164,ChA_2*AJ164,ChA_3*AK164)+Rho*(ChA_1*AI164+ChA_2*AJ164+ChA_3*AK164),"")</f>
        <v/>
      </c>
      <c r="AM164" s="12" t="str">
        <f aca="false">IF($J164=1,MAX(ChB_1*AI164,ChB_2*AJ164,ChB_3*AK164)+Rho*(ChB_1*AI164+ChB_2*AJ164+ChB_3*AK164),"")</f>
        <v/>
      </c>
      <c r="AN164" s="12" t="str">
        <f aca="false">IF($J164=1,MAX(Cx_1*(Ref_P-E164)/Span_P,Cx_2*(Ref_S-F164)/Span_S,Cx_3*(Ref_B-G164)/Span_B),"")</f>
        <v/>
      </c>
    </row>
    <row r="165" customFormat="false" ht="15" hidden="false" customHeight="false" outlineLevel="0" collapsed="false">
      <c r="A165" s="2" t="n">
        <v>159</v>
      </c>
      <c r="B165" s="15" t="n">
        <f aca="false">INT(A165/151)</f>
        <v>1</v>
      </c>
      <c r="C165" s="15" t="n">
        <f aca="false">MOD(A165,151)</f>
        <v>8</v>
      </c>
      <c r="D165" s="15" t="n">
        <f aca="false">INDEX(Grid!$J$6:$P$156,C165+1,B165+1)</f>
        <v>1</v>
      </c>
      <c r="E165" s="16" t="n">
        <f aca="false">IF(D165=1,INDEX(Grid!$B$6:$H$156,C165+1,B165+1),"")</f>
        <v>363.399916796543</v>
      </c>
      <c r="F165" s="13" t="n">
        <f aca="false">Val_pt*(Ceiling_e-E_zero)*(1-(1-Half_gap)^B165)</f>
        <v>70</v>
      </c>
      <c r="G165" s="15" t="n">
        <f aca="false">C165</f>
        <v>8</v>
      </c>
      <c r="H165" s="15" t="n">
        <f aca="false">IF(D165=1,INDEX(Grid!$R$6:$X$156,C165+1,B165+1),"")</f>
        <v>32</v>
      </c>
      <c r="I165" s="2" t="str">
        <f aca="false">IF(D165=1,INDEX(Sch_label,H165+1),"")</f>
        <v>1</v>
      </c>
      <c r="J165" s="15" t="n">
        <f aca="false">IF(D165=1,INDEX(Grid!$Z$6:$AF$156,C165+1,B165+1),0)</f>
        <v>0</v>
      </c>
      <c r="K165" s="16" t="n">
        <f aca="false">IF(J165=1,E165,0)</f>
        <v>0</v>
      </c>
      <c r="L165" s="17" t="n">
        <f aca="false">IF(D165=1,E165+W_board*F165,"")</f>
        <v>758.531667834187</v>
      </c>
      <c r="Z165" s="12" t="str">
        <f aca="false">IF(AND($J165=1,$M165=1),N165*E165/Span_P+O165*F165/Span_S+P165*G165/Span_B,"")</f>
        <v/>
      </c>
      <c r="AA165" s="12" t="str">
        <f aca="false">IF(AND($J165=1,$M165=1),SUMPRODUCT(MAX($J$6:$J$1062*(N165*$K$6:$K$1062/Span_P+O165*$F$6:$F$1062/Span_S+P165*$G$6:$G$1062/Span_B)-(1-$J$6:$J$1062)*1000000000)),"")</f>
        <v/>
      </c>
      <c r="AB165" s="15" t="str">
        <f aca="false">IF(AND($J165=1,$M165=1),IF(AA165-Z165&lt;=0.000000001,1,0),"")</f>
        <v/>
      </c>
      <c r="AC165" s="13" t="str">
        <f aca="false">IF(AND($J165=1,$M165=0),IF(S165="",0,S165*INDEX(Grid!$B$6:$H$156,R165+1,Q165+1))+IF(V165="",0,V165*INDEX(Grid!$B$6:$H$156,U165+1,T165+1))+IF(Y165="",0,Y165*INDEX(Grid!$B$6:$H$156,X165+1,W165+1)),"")</f>
        <v/>
      </c>
      <c r="AD165" s="13" t="str">
        <f aca="false">IF(AND($J165=1,$M165=0),IF(S165="",0,S165*Val_pt*(Ceiling_e-E_zero)*(1-(1-Half_gap)^Q165))+IF(V165="",0,V165*Val_pt*(Ceiling_e-E_zero)*(1-(1-Half_gap)^T165))+IF(Y165="",0,Y165*Val_pt*(Ceiling_e-E_zero)*(1-(1-Half_gap)^W165)),"")</f>
        <v/>
      </c>
      <c r="AE165" s="13" t="str">
        <f aca="false">IF(AND($J165=1,$M165=0),IF(S165="",0,S165*R165)+IF(V165="",0,V165*U165)+IF(Y165="",0,Y165*X165),"")</f>
        <v/>
      </c>
      <c r="AF165" s="12" t="str">
        <f aca="false">IF(AND($J165=1,$M165=0),MIN((AC165-E165)/Span_P,(AD165-F165)/Span_S,(AE165-G165)/Span_B),"")</f>
        <v/>
      </c>
      <c r="AG165" s="15" t="str">
        <f aca="false">IF(AND($J165=1,$M165=0),IF(AF165&gt;0.0000001,1,0),"")</f>
        <v/>
      </c>
      <c r="AH165" s="15" t="str">
        <f aca="false">IF($J165=1,IF($M165=1,AB165,AG165),"")</f>
        <v/>
      </c>
      <c r="AI165" s="13" t="str">
        <f aca="false">IF($J165=1,(Ideal_P-E165)/Span_P,"")</f>
        <v/>
      </c>
      <c r="AJ165" s="13" t="str">
        <f aca="false">IF($J165=1,(Ideal_S-F165)/Span_S,"")</f>
        <v/>
      </c>
      <c r="AK165" s="13" t="str">
        <f aca="false">IF($J165=1,(Ideal_B-G165)/Span_B,"")</f>
        <v/>
      </c>
      <c r="AL165" s="12" t="str">
        <f aca="false">IF($J165=1,MAX(ChA_1*AI165,ChA_2*AJ165,ChA_3*AK165)+Rho*(ChA_1*AI165+ChA_2*AJ165+ChA_3*AK165),"")</f>
        <v/>
      </c>
      <c r="AM165" s="12" t="str">
        <f aca="false">IF($J165=1,MAX(ChB_1*AI165,ChB_2*AJ165,ChB_3*AK165)+Rho*(ChB_1*AI165+ChB_2*AJ165+ChB_3*AK165),"")</f>
        <v/>
      </c>
      <c r="AN165" s="12" t="str">
        <f aca="false">IF($J165=1,MAX(Cx_1*(Ref_P-E165)/Span_P,Cx_2*(Ref_S-F165)/Span_S,Cx_3*(Ref_B-G165)/Span_B),"")</f>
        <v/>
      </c>
    </row>
    <row r="166" customFormat="false" ht="15" hidden="false" customHeight="false" outlineLevel="0" collapsed="false">
      <c r="A166" s="2" t="n">
        <v>160</v>
      </c>
      <c r="B166" s="15" t="n">
        <f aca="false">INT(A166/151)</f>
        <v>1</v>
      </c>
      <c r="C166" s="15" t="n">
        <f aca="false">MOD(A166,151)</f>
        <v>9</v>
      </c>
      <c r="D166" s="15" t="n">
        <f aca="false">INDEX(Grid!$J$6:$P$156,C166+1,B166+1)</f>
        <v>1</v>
      </c>
      <c r="E166" s="16" t="n">
        <f aca="false">IF(D166=1,INDEX(Grid!$B$6:$H$156,C166+1,B166+1),"")</f>
        <v>362.490825887452</v>
      </c>
      <c r="F166" s="13" t="n">
        <f aca="false">Val_pt*(Ceiling_e-E_zero)*(1-(1-Half_gap)^B166)</f>
        <v>70</v>
      </c>
      <c r="G166" s="15" t="n">
        <f aca="false">C166</f>
        <v>9</v>
      </c>
      <c r="H166" s="15" t="n">
        <f aca="false">IF(D166=1,INDEX(Grid!$R$6:$X$156,C166+1,B166+1),"")</f>
        <v>32</v>
      </c>
      <c r="I166" s="2" t="str">
        <f aca="false">IF(D166=1,INDEX(Sch_label,H166+1),"")</f>
        <v>1</v>
      </c>
      <c r="J166" s="15" t="n">
        <f aca="false">IF(D166=1,INDEX(Grid!$Z$6:$AF$156,C166+1,B166+1),0)</f>
        <v>0</v>
      </c>
      <c r="K166" s="16" t="n">
        <f aca="false">IF(J166=1,E166,0)</f>
        <v>0</v>
      </c>
      <c r="L166" s="17" t="n">
        <f aca="false">IF(D166=1,E166+W_board*F166,"")</f>
        <v>757.622576925096</v>
      </c>
      <c r="Z166" s="12" t="str">
        <f aca="false">IF(AND($J166=1,$M166=1),N166*E166/Span_P+O166*F166/Span_S+P166*G166/Span_B,"")</f>
        <v/>
      </c>
      <c r="AA166" s="12" t="str">
        <f aca="false">IF(AND($J166=1,$M166=1),SUMPRODUCT(MAX($J$6:$J$1062*(N166*$K$6:$K$1062/Span_P+O166*$F$6:$F$1062/Span_S+P166*$G$6:$G$1062/Span_B)-(1-$J$6:$J$1062)*1000000000)),"")</f>
        <v/>
      </c>
      <c r="AB166" s="15" t="str">
        <f aca="false">IF(AND($J166=1,$M166=1),IF(AA166-Z166&lt;=0.000000001,1,0),"")</f>
        <v/>
      </c>
      <c r="AC166" s="13" t="str">
        <f aca="false">IF(AND($J166=1,$M166=0),IF(S166="",0,S166*INDEX(Grid!$B$6:$H$156,R166+1,Q166+1))+IF(V166="",0,V166*INDEX(Grid!$B$6:$H$156,U166+1,T166+1))+IF(Y166="",0,Y166*INDEX(Grid!$B$6:$H$156,X166+1,W166+1)),"")</f>
        <v/>
      </c>
      <c r="AD166" s="13" t="str">
        <f aca="false">IF(AND($J166=1,$M166=0),IF(S166="",0,S166*Val_pt*(Ceiling_e-E_zero)*(1-(1-Half_gap)^Q166))+IF(V166="",0,V166*Val_pt*(Ceiling_e-E_zero)*(1-(1-Half_gap)^T166))+IF(Y166="",0,Y166*Val_pt*(Ceiling_e-E_zero)*(1-(1-Half_gap)^W166)),"")</f>
        <v/>
      </c>
      <c r="AE166" s="13" t="str">
        <f aca="false">IF(AND($J166=1,$M166=0),IF(S166="",0,S166*R166)+IF(V166="",0,V166*U166)+IF(Y166="",0,Y166*X166),"")</f>
        <v/>
      </c>
      <c r="AF166" s="12" t="str">
        <f aca="false">IF(AND($J166=1,$M166=0),MIN((AC166-E166)/Span_P,(AD166-F166)/Span_S,(AE166-G166)/Span_B),"")</f>
        <v/>
      </c>
      <c r="AG166" s="15" t="str">
        <f aca="false">IF(AND($J166=1,$M166=0),IF(AF166&gt;0.0000001,1,0),"")</f>
        <v/>
      </c>
      <c r="AH166" s="15" t="str">
        <f aca="false">IF($J166=1,IF($M166=1,AB166,AG166),"")</f>
        <v/>
      </c>
      <c r="AI166" s="13" t="str">
        <f aca="false">IF($J166=1,(Ideal_P-E166)/Span_P,"")</f>
        <v/>
      </c>
      <c r="AJ166" s="13" t="str">
        <f aca="false">IF($J166=1,(Ideal_S-F166)/Span_S,"")</f>
        <v/>
      </c>
      <c r="AK166" s="13" t="str">
        <f aca="false">IF($J166=1,(Ideal_B-G166)/Span_B,"")</f>
        <v/>
      </c>
      <c r="AL166" s="12" t="str">
        <f aca="false">IF($J166=1,MAX(ChA_1*AI166,ChA_2*AJ166,ChA_3*AK166)+Rho*(ChA_1*AI166+ChA_2*AJ166+ChA_3*AK166),"")</f>
        <v/>
      </c>
      <c r="AM166" s="12" t="str">
        <f aca="false">IF($J166=1,MAX(ChB_1*AI166,ChB_2*AJ166,ChB_3*AK166)+Rho*(ChB_1*AI166+ChB_2*AJ166+ChB_3*AK166),"")</f>
        <v/>
      </c>
      <c r="AN166" s="12" t="str">
        <f aca="false">IF($J166=1,MAX(Cx_1*(Ref_P-E166)/Span_P,Cx_2*(Ref_S-F166)/Span_S,Cx_3*(Ref_B-G166)/Span_B),"")</f>
        <v/>
      </c>
    </row>
    <row r="167" customFormat="false" ht="15" hidden="false" customHeight="false" outlineLevel="0" collapsed="false">
      <c r="A167" s="2" t="n">
        <v>161</v>
      </c>
      <c r="B167" s="15" t="n">
        <f aca="false">INT(A167/151)</f>
        <v>1</v>
      </c>
      <c r="C167" s="15" t="n">
        <f aca="false">MOD(A167,151)</f>
        <v>10</v>
      </c>
      <c r="D167" s="15" t="n">
        <f aca="false">INDEX(Grid!$J$6:$P$156,C167+1,B167+1)</f>
        <v>1</v>
      </c>
      <c r="E167" s="16" t="n">
        <f aca="false">IF(D167=1,INDEX(Grid!$B$6:$H$156,C167+1,B167+1),"")</f>
        <v>361.581734978361</v>
      </c>
      <c r="F167" s="13" t="n">
        <f aca="false">Val_pt*(Ceiling_e-E_zero)*(1-(1-Half_gap)^B167)</f>
        <v>70</v>
      </c>
      <c r="G167" s="15" t="n">
        <f aca="false">C167</f>
        <v>10</v>
      </c>
      <c r="H167" s="15" t="n">
        <f aca="false">IF(D167=1,INDEX(Grid!$R$6:$X$156,C167+1,B167+1),"")</f>
        <v>32</v>
      </c>
      <c r="I167" s="2" t="str">
        <f aca="false">IF(D167=1,INDEX(Sch_label,H167+1),"")</f>
        <v>1</v>
      </c>
      <c r="J167" s="15" t="n">
        <f aca="false">IF(D167=1,INDEX(Grid!$Z$6:$AF$156,C167+1,B167+1),0)</f>
        <v>0</v>
      </c>
      <c r="K167" s="16" t="n">
        <f aca="false">IF(J167=1,E167,0)</f>
        <v>0</v>
      </c>
      <c r="L167" s="17" t="n">
        <f aca="false">IF(D167=1,E167+W_board*F167,"")</f>
        <v>756.713486016005</v>
      </c>
      <c r="Z167" s="12" t="str">
        <f aca="false">IF(AND($J167=1,$M167=1),N167*E167/Span_P+O167*F167/Span_S+P167*G167/Span_B,"")</f>
        <v/>
      </c>
      <c r="AA167" s="12" t="str">
        <f aca="false">IF(AND($J167=1,$M167=1),SUMPRODUCT(MAX($J$6:$J$1062*(N167*$K$6:$K$1062/Span_P+O167*$F$6:$F$1062/Span_S+P167*$G$6:$G$1062/Span_B)-(1-$J$6:$J$1062)*1000000000)),"")</f>
        <v/>
      </c>
      <c r="AB167" s="15" t="str">
        <f aca="false">IF(AND($J167=1,$M167=1),IF(AA167-Z167&lt;=0.000000001,1,0),"")</f>
        <v/>
      </c>
      <c r="AC167" s="13" t="str">
        <f aca="false">IF(AND($J167=1,$M167=0),IF(S167="",0,S167*INDEX(Grid!$B$6:$H$156,R167+1,Q167+1))+IF(V167="",0,V167*INDEX(Grid!$B$6:$H$156,U167+1,T167+1))+IF(Y167="",0,Y167*INDEX(Grid!$B$6:$H$156,X167+1,W167+1)),"")</f>
        <v/>
      </c>
      <c r="AD167" s="13" t="str">
        <f aca="false">IF(AND($J167=1,$M167=0),IF(S167="",0,S167*Val_pt*(Ceiling_e-E_zero)*(1-(1-Half_gap)^Q167))+IF(V167="",0,V167*Val_pt*(Ceiling_e-E_zero)*(1-(1-Half_gap)^T167))+IF(Y167="",0,Y167*Val_pt*(Ceiling_e-E_zero)*(1-(1-Half_gap)^W167)),"")</f>
        <v/>
      </c>
      <c r="AE167" s="13" t="str">
        <f aca="false">IF(AND($J167=1,$M167=0),IF(S167="",0,S167*R167)+IF(V167="",0,V167*U167)+IF(Y167="",0,Y167*X167),"")</f>
        <v/>
      </c>
      <c r="AF167" s="12" t="str">
        <f aca="false">IF(AND($J167=1,$M167=0),MIN((AC167-E167)/Span_P,(AD167-F167)/Span_S,(AE167-G167)/Span_B),"")</f>
        <v/>
      </c>
      <c r="AG167" s="15" t="str">
        <f aca="false">IF(AND($J167=1,$M167=0),IF(AF167&gt;0.0000001,1,0),"")</f>
        <v/>
      </c>
      <c r="AH167" s="15" t="str">
        <f aca="false">IF($J167=1,IF($M167=1,AB167,AG167),"")</f>
        <v/>
      </c>
      <c r="AI167" s="13" t="str">
        <f aca="false">IF($J167=1,(Ideal_P-E167)/Span_P,"")</f>
        <v/>
      </c>
      <c r="AJ167" s="13" t="str">
        <f aca="false">IF($J167=1,(Ideal_S-F167)/Span_S,"")</f>
        <v/>
      </c>
      <c r="AK167" s="13" t="str">
        <f aca="false">IF($J167=1,(Ideal_B-G167)/Span_B,"")</f>
        <v/>
      </c>
      <c r="AL167" s="12" t="str">
        <f aca="false">IF($J167=1,MAX(ChA_1*AI167,ChA_2*AJ167,ChA_3*AK167)+Rho*(ChA_1*AI167+ChA_2*AJ167+ChA_3*AK167),"")</f>
        <v/>
      </c>
      <c r="AM167" s="12" t="str">
        <f aca="false">IF($J167=1,MAX(ChB_1*AI167,ChB_2*AJ167,ChB_3*AK167)+Rho*(ChB_1*AI167+ChB_2*AJ167+ChB_3*AK167),"")</f>
        <v/>
      </c>
      <c r="AN167" s="12" t="str">
        <f aca="false">IF($J167=1,MAX(Cx_1*(Ref_P-E167)/Span_P,Cx_2*(Ref_S-F167)/Span_S,Cx_3*(Ref_B-G167)/Span_B),"")</f>
        <v/>
      </c>
    </row>
    <row r="168" customFormat="false" ht="15" hidden="false" customHeight="false" outlineLevel="0" collapsed="false">
      <c r="A168" s="2" t="n">
        <v>162</v>
      </c>
      <c r="B168" s="15" t="n">
        <f aca="false">INT(A168/151)</f>
        <v>1</v>
      </c>
      <c r="C168" s="15" t="n">
        <f aca="false">MOD(A168,151)</f>
        <v>11</v>
      </c>
      <c r="D168" s="15" t="n">
        <f aca="false">INDEX(Grid!$J$6:$P$156,C168+1,B168+1)</f>
        <v>1</v>
      </c>
      <c r="E168" s="16" t="n">
        <f aca="false">IF(D168=1,INDEX(Grid!$B$6:$H$156,C168+1,B168+1),"")</f>
        <v>360.67264406927</v>
      </c>
      <c r="F168" s="13" t="n">
        <f aca="false">Val_pt*(Ceiling_e-E_zero)*(1-(1-Half_gap)^B168)</f>
        <v>70</v>
      </c>
      <c r="G168" s="15" t="n">
        <f aca="false">C168</f>
        <v>11</v>
      </c>
      <c r="H168" s="15" t="n">
        <f aca="false">IF(D168=1,INDEX(Grid!$R$6:$X$156,C168+1,B168+1),"")</f>
        <v>32</v>
      </c>
      <c r="I168" s="2" t="str">
        <f aca="false">IF(D168=1,INDEX(Sch_label,H168+1),"")</f>
        <v>1</v>
      </c>
      <c r="J168" s="15" t="n">
        <f aca="false">IF(D168=1,INDEX(Grid!$Z$6:$AF$156,C168+1,B168+1),0)</f>
        <v>0</v>
      </c>
      <c r="K168" s="16" t="n">
        <f aca="false">IF(J168=1,E168,0)</f>
        <v>0</v>
      </c>
      <c r="L168" s="17" t="n">
        <f aca="false">IF(D168=1,E168+W_board*F168,"")</f>
        <v>755.804395106914</v>
      </c>
      <c r="Z168" s="12" t="str">
        <f aca="false">IF(AND($J168=1,$M168=1),N168*E168/Span_P+O168*F168/Span_S+P168*G168/Span_B,"")</f>
        <v/>
      </c>
      <c r="AA168" s="12" t="str">
        <f aca="false">IF(AND($J168=1,$M168=1),SUMPRODUCT(MAX($J$6:$J$1062*(N168*$K$6:$K$1062/Span_P+O168*$F$6:$F$1062/Span_S+P168*$G$6:$G$1062/Span_B)-(1-$J$6:$J$1062)*1000000000)),"")</f>
        <v/>
      </c>
      <c r="AB168" s="15" t="str">
        <f aca="false">IF(AND($J168=1,$M168=1),IF(AA168-Z168&lt;=0.000000001,1,0),"")</f>
        <v/>
      </c>
      <c r="AC168" s="13" t="str">
        <f aca="false">IF(AND($J168=1,$M168=0),IF(S168="",0,S168*INDEX(Grid!$B$6:$H$156,R168+1,Q168+1))+IF(V168="",0,V168*INDEX(Grid!$B$6:$H$156,U168+1,T168+1))+IF(Y168="",0,Y168*INDEX(Grid!$B$6:$H$156,X168+1,W168+1)),"")</f>
        <v/>
      </c>
      <c r="AD168" s="13" t="str">
        <f aca="false">IF(AND($J168=1,$M168=0),IF(S168="",0,S168*Val_pt*(Ceiling_e-E_zero)*(1-(1-Half_gap)^Q168))+IF(V168="",0,V168*Val_pt*(Ceiling_e-E_zero)*(1-(1-Half_gap)^T168))+IF(Y168="",0,Y168*Val_pt*(Ceiling_e-E_zero)*(1-(1-Half_gap)^W168)),"")</f>
        <v/>
      </c>
      <c r="AE168" s="13" t="str">
        <f aca="false">IF(AND($J168=1,$M168=0),IF(S168="",0,S168*R168)+IF(V168="",0,V168*U168)+IF(Y168="",0,Y168*X168),"")</f>
        <v/>
      </c>
      <c r="AF168" s="12" t="str">
        <f aca="false">IF(AND($J168=1,$M168=0),MIN((AC168-E168)/Span_P,(AD168-F168)/Span_S,(AE168-G168)/Span_B),"")</f>
        <v/>
      </c>
      <c r="AG168" s="15" t="str">
        <f aca="false">IF(AND($J168=1,$M168=0),IF(AF168&gt;0.0000001,1,0),"")</f>
        <v/>
      </c>
      <c r="AH168" s="15" t="str">
        <f aca="false">IF($J168=1,IF($M168=1,AB168,AG168),"")</f>
        <v/>
      </c>
      <c r="AI168" s="13" t="str">
        <f aca="false">IF($J168=1,(Ideal_P-E168)/Span_P,"")</f>
        <v/>
      </c>
      <c r="AJ168" s="13" t="str">
        <f aca="false">IF($J168=1,(Ideal_S-F168)/Span_S,"")</f>
        <v/>
      </c>
      <c r="AK168" s="13" t="str">
        <f aca="false">IF($J168=1,(Ideal_B-G168)/Span_B,"")</f>
        <v/>
      </c>
      <c r="AL168" s="12" t="str">
        <f aca="false">IF($J168=1,MAX(ChA_1*AI168,ChA_2*AJ168,ChA_3*AK168)+Rho*(ChA_1*AI168+ChA_2*AJ168+ChA_3*AK168),"")</f>
        <v/>
      </c>
      <c r="AM168" s="12" t="str">
        <f aca="false">IF($J168=1,MAX(ChB_1*AI168,ChB_2*AJ168,ChB_3*AK168)+Rho*(ChB_1*AI168+ChB_2*AJ168+ChB_3*AK168),"")</f>
        <v/>
      </c>
      <c r="AN168" s="12" t="str">
        <f aca="false">IF($J168=1,MAX(Cx_1*(Ref_P-E168)/Span_P,Cx_2*(Ref_S-F168)/Span_S,Cx_3*(Ref_B-G168)/Span_B),"")</f>
        <v/>
      </c>
    </row>
    <row r="169" customFormat="false" ht="15" hidden="false" customHeight="false" outlineLevel="0" collapsed="false">
      <c r="A169" s="2" t="n">
        <v>163</v>
      </c>
      <c r="B169" s="15" t="n">
        <f aca="false">INT(A169/151)</f>
        <v>1</v>
      </c>
      <c r="C169" s="15" t="n">
        <f aca="false">MOD(A169,151)</f>
        <v>12</v>
      </c>
      <c r="D169" s="15" t="n">
        <f aca="false">INDEX(Grid!$J$6:$P$156,C169+1,B169+1)</f>
        <v>1</v>
      </c>
      <c r="E169" s="16" t="n">
        <f aca="false">IF(D169=1,INDEX(Grid!$B$6:$H$156,C169+1,B169+1),"")</f>
        <v>359.763553160179</v>
      </c>
      <c r="F169" s="13" t="n">
        <f aca="false">Val_pt*(Ceiling_e-E_zero)*(1-(1-Half_gap)^B169)</f>
        <v>70</v>
      </c>
      <c r="G169" s="15" t="n">
        <f aca="false">C169</f>
        <v>12</v>
      </c>
      <c r="H169" s="15" t="n">
        <f aca="false">IF(D169=1,INDEX(Grid!$R$6:$X$156,C169+1,B169+1),"")</f>
        <v>32</v>
      </c>
      <c r="I169" s="2" t="str">
        <f aca="false">IF(D169=1,INDEX(Sch_label,H169+1),"")</f>
        <v>1</v>
      </c>
      <c r="J169" s="15" t="n">
        <f aca="false">IF(D169=1,INDEX(Grid!$Z$6:$AF$156,C169+1,B169+1),0)</f>
        <v>0</v>
      </c>
      <c r="K169" s="16" t="n">
        <f aca="false">IF(J169=1,E169,0)</f>
        <v>0</v>
      </c>
      <c r="L169" s="17" t="n">
        <f aca="false">IF(D169=1,E169+W_board*F169,"")</f>
        <v>754.895304197823</v>
      </c>
      <c r="Z169" s="12" t="str">
        <f aca="false">IF(AND($J169=1,$M169=1),N169*E169/Span_P+O169*F169/Span_S+P169*G169/Span_B,"")</f>
        <v/>
      </c>
      <c r="AA169" s="12" t="str">
        <f aca="false">IF(AND($J169=1,$M169=1),SUMPRODUCT(MAX($J$6:$J$1062*(N169*$K$6:$K$1062/Span_P+O169*$F$6:$F$1062/Span_S+P169*$G$6:$G$1062/Span_B)-(1-$J$6:$J$1062)*1000000000)),"")</f>
        <v/>
      </c>
      <c r="AB169" s="15" t="str">
        <f aca="false">IF(AND($J169=1,$M169=1),IF(AA169-Z169&lt;=0.000000001,1,0),"")</f>
        <v/>
      </c>
      <c r="AC169" s="13" t="str">
        <f aca="false">IF(AND($J169=1,$M169=0),IF(S169="",0,S169*INDEX(Grid!$B$6:$H$156,R169+1,Q169+1))+IF(V169="",0,V169*INDEX(Grid!$B$6:$H$156,U169+1,T169+1))+IF(Y169="",0,Y169*INDEX(Grid!$B$6:$H$156,X169+1,W169+1)),"")</f>
        <v/>
      </c>
      <c r="AD169" s="13" t="str">
        <f aca="false">IF(AND($J169=1,$M169=0),IF(S169="",0,S169*Val_pt*(Ceiling_e-E_zero)*(1-(1-Half_gap)^Q169))+IF(V169="",0,V169*Val_pt*(Ceiling_e-E_zero)*(1-(1-Half_gap)^T169))+IF(Y169="",0,Y169*Val_pt*(Ceiling_e-E_zero)*(1-(1-Half_gap)^W169)),"")</f>
        <v/>
      </c>
      <c r="AE169" s="13" t="str">
        <f aca="false">IF(AND($J169=1,$M169=0),IF(S169="",0,S169*R169)+IF(V169="",0,V169*U169)+IF(Y169="",0,Y169*X169),"")</f>
        <v/>
      </c>
      <c r="AF169" s="12" t="str">
        <f aca="false">IF(AND($J169=1,$M169=0),MIN((AC169-E169)/Span_P,(AD169-F169)/Span_S,(AE169-G169)/Span_B),"")</f>
        <v/>
      </c>
      <c r="AG169" s="15" t="str">
        <f aca="false">IF(AND($J169=1,$M169=0),IF(AF169&gt;0.0000001,1,0),"")</f>
        <v/>
      </c>
      <c r="AH169" s="15" t="str">
        <f aca="false">IF($J169=1,IF($M169=1,AB169,AG169),"")</f>
        <v/>
      </c>
      <c r="AI169" s="13" t="str">
        <f aca="false">IF($J169=1,(Ideal_P-E169)/Span_P,"")</f>
        <v/>
      </c>
      <c r="AJ169" s="13" t="str">
        <f aca="false">IF($J169=1,(Ideal_S-F169)/Span_S,"")</f>
        <v/>
      </c>
      <c r="AK169" s="13" t="str">
        <f aca="false">IF($J169=1,(Ideal_B-G169)/Span_B,"")</f>
        <v/>
      </c>
      <c r="AL169" s="12" t="str">
        <f aca="false">IF($J169=1,MAX(ChA_1*AI169,ChA_2*AJ169,ChA_3*AK169)+Rho*(ChA_1*AI169+ChA_2*AJ169+ChA_3*AK169),"")</f>
        <v/>
      </c>
      <c r="AM169" s="12" t="str">
        <f aca="false">IF($J169=1,MAX(ChB_1*AI169,ChB_2*AJ169,ChB_3*AK169)+Rho*(ChB_1*AI169+ChB_2*AJ169+ChB_3*AK169),"")</f>
        <v/>
      </c>
      <c r="AN169" s="12" t="str">
        <f aca="false">IF($J169=1,MAX(Cx_1*(Ref_P-E169)/Span_P,Cx_2*(Ref_S-F169)/Span_S,Cx_3*(Ref_B-G169)/Span_B),"")</f>
        <v/>
      </c>
    </row>
    <row r="170" customFormat="false" ht="15" hidden="false" customHeight="false" outlineLevel="0" collapsed="false">
      <c r="A170" s="2" t="n">
        <v>164</v>
      </c>
      <c r="B170" s="15" t="n">
        <f aca="false">INT(A170/151)</f>
        <v>1</v>
      </c>
      <c r="C170" s="15" t="n">
        <f aca="false">MOD(A170,151)</f>
        <v>13</v>
      </c>
      <c r="D170" s="15" t="n">
        <f aca="false">INDEX(Grid!$J$6:$P$156,C170+1,B170+1)</f>
        <v>1</v>
      </c>
      <c r="E170" s="16" t="n">
        <f aca="false">IF(D170=1,INDEX(Grid!$B$6:$H$156,C170+1,B170+1),"")</f>
        <v>358.854462251088</v>
      </c>
      <c r="F170" s="13" t="n">
        <f aca="false">Val_pt*(Ceiling_e-E_zero)*(1-(1-Half_gap)^B170)</f>
        <v>70</v>
      </c>
      <c r="G170" s="15" t="n">
        <f aca="false">C170</f>
        <v>13</v>
      </c>
      <c r="H170" s="15" t="n">
        <f aca="false">IF(D170=1,INDEX(Grid!$R$6:$X$156,C170+1,B170+1),"")</f>
        <v>32</v>
      </c>
      <c r="I170" s="2" t="str">
        <f aca="false">IF(D170=1,INDEX(Sch_label,H170+1),"")</f>
        <v>1</v>
      </c>
      <c r="J170" s="15" t="n">
        <f aca="false">IF(D170=1,INDEX(Grid!$Z$6:$AF$156,C170+1,B170+1),0)</f>
        <v>0</v>
      </c>
      <c r="K170" s="16" t="n">
        <f aca="false">IF(J170=1,E170,0)</f>
        <v>0</v>
      </c>
      <c r="L170" s="17" t="n">
        <f aca="false">IF(D170=1,E170+W_board*F170,"")</f>
        <v>753.986213288732</v>
      </c>
      <c r="Z170" s="12" t="str">
        <f aca="false">IF(AND($J170=1,$M170=1),N170*E170/Span_P+O170*F170/Span_S+P170*G170/Span_B,"")</f>
        <v/>
      </c>
      <c r="AA170" s="12" t="str">
        <f aca="false">IF(AND($J170=1,$M170=1),SUMPRODUCT(MAX($J$6:$J$1062*(N170*$K$6:$K$1062/Span_P+O170*$F$6:$F$1062/Span_S+P170*$G$6:$G$1062/Span_B)-(1-$J$6:$J$1062)*1000000000)),"")</f>
        <v/>
      </c>
      <c r="AB170" s="15" t="str">
        <f aca="false">IF(AND($J170=1,$M170=1),IF(AA170-Z170&lt;=0.000000001,1,0),"")</f>
        <v/>
      </c>
      <c r="AC170" s="13" t="str">
        <f aca="false">IF(AND($J170=1,$M170=0),IF(S170="",0,S170*INDEX(Grid!$B$6:$H$156,R170+1,Q170+1))+IF(V170="",0,V170*INDEX(Grid!$B$6:$H$156,U170+1,T170+1))+IF(Y170="",0,Y170*INDEX(Grid!$B$6:$H$156,X170+1,W170+1)),"")</f>
        <v/>
      </c>
      <c r="AD170" s="13" t="str">
        <f aca="false">IF(AND($J170=1,$M170=0),IF(S170="",0,S170*Val_pt*(Ceiling_e-E_zero)*(1-(1-Half_gap)^Q170))+IF(V170="",0,V170*Val_pt*(Ceiling_e-E_zero)*(1-(1-Half_gap)^T170))+IF(Y170="",0,Y170*Val_pt*(Ceiling_e-E_zero)*(1-(1-Half_gap)^W170)),"")</f>
        <v/>
      </c>
      <c r="AE170" s="13" t="str">
        <f aca="false">IF(AND($J170=1,$M170=0),IF(S170="",0,S170*R170)+IF(V170="",0,V170*U170)+IF(Y170="",0,Y170*X170),"")</f>
        <v/>
      </c>
      <c r="AF170" s="12" t="str">
        <f aca="false">IF(AND($J170=1,$M170=0),MIN((AC170-E170)/Span_P,(AD170-F170)/Span_S,(AE170-G170)/Span_B),"")</f>
        <v/>
      </c>
      <c r="AG170" s="15" t="str">
        <f aca="false">IF(AND($J170=1,$M170=0),IF(AF170&gt;0.0000001,1,0),"")</f>
        <v/>
      </c>
      <c r="AH170" s="15" t="str">
        <f aca="false">IF($J170=1,IF($M170=1,AB170,AG170),"")</f>
        <v/>
      </c>
      <c r="AI170" s="13" t="str">
        <f aca="false">IF($J170=1,(Ideal_P-E170)/Span_P,"")</f>
        <v/>
      </c>
      <c r="AJ170" s="13" t="str">
        <f aca="false">IF($J170=1,(Ideal_S-F170)/Span_S,"")</f>
        <v/>
      </c>
      <c r="AK170" s="13" t="str">
        <f aca="false">IF($J170=1,(Ideal_B-G170)/Span_B,"")</f>
        <v/>
      </c>
      <c r="AL170" s="12" t="str">
        <f aca="false">IF($J170=1,MAX(ChA_1*AI170,ChA_2*AJ170,ChA_3*AK170)+Rho*(ChA_1*AI170+ChA_2*AJ170+ChA_3*AK170),"")</f>
        <v/>
      </c>
      <c r="AM170" s="12" t="str">
        <f aca="false">IF($J170=1,MAX(ChB_1*AI170,ChB_2*AJ170,ChB_3*AK170)+Rho*(ChB_1*AI170+ChB_2*AJ170+ChB_3*AK170),"")</f>
        <v/>
      </c>
      <c r="AN170" s="12" t="str">
        <f aca="false">IF($J170=1,MAX(Cx_1*(Ref_P-E170)/Span_P,Cx_2*(Ref_S-F170)/Span_S,Cx_3*(Ref_B-G170)/Span_B),"")</f>
        <v/>
      </c>
    </row>
    <row r="171" customFormat="false" ht="15" hidden="false" customHeight="false" outlineLevel="0" collapsed="false">
      <c r="A171" s="2" t="n">
        <v>165</v>
      </c>
      <c r="B171" s="15" t="n">
        <f aca="false">INT(A171/151)</f>
        <v>1</v>
      </c>
      <c r="C171" s="15" t="n">
        <f aca="false">MOD(A171,151)</f>
        <v>14</v>
      </c>
      <c r="D171" s="15" t="n">
        <f aca="false">INDEX(Grid!$J$6:$P$156,C171+1,B171+1)</f>
        <v>1</v>
      </c>
      <c r="E171" s="16" t="n">
        <f aca="false">IF(D171=1,INDEX(Grid!$B$6:$H$156,C171+1,B171+1),"")</f>
        <v>357.945371341997</v>
      </c>
      <c r="F171" s="13" t="n">
        <f aca="false">Val_pt*(Ceiling_e-E_zero)*(1-(1-Half_gap)^B171)</f>
        <v>70</v>
      </c>
      <c r="G171" s="15" t="n">
        <f aca="false">C171</f>
        <v>14</v>
      </c>
      <c r="H171" s="15" t="n">
        <f aca="false">IF(D171=1,INDEX(Grid!$R$6:$X$156,C171+1,B171+1),"")</f>
        <v>32</v>
      </c>
      <c r="I171" s="2" t="str">
        <f aca="false">IF(D171=1,INDEX(Sch_label,H171+1),"")</f>
        <v>1</v>
      </c>
      <c r="J171" s="15" t="n">
        <f aca="false">IF(D171=1,INDEX(Grid!$Z$6:$AF$156,C171+1,B171+1),0)</f>
        <v>0</v>
      </c>
      <c r="K171" s="16" t="n">
        <f aca="false">IF(J171=1,E171,0)</f>
        <v>0</v>
      </c>
      <c r="L171" s="17" t="n">
        <f aca="false">IF(D171=1,E171+W_board*F171,"")</f>
        <v>753.077122379641</v>
      </c>
      <c r="Z171" s="12" t="str">
        <f aca="false">IF(AND($J171=1,$M171=1),N171*E171/Span_P+O171*F171/Span_S+P171*G171/Span_B,"")</f>
        <v/>
      </c>
      <c r="AA171" s="12" t="str">
        <f aca="false">IF(AND($J171=1,$M171=1),SUMPRODUCT(MAX($J$6:$J$1062*(N171*$K$6:$K$1062/Span_P+O171*$F$6:$F$1062/Span_S+P171*$G$6:$G$1062/Span_B)-(1-$J$6:$J$1062)*1000000000)),"")</f>
        <v/>
      </c>
      <c r="AB171" s="15" t="str">
        <f aca="false">IF(AND($J171=1,$M171=1),IF(AA171-Z171&lt;=0.000000001,1,0),"")</f>
        <v/>
      </c>
      <c r="AC171" s="13" t="str">
        <f aca="false">IF(AND($J171=1,$M171=0),IF(S171="",0,S171*INDEX(Grid!$B$6:$H$156,R171+1,Q171+1))+IF(V171="",0,V171*INDEX(Grid!$B$6:$H$156,U171+1,T171+1))+IF(Y171="",0,Y171*INDEX(Grid!$B$6:$H$156,X171+1,W171+1)),"")</f>
        <v/>
      </c>
      <c r="AD171" s="13" t="str">
        <f aca="false">IF(AND($J171=1,$M171=0),IF(S171="",0,S171*Val_pt*(Ceiling_e-E_zero)*(1-(1-Half_gap)^Q171))+IF(V171="",0,V171*Val_pt*(Ceiling_e-E_zero)*(1-(1-Half_gap)^T171))+IF(Y171="",0,Y171*Val_pt*(Ceiling_e-E_zero)*(1-(1-Half_gap)^W171)),"")</f>
        <v/>
      </c>
      <c r="AE171" s="13" t="str">
        <f aca="false">IF(AND($J171=1,$M171=0),IF(S171="",0,S171*R171)+IF(V171="",0,V171*U171)+IF(Y171="",0,Y171*X171),"")</f>
        <v/>
      </c>
      <c r="AF171" s="12" t="str">
        <f aca="false">IF(AND($J171=1,$M171=0),MIN((AC171-E171)/Span_P,(AD171-F171)/Span_S,(AE171-G171)/Span_B),"")</f>
        <v/>
      </c>
      <c r="AG171" s="15" t="str">
        <f aca="false">IF(AND($J171=1,$M171=0),IF(AF171&gt;0.0000001,1,0),"")</f>
        <v/>
      </c>
      <c r="AH171" s="15" t="str">
        <f aca="false">IF($J171=1,IF($M171=1,AB171,AG171),"")</f>
        <v/>
      </c>
      <c r="AI171" s="13" t="str">
        <f aca="false">IF($J171=1,(Ideal_P-E171)/Span_P,"")</f>
        <v/>
      </c>
      <c r="AJ171" s="13" t="str">
        <f aca="false">IF($J171=1,(Ideal_S-F171)/Span_S,"")</f>
        <v/>
      </c>
      <c r="AK171" s="13" t="str">
        <f aca="false">IF($J171=1,(Ideal_B-G171)/Span_B,"")</f>
        <v/>
      </c>
      <c r="AL171" s="12" t="str">
        <f aca="false">IF($J171=1,MAX(ChA_1*AI171,ChA_2*AJ171,ChA_3*AK171)+Rho*(ChA_1*AI171+ChA_2*AJ171+ChA_3*AK171),"")</f>
        <v/>
      </c>
      <c r="AM171" s="12" t="str">
        <f aca="false">IF($J171=1,MAX(ChB_1*AI171,ChB_2*AJ171,ChB_3*AK171)+Rho*(ChB_1*AI171+ChB_2*AJ171+ChB_3*AK171),"")</f>
        <v/>
      </c>
      <c r="AN171" s="12" t="str">
        <f aca="false">IF($J171=1,MAX(Cx_1*(Ref_P-E171)/Span_P,Cx_2*(Ref_S-F171)/Span_S,Cx_3*(Ref_B-G171)/Span_B),"")</f>
        <v/>
      </c>
    </row>
    <row r="172" customFormat="false" ht="15" hidden="false" customHeight="false" outlineLevel="0" collapsed="false">
      <c r="A172" s="2" t="n">
        <v>166</v>
      </c>
      <c r="B172" s="15" t="n">
        <f aca="false">INT(A172/151)</f>
        <v>1</v>
      </c>
      <c r="C172" s="15" t="n">
        <f aca="false">MOD(A172,151)</f>
        <v>15</v>
      </c>
      <c r="D172" s="15" t="n">
        <f aca="false">INDEX(Grid!$J$6:$P$156,C172+1,B172+1)</f>
        <v>1</v>
      </c>
      <c r="E172" s="16" t="n">
        <f aca="false">IF(D172=1,INDEX(Grid!$B$6:$H$156,C172+1,B172+1),"")</f>
        <v>357.036280432906</v>
      </c>
      <c r="F172" s="13" t="n">
        <f aca="false">Val_pt*(Ceiling_e-E_zero)*(1-(1-Half_gap)^B172)</f>
        <v>70</v>
      </c>
      <c r="G172" s="15" t="n">
        <f aca="false">C172</f>
        <v>15</v>
      </c>
      <c r="H172" s="15" t="n">
        <f aca="false">IF(D172=1,INDEX(Grid!$R$6:$X$156,C172+1,B172+1),"")</f>
        <v>32</v>
      </c>
      <c r="I172" s="2" t="str">
        <f aca="false">IF(D172=1,INDEX(Sch_label,H172+1),"")</f>
        <v>1</v>
      </c>
      <c r="J172" s="15" t="n">
        <f aca="false">IF(D172=1,INDEX(Grid!$Z$6:$AF$156,C172+1,B172+1),0)</f>
        <v>0</v>
      </c>
      <c r="K172" s="16" t="n">
        <f aca="false">IF(J172=1,E172,0)</f>
        <v>0</v>
      </c>
      <c r="L172" s="17" t="n">
        <f aca="false">IF(D172=1,E172+W_board*F172,"")</f>
        <v>752.16803147055</v>
      </c>
      <c r="Z172" s="12" t="str">
        <f aca="false">IF(AND($J172=1,$M172=1),N172*E172/Span_P+O172*F172/Span_S+P172*G172/Span_B,"")</f>
        <v/>
      </c>
      <c r="AA172" s="12" t="str">
        <f aca="false">IF(AND($J172=1,$M172=1),SUMPRODUCT(MAX($J$6:$J$1062*(N172*$K$6:$K$1062/Span_P+O172*$F$6:$F$1062/Span_S+P172*$G$6:$G$1062/Span_B)-(1-$J$6:$J$1062)*1000000000)),"")</f>
        <v/>
      </c>
      <c r="AB172" s="15" t="str">
        <f aca="false">IF(AND($J172=1,$M172=1),IF(AA172-Z172&lt;=0.000000001,1,0),"")</f>
        <v/>
      </c>
      <c r="AC172" s="13" t="str">
        <f aca="false">IF(AND($J172=1,$M172=0),IF(S172="",0,S172*INDEX(Grid!$B$6:$H$156,R172+1,Q172+1))+IF(V172="",0,V172*INDEX(Grid!$B$6:$H$156,U172+1,T172+1))+IF(Y172="",0,Y172*INDEX(Grid!$B$6:$H$156,X172+1,W172+1)),"")</f>
        <v/>
      </c>
      <c r="AD172" s="13" t="str">
        <f aca="false">IF(AND($J172=1,$M172=0),IF(S172="",0,S172*Val_pt*(Ceiling_e-E_zero)*(1-(1-Half_gap)^Q172))+IF(V172="",0,V172*Val_pt*(Ceiling_e-E_zero)*(1-(1-Half_gap)^T172))+IF(Y172="",0,Y172*Val_pt*(Ceiling_e-E_zero)*(1-(1-Half_gap)^W172)),"")</f>
        <v/>
      </c>
      <c r="AE172" s="13" t="str">
        <f aca="false">IF(AND($J172=1,$M172=0),IF(S172="",0,S172*R172)+IF(V172="",0,V172*U172)+IF(Y172="",0,Y172*X172),"")</f>
        <v/>
      </c>
      <c r="AF172" s="12" t="str">
        <f aca="false">IF(AND($J172=1,$M172=0),MIN((AC172-E172)/Span_P,(AD172-F172)/Span_S,(AE172-G172)/Span_B),"")</f>
        <v/>
      </c>
      <c r="AG172" s="15" t="str">
        <f aca="false">IF(AND($J172=1,$M172=0),IF(AF172&gt;0.0000001,1,0),"")</f>
        <v/>
      </c>
      <c r="AH172" s="15" t="str">
        <f aca="false">IF($J172=1,IF($M172=1,AB172,AG172),"")</f>
        <v/>
      </c>
      <c r="AI172" s="13" t="str">
        <f aca="false">IF($J172=1,(Ideal_P-E172)/Span_P,"")</f>
        <v/>
      </c>
      <c r="AJ172" s="13" t="str">
        <f aca="false">IF($J172=1,(Ideal_S-F172)/Span_S,"")</f>
        <v/>
      </c>
      <c r="AK172" s="13" t="str">
        <f aca="false">IF($J172=1,(Ideal_B-G172)/Span_B,"")</f>
        <v/>
      </c>
      <c r="AL172" s="12" t="str">
        <f aca="false">IF($J172=1,MAX(ChA_1*AI172,ChA_2*AJ172,ChA_3*AK172)+Rho*(ChA_1*AI172+ChA_2*AJ172+ChA_3*AK172),"")</f>
        <v/>
      </c>
      <c r="AM172" s="12" t="str">
        <f aca="false">IF($J172=1,MAX(ChB_1*AI172,ChB_2*AJ172,ChB_3*AK172)+Rho*(ChB_1*AI172+ChB_2*AJ172+ChB_3*AK172),"")</f>
        <v/>
      </c>
      <c r="AN172" s="12" t="str">
        <f aca="false">IF($J172=1,MAX(Cx_1*(Ref_P-E172)/Span_P,Cx_2*(Ref_S-F172)/Span_S,Cx_3*(Ref_B-G172)/Span_B),"")</f>
        <v/>
      </c>
    </row>
    <row r="173" customFormat="false" ht="15" hidden="false" customHeight="false" outlineLevel="0" collapsed="false">
      <c r="A173" s="2" t="n">
        <v>167</v>
      </c>
      <c r="B173" s="15" t="n">
        <f aca="false">INT(A173/151)</f>
        <v>1</v>
      </c>
      <c r="C173" s="15" t="n">
        <f aca="false">MOD(A173,151)</f>
        <v>16</v>
      </c>
      <c r="D173" s="15" t="n">
        <f aca="false">INDEX(Grid!$J$6:$P$156,C173+1,B173+1)</f>
        <v>1</v>
      </c>
      <c r="E173" s="16" t="n">
        <f aca="false">IF(D173=1,INDEX(Grid!$B$6:$H$156,C173+1,B173+1),"")</f>
        <v>356.127189523815</v>
      </c>
      <c r="F173" s="13" t="n">
        <f aca="false">Val_pt*(Ceiling_e-E_zero)*(1-(1-Half_gap)^B173)</f>
        <v>70</v>
      </c>
      <c r="G173" s="15" t="n">
        <f aca="false">C173</f>
        <v>16</v>
      </c>
      <c r="H173" s="15" t="n">
        <f aca="false">IF(D173=1,INDEX(Grid!$R$6:$X$156,C173+1,B173+1),"")</f>
        <v>32</v>
      </c>
      <c r="I173" s="2" t="str">
        <f aca="false">IF(D173=1,INDEX(Sch_label,H173+1),"")</f>
        <v>1</v>
      </c>
      <c r="J173" s="15" t="n">
        <f aca="false">IF(D173=1,INDEX(Grid!$Z$6:$AF$156,C173+1,B173+1),0)</f>
        <v>0</v>
      </c>
      <c r="K173" s="16" t="n">
        <f aca="false">IF(J173=1,E173,0)</f>
        <v>0</v>
      </c>
      <c r="L173" s="17" t="n">
        <f aca="false">IF(D173=1,E173+W_board*F173,"")</f>
        <v>751.258940561459</v>
      </c>
      <c r="Z173" s="12" t="str">
        <f aca="false">IF(AND($J173=1,$M173=1),N173*E173/Span_P+O173*F173/Span_S+P173*G173/Span_B,"")</f>
        <v/>
      </c>
      <c r="AA173" s="12" t="str">
        <f aca="false">IF(AND($J173=1,$M173=1),SUMPRODUCT(MAX($J$6:$J$1062*(N173*$K$6:$K$1062/Span_P+O173*$F$6:$F$1062/Span_S+P173*$G$6:$G$1062/Span_B)-(1-$J$6:$J$1062)*1000000000)),"")</f>
        <v/>
      </c>
      <c r="AB173" s="15" t="str">
        <f aca="false">IF(AND($J173=1,$M173=1),IF(AA173-Z173&lt;=0.000000001,1,0),"")</f>
        <v/>
      </c>
      <c r="AC173" s="13" t="str">
        <f aca="false">IF(AND($J173=1,$M173=0),IF(S173="",0,S173*INDEX(Grid!$B$6:$H$156,R173+1,Q173+1))+IF(V173="",0,V173*INDEX(Grid!$B$6:$H$156,U173+1,T173+1))+IF(Y173="",0,Y173*INDEX(Grid!$B$6:$H$156,X173+1,W173+1)),"")</f>
        <v/>
      </c>
      <c r="AD173" s="13" t="str">
        <f aca="false">IF(AND($J173=1,$M173=0),IF(S173="",0,S173*Val_pt*(Ceiling_e-E_zero)*(1-(1-Half_gap)^Q173))+IF(V173="",0,V173*Val_pt*(Ceiling_e-E_zero)*(1-(1-Half_gap)^T173))+IF(Y173="",0,Y173*Val_pt*(Ceiling_e-E_zero)*(1-(1-Half_gap)^W173)),"")</f>
        <v/>
      </c>
      <c r="AE173" s="13" t="str">
        <f aca="false">IF(AND($J173=1,$M173=0),IF(S173="",0,S173*R173)+IF(V173="",0,V173*U173)+IF(Y173="",0,Y173*X173),"")</f>
        <v/>
      </c>
      <c r="AF173" s="12" t="str">
        <f aca="false">IF(AND($J173=1,$M173=0),MIN((AC173-E173)/Span_P,(AD173-F173)/Span_S,(AE173-G173)/Span_B),"")</f>
        <v/>
      </c>
      <c r="AG173" s="15" t="str">
        <f aca="false">IF(AND($J173=1,$M173=0),IF(AF173&gt;0.0000001,1,0),"")</f>
        <v/>
      </c>
      <c r="AH173" s="15" t="str">
        <f aca="false">IF($J173=1,IF($M173=1,AB173,AG173),"")</f>
        <v/>
      </c>
      <c r="AI173" s="13" t="str">
        <f aca="false">IF($J173=1,(Ideal_P-E173)/Span_P,"")</f>
        <v/>
      </c>
      <c r="AJ173" s="13" t="str">
        <f aca="false">IF($J173=1,(Ideal_S-F173)/Span_S,"")</f>
        <v/>
      </c>
      <c r="AK173" s="13" t="str">
        <f aca="false">IF($J173=1,(Ideal_B-G173)/Span_B,"")</f>
        <v/>
      </c>
      <c r="AL173" s="12" t="str">
        <f aca="false">IF($J173=1,MAX(ChA_1*AI173,ChA_2*AJ173,ChA_3*AK173)+Rho*(ChA_1*AI173+ChA_2*AJ173+ChA_3*AK173),"")</f>
        <v/>
      </c>
      <c r="AM173" s="12" t="str">
        <f aca="false">IF($J173=1,MAX(ChB_1*AI173,ChB_2*AJ173,ChB_3*AK173)+Rho*(ChB_1*AI173+ChB_2*AJ173+ChB_3*AK173),"")</f>
        <v/>
      </c>
      <c r="AN173" s="12" t="str">
        <f aca="false">IF($J173=1,MAX(Cx_1*(Ref_P-E173)/Span_P,Cx_2*(Ref_S-F173)/Span_S,Cx_3*(Ref_B-G173)/Span_B),"")</f>
        <v/>
      </c>
    </row>
    <row r="174" customFormat="false" ht="15" hidden="false" customHeight="false" outlineLevel="0" collapsed="false">
      <c r="A174" s="2" t="n">
        <v>168</v>
      </c>
      <c r="B174" s="15" t="n">
        <f aca="false">INT(A174/151)</f>
        <v>1</v>
      </c>
      <c r="C174" s="15" t="n">
        <f aca="false">MOD(A174,151)</f>
        <v>17</v>
      </c>
      <c r="D174" s="15" t="n">
        <f aca="false">INDEX(Grid!$J$6:$P$156,C174+1,B174+1)</f>
        <v>1</v>
      </c>
      <c r="E174" s="16" t="n">
        <f aca="false">IF(D174=1,INDEX(Grid!$B$6:$H$156,C174+1,B174+1),"")</f>
        <v>355.218098614725</v>
      </c>
      <c r="F174" s="13" t="n">
        <f aca="false">Val_pt*(Ceiling_e-E_zero)*(1-(1-Half_gap)^B174)</f>
        <v>70</v>
      </c>
      <c r="G174" s="15" t="n">
        <f aca="false">C174</f>
        <v>17</v>
      </c>
      <c r="H174" s="15" t="n">
        <f aca="false">IF(D174=1,INDEX(Grid!$R$6:$X$156,C174+1,B174+1),"")</f>
        <v>32</v>
      </c>
      <c r="I174" s="2" t="str">
        <f aca="false">IF(D174=1,INDEX(Sch_label,H174+1),"")</f>
        <v>1</v>
      </c>
      <c r="J174" s="15" t="n">
        <f aca="false">IF(D174=1,INDEX(Grid!$Z$6:$AF$156,C174+1,B174+1),0)</f>
        <v>0</v>
      </c>
      <c r="K174" s="16" t="n">
        <f aca="false">IF(J174=1,E174,0)</f>
        <v>0</v>
      </c>
      <c r="L174" s="17" t="n">
        <f aca="false">IF(D174=1,E174+W_board*F174,"")</f>
        <v>750.349849652369</v>
      </c>
      <c r="Z174" s="12" t="str">
        <f aca="false">IF(AND($J174=1,$M174=1),N174*E174/Span_P+O174*F174/Span_S+P174*G174/Span_B,"")</f>
        <v/>
      </c>
      <c r="AA174" s="12" t="str">
        <f aca="false">IF(AND($J174=1,$M174=1),SUMPRODUCT(MAX($J$6:$J$1062*(N174*$K$6:$K$1062/Span_P+O174*$F$6:$F$1062/Span_S+P174*$G$6:$G$1062/Span_B)-(1-$J$6:$J$1062)*1000000000)),"")</f>
        <v/>
      </c>
      <c r="AB174" s="15" t="str">
        <f aca="false">IF(AND($J174=1,$M174=1),IF(AA174-Z174&lt;=0.000000001,1,0),"")</f>
        <v/>
      </c>
      <c r="AC174" s="13" t="str">
        <f aca="false">IF(AND($J174=1,$M174=0),IF(S174="",0,S174*INDEX(Grid!$B$6:$H$156,R174+1,Q174+1))+IF(V174="",0,V174*INDEX(Grid!$B$6:$H$156,U174+1,T174+1))+IF(Y174="",0,Y174*INDEX(Grid!$B$6:$H$156,X174+1,W174+1)),"")</f>
        <v/>
      </c>
      <c r="AD174" s="13" t="str">
        <f aca="false">IF(AND($J174=1,$M174=0),IF(S174="",0,S174*Val_pt*(Ceiling_e-E_zero)*(1-(1-Half_gap)^Q174))+IF(V174="",0,V174*Val_pt*(Ceiling_e-E_zero)*(1-(1-Half_gap)^T174))+IF(Y174="",0,Y174*Val_pt*(Ceiling_e-E_zero)*(1-(1-Half_gap)^W174)),"")</f>
        <v/>
      </c>
      <c r="AE174" s="13" t="str">
        <f aca="false">IF(AND($J174=1,$M174=0),IF(S174="",0,S174*R174)+IF(V174="",0,V174*U174)+IF(Y174="",0,Y174*X174),"")</f>
        <v/>
      </c>
      <c r="AF174" s="12" t="str">
        <f aca="false">IF(AND($J174=1,$M174=0),MIN((AC174-E174)/Span_P,(AD174-F174)/Span_S,(AE174-G174)/Span_B),"")</f>
        <v/>
      </c>
      <c r="AG174" s="15" t="str">
        <f aca="false">IF(AND($J174=1,$M174=0),IF(AF174&gt;0.0000001,1,0),"")</f>
        <v/>
      </c>
      <c r="AH174" s="15" t="str">
        <f aca="false">IF($J174=1,IF($M174=1,AB174,AG174),"")</f>
        <v/>
      </c>
      <c r="AI174" s="13" t="str">
        <f aca="false">IF($J174=1,(Ideal_P-E174)/Span_P,"")</f>
        <v/>
      </c>
      <c r="AJ174" s="13" t="str">
        <f aca="false">IF($J174=1,(Ideal_S-F174)/Span_S,"")</f>
        <v/>
      </c>
      <c r="AK174" s="13" t="str">
        <f aca="false">IF($J174=1,(Ideal_B-G174)/Span_B,"")</f>
        <v/>
      </c>
      <c r="AL174" s="12" t="str">
        <f aca="false">IF($J174=1,MAX(ChA_1*AI174,ChA_2*AJ174,ChA_3*AK174)+Rho*(ChA_1*AI174+ChA_2*AJ174+ChA_3*AK174),"")</f>
        <v/>
      </c>
      <c r="AM174" s="12" t="str">
        <f aca="false">IF($J174=1,MAX(ChB_1*AI174,ChB_2*AJ174,ChB_3*AK174)+Rho*(ChB_1*AI174+ChB_2*AJ174+ChB_3*AK174),"")</f>
        <v/>
      </c>
      <c r="AN174" s="12" t="str">
        <f aca="false">IF($J174=1,MAX(Cx_1*(Ref_P-E174)/Span_P,Cx_2*(Ref_S-F174)/Span_S,Cx_3*(Ref_B-G174)/Span_B),"")</f>
        <v/>
      </c>
    </row>
    <row r="175" customFormat="false" ht="15" hidden="false" customHeight="false" outlineLevel="0" collapsed="false">
      <c r="A175" s="2" t="n">
        <v>169</v>
      </c>
      <c r="B175" s="15" t="n">
        <f aca="false">INT(A175/151)</f>
        <v>1</v>
      </c>
      <c r="C175" s="15" t="n">
        <f aca="false">MOD(A175,151)</f>
        <v>18</v>
      </c>
      <c r="D175" s="15" t="n">
        <f aca="false">INDEX(Grid!$J$6:$P$156,C175+1,B175+1)</f>
        <v>1</v>
      </c>
      <c r="E175" s="16" t="n">
        <f aca="false">IF(D175=1,INDEX(Grid!$B$6:$H$156,C175+1,B175+1),"")</f>
        <v>354.309007705634</v>
      </c>
      <c r="F175" s="13" t="n">
        <f aca="false">Val_pt*(Ceiling_e-E_zero)*(1-(1-Half_gap)^B175)</f>
        <v>70</v>
      </c>
      <c r="G175" s="15" t="n">
        <f aca="false">C175</f>
        <v>18</v>
      </c>
      <c r="H175" s="15" t="n">
        <f aca="false">IF(D175=1,INDEX(Grid!$R$6:$X$156,C175+1,B175+1),"")</f>
        <v>32</v>
      </c>
      <c r="I175" s="2" t="str">
        <f aca="false">IF(D175=1,INDEX(Sch_label,H175+1),"")</f>
        <v>1</v>
      </c>
      <c r="J175" s="15" t="n">
        <f aca="false">IF(D175=1,INDEX(Grid!$Z$6:$AF$156,C175+1,B175+1),0)</f>
        <v>0</v>
      </c>
      <c r="K175" s="16" t="n">
        <f aca="false">IF(J175=1,E175,0)</f>
        <v>0</v>
      </c>
      <c r="L175" s="17" t="n">
        <f aca="false">IF(D175=1,E175+W_board*F175,"")</f>
        <v>749.440758743278</v>
      </c>
      <c r="Z175" s="12" t="str">
        <f aca="false">IF(AND($J175=1,$M175=1),N175*E175/Span_P+O175*F175/Span_S+P175*G175/Span_B,"")</f>
        <v/>
      </c>
      <c r="AA175" s="12" t="str">
        <f aca="false">IF(AND($J175=1,$M175=1),SUMPRODUCT(MAX($J$6:$J$1062*(N175*$K$6:$K$1062/Span_P+O175*$F$6:$F$1062/Span_S+P175*$G$6:$G$1062/Span_B)-(1-$J$6:$J$1062)*1000000000)),"")</f>
        <v/>
      </c>
      <c r="AB175" s="15" t="str">
        <f aca="false">IF(AND($J175=1,$M175=1),IF(AA175-Z175&lt;=0.000000001,1,0),"")</f>
        <v/>
      </c>
      <c r="AC175" s="13" t="str">
        <f aca="false">IF(AND($J175=1,$M175=0),IF(S175="",0,S175*INDEX(Grid!$B$6:$H$156,R175+1,Q175+1))+IF(V175="",0,V175*INDEX(Grid!$B$6:$H$156,U175+1,T175+1))+IF(Y175="",0,Y175*INDEX(Grid!$B$6:$H$156,X175+1,W175+1)),"")</f>
        <v/>
      </c>
      <c r="AD175" s="13" t="str">
        <f aca="false">IF(AND($J175=1,$M175=0),IF(S175="",0,S175*Val_pt*(Ceiling_e-E_zero)*(1-(1-Half_gap)^Q175))+IF(V175="",0,V175*Val_pt*(Ceiling_e-E_zero)*(1-(1-Half_gap)^T175))+IF(Y175="",0,Y175*Val_pt*(Ceiling_e-E_zero)*(1-(1-Half_gap)^W175)),"")</f>
        <v/>
      </c>
      <c r="AE175" s="13" t="str">
        <f aca="false">IF(AND($J175=1,$M175=0),IF(S175="",0,S175*R175)+IF(V175="",0,V175*U175)+IF(Y175="",0,Y175*X175),"")</f>
        <v/>
      </c>
      <c r="AF175" s="12" t="str">
        <f aca="false">IF(AND($J175=1,$M175=0),MIN((AC175-E175)/Span_P,(AD175-F175)/Span_S,(AE175-G175)/Span_B),"")</f>
        <v/>
      </c>
      <c r="AG175" s="15" t="str">
        <f aca="false">IF(AND($J175=1,$M175=0),IF(AF175&gt;0.0000001,1,0),"")</f>
        <v/>
      </c>
      <c r="AH175" s="15" t="str">
        <f aca="false">IF($J175=1,IF($M175=1,AB175,AG175),"")</f>
        <v/>
      </c>
      <c r="AI175" s="13" t="str">
        <f aca="false">IF($J175=1,(Ideal_P-E175)/Span_P,"")</f>
        <v/>
      </c>
      <c r="AJ175" s="13" t="str">
        <f aca="false">IF($J175=1,(Ideal_S-F175)/Span_S,"")</f>
        <v/>
      </c>
      <c r="AK175" s="13" t="str">
        <f aca="false">IF($J175=1,(Ideal_B-G175)/Span_B,"")</f>
        <v/>
      </c>
      <c r="AL175" s="12" t="str">
        <f aca="false">IF($J175=1,MAX(ChA_1*AI175,ChA_2*AJ175,ChA_3*AK175)+Rho*(ChA_1*AI175+ChA_2*AJ175+ChA_3*AK175),"")</f>
        <v/>
      </c>
      <c r="AM175" s="12" t="str">
        <f aca="false">IF($J175=1,MAX(ChB_1*AI175,ChB_2*AJ175,ChB_3*AK175)+Rho*(ChB_1*AI175+ChB_2*AJ175+ChB_3*AK175),"")</f>
        <v/>
      </c>
      <c r="AN175" s="12" t="str">
        <f aca="false">IF($J175=1,MAX(Cx_1*(Ref_P-E175)/Span_P,Cx_2*(Ref_S-F175)/Span_S,Cx_3*(Ref_B-G175)/Span_B),"")</f>
        <v/>
      </c>
    </row>
    <row r="176" customFormat="false" ht="15" hidden="false" customHeight="false" outlineLevel="0" collapsed="false">
      <c r="A176" s="2" t="n">
        <v>170</v>
      </c>
      <c r="B176" s="15" t="n">
        <f aca="false">INT(A176/151)</f>
        <v>1</v>
      </c>
      <c r="C176" s="15" t="n">
        <f aca="false">MOD(A176,151)</f>
        <v>19</v>
      </c>
      <c r="D176" s="15" t="n">
        <f aca="false">INDEX(Grid!$J$6:$P$156,C176+1,B176+1)</f>
        <v>1</v>
      </c>
      <c r="E176" s="16" t="n">
        <f aca="false">IF(D176=1,INDEX(Grid!$B$6:$H$156,C176+1,B176+1),"")</f>
        <v>353.399916796543</v>
      </c>
      <c r="F176" s="13" t="n">
        <f aca="false">Val_pt*(Ceiling_e-E_zero)*(1-(1-Half_gap)^B176)</f>
        <v>70</v>
      </c>
      <c r="G176" s="15" t="n">
        <f aca="false">C176</f>
        <v>19</v>
      </c>
      <c r="H176" s="15" t="n">
        <f aca="false">IF(D176=1,INDEX(Grid!$R$6:$X$156,C176+1,B176+1),"")</f>
        <v>32</v>
      </c>
      <c r="I176" s="2" t="str">
        <f aca="false">IF(D176=1,INDEX(Sch_label,H176+1),"")</f>
        <v>1</v>
      </c>
      <c r="J176" s="15" t="n">
        <f aca="false">IF(D176=1,INDEX(Grid!$Z$6:$AF$156,C176+1,B176+1),0)</f>
        <v>0</v>
      </c>
      <c r="K176" s="16" t="n">
        <f aca="false">IF(J176=1,E176,0)</f>
        <v>0</v>
      </c>
      <c r="L176" s="17" t="n">
        <f aca="false">IF(D176=1,E176+W_board*F176,"")</f>
        <v>748.531667834187</v>
      </c>
      <c r="Z176" s="12" t="str">
        <f aca="false">IF(AND($J176=1,$M176=1),N176*E176/Span_P+O176*F176/Span_S+P176*G176/Span_B,"")</f>
        <v/>
      </c>
      <c r="AA176" s="12" t="str">
        <f aca="false">IF(AND($J176=1,$M176=1),SUMPRODUCT(MAX($J$6:$J$1062*(N176*$K$6:$K$1062/Span_P+O176*$F$6:$F$1062/Span_S+P176*$G$6:$G$1062/Span_B)-(1-$J$6:$J$1062)*1000000000)),"")</f>
        <v/>
      </c>
      <c r="AB176" s="15" t="str">
        <f aca="false">IF(AND($J176=1,$M176=1),IF(AA176-Z176&lt;=0.000000001,1,0),"")</f>
        <v/>
      </c>
      <c r="AC176" s="13" t="str">
        <f aca="false">IF(AND($J176=1,$M176=0),IF(S176="",0,S176*INDEX(Grid!$B$6:$H$156,R176+1,Q176+1))+IF(V176="",0,V176*INDEX(Grid!$B$6:$H$156,U176+1,T176+1))+IF(Y176="",0,Y176*INDEX(Grid!$B$6:$H$156,X176+1,W176+1)),"")</f>
        <v/>
      </c>
      <c r="AD176" s="13" t="str">
        <f aca="false">IF(AND($J176=1,$M176=0),IF(S176="",0,S176*Val_pt*(Ceiling_e-E_zero)*(1-(1-Half_gap)^Q176))+IF(V176="",0,V176*Val_pt*(Ceiling_e-E_zero)*(1-(1-Half_gap)^T176))+IF(Y176="",0,Y176*Val_pt*(Ceiling_e-E_zero)*(1-(1-Half_gap)^W176)),"")</f>
        <v/>
      </c>
      <c r="AE176" s="13" t="str">
        <f aca="false">IF(AND($J176=1,$M176=0),IF(S176="",0,S176*R176)+IF(V176="",0,V176*U176)+IF(Y176="",0,Y176*X176),"")</f>
        <v/>
      </c>
      <c r="AF176" s="12" t="str">
        <f aca="false">IF(AND($J176=1,$M176=0),MIN((AC176-E176)/Span_P,(AD176-F176)/Span_S,(AE176-G176)/Span_B),"")</f>
        <v/>
      </c>
      <c r="AG176" s="15" t="str">
        <f aca="false">IF(AND($J176=1,$M176=0),IF(AF176&gt;0.0000001,1,0),"")</f>
        <v/>
      </c>
      <c r="AH176" s="15" t="str">
        <f aca="false">IF($J176=1,IF($M176=1,AB176,AG176),"")</f>
        <v/>
      </c>
      <c r="AI176" s="13" t="str">
        <f aca="false">IF($J176=1,(Ideal_P-E176)/Span_P,"")</f>
        <v/>
      </c>
      <c r="AJ176" s="13" t="str">
        <f aca="false">IF($J176=1,(Ideal_S-F176)/Span_S,"")</f>
        <v/>
      </c>
      <c r="AK176" s="13" t="str">
        <f aca="false">IF($J176=1,(Ideal_B-G176)/Span_B,"")</f>
        <v/>
      </c>
      <c r="AL176" s="12" t="str">
        <f aca="false">IF($J176=1,MAX(ChA_1*AI176,ChA_2*AJ176,ChA_3*AK176)+Rho*(ChA_1*AI176+ChA_2*AJ176+ChA_3*AK176),"")</f>
        <v/>
      </c>
      <c r="AM176" s="12" t="str">
        <f aca="false">IF($J176=1,MAX(ChB_1*AI176,ChB_2*AJ176,ChB_3*AK176)+Rho*(ChB_1*AI176+ChB_2*AJ176+ChB_3*AK176),"")</f>
        <v/>
      </c>
      <c r="AN176" s="12" t="str">
        <f aca="false">IF($J176=1,MAX(Cx_1*(Ref_P-E176)/Span_P,Cx_2*(Ref_S-F176)/Span_S,Cx_3*(Ref_B-G176)/Span_B),"")</f>
        <v/>
      </c>
    </row>
    <row r="177" customFormat="false" ht="15" hidden="false" customHeight="false" outlineLevel="0" collapsed="false">
      <c r="A177" s="2" t="n">
        <v>171</v>
      </c>
      <c r="B177" s="15" t="n">
        <f aca="false">INT(A177/151)</f>
        <v>1</v>
      </c>
      <c r="C177" s="15" t="n">
        <f aca="false">MOD(A177,151)</f>
        <v>20</v>
      </c>
      <c r="D177" s="15" t="n">
        <f aca="false">INDEX(Grid!$J$6:$P$156,C177+1,B177+1)</f>
        <v>1</v>
      </c>
      <c r="E177" s="16" t="n">
        <f aca="false">IF(D177=1,INDEX(Grid!$B$6:$H$156,C177+1,B177+1),"")</f>
        <v>352.490825887452</v>
      </c>
      <c r="F177" s="13" t="n">
        <f aca="false">Val_pt*(Ceiling_e-E_zero)*(1-(1-Half_gap)^B177)</f>
        <v>70</v>
      </c>
      <c r="G177" s="15" t="n">
        <f aca="false">C177</f>
        <v>20</v>
      </c>
      <c r="H177" s="15" t="n">
        <f aca="false">IF(D177=1,INDEX(Grid!$R$6:$X$156,C177+1,B177+1),"")</f>
        <v>32</v>
      </c>
      <c r="I177" s="2" t="str">
        <f aca="false">IF(D177=1,INDEX(Sch_label,H177+1),"")</f>
        <v>1</v>
      </c>
      <c r="J177" s="15" t="n">
        <f aca="false">IF(D177=1,INDEX(Grid!$Z$6:$AF$156,C177+1,B177+1),0)</f>
        <v>0</v>
      </c>
      <c r="K177" s="16" t="n">
        <f aca="false">IF(J177=1,E177,0)</f>
        <v>0</v>
      </c>
      <c r="L177" s="17" t="n">
        <f aca="false">IF(D177=1,E177+W_board*F177,"")</f>
        <v>747.622576925096</v>
      </c>
      <c r="Z177" s="12" t="str">
        <f aca="false">IF(AND($J177=1,$M177=1),N177*E177/Span_P+O177*F177/Span_S+P177*G177/Span_B,"")</f>
        <v/>
      </c>
      <c r="AA177" s="12" t="str">
        <f aca="false">IF(AND($J177=1,$M177=1),SUMPRODUCT(MAX($J$6:$J$1062*(N177*$K$6:$K$1062/Span_P+O177*$F$6:$F$1062/Span_S+P177*$G$6:$G$1062/Span_B)-(1-$J$6:$J$1062)*1000000000)),"")</f>
        <v/>
      </c>
      <c r="AB177" s="15" t="str">
        <f aca="false">IF(AND($J177=1,$M177=1),IF(AA177-Z177&lt;=0.000000001,1,0),"")</f>
        <v/>
      </c>
      <c r="AC177" s="13" t="str">
        <f aca="false">IF(AND($J177=1,$M177=0),IF(S177="",0,S177*INDEX(Grid!$B$6:$H$156,R177+1,Q177+1))+IF(V177="",0,V177*INDEX(Grid!$B$6:$H$156,U177+1,T177+1))+IF(Y177="",0,Y177*INDEX(Grid!$B$6:$H$156,X177+1,W177+1)),"")</f>
        <v/>
      </c>
      <c r="AD177" s="13" t="str">
        <f aca="false">IF(AND($J177=1,$M177=0),IF(S177="",0,S177*Val_pt*(Ceiling_e-E_zero)*(1-(1-Half_gap)^Q177))+IF(V177="",0,V177*Val_pt*(Ceiling_e-E_zero)*(1-(1-Half_gap)^T177))+IF(Y177="",0,Y177*Val_pt*(Ceiling_e-E_zero)*(1-(1-Half_gap)^W177)),"")</f>
        <v/>
      </c>
      <c r="AE177" s="13" t="str">
        <f aca="false">IF(AND($J177=1,$M177=0),IF(S177="",0,S177*R177)+IF(V177="",0,V177*U177)+IF(Y177="",0,Y177*X177),"")</f>
        <v/>
      </c>
      <c r="AF177" s="12" t="str">
        <f aca="false">IF(AND($J177=1,$M177=0),MIN((AC177-E177)/Span_P,(AD177-F177)/Span_S,(AE177-G177)/Span_B),"")</f>
        <v/>
      </c>
      <c r="AG177" s="15" t="str">
        <f aca="false">IF(AND($J177=1,$M177=0),IF(AF177&gt;0.0000001,1,0),"")</f>
        <v/>
      </c>
      <c r="AH177" s="15" t="str">
        <f aca="false">IF($J177=1,IF($M177=1,AB177,AG177),"")</f>
        <v/>
      </c>
      <c r="AI177" s="13" t="str">
        <f aca="false">IF($J177=1,(Ideal_P-E177)/Span_P,"")</f>
        <v/>
      </c>
      <c r="AJ177" s="13" t="str">
        <f aca="false">IF($J177=1,(Ideal_S-F177)/Span_S,"")</f>
        <v/>
      </c>
      <c r="AK177" s="13" t="str">
        <f aca="false">IF($J177=1,(Ideal_B-G177)/Span_B,"")</f>
        <v/>
      </c>
      <c r="AL177" s="12" t="str">
        <f aca="false">IF($J177=1,MAX(ChA_1*AI177,ChA_2*AJ177,ChA_3*AK177)+Rho*(ChA_1*AI177+ChA_2*AJ177+ChA_3*AK177),"")</f>
        <v/>
      </c>
      <c r="AM177" s="12" t="str">
        <f aca="false">IF($J177=1,MAX(ChB_1*AI177,ChB_2*AJ177,ChB_3*AK177)+Rho*(ChB_1*AI177+ChB_2*AJ177+ChB_3*AK177),"")</f>
        <v/>
      </c>
      <c r="AN177" s="12" t="str">
        <f aca="false">IF($J177=1,MAX(Cx_1*(Ref_P-E177)/Span_P,Cx_2*(Ref_S-F177)/Span_S,Cx_3*(Ref_B-G177)/Span_B),"")</f>
        <v/>
      </c>
    </row>
    <row r="178" customFormat="false" ht="15" hidden="false" customHeight="false" outlineLevel="0" collapsed="false">
      <c r="A178" s="2" t="n">
        <v>172</v>
      </c>
      <c r="B178" s="15" t="n">
        <f aca="false">INT(A178/151)</f>
        <v>1</v>
      </c>
      <c r="C178" s="15" t="n">
        <f aca="false">MOD(A178,151)</f>
        <v>21</v>
      </c>
      <c r="D178" s="15" t="n">
        <f aca="false">INDEX(Grid!$J$6:$P$156,C178+1,B178+1)</f>
        <v>1</v>
      </c>
      <c r="E178" s="16" t="n">
        <f aca="false">IF(D178=1,INDEX(Grid!$B$6:$H$156,C178+1,B178+1),"")</f>
        <v>351.581734978361</v>
      </c>
      <c r="F178" s="13" t="n">
        <f aca="false">Val_pt*(Ceiling_e-E_zero)*(1-(1-Half_gap)^B178)</f>
        <v>70</v>
      </c>
      <c r="G178" s="15" t="n">
        <f aca="false">C178</f>
        <v>21</v>
      </c>
      <c r="H178" s="15" t="n">
        <f aca="false">IF(D178=1,INDEX(Grid!$R$6:$X$156,C178+1,B178+1),"")</f>
        <v>32</v>
      </c>
      <c r="I178" s="2" t="str">
        <f aca="false">IF(D178=1,INDEX(Sch_label,H178+1),"")</f>
        <v>1</v>
      </c>
      <c r="J178" s="15" t="n">
        <f aca="false">IF(D178=1,INDEX(Grid!$Z$6:$AF$156,C178+1,B178+1),0)</f>
        <v>0</v>
      </c>
      <c r="K178" s="16" t="n">
        <f aca="false">IF(J178=1,E178,0)</f>
        <v>0</v>
      </c>
      <c r="L178" s="17" t="n">
        <f aca="false">IF(D178=1,E178+W_board*F178,"")</f>
        <v>746.713486016005</v>
      </c>
      <c r="Z178" s="12" t="str">
        <f aca="false">IF(AND($J178=1,$M178=1),N178*E178/Span_P+O178*F178/Span_S+P178*G178/Span_B,"")</f>
        <v/>
      </c>
      <c r="AA178" s="12" t="str">
        <f aca="false">IF(AND($J178=1,$M178=1),SUMPRODUCT(MAX($J$6:$J$1062*(N178*$K$6:$K$1062/Span_P+O178*$F$6:$F$1062/Span_S+P178*$G$6:$G$1062/Span_B)-(1-$J$6:$J$1062)*1000000000)),"")</f>
        <v/>
      </c>
      <c r="AB178" s="15" t="str">
        <f aca="false">IF(AND($J178=1,$M178=1),IF(AA178-Z178&lt;=0.000000001,1,0),"")</f>
        <v/>
      </c>
      <c r="AC178" s="13" t="str">
        <f aca="false">IF(AND($J178=1,$M178=0),IF(S178="",0,S178*INDEX(Grid!$B$6:$H$156,R178+1,Q178+1))+IF(V178="",0,V178*INDEX(Grid!$B$6:$H$156,U178+1,T178+1))+IF(Y178="",0,Y178*INDEX(Grid!$B$6:$H$156,X178+1,W178+1)),"")</f>
        <v/>
      </c>
      <c r="AD178" s="13" t="str">
        <f aca="false">IF(AND($J178=1,$M178=0),IF(S178="",0,S178*Val_pt*(Ceiling_e-E_zero)*(1-(1-Half_gap)^Q178))+IF(V178="",0,V178*Val_pt*(Ceiling_e-E_zero)*(1-(1-Half_gap)^T178))+IF(Y178="",0,Y178*Val_pt*(Ceiling_e-E_zero)*(1-(1-Half_gap)^W178)),"")</f>
        <v/>
      </c>
      <c r="AE178" s="13" t="str">
        <f aca="false">IF(AND($J178=1,$M178=0),IF(S178="",0,S178*R178)+IF(V178="",0,V178*U178)+IF(Y178="",0,Y178*X178),"")</f>
        <v/>
      </c>
      <c r="AF178" s="12" t="str">
        <f aca="false">IF(AND($J178=1,$M178=0),MIN((AC178-E178)/Span_P,(AD178-F178)/Span_S,(AE178-G178)/Span_B),"")</f>
        <v/>
      </c>
      <c r="AG178" s="15" t="str">
        <f aca="false">IF(AND($J178=1,$M178=0),IF(AF178&gt;0.0000001,1,0),"")</f>
        <v/>
      </c>
      <c r="AH178" s="15" t="str">
        <f aca="false">IF($J178=1,IF($M178=1,AB178,AG178),"")</f>
        <v/>
      </c>
      <c r="AI178" s="13" t="str">
        <f aca="false">IF($J178=1,(Ideal_P-E178)/Span_P,"")</f>
        <v/>
      </c>
      <c r="AJ178" s="13" t="str">
        <f aca="false">IF($J178=1,(Ideal_S-F178)/Span_S,"")</f>
        <v/>
      </c>
      <c r="AK178" s="13" t="str">
        <f aca="false">IF($J178=1,(Ideal_B-G178)/Span_B,"")</f>
        <v/>
      </c>
      <c r="AL178" s="12" t="str">
        <f aca="false">IF($J178=1,MAX(ChA_1*AI178,ChA_2*AJ178,ChA_3*AK178)+Rho*(ChA_1*AI178+ChA_2*AJ178+ChA_3*AK178),"")</f>
        <v/>
      </c>
      <c r="AM178" s="12" t="str">
        <f aca="false">IF($J178=1,MAX(ChB_1*AI178,ChB_2*AJ178,ChB_3*AK178)+Rho*(ChB_1*AI178+ChB_2*AJ178+ChB_3*AK178),"")</f>
        <v/>
      </c>
      <c r="AN178" s="12" t="str">
        <f aca="false">IF($J178=1,MAX(Cx_1*(Ref_P-E178)/Span_P,Cx_2*(Ref_S-F178)/Span_S,Cx_3*(Ref_B-G178)/Span_B),"")</f>
        <v/>
      </c>
    </row>
    <row r="179" customFormat="false" ht="15" hidden="false" customHeight="false" outlineLevel="0" collapsed="false">
      <c r="A179" s="2" t="n">
        <v>173</v>
      </c>
      <c r="B179" s="15" t="n">
        <f aca="false">INT(A179/151)</f>
        <v>1</v>
      </c>
      <c r="C179" s="15" t="n">
        <f aca="false">MOD(A179,151)</f>
        <v>22</v>
      </c>
      <c r="D179" s="15" t="n">
        <f aca="false">INDEX(Grid!$J$6:$P$156,C179+1,B179+1)</f>
        <v>1</v>
      </c>
      <c r="E179" s="16" t="n">
        <f aca="false">IF(D179=1,INDEX(Grid!$B$6:$H$156,C179+1,B179+1),"")</f>
        <v>350.67264406927</v>
      </c>
      <c r="F179" s="13" t="n">
        <f aca="false">Val_pt*(Ceiling_e-E_zero)*(1-(1-Half_gap)^B179)</f>
        <v>70</v>
      </c>
      <c r="G179" s="15" t="n">
        <f aca="false">C179</f>
        <v>22</v>
      </c>
      <c r="H179" s="15" t="n">
        <f aca="false">IF(D179=1,INDEX(Grid!$R$6:$X$156,C179+1,B179+1),"")</f>
        <v>32</v>
      </c>
      <c r="I179" s="2" t="str">
        <f aca="false">IF(D179=1,INDEX(Sch_label,H179+1),"")</f>
        <v>1</v>
      </c>
      <c r="J179" s="15" t="n">
        <f aca="false">IF(D179=1,INDEX(Grid!$Z$6:$AF$156,C179+1,B179+1),0)</f>
        <v>0</v>
      </c>
      <c r="K179" s="16" t="n">
        <f aca="false">IF(J179=1,E179,0)</f>
        <v>0</v>
      </c>
      <c r="L179" s="17" t="n">
        <f aca="false">IF(D179=1,E179+W_board*F179,"")</f>
        <v>745.804395106914</v>
      </c>
      <c r="Z179" s="12" t="str">
        <f aca="false">IF(AND($J179=1,$M179=1),N179*E179/Span_P+O179*F179/Span_S+P179*G179/Span_B,"")</f>
        <v/>
      </c>
      <c r="AA179" s="12" t="str">
        <f aca="false">IF(AND($J179=1,$M179=1),SUMPRODUCT(MAX($J$6:$J$1062*(N179*$K$6:$K$1062/Span_P+O179*$F$6:$F$1062/Span_S+P179*$G$6:$G$1062/Span_B)-(1-$J$6:$J$1062)*1000000000)),"")</f>
        <v/>
      </c>
      <c r="AB179" s="15" t="str">
        <f aca="false">IF(AND($J179=1,$M179=1),IF(AA179-Z179&lt;=0.000000001,1,0),"")</f>
        <v/>
      </c>
      <c r="AC179" s="13" t="str">
        <f aca="false">IF(AND($J179=1,$M179=0),IF(S179="",0,S179*INDEX(Grid!$B$6:$H$156,R179+1,Q179+1))+IF(V179="",0,V179*INDEX(Grid!$B$6:$H$156,U179+1,T179+1))+IF(Y179="",0,Y179*INDEX(Grid!$B$6:$H$156,X179+1,W179+1)),"")</f>
        <v/>
      </c>
      <c r="AD179" s="13" t="str">
        <f aca="false">IF(AND($J179=1,$M179=0),IF(S179="",0,S179*Val_pt*(Ceiling_e-E_zero)*(1-(1-Half_gap)^Q179))+IF(V179="",0,V179*Val_pt*(Ceiling_e-E_zero)*(1-(1-Half_gap)^T179))+IF(Y179="",0,Y179*Val_pt*(Ceiling_e-E_zero)*(1-(1-Half_gap)^W179)),"")</f>
        <v/>
      </c>
      <c r="AE179" s="13" t="str">
        <f aca="false">IF(AND($J179=1,$M179=0),IF(S179="",0,S179*R179)+IF(V179="",0,V179*U179)+IF(Y179="",0,Y179*X179),"")</f>
        <v/>
      </c>
      <c r="AF179" s="12" t="str">
        <f aca="false">IF(AND($J179=1,$M179=0),MIN((AC179-E179)/Span_P,(AD179-F179)/Span_S,(AE179-G179)/Span_B),"")</f>
        <v/>
      </c>
      <c r="AG179" s="15" t="str">
        <f aca="false">IF(AND($J179=1,$M179=0),IF(AF179&gt;0.0000001,1,0),"")</f>
        <v/>
      </c>
      <c r="AH179" s="15" t="str">
        <f aca="false">IF($J179=1,IF($M179=1,AB179,AG179),"")</f>
        <v/>
      </c>
      <c r="AI179" s="13" t="str">
        <f aca="false">IF($J179=1,(Ideal_P-E179)/Span_P,"")</f>
        <v/>
      </c>
      <c r="AJ179" s="13" t="str">
        <f aca="false">IF($J179=1,(Ideal_S-F179)/Span_S,"")</f>
        <v/>
      </c>
      <c r="AK179" s="13" t="str">
        <f aca="false">IF($J179=1,(Ideal_B-G179)/Span_B,"")</f>
        <v/>
      </c>
      <c r="AL179" s="12" t="str">
        <f aca="false">IF($J179=1,MAX(ChA_1*AI179,ChA_2*AJ179,ChA_3*AK179)+Rho*(ChA_1*AI179+ChA_2*AJ179+ChA_3*AK179),"")</f>
        <v/>
      </c>
      <c r="AM179" s="12" t="str">
        <f aca="false">IF($J179=1,MAX(ChB_1*AI179,ChB_2*AJ179,ChB_3*AK179)+Rho*(ChB_1*AI179+ChB_2*AJ179+ChB_3*AK179),"")</f>
        <v/>
      </c>
      <c r="AN179" s="12" t="str">
        <f aca="false">IF($J179=1,MAX(Cx_1*(Ref_P-E179)/Span_P,Cx_2*(Ref_S-F179)/Span_S,Cx_3*(Ref_B-G179)/Span_B),"")</f>
        <v/>
      </c>
    </row>
    <row r="180" customFormat="false" ht="15" hidden="false" customHeight="false" outlineLevel="0" collapsed="false">
      <c r="A180" s="2" t="n">
        <v>174</v>
      </c>
      <c r="B180" s="15" t="n">
        <f aca="false">INT(A180/151)</f>
        <v>1</v>
      </c>
      <c r="C180" s="15" t="n">
        <f aca="false">MOD(A180,151)</f>
        <v>23</v>
      </c>
      <c r="D180" s="15" t="n">
        <f aca="false">INDEX(Grid!$J$6:$P$156,C180+1,B180+1)</f>
        <v>1</v>
      </c>
      <c r="E180" s="16" t="n">
        <f aca="false">IF(D180=1,INDEX(Grid!$B$6:$H$156,C180+1,B180+1),"")</f>
        <v>349.763553160179</v>
      </c>
      <c r="F180" s="13" t="n">
        <f aca="false">Val_pt*(Ceiling_e-E_zero)*(1-(1-Half_gap)^B180)</f>
        <v>70</v>
      </c>
      <c r="G180" s="15" t="n">
        <f aca="false">C180</f>
        <v>23</v>
      </c>
      <c r="H180" s="15" t="n">
        <f aca="false">IF(D180=1,INDEX(Grid!$R$6:$X$156,C180+1,B180+1),"")</f>
        <v>32</v>
      </c>
      <c r="I180" s="2" t="str">
        <f aca="false">IF(D180=1,INDEX(Sch_label,H180+1),"")</f>
        <v>1</v>
      </c>
      <c r="J180" s="15" t="n">
        <f aca="false">IF(D180=1,INDEX(Grid!$Z$6:$AF$156,C180+1,B180+1),0)</f>
        <v>0</v>
      </c>
      <c r="K180" s="16" t="n">
        <f aca="false">IF(J180=1,E180,0)</f>
        <v>0</v>
      </c>
      <c r="L180" s="17" t="n">
        <f aca="false">IF(D180=1,E180+W_board*F180,"")</f>
        <v>744.895304197823</v>
      </c>
      <c r="Z180" s="12" t="str">
        <f aca="false">IF(AND($J180=1,$M180=1),N180*E180/Span_P+O180*F180/Span_S+P180*G180/Span_B,"")</f>
        <v/>
      </c>
      <c r="AA180" s="12" t="str">
        <f aca="false">IF(AND($J180=1,$M180=1),SUMPRODUCT(MAX($J$6:$J$1062*(N180*$K$6:$K$1062/Span_P+O180*$F$6:$F$1062/Span_S+P180*$G$6:$G$1062/Span_B)-(1-$J$6:$J$1062)*1000000000)),"")</f>
        <v/>
      </c>
      <c r="AB180" s="15" t="str">
        <f aca="false">IF(AND($J180=1,$M180=1),IF(AA180-Z180&lt;=0.000000001,1,0),"")</f>
        <v/>
      </c>
      <c r="AC180" s="13" t="str">
        <f aca="false">IF(AND($J180=1,$M180=0),IF(S180="",0,S180*INDEX(Grid!$B$6:$H$156,R180+1,Q180+1))+IF(V180="",0,V180*INDEX(Grid!$B$6:$H$156,U180+1,T180+1))+IF(Y180="",0,Y180*INDEX(Grid!$B$6:$H$156,X180+1,W180+1)),"")</f>
        <v/>
      </c>
      <c r="AD180" s="13" t="str">
        <f aca="false">IF(AND($J180=1,$M180=0),IF(S180="",0,S180*Val_pt*(Ceiling_e-E_zero)*(1-(1-Half_gap)^Q180))+IF(V180="",0,V180*Val_pt*(Ceiling_e-E_zero)*(1-(1-Half_gap)^T180))+IF(Y180="",0,Y180*Val_pt*(Ceiling_e-E_zero)*(1-(1-Half_gap)^W180)),"")</f>
        <v/>
      </c>
      <c r="AE180" s="13" t="str">
        <f aca="false">IF(AND($J180=1,$M180=0),IF(S180="",0,S180*R180)+IF(V180="",0,V180*U180)+IF(Y180="",0,Y180*X180),"")</f>
        <v/>
      </c>
      <c r="AF180" s="12" t="str">
        <f aca="false">IF(AND($J180=1,$M180=0),MIN((AC180-E180)/Span_P,(AD180-F180)/Span_S,(AE180-G180)/Span_B),"")</f>
        <v/>
      </c>
      <c r="AG180" s="15" t="str">
        <f aca="false">IF(AND($J180=1,$M180=0),IF(AF180&gt;0.0000001,1,0),"")</f>
        <v/>
      </c>
      <c r="AH180" s="15" t="str">
        <f aca="false">IF($J180=1,IF($M180=1,AB180,AG180),"")</f>
        <v/>
      </c>
      <c r="AI180" s="13" t="str">
        <f aca="false">IF($J180=1,(Ideal_P-E180)/Span_P,"")</f>
        <v/>
      </c>
      <c r="AJ180" s="13" t="str">
        <f aca="false">IF($J180=1,(Ideal_S-F180)/Span_S,"")</f>
        <v/>
      </c>
      <c r="AK180" s="13" t="str">
        <f aca="false">IF($J180=1,(Ideal_B-G180)/Span_B,"")</f>
        <v/>
      </c>
      <c r="AL180" s="12" t="str">
        <f aca="false">IF($J180=1,MAX(ChA_1*AI180,ChA_2*AJ180,ChA_3*AK180)+Rho*(ChA_1*AI180+ChA_2*AJ180+ChA_3*AK180),"")</f>
        <v/>
      </c>
      <c r="AM180" s="12" t="str">
        <f aca="false">IF($J180=1,MAX(ChB_1*AI180,ChB_2*AJ180,ChB_3*AK180)+Rho*(ChB_1*AI180+ChB_2*AJ180+ChB_3*AK180),"")</f>
        <v/>
      </c>
      <c r="AN180" s="12" t="str">
        <f aca="false">IF($J180=1,MAX(Cx_1*(Ref_P-E180)/Span_P,Cx_2*(Ref_S-F180)/Span_S,Cx_3*(Ref_B-G180)/Span_B),"")</f>
        <v/>
      </c>
    </row>
    <row r="181" customFormat="false" ht="15" hidden="false" customHeight="false" outlineLevel="0" collapsed="false">
      <c r="A181" s="2" t="n">
        <v>175</v>
      </c>
      <c r="B181" s="15" t="n">
        <f aca="false">INT(A181/151)</f>
        <v>1</v>
      </c>
      <c r="C181" s="15" t="n">
        <f aca="false">MOD(A181,151)</f>
        <v>24</v>
      </c>
      <c r="D181" s="15" t="n">
        <f aca="false">INDEX(Grid!$J$6:$P$156,C181+1,B181+1)</f>
        <v>1</v>
      </c>
      <c r="E181" s="16" t="n">
        <f aca="false">IF(D181=1,INDEX(Grid!$B$6:$H$156,C181+1,B181+1),"")</f>
        <v>348.854462251088</v>
      </c>
      <c r="F181" s="13" t="n">
        <f aca="false">Val_pt*(Ceiling_e-E_zero)*(1-(1-Half_gap)^B181)</f>
        <v>70</v>
      </c>
      <c r="G181" s="15" t="n">
        <f aca="false">C181</f>
        <v>24</v>
      </c>
      <c r="H181" s="15" t="n">
        <f aca="false">IF(D181=1,INDEX(Grid!$R$6:$X$156,C181+1,B181+1),"")</f>
        <v>32</v>
      </c>
      <c r="I181" s="2" t="str">
        <f aca="false">IF(D181=1,INDEX(Sch_label,H181+1),"")</f>
        <v>1</v>
      </c>
      <c r="J181" s="15" t="n">
        <f aca="false">IF(D181=1,INDEX(Grid!$Z$6:$AF$156,C181+1,B181+1),0)</f>
        <v>0</v>
      </c>
      <c r="K181" s="16" t="n">
        <f aca="false">IF(J181=1,E181,0)</f>
        <v>0</v>
      </c>
      <c r="L181" s="17" t="n">
        <f aca="false">IF(D181=1,E181+W_board*F181,"")</f>
        <v>743.986213288732</v>
      </c>
      <c r="Z181" s="12" t="str">
        <f aca="false">IF(AND($J181=1,$M181=1),N181*E181/Span_P+O181*F181/Span_S+P181*G181/Span_B,"")</f>
        <v/>
      </c>
      <c r="AA181" s="12" t="str">
        <f aca="false">IF(AND($J181=1,$M181=1),SUMPRODUCT(MAX($J$6:$J$1062*(N181*$K$6:$K$1062/Span_P+O181*$F$6:$F$1062/Span_S+P181*$G$6:$G$1062/Span_B)-(1-$J$6:$J$1062)*1000000000)),"")</f>
        <v/>
      </c>
      <c r="AB181" s="15" t="str">
        <f aca="false">IF(AND($J181=1,$M181=1),IF(AA181-Z181&lt;=0.000000001,1,0),"")</f>
        <v/>
      </c>
      <c r="AC181" s="13" t="str">
        <f aca="false">IF(AND($J181=1,$M181=0),IF(S181="",0,S181*INDEX(Grid!$B$6:$H$156,R181+1,Q181+1))+IF(V181="",0,V181*INDEX(Grid!$B$6:$H$156,U181+1,T181+1))+IF(Y181="",0,Y181*INDEX(Grid!$B$6:$H$156,X181+1,W181+1)),"")</f>
        <v/>
      </c>
      <c r="AD181" s="13" t="str">
        <f aca="false">IF(AND($J181=1,$M181=0),IF(S181="",0,S181*Val_pt*(Ceiling_e-E_zero)*(1-(1-Half_gap)^Q181))+IF(V181="",0,V181*Val_pt*(Ceiling_e-E_zero)*(1-(1-Half_gap)^T181))+IF(Y181="",0,Y181*Val_pt*(Ceiling_e-E_zero)*(1-(1-Half_gap)^W181)),"")</f>
        <v/>
      </c>
      <c r="AE181" s="13" t="str">
        <f aca="false">IF(AND($J181=1,$M181=0),IF(S181="",0,S181*R181)+IF(V181="",0,V181*U181)+IF(Y181="",0,Y181*X181),"")</f>
        <v/>
      </c>
      <c r="AF181" s="12" t="str">
        <f aca="false">IF(AND($J181=1,$M181=0),MIN((AC181-E181)/Span_P,(AD181-F181)/Span_S,(AE181-G181)/Span_B),"")</f>
        <v/>
      </c>
      <c r="AG181" s="15" t="str">
        <f aca="false">IF(AND($J181=1,$M181=0),IF(AF181&gt;0.0000001,1,0),"")</f>
        <v/>
      </c>
      <c r="AH181" s="15" t="str">
        <f aca="false">IF($J181=1,IF($M181=1,AB181,AG181),"")</f>
        <v/>
      </c>
      <c r="AI181" s="13" t="str">
        <f aca="false">IF($J181=1,(Ideal_P-E181)/Span_P,"")</f>
        <v/>
      </c>
      <c r="AJ181" s="13" t="str">
        <f aca="false">IF($J181=1,(Ideal_S-F181)/Span_S,"")</f>
        <v/>
      </c>
      <c r="AK181" s="13" t="str">
        <f aca="false">IF($J181=1,(Ideal_B-G181)/Span_B,"")</f>
        <v/>
      </c>
      <c r="AL181" s="12" t="str">
        <f aca="false">IF($J181=1,MAX(ChA_1*AI181,ChA_2*AJ181,ChA_3*AK181)+Rho*(ChA_1*AI181+ChA_2*AJ181+ChA_3*AK181),"")</f>
        <v/>
      </c>
      <c r="AM181" s="12" t="str">
        <f aca="false">IF($J181=1,MAX(ChB_1*AI181,ChB_2*AJ181,ChB_3*AK181)+Rho*(ChB_1*AI181+ChB_2*AJ181+ChB_3*AK181),"")</f>
        <v/>
      </c>
      <c r="AN181" s="12" t="str">
        <f aca="false">IF($J181=1,MAX(Cx_1*(Ref_P-E181)/Span_P,Cx_2*(Ref_S-F181)/Span_S,Cx_3*(Ref_B-G181)/Span_B),"")</f>
        <v/>
      </c>
    </row>
    <row r="182" customFormat="false" ht="15" hidden="false" customHeight="false" outlineLevel="0" collapsed="false">
      <c r="A182" s="2" t="n">
        <v>176</v>
      </c>
      <c r="B182" s="15" t="n">
        <f aca="false">INT(A182/151)</f>
        <v>1</v>
      </c>
      <c r="C182" s="15" t="n">
        <f aca="false">MOD(A182,151)</f>
        <v>25</v>
      </c>
      <c r="D182" s="15" t="n">
        <f aca="false">INDEX(Grid!$J$6:$P$156,C182+1,B182+1)</f>
        <v>1</v>
      </c>
      <c r="E182" s="16" t="n">
        <f aca="false">IF(D182=1,INDEX(Grid!$B$6:$H$156,C182+1,B182+1),"")</f>
        <v>347.945371341997</v>
      </c>
      <c r="F182" s="13" t="n">
        <f aca="false">Val_pt*(Ceiling_e-E_zero)*(1-(1-Half_gap)^B182)</f>
        <v>70</v>
      </c>
      <c r="G182" s="15" t="n">
        <f aca="false">C182</f>
        <v>25</v>
      </c>
      <c r="H182" s="15" t="n">
        <f aca="false">IF(D182=1,INDEX(Grid!$R$6:$X$156,C182+1,B182+1),"")</f>
        <v>32</v>
      </c>
      <c r="I182" s="2" t="str">
        <f aca="false">IF(D182=1,INDEX(Sch_label,H182+1),"")</f>
        <v>1</v>
      </c>
      <c r="J182" s="15" t="n">
        <f aca="false">IF(D182=1,INDEX(Grid!$Z$6:$AF$156,C182+1,B182+1),0)</f>
        <v>0</v>
      </c>
      <c r="K182" s="16" t="n">
        <f aca="false">IF(J182=1,E182,0)</f>
        <v>0</v>
      </c>
      <c r="L182" s="17" t="n">
        <f aca="false">IF(D182=1,E182+W_board*F182,"")</f>
        <v>743.077122379641</v>
      </c>
      <c r="Z182" s="12" t="str">
        <f aca="false">IF(AND($J182=1,$M182=1),N182*E182/Span_P+O182*F182/Span_S+P182*G182/Span_B,"")</f>
        <v/>
      </c>
      <c r="AA182" s="12" t="str">
        <f aca="false">IF(AND($J182=1,$M182=1),SUMPRODUCT(MAX($J$6:$J$1062*(N182*$K$6:$K$1062/Span_P+O182*$F$6:$F$1062/Span_S+P182*$G$6:$G$1062/Span_B)-(1-$J$6:$J$1062)*1000000000)),"")</f>
        <v/>
      </c>
      <c r="AB182" s="15" t="str">
        <f aca="false">IF(AND($J182=1,$M182=1),IF(AA182-Z182&lt;=0.000000001,1,0),"")</f>
        <v/>
      </c>
      <c r="AC182" s="13" t="str">
        <f aca="false">IF(AND($J182=1,$M182=0),IF(S182="",0,S182*INDEX(Grid!$B$6:$H$156,R182+1,Q182+1))+IF(V182="",0,V182*INDEX(Grid!$B$6:$H$156,U182+1,T182+1))+IF(Y182="",0,Y182*INDEX(Grid!$B$6:$H$156,X182+1,W182+1)),"")</f>
        <v/>
      </c>
      <c r="AD182" s="13" t="str">
        <f aca="false">IF(AND($J182=1,$M182=0),IF(S182="",0,S182*Val_pt*(Ceiling_e-E_zero)*(1-(1-Half_gap)^Q182))+IF(V182="",0,V182*Val_pt*(Ceiling_e-E_zero)*(1-(1-Half_gap)^T182))+IF(Y182="",0,Y182*Val_pt*(Ceiling_e-E_zero)*(1-(1-Half_gap)^W182)),"")</f>
        <v/>
      </c>
      <c r="AE182" s="13" t="str">
        <f aca="false">IF(AND($J182=1,$M182=0),IF(S182="",0,S182*R182)+IF(V182="",0,V182*U182)+IF(Y182="",0,Y182*X182),"")</f>
        <v/>
      </c>
      <c r="AF182" s="12" t="str">
        <f aca="false">IF(AND($J182=1,$M182=0),MIN((AC182-E182)/Span_P,(AD182-F182)/Span_S,(AE182-G182)/Span_B),"")</f>
        <v/>
      </c>
      <c r="AG182" s="15" t="str">
        <f aca="false">IF(AND($J182=1,$M182=0),IF(AF182&gt;0.0000001,1,0),"")</f>
        <v/>
      </c>
      <c r="AH182" s="15" t="str">
        <f aca="false">IF($J182=1,IF($M182=1,AB182,AG182),"")</f>
        <v/>
      </c>
      <c r="AI182" s="13" t="str">
        <f aca="false">IF($J182=1,(Ideal_P-E182)/Span_P,"")</f>
        <v/>
      </c>
      <c r="AJ182" s="13" t="str">
        <f aca="false">IF($J182=1,(Ideal_S-F182)/Span_S,"")</f>
        <v/>
      </c>
      <c r="AK182" s="13" t="str">
        <f aca="false">IF($J182=1,(Ideal_B-G182)/Span_B,"")</f>
        <v/>
      </c>
      <c r="AL182" s="12" t="str">
        <f aca="false">IF($J182=1,MAX(ChA_1*AI182,ChA_2*AJ182,ChA_3*AK182)+Rho*(ChA_1*AI182+ChA_2*AJ182+ChA_3*AK182),"")</f>
        <v/>
      </c>
      <c r="AM182" s="12" t="str">
        <f aca="false">IF($J182=1,MAX(ChB_1*AI182,ChB_2*AJ182,ChB_3*AK182)+Rho*(ChB_1*AI182+ChB_2*AJ182+ChB_3*AK182),"")</f>
        <v/>
      </c>
      <c r="AN182" s="12" t="str">
        <f aca="false">IF($J182=1,MAX(Cx_1*(Ref_P-E182)/Span_P,Cx_2*(Ref_S-F182)/Span_S,Cx_3*(Ref_B-G182)/Span_B),"")</f>
        <v/>
      </c>
    </row>
    <row r="183" customFormat="false" ht="15" hidden="false" customHeight="false" outlineLevel="0" collapsed="false">
      <c r="A183" s="2" t="n">
        <v>177</v>
      </c>
      <c r="B183" s="15" t="n">
        <f aca="false">INT(A183/151)</f>
        <v>1</v>
      </c>
      <c r="C183" s="15" t="n">
        <f aca="false">MOD(A183,151)</f>
        <v>26</v>
      </c>
      <c r="D183" s="15" t="n">
        <f aca="false">INDEX(Grid!$J$6:$P$156,C183+1,B183+1)</f>
        <v>1</v>
      </c>
      <c r="E183" s="16" t="n">
        <f aca="false">IF(D183=1,INDEX(Grid!$B$6:$H$156,C183+1,B183+1),"")</f>
        <v>347.036280432906</v>
      </c>
      <c r="F183" s="13" t="n">
        <f aca="false">Val_pt*(Ceiling_e-E_zero)*(1-(1-Half_gap)^B183)</f>
        <v>70</v>
      </c>
      <c r="G183" s="15" t="n">
        <f aca="false">C183</f>
        <v>26</v>
      </c>
      <c r="H183" s="15" t="n">
        <f aca="false">IF(D183=1,INDEX(Grid!$R$6:$X$156,C183+1,B183+1),"")</f>
        <v>32</v>
      </c>
      <c r="I183" s="2" t="str">
        <f aca="false">IF(D183=1,INDEX(Sch_label,H183+1),"")</f>
        <v>1</v>
      </c>
      <c r="J183" s="15" t="n">
        <f aca="false">IF(D183=1,INDEX(Grid!$Z$6:$AF$156,C183+1,B183+1),0)</f>
        <v>0</v>
      </c>
      <c r="K183" s="16" t="n">
        <f aca="false">IF(J183=1,E183,0)</f>
        <v>0</v>
      </c>
      <c r="L183" s="17" t="n">
        <f aca="false">IF(D183=1,E183+W_board*F183,"")</f>
        <v>742.16803147055</v>
      </c>
      <c r="Z183" s="12" t="str">
        <f aca="false">IF(AND($J183=1,$M183=1),N183*E183/Span_P+O183*F183/Span_S+P183*G183/Span_B,"")</f>
        <v/>
      </c>
      <c r="AA183" s="12" t="str">
        <f aca="false">IF(AND($J183=1,$M183=1),SUMPRODUCT(MAX($J$6:$J$1062*(N183*$K$6:$K$1062/Span_P+O183*$F$6:$F$1062/Span_S+P183*$G$6:$G$1062/Span_B)-(1-$J$6:$J$1062)*1000000000)),"")</f>
        <v/>
      </c>
      <c r="AB183" s="15" t="str">
        <f aca="false">IF(AND($J183=1,$M183=1),IF(AA183-Z183&lt;=0.000000001,1,0),"")</f>
        <v/>
      </c>
      <c r="AC183" s="13" t="str">
        <f aca="false">IF(AND($J183=1,$M183=0),IF(S183="",0,S183*INDEX(Grid!$B$6:$H$156,R183+1,Q183+1))+IF(V183="",0,V183*INDEX(Grid!$B$6:$H$156,U183+1,T183+1))+IF(Y183="",0,Y183*INDEX(Grid!$B$6:$H$156,X183+1,W183+1)),"")</f>
        <v/>
      </c>
      <c r="AD183" s="13" t="str">
        <f aca="false">IF(AND($J183=1,$M183=0),IF(S183="",0,S183*Val_pt*(Ceiling_e-E_zero)*(1-(1-Half_gap)^Q183))+IF(V183="",0,V183*Val_pt*(Ceiling_e-E_zero)*(1-(1-Half_gap)^T183))+IF(Y183="",0,Y183*Val_pt*(Ceiling_e-E_zero)*(1-(1-Half_gap)^W183)),"")</f>
        <v/>
      </c>
      <c r="AE183" s="13" t="str">
        <f aca="false">IF(AND($J183=1,$M183=0),IF(S183="",0,S183*R183)+IF(V183="",0,V183*U183)+IF(Y183="",0,Y183*X183),"")</f>
        <v/>
      </c>
      <c r="AF183" s="12" t="str">
        <f aca="false">IF(AND($J183=1,$M183=0),MIN((AC183-E183)/Span_P,(AD183-F183)/Span_S,(AE183-G183)/Span_B),"")</f>
        <v/>
      </c>
      <c r="AG183" s="15" t="str">
        <f aca="false">IF(AND($J183=1,$M183=0),IF(AF183&gt;0.0000001,1,0),"")</f>
        <v/>
      </c>
      <c r="AH183" s="15" t="str">
        <f aca="false">IF($J183=1,IF($M183=1,AB183,AG183),"")</f>
        <v/>
      </c>
      <c r="AI183" s="13" t="str">
        <f aca="false">IF($J183=1,(Ideal_P-E183)/Span_P,"")</f>
        <v/>
      </c>
      <c r="AJ183" s="13" t="str">
        <f aca="false">IF($J183=1,(Ideal_S-F183)/Span_S,"")</f>
        <v/>
      </c>
      <c r="AK183" s="13" t="str">
        <f aca="false">IF($J183=1,(Ideal_B-G183)/Span_B,"")</f>
        <v/>
      </c>
      <c r="AL183" s="12" t="str">
        <f aca="false">IF($J183=1,MAX(ChA_1*AI183,ChA_2*AJ183,ChA_3*AK183)+Rho*(ChA_1*AI183+ChA_2*AJ183+ChA_3*AK183),"")</f>
        <v/>
      </c>
      <c r="AM183" s="12" t="str">
        <f aca="false">IF($J183=1,MAX(ChB_1*AI183,ChB_2*AJ183,ChB_3*AK183)+Rho*(ChB_1*AI183+ChB_2*AJ183+ChB_3*AK183),"")</f>
        <v/>
      </c>
      <c r="AN183" s="12" t="str">
        <f aca="false">IF($J183=1,MAX(Cx_1*(Ref_P-E183)/Span_P,Cx_2*(Ref_S-F183)/Span_S,Cx_3*(Ref_B-G183)/Span_B),"")</f>
        <v/>
      </c>
    </row>
    <row r="184" customFormat="false" ht="15" hidden="false" customHeight="false" outlineLevel="0" collapsed="false">
      <c r="A184" s="2" t="n">
        <v>178</v>
      </c>
      <c r="B184" s="15" t="n">
        <f aca="false">INT(A184/151)</f>
        <v>1</v>
      </c>
      <c r="C184" s="15" t="n">
        <f aca="false">MOD(A184,151)</f>
        <v>27</v>
      </c>
      <c r="D184" s="15" t="n">
        <f aca="false">INDEX(Grid!$J$6:$P$156,C184+1,B184+1)</f>
        <v>1</v>
      </c>
      <c r="E184" s="16" t="n">
        <f aca="false">IF(D184=1,INDEX(Grid!$B$6:$H$156,C184+1,B184+1),"")</f>
        <v>346.127189523815</v>
      </c>
      <c r="F184" s="13" t="n">
        <f aca="false">Val_pt*(Ceiling_e-E_zero)*(1-(1-Half_gap)^B184)</f>
        <v>70</v>
      </c>
      <c r="G184" s="15" t="n">
        <f aca="false">C184</f>
        <v>27</v>
      </c>
      <c r="H184" s="15" t="n">
        <f aca="false">IF(D184=1,INDEX(Grid!$R$6:$X$156,C184+1,B184+1),"")</f>
        <v>32</v>
      </c>
      <c r="I184" s="2" t="str">
        <f aca="false">IF(D184=1,INDEX(Sch_label,H184+1),"")</f>
        <v>1</v>
      </c>
      <c r="J184" s="15" t="n">
        <f aca="false">IF(D184=1,INDEX(Grid!$Z$6:$AF$156,C184+1,B184+1),0)</f>
        <v>0</v>
      </c>
      <c r="K184" s="16" t="n">
        <f aca="false">IF(J184=1,E184,0)</f>
        <v>0</v>
      </c>
      <c r="L184" s="17" t="n">
        <f aca="false">IF(D184=1,E184+W_board*F184,"")</f>
        <v>741.258940561459</v>
      </c>
      <c r="Z184" s="12" t="str">
        <f aca="false">IF(AND($J184=1,$M184=1),N184*E184/Span_P+O184*F184/Span_S+P184*G184/Span_B,"")</f>
        <v/>
      </c>
      <c r="AA184" s="12" t="str">
        <f aca="false">IF(AND($J184=1,$M184=1),SUMPRODUCT(MAX($J$6:$J$1062*(N184*$K$6:$K$1062/Span_P+O184*$F$6:$F$1062/Span_S+P184*$G$6:$G$1062/Span_B)-(1-$J$6:$J$1062)*1000000000)),"")</f>
        <v/>
      </c>
      <c r="AB184" s="15" t="str">
        <f aca="false">IF(AND($J184=1,$M184=1),IF(AA184-Z184&lt;=0.000000001,1,0),"")</f>
        <v/>
      </c>
      <c r="AC184" s="13" t="str">
        <f aca="false">IF(AND($J184=1,$M184=0),IF(S184="",0,S184*INDEX(Grid!$B$6:$H$156,R184+1,Q184+1))+IF(V184="",0,V184*INDEX(Grid!$B$6:$H$156,U184+1,T184+1))+IF(Y184="",0,Y184*INDEX(Grid!$B$6:$H$156,X184+1,W184+1)),"")</f>
        <v/>
      </c>
      <c r="AD184" s="13" t="str">
        <f aca="false">IF(AND($J184=1,$M184=0),IF(S184="",0,S184*Val_pt*(Ceiling_e-E_zero)*(1-(1-Half_gap)^Q184))+IF(V184="",0,V184*Val_pt*(Ceiling_e-E_zero)*(1-(1-Half_gap)^T184))+IF(Y184="",0,Y184*Val_pt*(Ceiling_e-E_zero)*(1-(1-Half_gap)^W184)),"")</f>
        <v/>
      </c>
      <c r="AE184" s="13" t="str">
        <f aca="false">IF(AND($J184=1,$M184=0),IF(S184="",0,S184*R184)+IF(V184="",0,V184*U184)+IF(Y184="",0,Y184*X184),"")</f>
        <v/>
      </c>
      <c r="AF184" s="12" t="str">
        <f aca="false">IF(AND($J184=1,$M184=0),MIN((AC184-E184)/Span_P,(AD184-F184)/Span_S,(AE184-G184)/Span_B),"")</f>
        <v/>
      </c>
      <c r="AG184" s="15" t="str">
        <f aca="false">IF(AND($J184=1,$M184=0),IF(AF184&gt;0.0000001,1,0),"")</f>
        <v/>
      </c>
      <c r="AH184" s="15" t="str">
        <f aca="false">IF($J184=1,IF($M184=1,AB184,AG184),"")</f>
        <v/>
      </c>
      <c r="AI184" s="13" t="str">
        <f aca="false">IF($J184=1,(Ideal_P-E184)/Span_P,"")</f>
        <v/>
      </c>
      <c r="AJ184" s="13" t="str">
        <f aca="false">IF($J184=1,(Ideal_S-F184)/Span_S,"")</f>
        <v/>
      </c>
      <c r="AK184" s="13" t="str">
        <f aca="false">IF($J184=1,(Ideal_B-G184)/Span_B,"")</f>
        <v/>
      </c>
      <c r="AL184" s="12" t="str">
        <f aca="false">IF($J184=1,MAX(ChA_1*AI184,ChA_2*AJ184,ChA_3*AK184)+Rho*(ChA_1*AI184+ChA_2*AJ184+ChA_3*AK184),"")</f>
        <v/>
      </c>
      <c r="AM184" s="12" t="str">
        <f aca="false">IF($J184=1,MAX(ChB_1*AI184,ChB_2*AJ184,ChB_3*AK184)+Rho*(ChB_1*AI184+ChB_2*AJ184+ChB_3*AK184),"")</f>
        <v/>
      </c>
      <c r="AN184" s="12" t="str">
        <f aca="false">IF($J184=1,MAX(Cx_1*(Ref_P-E184)/Span_P,Cx_2*(Ref_S-F184)/Span_S,Cx_3*(Ref_B-G184)/Span_B),"")</f>
        <v/>
      </c>
    </row>
    <row r="185" customFormat="false" ht="15" hidden="false" customHeight="false" outlineLevel="0" collapsed="false">
      <c r="A185" s="2" t="n">
        <v>179</v>
      </c>
      <c r="B185" s="15" t="n">
        <f aca="false">INT(A185/151)</f>
        <v>1</v>
      </c>
      <c r="C185" s="15" t="n">
        <f aca="false">MOD(A185,151)</f>
        <v>28</v>
      </c>
      <c r="D185" s="15" t="n">
        <f aca="false">INDEX(Grid!$J$6:$P$156,C185+1,B185+1)</f>
        <v>1</v>
      </c>
      <c r="E185" s="16" t="n">
        <f aca="false">IF(D185=1,INDEX(Grid!$B$6:$H$156,C185+1,B185+1),"")</f>
        <v>345.218098614725</v>
      </c>
      <c r="F185" s="13" t="n">
        <f aca="false">Val_pt*(Ceiling_e-E_zero)*(1-(1-Half_gap)^B185)</f>
        <v>70</v>
      </c>
      <c r="G185" s="15" t="n">
        <f aca="false">C185</f>
        <v>28</v>
      </c>
      <c r="H185" s="15" t="n">
        <f aca="false">IF(D185=1,INDEX(Grid!$R$6:$X$156,C185+1,B185+1),"")</f>
        <v>32</v>
      </c>
      <c r="I185" s="2" t="str">
        <f aca="false">IF(D185=1,INDEX(Sch_label,H185+1),"")</f>
        <v>1</v>
      </c>
      <c r="J185" s="15" t="n">
        <f aca="false">IF(D185=1,INDEX(Grid!$Z$6:$AF$156,C185+1,B185+1),0)</f>
        <v>0</v>
      </c>
      <c r="K185" s="16" t="n">
        <f aca="false">IF(J185=1,E185,0)</f>
        <v>0</v>
      </c>
      <c r="L185" s="17" t="n">
        <f aca="false">IF(D185=1,E185+W_board*F185,"")</f>
        <v>740.349849652369</v>
      </c>
      <c r="Z185" s="12" t="str">
        <f aca="false">IF(AND($J185=1,$M185=1),N185*E185/Span_P+O185*F185/Span_S+P185*G185/Span_B,"")</f>
        <v/>
      </c>
      <c r="AA185" s="12" t="str">
        <f aca="false">IF(AND($J185=1,$M185=1),SUMPRODUCT(MAX($J$6:$J$1062*(N185*$K$6:$K$1062/Span_P+O185*$F$6:$F$1062/Span_S+P185*$G$6:$G$1062/Span_B)-(1-$J$6:$J$1062)*1000000000)),"")</f>
        <v/>
      </c>
      <c r="AB185" s="15" t="str">
        <f aca="false">IF(AND($J185=1,$M185=1),IF(AA185-Z185&lt;=0.000000001,1,0),"")</f>
        <v/>
      </c>
      <c r="AC185" s="13" t="str">
        <f aca="false">IF(AND($J185=1,$M185=0),IF(S185="",0,S185*INDEX(Grid!$B$6:$H$156,R185+1,Q185+1))+IF(V185="",0,V185*INDEX(Grid!$B$6:$H$156,U185+1,T185+1))+IF(Y185="",0,Y185*INDEX(Grid!$B$6:$H$156,X185+1,W185+1)),"")</f>
        <v/>
      </c>
      <c r="AD185" s="13" t="str">
        <f aca="false">IF(AND($J185=1,$M185=0),IF(S185="",0,S185*Val_pt*(Ceiling_e-E_zero)*(1-(1-Half_gap)^Q185))+IF(V185="",0,V185*Val_pt*(Ceiling_e-E_zero)*(1-(1-Half_gap)^T185))+IF(Y185="",0,Y185*Val_pt*(Ceiling_e-E_zero)*(1-(1-Half_gap)^W185)),"")</f>
        <v/>
      </c>
      <c r="AE185" s="13" t="str">
        <f aca="false">IF(AND($J185=1,$M185=0),IF(S185="",0,S185*R185)+IF(V185="",0,V185*U185)+IF(Y185="",0,Y185*X185),"")</f>
        <v/>
      </c>
      <c r="AF185" s="12" t="str">
        <f aca="false">IF(AND($J185=1,$M185=0),MIN((AC185-E185)/Span_P,(AD185-F185)/Span_S,(AE185-G185)/Span_B),"")</f>
        <v/>
      </c>
      <c r="AG185" s="15" t="str">
        <f aca="false">IF(AND($J185=1,$M185=0),IF(AF185&gt;0.0000001,1,0),"")</f>
        <v/>
      </c>
      <c r="AH185" s="15" t="str">
        <f aca="false">IF($J185=1,IF($M185=1,AB185,AG185),"")</f>
        <v/>
      </c>
      <c r="AI185" s="13" t="str">
        <f aca="false">IF($J185=1,(Ideal_P-E185)/Span_P,"")</f>
        <v/>
      </c>
      <c r="AJ185" s="13" t="str">
        <f aca="false">IF($J185=1,(Ideal_S-F185)/Span_S,"")</f>
        <v/>
      </c>
      <c r="AK185" s="13" t="str">
        <f aca="false">IF($J185=1,(Ideal_B-G185)/Span_B,"")</f>
        <v/>
      </c>
      <c r="AL185" s="12" t="str">
        <f aca="false">IF($J185=1,MAX(ChA_1*AI185,ChA_2*AJ185,ChA_3*AK185)+Rho*(ChA_1*AI185+ChA_2*AJ185+ChA_3*AK185),"")</f>
        <v/>
      </c>
      <c r="AM185" s="12" t="str">
        <f aca="false">IF($J185=1,MAX(ChB_1*AI185,ChB_2*AJ185,ChB_3*AK185)+Rho*(ChB_1*AI185+ChB_2*AJ185+ChB_3*AK185),"")</f>
        <v/>
      </c>
      <c r="AN185" s="12" t="str">
        <f aca="false">IF($J185=1,MAX(Cx_1*(Ref_P-E185)/Span_P,Cx_2*(Ref_S-F185)/Span_S,Cx_3*(Ref_B-G185)/Span_B),"")</f>
        <v/>
      </c>
    </row>
    <row r="186" customFormat="false" ht="15" hidden="false" customHeight="false" outlineLevel="0" collapsed="false">
      <c r="A186" s="2" t="n">
        <v>180</v>
      </c>
      <c r="B186" s="15" t="n">
        <f aca="false">INT(A186/151)</f>
        <v>1</v>
      </c>
      <c r="C186" s="15" t="n">
        <f aca="false">MOD(A186,151)</f>
        <v>29</v>
      </c>
      <c r="D186" s="15" t="n">
        <f aca="false">INDEX(Grid!$J$6:$P$156,C186+1,B186+1)</f>
        <v>1</v>
      </c>
      <c r="E186" s="16" t="n">
        <f aca="false">IF(D186=1,INDEX(Grid!$B$6:$H$156,C186+1,B186+1),"")</f>
        <v>344.309007705634</v>
      </c>
      <c r="F186" s="13" t="n">
        <f aca="false">Val_pt*(Ceiling_e-E_zero)*(1-(1-Half_gap)^B186)</f>
        <v>70</v>
      </c>
      <c r="G186" s="15" t="n">
        <f aca="false">C186</f>
        <v>29</v>
      </c>
      <c r="H186" s="15" t="n">
        <f aca="false">IF(D186=1,INDEX(Grid!$R$6:$X$156,C186+1,B186+1),"")</f>
        <v>32</v>
      </c>
      <c r="I186" s="2" t="str">
        <f aca="false">IF(D186=1,INDEX(Sch_label,H186+1),"")</f>
        <v>1</v>
      </c>
      <c r="J186" s="15" t="n">
        <f aca="false">IF(D186=1,INDEX(Grid!$Z$6:$AF$156,C186+1,B186+1),0)</f>
        <v>0</v>
      </c>
      <c r="K186" s="16" t="n">
        <f aca="false">IF(J186=1,E186,0)</f>
        <v>0</v>
      </c>
      <c r="L186" s="17" t="n">
        <f aca="false">IF(D186=1,E186+W_board*F186,"")</f>
        <v>739.440758743278</v>
      </c>
      <c r="Z186" s="12" t="str">
        <f aca="false">IF(AND($J186=1,$M186=1),N186*E186/Span_P+O186*F186/Span_S+P186*G186/Span_B,"")</f>
        <v/>
      </c>
      <c r="AA186" s="12" t="str">
        <f aca="false">IF(AND($J186=1,$M186=1),SUMPRODUCT(MAX($J$6:$J$1062*(N186*$K$6:$K$1062/Span_P+O186*$F$6:$F$1062/Span_S+P186*$G$6:$G$1062/Span_B)-(1-$J$6:$J$1062)*1000000000)),"")</f>
        <v/>
      </c>
      <c r="AB186" s="15" t="str">
        <f aca="false">IF(AND($J186=1,$M186=1),IF(AA186-Z186&lt;=0.000000001,1,0),"")</f>
        <v/>
      </c>
      <c r="AC186" s="13" t="str">
        <f aca="false">IF(AND($J186=1,$M186=0),IF(S186="",0,S186*INDEX(Grid!$B$6:$H$156,R186+1,Q186+1))+IF(V186="",0,V186*INDEX(Grid!$B$6:$H$156,U186+1,T186+1))+IF(Y186="",0,Y186*INDEX(Grid!$B$6:$H$156,X186+1,W186+1)),"")</f>
        <v/>
      </c>
      <c r="AD186" s="13" t="str">
        <f aca="false">IF(AND($J186=1,$M186=0),IF(S186="",0,S186*Val_pt*(Ceiling_e-E_zero)*(1-(1-Half_gap)^Q186))+IF(V186="",0,V186*Val_pt*(Ceiling_e-E_zero)*(1-(1-Half_gap)^T186))+IF(Y186="",0,Y186*Val_pt*(Ceiling_e-E_zero)*(1-(1-Half_gap)^W186)),"")</f>
        <v/>
      </c>
      <c r="AE186" s="13" t="str">
        <f aca="false">IF(AND($J186=1,$M186=0),IF(S186="",0,S186*R186)+IF(V186="",0,V186*U186)+IF(Y186="",0,Y186*X186),"")</f>
        <v/>
      </c>
      <c r="AF186" s="12" t="str">
        <f aca="false">IF(AND($J186=1,$M186=0),MIN((AC186-E186)/Span_P,(AD186-F186)/Span_S,(AE186-G186)/Span_B),"")</f>
        <v/>
      </c>
      <c r="AG186" s="15" t="str">
        <f aca="false">IF(AND($J186=1,$M186=0),IF(AF186&gt;0.0000001,1,0),"")</f>
        <v/>
      </c>
      <c r="AH186" s="15" t="str">
        <f aca="false">IF($J186=1,IF($M186=1,AB186,AG186),"")</f>
        <v/>
      </c>
      <c r="AI186" s="13" t="str">
        <f aca="false">IF($J186=1,(Ideal_P-E186)/Span_P,"")</f>
        <v/>
      </c>
      <c r="AJ186" s="13" t="str">
        <f aca="false">IF($J186=1,(Ideal_S-F186)/Span_S,"")</f>
        <v/>
      </c>
      <c r="AK186" s="13" t="str">
        <f aca="false">IF($J186=1,(Ideal_B-G186)/Span_B,"")</f>
        <v/>
      </c>
      <c r="AL186" s="12" t="str">
        <f aca="false">IF($J186=1,MAX(ChA_1*AI186,ChA_2*AJ186,ChA_3*AK186)+Rho*(ChA_1*AI186+ChA_2*AJ186+ChA_3*AK186),"")</f>
        <v/>
      </c>
      <c r="AM186" s="12" t="str">
        <f aca="false">IF($J186=1,MAX(ChB_1*AI186,ChB_2*AJ186,ChB_3*AK186)+Rho*(ChB_1*AI186+ChB_2*AJ186+ChB_3*AK186),"")</f>
        <v/>
      </c>
      <c r="AN186" s="12" t="str">
        <f aca="false">IF($J186=1,MAX(Cx_1*(Ref_P-E186)/Span_P,Cx_2*(Ref_S-F186)/Span_S,Cx_3*(Ref_B-G186)/Span_B),"")</f>
        <v/>
      </c>
    </row>
    <row r="187" customFormat="false" ht="15" hidden="false" customHeight="false" outlineLevel="0" collapsed="false">
      <c r="A187" s="2" t="n">
        <v>181</v>
      </c>
      <c r="B187" s="15" t="n">
        <f aca="false">INT(A187/151)</f>
        <v>1</v>
      </c>
      <c r="C187" s="15" t="n">
        <f aca="false">MOD(A187,151)</f>
        <v>30</v>
      </c>
      <c r="D187" s="15" t="n">
        <f aca="false">INDEX(Grid!$J$6:$P$156,C187+1,B187+1)</f>
        <v>1</v>
      </c>
      <c r="E187" s="16" t="n">
        <f aca="false">IF(D187=1,INDEX(Grid!$B$6:$H$156,C187+1,B187+1),"")</f>
        <v>343.399916796543</v>
      </c>
      <c r="F187" s="13" t="n">
        <f aca="false">Val_pt*(Ceiling_e-E_zero)*(1-(1-Half_gap)^B187)</f>
        <v>70</v>
      </c>
      <c r="G187" s="15" t="n">
        <f aca="false">C187</f>
        <v>30</v>
      </c>
      <c r="H187" s="15" t="n">
        <f aca="false">IF(D187=1,INDEX(Grid!$R$6:$X$156,C187+1,B187+1),"")</f>
        <v>32</v>
      </c>
      <c r="I187" s="2" t="str">
        <f aca="false">IF(D187=1,INDEX(Sch_label,H187+1),"")</f>
        <v>1</v>
      </c>
      <c r="J187" s="15" t="n">
        <f aca="false">IF(D187=1,INDEX(Grid!$Z$6:$AF$156,C187+1,B187+1),0)</f>
        <v>0</v>
      </c>
      <c r="K187" s="16" t="n">
        <f aca="false">IF(J187=1,E187,0)</f>
        <v>0</v>
      </c>
      <c r="L187" s="17" t="n">
        <f aca="false">IF(D187=1,E187+W_board*F187,"")</f>
        <v>738.531667834187</v>
      </c>
      <c r="Z187" s="12" t="str">
        <f aca="false">IF(AND($J187=1,$M187=1),N187*E187/Span_P+O187*F187/Span_S+P187*G187/Span_B,"")</f>
        <v/>
      </c>
      <c r="AA187" s="12" t="str">
        <f aca="false">IF(AND($J187=1,$M187=1),SUMPRODUCT(MAX($J$6:$J$1062*(N187*$K$6:$K$1062/Span_P+O187*$F$6:$F$1062/Span_S+P187*$G$6:$G$1062/Span_B)-(1-$J$6:$J$1062)*1000000000)),"")</f>
        <v/>
      </c>
      <c r="AB187" s="15" t="str">
        <f aca="false">IF(AND($J187=1,$M187=1),IF(AA187-Z187&lt;=0.000000001,1,0),"")</f>
        <v/>
      </c>
      <c r="AC187" s="13" t="str">
        <f aca="false">IF(AND($J187=1,$M187=0),IF(S187="",0,S187*INDEX(Grid!$B$6:$H$156,R187+1,Q187+1))+IF(V187="",0,V187*INDEX(Grid!$B$6:$H$156,U187+1,T187+1))+IF(Y187="",0,Y187*INDEX(Grid!$B$6:$H$156,X187+1,W187+1)),"")</f>
        <v/>
      </c>
      <c r="AD187" s="13" t="str">
        <f aca="false">IF(AND($J187=1,$M187=0),IF(S187="",0,S187*Val_pt*(Ceiling_e-E_zero)*(1-(1-Half_gap)^Q187))+IF(V187="",0,V187*Val_pt*(Ceiling_e-E_zero)*(1-(1-Half_gap)^T187))+IF(Y187="",0,Y187*Val_pt*(Ceiling_e-E_zero)*(1-(1-Half_gap)^W187)),"")</f>
        <v/>
      </c>
      <c r="AE187" s="13" t="str">
        <f aca="false">IF(AND($J187=1,$M187=0),IF(S187="",0,S187*R187)+IF(V187="",0,V187*U187)+IF(Y187="",0,Y187*X187),"")</f>
        <v/>
      </c>
      <c r="AF187" s="12" t="str">
        <f aca="false">IF(AND($J187=1,$M187=0),MIN((AC187-E187)/Span_P,(AD187-F187)/Span_S,(AE187-G187)/Span_B),"")</f>
        <v/>
      </c>
      <c r="AG187" s="15" t="str">
        <f aca="false">IF(AND($J187=1,$M187=0),IF(AF187&gt;0.0000001,1,0),"")</f>
        <v/>
      </c>
      <c r="AH187" s="15" t="str">
        <f aca="false">IF($J187=1,IF($M187=1,AB187,AG187),"")</f>
        <v/>
      </c>
      <c r="AI187" s="13" t="str">
        <f aca="false">IF($J187=1,(Ideal_P-E187)/Span_P,"")</f>
        <v/>
      </c>
      <c r="AJ187" s="13" t="str">
        <f aca="false">IF($J187=1,(Ideal_S-F187)/Span_S,"")</f>
        <v/>
      </c>
      <c r="AK187" s="13" t="str">
        <f aca="false">IF($J187=1,(Ideal_B-G187)/Span_B,"")</f>
        <v/>
      </c>
      <c r="AL187" s="12" t="str">
        <f aca="false">IF($J187=1,MAX(ChA_1*AI187,ChA_2*AJ187,ChA_3*AK187)+Rho*(ChA_1*AI187+ChA_2*AJ187+ChA_3*AK187),"")</f>
        <v/>
      </c>
      <c r="AM187" s="12" t="str">
        <f aca="false">IF($J187=1,MAX(ChB_1*AI187,ChB_2*AJ187,ChB_3*AK187)+Rho*(ChB_1*AI187+ChB_2*AJ187+ChB_3*AK187),"")</f>
        <v/>
      </c>
      <c r="AN187" s="12" t="str">
        <f aca="false">IF($J187=1,MAX(Cx_1*(Ref_P-E187)/Span_P,Cx_2*(Ref_S-F187)/Span_S,Cx_3*(Ref_B-G187)/Span_B),"")</f>
        <v/>
      </c>
    </row>
    <row r="188" customFormat="false" ht="15" hidden="false" customHeight="false" outlineLevel="0" collapsed="false">
      <c r="A188" s="2" t="n">
        <v>182</v>
      </c>
      <c r="B188" s="15" t="n">
        <f aca="false">INT(A188/151)</f>
        <v>1</v>
      </c>
      <c r="C188" s="15" t="n">
        <f aca="false">MOD(A188,151)</f>
        <v>31</v>
      </c>
      <c r="D188" s="15" t="n">
        <f aca="false">INDEX(Grid!$J$6:$P$156,C188+1,B188+1)</f>
        <v>1</v>
      </c>
      <c r="E188" s="16" t="n">
        <f aca="false">IF(D188=1,INDEX(Grid!$B$6:$H$156,C188+1,B188+1),"")</f>
        <v>342.490825887452</v>
      </c>
      <c r="F188" s="13" t="n">
        <f aca="false">Val_pt*(Ceiling_e-E_zero)*(1-(1-Half_gap)^B188)</f>
        <v>70</v>
      </c>
      <c r="G188" s="15" t="n">
        <f aca="false">C188</f>
        <v>31</v>
      </c>
      <c r="H188" s="15" t="n">
        <f aca="false">IF(D188=1,INDEX(Grid!$R$6:$X$156,C188+1,B188+1),"")</f>
        <v>32</v>
      </c>
      <c r="I188" s="2" t="str">
        <f aca="false">IF(D188=1,INDEX(Sch_label,H188+1),"")</f>
        <v>1</v>
      </c>
      <c r="J188" s="15" t="n">
        <f aca="false">IF(D188=1,INDEX(Grid!$Z$6:$AF$156,C188+1,B188+1),0)</f>
        <v>0</v>
      </c>
      <c r="K188" s="16" t="n">
        <f aca="false">IF(J188=1,E188,0)</f>
        <v>0</v>
      </c>
      <c r="L188" s="17" t="n">
        <f aca="false">IF(D188=1,E188+W_board*F188,"")</f>
        <v>737.622576925096</v>
      </c>
      <c r="Z188" s="12" t="str">
        <f aca="false">IF(AND($J188=1,$M188=1),N188*E188/Span_P+O188*F188/Span_S+P188*G188/Span_B,"")</f>
        <v/>
      </c>
      <c r="AA188" s="12" t="str">
        <f aca="false">IF(AND($J188=1,$M188=1),SUMPRODUCT(MAX($J$6:$J$1062*(N188*$K$6:$K$1062/Span_P+O188*$F$6:$F$1062/Span_S+P188*$G$6:$G$1062/Span_B)-(1-$J$6:$J$1062)*1000000000)),"")</f>
        <v/>
      </c>
      <c r="AB188" s="15" t="str">
        <f aca="false">IF(AND($J188=1,$M188=1),IF(AA188-Z188&lt;=0.000000001,1,0),"")</f>
        <v/>
      </c>
      <c r="AC188" s="13" t="str">
        <f aca="false">IF(AND($J188=1,$M188=0),IF(S188="",0,S188*INDEX(Grid!$B$6:$H$156,R188+1,Q188+1))+IF(V188="",0,V188*INDEX(Grid!$B$6:$H$156,U188+1,T188+1))+IF(Y188="",0,Y188*INDEX(Grid!$B$6:$H$156,X188+1,W188+1)),"")</f>
        <v/>
      </c>
      <c r="AD188" s="13" t="str">
        <f aca="false">IF(AND($J188=1,$M188=0),IF(S188="",0,S188*Val_pt*(Ceiling_e-E_zero)*(1-(1-Half_gap)^Q188))+IF(V188="",0,V188*Val_pt*(Ceiling_e-E_zero)*(1-(1-Half_gap)^T188))+IF(Y188="",0,Y188*Val_pt*(Ceiling_e-E_zero)*(1-(1-Half_gap)^W188)),"")</f>
        <v/>
      </c>
      <c r="AE188" s="13" t="str">
        <f aca="false">IF(AND($J188=1,$M188=0),IF(S188="",0,S188*R188)+IF(V188="",0,V188*U188)+IF(Y188="",0,Y188*X188),"")</f>
        <v/>
      </c>
      <c r="AF188" s="12" t="str">
        <f aca="false">IF(AND($J188=1,$M188=0),MIN((AC188-E188)/Span_P,(AD188-F188)/Span_S,(AE188-G188)/Span_B),"")</f>
        <v/>
      </c>
      <c r="AG188" s="15" t="str">
        <f aca="false">IF(AND($J188=1,$M188=0),IF(AF188&gt;0.0000001,1,0),"")</f>
        <v/>
      </c>
      <c r="AH188" s="15" t="str">
        <f aca="false">IF($J188=1,IF($M188=1,AB188,AG188),"")</f>
        <v/>
      </c>
      <c r="AI188" s="13" t="str">
        <f aca="false">IF($J188=1,(Ideal_P-E188)/Span_P,"")</f>
        <v/>
      </c>
      <c r="AJ188" s="13" t="str">
        <f aca="false">IF($J188=1,(Ideal_S-F188)/Span_S,"")</f>
        <v/>
      </c>
      <c r="AK188" s="13" t="str">
        <f aca="false">IF($J188=1,(Ideal_B-G188)/Span_B,"")</f>
        <v/>
      </c>
      <c r="AL188" s="12" t="str">
        <f aca="false">IF($J188=1,MAX(ChA_1*AI188,ChA_2*AJ188,ChA_3*AK188)+Rho*(ChA_1*AI188+ChA_2*AJ188+ChA_3*AK188),"")</f>
        <v/>
      </c>
      <c r="AM188" s="12" t="str">
        <f aca="false">IF($J188=1,MAX(ChB_1*AI188,ChB_2*AJ188,ChB_3*AK188)+Rho*(ChB_1*AI188+ChB_2*AJ188+ChB_3*AK188),"")</f>
        <v/>
      </c>
      <c r="AN188" s="12" t="str">
        <f aca="false">IF($J188=1,MAX(Cx_1*(Ref_P-E188)/Span_P,Cx_2*(Ref_S-F188)/Span_S,Cx_3*(Ref_B-G188)/Span_B),"")</f>
        <v/>
      </c>
    </row>
    <row r="189" customFormat="false" ht="15" hidden="false" customHeight="false" outlineLevel="0" collapsed="false">
      <c r="A189" s="2" t="n">
        <v>183</v>
      </c>
      <c r="B189" s="15" t="n">
        <f aca="false">INT(A189/151)</f>
        <v>1</v>
      </c>
      <c r="C189" s="15" t="n">
        <f aca="false">MOD(A189,151)</f>
        <v>32</v>
      </c>
      <c r="D189" s="15" t="n">
        <f aca="false">INDEX(Grid!$J$6:$P$156,C189+1,B189+1)</f>
        <v>1</v>
      </c>
      <c r="E189" s="16" t="n">
        <f aca="false">IF(D189=1,INDEX(Grid!$B$6:$H$156,C189+1,B189+1),"")</f>
        <v>341.581734978361</v>
      </c>
      <c r="F189" s="13" t="n">
        <f aca="false">Val_pt*(Ceiling_e-E_zero)*(1-(1-Half_gap)^B189)</f>
        <v>70</v>
      </c>
      <c r="G189" s="15" t="n">
        <f aca="false">C189</f>
        <v>32</v>
      </c>
      <c r="H189" s="15" t="n">
        <f aca="false">IF(D189=1,INDEX(Grid!$R$6:$X$156,C189+1,B189+1),"")</f>
        <v>32</v>
      </c>
      <c r="I189" s="2" t="str">
        <f aca="false">IF(D189=1,INDEX(Sch_label,H189+1),"")</f>
        <v>1</v>
      </c>
      <c r="J189" s="15" t="n">
        <f aca="false">IF(D189=1,INDEX(Grid!$Z$6:$AF$156,C189+1,B189+1),0)</f>
        <v>0</v>
      </c>
      <c r="K189" s="16" t="n">
        <f aca="false">IF(J189=1,E189,0)</f>
        <v>0</v>
      </c>
      <c r="L189" s="17" t="n">
        <f aca="false">IF(D189=1,E189+W_board*F189,"")</f>
        <v>736.713486016005</v>
      </c>
      <c r="Z189" s="12" t="str">
        <f aca="false">IF(AND($J189=1,$M189=1),N189*E189/Span_P+O189*F189/Span_S+P189*G189/Span_B,"")</f>
        <v/>
      </c>
      <c r="AA189" s="12" t="str">
        <f aca="false">IF(AND($J189=1,$M189=1),SUMPRODUCT(MAX($J$6:$J$1062*(N189*$K$6:$K$1062/Span_P+O189*$F$6:$F$1062/Span_S+P189*$G$6:$G$1062/Span_B)-(1-$J$6:$J$1062)*1000000000)),"")</f>
        <v/>
      </c>
      <c r="AB189" s="15" t="str">
        <f aca="false">IF(AND($J189=1,$M189=1),IF(AA189-Z189&lt;=0.000000001,1,0),"")</f>
        <v/>
      </c>
      <c r="AC189" s="13" t="str">
        <f aca="false">IF(AND($J189=1,$M189=0),IF(S189="",0,S189*INDEX(Grid!$B$6:$H$156,R189+1,Q189+1))+IF(V189="",0,V189*INDEX(Grid!$B$6:$H$156,U189+1,T189+1))+IF(Y189="",0,Y189*INDEX(Grid!$B$6:$H$156,X189+1,W189+1)),"")</f>
        <v/>
      </c>
      <c r="AD189" s="13" t="str">
        <f aca="false">IF(AND($J189=1,$M189=0),IF(S189="",0,S189*Val_pt*(Ceiling_e-E_zero)*(1-(1-Half_gap)^Q189))+IF(V189="",0,V189*Val_pt*(Ceiling_e-E_zero)*(1-(1-Half_gap)^T189))+IF(Y189="",0,Y189*Val_pt*(Ceiling_e-E_zero)*(1-(1-Half_gap)^W189)),"")</f>
        <v/>
      </c>
      <c r="AE189" s="13" t="str">
        <f aca="false">IF(AND($J189=1,$M189=0),IF(S189="",0,S189*R189)+IF(V189="",0,V189*U189)+IF(Y189="",0,Y189*X189),"")</f>
        <v/>
      </c>
      <c r="AF189" s="12" t="str">
        <f aca="false">IF(AND($J189=1,$M189=0),MIN((AC189-E189)/Span_P,(AD189-F189)/Span_S,(AE189-G189)/Span_B),"")</f>
        <v/>
      </c>
      <c r="AG189" s="15" t="str">
        <f aca="false">IF(AND($J189=1,$M189=0),IF(AF189&gt;0.0000001,1,0),"")</f>
        <v/>
      </c>
      <c r="AH189" s="15" t="str">
        <f aca="false">IF($J189=1,IF($M189=1,AB189,AG189),"")</f>
        <v/>
      </c>
      <c r="AI189" s="13" t="str">
        <f aca="false">IF($J189=1,(Ideal_P-E189)/Span_P,"")</f>
        <v/>
      </c>
      <c r="AJ189" s="13" t="str">
        <f aca="false">IF($J189=1,(Ideal_S-F189)/Span_S,"")</f>
        <v/>
      </c>
      <c r="AK189" s="13" t="str">
        <f aca="false">IF($J189=1,(Ideal_B-G189)/Span_B,"")</f>
        <v/>
      </c>
      <c r="AL189" s="12" t="str">
        <f aca="false">IF($J189=1,MAX(ChA_1*AI189,ChA_2*AJ189,ChA_3*AK189)+Rho*(ChA_1*AI189+ChA_2*AJ189+ChA_3*AK189),"")</f>
        <v/>
      </c>
      <c r="AM189" s="12" t="str">
        <f aca="false">IF($J189=1,MAX(ChB_1*AI189,ChB_2*AJ189,ChB_3*AK189)+Rho*(ChB_1*AI189+ChB_2*AJ189+ChB_3*AK189),"")</f>
        <v/>
      </c>
      <c r="AN189" s="12" t="str">
        <f aca="false">IF($J189=1,MAX(Cx_1*(Ref_P-E189)/Span_P,Cx_2*(Ref_S-F189)/Span_S,Cx_3*(Ref_B-G189)/Span_B),"")</f>
        <v/>
      </c>
    </row>
    <row r="190" customFormat="false" ht="15" hidden="false" customHeight="false" outlineLevel="0" collapsed="false">
      <c r="A190" s="2" t="n">
        <v>184</v>
      </c>
      <c r="B190" s="15" t="n">
        <f aca="false">INT(A190/151)</f>
        <v>1</v>
      </c>
      <c r="C190" s="15" t="n">
        <f aca="false">MOD(A190,151)</f>
        <v>33</v>
      </c>
      <c r="D190" s="15" t="n">
        <f aca="false">INDEX(Grid!$J$6:$P$156,C190+1,B190+1)</f>
        <v>1</v>
      </c>
      <c r="E190" s="16" t="n">
        <f aca="false">IF(D190=1,INDEX(Grid!$B$6:$H$156,C190+1,B190+1),"")</f>
        <v>340.67264406927</v>
      </c>
      <c r="F190" s="13" t="n">
        <f aca="false">Val_pt*(Ceiling_e-E_zero)*(1-(1-Half_gap)^B190)</f>
        <v>70</v>
      </c>
      <c r="G190" s="15" t="n">
        <f aca="false">C190</f>
        <v>33</v>
      </c>
      <c r="H190" s="15" t="n">
        <f aca="false">IF(D190=1,INDEX(Grid!$R$6:$X$156,C190+1,B190+1),"")</f>
        <v>32</v>
      </c>
      <c r="I190" s="2" t="str">
        <f aca="false">IF(D190=1,INDEX(Sch_label,H190+1),"")</f>
        <v>1</v>
      </c>
      <c r="J190" s="15" t="n">
        <f aca="false">IF(D190=1,INDEX(Grid!$Z$6:$AF$156,C190+1,B190+1),0)</f>
        <v>0</v>
      </c>
      <c r="K190" s="16" t="n">
        <f aca="false">IF(J190=1,E190,0)</f>
        <v>0</v>
      </c>
      <c r="L190" s="17" t="n">
        <f aca="false">IF(D190=1,E190+W_board*F190,"")</f>
        <v>735.804395106914</v>
      </c>
      <c r="Z190" s="12" t="str">
        <f aca="false">IF(AND($J190=1,$M190=1),N190*E190/Span_P+O190*F190/Span_S+P190*G190/Span_B,"")</f>
        <v/>
      </c>
      <c r="AA190" s="12" t="str">
        <f aca="false">IF(AND($J190=1,$M190=1),SUMPRODUCT(MAX($J$6:$J$1062*(N190*$K$6:$K$1062/Span_P+O190*$F$6:$F$1062/Span_S+P190*$G$6:$G$1062/Span_B)-(1-$J$6:$J$1062)*1000000000)),"")</f>
        <v/>
      </c>
      <c r="AB190" s="15" t="str">
        <f aca="false">IF(AND($J190=1,$M190=1),IF(AA190-Z190&lt;=0.000000001,1,0),"")</f>
        <v/>
      </c>
      <c r="AC190" s="13" t="str">
        <f aca="false">IF(AND($J190=1,$M190=0),IF(S190="",0,S190*INDEX(Grid!$B$6:$H$156,R190+1,Q190+1))+IF(V190="",0,V190*INDEX(Grid!$B$6:$H$156,U190+1,T190+1))+IF(Y190="",0,Y190*INDEX(Grid!$B$6:$H$156,X190+1,W190+1)),"")</f>
        <v/>
      </c>
      <c r="AD190" s="13" t="str">
        <f aca="false">IF(AND($J190=1,$M190=0),IF(S190="",0,S190*Val_pt*(Ceiling_e-E_zero)*(1-(1-Half_gap)^Q190))+IF(V190="",0,V190*Val_pt*(Ceiling_e-E_zero)*(1-(1-Half_gap)^T190))+IF(Y190="",0,Y190*Val_pt*(Ceiling_e-E_zero)*(1-(1-Half_gap)^W190)),"")</f>
        <v/>
      </c>
      <c r="AE190" s="13" t="str">
        <f aca="false">IF(AND($J190=1,$M190=0),IF(S190="",0,S190*R190)+IF(V190="",0,V190*U190)+IF(Y190="",0,Y190*X190),"")</f>
        <v/>
      </c>
      <c r="AF190" s="12" t="str">
        <f aca="false">IF(AND($J190=1,$M190=0),MIN((AC190-E190)/Span_P,(AD190-F190)/Span_S,(AE190-G190)/Span_B),"")</f>
        <v/>
      </c>
      <c r="AG190" s="15" t="str">
        <f aca="false">IF(AND($J190=1,$M190=0),IF(AF190&gt;0.0000001,1,0),"")</f>
        <v/>
      </c>
      <c r="AH190" s="15" t="str">
        <f aca="false">IF($J190=1,IF($M190=1,AB190,AG190),"")</f>
        <v/>
      </c>
      <c r="AI190" s="13" t="str">
        <f aca="false">IF($J190=1,(Ideal_P-E190)/Span_P,"")</f>
        <v/>
      </c>
      <c r="AJ190" s="13" t="str">
        <f aca="false">IF($J190=1,(Ideal_S-F190)/Span_S,"")</f>
        <v/>
      </c>
      <c r="AK190" s="13" t="str">
        <f aca="false">IF($J190=1,(Ideal_B-G190)/Span_B,"")</f>
        <v/>
      </c>
      <c r="AL190" s="12" t="str">
        <f aca="false">IF($J190=1,MAX(ChA_1*AI190,ChA_2*AJ190,ChA_3*AK190)+Rho*(ChA_1*AI190+ChA_2*AJ190+ChA_3*AK190),"")</f>
        <v/>
      </c>
      <c r="AM190" s="12" t="str">
        <f aca="false">IF($J190=1,MAX(ChB_1*AI190,ChB_2*AJ190,ChB_3*AK190)+Rho*(ChB_1*AI190+ChB_2*AJ190+ChB_3*AK190),"")</f>
        <v/>
      </c>
      <c r="AN190" s="12" t="str">
        <f aca="false">IF($J190=1,MAX(Cx_1*(Ref_P-E190)/Span_P,Cx_2*(Ref_S-F190)/Span_S,Cx_3*(Ref_B-G190)/Span_B),"")</f>
        <v/>
      </c>
    </row>
    <row r="191" customFormat="false" ht="15" hidden="false" customHeight="false" outlineLevel="0" collapsed="false">
      <c r="A191" s="2" t="n">
        <v>185</v>
      </c>
      <c r="B191" s="15" t="n">
        <f aca="false">INT(A191/151)</f>
        <v>1</v>
      </c>
      <c r="C191" s="15" t="n">
        <f aca="false">MOD(A191,151)</f>
        <v>34</v>
      </c>
      <c r="D191" s="15" t="n">
        <f aca="false">INDEX(Grid!$J$6:$P$156,C191+1,B191+1)</f>
        <v>1</v>
      </c>
      <c r="E191" s="16" t="n">
        <f aca="false">IF(D191=1,INDEX(Grid!$B$6:$H$156,C191+1,B191+1),"")</f>
        <v>339.763553160179</v>
      </c>
      <c r="F191" s="13" t="n">
        <f aca="false">Val_pt*(Ceiling_e-E_zero)*(1-(1-Half_gap)^B191)</f>
        <v>70</v>
      </c>
      <c r="G191" s="15" t="n">
        <f aca="false">C191</f>
        <v>34</v>
      </c>
      <c r="H191" s="15" t="n">
        <f aca="false">IF(D191=1,INDEX(Grid!$R$6:$X$156,C191+1,B191+1),"")</f>
        <v>32</v>
      </c>
      <c r="I191" s="2" t="str">
        <f aca="false">IF(D191=1,INDEX(Sch_label,H191+1),"")</f>
        <v>1</v>
      </c>
      <c r="J191" s="15" t="n">
        <f aca="false">IF(D191=1,INDEX(Grid!$Z$6:$AF$156,C191+1,B191+1),0)</f>
        <v>0</v>
      </c>
      <c r="K191" s="16" t="n">
        <f aca="false">IF(J191=1,E191,0)</f>
        <v>0</v>
      </c>
      <c r="L191" s="17" t="n">
        <f aca="false">IF(D191=1,E191+W_board*F191,"")</f>
        <v>734.895304197823</v>
      </c>
      <c r="Z191" s="12" t="str">
        <f aca="false">IF(AND($J191=1,$M191=1),N191*E191/Span_P+O191*F191/Span_S+P191*G191/Span_B,"")</f>
        <v/>
      </c>
      <c r="AA191" s="12" t="str">
        <f aca="false">IF(AND($J191=1,$M191=1),SUMPRODUCT(MAX($J$6:$J$1062*(N191*$K$6:$K$1062/Span_P+O191*$F$6:$F$1062/Span_S+P191*$G$6:$G$1062/Span_B)-(1-$J$6:$J$1062)*1000000000)),"")</f>
        <v/>
      </c>
      <c r="AB191" s="15" t="str">
        <f aca="false">IF(AND($J191=1,$M191=1),IF(AA191-Z191&lt;=0.000000001,1,0),"")</f>
        <v/>
      </c>
      <c r="AC191" s="13" t="str">
        <f aca="false">IF(AND($J191=1,$M191=0),IF(S191="",0,S191*INDEX(Grid!$B$6:$H$156,R191+1,Q191+1))+IF(V191="",0,V191*INDEX(Grid!$B$6:$H$156,U191+1,T191+1))+IF(Y191="",0,Y191*INDEX(Grid!$B$6:$H$156,X191+1,W191+1)),"")</f>
        <v/>
      </c>
      <c r="AD191" s="13" t="str">
        <f aca="false">IF(AND($J191=1,$M191=0),IF(S191="",0,S191*Val_pt*(Ceiling_e-E_zero)*(1-(1-Half_gap)^Q191))+IF(V191="",0,V191*Val_pt*(Ceiling_e-E_zero)*(1-(1-Half_gap)^T191))+IF(Y191="",0,Y191*Val_pt*(Ceiling_e-E_zero)*(1-(1-Half_gap)^W191)),"")</f>
        <v/>
      </c>
      <c r="AE191" s="13" t="str">
        <f aca="false">IF(AND($J191=1,$M191=0),IF(S191="",0,S191*R191)+IF(V191="",0,V191*U191)+IF(Y191="",0,Y191*X191),"")</f>
        <v/>
      </c>
      <c r="AF191" s="12" t="str">
        <f aca="false">IF(AND($J191=1,$M191=0),MIN((AC191-E191)/Span_P,(AD191-F191)/Span_S,(AE191-G191)/Span_B),"")</f>
        <v/>
      </c>
      <c r="AG191" s="15" t="str">
        <f aca="false">IF(AND($J191=1,$M191=0),IF(AF191&gt;0.0000001,1,0),"")</f>
        <v/>
      </c>
      <c r="AH191" s="15" t="str">
        <f aca="false">IF($J191=1,IF($M191=1,AB191,AG191),"")</f>
        <v/>
      </c>
      <c r="AI191" s="13" t="str">
        <f aca="false">IF($J191=1,(Ideal_P-E191)/Span_P,"")</f>
        <v/>
      </c>
      <c r="AJ191" s="13" t="str">
        <f aca="false">IF($J191=1,(Ideal_S-F191)/Span_S,"")</f>
        <v/>
      </c>
      <c r="AK191" s="13" t="str">
        <f aca="false">IF($J191=1,(Ideal_B-G191)/Span_B,"")</f>
        <v/>
      </c>
      <c r="AL191" s="12" t="str">
        <f aca="false">IF($J191=1,MAX(ChA_1*AI191,ChA_2*AJ191,ChA_3*AK191)+Rho*(ChA_1*AI191+ChA_2*AJ191+ChA_3*AK191),"")</f>
        <v/>
      </c>
      <c r="AM191" s="12" t="str">
        <f aca="false">IF($J191=1,MAX(ChB_1*AI191,ChB_2*AJ191,ChB_3*AK191)+Rho*(ChB_1*AI191+ChB_2*AJ191+ChB_3*AK191),"")</f>
        <v/>
      </c>
      <c r="AN191" s="12" t="str">
        <f aca="false">IF($J191=1,MAX(Cx_1*(Ref_P-E191)/Span_P,Cx_2*(Ref_S-F191)/Span_S,Cx_3*(Ref_B-G191)/Span_B),"")</f>
        <v/>
      </c>
    </row>
    <row r="192" customFormat="false" ht="15" hidden="false" customHeight="false" outlineLevel="0" collapsed="false">
      <c r="A192" s="2" t="n">
        <v>186</v>
      </c>
      <c r="B192" s="15" t="n">
        <f aca="false">INT(A192/151)</f>
        <v>1</v>
      </c>
      <c r="C192" s="15" t="n">
        <f aca="false">MOD(A192,151)</f>
        <v>35</v>
      </c>
      <c r="D192" s="15" t="n">
        <f aca="false">INDEX(Grid!$J$6:$P$156,C192+1,B192+1)</f>
        <v>1</v>
      </c>
      <c r="E192" s="16" t="n">
        <f aca="false">IF(D192=1,INDEX(Grid!$B$6:$H$156,C192+1,B192+1),"")</f>
        <v>338.854462251088</v>
      </c>
      <c r="F192" s="13" t="n">
        <f aca="false">Val_pt*(Ceiling_e-E_zero)*(1-(1-Half_gap)^B192)</f>
        <v>70</v>
      </c>
      <c r="G192" s="15" t="n">
        <f aca="false">C192</f>
        <v>35</v>
      </c>
      <c r="H192" s="15" t="n">
        <f aca="false">IF(D192=1,INDEX(Grid!$R$6:$X$156,C192+1,B192+1),"")</f>
        <v>32</v>
      </c>
      <c r="I192" s="2" t="str">
        <f aca="false">IF(D192=1,INDEX(Sch_label,H192+1),"")</f>
        <v>1</v>
      </c>
      <c r="J192" s="15" t="n">
        <f aca="false">IF(D192=1,INDEX(Grid!$Z$6:$AF$156,C192+1,B192+1),0)</f>
        <v>0</v>
      </c>
      <c r="K192" s="16" t="n">
        <f aca="false">IF(J192=1,E192,0)</f>
        <v>0</v>
      </c>
      <c r="L192" s="17" t="n">
        <f aca="false">IF(D192=1,E192+W_board*F192,"")</f>
        <v>733.986213288732</v>
      </c>
      <c r="Z192" s="12" t="str">
        <f aca="false">IF(AND($J192=1,$M192=1),N192*E192/Span_P+O192*F192/Span_S+P192*G192/Span_B,"")</f>
        <v/>
      </c>
      <c r="AA192" s="12" t="str">
        <f aca="false">IF(AND($J192=1,$M192=1),SUMPRODUCT(MAX($J$6:$J$1062*(N192*$K$6:$K$1062/Span_P+O192*$F$6:$F$1062/Span_S+P192*$G$6:$G$1062/Span_B)-(1-$J$6:$J$1062)*1000000000)),"")</f>
        <v/>
      </c>
      <c r="AB192" s="15" t="str">
        <f aca="false">IF(AND($J192=1,$M192=1),IF(AA192-Z192&lt;=0.000000001,1,0),"")</f>
        <v/>
      </c>
      <c r="AC192" s="13" t="str">
        <f aca="false">IF(AND($J192=1,$M192=0),IF(S192="",0,S192*INDEX(Grid!$B$6:$H$156,R192+1,Q192+1))+IF(V192="",0,V192*INDEX(Grid!$B$6:$H$156,U192+1,T192+1))+IF(Y192="",0,Y192*INDEX(Grid!$B$6:$H$156,X192+1,W192+1)),"")</f>
        <v/>
      </c>
      <c r="AD192" s="13" t="str">
        <f aca="false">IF(AND($J192=1,$M192=0),IF(S192="",0,S192*Val_pt*(Ceiling_e-E_zero)*(1-(1-Half_gap)^Q192))+IF(V192="",0,V192*Val_pt*(Ceiling_e-E_zero)*(1-(1-Half_gap)^T192))+IF(Y192="",0,Y192*Val_pt*(Ceiling_e-E_zero)*(1-(1-Half_gap)^W192)),"")</f>
        <v/>
      </c>
      <c r="AE192" s="13" t="str">
        <f aca="false">IF(AND($J192=1,$M192=0),IF(S192="",0,S192*R192)+IF(V192="",0,V192*U192)+IF(Y192="",0,Y192*X192),"")</f>
        <v/>
      </c>
      <c r="AF192" s="12" t="str">
        <f aca="false">IF(AND($J192=1,$M192=0),MIN((AC192-E192)/Span_P,(AD192-F192)/Span_S,(AE192-G192)/Span_B),"")</f>
        <v/>
      </c>
      <c r="AG192" s="15" t="str">
        <f aca="false">IF(AND($J192=1,$M192=0),IF(AF192&gt;0.0000001,1,0),"")</f>
        <v/>
      </c>
      <c r="AH192" s="15" t="str">
        <f aca="false">IF($J192=1,IF($M192=1,AB192,AG192),"")</f>
        <v/>
      </c>
      <c r="AI192" s="13" t="str">
        <f aca="false">IF($J192=1,(Ideal_P-E192)/Span_P,"")</f>
        <v/>
      </c>
      <c r="AJ192" s="13" t="str">
        <f aca="false">IF($J192=1,(Ideal_S-F192)/Span_S,"")</f>
        <v/>
      </c>
      <c r="AK192" s="13" t="str">
        <f aca="false">IF($J192=1,(Ideal_B-G192)/Span_B,"")</f>
        <v/>
      </c>
      <c r="AL192" s="12" t="str">
        <f aca="false">IF($J192=1,MAX(ChA_1*AI192,ChA_2*AJ192,ChA_3*AK192)+Rho*(ChA_1*AI192+ChA_2*AJ192+ChA_3*AK192),"")</f>
        <v/>
      </c>
      <c r="AM192" s="12" t="str">
        <f aca="false">IF($J192=1,MAX(ChB_1*AI192,ChB_2*AJ192,ChB_3*AK192)+Rho*(ChB_1*AI192+ChB_2*AJ192+ChB_3*AK192),"")</f>
        <v/>
      </c>
      <c r="AN192" s="12" t="str">
        <f aca="false">IF($J192=1,MAX(Cx_1*(Ref_P-E192)/Span_P,Cx_2*(Ref_S-F192)/Span_S,Cx_3*(Ref_B-G192)/Span_B),"")</f>
        <v/>
      </c>
    </row>
    <row r="193" customFormat="false" ht="15" hidden="false" customHeight="false" outlineLevel="0" collapsed="false">
      <c r="A193" s="2" t="n">
        <v>187</v>
      </c>
      <c r="B193" s="15" t="n">
        <f aca="false">INT(A193/151)</f>
        <v>1</v>
      </c>
      <c r="C193" s="15" t="n">
        <f aca="false">MOD(A193,151)</f>
        <v>36</v>
      </c>
      <c r="D193" s="15" t="n">
        <f aca="false">INDEX(Grid!$J$6:$P$156,C193+1,B193+1)</f>
        <v>1</v>
      </c>
      <c r="E193" s="16" t="n">
        <f aca="false">IF(D193=1,INDEX(Grid!$B$6:$H$156,C193+1,B193+1),"")</f>
        <v>337.945371341997</v>
      </c>
      <c r="F193" s="13" t="n">
        <f aca="false">Val_pt*(Ceiling_e-E_zero)*(1-(1-Half_gap)^B193)</f>
        <v>70</v>
      </c>
      <c r="G193" s="15" t="n">
        <f aca="false">C193</f>
        <v>36</v>
      </c>
      <c r="H193" s="15" t="n">
        <f aca="false">IF(D193=1,INDEX(Grid!$R$6:$X$156,C193+1,B193+1),"")</f>
        <v>32</v>
      </c>
      <c r="I193" s="2" t="str">
        <f aca="false">IF(D193=1,INDEX(Sch_label,H193+1),"")</f>
        <v>1</v>
      </c>
      <c r="J193" s="15" t="n">
        <f aca="false">IF(D193=1,INDEX(Grid!$Z$6:$AF$156,C193+1,B193+1),0)</f>
        <v>0</v>
      </c>
      <c r="K193" s="16" t="n">
        <f aca="false">IF(J193=1,E193,0)</f>
        <v>0</v>
      </c>
      <c r="L193" s="17" t="n">
        <f aca="false">IF(D193=1,E193+W_board*F193,"")</f>
        <v>733.077122379641</v>
      </c>
      <c r="Z193" s="12" t="str">
        <f aca="false">IF(AND($J193=1,$M193=1),N193*E193/Span_P+O193*F193/Span_S+P193*G193/Span_B,"")</f>
        <v/>
      </c>
      <c r="AA193" s="12" t="str">
        <f aca="false">IF(AND($J193=1,$M193=1),SUMPRODUCT(MAX($J$6:$J$1062*(N193*$K$6:$K$1062/Span_P+O193*$F$6:$F$1062/Span_S+P193*$G$6:$G$1062/Span_B)-(1-$J$6:$J$1062)*1000000000)),"")</f>
        <v/>
      </c>
      <c r="AB193" s="15" t="str">
        <f aca="false">IF(AND($J193=1,$M193=1),IF(AA193-Z193&lt;=0.000000001,1,0),"")</f>
        <v/>
      </c>
      <c r="AC193" s="13" t="str">
        <f aca="false">IF(AND($J193=1,$M193=0),IF(S193="",0,S193*INDEX(Grid!$B$6:$H$156,R193+1,Q193+1))+IF(V193="",0,V193*INDEX(Grid!$B$6:$H$156,U193+1,T193+1))+IF(Y193="",0,Y193*INDEX(Grid!$B$6:$H$156,X193+1,W193+1)),"")</f>
        <v/>
      </c>
      <c r="AD193" s="13" t="str">
        <f aca="false">IF(AND($J193=1,$M193=0),IF(S193="",0,S193*Val_pt*(Ceiling_e-E_zero)*(1-(1-Half_gap)^Q193))+IF(V193="",0,V193*Val_pt*(Ceiling_e-E_zero)*(1-(1-Half_gap)^T193))+IF(Y193="",0,Y193*Val_pt*(Ceiling_e-E_zero)*(1-(1-Half_gap)^W193)),"")</f>
        <v/>
      </c>
      <c r="AE193" s="13" t="str">
        <f aca="false">IF(AND($J193=1,$M193=0),IF(S193="",0,S193*R193)+IF(V193="",0,V193*U193)+IF(Y193="",0,Y193*X193),"")</f>
        <v/>
      </c>
      <c r="AF193" s="12" t="str">
        <f aca="false">IF(AND($J193=1,$M193=0),MIN((AC193-E193)/Span_P,(AD193-F193)/Span_S,(AE193-G193)/Span_B),"")</f>
        <v/>
      </c>
      <c r="AG193" s="15" t="str">
        <f aca="false">IF(AND($J193=1,$M193=0),IF(AF193&gt;0.0000001,1,0),"")</f>
        <v/>
      </c>
      <c r="AH193" s="15" t="str">
        <f aca="false">IF($J193=1,IF($M193=1,AB193,AG193),"")</f>
        <v/>
      </c>
      <c r="AI193" s="13" t="str">
        <f aca="false">IF($J193=1,(Ideal_P-E193)/Span_P,"")</f>
        <v/>
      </c>
      <c r="AJ193" s="13" t="str">
        <f aca="false">IF($J193=1,(Ideal_S-F193)/Span_S,"")</f>
        <v/>
      </c>
      <c r="AK193" s="13" t="str">
        <f aca="false">IF($J193=1,(Ideal_B-G193)/Span_B,"")</f>
        <v/>
      </c>
      <c r="AL193" s="12" t="str">
        <f aca="false">IF($J193=1,MAX(ChA_1*AI193,ChA_2*AJ193,ChA_3*AK193)+Rho*(ChA_1*AI193+ChA_2*AJ193+ChA_3*AK193),"")</f>
        <v/>
      </c>
      <c r="AM193" s="12" t="str">
        <f aca="false">IF($J193=1,MAX(ChB_1*AI193,ChB_2*AJ193,ChB_3*AK193)+Rho*(ChB_1*AI193+ChB_2*AJ193+ChB_3*AK193),"")</f>
        <v/>
      </c>
      <c r="AN193" s="12" t="str">
        <f aca="false">IF($J193=1,MAX(Cx_1*(Ref_P-E193)/Span_P,Cx_2*(Ref_S-F193)/Span_S,Cx_3*(Ref_B-G193)/Span_B),"")</f>
        <v/>
      </c>
    </row>
    <row r="194" customFormat="false" ht="15" hidden="false" customHeight="false" outlineLevel="0" collapsed="false">
      <c r="A194" s="2" t="n">
        <v>188</v>
      </c>
      <c r="B194" s="15" t="n">
        <f aca="false">INT(A194/151)</f>
        <v>1</v>
      </c>
      <c r="C194" s="15" t="n">
        <f aca="false">MOD(A194,151)</f>
        <v>37</v>
      </c>
      <c r="D194" s="15" t="n">
        <f aca="false">INDEX(Grid!$J$6:$P$156,C194+1,B194+1)</f>
        <v>1</v>
      </c>
      <c r="E194" s="16" t="n">
        <f aca="false">IF(D194=1,INDEX(Grid!$B$6:$H$156,C194+1,B194+1),"")</f>
        <v>337.036280432906</v>
      </c>
      <c r="F194" s="13" t="n">
        <f aca="false">Val_pt*(Ceiling_e-E_zero)*(1-(1-Half_gap)^B194)</f>
        <v>70</v>
      </c>
      <c r="G194" s="15" t="n">
        <f aca="false">C194</f>
        <v>37</v>
      </c>
      <c r="H194" s="15" t="n">
        <f aca="false">IF(D194=1,INDEX(Grid!$R$6:$X$156,C194+1,B194+1),"")</f>
        <v>32</v>
      </c>
      <c r="I194" s="2" t="str">
        <f aca="false">IF(D194=1,INDEX(Sch_label,H194+1),"")</f>
        <v>1</v>
      </c>
      <c r="J194" s="15" t="n">
        <f aca="false">IF(D194=1,INDEX(Grid!$Z$6:$AF$156,C194+1,B194+1),0)</f>
        <v>0</v>
      </c>
      <c r="K194" s="16" t="n">
        <f aca="false">IF(J194=1,E194,0)</f>
        <v>0</v>
      </c>
      <c r="L194" s="17" t="n">
        <f aca="false">IF(D194=1,E194+W_board*F194,"")</f>
        <v>732.16803147055</v>
      </c>
      <c r="Z194" s="12" t="str">
        <f aca="false">IF(AND($J194=1,$M194=1),N194*E194/Span_P+O194*F194/Span_S+P194*G194/Span_B,"")</f>
        <v/>
      </c>
      <c r="AA194" s="12" t="str">
        <f aca="false">IF(AND($J194=1,$M194=1),SUMPRODUCT(MAX($J$6:$J$1062*(N194*$K$6:$K$1062/Span_P+O194*$F$6:$F$1062/Span_S+P194*$G$6:$G$1062/Span_B)-(1-$J$6:$J$1062)*1000000000)),"")</f>
        <v/>
      </c>
      <c r="AB194" s="15" t="str">
        <f aca="false">IF(AND($J194=1,$M194=1),IF(AA194-Z194&lt;=0.000000001,1,0),"")</f>
        <v/>
      </c>
      <c r="AC194" s="13" t="str">
        <f aca="false">IF(AND($J194=1,$M194=0),IF(S194="",0,S194*INDEX(Grid!$B$6:$H$156,R194+1,Q194+1))+IF(V194="",0,V194*INDEX(Grid!$B$6:$H$156,U194+1,T194+1))+IF(Y194="",0,Y194*INDEX(Grid!$B$6:$H$156,X194+1,W194+1)),"")</f>
        <v/>
      </c>
      <c r="AD194" s="13" t="str">
        <f aca="false">IF(AND($J194=1,$M194=0),IF(S194="",0,S194*Val_pt*(Ceiling_e-E_zero)*(1-(1-Half_gap)^Q194))+IF(V194="",0,V194*Val_pt*(Ceiling_e-E_zero)*(1-(1-Half_gap)^T194))+IF(Y194="",0,Y194*Val_pt*(Ceiling_e-E_zero)*(1-(1-Half_gap)^W194)),"")</f>
        <v/>
      </c>
      <c r="AE194" s="13" t="str">
        <f aca="false">IF(AND($J194=1,$M194=0),IF(S194="",0,S194*R194)+IF(V194="",0,V194*U194)+IF(Y194="",0,Y194*X194),"")</f>
        <v/>
      </c>
      <c r="AF194" s="12" t="str">
        <f aca="false">IF(AND($J194=1,$M194=0),MIN((AC194-E194)/Span_P,(AD194-F194)/Span_S,(AE194-G194)/Span_B),"")</f>
        <v/>
      </c>
      <c r="AG194" s="15" t="str">
        <f aca="false">IF(AND($J194=1,$M194=0),IF(AF194&gt;0.0000001,1,0),"")</f>
        <v/>
      </c>
      <c r="AH194" s="15" t="str">
        <f aca="false">IF($J194=1,IF($M194=1,AB194,AG194),"")</f>
        <v/>
      </c>
      <c r="AI194" s="13" t="str">
        <f aca="false">IF($J194=1,(Ideal_P-E194)/Span_P,"")</f>
        <v/>
      </c>
      <c r="AJ194" s="13" t="str">
        <f aca="false">IF($J194=1,(Ideal_S-F194)/Span_S,"")</f>
        <v/>
      </c>
      <c r="AK194" s="13" t="str">
        <f aca="false">IF($J194=1,(Ideal_B-G194)/Span_B,"")</f>
        <v/>
      </c>
      <c r="AL194" s="12" t="str">
        <f aca="false">IF($J194=1,MAX(ChA_1*AI194,ChA_2*AJ194,ChA_3*AK194)+Rho*(ChA_1*AI194+ChA_2*AJ194+ChA_3*AK194),"")</f>
        <v/>
      </c>
      <c r="AM194" s="12" t="str">
        <f aca="false">IF($J194=1,MAX(ChB_1*AI194,ChB_2*AJ194,ChB_3*AK194)+Rho*(ChB_1*AI194+ChB_2*AJ194+ChB_3*AK194),"")</f>
        <v/>
      </c>
      <c r="AN194" s="12" t="str">
        <f aca="false">IF($J194=1,MAX(Cx_1*(Ref_P-E194)/Span_P,Cx_2*(Ref_S-F194)/Span_S,Cx_3*(Ref_B-G194)/Span_B),"")</f>
        <v/>
      </c>
    </row>
    <row r="195" customFormat="false" ht="15" hidden="false" customHeight="false" outlineLevel="0" collapsed="false">
      <c r="A195" s="2" t="n">
        <v>189</v>
      </c>
      <c r="B195" s="15" t="n">
        <f aca="false">INT(A195/151)</f>
        <v>1</v>
      </c>
      <c r="C195" s="15" t="n">
        <f aca="false">MOD(A195,151)</f>
        <v>38</v>
      </c>
      <c r="D195" s="15" t="n">
        <f aca="false">INDEX(Grid!$J$6:$P$156,C195+1,B195+1)</f>
        <v>1</v>
      </c>
      <c r="E195" s="16" t="n">
        <f aca="false">IF(D195=1,INDEX(Grid!$B$6:$H$156,C195+1,B195+1),"")</f>
        <v>336.127189523815</v>
      </c>
      <c r="F195" s="13" t="n">
        <f aca="false">Val_pt*(Ceiling_e-E_zero)*(1-(1-Half_gap)^B195)</f>
        <v>70</v>
      </c>
      <c r="G195" s="15" t="n">
        <f aca="false">C195</f>
        <v>38</v>
      </c>
      <c r="H195" s="15" t="n">
        <f aca="false">IF(D195=1,INDEX(Grid!$R$6:$X$156,C195+1,B195+1),"")</f>
        <v>32</v>
      </c>
      <c r="I195" s="2" t="str">
        <f aca="false">IF(D195=1,INDEX(Sch_label,H195+1),"")</f>
        <v>1</v>
      </c>
      <c r="J195" s="15" t="n">
        <f aca="false">IF(D195=1,INDEX(Grid!$Z$6:$AF$156,C195+1,B195+1),0)</f>
        <v>0</v>
      </c>
      <c r="K195" s="16" t="n">
        <f aca="false">IF(J195=1,E195,0)</f>
        <v>0</v>
      </c>
      <c r="L195" s="17" t="n">
        <f aca="false">IF(D195=1,E195+W_board*F195,"")</f>
        <v>731.258940561459</v>
      </c>
      <c r="Z195" s="12" t="str">
        <f aca="false">IF(AND($J195=1,$M195=1),N195*E195/Span_P+O195*F195/Span_S+P195*G195/Span_B,"")</f>
        <v/>
      </c>
      <c r="AA195" s="12" t="str">
        <f aca="false">IF(AND($J195=1,$M195=1),SUMPRODUCT(MAX($J$6:$J$1062*(N195*$K$6:$K$1062/Span_P+O195*$F$6:$F$1062/Span_S+P195*$G$6:$G$1062/Span_B)-(1-$J$6:$J$1062)*1000000000)),"")</f>
        <v/>
      </c>
      <c r="AB195" s="15" t="str">
        <f aca="false">IF(AND($J195=1,$M195=1),IF(AA195-Z195&lt;=0.000000001,1,0),"")</f>
        <v/>
      </c>
      <c r="AC195" s="13" t="str">
        <f aca="false">IF(AND($J195=1,$M195=0),IF(S195="",0,S195*INDEX(Grid!$B$6:$H$156,R195+1,Q195+1))+IF(V195="",0,V195*INDEX(Grid!$B$6:$H$156,U195+1,T195+1))+IF(Y195="",0,Y195*INDEX(Grid!$B$6:$H$156,X195+1,W195+1)),"")</f>
        <v/>
      </c>
      <c r="AD195" s="13" t="str">
        <f aca="false">IF(AND($J195=1,$M195=0),IF(S195="",0,S195*Val_pt*(Ceiling_e-E_zero)*(1-(1-Half_gap)^Q195))+IF(V195="",0,V195*Val_pt*(Ceiling_e-E_zero)*(1-(1-Half_gap)^T195))+IF(Y195="",0,Y195*Val_pt*(Ceiling_e-E_zero)*(1-(1-Half_gap)^W195)),"")</f>
        <v/>
      </c>
      <c r="AE195" s="13" t="str">
        <f aca="false">IF(AND($J195=1,$M195=0),IF(S195="",0,S195*R195)+IF(V195="",0,V195*U195)+IF(Y195="",0,Y195*X195),"")</f>
        <v/>
      </c>
      <c r="AF195" s="12" t="str">
        <f aca="false">IF(AND($J195=1,$M195=0),MIN((AC195-E195)/Span_P,(AD195-F195)/Span_S,(AE195-G195)/Span_B),"")</f>
        <v/>
      </c>
      <c r="AG195" s="15" t="str">
        <f aca="false">IF(AND($J195=1,$M195=0),IF(AF195&gt;0.0000001,1,0),"")</f>
        <v/>
      </c>
      <c r="AH195" s="15" t="str">
        <f aca="false">IF($J195=1,IF($M195=1,AB195,AG195),"")</f>
        <v/>
      </c>
      <c r="AI195" s="13" t="str">
        <f aca="false">IF($J195=1,(Ideal_P-E195)/Span_P,"")</f>
        <v/>
      </c>
      <c r="AJ195" s="13" t="str">
        <f aca="false">IF($J195=1,(Ideal_S-F195)/Span_S,"")</f>
        <v/>
      </c>
      <c r="AK195" s="13" t="str">
        <f aca="false">IF($J195=1,(Ideal_B-G195)/Span_B,"")</f>
        <v/>
      </c>
      <c r="AL195" s="12" t="str">
        <f aca="false">IF($J195=1,MAX(ChA_1*AI195,ChA_2*AJ195,ChA_3*AK195)+Rho*(ChA_1*AI195+ChA_2*AJ195+ChA_3*AK195),"")</f>
        <v/>
      </c>
      <c r="AM195" s="12" t="str">
        <f aca="false">IF($J195=1,MAX(ChB_1*AI195,ChB_2*AJ195,ChB_3*AK195)+Rho*(ChB_1*AI195+ChB_2*AJ195+ChB_3*AK195),"")</f>
        <v/>
      </c>
      <c r="AN195" s="12" t="str">
        <f aca="false">IF($J195=1,MAX(Cx_1*(Ref_P-E195)/Span_P,Cx_2*(Ref_S-F195)/Span_S,Cx_3*(Ref_B-G195)/Span_B),"")</f>
        <v/>
      </c>
    </row>
    <row r="196" customFormat="false" ht="15" hidden="false" customHeight="false" outlineLevel="0" collapsed="false">
      <c r="A196" s="2" t="n">
        <v>190</v>
      </c>
      <c r="B196" s="15" t="n">
        <f aca="false">INT(A196/151)</f>
        <v>1</v>
      </c>
      <c r="C196" s="15" t="n">
        <f aca="false">MOD(A196,151)</f>
        <v>39</v>
      </c>
      <c r="D196" s="15" t="n">
        <f aca="false">INDEX(Grid!$J$6:$P$156,C196+1,B196+1)</f>
        <v>1</v>
      </c>
      <c r="E196" s="16" t="n">
        <f aca="false">IF(D196=1,INDEX(Grid!$B$6:$H$156,C196+1,B196+1),"")</f>
        <v>335.218098614725</v>
      </c>
      <c r="F196" s="13" t="n">
        <f aca="false">Val_pt*(Ceiling_e-E_zero)*(1-(1-Half_gap)^B196)</f>
        <v>70</v>
      </c>
      <c r="G196" s="15" t="n">
        <f aca="false">C196</f>
        <v>39</v>
      </c>
      <c r="H196" s="15" t="n">
        <f aca="false">IF(D196=1,INDEX(Grid!$R$6:$X$156,C196+1,B196+1),"")</f>
        <v>32</v>
      </c>
      <c r="I196" s="2" t="str">
        <f aca="false">IF(D196=1,INDEX(Sch_label,H196+1),"")</f>
        <v>1</v>
      </c>
      <c r="J196" s="15" t="n">
        <f aca="false">IF(D196=1,INDEX(Grid!$Z$6:$AF$156,C196+1,B196+1),0)</f>
        <v>0</v>
      </c>
      <c r="K196" s="16" t="n">
        <f aca="false">IF(J196=1,E196,0)</f>
        <v>0</v>
      </c>
      <c r="L196" s="17" t="n">
        <f aca="false">IF(D196=1,E196+W_board*F196,"")</f>
        <v>730.349849652369</v>
      </c>
      <c r="Z196" s="12" t="str">
        <f aca="false">IF(AND($J196=1,$M196=1),N196*E196/Span_P+O196*F196/Span_S+P196*G196/Span_B,"")</f>
        <v/>
      </c>
      <c r="AA196" s="12" t="str">
        <f aca="false">IF(AND($J196=1,$M196=1),SUMPRODUCT(MAX($J$6:$J$1062*(N196*$K$6:$K$1062/Span_P+O196*$F$6:$F$1062/Span_S+P196*$G$6:$G$1062/Span_B)-(1-$J$6:$J$1062)*1000000000)),"")</f>
        <v/>
      </c>
      <c r="AB196" s="15" t="str">
        <f aca="false">IF(AND($J196=1,$M196=1),IF(AA196-Z196&lt;=0.000000001,1,0),"")</f>
        <v/>
      </c>
      <c r="AC196" s="13" t="str">
        <f aca="false">IF(AND($J196=1,$M196=0),IF(S196="",0,S196*INDEX(Grid!$B$6:$H$156,R196+1,Q196+1))+IF(V196="",0,V196*INDEX(Grid!$B$6:$H$156,U196+1,T196+1))+IF(Y196="",0,Y196*INDEX(Grid!$B$6:$H$156,X196+1,W196+1)),"")</f>
        <v/>
      </c>
      <c r="AD196" s="13" t="str">
        <f aca="false">IF(AND($J196=1,$M196=0),IF(S196="",0,S196*Val_pt*(Ceiling_e-E_zero)*(1-(1-Half_gap)^Q196))+IF(V196="",0,V196*Val_pt*(Ceiling_e-E_zero)*(1-(1-Half_gap)^T196))+IF(Y196="",0,Y196*Val_pt*(Ceiling_e-E_zero)*(1-(1-Half_gap)^W196)),"")</f>
        <v/>
      </c>
      <c r="AE196" s="13" t="str">
        <f aca="false">IF(AND($J196=1,$M196=0),IF(S196="",0,S196*R196)+IF(V196="",0,V196*U196)+IF(Y196="",0,Y196*X196),"")</f>
        <v/>
      </c>
      <c r="AF196" s="12" t="str">
        <f aca="false">IF(AND($J196=1,$M196=0),MIN((AC196-E196)/Span_P,(AD196-F196)/Span_S,(AE196-G196)/Span_B),"")</f>
        <v/>
      </c>
      <c r="AG196" s="15" t="str">
        <f aca="false">IF(AND($J196=1,$M196=0),IF(AF196&gt;0.0000001,1,0),"")</f>
        <v/>
      </c>
      <c r="AH196" s="15" t="str">
        <f aca="false">IF($J196=1,IF($M196=1,AB196,AG196),"")</f>
        <v/>
      </c>
      <c r="AI196" s="13" t="str">
        <f aca="false">IF($J196=1,(Ideal_P-E196)/Span_P,"")</f>
        <v/>
      </c>
      <c r="AJ196" s="13" t="str">
        <f aca="false">IF($J196=1,(Ideal_S-F196)/Span_S,"")</f>
        <v/>
      </c>
      <c r="AK196" s="13" t="str">
        <f aca="false">IF($J196=1,(Ideal_B-G196)/Span_B,"")</f>
        <v/>
      </c>
      <c r="AL196" s="12" t="str">
        <f aca="false">IF($J196=1,MAX(ChA_1*AI196,ChA_2*AJ196,ChA_3*AK196)+Rho*(ChA_1*AI196+ChA_2*AJ196+ChA_3*AK196),"")</f>
        <v/>
      </c>
      <c r="AM196" s="12" t="str">
        <f aca="false">IF($J196=1,MAX(ChB_1*AI196,ChB_2*AJ196,ChB_3*AK196)+Rho*(ChB_1*AI196+ChB_2*AJ196+ChB_3*AK196),"")</f>
        <v/>
      </c>
      <c r="AN196" s="12" t="str">
        <f aca="false">IF($J196=1,MAX(Cx_1*(Ref_P-E196)/Span_P,Cx_2*(Ref_S-F196)/Span_S,Cx_3*(Ref_B-G196)/Span_B),"")</f>
        <v/>
      </c>
    </row>
    <row r="197" customFormat="false" ht="15" hidden="false" customHeight="false" outlineLevel="0" collapsed="false">
      <c r="A197" s="2" t="n">
        <v>191</v>
      </c>
      <c r="B197" s="15" t="n">
        <f aca="false">INT(A197/151)</f>
        <v>1</v>
      </c>
      <c r="C197" s="15" t="n">
        <f aca="false">MOD(A197,151)</f>
        <v>40</v>
      </c>
      <c r="D197" s="15" t="n">
        <f aca="false">INDEX(Grid!$J$6:$P$156,C197+1,B197+1)</f>
        <v>1</v>
      </c>
      <c r="E197" s="16" t="n">
        <f aca="false">IF(D197=1,INDEX(Grid!$B$6:$H$156,C197+1,B197+1),"")</f>
        <v>334.309007705634</v>
      </c>
      <c r="F197" s="13" t="n">
        <f aca="false">Val_pt*(Ceiling_e-E_zero)*(1-(1-Half_gap)^B197)</f>
        <v>70</v>
      </c>
      <c r="G197" s="15" t="n">
        <f aca="false">C197</f>
        <v>40</v>
      </c>
      <c r="H197" s="15" t="n">
        <f aca="false">IF(D197=1,INDEX(Grid!$R$6:$X$156,C197+1,B197+1),"")</f>
        <v>32</v>
      </c>
      <c r="I197" s="2" t="str">
        <f aca="false">IF(D197=1,INDEX(Sch_label,H197+1),"")</f>
        <v>1</v>
      </c>
      <c r="J197" s="15" t="n">
        <f aca="false">IF(D197=1,INDEX(Grid!$Z$6:$AF$156,C197+1,B197+1),0)</f>
        <v>0</v>
      </c>
      <c r="K197" s="16" t="n">
        <f aca="false">IF(J197=1,E197,0)</f>
        <v>0</v>
      </c>
      <c r="L197" s="17" t="n">
        <f aca="false">IF(D197=1,E197+W_board*F197,"")</f>
        <v>729.440758743278</v>
      </c>
      <c r="Z197" s="12" t="str">
        <f aca="false">IF(AND($J197=1,$M197=1),N197*E197/Span_P+O197*F197/Span_S+P197*G197/Span_B,"")</f>
        <v/>
      </c>
      <c r="AA197" s="12" t="str">
        <f aca="false">IF(AND($J197=1,$M197=1),SUMPRODUCT(MAX($J$6:$J$1062*(N197*$K$6:$K$1062/Span_P+O197*$F$6:$F$1062/Span_S+P197*$G$6:$G$1062/Span_B)-(1-$J$6:$J$1062)*1000000000)),"")</f>
        <v/>
      </c>
      <c r="AB197" s="15" t="str">
        <f aca="false">IF(AND($J197=1,$M197=1),IF(AA197-Z197&lt;=0.000000001,1,0),"")</f>
        <v/>
      </c>
      <c r="AC197" s="13" t="str">
        <f aca="false">IF(AND($J197=1,$M197=0),IF(S197="",0,S197*INDEX(Grid!$B$6:$H$156,R197+1,Q197+1))+IF(V197="",0,V197*INDEX(Grid!$B$6:$H$156,U197+1,T197+1))+IF(Y197="",0,Y197*INDEX(Grid!$B$6:$H$156,X197+1,W197+1)),"")</f>
        <v/>
      </c>
      <c r="AD197" s="13" t="str">
        <f aca="false">IF(AND($J197=1,$M197=0),IF(S197="",0,S197*Val_pt*(Ceiling_e-E_zero)*(1-(1-Half_gap)^Q197))+IF(V197="",0,V197*Val_pt*(Ceiling_e-E_zero)*(1-(1-Half_gap)^T197))+IF(Y197="",0,Y197*Val_pt*(Ceiling_e-E_zero)*(1-(1-Half_gap)^W197)),"")</f>
        <v/>
      </c>
      <c r="AE197" s="13" t="str">
        <f aca="false">IF(AND($J197=1,$M197=0),IF(S197="",0,S197*R197)+IF(V197="",0,V197*U197)+IF(Y197="",0,Y197*X197),"")</f>
        <v/>
      </c>
      <c r="AF197" s="12" t="str">
        <f aca="false">IF(AND($J197=1,$M197=0),MIN((AC197-E197)/Span_P,(AD197-F197)/Span_S,(AE197-G197)/Span_B),"")</f>
        <v/>
      </c>
      <c r="AG197" s="15" t="str">
        <f aca="false">IF(AND($J197=1,$M197=0),IF(AF197&gt;0.0000001,1,0),"")</f>
        <v/>
      </c>
      <c r="AH197" s="15" t="str">
        <f aca="false">IF($J197=1,IF($M197=1,AB197,AG197),"")</f>
        <v/>
      </c>
      <c r="AI197" s="13" t="str">
        <f aca="false">IF($J197=1,(Ideal_P-E197)/Span_P,"")</f>
        <v/>
      </c>
      <c r="AJ197" s="13" t="str">
        <f aca="false">IF($J197=1,(Ideal_S-F197)/Span_S,"")</f>
        <v/>
      </c>
      <c r="AK197" s="13" t="str">
        <f aca="false">IF($J197=1,(Ideal_B-G197)/Span_B,"")</f>
        <v/>
      </c>
      <c r="AL197" s="12" t="str">
        <f aca="false">IF($J197=1,MAX(ChA_1*AI197,ChA_2*AJ197,ChA_3*AK197)+Rho*(ChA_1*AI197+ChA_2*AJ197+ChA_3*AK197),"")</f>
        <v/>
      </c>
      <c r="AM197" s="12" t="str">
        <f aca="false">IF($J197=1,MAX(ChB_1*AI197,ChB_2*AJ197,ChB_3*AK197)+Rho*(ChB_1*AI197+ChB_2*AJ197+ChB_3*AK197),"")</f>
        <v/>
      </c>
      <c r="AN197" s="12" t="str">
        <f aca="false">IF($J197=1,MAX(Cx_1*(Ref_P-E197)/Span_P,Cx_2*(Ref_S-F197)/Span_S,Cx_3*(Ref_B-G197)/Span_B),"")</f>
        <v/>
      </c>
    </row>
    <row r="198" customFormat="false" ht="15" hidden="false" customHeight="false" outlineLevel="0" collapsed="false">
      <c r="A198" s="2" t="n">
        <v>192</v>
      </c>
      <c r="B198" s="15" t="n">
        <f aca="false">INT(A198/151)</f>
        <v>1</v>
      </c>
      <c r="C198" s="15" t="n">
        <f aca="false">MOD(A198,151)</f>
        <v>41</v>
      </c>
      <c r="D198" s="15" t="n">
        <f aca="false">INDEX(Grid!$J$6:$P$156,C198+1,B198+1)</f>
        <v>1</v>
      </c>
      <c r="E198" s="16" t="n">
        <f aca="false">IF(D198=1,INDEX(Grid!$B$6:$H$156,C198+1,B198+1),"")</f>
        <v>333.399916796543</v>
      </c>
      <c r="F198" s="13" t="n">
        <f aca="false">Val_pt*(Ceiling_e-E_zero)*(1-(1-Half_gap)^B198)</f>
        <v>70</v>
      </c>
      <c r="G198" s="15" t="n">
        <f aca="false">C198</f>
        <v>41</v>
      </c>
      <c r="H198" s="15" t="n">
        <f aca="false">IF(D198=1,INDEX(Grid!$R$6:$X$156,C198+1,B198+1),"")</f>
        <v>32</v>
      </c>
      <c r="I198" s="2" t="str">
        <f aca="false">IF(D198=1,INDEX(Sch_label,H198+1),"")</f>
        <v>1</v>
      </c>
      <c r="J198" s="15" t="n">
        <f aca="false">IF(D198=1,INDEX(Grid!$Z$6:$AF$156,C198+1,B198+1),0)</f>
        <v>0</v>
      </c>
      <c r="K198" s="16" t="n">
        <f aca="false">IF(J198=1,E198,0)</f>
        <v>0</v>
      </c>
      <c r="L198" s="17" t="n">
        <f aca="false">IF(D198=1,E198+W_board*F198,"")</f>
        <v>728.531667834187</v>
      </c>
      <c r="Z198" s="12" t="str">
        <f aca="false">IF(AND($J198=1,$M198=1),N198*E198/Span_P+O198*F198/Span_S+P198*G198/Span_B,"")</f>
        <v/>
      </c>
      <c r="AA198" s="12" t="str">
        <f aca="false">IF(AND($J198=1,$M198=1),SUMPRODUCT(MAX($J$6:$J$1062*(N198*$K$6:$K$1062/Span_P+O198*$F$6:$F$1062/Span_S+P198*$G$6:$G$1062/Span_B)-(1-$J$6:$J$1062)*1000000000)),"")</f>
        <v/>
      </c>
      <c r="AB198" s="15" t="str">
        <f aca="false">IF(AND($J198=1,$M198=1),IF(AA198-Z198&lt;=0.000000001,1,0),"")</f>
        <v/>
      </c>
      <c r="AC198" s="13" t="str">
        <f aca="false">IF(AND($J198=1,$M198=0),IF(S198="",0,S198*INDEX(Grid!$B$6:$H$156,R198+1,Q198+1))+IF(V198="",0,V198*INDEX(Grid!$B$6:$H$156,U198+1,T198+1))+IF(Y198="",0,Y198*INDEX(Grid!$B$6:$H$156,X198+1,W198+1)),"")</f>
        <v/>
      </c>
      <c r="AD198" s="13" t="str">
        <f aca="false">IF(AND($J198=1,$M198=0),IF(S198="",0,S198*Val_pt*(Ceiling_e-E_zero)*(1-(1-Half_gap)^Q198))+IF(V198="",0,V198*Val_pt*(Ceiling_e-E_zero)*(1-(1-Half_gap)^T198))+IF(Y198="",0,Y198*Val_pt*(Ceiling_e-E_zero)*(1-(1-Half_gap)^W198)),"")</f>
        <v/>
      </c>
      <c r="AE198" s="13" t="str">
        <f aca="false">IF(AND($J198=1,$M198=0),IF(S198="",0,S198*R198)+IF(V198="",0,V198*U198)+IF(Y198="",0,Y198*X198),"")</f>
        <v/>
      </c>
      <c r="AF198" s="12" t="str">
        <f aca="false">IF(AND($J198=1,$M198=0),MIN((AC198-E198)/Span_P,(AD198-F198)/Span_S,(AE198-G198)/Span_B),"")</f>
        <v/>
      </c>
      <c r="AG198" s="15" t="str">
        <f aca="false">IF(AND($J198=1,$M198=0),IF(AF198&gt;0.0000001,1,0),"")</f>
        <v/>
      </c>
      <c r="AH198" s="15" t="str">
        <f aca="false">IF($J198=1,IF($M198=1,AB198,AG198),"")</f>
        <v/>
      </c>
      <c r="AI198" s="13" t="str">
        <f aca="false">IF($J198=1,(Ideal_P-E198)/Span_P,"")</f>
        <v/>
      </c>
      <c r="AJ198" s="13" t="str">
        <f aca="false">IF($J198=1,(Ideal_S-F198)/Span_S,"")</f>
        <v/>
      </c>
      <c r="AK198" s="13" t="str">
        <f aca="false">IF($J198=1,(Ideal_B-G198)/Span_B,"")</f>
        <v/>
      </c>
      <c r="AL198" s="12" t="str">
        <f aca="false">IF($J198=1,MAX(ChA_1*AI198,ChA_2*AJ198,ChA_3*AK198)+Rho*(ChA_1*AI198+ChA_2*AJ198+ChA_3*AK198),"")</f>
        <v/>
      </c>
      <c r="AM198" s="12" t="str">
        <f aca="false">IF($J198=1,MAX(ChB_1*AI198,ChB_2*AJ198,ChB_3*AK198)+Rho*(ChB_1*AI198+ChB_2*AJ198+ChB_3*AK198),"")</f>
        <v/>
      </c>
      <c r="AN198" s="12" t="str">
        <f aca="false">IF($J198=1,MAX(Cx_1*(Ref_P-E198)/Span_P,Cx_2*(Ref_S-F198)/Span_S,Cx_3*(Ref_B-G198)/Span_B),"")</f>
        <v/>
      </c>
    </row>
    <row r="199" customFormat="false" ht="15" hidden="false" customHeight="false" outlineLevel="0" collapsed="false">
      <c r="A199" s="2" t="n">
        <v>193</v>
      </c>
      <c r="B199" s="15" t="n">
        <f aca="false">INT(A199/151)</f>
        <v>1</v>
      </c>
      <c r="C199" s="15" t="n">
        <f aca="false">MOD(A199,151)</f>
        <v>42</v>
      </c>
      <c r="D199" s="15" t="n">
        <f aca="false">INDEX(Grid!$J$6:$P$156,C199+1,B199+1)</f>
        <v>1</v>
      </c>
      <c r="E199" s="16" t="n">
        <f aca="false">IF(D199=1,INDEX(Grid!$B$6:$H$156,C199+1,B199+1),"")</f>
        <v>332.490825887452</v>
      </c>
      <c r="F199" s="13" t="n">
        <f aca="false">Val_pt*(Ceiling_e-E_zero)*(1-(1-Half_gap)^B199)</f>
        <v>70</v>
      </c>
      <c r="G199" s="15" t="n">
        <f aca="false">C199</f>
        <v>42</v>
      </c>
      <c r="H199" s="15" t="n">
        <f aca="false">IF(D199=1,INDEX(Grid!$R$6:$X$156,C199+1,B199+1),"")</f>
        <v>32</v>
      </c>
      <c r="I199" s="2" t="str">
        <f aca="false">IF(D199=1,INDEX(Sch_label,H199+1),"")</f>
        <v>1</v>
      </c>
      <c r="J199" s="15" t="n">
        <f aca="false">IF(D199=1,INDEX(Grid!$Z$6:$AF$156,C199+1,B199+1),0)</f>
        <v>0</v>
      </c>
      <c r="K199" s="16" t="n">
        <f aca="false">IF(J199=1,E199,0)</f>
        <v>0</v>
      </c>
      <c r="L199" s="17" t="n">
        <f aca="false">IF(D199=1,E199+W_board*F199,"")</f>
        <v>727.622576925096</v>
      </c>
      <c r="Z199" s="12" t="str">
        <f aca="false">IF(AND($J199=1,$M199=1),N199*E199/Span_P+O199*F199/Span_S+P199*G199/Span_B,"")</f>
        <v/>
      </c>
      <c r="AA199" s="12" t="str">
        <f aca="false">IF(AND($J199=1,$M199=1),SUMPRODUCT(MAX($J$6:$J$1062*(N199*$K$6:$K$1062/Span_P+O199*$F$6:$F$1062/Span_S+P199*$G$6:$G$1062/Span_B)-(1-$J$6:$J$1062)*1000000000)),"")</f>
        <v/>
      </c>
      <c r="AB199" s="15" t="str">
        <f aca="false">IF(AND($J199=1,$M199=1),IF(AA199-Z199&lt;=0.000000001,1,0),"")</f>
        <v/>
      </c>
      <c r="AC199" s="13" t="str">
        <f aca="false">IF(AND($J199=1,$M199=0),IF(S199="",0,S199*INDEX(Grid!$B$6:$H$156,R199+1,Q199+1))+IF(V199="",0,V199*INDEX(Grid!$B$6:$H$156,U199+1,T199+1))+IF(Y199="",0,Y199*INDEX(Grid!$B$6:$H$156,X199+1,W199+1)),"")</f>
        <v/>
      </c>
      <c r="AD199" s="13" t="str">
        <f aca="false">IF(AND($J199=1,$M199=0),IF(S199="",0,S199*Val_pt*(Ceiling_e-E_zero)*(1-(1-Half_gap)^Q199))+IF(V199="",0,V199*Val_pt*(Ceiling_e-E_zero)*(1-(1-Half_gap)^T199))+IF(Y199="",0,Y199*Val_pt*(Ceiling_e-E_zero)*(1-(1-Half_gap)^W199)),"")</f>
        <v/>
      </c>
      <c r="AE199" s="13" t="str">
        <f aca="false">IF(AND($J199=1,$M199=0),IF(S199="",0,S199*R199)+IF(V199="",0,V199*U199)+IF(Y199="",0,Y199*X199),"")</f>
        <v/>
      </c>
      <c r="AF199" s="12" t="str">
        <f aca="false">IF(AND($J199=1,$M199=0),MIN((AC199-E199)/Span_P,(AD199-F199)/Span_S,(AE199-G199)/Span_B),"")</f>
        <v/>
      </c>
      <c r="AG199" s="15" t="str">
        <f aca="false">IF(AND($J199=1,$M199=0),IF(AF199&gt;0.0000001,1,0),"")</f>
        <v/>
      </c>
      <c r="AH199" s="15" t="str">
        <f aca="false">IF($J199=1,IF($M199=1,AB199,AG199),"")</f>
        <v/>
      </c>
      <c r="AI199" s="13" t="str">
        <f aca="false">IF($J199=1,(Ideal_P-E199)/Span_P,"")</f>
        <v/>
      </c>
      <c r="AJ199" s="13" t="str">
        <f aca="false">IF($J199=1,(Ideal_S-F199)/Span_S,"")</f>
        <v/>
      </c>
      <c r="AK199" s="13" t="str">
        <f aca="false">IF($J199=1,(Ideal_B-G199)/Span_B,"")</f>
        <v/>
      </c>
      <c r="AL199" s="12" t="str">
        <f aca="false">IF($J199=1,MAX(ChA_1*AI199,ChA_2*AJ199,ChA_3*AK199)+Rho*(ChA_1*AI199+ChA_2*AJ199+ChA_3*AK199),"")</f>
        <v/>
      </c>
      <c r="AM199" s="12" t="str">
        <f aca="false">IF($J199=1,MAX(ChB_1*AI199,ChB_2*AJ199,ChB_3*AK199)+Rho*(ChB_1*AI199+ChB_2*AJ199+ChB_3*AK199),"")</f>
        <v/>
      </c>
      <c r="AN199" s="12" t="str">
        <f aca="false">IF($J199=1,MAX(Cx_1*(Ref_P-E199)/Span_P,Cx_2*(Ref_S-F199)/Span_S,Cx_3*(Ref_B-G199)/Span_B),"")</f>
        <v/>
      </c>
    </row>
    <row r="200" customFormat="false" ht="15" hidden="false" customHeight="false" outlineLevel="0" collapsed="false">
      <c r="A200" s="2" t="n">
        <v>194</v>
      </c>
      <c r="B200" s="15" t="n">
        <f aca="false">INT(A200/151)</f>
        <v>1</v>
      </c>
      <c r="C200" s="15" t="n">
        <f aca="false">MOD(A200,151)</f>
        <v>43</v>
      </c>
      <c r="D200" s="15" t="n">
        <f aca="false">INDEX(Grid!$J$6:$P$156,C200+1,B200+1)</f>
        <v>1</v>
      </c>
      <c r="E200" s="16" t="n">
        <f aca="false">IF(D200=1,INDEX(Grid!$B$6:$H$156,C200+1,B200+1),"")</f>
        <v>331.581734978361</v>
      </c>
      <c r="F200" s="13" t="n">
        <f aca="false">Val_pt*(Ceiling_e-E_zero)*(1-(1-Half_gap)^B200)</f>
        <v>70</v>
      </c>
      <c r="G200" s="15" t="n">
        <f aca="false">C200</f>
        <v>43</v>
      </c>
      <c r="H200" s="15" t="n">
        <f aca="false">IF(D200=1,INDEX(Grid!$R$6:$X$156,C200+1,B200+1),"")</f>
        <v>32</v>
      </c>
      <c r="I200" s="2" t="str">
        <f aca="false">IF(D200=1,INDEX(Sch_label,H200+1),"")</f>
        <v>1</v>
      </c>
      <c r="J200" s="15" t="n">
        <f aca="false">IF(D200=1,INDEX(Grid!$Z$6:$AF$156,C200+1,B200+1),0)</f>
        <v>0</v>
      </c>
      <c r="K200" s="16" t="n">
        <f aca="false">IF(J200=1,E200,0)</f>
        <v>0</v>
      </c>
      <c r="L200" s="17" t="n">
        <f aca="false">IF(D200=1,E200+W_board*F200,"")</f>
        <v>726.713486016005</v>
      </c>
      <c r="Z200" s="12" t="str">
        <f aca="false">IF(AND($J200=1,$M200=1),N200*E200/Span_P+O200*F200/Span_S+P200*G200/Span_B,"")</f>
        <v/>
      </c>
      <c r="AA200" s="12" t="str">
        <f aca="false">IF(AND($J200=1,$M200=1),SUMPRODUCT(MAX($J$6:$J$1062*(N200*$K$6:$K$1062/Span_P+O200*$F$6:$F$1062/Span_S+P200*$G$6:$G$1062/Span_B)-(1-$J$6:$J$1062)*1000000000)),"")</f>
        <v/>
      </c>
      <c r="AB200" s="15" t="str">
        <f aca="false">IF(AND($J200=1,$M200=1),IF(AA200-Z200&lt;=0.000000001,1,0),"")</f>
        <v/>
      </c>
      <c r="AC200" s="13" t="str">
        <f aca="false">IF(AND($J200=1,$M200=0),IF(S200="",0,S200*INDEX(Grid!$B$6:$H$156,R200+1,Q200+1))+IF(V200="",0,V200*INDEX(Grid!$B$6:$H$156,U200+1,T200+1))+IF(Y200="",0,Y200*INDEX(Grid!$B$6:$H$156,X200+1,W200+1)),"")</f>
        <v/>
      </c>
      <c r="AD200" s="13" t="str">
        <f aca="false">IF(AND($J200=1,$M200=0),IF(S200="",0,S200*Val_pt*(Ceiling_e-E_zero)*(1-(1-Half_gap)^Q200))+IF(V200="",0,V200*Val_pt*(Ceiling_e-E_zero)*(1-(1-Half_gap)^T200))+IF(Y200="",0,Y200*Val_pt*(Ceiling_e-E_zero)*(1-(1-Half_gap)^W200)),"")</f>
        <v/>
      </c>
      <c r="AE200" s="13" t="str">
        <f aca="false">IF(AND($J200=1,$M200=0),IF(S200="",0,S200*R200)+IF(V200="",0,V200*U200)+IF(Y200="",0,Y200*X200),"")</f>
        <v/>
      </c>
      <c r="AF200" s="12" t="str">
        <f aca="false">IF(AND($J200=1,$M200=0),MIN((AC200-E200)/Span_P,(AD200-F200)/Span_S,(AE200-G200)/Span_B),"")</f>
        <v/>
      </c>
      <c r="AG200" s="15" t="str">
        <f aca="false">IF(AND($J200=1,$M200=0),IF(AF200&gt;0.0000001,1,0),"")</f>
        <v/>
      </c>
      <c r="AH200" s="15" t="str">
        <f aca="false">IF($J200=1,IF($M200=1,AB200,AG200),"")</f>
        <v/>
      </c>
      <c r="AI200" s="13" t="str">
        <f aca="false">IF($J200=1,(Ideal_P-E200)/Span_P,"")</f>
        <v/>
      </c>
      <c r="AJ200" s="13" t="str">
        <f aca="false">IF($J200=1,(Ideal_S-F200)/Span_S,"")</f>
        <v/>
      </c>
      <c r="AK200" s="13" t="str">
        <f aca="false">IF($J200=1,(Ideal_B-G200)/Span_B,"")</f>
        <v/>
      </c>
      <c r="AL200" s="12" t="str">
        <f aca="false">IF($J200=1,MAX(ChA_1*AI200,ChA_2*AJ200,ChA_3*AK200)+Rho*(ChA_1*AI200+ChA_2*AJ200+ChA_3*AK200),"")</f>
        <v/>
      </c>
      <c r="AM200" s="12" t="str">
        <f aca="false">IF($J200=1,MAX(ChB_1*AI200,ChB_2*AJ200,ChB_3*AK200)+Rho*(ChB_1*AI200+ChB_2*AJ200+ChB_3*AK200),"")</f>
        <v/>
      </c>
      <c r="AN200" s="12" t="str">
        <f aca="false">IF($J200=1,MAX(Cx_1*(Ref_P-E200)/Span_P,Cx_2*(Ref_S-F200)/Span_S,Cx_3*(Ref_B-G200)/Span_B),"")</f>
        <v/>
      </c>
    </row>
    <row r="201" customFormat="false" ht="15" hidden="false" customHeight="false" outlineLevel="0" collapsed="false">
      <c r="A201" s="2" t="n">
        <v>195</v>
      </c>
      <c r="B201" s="15" t="n">
        <f aca="false">INT(A201/151)</f>
        <v>1</v>
      </c>
      <c r="C201" s="15" t="n">
        <f aca="false">MOD(A201,151)</f>
        <v>44</v>
      </c>
      <c r="D201" s="15" t="n">
        <f aca="false">INDEX(Grid!$J$6:$P$156,C201+1,B201+1)</f>
        <v>1</v>
      </c>
      <c r="E201" s="16" t="n">
        <f aca="false">IF(D201=1,INDEX(Grid!$B$6:$H$156,C201+1,B201+1),"")</f>
        <v>330.67264406927</v>
      </c>
      <c r="F201" s="13" t="n">
        <f aca="false">Val_pt*(Ceiling_e-E_zero)*(1-(1-Half_gap)^B201)</f>
        <v>70</v>
      </c>
      <c r="G201" s="15" t="n">
        <f aca="false">C201</f>
        <v>44</v>
      </c>
      <c r="H201" s="15" t="n">
        <f aca="false">IF(D201=1,INDEX(Grid!$R$6:$X$156,C201+1,B201+1),"")</f>
        <v>32</v>
      </c>
      <c r="I201" s="2" t="str">
        <f aca="false">IF(D201=1,INDEX(Sch_label,H201+1),"")</f>
        <v>1</v>
      </c>
      <c r="J201" s="15" t="n">
        <f aca="false">IF(D201=1,INDEX(Grid!$Z$6:$AF$156,C201+1,B201+1),0)</f>
        <v>0</v>
      </c>
      <c r="K201" s="16" t="n">
        <f aca="false">IF(J201=1,E201,0)</f>
        <v>0</v>
      </c>
      <c r="L201" s="17" t="n">
        <f aca="false">IF(D201=1,E201+W_board*F201,"")</f>
        <v>725.804395106914</v>
      </c>
      <c r="Z201" s="12" t="str">
        <f aca="false">IF(AND($J201=1,$M201=1),N201*E201/Span_P+O201*F201/Span_S+P201*G201/Span_B,"")</f>
        <v/>
      </c>
      <c r="AA201" s="12" t="str">
        <f aca="false">IF(AND($J201=1,$M201=1),SUMPRODUCT(MAX($J$6:$J$1062*(N201*$K$6:$K$1062/Span_P+O201*$F$6:$F$1062/Span_S+P201*$G$6:$G$1062/Span_B)-(1-$J$6:$J$1062)*1000000000)),"")</f>
        <v/>
      </c>
      <c r="AB201" s="15" t="str">
        <f aca="false">IF(AND($J201=1,$M201=1),IF(AA201-Z201&lt;=0.000000001,1,0),"")</f>
        <v/>
      </c>
      <c r="AC201" s="13" t="str">
        <f aca="false">IF(AND($J201=1,$M201=0),IF(S201="",0,S201*INDEX(Grid!$B$6:$H$156,R201+1,Q201+1))+IF(V201="",0,V201*INDEX(Grid!$B$6:$H$156,U201+1,T201+1))+IF(Y201="",0,Y201*INDEX(Grid!$B$6:$H$156,X201+1,W201+1)),"")</f>
        <v/>
      </c>
      <c r="AD201" s="13" t="str">
        <f aca="false">IF(AND($J201=1,$M201=0),IF(S201="",0,S201*Val_pt*(Ceiling_e-E_zero)*(1-(1-Half_gap)^Q201))+IF(V201="",0,V201*Val_pt*(Ceiling_e-E_zero)*(1-(1-Half_gap)^T201))+IF(Y201="",0,Y201*Val_pt*(Ceiling_e-E_zero)*(1-(1-Half_gap)^W201)),"")</f>
        <v/>
      </c>
      <c r="AE201" s="13" t="str">
        <f aca="false">IF(AND($J201=1,$M201=0),IF(S201="",0,S201*R201)+IF(V201="",0,V201*U201)+IF(Y201="",0,Y201*X201),"")</f>
        <v/>
      </c>
      <c r="AF201" s="12" t="str">
        <f aca="false">IF(AND($J201=1,$M201=0),MIN((AC201-E201)/Span_P,(AD201-F201)/Span_S,(AE201-G201)/Span_B),"")</f>
        <v/>
      </c>
      <c r="AG201" s="15" t="str">
        <f aca="false">IF(AND($J201=1,$M201=0),IF(AF201&gt;0.0000001,1,0),"")</f>
        <v/>
      </c>
      <c r="AH201" s="15" t="str">
        <f aca="false">IF($J201=1,IF($M201=1,AB201,AG201),"")</f>
        <v/>
      </c>
      <c r="AI201" s="13" t="str">
        <f aca="false">IF($J201=1,(Ideal_P-E201)/Span_P,"")</f>
        <v/>
      </c>
      <c r="AJ201" s="13" t="str">
        <f aca="false">IF($J201=1,(Ideal_S-F201)/Span_S,"")</f>
        <v/>
      </c>
      <c r="AK201" s="13" t="str">
        <f aca="false">IF($J201=1,(Ideal_B-G201)/Span_B,"")</f>
        <v/>
      </c>
      <c r="AL201" s="12" t="str">
        <f aca="false">IF($J201=1,MAX(ChA_1*AI201,ChA_2*AJ201,ChA_3*AK201)+Rho*(ChA_1*AI201+ChA_2*AJ201+ChA_3*AK201),"")</f>
        <v/>
      </c>
      <c r="AM201" s="12" t="str">
        <f aca="false">IF($J201=1,MAX(ChB_1*AI201,ChB_2*AJ201,ChB_3*AK201)+Rho*(ChB_1*AI201+ChB_2*AJ201+ChB_3*AK201),"")</f>
        <v/>
      </c>
      <c r="AN201" s="12" t="str">
        <f aca="false">IF($J201=1,MAX(Cx_1*(Ref_P-E201)/Span_P,Cx_2*(Ref_S-F201)/Span_S,Cx_3*(Ref_B-G201)/Span_B),"")</f>
        <v/>
      </c>
    </row>
    <row r="202" customFormat="false" ht="15" hidden="false" customHeight="false" outlineLevel="0" collapsed="false">
      <c r="A202" s="2" t="n">
        <v>196</v>
      </c>
      <c r="B202" s="15" t="n">
        <f aca="false">INT(A202/151)</f>
        <v>1</v>
      </c>
      <c r="C202" s="15" t="n">
        <f aca="false">MOD(A202,151)</f>
        <v>45</v>
      </c>
      <c r="D202" s="15" t="n">
        <f aca="false">INDEX(Grid!$J$6:$P$156,C202+1,B202+1)</f>
        <v>1</v>
      </c>
      <c r="E202" s="16" t="n">
        <f aca="false">IF(D202=1,INDEX(Grid!$B$6:$H$156,C202+1,B202+1),"")</f>
        <v>329.763553160179</v>
      </c>
      <c r="F202" s="13" t="n">
        <f aca="false">Val_pt*(Ceiling_e-E_zero)*(1-(1-Half_gap)^B202)</f>
        <v>70</v>
      </c>
      <c r="G202" s="15" t="n">
        <f aca="false">C202</f>
        <v>45</v>
      </c>
      <c r="H202" s="15" t="n">
        <f aca="false">IF(D202=1,INDEX(Grid!$R$6:$X$156,C202+1,B202+1),"")</f>
        <v>32</v>
      </c>
      <c r="I202" s="2" t="str">
        <f aca="false">IF(D202=1,INDEX(Sch_label,H202+1),"")</f>
        <v>1</v>
      </c>
      <c r="J202" s="15" t="n">
        <f aca="false">IF(D202=1,INDEX(Grid!$Z$6:$AF$156,C202+1,B202+1),0)</f>
        <v>0</v>
      </c>
      <c r="K202" s="16" t="n">
        <f aca="false">IF(J202=1,E202,0)</f>
        <v>0</v>
      </c>
      <c r="L202" s="17" t="n">
        <f aca="false">IF(D202=1,E202+W_board*F202,"")</f>
        <v>724.895304197823</v>
      </c>
      <c r="Z202" s="12" t="str">
        <f aca="false">IF(AND($J202=1,$M202=1),N202*E202/Span_P+O202*F202/Span_S+P202*G202/Span_B,"")</f>
        <v/>
      </c>
      <c r="AA202" s="12" t="str">
        <f aca="false">IF(AND($J202=1,$M202=1),SUMPRODUCT(MAX($J$6:$J$1062*(N202*$K$6:$K$1062/Span_P+O202*$F$6:$F$1062/Span_S+P202*$G$6:$G$1062/Span_B)-(1-$J$6:$J$1062)*1000000000)),"")</f>
        <v/>
      </c>
      <c r="AB202" s="15" t="str">
        <f aca="false">IF(AND($J202=1,$M202=1),IF(AA202-Z202&lt;=0.000000001,1,0),"")</f>
        <v/>
      </c>
      <c r="AC202" s="13" t="str">
        <f aca="false">IF(AND($J202=1,$M202=0),IF(S202="",0,S202*INDEX(Grid!$B$6:$H$156,R202+1,Q202+1))+IF(V202="",0,V202*INDEX(Grid!$B$6:$H$156,U202+1,T202+1))+IF(Y202="",0,Y202*INDEX(Grid!$B$6:$H$156,X202+1,W202+1)),"")</f>
        <v/>
      </c>
      <c r="AD202" s="13" t="str">
        <f aca="false">IF(AND($J202=1,$M202=0),IF(S202="",0,S202*Val_pt*(Ceiling_e-E_zero)*(1-(1-Half_gap)^Q202))+IF(V202="",0,V202*Val_pt*(Ceiling_e-E_zero)*(1-(1-Half_gap)^T202))+IF(Y202="",0,Y202*Val_pt*(Ceiling_e-E_zero)*(1-(1-Half_gap)^W202)),"")</f>
        <v/>
      </c>
      <c r="AE202" s="13" t="str">
        <f aca="false">IF(AND($J202=1,$M202=0),IF(S202="",0,S202*R202)+IF(V202="",0,V202*U202)+IF(Y202="",0,Y202*X202),"")</f>
        <v/>
      </c>
      <c r="AF202" s="12" t="str">
        <f aca="false">IF(AND($J202=1,$M202=0),MIN((AC202-E202)/Span_P,(AD202-F202)/Span_S,(AE202-G202)/Span_B),"")</f>
        <v/>
      </c>
      <c r="AG202" s="15" t="str">
        <f aca="false">IF(AND($J202=1,$M202=0),IF(AF202&gt;0.0000001,1,0),"")</f>
        <v/>
      </c>
      <c r="AH202" s="15" t="str">
        <f aca="false">IF($J202=1,IF($M202=1,AB202,AG202),"")</f>
        <v/>
      </c>
      <c r="AI202" s="13" t="str">
        <f aca="false">IF($J202=1,(Ideal_P-E202)/Span_P,"")</f>
        <v/>
      </c>
      <c r="AJ202" s="13" t="str">
        <f aca="false">IF($J202=1,(Ideal_S-F202)/Span_S,"")</f>
        <v/>
      </c>
      <c r="AK202" s="13" t="str">
        <f aca="false">IF($J202=1,(Ideal_B-G202)/Span_B,"")</f>
        <v/>
      </c>
      <c r="AL202" s="12" t="str">
        <f aca="false">IF($J202=1,MAX(ChA_1*AI202,ChA_2*AJ202,ChA_3*AK202)+Rho*(ChA_1*AI202+ChA_2*AJ202+ChA_3*AK202),"")</f>
        <v/>
      </c>
      <c r="AM202" s="12" t="str">
        <f aca="false">IF($J202=1,MAX(ChB_1*AI202,ChB_2*AJ202,ChB_3*AK202)+Rho*(ChB_1*AI202+ChB_2*AJ202+ChB_3*AK202),"")</f>
        <v/>
      </c>
      <c r="AN202" s="12" t="str">
        <f aca="false">IF($J202=1,MAX(Cx_1*(Ref_P-E202)/Span_P,Cx_2*(Ref_S-F202)/Span_S,Cx_3*(Ref_B-G202)/Span_B),"")</f>
        <v/>
      </c>
    </row>
    <row r="203" customFormat="false" ht="15" hidden="false" customHeight="false" outlineLevel="0" collapsed="false">
      <c r="A203" s="2" t="n">
        <v>197</v>
      </c>
      <c r="B203" s="15" t="n">
        <f aca="false">INT(A203/151)</f>
        <v>1</v>
      </c>
      <c r="C203" s="15" t="n">
        <f aca="false">MOD(A203,151)</f>
        <v>46</v>
      </c>
      <c r="D203" s="15" t="n">
        <f aca="false">INDEX(Grid!$J$6:$P$156,C203+1,B203+1)</f>
        <v>1</v>
      </c>
      <c r="E203" s="16" t="n">
        <f aca="false">IF(D203=1,INDEX(Grid!$B$6:$H$156,C203+1,B203+1),"")</f>
        <v>328.854462251088</v>
      </c>
      <c r="F203" s="13" t="n">
        <f aca="false">Val_pt*(Ceiling_e-E_zero)*(1-(1-Half_gap)^B203)</f>
        <v>70</v>
      </c>
      <c r="G203" s="15" t="n">
        <f aca="false">C203</f>
        <v>46</v>
      </c>
      <c r="H203" s="15" t="n">
        <f aca="false">IF(D203=1,INDEX(Grid!$R$6:$X$156,C203+1,B203+1),"")</f>
        <v>32</v>
      </c>
      <c r="I203" s="2" t="str">
        <f aca="false">IF(D203=1,INDEX(Sch_label,H203+1),"")</f>
        <v>1</v>
      </c>
      <c r="J203" s="15" t="n">
        <f aca="false">IF(D203=1,INDEX(Grid!$Z$6:$AF$156,C203+1,B203+1),0)</f>
        <v>0</v>
      </c>
      <c r="K203" s="16" t="n">
        <f aca="false">IF(J203=1,E203,0)</f>
        <v>0</v>
      </c>
      <c r="L203" s="17" t="n">
        <f aca="false">IF(D203=1,E203+W_board*F203,"")</f>
        <v>723.986213288732</v>
      </c>
      <c r="Z203" s="12" t="str">
        <f aca="false">IF(AND($J203=1,$M203=1),N203*E203/Span_P+O203*F203/Span_S+P203*G203/Span_B,"")</f>
        <v/>
      </c>
      <c r="AA203" s="12" t="str">
        <f aca="false">IF(AND($J203=1,$M203=1),SUMPRODUCT(MAX($J$6:$J$1062*(N203*$K$6:$K$1062/Span_P+O203*$F$6:$F$1062/Span_S+P203*$G$6:$G$1062/Span_B)-(1-$J$6:$J$1062)*1000000000)),"")</f>
        <v/>
      </c>
      <c r="AB203" s="15" t="str">
        <f aca="false">IF(AND($J203=1,$M203=1),IF(AA203-Z203&lt;=0.000000001,1,0),"")</f>
        <v/>
      </c>
      <c r="AC203" s="13" t="str">
        <f aca="false">IF(AND($J203=1,$M203=0),IF(S203="",0,S203*INDEX(Grid!$B$6:$H$156,R203+1,Q203+1))+IF(V203="",0,V203*INDEX(Grid!$B$6:$H$156,U203+1,T203+1))+IF(Y203="",0,Y203*INDEX(Grid!$B$6:$H$156,X203+1,W203+1)),"")</f>
        <v/>
      </c>
      <c r="AD203" s="13" t="str">
        <f aca="false">IF(AND($J203=1,$M203=0),IF(S203="",0,S203*Val_pt*(Ceiling_e-E_zero)*(1-(1-Half_gap)^Q203))+IF(V203="",0,V203*Val_pt*(Ceiling_e-E_zero)*(1-(1-Half_gap)^T203))+IF(Y203="",0,Y203*Val_pt*(Ceiling_e-E_zero)*(1-(1-Half_gap)^W203)),"")</f>
        <v/>
      </c>
      <c r="AE203" s="13" t="str">
        <f aca="false">IF(AND($J203=1,$M203=0),IF(S203="",0,S203*R203)+IF(V203="",0,V203*U203)+IF(Y203="",0,Y203*X203),"")</f>
        <v/>
      </c>
      <c r="AF203" s="12" t="str">
        <f aca="false">IF(AND($J203=1,$M203=0),MIN((AC203-E203)/Span_P,(AD203-F203)/Span_S,(AE203-G203)/Span_B),"")</f>
        <v/>
      </c>
      <c r="AG203" s="15" t="str">
        <f aca="false">IF(AND($J203=1,$M203=0),IF(AF203&gt;0.0000001,1,0),"")</f>
        <v/>
      </c>
      <c r="AH203" s="15" t="str">
        <f aca="false">IF($J203=1,IF($M203=1,AB203,AG203),"")</f>
        <v/>
      </c>
      <c r="AI203" s="13" t="str">
        <f aca="false">IF($J203=1,(Ideal_P-E203)/Span_P,"")</f>
        <v/>
      </c>
      <c r="AJ203" s="13" t="str">
        <f aca="false">IF($J203=1,(Ideal_S-F203)/Span_S,"")</f>
        <v/>
      </c>
      <c r="AK203" s="13" t="str">
        <f aca="false">IF($J203=1,(Ideal_B-G203)/Span_B,"")</f>
        <v/>
      </c>
      <c r="AL203" s="12" t="str">
        <f aca="false">IF($J203=1,MAX(ChA_1*AI203,ChA_2*AJ203,ChA_3*AK203)+Rho*(ChA_1*AI203+ChA_2*AJ203+ChA_3*AK203),"")</f>
        <v/>
      </c>
      <c r="AM203" s="12" t="str">
        <f aca="false">IF($J203=1,MAX(ChB_1*AI203,ChB_2*AJ203,ChB_3*AK203)+Rho*(ChB_1*AI203+ChB_2*AJ203+ChB_3*AK203),"")</f>
        <v/>
      </c>
      <c r="AN203" s="12" t="str">
        <f aca="false">IF($J203=1,MAX(Cx_1*(Ref_P-E203)/Span_P,Cx_2*(Ref_S-F203)/Span_S,Cx_3*(Ref_B-G203)/Span_B),"")</f>
        <v/>
      </c>
    </row>
    <row r="204" customFormat="false" ht="15" hidden="false" customHeight="false" outlineLevel="0" collapsed="false">
      <c r="A204" s="2" t="n">
        <v>198</v>
      </c>
      <c r="B204" s="15" t="n">
        <f aca="false">INT(A204/151)</f>
        <v>1</v>
      </c>
      <c r="C204" s="15" t="n">
        <f aca="false">MOD(A204,151)</f>
        <v>47</v>
      </c>
      <c r="D204" s="15" t="n">
        <f aca="false">INDEX(Grid!$J$6:$P$156,C204+1,B204+1)</f>
        <v>1</v>
      </c>
      <c r="E204" s="16" t="n">
        <f aca="false">IF(D204=1,INDEX(Grid!$B$6:$H$156,C204+1,B204+1),"")</f>
        <v>327.945371341997</v>
      </c>
      <c r="F204" s="13" t="n">
        <f aca="false">Val_pt*(Ceiling_e-E_zero)*(1-(1-Half_gap)^B204)</f>
        <v>70</v>
      </c>
      <c r="G204" s="15" t="n">
        <f aca="false">C204</f>
        <v>47</v>
      </c>
      <c r="H204" s="15" t="n">
        <f aca="false">IF(D204=1,INDEX(Grid!$R$6:$X$156,C204+1,B204+1),"")</f>
        <v>32</v>
      </c>
      <c r="I204" s="2" t="str">
        <f aca="false">IF(D204=1,INDEX(Sch_label,H204+1),"")</f>
        <v>1</v>
      </c>
      <c r="J204" s="15" t="n">
        <f aca="false">IF(D204=1,INDEX(Grid!$Z$6:$AF$156,C204+1,B204+1),0)</f>
        <v>0</v>
      </c>
      <c r="K204" s="16" t="n">
        <f aca="false">IF(J204=1,E204,0)</f>
        <v>0</v>
      </c>
      <c r="L204" s="17" t="n">
        <f aca="false">IF(D204=1,E204+W_board*F204,"")</f>
        <v>723.077122379641</v>
      </c>
      <c r="Z204" s="12" t="str">
        <f aca="false">IF(AND($J204=1,$M204=1),N204*E204/Span_P+O204*F204/Span_S+P204*G204/Span_B,"")</f>
        <v/>
      </c>
      <c r="AA204" s="12" t="str">
        <f aca="false">IF(AND($J204=1,$M204=1),SUMPRODUCT(MAX($J$6:$J$1062*(N204*$K$6:$K$1062/Span_P+O204*$F$6:$F$1062/Span_S+P204*$G$6:$G$1062/Span_B)-(1-$J$6:$J$1062)*1000000000)),"")</f>
        <v/>
      </c>
      <c r="AB204" s="15" t="str">
        <f aca="false">IF(AND($J204=1,$M204=1),IF(AA204-Z204&lt;=0.000000001,1,0),"")</f>
        <v/>
      </c>
      <c r="AC204" s="13" t="str">
        <f aca="false">IF(AND($J204=1,$M204=0),IF(S204="",0,S204*INDEX(Grid!$B$6:$H$156,R204+1,Q204+1))+IF(V204="",0,V204*INDEX(Grid!$B$6:$H$156,U204+1,T204+1))+IF(Y204="",0,Y204*INDEX(Grid!$B$6:$H$156,X204+1,W204+1)),"")</f>
        <v/>
      </c>
      <c r="AD204" s="13" t="str">
        <f aca="false">IF(AND($J204=1,$M204=0),IF(S204="",0,S204*Val_pt*(Ceiling_e-E_zero)*(1-(1-Half_gap)^Q204))+IF(V204="",0,V204*Val_pt*(Ceiling_e-E_zero)*(1-(1-Half_gap)^T204))+IF(Y204="",0,Y204*Val_pt*(Ceiling_e-E_zero)*(1-(1-Half_gap)^W204)),"")</f>
        <v/>
      </c>
      <c r="AE204" s="13" t="str">
        <f aca="false">IF(AND($J204=1,$M204=0),IF(S204="",0,S204*R204)+IF(V204="",0,V204*U204)+IF(Y204="",0,Y204*X204),"")</f>
        <v/>
      </c>
      <c r="AF204" s="12" t="str">
        <f aca="false">IF(AND($J204=1,$M204=0),MIN((AC204-E204)/Span_P,(AD204-F204)/Span_S,(AE204-G204)/Span_B),"")</f>
        <v/>
      </c>
      <c r="AG204" s="15" t="str">
        <f aca="false">IF(AND($J204=1,$M204=0),IF(AF204&gt;0.0000001,1,0),"")</f>
        <v/>
      </c>
      <c r="AH204" s="15" t="str">
        <f aca="false">IF($J204=1,IF($M204=1,AB204,AG204),"")</f>
        <v/>
      </c>
      <c r="AI204" s="13" t="str">
        <f aca="false">IF($J204=1,(Ideal_P-E204)/Span_P,"")</f>
        <v/>
      </c>
      <c r="AJ204" s="13" t="str">
        <f aca="false">IF($J204=1,(Ideal_S-F204)/Span_S,"")</f>
        <v/>
      </c>
      <c r="AK204" s="13" t="str">
        <f aca="false">IF($J204=1,(Ideal_B-G204)/Span_B,"")</f>
        <v/>
      </c>
      <c r="AL204" s="12" t="str">
        <f aca="false">IF($J204=1,MAX(ChA_1*AI204,ChA_2*AJ204,ChA_3*AK204)+Rho*(ChA_1*AI204+ChA_2*AJ204+ChA_3*AK204),"")</f>
        <v/>
      </c>
      <c r="AM204" s="12" t="str">
        <f aca="false">IF($J204=1,MAX(ChB_1*AI204,ChB_2*AJ204,ChB_3*AK204)+Rho*(ChB_1*AI204+ChB_2*AJ204+ChB_3*AK204),"")</f>
        <v/>
      </c>
      <c r="AN204" s="12" t="str">
        <f aca="false">IF($J204=1,MAX(Cx_1*(Ref_P-E204)/Span_P,Cx_2*(Ref_S-F204)/Span_S,Cx_3*(Ref_B-G204)/Span_B),"")</f>
        <v/>
      </c>
    </row>
    <row r="205" customFormat="false" ht="15" hidden="false" customHeight="false" outlineLevel="0" collapsed="false">
      <c r="A205" s="2" t="n">
        <v>199</v>
      </c>
      <c r="B205" s="15" t="n">
        <f aca="false">INT(A205/151)</f>
        <v>1</v>
      </c>
      <c r="C205" s="15" t="n">
        <f aca="false">MOD(A205,151)</f>
        <v>48</v>
      </c>
      <c r="D205" s="15" t="n">
        <f aca="false">INDEX(Grid!$J$6:$P$156,C205+1,B205+1)</f>
        <v>1</v>
      </c>
      <c r="E205" s="16" t="n">
        <f aca="false">IF(D205=1,INDEX(Grid!$B$6:$H$156,C205+1,B205+1),"")</f>
        <v>327.036280432906</v>
      </c>
      <c r="F205" s="13" t="n">
        <f aca="false">Val_pt*(Ceiling_e-E_zero)*(1-(1-Half_gap)^B205)</f>
        <v>70</v>
      </c>
      <c r="G205" s="15" t="n">
        <f aca="false">C205</f>
        <v>48</v>
      </c>
      <c r="H205" s="15" t="n">
        <f aca="false">IF(D205=1,INDEX(Grid!$R$6:$X$156,C205+1,B205+1),"")</f>
        <v>32</v>
      </c>
      <c r="I205" s="2" t="str">
        <f aca="false">IF(D205=1,INDEX(Sch_label,H205+1),"")</f>
        <v>1</v>
      </c>
      <c r="J205" s="15" t="n">
        <f aca="false">IF(D205=1,INDEX(Grid!$Z$6:$AF$156,C205+1,B205+1),0)</f>
        <v>0</v>
      </c>
      <c r="K205" s="16" t="n">
        <f aca="false">IF(J205=1,E205,0)</f>
        <v>0</v>
      </c>
      <c r="L205" s="17" t="n">
        <f aca="false">IF(D205=1,E205+W_board*F205,"")</f>
        <v>722.16803147055</v>
      </c>
      <c r="Z205" s="12" t="str">
        <f aca="false">IF(AND($J205=1,$M205=1),N205*E205/Span_P+O205*F205/Span_S+P205*G205/Span_B,"")</f>
        <v/>
      </c>
      <c r="AA205" s="12" t="str">
        <f aca="false">IF(AND($J205=1,$M205=1),SUMPRODUCT(MAX($J$6:$J$1062*(N205*$K$6:$K$1062/Span_P+O205*$F$6:$F$1062/Span_S+P205*$G$6:$G$1062/Span_B)-(1-$J$6:$J$1062)*1000000000)),"")</f>
        <v/>
      </c>
      <c r="AB205" s="15" t="str">
        <f aca="false">IF(AND($J205=1,$M205=1),IF(AA205-Z205&lt;=0.000000001,1,0),"")</f>
        <v/>
      </c>
      <c r="AC205" s="13" t="str">
        <f aca="false">IF(AND($J205=1,$M205=0),IF(S205="",0,S205*INDEX(Grid!$B$6:$H$156,R205+1,Q205+1))+IF(V205="",0,V205*INDEX(Grid!$B$6:$H$156,U205+1,T205+1))+IF(Y205="",0,Y205*INDEX(Grid!$B$6:$H$156,X205+1,W205+1)),"")</f>
        <v/>
      </c>
      <c r="AD205" s="13" t="str">
        <f aca="false">IF(AND($J205=1,$M205=0),IF(S205="",0,S205*Val_pt*(Ceiling_e-E_zero)*(1-(1-Half_gap)^Q205))+IF(V205="",0,V205*Val_pt*(Ceiling_e-E_zero)*(1-(1-Half_gap)^T205))+IF(Y205="",0,Y205*Val_pt*(Ceiling_e-E_zero)*(1-(1-Half_gap)^W205)),"")</f>
        <v/>
      </c>
      <c r="AE205" s="13" t="str">
        <f aca="false">IF(AND($J205=1,$M205=0),IF(S205="",0,S205*R205)+IF(V205="",0,V205*U205)+IF(Y205="",0,Y205*X205),"")</f>
        <v/>
      </c>
      <c r="AF205" s="12" t="str">
        <f aca="false">IF(AND($J205=1,$M205=0),MIN((AC205-E205)/Span_P,(AD205-F205)/Span_S,(AE205-G205)/Span_B),"")</f>
        <v/>
      </c>
      <c r="AG205" s="15" t="str">
        <f aca="false">IF(AND($J205=1,$M205=0),IF(AF205&gt;0.0000001,1,0),"")</f>
        <v/>
      </c>
      <c r="AH205" s="15" t="str">
        <f aca="false">IF($J205=1,IF($M205=1,AB205,AG205),"")</f>
        <v/>
      </c>
      <c r="AI205" s="13" t="str">
        <f aca="false">IF($J205=1,(Ideal_P-E205)/Span_P,"")</f>
        <v/>
      </c>
      <c r="AJ205" s="13" t="str">
        <f aca="false">IF($J205=1,(Ideal_S-F205)/Span_S,"")</f>
        <v/>
      </c>
      <c r="AK205" s="13" t="str">
        <f aca="false">IF($J205=1,(Ideal_B-G205)/Span_B,"")</f>
        <v/>
      </c>
      <c r="AL205" s="12" t="str">
        <f aca="false">IF($J205=1,MAX(ChA_1*AI205,ChA_2*AJ205,ChA_3*AK205)+Rho*(ChA_1*AI205+ChA_2*AJ205+ChA_3*AK205),"")</f>
        <v/>
      </c>
      <c r="AM205" s="12" t="str">
        <f aca="false">IF($J205=1,MAX(ChB_1*AI205,ChB_2*AJ205,ChB_3*AK205)+Rho*(ChB_1*AI205+ChB_2*AJ205+ChB_3*AK205),"")</f>
        <v/>
      </c>
      <c r="AN205" s="12" t="str">
        <f aca="false">IF($J205=1,MAX(Cx_1*(Ref_P-E205)/Span_P,Cx_2*(Ref_S-F205)/Span_S,Cx_3*(Ref_B-G205)/Span_B),"")</f>
        <v/>
      </c>
    </row>
    <row r="206" customFormat="false" ht="15" hidden="false" customHeight="false" outlineLevel="0" collapsed="false">
      <c r="A206" s="2" t="n">
        <v>200</v>
      </c>
      <c r="B206" s="15" t="n">
        <f aca="false">INT(A206/151)</f>
        <v>1</v>
      </c>
      <c r="C206" s="15" t="n">
        <f aca="false">MOD(A206,151)</f>
        <v>49</v>
      </c>
      <c r="D206" s="15" t="n">
        <f aca="false">INDEX(Grid!$J$6:$P$156,C206+1,B206+1)</f>
        <v>1</v>
      </c>
      <c r="E206" s="16" t="n">
        <f aca="false">IF(D206=1,INDEX(Grid!$B$6:$H$156,C206+1,B206+1),"")</f>
        <v>326.127189523815</v>
      </c>
      <c r="F206" s="13" t="n">
        <f aca="false">Val_pt*(Ceiling_e-E_zero)*(1-(1-Half_gap)^B206)</f>
        <v>70</v>
      </c>
      <c r="G206" s="15" t="n">
        <f aca="false">C206</f>
        <v>49</v>
      </c>
      <c r="H206" s="15" t="n">
        <f aca="false">IF(D206=1,INDEX(Grid!$R$6:$X$156,C206+1,B206+1),"")</f>
        <v>32</v>
      </c>
      <c r="I206" s="2" t="str">
        <f aca="false">IF(D206=1,INDEX(Sch_label,H206+1),"")</f>
        <v>1</v>
      </c>
      <c r="J206" s="15" t="n">
        <f aca="false">IF(D206=1,INDEX(Grid!$Z$6:$AF$156,C206+1,B206+1),0)</f>
        <v>0</v>
      </c>
      <c r="K206" s="16" t="n">
        <f aca="false">IF(J206=1,E206,0)</f>
        <v>0</v>
      </c>
      <c r="L206" s="17" t="n">
        <f aca="false">IF(D206=1,E206+W_board*F206,"")</f>
        <v>721.258940561459</v>
      </c>
      <c r="Z206" s="12" t="str">
        <f aca="false">IF(AND($J206=1,$M206=1),N206*E206/Span_P+O206*F206/Span_S+P206*G206/Span_B,"")</f>
        <v/>
      </c>
      <c r="AA206" s="12" t="str">
        <f aca="false">IF(AND($J206=1,$M206=1),SUMPRODUCT(MAX($J$6:$J$1062*(N206*$K$6:$K$1062/Span_P+O206*$F$6:$F$1062/Span_S+P206*$G$6:$G$1062/Span_B)-(1-$J$6:$J$1062)*1000000000)),"")</f>
        <v/>
      </c>
      <c r="AB206" s="15" t="str">
        <f aca="false">IF(AND($J206=1,$M206=1),IF(AA206-Z206&lt;=0.000000001,1,0),"")</f>
        <v/>
      </c>
      <c r="AC206" s="13" t="str">
        <f aca="false">IF(AND($J206=1,$M206=0),IF(S206="",0,S206*INDEX(Grid!$B$6:$H$156,R206+1,Q206+1))+IF(V206="",0,V206*INDEX(Grid!$B$6:$H$156,U206+1,T206+1))+IF(Y206="",0,Y206*INDEX(Grid!$B$6:$H$156,X206+1,W206+1)),"")</f>
        <v/>
      </c>
      <c r="AD206" s="13" t="str">
        <f aca="false">IF(AND($J206=1,$M206=0),IF(S206="",0,S206*Val_pt*(Ceiling_e-E_zero)*(1-(1-Half_gap)^Q206))+IF(V206="",0,V206*Val_pt*(Ceiling_e-E_zero)*(1-(1-Half_gap)^T206))+IF(Y206="",0,Y206*Val_pt*(Ceiling_e-E_zero)*(1-(1-Half_gap)^W206)),"")</f>
        <v/>
      </c>
      <c r="AE206" s="13" t="str">
        <f aca="false">IF(AND($J206=1,$M206=0),IF(S206="",0,S206*R206)+IF(V206="",0,V206*U206)+IF(Y206="",0,Y206*X206),"")</f>
        <v/>
      </c>
      <c r="AF206" s="12" t="str">
        <f aca="false">IF(AND($J206=1,$M206=0),MIN((AC206-E206)/Span_P,(AD206-F206)/Span_S,(AE206-G206)/Span_B),"")</f>
        <v/>
      </c>
      <c r="AG206" s="15" t="str">
        <f aca="false">IF(AND($J206=1,$M206=0),IF(AF206&gt;0.0000001,1,0),"")</f>
        <v/>
      </c>
      <c r="AH206" s="15" t="str">
        <f aca="false">IF($J206=1,IF($M206=1,AB206,AG206),"")</f>
        <v/>
      </c>
      <c r="AI206" s="13" t="str">
        <f aca="false">IF($J206=1,(Ideal_P-E206)/Span_P,"")</f>
        <v/>
      </c>
      <c r="AJ206" s="13" t="str">
        <f aca="false">IF($J206=1,(Ideal_S-F206)/Span_S,"")</f>
        <v/>
      </c>
      <c r="AK206" s="13" t="str">
        <f aca="false">IF($J206=1,(Ideal_B-G206)/Span_B,"")</f>
        <v/>
      </c>
      <c r="AL206" s="12" t="str">
        <f aca="false">IF($J206=1,MAX(ChA_1*AI206,ChA_2*AJ206,ChA_3*AK206)+Rho*(ChA_1*AI206+ChA_2*AJ206+ChA_3*AK206),"")</f>
        <v/>
      </c>
      <c r="AM206" s="12" t="str">
        <f aca="false">IF($J206=1,MAX(ChB_1*AI206,ChB_2*AJ206,ChB_3*AK206)+Rho*(ChB_1*AI206+ChB_2*AJ206+ChB_3*AK206),"")</f>
        <v/>
      </c>
      <c r="AN206" s="12" t="str">
        <f aca="false">IF($J206=1,MAX(Cx_1*(Ref_P-E206)/Span_P,Cx_2*(Ref_S-F206)/Span_S,Cx_3*(Ref_B-G206)/Span_B),"")</f>
        <v/>
      </c>
    </row>
    <row r="207" customFormat="false" ht="15" hidden="false" customHeight="false" outlineLevel="0" collapsed="false">
      <c r="A207" s="2" t="n">
        <v>201</v>
      </c>
      <c r="B207" s="15" t="n">
        <f aca="false">INT(A207/151)</f>
        <v>1</v>
      </c>
      <c r="C207" s="15" t="n">
        <f aca="false">MOD(A207,151)</f>
        <v>50</v>
      </c>
      <c r="D207" s="15" t="n">
        <f aca="false">INDEX(Grid!$J$6:$P$156,C207+1,B207+1)</f>
        <v>1</v>
      </c>
      <c r="E207" s="16" t="n">
        <f aca="false">IF(D207=1,INDEX(Grid!$B$6:$H$156,C207+1,B207+1),"")</f>
        <v>325.218098614725</v>
      </c>
      <c r="F207" s="13" t="n">
        <f aca="false">Val_pt*(Ceiling_e-E_zero)*(1-(1-Half_gap)^B207)</f>
        <v>70</v>
      </c>
      <c r="G207" s="15" t="n">
        <f aca="false">C207</f>
        <v>50</v>
      </c>
      <c r="H207" s="15" t="n">
        <f aca="false">IF(D207=1,INDEX(Grid!$R$6:$X$156,C207+1,B207+1),"")</f>
        <v>32</v>
      </c>
      <c r="I207" s="2" t="str">
        <f aca="false">IF(D207=1,INDEX(Sch_label,H207+1),"")</f>
        <v>1</v>
      </c>
      <c r="J207" s="15" t="n">
        <f aca="false">IF(D207=1,INDEX(Grid!$Z$6:$AF$156,C207+1,B207+1),0)</f>
        <v>0</v>
      </c>
      <c r="K207" s="16" t="n">
        <f aca="false">IF(J207=1,E207,0)</f>
        <v>0</v>
      </c>
      <c r="L207" s="17" t="n">
        <f aca="false">IF(D207=1,E207+W_board*F207,"")</f>
        <v>720.349849652369</v>
      </c>
      <c r="Z207" s="12" t="str">
        <f aca="false">IF(AND($J207=1,$M207=1),N207*E207/Span_P+O207*F207/Span_S+P207*G207/Span_B,"")</f>
        <v/>
      </c>
      <c r="AA207" s="12" t="str">
        <f aca="false">IF(AND($J207=1,$M207=1),SUMPRODUCT(MAX($J$6:$J$1062*(N207*$K$6:$K$1062/Span_P+O207*$F$6:$F$1062/Span_S+P207*$G$6:$G$1062/Span_B)-(1-$J$6:$J$1062)*1000000000)),"")</f>
        <v/>
      </c>
      <c r="AB207" s="15" t="str">
        <f aca="false">IF(AND($J207=1,$M207=1),IF(AA207-Z207&lt;=0.000000001,1,0),"")</f>
        <v/>
      </c>
      <c r="AC207" s="13" t="str">
        <f aca="false">IF(AND($J207=1,$M207=0),IF(S207="",0,S207*INDEX(Grid!$B$6:$H$156,R207+1,Q207+1))+IF(V207="",0,V207*INDEX(Grid!$B$6:$H$156,U207+1,T207+1))+IF(Y207="",0,Y207*INDEX(Grid!$B$6:$H$156,X207+1,W207+1)),"")</f>
        <v/>
      </c>
      <c r="AD207" s="13" t="str">
        <f aca="false">IF(AND($J207=1,$M207=0),IF(S207="",0,S207*Val_pt*(Ceiling_e-E_zero)*(1-(1-Half_gap)^Q207))+IF(V207="",0,V207*Val_pt*(Ceiling_e-E_zero)*(1-(1-Half_gap)^T207))+IF(Y207="",0,Y207*Val_pt*(Ceiling_e-E_zero)*(1-(1-Half_gap)^W207)),"")</f>
        <v/>
      </c>
      <c r="AE207" s="13" t="str">
        <f aca="false">IF(AND($J207=1,$M207=0),IF(S207="",0,S207*R207)+IF(V207="",0,V207*U207)+IF(Y207="",0,Y207*X207),"")</f>
        <v/>
      </c>
      <c r="AF207" s="12" t="str">
        <f aca="false">IF(AND($J207=1,$M207=0),MIN((AC207-E207)/Span_P,(AD207-F207)/Span_S,(AE207-G207)/Span_B),"")</f>
        <v/>
      </c>
      <c r="AG207" s="15" t="str">
        <f aca="false">IF(AND($J207=1,$M207=0),IF(AF207&gt;0.0000001,1,0),"")</f>
        <v/>
      </c>
      <c r="AH207" s="15" t="str">
        <f aca="false">IF($J207=1,IF($M207=1,AB207,AG207),"")</f>
        <v/>
      </c>
      <c r="AI207" s="13" t="str">
        <f aca="false">IF($J207=1,(Ideal_P-E207)/Span_P,"")</f>
        <v/>
      </c>
      <c r="AJ207" s="13" t="str">
        <f aca="false">IF($J207=1,(Ideal_S-F207)/Span_S,"")</f>
        <v/>
      </c>
      <c r="AK207" s="13" t="str">
        <f aca="false">IF($J207=1,(Ideal_B-G207)/Span_B,"")</f>
        <v/>
      </c>
      <c r="AL207" s="12" t="str">
        <f aca="false">IF($J207=1,MAX(ChA_1*AI207,ChA_2*AJ207,ChA_3*AK207)+Rho*(ChA_1*AI207+ChA_2*AJ207+ChA_3*AK207),"")</f>
        <v/>
      </c>
      <c r="AM207" s="12" t="str">
        <f aca="false">IF($J207=1,MAX(ChB_1*AI207,ChB_2*AJ207,ChB_3*AK207)+Rho*(ChB_1*AI207+ChB_2*AJ207+ChB_3*AK207),"")</f>
        <v/>
      </c>
      <c r="AN207" s="12" t="str">
        <f aca="false">IF($J207=1,MAX(Cx_1*(Ref_P-E207)/Span_P,Cx_2*(Ref_S-F207)/Span_S,Cx_3*(Ref_B-G207)/Span_B),"")</f>
        <v/>
      </c>
    </row>
    <row r="208" customFormat="false" ht="15" hidden="false" customHeight="false" outlineLevel="0" collapsed="false">
      <c r="A208" s="2" t="n">
        <v>202</v>
      </c>
      <c r="B208" s="15" t="n">
        <f aca="false">INT(A208/151)</f>
        <v>1</v>
      </c>
      <c r="C208" s="15" t="n">
        <f aca="false">MOD(A208,151)</f>
        <v>51</v>
      </c>
      <c r="D208" s="15" t="n">
        <f aca="false">INDEX(Grid!$J$6:$P$156,C208+1,B208+1)</f>
        <v>1</v>
      </c>
      <c r="E208" s="16" t="n">
        <f aca="false">IF(D208=1,INDEX(Grid!$B$6:$H$156,C208+1,B208+1),"")</f>
        <v>324.309007705634</v>
      </c>
      <c r="F208" s="13" t="n">
        <f aca="false">Val_pt*(Ceiling_e-E_zero)*(1-(1-Half_gap)^B208)</f>
        <v>70</v>
      </c>
      <c r="G208" s="15" t="n">
        <f aca="false">C208</f>
        <v>51</v>
      </c>
      <c r="H208" s="15" t="n">
        <f aca="false">IF(D208=1,INDEX(Grid!$R$6:$X$156,C208+1,B208+1),"")</f>
        <v>32</v>
      </c>
      <c r="I208" s="2" t="str">
        <f aca="false">IF(D208=1,INDEX(Sch_label,H208+1),"")</f>
        <v>1</v>
      </c>
      <c r="J208" s="15" t="n">
        <f aca="false">IF(D208=1,INDEX(Grid!$Z$6:$AF$156,C208+1,B208+1),0)</f>
        <v>0</v>
      </c>
      <c r="K208" s="16" t="n">
        <f aca="false">IF(J208=1,E208,0)</f>
        <v>0</v>
      </c>
      <c r="L208" s="17" t="n">
        <f aca="false">IF(D208=1,E208+W_board*F208,"")</f>
        <v>719.440758743278</v>
      </c>
      <c r="Z208" s="12" t="str">
        <f aca="false">IF(AND($J208=1,$M208=1),N208*E208/Span_P+O208*F208/Span_S+P208*G208/Span_B,"")</f>
        <v/>
      </c>
      <c r="AA208" s="12" t="str">
        <f aca="false">IF(AND($J208=1,$M208=1),SUMPRODUCT(MAX($J$6:$J$1062*(N208*$K$6:$K$1062/Span_P+O208*$F$6:$F$1062/Span_S+P208*$G$6:$G$1062/Span_B)-(1-$J$6:$J$1062)*1000000000)),"")</f>
        <v/>
      </c>
      <c r="AB208" s="15" t="str">
        <f aca="false">IF(AND($J208=1,$M208=1),IF(AA208-Z208&lt;=0.000000001,1,0),"")</f>
        <v/>
      </c>
      <c r="AC208" s="13" t="str">
        <f aca="false">IF(AND($J208=1,$M208=0),IF(S208="",0,S208*INDEX(Grid!$B$6:$H$156,R208+1,Q208+1))+IF(V208="",0,V208*INDEX(Grid!$B$6:$H$156,U208+1,T208+1))+IF(Y208="",0,Y208*INDEX(Grid!$B$6:$H$156,X208+1,W208+1)),"")</f>
        <v/>
      </c>
      <c r="AD208" s="13" t="str">
        <f aca="false">IF(AND($J208=1,$M208=0),IF(S208="",0,S208*Val_pt*(Ceiling_e-E_zero)*(1-(1-Half_gap)^Q208))+IF(V208="",0,V208*Val_pt*(Ceiling_e-E_zero)*(1-(1-Half_gap)^T208))+IF(Y208="",0,Y208*Val_pt*(Ceiling_e-E_zero)*(1-(1-Half_gap)^W208)),"")</f>
        <v/>
      </c>
      <c r="AE208" s="13" t="str">
        <f aca="false">IF(AND($J208=1,$M208=0),IF(S208="",0,S208*R208)+IF(V208="",0,V208*U208)+IF(Y208="",0,Y208*X208),"")</f>
        <v/>
      </c>
      <c r="AF208" s="12" t="str">
        <f aca="false">IF(AND($J208=1,$M208=0),MIN((AC208-E208)/Span_P,(AD208-F208)/Span_S,(AE208-G208)/Span_B),"")</f>
        <v/>
      </c>
      <c r="AG208" s="15" t="str">
        <f aca="false">IF(AND($J208=1,$M208=0),IF(AF208&gt;0.0000001,1,0),"")</f>
        <v/>
      </c>
      <c r="AH208" s="15" t="str">
        <f aca="false">IF($J208=1,IF($M208=1,AB208,AG208),"")</f>
        <v/>
      </c>
      <c r="AI208" s="13" t="str">
        <f aca="false">IF($J208=1,(Ideal_P-E208)/Span_P,"")</f>
        <v/>
      </c>
      <c r="AJ208" s="13" t="str">
        <f aca="false">IF($J208=1,(Ideal_S-F208)/Span_S,"")</f>
        <v/>
      </c>
      <c r="AK208" s="13" t="str">
        <f aca="false">IF($J208=1,(Ideal_B-G208)/Span_B,"")</f>
        <v/>
      </c>
      <c r="AL208" s="12" t="str">
        <f aca="false">IF($J208=1,MAX(ChA_1*AI208,ChA_2*AJ208,ChA_3*AK208)+Rho*(ChA_1*AI208+ChA_2*AJ208+ChA_3*AK208),"")</f>
        <v/>
      </c>
      <c r="AM208" s="12" t="str">
        <f aca="false">IF($J208=1,MAX(ChB_1*AI208,ChB_2*AJ208,ChB_3*AK208)+Rho*(ChB_1*AI208+ChB_2*AJ208+ChB_3*AK208),"")</f>
        <v/>
      </c>
      <c r="AN208" s="12" t="str">
        <f aca="false">IF($J208=1,MAX(Cx_1*(Ref_P-E208)/Span_P,Cx_2*(Ref_S-F208)/Span_S,Cx_3*(Ref_B-G208)/Span_B),"")</f>
        <v/>
      </c>
    </row>
    <row r="209" customFormat="false" ht="15" hidden="false" customHeight="false" outlineLevel="0" collapsed="false">
      <c r="A209" s="2" t="n">
        <v>203</v>
      </c>
      <c r="B209" s="15" t="n">
        <f aca="false">INT(A209/151)</f>
        <v>1</v>
      </c>
      <c r="C209" s="15" t="n">
        <f aca="false">MOD(A209,151)</f>
        <v>52</v>
      </c>
      <c r="D209" s="15" t="n">
        <f aca="false">INDEX(Grid!$J$6:$P$156,C209+1,B209+1)</f>
        <v>1</v>
      </c>
      <c r="E209" s="16" t="n">
        <f aca="false">IF(D209=1,INDEX(Grid!$B$6:$H$156,C209+1,B209+1),"")</f>
        <v>323.399916796543</v>
      </c>
      <c r="F209" s="13" t="n">
        <f aca="false">Val_pt*(Ceiling_e-E_zero)*(1-(1-Half_gap)^B209)</f>
        <v>70</v>
      </c>
      <c r="G209" s="15" t="n">
        <f aca="false">C209</f>
        <v>52</v>
      </c>
      <c r="H209" s="15" t="n">
        <f aca="false">IF(D209=1,INDEX(Grid!$R$6:$X$156,C209+1,B209+1),"")</f>
        <v>32</v>
      </c>
      <c r="I209" s="2" t="str">
        <f aca="false">IF(D209=1,INDEX(Sch_label,H209+1),"")</f>
        <v>1</v>
      </c>
      <c r="J209" s="15" t="n">
        <f aca="false">IF(D209=1,INDEX(Grid!$Z$6:$AF$156,C209+1,B209+1),0)</f>
        <v>0</v>
      </c>
      <c r="K209" s="16" t="n">
        <f aca="false">IF(J209=1,E209,0)</f>
        <v>0</v>
      </c>
      <c r="L209" s="17" t="n">
        <f aca="false">IF(D209=1,E209+W_board*F209,"")</f>
        <v>718.531667834187</v>
      </c>
      <c r="Z209" s="12" t="str">
        <f aca="false">IF(AND($J209=1,$M209=1),N209*E209/Span_P+O209*F209/Span_S+P209*G209/Span_B,"")</f>
        <v/>
      </c>
      <c r="AA209" s="12" t="str">
        <f aca="false">IF(AND($J209=1,$M209=1),SUMPRODUCT(MAX($J$6:$J$1062*(N209*$K$6:$K$1062/Span_P+O209*$F$6:$F$1062/Span_S+P209*$G$6:$G$1062/Span_B)-(1-$J$6:$J$1062)*1000000000)),"")</f>
        <v/>
      </c>
      <c r="AB209" s="15" t="str">
        <f aca="false">IF(AND($J209=1,$M209=1),IF(AA209-Z209&lt;=0.000000001,1,0),"")</f>
        <v/>
      </c>
      <c r="AC209" s="13" t="str">
        <f aca="false">IF(AND($J209=1,$M209=0),IF(S209="",0,S209*INDEX(Grid!$B$6:$H$156,R209+1,Q209+1))+IF(V209="",0,V209*INDEX(Grid!$B$6:$H$156,U209+1,T209+1))+IF(Y209="",0,Y209*INDEX(Grid!$B$6:$H$156,X209+1,W209+1)),"")</f>
        <v/>
      </c>
      <c r="AD209" s="13" t="str">
        <f aca="false">IF(AND($J209=1,$M209=0),IF(S209="",0,S209*Val_pt*(Ceiling_e-E_zero)*(1-(1-Half_gap)^Q209))+IF(V209="",0,V209*Val_pt*(Ceiling_e-E_zero)*(1-(1-Half_gap)^T209))+IF(Y209="",0,Y209*Val_pt*(Ceiling_e-E_zero)*(1-(1-Half_gap)^W209)),"")</f>
        <v/>
      </c>
      <c r="AE209" s="13" t="str">
        <f aca="false">IF(AND($J209=1,$M209=0),IF(S209="",0,S209*R209)+IF(V209="",0,V209*U209)+IF(Y209="",0,Y209*X209),"")</f>
        <v/>
      </c>
      <c r="AF209" s="12" t="str">
        <f aca="false">IF(AND($J209=1,$M209=0),MIN((AC209-E209)/Span_P,(AD209-F209)/Span_S,(AE209-G209)/Span_B),"")</f>
        <v/>
      </c>
      <c r="AG209" s="15" t="str">
        <f aca="false">IF(AND($J209=1,$M209=0),IF(AF209&gt;0.0000001,1,0),"")</f>
        <v/>
      </c>
      <c r="AH209" s="15" t="str">
        <f aca="false">IF($J209=1,IF($M209=1,AB209,AG209),"")</f>
        <v/>
      </c>
      <c r="AI209" s="13" t="str">
        <f aca="false">IF($J209=1,(Ideal_P-E209)/Span_P,"")</f>
        <v/>
      </c>
      <c r="AJ209" s="13" t="str">
        <f aca="false">IF($J209=1,(Ideal_S-F209)/Span_S,"")</f>
        <v/>
      </c>
      <c r="AK209" s="13" t="str">
        <f aca="false">IF($J209=1,(Ideal_B-G209)/Span_B,"")</f>
        <v/>
      </c>
      <c r="AL209" s="12" t="str">
        <f aca="false">IF($J209=1,MAX(ChA_1*AI209,ChA_2*AJ209,ChA_3*AK209)+Rho*(ChA_1*AI209+ChA_2*AJ209+ChA_3*AK209),"")</f>
        <v/>
      </c>
      <c r="AM209" s="12" t="str">
        <f aca="false">IF($J209=1,MAX(ChB_1*AI209,ChB_2*AJ209,ChB_3*AK209)+Rho*(ChB_1*AI209+ChB_2*AJ209+ChB_3*AK209),"")</f>
        <v/>
      </c>
      <c r="AN209" s="12" t="str">
        <f aca="false">IF($J209=1,MAX(Cx_1*(Ref_P-E209)/Span_P,Cx_2*(Ref_S-F209)/Span_S,Cx_3*(Ref_B-G209)/Span_B),"")</f>
        <v/>
      </c>
    </row>
    <row r="210" customFormat="false" ht="15" hidden="false" customHeight="false" outlineLevel="0" collapsed="false">
      <c r="A210" s="2" t="n">
        <v>204</v>
      </c>
      <c r="B210" s="15" t="n">
        <f aca="false">INT(A210/151)</f>
        <v>1</v>
      </c>
      <c r="C210" s="15" t="n">
        <f aca="false">MOD(A210,151)</f>
        <v>53</v>
      </c>
      <c r="D210" s="15" t="n">
        <f aca="false">INDEX(Grid!$J$6:$P$156,C210+1,B210+1)</f>
        <v>1</v>
      </c>
      <c r="E210" s="16" t="n">
        <f aca="false">IF(D210=1,INDEX(Grid!$B$6:$H$156,C210+1,B210+1),"")</f>
        <v>322.490825887452</v>
      </c>
      <c r="F210" s="13" t="n">
        <f aca="false">Val_pt*(Ceiling_e-E_zero)*(1-(1-Half_gap)^B210)</f>
        <v>70</v>
      </c>
      <c r="G210" s="15" t="n">
        <f aca="false">C210</f>
        <v>53</v>
      </c>
      <c r="H210" s="15" t="n">
        <f aca="false">IF(D210=1,INDEX(Grid!$R$6:$X$156,C210+1,B210+1),"")</f>
        <v>32</v>
      </c>
      <c r="I210" s="2" t="str">
        <f aca="false">IF(D210=1,INDEX(Sch_label,H210+1),"")</f>
        <v>1</v>
      </c>
      <c r="J210" s="15" t="n">
        <f aca="false">IF(D210=1,INDEX(Grid!$Z$6:$AF$156,C210+1,B210+1),0)</f>
        <v>0</v>
      </c>
      <c r="K210" s="16" t="n">
        <f aca="false">IF(J210=1,E210,0)</f>
        <v>0</v>
      </c>
      <c r="L210" s="17" t="n">
        <f aca="false">IF(D210=1,E210+W_board*F210,"")</f>
        <v>717.622576925096</v>
      </c>
      <c r="Z210" s="12" t="str">
        <f aca="false">IF(AND($J210=1,$M210=1),N210*E210/Span_P+O210*F210/Span_S+P210*G210/Span_B,"")</f>
        <v/>
      </c>
      <c r="AA210" s="12" t="str">
        <f aca="false">IF(AND($J210=1,$M210=1),SUMPRODUCT(MAX($J$6:$J$1062*(N210*$K$6:$K$1062/Span_P+O210*$F$6:$F$1062/Span_S+P210*$G$6:$G$1062/Span_B)-(1-$J$6:$J$1062)*1000000000)),"")</f>
        <v/>
      </c>
      <c r="AB210" s="15" t="str">
        <f aca="false">IF(AND($J210=1,$M210=1),IF(AA210-Z210&lt;=0.000000001,1,0),"")</f>
        <v/>
      </c>
      <c r="AC210" s="13" t="str">
        <f aca="false">IF(AND($J210=1,$M210=0),IF(S210="",0,S210*INDEX(Grid!$B$6:$H$156,R210+1,Q210+1))+IF(V210="",0,V210*INDEX(Grid!$B$6:$H$156,U210+1,T210+1))+IF(Y210="",0,Y210*INDEX(Grid!$B$6:$H$156,X210+1,W210+1)),"")</f>
        <v/>
      </c>
      <c r="AD210" s="13" t="str">
        <f aca="false">IF(AND($J210=1,$M210=0),IF(S210="",0,S210*Val_pt*(Ceiling_e-E_zero)*(1-(1-Half_gap)^Q210))+IF(V210="",0,V210*Val_pt*(Ceiling_e-E_zero)*(1-(1-Half_gap)^T210))+IF(Y210="",0,Y210*Val_pt*(Ceiling_e-E_zero)*(1-(1-Half_gap)^W210)),"")</f>
        <v/>
      </c>
      <c r="AE210" s="13" t="str">
        <f aca="false">IF(AND($J210=1,$M210=0),IF(S210="",0,S210*R210)+IF(V210="",0,V210*U210)+IF(Y210="",0,Y210*X210),"")</f>
        <v/>
      </c>
      <c r="AF210" s="12" t="str">
        <f aca="false">IF(AND($J210=1,$M210=0),MIN((AC210-E210)/Span_P,(AD210-F210)/Span_S,(AE210-G210)/Span_B),"")</f>
        <v/>
      </c>
      <c r="AG210" s="15" t="str">
        <f aca="false">IF(AND($J210=1,$M210=0),IF(AF210&gt;0.0000001,1,0),"")</f>
        <v/>
      </c>
      <c r="AH210" s="15" t="str">
        <f aca="false">IF($J210=1,IF($M210=1,AB210,AG210),"")</f>
        <v/>
      </c>
      <c r="AI210" s="13" t="str">
        <f aca="false">IF($J210=1,(Ideal_P-E210)/Span_P,"")</f>
        <v/>
      </c>
      <c r="AJ210" s="13" t="str">
        <f aca="false">IF($J210=1,(Ideal_S-F210)/Span_S,"")</f>
        <v/>
      </c>
      <c r="AK210" s="13" t="str">
        <f aca="false">IF($J210=1,(Ideal_B-G210)/Span_B,"")</f>
        <v/>
      </c>
      <c r="AL210" s="12" t="str">
        <f aca="false">IF($J210=1,MAX(ChA_1*AI210,ChA_2*AJ210,ChA_3*AK210)+Rho*(ChA_1*AI210+ChA_2*AJ210+ChA_3*AK210),"")</f>
        <v/>
      </c>
      <c r="AM210" s="12" t="str">
        <f aca="false">IF($J210=1,MAX(ChB_1*AI210,ChB_2*AJ210,ChB_3*AK210)+Rho*(ChB_1*AI210+ChB_2*AJ210+ChB_3*AK210),"")</f>
        <v/>
      </c>
      <c r="AN210" s="12" t="str">
        <f aca="false">IF($J210=1,MAX(Cx_1*(Ref_P-E210)/Span_P,Cx_2*(Ref_S-F210)/Span_S,Cx_3*(Ref_B-G210)/Span_B),"")</f>
        <v/>
      </c>
    </row>
    <row r="211" customFormat="false" ht="15" hidden="false" customHeight="false" outlineLevel="0" collapsed="false">
      <c r="A211" s="2" t="n">
        <v>205</v>
      </c>
      <c r="B211" s="15" t="n">
        <f aca="false">INT(A211/151)</f>
        <v>1</v>
      </c>
      <c r="C211" s="15" t="n">
        <f aca="false">MOD(A211,151)</f>
        <v>54</v>
      </c>
      <c r="D211" s="15" t="n">
        <f aca="false">INDEX(Grid!$J$6:$P$156,C211+1,B211+1)</f>
        <v>1</v>
      </c>
      <c r="E211" s="16" t="n">
        <f aca="false">IF(D211=1,INDEX(Grid!$B$6:$H$156,C211+1,B211+1),"")</f>
        <v>321.581734978361</v>
      </c>
      <c r="F211" s="13" t="n">
        <f aca="false">Val_pt*(Ceiling_e-E_zero)*(1-(1-Half_gap)^B211)</f>
        <v>70</v>
      </c>
      <c r="G211" s="15" t="n">
        <f aca="false">C211</f>
        <v>54</v>
      </c>
      <c r="H211" s="15" t="n">
        <f aca="false">IF(D211=1,INDEX(Grid!$R$6:$X$156,C211+1,B211+1),"")</f>
        <v>32</v>
      </c>
      <c r="I211" s="2" t="str">
        <f aca="false">IF(D211=1,INDEX(Sch_label,H211+1),"")</f>
        <v>1</v>
      </c>
      <c r="J211" s="15" t="n">
        <f aca="false">IF(D211=1,INDEX(Grid!$Z$6:$AF$156,C211+1,B211+1),0)</f>
        <v>0</v>
      </c>
      <c r="K211" s="16" t="n">
        <f aca="false">IF(J211=1,E211,0)</f>
        <v>0</v>
      </c>
      <c r="L211" s="17" t="n">
        <f aca="false">IF(D211=1,E211+W_board*F211,"")</f>
        <v>716.713486016005</v>
      </c>
      <c r="Z211" s="12" t="str">
        <f aca="false">IF(AND($J211=1,$M211=1),N211*E211/Span_P+O211*F211/Span_S+P211*G211/Span_B,"")</f>
        <v/>
      </c>
      <c r="AA211" s="12" t="str">
        <f aca="false">IF(AND($J211=1,$M211=1),SUMPRODUCT(MAX($J$6:$J$1062*(N211*$K$6:$K$1062/Span_P+O211*$F$6:$F$1062/Span_S+P211*$G$6:$G$1062/Span_B)-(1-$J$6:$J$1062)*1000000000)),"")</f>
        <v/>
      </c>
      <c r="AB211" s="15" t="str">
        <f aca="false">IF(AND($J211=1,$M211=1),IF(AA211-Z211&lt;=0.000000001,1,0),"")</f>
        <v/>
      </c>
      <c r="AC211" s="13" t="str">
        <f aca="false">IF(AND($J211=1,$M211=0),IF(S211="",0,S211*INDEX(Grid!$B$6:$H$156,R211+1,Q211+1))+IF(V211="",0,V211*INDEX(Grid!$B$6:$H$156,U211+1,T211+1))+IF(Y211="",0,Y211*INDEX(Grid!$B$6:$H$156,X211+1,W211+1)),"")</f>
        <v/>
      </c>
      <c r="AD211" s="13" t="str">
        <f aca="false">IF(AND($J211=1,$M211=0),IF(S211="",0,S211*Val_pt*(Ceiling_e-E_zero)*(1-(1-Half_gap)^Q211))+IF(V211="",0,V211*Val_pt*(Ceiling_e-E_zero)*(1-(1-Half_gap)^T211))+IF(Y211="",0,Y211*Val_pt*(Ceiling_e-E_zero)*(1-(1-Half_gap)^W211)),"")</f>
        <v/>
      </c>
      <c r="AE211" s="13" t="str">
        <f aca="false">IF(AND($J211=1,$M211=0),IF(S211="",0,S211*R211)+IF(V211="",0,V211*U211)+IF(Y211="",0,Y211*X211),"")</f>
        <v/>
      </c>
      <c r="AF211" s="12" t="str">
        <f aca="false">IF(AND($J211=1,$M211=0),MIN((AC211-E211)/Span_P,(AD211-F211)/Span_S,(AE211-G211)/Span_B),"")</f>
        <v/>
      </c>
      <c r="AG211" s="15" t="str">
        <f aca="false">IF(AND($J211=1,$M211=0),IF(AF211&gt;0.0000001,1,0),"")</f>
        <v/>
      </c>
      <c r="AH211" s="15" t="str">
        <f aca="false">IF($J211=1,IF($M211=1,AB211,AG211),"")</f>
        <v/>
      </c>
      <c r="AI211" s="13" t="str">
        <f aca="false">IF($J211=1,(Ideal_P-E211)/Span_P,"")</f>
        <v/>
      </c>
      <c r="AJ211" s="13" t="str">
        <f aca="false">IF($J211=1,(Ideal_S-F211)/Span_S,"")</f>
        <v/>
      </c>
      <c r="AK211" s="13" t="str">
        <f aca="false">IF($J211=1,(Ideal_B-G211)/Span_B,"")</f>
        <v/>
      </c>
      <c r="AL211" s="12" t="str">
        <f aca="false">IF($J211=1,MAX(ChA_1*AI211,ChA_2*AJ211,ChA_3*AK211)+Rho*(ChA_1*AI211+ChA_2*AJ211+ChA_3*AK211),"")</f>
        <v/>
      </c>
      <c r="AM211" s="12" t="str">
        <f aca="false">IF($J211=1,MAX(ChB_1*AI211,ChB_2*AJ211,ChB_3*AK211)+Rho*(ChB_1*AI211+ChB_2*AJ211+ChB_3*AK211),"")</f>
        <v/>
      </c>
      <c r="AN211" s="12" t="str">
        <f aca="false">IF($J211=1,MAX(Cx_1*(Ref_P-E211)/Span_P,Cx_2*(Ref_S-F211)/Span_S,Cx_3*(Ref_B-G211)/Span_B),"")</f>
        <v/>
      </c>
    </row>
    <row r="212" customFormat="false" ht="15" hidden="false" customHeight="false" outlineLevel="0" collapsed="false">
      <c r="A212" s="2" t="n">
        <v>206</v>
      </c>
      <c r="B212" s="15" t="n">
        <f aca="false">INT(A212/151)</f>
        <v>1</v>
      </c>
      <c r="C212" s="15" t="n">
        <f aca="false">MOD(A212,151)</f>
        <v>55</v>
      </c>
      <c r="D212" s="15" t="n">
        <f aca="false">INDEX(Grid!$J$6:$P$156,C212+1,B212+1)</f>
        <v>1</v>
      </c>
      <c r="E212" s="16" t="n">
        <f aca="false">IF(D212=1,INDEX(Grid!$B$6:$H$156,C212+1,B212+1),"")</f>
        <v>320.67264406927</v>
      </c>
      <c r="F212" s="13" t="n">
        <f aca="false">Val_pt*(Ceiling_e-E_zero)*(1-(1-Half_gap)^B212)</f>
        <v>70</v>
      </c>
      <c r="G212" s="15" t="n">
        <f aca="false">C212</f>
        <v>55</v>
      </c>
      <c r="H212" s="15" t="n">
        <f aca="false">IF(D212=1,INDEX(Grid!$R$6:$X$156,C212+1,B212+1),"")</f>
        <v>32</v>
      </c>
      <c r="I212" s="2" t="str">
        <f aca="false">IF(D212=1,INDEX(Sch_label,H212+1),"")</f>
        <v>1</v>
      </c>
      <c r="J212" s="15" t="n">
        <f aca="false">IF(D212=1,INDEX(Grid!$Z$6:$AF$156,C212+1,B212+1),0)</f>
        <v>0</v>
      </c>
      <c r="K212" s="16" t="n">
        <f aca="false">IF(J212=1,E212,0)</f>
        <v>0</v>
      </c>
      <c r="L212" s="17" t="n">
        <f aca="false">IF(D212=1,E212+W_board*F212,"")</f>
        <v>715.804395106914</v>
      </c>
      <c r="Z212" s="12" t="str">
        <f aca="false">IF(AND($J212=1,$M212=1),N212*E212/Span_P+O212*F212/Span_S+P212*G212/Span_B,"")</f>
        <v/>
      </c>
      <c r="AA212" s="12" t="str">
        <f aca="false">IF(AND($J212=1,$M212=1),SUMPRODUCT(MAX($J$6:$J$1062*(N212*$K$6:$K$1062/Span_P+O212*$F$6:$F$1062/Span_S+P212*$G$6:$G$1062/Span_B)-(1-$J$6:$J$1062)*1000000000)),"")</f>
        <v/>
      </c>
      <c r="AB212" s="15" t="str">
        <f aca="false">IF(AND($J212=1,$M212=1),IF(AA212-Z212&lt;=0.000000001,1,0),"")</f>
        <v/>
      </c>
      <c r="AC212" s="13" t="str">
        <f aca="false">IF(AND($J212=1,$M212=0),IF(S212="",0,S212*INDEX(Grid!$B$6:$H$156,R212+1,Q212+1))+IF(V212="",0,V212*INDEX(Grid!$B$6:$H$156,U212+1,T212+1))+IF(Y212="",0,Y212*INDEX(Grid!$B$6:$H$156,X212+1,W212+1)),"")</f>
        <v/>
      </c>
      <c r="AD212" s="13" t="str">
        <f aca="false">IF(AND($J212=1,$M212=0),IF(S212="",0,S212*Val_pt*(Ceiling_e-E_zero)*(1-(1-Half_gap)^Q212))+IF(V212="",0,V212*Val_pt*(Ceiling_e-E_zero)*(1-(1-Half_gap)^T212))+IF(Y212="",0,Y212*Val_pt*(Ceiling_e-E_zero)*(1-(1-Half_gap)^W212)),"")</f>
        <v/>
      </c>
      <c r="AE212" s="13" t="str">
        <f aca="false">IF(AND($J212=1,$M212=0),IF(S212="",0,S212*R212)+IF(V212="",0,V212*U212)+IF(Y212="",0,Y212*X212),"")</f>
        <v/>
      </c>
      <c r="AF212" s="12" t="str">
        <f aca="false">IF(AND($J212=1,$M212=0),MIN((AC212-E212)/Span_P,(AD212-F212)/Span_S,(AE212-G212)/Span_B),"")</f>
        <v/>
      </c>
      <c r="AG212" s="15" t="str">
        <f aca="false">IF(AND($J212=1,$M212=0),IF(AF212&gt;0.0000001,1,0),"")</f>
        <v/>
      </c>
      <c r="AH212" s="15" t="str">
        <f aca="false">IF($J212=1,IF($M212=1,AB212,AG212),"")</f>
        <v/>
      </c>
      <c r="AI212" s="13" t="str">
        <f aca="false">IF($J212=1,(Ideal_P-E212)/Span_P,"")</f>
        <v/>
      </c>
      <c r="AJ212" s="13" t="str">
        <f aca="false">IF($J212=1,(Ideal_S-F212)/Span_S,"")</f>
        <v/>
      </c>
      <c r="AK212" s="13" t="str">
        <f aca="false">IF($J212=1,(Ideal_B-G212)/Span_B,"")</f>
        <v/>
      </c>
      <c r="AL212" s="12" t="str">
        <f aca="false">IF($J212=1,MAX(ChA_1*AI212,ChA_2*AJ212,ChA_3*AK212)+Rho*(ChA_1*AI212+ChA_2*AJ212+ChA_3*AK212),"")</f>
        <v/>
      </c>
      <c r="AM212" s="12" t="str">
        <f aca="false">IF($J212=1,MAX(ChB_1*AI212,ChB_2*AJ212,ChB_3*AK212)+Rho*(ChB_1*AI212+ChB_2*AJ212+ChB_3*AK212),"")</f>
        <v/>
      </c>
      <c r="AN212" s="12" t="str">
        <f aca="false">IF($J212=1,MAX(Cx_1*(Ref_P-E212)/Span_P,Cx_2*(Ref_S-F212)/Span_S,Cx_3*(Ref_B-G212)/Span_B),"")</f>
        <v/>
      </c>
    </row>
    <row r="213" customFormat="false" ht="15" hidden="false" customHeight="false" outlineLevel="0" collapsed="false">
      <c r="A213" s="2" t="n">
        <v>207</v>
      </c>
      <c r="B213" s="15" t="n">
        <f aca="false">INT(A213/151)</f>
        <v>1</v>
      </c>
      <c r="C213" s="15" t="n">
        <f aca="false">MOD(A213,151)</f>
        <v>56</v>
      </c>
      <c r="D213" s="15" t="n">
        <f aca="false">INDEX(Grid!$J$6:$P$156,C213+1,B213+1)</f>
        <v>1</v>
      </c>
      <c r="E213" s="16" t="n">
        <f aca="false">IF(D213=1,INDEX(Grid!$B$6:$H$156,C213+1,B213+1),"")</f>
        <v>319.763553160179</v>
      </c>
      <c r="F213" s="13" t="n">
        <f aca="false">Val_pt*(Ceiling_e-E_zero)*(1-(1-Half_gap)^B213)</f>
        <v>70</v>
      </c>
      <c r="G213" s="15" t="n">
        <f aca="false">C213</f>
        <v>56</v>
      </c>
      <c r="H213" s="15" t="n">
        <f aca="false">IF(D213=1,INDEX(Grid!$R$6:$X$156,C213+1,B213+1),"")</f>
        <v>32</v>
      </c>
      <c r="I213" s="2" t="str">
        <f aca="false">IF(D213=1,INDEX(Sch_label,H213+1),"")</f>
        <v>1</v>
      </c>
      <c r="J213" s="15" t="n">
        <f aca="false">IF(D213=1,INDEX(Grid!$Z$6:$AF$156,C213+1,B213+1),0)</f>
        <v>0</v>
      </c>
      <c r="K213" s="16" t="n">
        <f aca="false">IF(J213=1,E213,0)</f>
        <v>0</v>
      </c>
      <c r="L213" s="17" t="n">
        <f aca="false">IF(D213=1,E213+W_board*F213,"")</f>
        <v>714.895304197823</v>
      </c>
      <c r="Z213" s="12" t="str">
        <f aca="false">IF(AND($J213=1,$M213=1),N213*E213/Span_P+O213*F213/Span_S+P213*G213/Span_B,"")</f>
        <v/>
      </c>
      <c r="AA213" s="12" t="str">
        <f aca="false">IF(AND($J213=1,$M213=1),SUMPRODUCT(MAX($J$6:$J$1062*(N213*$K$6:$K$1062/Span_P+O213*$F$6:$F$1062/Span_S+P213*$G$6:$G$1062/Span_B)-(1-$J$6:$J$1062)*1000000000)),"")</f>
        <v/>
      </c>
      <c r="AB213" s="15" t="str">
        <f aca="false">IF(AND($J213=1,$M213=1),IF(AA213-Z213&lt;=0.000000001,1,0),"")</f>
        <v/>
      </c>
      <c r="AC213" s="13" t="str">
        <f aca="false">IF(AND($J213=1,$M213=0),IF(S213="",0,S213*INDEX(Grid!$B$6:$H$156,R213+1,Q213+1))+IF(V213="",0,V213*INDEX(Grid!$B$6:$H$156,U213+1,T213+1))+IF(Y213="",0,Y213*INDEX(Grid!$B$6:$H$156,X213+1,W213+1)),"")</f>
        <v/>
      </c>
      <c r="AD213" s="13" t="str">
        <f aca="false">IF(AND($J213=1,$M213=0),IF(S213="",0,S213*Val_pt*(Ceiling_e-E_zero)*(1-(1-Half_gap)^Q213))+IF(V213="",0,V213*Val_pt*(Ceiling_e-E_zero)*(1-(1-Half_gap)^T213))+IF(Y213="",0,Y213*Val_pt*(Ceiling_e-E_zero)*(1-(1-Half_gap)^W213)),"")</f>
        <v/>
      </c>
      <c r="AE213" s="13" t="str">
        <f aca="false">IF(AND($J213=1,$M213=0),IF(S213="",0,S213*R213)+IF(V213="",0,V213*U213)+IF(Y213="",0,Y213*X213),"")</f>
        <v/>
      </c>
      <c r="AF213" s="12" t="str">
        <f aca="false">IF(AND($J213=1,$M213=0),MIN((AC213-E213)/Span_P,(AD213-F213)/Span_S,(AE213-G213)/Span_B),"")</f>
        <v/>
      </c>
      <c r="AG213" s="15" t="str">
        <f aca="false">IF(AND($J213=1,$M213=0),IF(AF213&gt;0.0000001,1,0),"")</f>
        <v/>
      </c>
      <c r="AH213" s="15" t="str">
        <f aca="false">IF($J213=1,IF($M213=1,AB213,AG213),"")</f>
        <v/>
      </c>
      <c r="AI213" s="13" t="str">
        <f aca="false">IF($J213=1,(Ideal_P-E213)/Span_P,"")</f>
        <v/>
      </c>
      <c r="AJ213" s="13" t="str">
        <f aca="false">IF($J213=1,(Ideal_S-F213)/Span_S,"")</f>
        <v/>
      </c>
      <c r="AK213" s="13" t="str">
        <f aca="false">IF($J213=1,(Ideal_B-G213)/Span_B,"")</f>
        <v/>
      </c>
      <c r="AL213" s="12" t="str">
        <f aca="false">IF($J213=1,MAX(ChA_1*AI213,ChA_2*AJ213,ChA_3*AK213)+Rho*(ChA_1*AI213+ChA_2*AJ213+ChA_3*AK213),"")</f>
        <v/>
      </c>
      <c r="AM213" s="12" t="str">
        <f aca="false">IF($J213=1,MAX(ChB_1*AI213,ChB_2*AJ213,ChB_3*AK213)+Rho*(ChB_1*AI213+ChB_2*AJ213+ChB_3*AK213),"")</f>
        <v/>
      </c>
      <c r="AN213" s="12" t="str">
        <f aca="false">IF($J213=1,MAX(Cx_1*(Ref_P-E213)/Span_P,Cx_2*(Ref_S-F213)/Span_S,Cx_3*(Ref_B-G213)/Span_B),"")</f>
        <v/>
      </c>
    </row>
    <row r="214" customFormat="false" ht="15" hidden="false" customHeight="false" outlineLevel="0" collapsed="false">
      <c r="A214" s="2" t="n">
        <v>208</v>
      </c>
      <c r="B214" s="15" t="n">
        <f aca="false">INT(A214/151)</f>
        <v>1</v>
      </c>
      <c r="C214" s="15" t="n">
        <f aca="false">MOD(A214,151)</f>
        <v>57</v>
      </c>
      <c r="D214" s="15" t="n">
        <f aca="false">INDEX(Grid!$J$6:$P$156,C214+1,B214+1)</f>
        <v>1</v>
      </c>
      <c r="E214" s="16" t="n">
        <f aca="false">IF(D214=1,INDEX(Grid!$B$6:$H$156,C214+1,B214+1),"")</f>
        <v>318.854462251088</v>
      </c>
      <c r="F214" s="13" t="n">
        <f aca="false">Val_pt*(Ceiling_e-E_zero)*(1-(1-Half_gap)^B214)</f>
        <v>70</v>
      </c>
      <c r="G214" s="15" t="n">
        <f aca="false">C214</f>
        <v>57</v>
      </c>
      <c r="H214" s="15" t="n">
        <f aca="false">IF(D214=1,INDEX(Grid!$R$6:$X$156,C214+1,B214+1),"")</f>
        <v>32</v>
      </c>
      <c r="I214" s="2" t="str">
        <f aca="false">IF(D214=1,INDEX(Sch_label,H214+1),"")</f>
        <v>1</v>
      </c>
      <c r="J214" s="15" t="n">
        <f aca="false">IF(D214=1,INDEX(Grid!$Z$6:$AF$156,C214+1,B214+1),0)</f>
        <v>0</v>
      </c>
      <c r="K214" s="16" t="n">
        <f aca="false">IF(J214=1,E214,0)</f>
        <v>0</v>
      </c>
      <c r="L214" s="17" t="n">
        <f aca="false">IF(D214=1,E214+W_board*F214,"")</f>
        <v>713.986213288732</v>
      </c>
      <c r="Z214" s="12" t="str">
        <f aca="false">IF(AND($J214=1,$M214=1),N214*E214/Span_P+O214*F214/Span_S+P214*G214/Span_B,"")</f>
        <v/>
      </c>
      <c r="AA214" s="12" t="str">
        <f aca="false">IF(AND($J214=1,$M214=1),SUMPRODUCT(MAX($J$6:$J$1062*(N214*$K$6:$K$1062/Span_P+O214*$F$6:$F$1062/Span_S+P214*$G$6:$G$1062/Span_B)-(1-$J$6:$J$1062)*1000000000)),"")</f>
        <v/>
      </c>
      <c r="AB214" s="15" t="str">
        <f aca="false">IF(AND($J214=1,$M214=1),IF(AA214-Z214&lt;=0.000000001,1,0),"")</f>
        <v/>
      </c>
      <c r="AC214" s="13" t="str">
        <f aca="false">IF(AND($J214=1,$M214=0),IF(S214="",0,S214*INDEX(Grid!$B$6:$H$156,R214+1,Q214+1))+IF(V214="",0,V214*INDEX(Grid!$B$6:$H$156,U214+1,T214+1))+IF(Y214="",0,Y214*INDEX(Grid!$B$6:$H$156,X214+1,W214+1)),"")</f>
        <v/>
      </c>
      <c r="AD214" s="13" t="str">
        <f aca="false">IF(AND($J214=1,$M214=0),IF(S214="",0,S214*Val_pt*(Ceiling_e-E_zero)*(1-(1-Half_gap)^Q214))+IF(V214="",0,V214*Val_pt*(Ceiling_e-E_zero)*(1-(1-Half_gap)^T214))+IF(Y214="",0,Y214*Val_pt*(Ceiling_e-E_zero)*(1-(1-Half_gap)^W214)),"")</f>
        <v/>
      </c>
      <c r="AE214" s="13" t="str">
        <f aca="false">IF(AND($J214=1,$M214=0),IF(S214="",0,S214*R214)+IF(V214="",0,V214*U214)+IF(Y214="",0,Y214*X214),"")</f>
        <v/>
      </c>
      <c r="AF214" s="12" t="str">
        <f aca="false">IF(AND($J214=1,$M214=0),MIN((AC214-E214)/Span_P,(AD214-F214)/Span_S,(AE214-G214)/Span_B),"")</f>
        <v/>
      </c>
      <c r="AG214" s="15" t="str">
        <f aca="false">IF(AND($J214=1,$M214=0),IF(AF214&gt;0.0000001,1,0),"")</f>
        <v/>
      </c>
      <c r="AH214" s="15" t="str">
        <f aca="false">IF($J214=1,IF($M214=1,AB214,AG214),"")</f>
        <v/>
      </c>
      <c r="AI214" s="13" t="str">
        <f aca="false">IF($J214=1,(Ideal_P-E214)/Span_P,"")</f>
        <v/>
      </c>
      <c r="AJ214" s="13" t="str">
        <f aca="false">IF($J214=1,(Ideal_S-F214)/Span_S,"")</f>
        <v/>
      </c>
      <c r="AK214" s="13" t="str">
        <f aca="false">IF($J214=1,(Ideal_B-G214)/Span_B,"")</f>
        <v/>
      </c>
      <c r="AL214" s="12" t="str">
        <f aca="false">IF($J214=1,MAX(ChA_1*AI214,ChA_2*AJ214,ChA_3*AK214)+Rho*(ChA_1*AI214+ChA_2*AJ214+ChA_3*AK214),"")</f>
        <v/>
      </c>
      <c r="AM214" s="12" t="str">
        <f aca="false">IF($J214=1,MAX(ChB_1*AI214,ChB_2*AJ214,ChB_3*AK214)+Rho*(ChB_1*AI214+ChB_2*AJ214+ChB_3*AK214),"")</f>
        <v/>
      </c>
      <c r="AN214" s="12" t="str">
        <f aca="false">IF($J214=1,MAX(Cx_1*(Ref_P-E214)/Span_P,Cx_2*(Ref_S-F214)/Span_S,Cx_3*(Ref_B-G214)/Span_B),"")</f>
        <v/>
      </c>
    </row>
    <row r="215" customFormat="false" ht="15" hidden="false" customHeight="false" outlineLevel="0" collapsed="false">
      <c r="A215" s="2" t="n">
        <v>209</v>
      </c>
      <c r="B215" s="15" t="n">
        <f aca="false">INT(A215/151)</f>
        <v>1</v>
      </c>
      <c r="C215" s="15" t="n">
        <f aca="false">MOD(A215,151)</f>
        <v>58</v>
      </c>
      <c r="D215" s="15" t="n">
        <f aca="false">INDEX(Grid!$J$6:$P$156,C215+1,B215+1)</f>
        <v>1</v>
      </c>
      <c r="E215" s="16" t="n">
        <f aca="false">IF(D215=1,INDEX(Grid!$B$6:$H$156,C215+1,B215+1),"")</f>
        <v>317.945371341997</v>
      </c>
      <c r="F215" s="13" t="n">
        <f aca="false">Val_pt*(Ceiling_e-E_zero)*(1-(1-Half_gap)^B215)</f>
        <v>70</v>
      </c>
      <c r="G215" s="15" t="n">
        <f aca="false">C215</f>
        <v>58</v>
      </c>
      <c r="H215" s="15" t="n">
        <f aca="false">IF(D215=1,INDEX(Grid!$R$6:$X$156,C215+1,B215+1),"")</f>
        <v>32</v>
      </c>
      <c r="I215" s="2" t="str">
        <f aca="false">IF(D215=1,INDEX(Sch_label,H215+1),"")</f>
        <v>1</v>
      </c>
      <c r="J215" s="15" t="n">
        <f aca="false">IF(D215=1,INDEX(Grid!$Z$6:$AF$156,C215+1,B215+1),0)</f>
        <v>0</v>
      </c>
      <c r="K215" s="16" t="n">
        <f aca="false">IF(J215=1,E215,0)</f>
        <v>0</v>
      </c>
      <c r="L215" s="17" t="n">
        <f aca="false">IF(D215=1,E215+W_board*F215,"")</f>
        <v>713.077122379641</v>
      </c>
      <c r="Z215" s="12" t="str">
        <f aca="false">IF(AND($J215=1,$M215=1),N215*E215/Span_P+O215*F215/Span_S+P215*G215/Span_B,"")</f>
        <v/>
      </c>
      <c r="AA215" s="12" t="str">
        <f aca="false">IF(AND($J215=1,$M215=1),SUMPRODUCT(MAX($J$6:$J$1062*(N215*$K$6:$K$1062/Span_P+O215*$F$6:$F$1062/Span_S+P215*$G$6:$G$1062/Span_B)-(1-$J$6:$J$1062)*1000000000)),"")</f>
        <v/>
      </c>
      <c r="AB215" s="15" t="str">
        <f aca="false">IF(AND($J215=1,$M215=1),IF(AA215-Z215&lt;=0.000000001,1,0),"")</f>
        <v/>
      </c>
      <c r="AC215" s="13" t="str">
        <f aca="false">IF(AND($J215=1,$M215=0),IF(S215="",0,S215*INDEX(Grid!$B$6:$H$156,R215+1,Q215+1))+IF(V215="",0,V215*INDEX(Grid!$B$6:$H$156,U215+1,T215+1))+IF(Y215="",0,Y215*INDEX(Grid!$B$6:$H$156,X215+1,W215+1)),"")</f>
        <v/>
      </c>
      <c r="AD215" s="13" t="str">
        <f aca="false">IF(AND($J215=1,$M215=0),IF(S215="",0,S215*Val_pt*(Ceiling_e-E_zero)*(1-(1-Half_gap)^Q215))+IF(V215="",0,V215*Val_pt*(Ceiling_e-E_zero)*(1-(1-Half_gap)^T215))+IF(Y215="",0,Y215*Val_pt*(Ceiling_e-E_zero)*(1-(1-Half_gap)^W215)),"")</f>
        <v/>
      </c>
      <c r="AE215" s="13" t="str">
        <f aca="false">IF(AND($J215=1,$M215=0),IF(S215="",0,S215*R215)+IF(V215="",0,V215*U215)+IF(Y215="",0,Y215*X215),"")</f>
        <v/>
      </c>
      <c r="AF215" s="12" t="str">
        <f aca="false">IF(AND($J215=1,$M215=0),MIN((AC215-E215)/Span_P,(AD215-F215)/Span_S,(AE215-G215)/Span_B),"")</f>
        <v/>
      </c>
      <c r="AG215" s="15" t="str">
        <f aca="false">IF(AND($J215=1,$M215=0),IF(AF215&gt;0.0000001,1,0),"")</f>
        <v/>
      </c>
      <c r="AH215" s="15" t="str">
        <f aca="false">IF($J215=1,IF($M215=1,AB215,AG215),"")</f>
        <v/>
      </c>
      <c r="AI215" s="13" t="str">
        <f aca="false">IF($J215=1,(Ideal_P-E215)/Span_P,"")</f>
        <v/>
      </c>
      <c r="AJ215" s="13" t="str">
        <f aca="false">IF($J215=1,(Ideal_S-F215)/Span_S,"")</f>
        <v/>
      </c>
      <c r="AK215" s="13" t="str">
        <f aca="false">IF($J215=1,(Ideal_B-G215)/Span_B,"")</f>
        <v/>
      </c>
      <c r="AL215" s="12" t="str">
        <f aca="false">IF($J215=1,MAX(ChA_1*AI215,ChA_2*AJ215,ChA_3*AK215)+Rho*(ChA_1*AI215+ChA_2*AJ215+ChA_3*AK215),"")</f>
        <v/>
      </c>
      <c r="AM215" s="12" t="str">
        <f aca="false">IF($J215=1,MAX(ChB_1*AI215,ChB_2*AJ215,ChB_3*AK215)+Rho*(ChB_1*AI215+ChB_2*AJ215+ChB_3*AK215),"")</f>
        <v/>
      </c>
      <c r="AN215" s="12" t="str">
        <f aca="false">IF($J215=1,MAX(Cx_1*(Ref_P-E215)/Span_P,Cx_2*(Ref_S-F215)/Span_S,Cx_3*(Ref_B-G215)/Span_B),"")</f>
        <v/>
      </c>
    </row>
    <row r="216" customFormat="false" ht="15" hidden="false" customHeight="false" outlineLevel="0" collapsed="false">
      <c r="A216" s="2" t="n">
        <v>210</v>
      </c>
      <c r="B216" s="15" t="n">
        <f aca="false">INT(A216/151)</f>
        <v>1</v>
      </c>
      <c r="C216" s="15" t="n">
        <f aca="false">MOD(A216,151)</f>
        <v>59</v>
      </c>
      <c r="D216" s="15" t="n">
        <f aca="false">INDEX(Grid!$J$6:$P$156,C216+1,B216+1)</f>
        <v>1</v>
      </c>
      <c r="E216" s="16" t="n">
        <f aca="false">IF(D216=1,INDEX(Grid!$B$6:$H$156,C216+1,B216+1),"")</f>
        <v>317.036280432906</v>
      </c>
      <c r="F216" s="13" t="n">
        <f aca="false">Val_pt*(Ceiling_e-E_zero)*(1-(1-Half_gap)^B216)</f>
        <v>70</v>
      </c>
      <c r="G216" s="15" t="n">
        <f aca="false">C216</f>
        <v>59</v>
      </c>
      <c r="H216" s="15" t="n">
        <f aca="false">IF(D216=1,INDEX(Grid!$R$6:$X$156,C216+1,B216+1),"")</f>
        <v>32</v>
      </c>
      <c r="I216" s="2" t="str">
        <f aca="false">IF(D216=1,INDEX(Sch_label,H216+1),"")</f>
        <v>1</v>
      </c>
      <c r="J216" s="15" t="n">
        <f aca="false">IF(D216=1,INDEX(Grid!$Z$6:$AF$156,C216+1,B216+1),0)</f>
        <v>0</v>
      </c>
      <c r="K216" s="16" t="n">
        <f aca="false">IF(J216=1,E216,0)</f>
        <v>0</v>
      </c>
      <c r="L216" s="17" t="n">
        <f aca="false">IF(D216=1,E216+W_board*F216,"")</f>
        <v>712.16803147055</v>
      </c>
      <c r="Z216" s="12" t="str">
        <f aca="false">IF(AND($J216=1,$M216=1),N216*E216/Span_P+O216*F216/Span_S+P216*G216/Span_B,"")</f>
        <v/>
      </c>
      <c r="AA216" s="12" t="str">
        <f aca="false">IF(AND($J216=1,$M216=1),SUMPRODUCT(MAX($J$6:$J$1062*(N216*$K$6:$K$1062/Span_P+O216*$F$6:$F$1062/Span_S+P216*$G$6:$G$1062/Span_B)-(1-$J$6:$J$1062)*1000000000)),"")</f>
        <v/>
      </c>
      <c r="AB216" s="15" t="str">
        <f aca="false">IF(AND($J216=1,$M216=1),IF(AA216-Z216&lt;=0.000000001,1,0),"")</f>
        <v/>
      </c>
      <c r="AC216" s="13" t="str">
        <f aca="false">IF(AND($J216=1,$M216=0),IF(S216="",0,S216*INDEX(Grid!$B$6:$H$156,R216+1,Q216+1))+IF(V216="",0,V216*INDEX(Grid!$B$6:$H$156,U216+1,T216+1))+IF(Y216="",0,Y216*INDEX(Grid!$B$6:$H$156,X216+1,W216+1)),"")</f>
        <v/>
      </c>
      <c r="AD216" s="13" t="str">
        <f aca="false">IF(AND($J216=1,$M216=0),IF(S216="",0,S216*Val_pt*(Ceiling_e-E_zero)*(1-(1-Half_gap)^Q216))+IF(V216="",0,V216*Val_pt*(Ceiling_e-E_zero)*(1-(1-Half_gap)^T216))+IF(Y216="",0,Y216*Val_pt*(Ceiling_e-E_zero)*(1-(1-Half_gap)^W216)),"")</f>
        <v/>
      </c>
      <c r="AE216" s="13" t="str">
        <f aca="false">IF(AND($J216=1,$M216=0),IF(S216="",0,S216*R216)+IF(V216="",0,V216*U216)+IF(Y216="",0,Y216*X216),"")</f>
        <v/>
      </c>
      <c r="AF216" s="12" t="str">
        <f aca="false">IF(AND($J216=1,$M216=0),MIN((AC216-E216)/Span_P,(AD216-F216)/Span_S,(AE216-G216)/Span_B),"")</f>
        <v/>
      </c>
      <c r="AG216" s="15" t="str">
        <f aca="false">IF(AND($J216=1,$M216=0),IF(AF216&gt;0.0000001,1,0),"")</f>
        <v/>
      </c>
      <c r="AH216" s="15" t="str">
        <f aca="false">IF($J216=1,IF($M216=1,AB216,AG216),"")</f>
        <v/>
      </c>
      <c r="AI216" s="13" t="str">
        <f aca="false">IF($J216=1,(Ideal_P-E216)/Span_P,"")</f>
        <v/>
      </c>
      <c r="AJ216" s="13" t="str">
        <f aca="false">IF($J216=1,(Ideal_S-F216)/Span_S,"")</f>
        <v/>
      </c>
      <c r="AK216" s="13" t="str">
        <f aca="false">IF($J216=1,(Ideal_B-G216)/Span_B,"")</f>
        <v/>
      </c>
      <c r="AL216" s="12" t="str">
        <f aca="false">IF($J216=1,MAX(ChA_1*AI216,ChA_2*AJ216,ChA_3*AK216)+Rho*(ChA_1*AI216+ChA_2*AJ216+ChA_3*AK216),"")</f>
        <v/>
      </c>
      <c r="AM216" s="12" t="str">
        <f aca="false">IF($J216=1,MAX(ChB_1*AI216,ChB_2*AJ216,ChB_3*AK216)+Rho*(ChB_1*AI216+ChB_2*AJ216+ChB_3*AK216),"")</f>
        <v/>
      </c>
      <c r="AN216" s="12" t="str">
        <f aca="false">IF($J216=1,MAX(Cx_1*(Ref_P-E216)/Span_P,Cx_2*(Ref_S-F216)/Span_S,Cx_3*(Ref_B-G216)/Span_B),"")</f>
        <v/>
      </c>
    </row>
    <row r="217" customFormat="false" ht="15" hidden="false" customHeight="false" outlineLevel="0" collapsed="false">
      <c r="A217" s="2" t="n">
        <v>211</v>
      </c>
      <c r="B217" s="15" t="n">
        <f aca="false">INT(A217/151)</f>
        <v>1</v>
      </c>
      <c r="C217" s="15" t="n">
        <f aca="false">MOD(A217,151)</f>
        <v>60</v>
      </c>
      <c r="D217" s="15" t="n">
        <f aca="false">INDEX(Grid!$J$6:$P$156,C217+1,B217+1)</f>
        <v>1</v>
      </c>
      <c r="E217" s="16" t="n">
        <f aca="false">IF(D217=1,INDEX(Grid!$B$6:$H$156,C217+1,B217+1),"")</f>
        <v>316.127189523815</v>
      </c>
      <c r="F217" s="13" t="n">
        <f aca="false">Val_pt*(Ceiling_e-E_zero)*(1-(1-Half_gap)^B217)</f>
        <v>70</v>
      </c>
      <c r="G217" s="15" t="n">
        <f aca="false">C217</f>
        <v>60</v>
      </c>
      <c r="H217" s="15" t="n">
        <f aca="false">IF(D217=1,INDEX(Grid!$R$6:$X$156,C217+1,B217+1),"")</f>
        <v>32</v>
      </c>
      <c r="I217" s="2" t="str">
        <f aca="false">IF(D217=1,INDEX(Sch_label,H217+1),"")</f>
        <v>1</v>
      </c>
      <c r="J217" s="15" t="n">
        <f aca="false">IF(D217=1,INDEX(Grid!$Z$6:$AF$156,C217+1,B217+1),0)</f>
        <v>0</v>
      </c>
      <c r="K217" s="16" t="n">
        <f aca="false">IF(J217=1,E217,0)</f>
        <v>0</v>
      </c>
      <c r="L217" s="17" t="n">
        <f aca="false">IF(D217=1,E217+W_board*F217,"")</f>
        <v>711.258940561459</v>
      </c>
      <c r="Z217" s="12" t="str">
        <f aca="false">IF(AND($J217=1,$M217=1),N217*E217/Span_P+O217*F217/Span_S+P217*G217/Span_B,"")</f>
        <v/>
      </c>
      <c r="AA217" s="12" t="str">
        <f aca="false">IF(AND($J217=1,$M217=1),SUMPRODUCT(MAX($J$6:$J$1062*(N217*$K$6:$K$1062/Span_P+O217*$F$6:$F$1062/Span_S+P217*$G$6:$G$1062/Span_B)-(1-$J$6:$J$1062)*1000000000)),"")</f>
        <v/>
      </c>
      <c r="AB217" s="15" t="str">
        <f aca="false">IF(AND($J217=1,$M217=1),IF(AA217-Z217&lt;=0.000000001,1,0),"")</f>
        <v/>
      </c>
      <c r="AC217" s="13" t="str">
        <f aca="false">IF(AND($J217=1,$M217=0),IF(S217="",0,S217*INDEX(Grid!$B$6:$H$156,R217+1,Q217+1))+IF(V217="",0,V217*INDEX(Grid!$B$6:$H$156,U217+1,T217+1))+IF(Y217="",0,Y217*INDEX(Grid!$B$6:$H$156,X217+1,W217+1)),"")</f>
        <v/>
      </c>
      <c r="AD217" s="13" t="str">
        <f aca="false">IF(AND($J217=1,$M217=0),IF(S217="",0,S217*Val_pt*(Ceiling_e-E_zero)*(1-(1-Half_gap)^Q217))+IF(V217="",0,V217*Val_pt*(Ceiling_e-E_zero)*(1-(1-Half_gap)^T217))+IF(Y217="",0,Y217*Val_pt*(Ceiling_e-E_zero)*(1-(1-Half_gap)^W217)),"")</f>
        <v/>
      </c>
      <c r="AE217" s="13" t="str">
        <f aca="false">IF(AND($J217=1,$M217=0),IF(S217="",0,S217*R217)+IF(V217="",0,V217*U217)+IF(Y217="",0,Y217*X217),"")</f>
        <v/>
      </c>
      <c r="AF217" s="12" t="str">
        <f aca="false">IF(AND($J217=1,$M217=0),MIN((AC217-E217)/Span_P,(AD217-F217)/Span_S,(AE217-G217)/Span_B),"")</f>
        <v/>
      </c>
      <c r="AG217" s="15" t="str">
        <f aca="false">IF(AND($J217=1,$M217=0),IF(AF217&gt;0.0000001,1,0),"")</f>
        <v/>
      </c>
      <c r="AH217" s="15" t="str">
        <f aca="false">IF($J217=1,IF($M217=1,AB217,AG217),"")</f>
        <v/>
      </c>
      <c r="AI217" s="13" t="str">
        <f aca="false">IF($J217=1,(Ideal_P-E217)/Span_P,"")</f>
        <v/>
      </c>
      <c r="AJ217" s="13" t="str">
        <f aca="false">IF($J217=1,(Ideal_S-F217)/Span_S,"")</f>
        <v/>
      </c>
      <c r="AK217" s="13" t="str">
        <f aca="false">IF($J217=1,(Ideal_B-G217)/Span_B,"")</f>
        <v/>
      </c>
      <c r="AL217" s="12" t="str">
        <f aca="false">IF($J217=1,MAX(ChA_1*AI217,ChA_2*AJ217,ChA_3*AK217)+Rho*(ChA_1*AI217+ChA_2*AJ217+ChA_3*AK217),"")</f>
        <v/>
      </c>
      <c r="AM217" s="12" t="str">
        <f aca="false">IF($J217=1,MAX(ChB_1*AI217,ChB_2*AJ217,ChB_3*AK217)+Rho*(ChB_1*AI217+ChB_2*AJ217+ChB_3*AK217),"")</f>
        <v/>
      </c>
      <c r="AN217" s="12" t="str">
        <f aca="false">IF($J217=1,MAX(Cx_1*(Ref_P-E217)/Span_P,Cx_2*(Ref_S-F217)/Span_S,Cx_3*(Ref_B-G217)/Span_B),"")</f>
        <v/>
      </c>
    </row>
    <row r="218" customFormat="false" ht="15" hidden="false" customHeight="false" outlineLevel="0" collapsed="false">
      <c r="A218" s="2" t="n">
        <v>212</v>
      </c>
      <c r="B218" s="15" t="n">
        <f aca="false">INT(A218/151)</f>
        <v>1</v>
      </c>
      <c r="C218" s="15" t="n">
        <f aca="false">MOD(A218,151)</f>
        <v>61</v>
      </c>
      <c r="D218" s="15" t="n">
        <f aca="false">INDEX(Grid!$J$6:$P$156,C218+1,B218+1)</f>
        <v>1</v>
      </c>
      <c r="E218" s="16" t="n">
        <f aca="false">IF(D218=1,INDEX(Grid!$B$6:$H$156,C218+1,B218+1),"")</f>
        <v>315.218098614725</v>
      </c>
      <c r="F218" s="13" t="n">
        <f aca="false">Val_pt*(Ceiling_e-E_zero)*(1-(1-Half_gap)^B218)</f>
        <v>70</v>
      </c>
      <c r="G218" s="15" t="n">
        <f aca="false">C218</f>
        <v>61</v>
      </c>
      <c r="H218" s="15" t="n">
        <f aca="false">IF(D218=1,INDEX(Grid!$R$6:$X$156,C218+1,B218+1),"")</f>
        <v>32</v>
      </c>
      <c r="I218" s="2" t="str">
        <f aca="false">IF(D218=1,INDEX(Sch_label,H218+1),"")</f>
        <v>1</v>
      </c>
      <c r="J218" s="15" t="n">
        <f aca="false">IF(D218=1,INDEX(Grid!$Z$6:$AF$156,C218+1,B218+1),0)</f>
        <v>0</v>
      </c>
      <c r="K218" s="16" t="n">
        <f aca="false">IF(J218=1,E218,0)</f>
        <v>0</v>
      </c>
      <c r="L218" s="17" t="n">
        <f aca="false">IF(D218=1,E218+W_board*F218,"")</f>
        <v>710.349849652369</v>
      </c>
      <c r="Z218" s="12" t="str">
        <f aca="false">IF(AND($J218=1,$M218=1),N218*E218/Span_P+O218*F218/Span_S+P218*G218/Span_B,"")</f>
        <v/>
      </c>
      <c r="AA218" s="12" t="str">
        <f aca="false">IF(AND($J218=1,$M218=1),SUMPRODUCT(MAX($J$6:$J$1062*(N218*$K$6:$K$1062/Span_P+O218*$F$6:$F$1062/Span_S+P218*$G$6:$G$1062/Span_B)-(1-$J$6:$J$1062)*1000000000)),"")</f>
        <v/>
      </c>
      <c r="AB218" s="15" t="str">
        <f aca="false">IF(AND($J218=1,$M218=1),IF(AA218-Z218&lt;=0.000000001,1,0),"")</f>
        <v/>
      </c>
      <c r="AC218" s="13" t="str">
        <f aca="false">IF(AND($J218=1,$M218=0),IF(S218="",0,S218*INDEX(Grid!$B$6:$H$156,R218+1,Q218+1))+IF(V218="",0,V218*INDEX(Grid!$B$6:$H$156,U218+1,T218+1))+IF(Y218="",0,Y218*INDEX(Grid!$B$6:$H$156,X218+1,W218+1)),"")</f>
        <v/>
      </c>
      <c r="AD218" s="13" t="str">
        <f aca="false">IF(AND($J218=1,$M218=0),IF(S218="",0,S218*Val_pt*(Ceiling_e-E_zero)*(1-(1-Half_gap)^Q218))+IF(V218="",0,V218*Val_pt*(Ceiling_e-E_zero)*(1-(1-Half_gap)^T218))+IF(Y218="",0,Y218*Val_pt*(Ceiling_e-E_zero)*(1-(1-Half_gap)^W218)),"")</f>
        <v/>
      </c>
      <c r="AE218" s="13" t="str">
        <f aca="false">IF(AND($J218=1,$M218=0),IF(S218="",0,S218*R218)+IF(V218="",0,V218*U218)+IF(Y218="",0,Y218*X218),"")</f>
        <v/>
      </c>
      <c r="AF218" s="12" t="str">
        <f aca="false">IF(AND($J218=1,$M218=0),MIN((AC218-E218)/Span_P,(AD218-F218)/Span_S,(AE218-G218)/Span_B),"")</f>
        <v/>
      </c>
      <c r="AG218" s="15" t="str">
        <f aca="false">IF(AND($J218=1,$M218=0),IF(AF218&gt;0.0000001,1,0),"")</f>
        <v/>
      </c>
      <c r="AH218" s="15" t="str">
        <f aca="false">IF($J218=1,IF($M218=1,AB218,AG218),"")</f>
        <v/>
      </c>
      <c r="AI218" s="13" t="str">
        <f aca="false">IF($J218=1,(Ideal_P-E218)/Span_P,"")</f>
        <v/>
      </c>
      <c r="AJ218" s="13" t="str">
        <f aca="false">IF($J218=1,(Ideal_S-F218)/Span_S,"")</f>
        <v/>
      </c>
      <c r="AK218" s="13" t="str">
        <f aca="false">IF($J218=1,(Ideal_B-G218)/Span_B,"")</f>
        <v/>
      </c>
      <c r="AL218" s="12" t="str">
        <f aca="false">IF($J218=1,MAX(ChA_1*AI218,ChA_2*AJ218,ChA_3*AK218)+Rho*(ChA_1*AI218+ChA_2*AJ218+ChA_3*AK218),"")</f>
        <v/>
      </c>
      <c r="AM218" s="12" t="str">
        <f aca="false">IF($J218=1,MAX(ChB_1*AI218,ChB_2*AJ218,ChB_3*AK218)+Rho*(ChB_1*AI218+ChB_2*AJ218+ChB_3*AK218),"")</f>
        <v/>
      </c>
      <c r="AN218" s="12" t="str">
        <f aca="false">IF($J218=1,MAX(Cx_1*(Ref_P-E218)/Span_P,Cx_2*(Ref_S-F218)/Span_S,Cx_3*(Ref_B-G218)/Span_B),"")</f>
        <v/>
      </c>
    </row>
    <row r="219" customFormat="false" ht="15" hidden="false" customHeight="false" outlineLevel="0" collapsed="false">
      <c r="A219" s="2" t="n">
        <v>213</v>
      </c>
      <c r="B219" s="15" t="n">
        <f aca="false">INT(A219/151)</f>
        <v>1</v>
      </c>
      <c r="C219" s="15" t="n">
        <f aca="false">MOD(A219,151)</f>
        <v>62</v>
      </c>
      <c r="D219" s="15" t="n">
        <f aca="false">INDEX(Grid!$J$6:$P$156,C219+1,B219+1)</f>
        <v>1</v>
      </c>
      <c r="E219" s="16" t="n">
        <f aca="false">IF(D219=1,INDEX(Grid!$B$6:$H$156,C219+1,B219+1),"")</f>
        <v>314.309007705634</v>
      </c>
      <c r="F219" s="13" t="n">
        <f aca="false">Val_pt*(Ceiling_e-E_zero)*(1-(1-Half_gap)^B219)</f>
        <v>70</v>
      </c>
      <c r="G219" s="15" t="n">
        <f aca="false">C219</f>
        <v>62</v>
      </c>
      <c r="H219" s="15" t="n">
        <f aca="false">IF(D219=1,INDEX(Grid!$R$6:$X$156,C219+1,B219+1),"")</f>
        <v>32</v>
      </c>
      <c r="I219" s="2" t="str">
        <f aca="false">IF(D219=1,INDEX(Sch_label,H219+1),"")</f>
        <v>1</v>
      </c>
      <c r="J219" s="15" t="n">
        <f aca="false">IF(D219=1,INDEX(Grid!$Z$6:$AF$156,C219+1,B219+1),0)</f>
        <v>0</v>
      </c>
      <c r="K219" s="16" t="n">
        <f aca="false">IF(J219=1,E219,0)</f>
        <v>0</v>
      </c>
      <c r="L219" s="17" t="n">
        <f aca="false">IF(D219=1,E219+W_board*F219,"")</f>
        <v>709.440758743278</v>
      </c>
      <c r="Z219" s="12" t="str">
        <f aca="false">IF(AND($J219=1,$M219=1),N219*E219/Span_P+O219*F219/Span_S+P219*G219/Span_B,"")</f>
        <v/>
      </c>
      <c r="AA219" s="12" t="str">
        <f aca="false">IF(AND($J219=1,$M219=1),SUMPRODUCT(MAX($J$6:$J$1062*(N219*$K$6:$K$1062/Span_P+O219*$F$6:$F$1062/Span_S+P219*$G$6:$G$1062/Span_B)-(1-$J$6:$J$1062)*1000000000)),"")</f>
        <v/>
      </c>
      <c r="AB219" s="15" t="str">
        <f aca="false">IF(AND($J219=1,$M219=1),IF(AA219-Z219&lt;=0.000000001,1,0),"")</f>
        <v/>
      </c>
      <c r="AC219" s="13" t="str">
        <f aca="false">IF(AND($J219=1,$M219=0),IF(S219="",0,S219*INDEX(Grid!$B$6:$H$156,R219+1,Q219+1))+IF(V219="",0,V219*INDEX(Grid!$B$6:$H$156,U219+1,T219+1))+IF(Y219="",0,Y219*INDEX(Grid!$B$6:$H$156,X219+1,W219+1)),"")</f>
        <v/>
      </c>
      <c r="AD219" s="13" t="str">
        <f aca="false">IF(AND($J219=1,$M219=0),IF(S219="",0,S219*Val_pt*(Ceiling_e-E_zero)*(1-(1-Half_gap)^Q219))+IF(V219="",0,V219*Val_pt*(Ceiling_e-E_zero)*(1-(1-Half_gap)^T219))+IF(Y219="",0,Y219*Val_pt*(Ceiling_e-E_zero)*(1-(1-Half_gap)^W219)),"")</f>
        <v/>
      </c>
      <c r="AE219" s="13" t="str">
        <f aca="false">IF(AND($J219=1,$M219=0),IF(S219="",0,S219*R219)+IF(V219="",0,V219*U219)+IF(Y219="",0,Y219*X219),"")</f>
        <v/>
      </c>
      <c r="AF219" s="12" t="str">
        <f aca="false">IF(AND($J219=1,$M219=0),MIN((AC219-E219)/Span_P,(AD219-F219)/Span_S,(AE219-G219)/Span_B),"")</f>
        <v/>
      </c>
      <c r="AG219" s="15" t="str">
        <f aca="false">IF(AND($J219=1,$M219=0),IF(AF219&gt;0.0000001,1,0),"")</f>
        <v/>
      </c>
      <c r="AH219" s="15" t="str">
        <f aca="false">IF($J219=1,IF($M219=1,AB219,AG219),"")</f>
        <v/>
      </c>
      <c r="AI219" s="13" t="str">
        <f aca="false">IF($J219=1,(Ideal_P-E219)/Span_P,"")</f>
        <v/>
      </c>
      <c r="AJ219" s="13" t="str">
        <f aca="false">IF($J219=1,(Ideal_S-F219)/Span_S,"")</f>
        <v/>
      </c>
      <c r="AK219" s="13" t="str">
        <f aca="false">IF($J219=1,(Ideal_B-G219)/Span_B,"")</f>
        <v/>
      </c>
      <c r="AL219" s="12" t="str">
        <f aca="false">IF($J219=1,MAX(ChA_1*AI219,ChA_2*AJ219,ChA_3*AK219)+Rho*(ChA_1*AI219+ChA_2*AJ219+ChA_3*AK219),"")</f>
        <v/>
      </c>
      <c r="AM219" s="12" t="str">
        <f aca="false">IF($J219=1,MAX(ChB_1*AI219,ChB_2*AJ219,ChB_3*AK219)+Rho*(ChB_1*AI219+ChB_2*AJ219+ChB_3*AK219),"")</f>
        <v/>
      </c>
      <c r="AN219" s="12" t="str">
        <f aca="false">IF($J219=1,MAX(Cx_1*(Ref_P-E219)/Span_P,Cx_2*(Ref_S-F219)/Span_S,Cx_3*(Ref_B-G219)/Span_B),"")</f>
        <v/>
      </c>
    </row>
    <row r="220" customFormat="false" ht="15" hidden="false" customHeight="false" outlineLevel="0" collapsed="false">
      <c r="A220" s="2" t="n">
        <v>214</v>
      </c>
      <c r="B220" s="15" t="n">
        <f aca="false">INT(A220/151)</f>
        <v>1</v>
      </c>
      <c r="C220" s="15" t="n">
        <f aca="false">MOD(A220,151)</f>
        <v>63</v>
      </c>
      <c r="D220" s="15" t="n">
        <f aca="false">INDEX(Grid!$J$6:$P$156,C220+1,B220+1)</f>
        <v>1</v>
      </c>
      <c r="E220" s="16" t="n">
        <f aca="false">IF(D220=1,INDEX(Grid!$B$6:$H$156,C220+1,B220+1),"")</f>
        <v>313.399916796543</v>
      </c>
      <c r="F220" s="13" t="n">
        <f aca="false">Val_pt*(Ceiling_e-E_zero)*(1-(1-Half_gap)^B220)</f>
        <v>70</v>
      </c>
      <c r="G220" s="15" t="n">
        <f aca="false">C220</f>
        <v>63</v>
      </c>
      <c r="H220" s="15" t="n">
        <f aca="false">IF(D220=1,INDEX(Grid!$R$6:$X$156,C220+1,B220+1),"")</f>
        <v>32</v>
      </c>
      <c r="I220" s="2" t="str">
        <f aca="false">IF(D220=1,INDEX(Sch_label,H220+1),"")</f>
        <v>1</v>
      </c>
      <c r="J220" s="15" t="n">
        <f aca="false">IF(D220=1,INDEX(Grid!$Z$6:$AF$156,C220+1,B220+1),0)</f>
        <v>0</v>
      </c>
      <c r="K220" s="16" t="n">
        <f aca="false">IF(J220=1,E220,0)</f>
        <v>0</v>
      </c>
      <c r="L220" s="17" t="n">
        <f aca="false">IF(D220=1,E220+W_board*F220,"")</f>
        <v>708.531667834187</v>
      </c>
      <c r="Z220" s="12" t="str">
        <f aca="false">IF(AND($J220=1,$M220=1),N220*E220/Span_P+O220*F220/Span_S+P220*G220/Span_B,"")</f>
        <v/>
      </c>
      <c r="AA220" s="12" t="str">
        <f aca="false">IF(AND($J220=1,$M220=1),SUMPRODUCT(MAX($J$6:$J$1062*(N220*$K$6:$K$1062/Span_P+O220*$F$6:$F$1062/Span_S+P220*$G$6:$G$1062/Span_B)-(1-$J$6:$J$1062)*1000000000)),"")</f>
        <v/>
      </c>
      <c r="AB220" s="15" t="str">
        <f aca="false">IF(AND($J220=1,$M220=1),IF(AA220-Z220&lt;=0.000000001,1,0),"")</f>
        <v/>
      </c>
      <c r="AC220" s="13" t="str">
        <f aca="false">IF(AND($J220=1,$M220=0),IF(S220="",0,S220*INDEX(Grid!$B$6:$H$156,R220+1,Q220+1))+IF(V220="",0,V220*INDEX(Grid!$B$6:$H$156,U220+1,T220+1))+IF(Y220="",0,Y220*INDEX(Grid!$B$6:$H$156,X220+1,W220+1)),"")</f>
        <v/>
      </c>
      <c r="AD220" s="13" t="str">
        <f aca="false">IF(AND($J220=1,$M220=0),IF(S220="",0,S220*Val_pt*(Ceiling_e-E_zero)*(1-(1-Half_gap)^Q220))+IF(V220="",0,V220*Val_pt*(Ceiling_e-E_zero)*(1-(1-Half_gap)^T220))+IF(Y220="",0,Y220*Val_pt*(Ceiling_e-E_zero)*(1-(1-Half_gap)^W220)),"")</f>
        <v/>
      </c>
      <c r="AE220" s="13" t="str">
        <f aca="false">IF(AND($J220=1,$M220=0),IF(S220="",0,S220*R220)+IF(V220="",0,V220*U220)+IF(Y220="",0,Y220*X220),"")</f>
        <v/>
      </c>
      <c r="AF220" s="12" t="str">
        <f aca="false">IF(AND($J220=1,$M220=0),MIN((AC220-E220)/Span_P,(AD220-F220)/Span_S,(AE220-G220)/Span_B),"")</f>
        <v/>
      </c>
      <c r="AG220" s="15" t="str">
        <f aca="false">IF(AND($J220=1,$M220=0),IF(AF220&gt;0.0000001,1,0),"")</f>
        <v/>
      </c>
      <c r="AH220" s="15" t="str">
        <f aca="false">IF($J220=1,IF($M220=1,AB220,AG220),"")</f>
        <v/>
      </c>
      <c r="AI220" s="13" t="str">
        <f aca="false">IF($J220=1,(Ideal_P-E220)/Span_P,"")</f>
        <v/>
      </c>
      <c r="AJ220" s="13" t="str">
        <f aca="false">IF($J220=1,(Ideal_S-F220)/Span_S,"")</f>
        <v/>
      </c>
      <c r="AK220" s="13" t="str">
        <f aca="false">IF($J220=1,(Ideal_B-G220)/Span_B,"")</f>
        <v/>
      </c>
      <c r="AL220" s="12" t="str">
        <f aca="false">IF($J220=1,MAX(ChA_1*AI220,ChA_2*AJ220,ChA_3*AK220)+Rho*(ChA_1*AI220+ChA_2*AJ220+ChA_3*AK220),"")</f>
        <v/>
      </c>
      <c r="AM220" s="12" t="str">
        <f aca="false">IF($J220=1,MAX(ChB_1*AI220,ChB_2*AJ220,ChB_3*AK220)+Rho*(ChB_1*AI220+ChB_2*AJ220+ChB_3*AK220),"")</f>
        <v/>
      </c>
      <c r="AN220" s="12" t="str">
        <f aca="false">IF($J220=1,MAX(Cx_1*(Ref_P-E220)/Span_P,Cx_2*(Ref_S-F220)/Span_S,Cx_3*(Ref_B-G220)/Span_B),"")</f>
        <v/>
      </c>
    </row>
    <row r="221" customFormat="false" ht="15" hidden="false" customHeight="false" outlineLevel="0" collapsed="false">
      <c r="A221" s="2" t="n">
        <v>215</v>
      </c>
      <c r="B221" s="15" t="n">
        <f aca="false">INT(A221/151)</f>
        <v>1</v>
      </c>
      <c r="C221" s="15" t="n">
        <f aca="false">MOD(A221,151)</f>
        <v>64</v>
      </c>
      <c r="D221" s="15" t="n">
        <f aca="false">INDEX(Grid!$J$6:$P$156,C221+1,B221+1)</f>
        <v>1</v>
      </c>
      <c r="E221" s="16" t="n">
        <f aca="false">IF(D221=1,INDEX(Grid!$B$6:$H$156,C221+1,B221+1),"")</f>
        <v>312.490825887452</v>
      </c>
      <c r="F221" s="13" t="n">
        <f aca="false">Val_pt*(Ceiling_e-E_zero)*(1-(1-Half_gap)^B221)</f>
        <v>70</v>
      </c>
      <c r="G221" s="15" t="n">
        <f aca="false">C221</f>
        <v>64</v>
      </c>
      <c r="H221" s="15" t="n">
        <f aca="false">IF(D221=1,INDEX(Grid!$R$6:$X$156,C221+1,B221+1),"")</f>
        <v>32</v>
      </c>
      <c r="I221" s="2" t="str">
        <f aca="false">IF(D221=1,INDEX(Sch_label,H221+1),"")</f>
        <v>1</v>
      </c>
      <c r="J221" s="15" t="n">
        <f aca="false">IF(D221=1,INDEX(Grid!$Z$6:$AF$156,C221+1,B221+1),0)</f>
        <v>0</v>
      </c>
      <c r="K221" s="16" t="n">
        <f aca="false">IF(J221=1,E221,0)</f>
        <v>0</v>
      </c>
      <c r="L221" s="17" t="n">
        <f aca="false">IF(D221=1,E221+W_board*F221,"")</f>
        <v>707.622576925096</v>
      </c>
      <c r="Z221" s="12" t="str">
        <f aca="false">IF(AND($J221=1,$M221=1),N221*E221/Span_P+O221*F221/Span_S+P221*G221/Span_B,"")</f>
        <v/>
      </c>
      <c r="AA221" s="12" t="str">
        <f aca="false">IF(AND($J221=1,$M221=1),SUMPRODUCT(MAX($J$6:$J$1062*(N221*$K$6:$K$1062/Span_P+O221*$F$6:$F$1062/Span_S+P221*$G$6:$G$1062/Span_B)-(1-$J$6:$J$1062)*1000000000)),"")</f>
        <v/>
      </c>
      <c r="AB221" s="15" t="str">
        <f aca="false">IF(AND($J221=1,$M221=1),IF(AA221-Z221&lt;=0.000000001,1,0),"")</f>
        <v/>
      </c>
      <c r="AC221" s="13" t="str">
        <f aca="false">IF(AND($J221=1,$M221=0),IF(S221="",0,S221*INDEX(Grid!$B$6:$H$156,R221+1,Q221+1))+IF(V221="",0,V221*INDEX(Grid!$B$6:$H$156,U221+1,T221+1))+IF(Y221="",0,Y221*INDEX(Grid!$B$6:$H$156,X221+1,W221+1)),"")</f>
        <v/>
      </c>
      <c r="AD221" s="13" t="str">
        <f aca="false">IF(AND($J221=1,$M221=0),IF(S221="",0,S221*Val_pt*(Ceiling_e-E_zero)*(1-(1-Half_gap)^Q221))+IF(V221="",0,V221*Val_pt*(Ceiling_e-E_zero)*(1-(1-Half_gap)^T221))+IF(Y221="",0,Y221*Val_pt*(Ceiling_e-E_zero)*(1-(1-Half_gap)^W221)),"")</f>
        <v/>
      </c>
      <c r="AE221" s="13" t="str">
        <f aca="false">IF(AND($J221=1,$M221=0),IF(S221="",0,S221*R221)+IF(V221="",0,V221*U221)+IF(Y221="",0,Y221*X221),"")</f>
        <v/>
      </c>
      <c r="AF221" s="12" t="str">
        <f aca="false">IF(AND($J221=1,$M221=0),MIN((AC221-E221)/Span_P,(AD221-F221)/Span_S,(AE221-G221)/Span_B),"")</f>
        <v/>
      </c>
      <c r="AG221" s="15" t="str">
        <f aca="false">IF(AND($J221=1,$M221=0),IF(AF221&gt;0.0000001,1,0),"")</f>
        <v/>
      </c>
      <c r="AH221" s="15" t="str">
        <f aca="false">IF($J221=1,IF($M221=1,AB221,AG221),"")</f>
        <v/>
      </c>
      <c r="AI221" s="13" t="str">
        <f aca="false">IF($J221=1,(Ideal_P-E221)/Span_P,"")</f>
        <v/>
      </c>
      <c r="AJ221" s="13" t="str">
        <f aca="false">IF($J221=1,(Ideal_S-F221)/Span_S,"")</f>
        <v/>
      </c>
      <c r="AK221" s="13" t="str">
        <f aca="false">IF($J221=1,(Ideal_B-G221)/Span_B,"")</f>
        <v/>
      </c>
      <c r="AL221" s="12" t="str">
        <f aca="false">IF($J221=1,MAX(ChA_1*AI221,ChA_2*AJ221,ChA_3*AK221)+Rho*(ChA_1*AI221+ChA_2*AJ221+ChA_3*AK221),"")</f>
        <v/>
      </c>
      <c r="AM221" s="12" t="str">
        <f aca="false">IF($J221=1,MAX(ChB_1*AI221,ChB_2*AJ221,ChB_3*AK221)+Rho*(ChB_1*AI221+ChB_2*AJ221+ChB_3*AK221),"")</f>
        <v/>
      </c>
      <c r="AN221" s="12" t="str">
        <f aca="false">IF($J221=1,MAX(Cx_1*(Ref_P-E221)/Span_P,Cx_2*(Ref_S-F221)/Span_S,Cx_3*(Ref_B-G221)/Span_B),"")</f>
        <v/>
      </c>
    </row>
    <row r="222" customFormat="false" ht="15" hidden="false" customHeight="false" outlineLevel="0" collapsed="false">
      <c r="A222" s="2" t="n">
        <v>216</v>
      </c>
      <c r="B222" s="15" t="n">
        <f aca="false">INT(A222/151)</f>
        <v>1</v>
      </c>
      <c r="C222" s="15" t="n">
        <f aca="false">MOD(A222,151)</f>
        <v>65</v>
      </c>
      <c r="D222" s="15" t="n">
        <f aca="false">INDEX(Grid!$J$6:$P$156,C222+1,B222+1)</f>
        <v>1</v>
      </c>
      <c r="E222" s="16" t="n">
        <f aca="false">IF(D222=1,INDEX(Grid!$B$6:$H$156,C222+1,B222+1),"")</f>
        <v>311.581734978361</v>
      </c>
      <c r="F222" s="13" t="n">
        <f aca="false">Val_pt*(Ceiling_e-E_zero)*(1-(1-Half_gap)^B222)</f>
        <v>70</v>
      </c>
      <c r="G222" s="15" t="n">
        <f aca="false">C222</f>
        <v>65</v>
      </c>
      <c r="H222" s="15" t="n">
        <f aca="false">IF(D222=1,INDEX(Grid!$R$6:$X$156,C222+1,B222+1),"")</f>
        <v>32</v>
      </c>
      <c r="I222" s="2" t="str">
        <f aca="false">IF(D222=1,INDEX(Sch_label,H222+1),"")</f>
        <v>1</v>
      </c>
      <c r="J222" s="15" t="n">
        <f aca="false">IF(D222=1,INDEX(Grid!$Z$6:$AF$156,C222+1,B222+1),0)</f>
        <v>0</v>
      </c>
      <c r="K222" s="16" t="n">
        <f aca="false">IF(J222=1,E222,0)</f>
        <v>0</v>
      </c>
      <c r="L222" s="17" t="n">
        <f aca="false">IF(D222=1,E222+W_board*F222,"")</f>
        <v>706.713486016005</v>
      </c>
      <c r="Z222" s="12" t="str">
        <f aca="false">IF(AND($J222=1,$M222=1),N222*E222/Span_P+O222*F222/Span_S+P222*G222/Span_B,"")</f>
        <v/>
      </c>
      <c r="AA222" s="12" t="str">
        <f aca="false">IF(AND($J222=1,$M222=1),SUMPRODUCT(MAX($J$6:$J$1062*(N222*$K$6:$K$1062/Span_P+O222*$F$6:$F$1062/Span_S+P222*$G$6:$G$1062/Span_B)-(1-$J$6:$J$1062)*1000000000)),"")</f>
        <v/>
      </c>
      <c r="AB222" s="15" t="str">
        <f aca="false">IF(AND($J222=1,$M222=1),IF(AA222-Z222&lt;=0.000000001,1,0),"")</f>
        <v/>
      </c>
      <c r="AC222" s="13" t="str">
        <f aca="false">IF(AND($J222=1,$M222=0),IF(S222="",0,S222*INDEX(Grid!$B$6:$H$156,R222+1,Q222+1))+IF(V222="",0,V222*INDEX(Grid!$B$6:$H$156,U222+1,T222+1))+IF(Y222="",0,Y222*INDEX(Grid!$B$6:$H$156,X222+1,W222+1)),"")</f>
        <v/>
      </c>
      <c r="AD222" s="13" t="str">
        <f aca="false">IF(AND($J222=1,$M222=0),IF(S222="",0,S222*Val_pt*(Ceiling_e-E_zero)*(1-(1-Half_gap)^Q222))+IF(V222="",0,V222*Val_pt*(Ceiling_e-E_zero)*(1-(1-Half_gap)^T222))+IF(Y222="",0,Y222*Val_pt*(Ceiling_e-E_zero)*(1-(1-Half_gap)^W222)),"")</f>
        <v/>
      </c>
      <c r="AE222" s="13" t="str">
        <f aca="false">IF(AND($J222=1,$M222=0),IF(S222="",0,S222*R222)+IF(V222="",0,V222*U222)+IF(Y222="",0,Y222*X222),"")</f>
        <v/>
      </c>
      <c r="AF222" s="12" t="str">
        <f aca="false">IF(AND($J222=1,$M222=0),MIN((AC222-E222)/Span_P,(AD222-F222)/Span_S,(AE222-G222)/Span_B),"")</f>
        <v/>
      </c>
      <c r="AG222" s="15" t="str">
        <f aca="false">IF(AND($J222=1,$M222=0),IF(AF222&gt;0.0000001,1,0),"")</f>
        <v/>
      </c>
      <c r="AH222" s="15" t="str">
        <f aca="false">IF($J222=1,IF($M222=1,AB222,AG222),"")</f>
        <v/>
      </c>
      <c r="AI222" s="13" t="str">
        <f aca="false">IF($J222=1,(Ideal_P-E222)/Span_P,"")</f>
        <v/>
      </c>
      <c r="AJ222" s="13" t="str">
        <f aca="false">IF($J222=1,(Ideal_S-F222)/Span_S,"")</f>
        <v/>
      </c>
      <c r="AK222" s="13" t="str">
        <f aca="false">IF($J222=1,(Ideal_B-G222)/Span_B,"")</f>
        <v/>
      </c>
      <c r="AL222" s="12" t="str">
        <f aca="false">IF($J222=1,MAX(ChA_1*AI222,ChA_2*AJ222,ChA_3*AK222)+Rho*(ChA_1*AI222+ChA_2*AJ222+ChA_3*AK222),"")</f>
        <v/>
      </c>
      <c r="AM222" s="12" t="str">
        <f aca="false">IF($J222=1,MAX(ChB_1*AI222,ChB_2*AJ222,ChB_3*AK222)+Rho*(ChB_1*AI222+ChB_2*AJ222+ChB_3*AK222),"")</f>
        <v/>
      </c>
      <c r="AN222" s="12" t="str">
        <f aca="false">IF($J222=1,MAX(Cx_1*(Ref_P-E222)/Span_P,Cx_2*(Ref_S-F222)/Span_S,Cx_3*(Ref_B-G222)/Span_B),"")</f>
        <v/>
      </c>
    </row>
    <row r="223" customFormat="false" ht="15" hidden="false" customHeight="false" outlineLevel="0" collapsed="false">
      <c r="A223" s="2" t="n">
        <v>217</v>
      </c>
      <c r="B223" s="15" t="n">
        <f aca="false">INT(A223/151)</f>
        <v>1</v>
      </c>
      <c r="C223" s="15" t="n">
        <f aca="false">MOD(A223,151)</f>
        <v>66</v>
      </c>
      <c r="D223" s="15" t="n">
        <f aca="false">INDEX(Grid!$J$6:$P$156,C223+1,B223+1)</f>
        <v>1</v>
      </c>
      <c r="E223" s="16" t="n">
        <f aca="false">IF(D223=1,INDEX(Grid!$B$6:$H$156,C223+1,B223+1),"")</f>
        <v>310.67264406927</v>
      </c>
      <c r="F223" s="13" t="n">
        <f aca="false">Val_pt*(Ceiling_e-E_zero)*(1-(1-Half_gap)^B223)</f>
        <v>70</v>
      </c>
      <c r="G223" s="15" t="n">
        <f aca="false">C223</f>
        <v>66</v>
      </c>
      <c r="H223" s="15" t="n">
        <f aca="false">IF(D223=1,INDEX(Grid!$R$6:$X$156,C223+1,B223+1),"")</f>
        <v>32</v>
      </c>
      <c r="I223" s="2" t="str">
        <f aca="false">IF(D223=1,INDEX(Sch_label,H223+1),"")</f>
        <v>1</v>
      </c>
      <c r="J223" s="15" t="n">
        <f aca="false">IF(D223=1,INDEX(Grid!$Z$6:$AF$156,C223+1,B223+1),0)</f>
        <v>0</v>
      </c>
      <c r="K223" s="16" t="n">
        <f aca="false">IF(J223=1,E223,0)</f>
        <v>0</v>
      </c>
      <c r="L223" s="17" t="n">
        <f aca="false">IF(D223=1,E223+W_board*F223,"")</f>
        <v>705.804395106914</v>
      </c>
      <c r="Z223" s="12" t="str">
        <f aca="false">IF(AND($J223=1,$M223=1),N223*E223/Span_P+O223*F223/Span_S+P223*G223/Span_B,"")</f>
        <v/>
      </c>
      <c r="AA223" s="12" t="str">
        <f aca="false">IF(AND($J223=1,$M223=1),SUMPRODUCT(MAX($J$6:$J$1062*(N223*$K$6:$K$1062/Span_P+O223*$F$6:$F$1062/Span_S+P223*$G$6:$G$1062/Span_B)-(1-$J$6:$J$1062)*1000000000)),"")</f>
        <v/>
      </c>
      <c r="AB223" s="15" t="str">
        <f aca="false">IF(AND($J223=1,$M223=1),IF(AA223-Z223&lt;=0.000000001,1,0),"")</f>
        <v/>
      </c>
      <c r="AC223" s="13" t="str">
        <f aca="false">IF(AND($J223=1,$M223=0),IF(S223="",0,S223*INDEX(Grid!$B$6:$H$156,R223+1,Q223+1))+IF(V223="",0,V223*INDEX(Grid!$B$6:$H$156,U223+1,T223+1))+IF(Y223="",0,Y223*INDEX(Grid!$B$6:$H$156,X223+1,W223+1)),"")</f>
        <v/>
      </c>
      <c r="AD223" s="13" t="str">
        <f aca="false">IF(AND($J223=1,$M223=0),IF(S223="",0,S223*Val_pt*(Ceiling_e-E_zero)*(1-(1-Half_gap)^Q223))+IF(V223="",0,V223*Val_pt*(Ceiling_e-E_zero)*(1-(1-Half_gap)^T223))+IF(Y223="",0,Y223*Val_pt*(Ceiling_e-E_zero)*(1-(1-Half_gap)^W223)),"")</f>
        <v/>
      </c>
      <c r="AE223" s="13" t="str">
        <f aca="false">IF(AND($J223=1,$M223=0),IF(S223="",0,S223*R223)+IF(V223="",0,V223*U223)+IF(Y223="",0,Y223*X223),"")</f>
        <v/>
      </c>
      <c r="AF223" s="12" t="str">
        <f aca="false">IF(AND($J223=1,$M223=0),MIN((AC223-E223)/Span_P,(AD223-F223)/Span_S,(AE223-G223)/Span_B),"")</f>
        <v/>
      </c>
      <c r="AG223" s="15" t="str">
        <f aca="false">IF(AND($J223=1,$M223=0),IF(AF223&gt;0.0000001,1,0),"")</f>
        <v/>
      </c>
      <c r="AH223" s="15" t="str">
        <f aca="false">IF($J223=1,IF($M223=1,AB223,AG223),"")</f>
        <v/>
      </c>
      <c r="AI223" s="13" t="str">
        <f aca="false">IF($J223=1,(Ideal_P-E223)/Span_P,"")</f>
        <v/>
      </c>
      <c r="AJ223" s="13" t="str">
        <f aca="false">IF($J223=1,(Ideal_S-F223)/Span_S,"")</f>
        <v/>
      </c>
      <c r="AK223" s="13" t="str">
        <f aca="false">IF($J223=1,(Ideal_B-G223)/Span_B,"")</f>
        <v/>
      </c>
      <c r="AL223" s="12" t="str">
        <f aca="false">IF($J223=1,MAX(ChA_1*AI223,ChA_2*AJ223,ChA_3*AK223)+Rho*(ChA_1*AI223+ChA_2*AJ223+ChA_3*AK223),"")</f>
        <v/>
      </c>
      <c r="AM223" s="12" t="str">
        <f aca="false">IF($J223=1,MAX(ChB_1*AI223,ChB_2*AJ223,ChB_3*AK223)+Rho*(ChB_1*AI223+ChB_2*AJ223+ChB_3*AK223),"")</f>
        <v/>
      </c>
      <c r="AN223" s="12" t="str">
        <f aca="false">IF($J223=1,MAX(Cx_1*(Ref_P-E223)/Span_P,Cx_2*(Ref_S-F223)/Span_S,Cx_3*(Ref_B-G223)/Span_B),"")</f>
        <v/>
      </c>
    </row>
    <row r="224" customFormat="false" ht="15" hidden="false" customHeight="false" outlineLevel="0" collapsed="false">
      <c r="A224" s="2" t="n">
        <v>218</v>
      </c>
      <c r="B224" s="15" t="n">
        <f aca="false">INT(A224/151)</f>
        <v>1</v>
      </c>
      <c r="C224" s="15" t="n">
        <f aca="false">MOD(A224,151)</f>
        <v>67</v>
      </c>
      <c r="D224" s="15" t="n">
        <f aca="false">INDEX(Grid!$J$6:$P$156,C224+1,B224+1)</f>
        <v>1</v>
      </c>
      <c r="E224" s="16" t="n">
        <f aca="false">IF(D224=1,INDEX(Grid!$B$6:$H$156,C224+1,B224+1),"")</f>
        <v>309.763553160179</v>
      </c>
      <c r="F224" s="13" t="n">
        <f aca="false">Val_pt*(Ceiling_e-E_zero)*(1-(1-Half_gap)^B224)</f>
        <v>70</v>
      </c>
      <c r="G224" s="15" t="n">
        <f aca="false">C224</f>
        <v>67</v>
      </c>
      <c r="H224" s="15" t="n">
        <f aca="false">IF(D224=1,INDEX(Grid!$R$6:$X$156,C224+1,B224+1),"")</f>
        <v>32</v>
      </c>
      <c r="I224" s="2" t="str">
        <f aca="false">IF(D224=1,INDEX(Sch_label,H224+1),"")</f>
        <v>1</v>
      </c>
      <c r="J224" s="15" t="n">
        <f aca="false">IF(D224=1,INDEX(Grid!$Z$6:$AF$156,C224+1,B224+1),0)</f>
        <v>0</v>
      </c>
      <c r="K224" s="16" t="n">
        <f aca="false">IF(J224=1,E224,0)</f>
        <v>0</v>
      </c>
      <c r="L224" s="17" t="n">
        <f aca="false">IF(D224=1,E224+W_board*F224,"")</f>
        <v>704.895304197823</v>
      </c>
      <c r="Z224" s="12" t="str">
        <f aca="false">IF(AND($J224=1,$M224=1),N224*E224/Span_P+O224*F224/Span_S+P224*G224/Span_B,"")</f>
        <v/>
      </c>
      <c r="AA224" s="12" t="str">
        <f aca="false">IF(AND($J224=1,$M224=1),SUMPRODUCT(MAX($J$6:$J$1062*(N224*$K$6:$K$1062/Span_P+O224*$F$6:$F$1062/Span_S+P224*$G$6:$G$1062/Span_B)-(1-$J$6:$J$1062)*1000000000)),"")</f>
        <v/>
      </c>
      <c r="AB224" s="15" t="str">
        <f aca="false">IF(AND($J224=1,$M224=1),IF(AA224-Z224&lt;=0.000000001,1,0),"")</f>
        <v/>
      </c>
      <c r="AC224" s="13" t="str">
        <f aca="false">IF(AND($J224=1,$M224=0),IF(S224="",0,S224*INDEX(Grid!$B$6:$H$156,R224+1,Q224+1))+IF(V224="",0,V224*INDEX(Grid!$B$6:$H$156,U224+1,T224+1))+IF(Y224="",0,Y224*INDEX(Grid!$B$6:$H$156,X224+1,W224+1)),"")</f>
        <v/>
      </c>
      <c r="AD224" s="13" t="str">
        <f aca="false">IF(AND($J224=1,$M224=0),IF(S224="",0,S224*Val_pt*(Ceiling_e-E_zero)*(1-(1-Half_gap)^Q224))+IF(V224="",0,V224*Val_pt*(Ceiling_e-E_zero)*(1-(1-Half_gap)^T224))+IF(Y224="",0,Y224*Val_pt*(Ceiling_e-E_zero)*(1-(1-Half_gap)^W224)),"")</f>
        <v/>
      </c>
      <c r="AE224" s="13" t="str">
        <f aca="false">IF(AND($J224=1,$M224=0),IF(S224="",0,S224*R224)+IF(V224="",0,V224*U224)+IF(Y224="",0,Y224*X224),"")</f>
        <v/>
      </c>
      <c r="AF224" s="12" t="str">
        <f aca="false">IF(AND($J224=1,$M224=0),MIN((AC224-E224)/Span_P,(AD224-F224)/Span_S,(AE224-G224)/Span_B),"")</f>
        <v/>
      </c>
      <c r="AG224" s="15" t="str">
        <f aca="false">IF(AND($J224=1,$M224=0),IF(AF224&gt;0.0000001,1,0),"")</f>
        <v/>
      </c>
      <c r="AH224" s="15" t="str">
        <f aca="false">IF($J224=1,IF($M224=1,AB224,AG224),"")</f>
        <v/>
      </c>
      <c r="AI224" s="13" t="str">
        <f aca="false">IF($J224=1,(Ideal_P-E224)/Span_P,"")</f>
        <v/>
      </c>
      <c r="AJ224" s="13" t="str">
        <f aca="false">IF($J224=1,(Ideal_S-F224)/Span_S,"")</f>
        <v/>
      </c>
      <c r="AK224" s="13" t="str">
        <f aca="false">IF($J224=1,(Ideal_B-G224)/Span_B,"")</f>
        <v/>
      </c>
      <c r="AL224" s="12" t="str">
        <f aca="false">IF($J224=1,MAX(ChA_1*AI224,ChA_2*AJ224,ChA_3*AK224)+Rho*(ChA_1*AI224+ChA_2*AJ224+ChA_3*AK224),"")</f>
        <v/>
      </c>
      <c r="AM224" s="12" t="str">
        <f aca="false">IF($J224=1,MAX(ChB_1*AI224,ChB_2*AJ224,ChB_3*AK224)+Rho*(ChB_1*AI224+ChB_2*AJ224+ChB_3*AK224),"")</f>
        <v/>
      </c>
      <c r="AN224" s="12" t="str">
        <f aca="false">IF($J224=1,MAX(Cx_1*(Ref_P-E224)/Span_P,Cx_2*(Ref_S-F224)/Span_S,Cx_3*(Ref_B-G224)/Span_B),"")</f>
        <v/>
      </c>
    </row>
    <row r="225" customFormat="false" ht="15" hidden="false" customHeight="false" outlineLevel="0" collapsed="false">
      <c r="A225" s="2" t="n">
        <v>219</v>
      </c>
      <c r="B225" s="15" t="n">
        <f aca="false">INT(A225/151)</f>
        <v>1</v>
      </c>
      <c r="C225" s="15" t="n">
        <f aca="false">MOD(A225,151)</f>
        <v>68</v>
      </c>
      <c r="D225" s="15" t="n">
        <f aca="false">INDEX(Grid!$J$6:$P$156,C225+1,B225+1)</f>
        <v>1</v>
      </c>
      <c r="E225" s="16" t="n">
        <f aca="false">IF(D225=1,INDEX(Grid!$B$6:$H$156,C225+1,B225+1),"")</f>
        <v>308.854462251088</v>
      </c>
      <c r="F225" s="13" t="n">
        <f aca="false">Val_pt*(Ceiling_e-E_zero)*(1-(1-Half_gap)^B225)</f>
        <v>70</v>
      </c>
      <c r="G225" s="15" t="n">
        <f aca="false">C225</f>
        <v>68</v>
      </c>
      <c r="H225" s="15" t="n">
        <f aca="false">IF(D225=1,INDEX(Grid!$R$6:$X$156,C225+1,B225+1),"")</f>
        <v>32</v>
      </c>
      <c r="I225" s="2" t="str">
        <f aca="false">IF(D225=1,INDEX(Sch_label,H225+1),"")</f>
        <v>1</v>
      </c>
      <c r="J225" s="15" t="n">
        <f aca="false">IF(D225=1,INDEX(Grid!$Z$6:$AF$156,C225+1,B225+1),0)</f>
        <v>0</v>
      </c>
      <c r="K225" s="16" t="n">
        <f aca="false">IF(J225=1,E225,0)</f>
        <v>0</v>
      </c>
      <c r="L225" s="17" t="n">
        <f aca="false">IF(D225=1,E225+W_board*F225,"")</f>
        <v>703.986213288732</v>
      </c>
      <c r="Z225" s="12" t="str">
        <f aca="false">IF(AND($J225=1,$M225=1),N225*E225/Span_P+O225*F225/Span_S+P225*G225/Span_B,"")</f>
        <v/>
      </c>
      <c r="AA225" s="12" t="str">
        <f aca="false">IF(AND($J225=1,$M225=1),SUMPRODUCT(MAX($J$6:$J$1062*(N225*$K$6:$K$1062/Span_P+O225*$F$6:$F$1062/Span_S+P225*$G$6:$G$1062/Span_B)-(1-$J$6:$J$1062)*1000000000)),"")</f>
        <v/>
      </c>
      <c r="AB225" s="15" t="str">
        <f aca="false">IF(AND($J225=1,$M225=1),IF(AA225-Z225&lt;=0.000000001,1,0),"")</f>
        <v/>
      </c>
      <c r="AC225" s="13" t="str">
        <f aca="false">IF(AND($J225=1,$M225=0),IF(S225="",0,S225*INDEX(Grid!$B$6:$H$156,R225+1,Q225+1))+IF(V225="",0,V225*INDEX(Grid!$B$6:$H$156,U225+1,T225+1))+IF(Y225="",0,Y225*INDEX(Grid!$B$6:$H$156,X225+1,W225+1)),"")</f>
        <v/>
      </c>
      <c r="AD225" s="13" t="str">
        <f aca="false">IF(AND($J225=1,$M225=0),IF(S225="",0,S225*Val_pt*(Ceiling_e-E_zero)*(1-(1-Half_gap)^Q225))+IF(V225="",0,V225*Val_pt*(Ceiling_e-E_zero)*(1-(1-Half_gap)^T225))+IF(Y225="",0,Y225*Val_pt*(Ceiling_e-E_zero)*(1-(1-Half_gap)^W225)),"")</f>
        <v/>
      </c>
      <c r="AE225" s="13" t="str">
        <f aca="false">IF(AND($J225=1,$M225=0),IF(S225="",0,S225*R225)+IF(V225="",0,V225*U225)+IF(Y225="",0,Y225*X225),"")</f>
        <v/>
      </c>
      <c r="AF225" s="12" t="str">
        <f aca="false">IF(AND($J225=1,$M225=0),MIN((AC225-E225)/Span_P,(AD225-F225)/Span_S,(AE225-G225)/Span_B),"")</f>
        <v/>
      </c>
      <c r="AG225" s="15" t="str">
        <f aca="false">IF(AND($J225=1,$M225=0),IF(AF225&gt;0.0000001,1,0),"")</f>
        <v/>
      </c>
      <c r="AH225" s="15" t="str">
        <f aca="false">IF($J225=1,IF($M225=1,AB225,AG225),"")</f>
        <v/>
      </c>
      <c r="AI225" s="13" t="str">
        <f aca="false">IF($J225=1,(Ideal_P-E225)/Span_P,"")</f>
        <v/>
      </c>
      <c r="AJ225" s="13" t="str">
        <f aca="false">IF($J225=1,(Ideal_S-F225)/Span_S,"")</f>
        <v/>
      </c>
      <c r="AK225" s="13" t="str">
        <f aca="false">IF($J225=1,(Ideal_B-G225)/Span_B,"")</f>
        <v/>
      </c>
      <c r="AL225" s="12" t="str">
        <f aca="false">IF($J225=1,MAX(ChA_1*AI225,ChA_2*AJ225,ChA_3*AK225)+Rho*(ChA_1*AI225+ChA_2*AJ225+ChA_3*AK225),"")</f>
        <v/>
      </c>
      <c r="AM225" s="12" t="str">
        <f aca="false">IF($J225=1,MAX(ChB_1*AI225,ChB_2*AJ225,ChB_3*AK225)+Rho*(ChB_1*AI225+ChB_2*AJ225+ChB_3*AK225),"")</f>
        <v/>
      </c>
      <c r="AN225" s="12" t="str">
        <f aca="false">IF($J225=1,MAX(Cx_1*(Ref_P-E225)/Span_P,Cx_2*(Ref_S-F225)/Span_S,Cx_3*(Ref_B-G225)/Span_B),"")</f>
        <v/>
      </c>
    </row>
    <row r="226" customFormat="false" ht="15" hidden="false" customHeight="false" outlineLevel="0" collapsed="false">
      <c r="A226" s="2" t="n">
        <v>220</v>
      </c>
      <c r="B226" s="15" t="n">
        <f aca="false">INT(A226/151)</f>
        <v>1</v>
      </c>
      <c r="C226" s="15" t="n">
        <f aca="false">MOD(A226,151)</f>
        <v>69</v>
      </c>
      <c r="D226" s="15" t="n">
        <f aca="false">INDEX(Grid!$J$6:$P$156,C226+1,B226+1)</f>
        <v>1</v>
      </c>
      <c r="E226" s="16" t="n">
        <f aca="false">IF(D226=1,INDEX(Grid!$B$6:$H$156,C226+1,B226+1),"")</f>
        <v>307.945371341997</v>
      </c>
      <c r="F226" s="13" t="n">
        <f aca="false">Val_pt*(Ceiling_e-E_zero)*(1-(1-Half_gap)^B226)</f>
        <v>70</v>
      </c>
      <c r="G226" s="15" t="n">
        <f aca="false">C226</f>
        <v>69</v>
      </c>
      <c r="H226" s="15" t="n">
        <f aca="false">IF(D226=1,INDEX(Grid!$R$6:$X$156,C226+1,B226+1),"")</f>
        <v>32</v>
      </c>
      <c r="I226" s="2" t="str">
        <f aca="false">IF(D226=1,INDEX(Sch_label,H226+1),"")</f>
        <v>1</v>
      </c>
      <c r="J226" s="15" t="n">
        <f aca="false">IF(D226=1,INDEX(Grid!$Z$6:$AF$156,C226+1,B226+1),0)</f>
        <v>0</v>
      </c>
      <c r="K226" s="16" t="n">
        <f aca="false">IF(J226=1,E226,0)</f>
        <v>0</v>
      </c>
      <c r="L226" s="17" t="n">
        <f aca="false">IF(D226=1,E226+W_board*F226,"")</f>
        <v>703.077122379641</v>
      </c>
      <c r="Z226" s="12" t="str">
        <f aca="false">IF(AND($J226=1,$M226=1),N226*E226/Span_P+O226*F226/Span_S+P226*G226/Span_B,"")</f>
        <v/>
      </c>
      <c r="AA226" s="12" t="str">
        <f aca="false">IF(AND($J226=1,$M226=1),SUMPRODUCT(MAX($J$6:$J$1062*(N226*$K$6:$K$1062/Span_P+O226*$F$6:$F$1062/Span_S+P226*$G$6:$G$1062/Span_B)-(1-$J$6:$J$1062)*1000000000)),"")</f>
        <v/>
      </c>
      <c r="AB226" s="15" t="str">
        <f aca="false">IF(AND($J226=1,$M226=1),IF(AA226-Z226&lt;=0.000000001,1,0),"")</f>
        <v/>
      </c>
      <c r="AC226" s="13" t="str">
        <f aca="false">IF(AND($J226=1,$M226=0),IF(S226="",0,S226*INDEX(Grid!$B$6:$H$156,R226+1,Q226+1))+IF(V226="",0,V226*INDEX(Grid!$B$6:$H$156,U226+1,T226+1))+IF(Y226="",0,Y226*INDEX(Grid!$B$6:$H$156,X226+1,W226+1)),"")</f>
        <v/>
      </c>
      <c r="AD226" s="13" t="str">
        <f aca="false">IF(AND($J226=1,$M226=0),IF(S226="",0,S226*Val_pt*(Ceiling_e-E_zero)*(1-(1-Half_gap)^Q226))+IF(V226="",0,V226*Val_pt*(Ceiling_e-E_zero)*(1-(1-Half_gap)^T226))+IF(Y226="",0,Y226*Val_pt*(Ceiling_e-E_zero)*(1-(1-Half_gap)^W226)),"")</f>
        <v/>
      </c>
      <c r="AE226" s="13" t="str">
        <f aca="false">IF(AND($J226=1,$M226=0),IF(S226="",0,S226*R226)+IF(V226="",0,V226*U226)+IF(Y226="",0,Y226*X226),"")</f>
        <v/>
      </c>
      <c r="AF226" s="12" t="str">
        <f aca="false">IF(AND($J226=1,$M226=0),MIN((AC226-E226)/Span_P,(AD226-F226)/Span_S,(AE226-G226)/Span_B),"")</f>
        <v/>
      </c>
      <c r="AG226" s="15" t="str">
        <f aca="false">IF(AND($J226=1,$M226=0),IF(AF226&gt;0.0000001,1,0),"")</f>
        <v/>
      </c>
      <c r="AH226" s="15" t="str">
        <f aca="false">IF($J226=1,IF($M226=1,AB226,AG226),"")</f>
        <v/>
      </c>
      <c r="AI226" s="13" t="str">
        <f aca="false">IF($J226=1,(Ideal_P-E226)/Span_P,"")</f>
        <v/>
      </c>
      <c r="AJ226" s="13" t="str">
        <f aca="false">IF($J226=1,(Ideal_S-F226)/Span_S,"")</f>
        <v/>
      </c>
      <c r="AK226" s="13" t="str">
        <f aca="false">IF($J226=1,(Ideal_B-G226)/Span_B,"")</f>
        <v/>
      </c>
      <c r="AL226" s="12" t="str">
        <f aca="false">IF($J226=1,MAX(ChA_1*AI226,ChA_2*AJ226,ChA_3*AK226)+Rho*(ChA_1*AI226+ChA_2*AJ226+ChA_3*AK226),"")</f>
        <v/>
      </c>
      <c r="AM226" s="12" t="str">
        <f aca="false">IF($J226=1,MAX(ChB_1*AI226,ChB_2*AJ226,ChB_3*AK226)+Rho*(ChB_1*AI226+ChB_2*AJ226+ChB_3*AK226),"")</f>
        <v/>
      </c>
      <c r="AN226" s="12" t="str">
        <f aca="false">IF($J226=1,MAX(Cx_1*(Ref_P-E226)/Span_P,Cx_2*(Ref_S-F226)/Span_S,Cx_3*(Ref_B-G226)/Span_B),"")</f>
        <v/>
      </c>
    </row>
    <row r="227" customFormat="false" ht="15" hidden="false" customHeight="false" outlineLevel="0" collapsed="false">
      <c r="A227" s="2" t="n">
        <v>221</v>
      </c>
      <c r="B227" s="15" t="n">
        <f aca="false">INT(A227/151)</f>
        <v>1</v>
      </c>
      <c r="C227" s="15" t="n">
        <f aca="false">MOD(A227,151)</f>
        <v>70</v>
      </c>
      <c r="D227" s="15" t="n">
        <f aca="false">INDEX(Grid!$J$6:$P$156,C227+1,B227+1)</f>
        <v>1</v>
      </c>
      <c r="E227" s="16" t="n">
        <f aca="false">IF(D227=1,INDEX(Grid!$B$6:$H$156,C227+1,B227+1),"")</f>
        <v>307.036280432906</v>
      </c>
      <c r="F227" s="13" t="n">
        <f aca="false">Val_pt*(Ceiling_e-E_zero)*(1-(1-Half_gap)^B227)</f>
        <v>70</v>
      </c>
      <c r="G227" s="15" t="n">
        <f aca="false">C227</f>
        <v>70</v>
      </c>
      <c r="H227" s="15" t="n">
        <f aca="false">IF(D227=1,INDEX(Grid!$R$6:$X$156,C227+1,B227+1),"")</f>
        <v>32</v>
      </c>
      <c r="I227" s="2" t="str">
        <f aca="false">IF(D227=1,INDEX(Sch_label,H227+1),"")</f>
        <v>1</v>
      </c>
      <c r="J227" s="15" t="n">
        <f aca="false">IF(D227=1,INDEX(Grid!$Z$6:$AF$156,C227+1,B227+1),0)</f>
        <v>0</v>
      </c>
      <c r="K227" s="16" t="n">
        <f aca="false">IF(J227=1,E227,0)</f>
        <v>0</v>
      </c>
      <c r="L227" s="17" t="n">
        <f aca="false">IF(D227=1,E227+W_board*F227,"")</f>
        <v>702.16803147055</v>
      </c>
      <c r="Z227" s="12" t="str">
        <f aca="false">IF(AND($J227=1,$M227=1),N227*E227/Span_P+O227*F227/Span_S+P227*G227/Span_B,"")</f>
        <v/>
      </c>
      <c r="AA227" s="12" t="str">
        <f aca="false">IF(AND($J227=1,$M227=1),SUMPRODUCT(MAX($J$6:$J$1062*(N227*$K$6:$K$1062/Span_P+O227*$F$6:$F$1062/Span_S+P227*$G$6:$G$1062/Span_B)-(1-$J$6:$J$1062)*1000000000)),"")</f>
        <v/>
      </c>
      <c r="AB227" s="15" t="str">
        <f aca="false">IF(AND($J227=1,$M227=1),IF(AA227-Z227&lt;=0.000000001,1,0),"")</f>
        <v/>
      </c>
      <c r="AC227" s="13" t="str">
        <f aca="false">IF(AND($J227=1,$M227=0),IF(S227="",0,S227*INDEX(Grid!$B$6:$H$156,R227+1,Q227+1))+IF(V227="",0,V227*INDEX(Grid!$B$6:$H$156,U227+1,T227+1))+IF(Y227="",0,Y227*INDEX(Grid!$B$6:$H$156,X227+1,W227+1)),"")</f>
        <v/>
      </c>
      <c r="AD227" s="13" t="str">
        <f aca="false">IF(AND($J227=1,$M227=0),IF(S227="",0,S227*Val_pt*(Ceiling_e-E_zero)*(1-(1-Half_gap)^Q227))+IF(V227="",0,V227*Val_pt*(Ceiling_e-E_zero)*(1-(1-Half_gap)^T227))+IF(Y227="",0,Y227*Val_pt*(Ceiling_e-E_zero)*(1-(1-Half_gap)^W227)),"")</f>
        <v/>
      </c>
      <c r="AE227" s="13" t="str">
        <f aca="false">IF(AND($J227=1,$M227=0),IF(S227="",0,S227*R227)+IF(V227="",0,V227*U227)+IF(Y227="",0,Y227*X227),"")</f>
        <v/>
      </c>
      <c r="AF227" s="12" t="str">
        <f aca="false">IF(AND($J227=1,$M227=0),MIN((AC227-E227)/Span_P,(AD227-F227)/Span_S,(AE227-G227)/Span_B),"")</f>
        <v/>
      </c>
      <c r="AG227" s="15" t="str">
        <f aca="false">IF(AND($J227=1,$M227=0),IF(AF227&gt;0.0000001,1,0),"")</f>
        <v/>
      </c>
      <c r="AH227" s="15" t="str">
        <f aca="false">IF($J227=1,IF($M227=1,AB227,AG227),"")</f>
        <v/>
      </c>
      <c r="AI227" s="13" t="str">
        <f aca="false">IF($J227=1,(Ideal_P-E227)/Span_P,"")</f>
        <v/>
      </c>
      <c r="AJ227" s="13" t="str">
        <f aca="false">IF($J227=1,(Ideal_S-F227)/Span_S,"")</f>
        <v/>
      </c>
      <c r="AK227" s="13" t="str">
        <f aca="false">IF($J227=1,(Ideal_B-G227)/Span_B,"")</f>
        <v/>
      </c>
      <c r="AL227" s="12" t="str">
        <f aca="false">IF($J227=1,MAX(ChA_1*AI227,ChA_2*AJ227,ChA_3*AK227)+Rho*(ChA_1*AI227+ChA_2*AJ227+ChA_3*AK227),"")</f>
        <v/>
      </c>
      <c r="AM227" s="12" t="str">
        <f aca="false">IF($J227=1,MAX(ChB_1*AI227,ChB_2*AJ227,ChB_3*AK227)+Rho*(ChB_1*AI227+ChB_2*AJ227+ChB_3*AK227),"")</f>
        <v/>
      </c>
      <c r="AN227" s="12" t="str">
        <f aca="false">IF($J227=1,MAX(Cx_1*(Ref_P-E227)/Span_P,Cx_2*(Ref_S-F227)/Span_S,Cx_3*(Ref_B-G227)/Span_B),"")</f>
        <v/>
      </c>
    </row>
    <row r="228" customFormat="false" ht="15" hidden="false" customHeight="false" outlineLevel="0" collapsed="false">
      <c r="A228" s="2" t="n">
        <v>222</v>
      </c>
      <c r="B228" s="15" t="n">
        <f aca="false">INT(A228/151)</f>
        <v>1</v>
      </c>
      <c r="C228" s="15" t="n">
        <f aca="false">MOD(A228,151)</f>
        <v>71</v>
      </c>
      <c r="D228" s="15" t="n">
        <f aca="false">INDEX(Grid!$J$6:$P$156,C228+1,B228+1)</f>
        <v>1</v>
      </c>
      <c r="E228" s="16" t="n">
        <f aca="false">IF(D228=1,INDEX(Grid!$B$6:$H$156,C228+1,B228+1),"")</f>
        <v>306.127189523815</v>
      </c>
      <c r="F228" s="13" t="n">
        <f aca="false">Val_pt*(Ceiling_e-E_zero)*(1-(1-Half_gap)^B228)</f>
        <v>70</v>
      </c>
      <c r="G228" s="15" t="n">
        <f aca="false">C228</f>
        <v>71</v>
      </c>
      <c r="H228" s="15" t="n">
        <f aca="false">IF(D228=1,INDEX(Grid!$R$6:$X$156,C228+1,B228+1),"")</f>
        <v>32</v>
      </c>
      <c r="I228" s="2" t="str">
        <f aca="false">IF(D228=1,INDEX(Sch_label,H228+1),"")</f>
        <v>1</v>
      </c>
      <c r="J228" s="15" t="n">
        <f aca="false">IF(D228=1,INDEX(Grid!$Z$6:$AF$156,C228+1,B228+1),0)</f>
        <v>0</v>
      </c>
      <c r="K228" s="16" t="n">
        <f aca="false">IF(J228=1,E228,0)</f>
        <v>0</v>
      </c>
      <c r="L228" s="17" t="n">
        <f aca="false">IF(D228=1,E228+W_board*F228,"")</f>
        <v>701.258940561459</v>
      </c>
      <c r="Z228" s="12" t="str">
        <f aca="false">IF(AND($J228=1,$M228=1),N228*E228/Span_P+O228*F228/Span_S+P228*G228/Span_B,"")</f>
        <v/>
      </c>
      <c r="AA228" s="12" t="str">
        <f aca="false">IF(AND($J228=1,$M228=1),SUMPRODUCT(MAX($J$6:$J$1062*(N228*$K$6:$K$1062/Span_P+O228*$F$6:$F$1062/Span_S+P228*$G$6:$G$1062/Span_B)-(1-$J$6:$J$1062)*1000000000)),"")</f>
        <v/>
      </c>
      <c r="AB228" s="15" t="str">
        <f aca="false">IF(AND($J228=1,$M228=1),IF(AA228-Z228&lt;=0.000000001,1,0),"")</f>
        <v/>
      </c>
      <c r="AC228" s="13" t="str">
        <f aca="false">IF(AND($J228=1,$M228=0),IF(S228="",0,S228*INDEX(Grid!$B$6:$H$156,R228+1,Q228+1))+IF(V228="",0,V228*INDEX(Grid!$B$6:$H$156,U228+1,T228+1))+IF(Y228="",0,Y228*INDEX(Grid!$B$6:$H$156,X228+1,W228+1)),"")</f>
        <v/>
      </c>
      <c r="AD228" s="13" t="str">
        <f aca="false">IF(AND($J228=1,$M228=0),IF(S228="",0,S228*Val_pt*(Ceiling_e-E_zero)*(1-(1-Half_gap)^Q228))+IF(V228="",0,V228*Val_pt*(Ceiling_e-E_zero)*(1-(1-Half_gap)^T228))+IF(Y228="",0,Y228*Val_pt*(Ceiling_e-E_zero)*(1-(1-Half_gap)^W228)),"")</f>
        <v/>
      </c>
      <c r="AE228" s="13" t="str">
        <f aca="false">IF(AND($J228=1,$M228=0),IF(S228="",0,S228*R228)+IF(V228="",0,V228*U228)+IF(Y228="",0,Y228*X228),"")</f>
        <v/>
      </c>
      <c r="AF228" s="12" t="str">
        <f aca="false">IF(AND($J228=1,$M228=0),MIN((AC228-E228)/Span_P,(AD228-F228)/Span_S,(AE228-G228)/Span_B),"")</f>
        <v/>
      </c>
      <c r="AG228" s="15" t="str">
        <f aca="false">IF(AND($J228=1,$M228=0),IF(AF228&gt;0.0000001,1,0),"")</f>
        <v/>
      </c>
      <c r="AH228" s="15" t="str">
        <f aca="false">IF($J228=1,IF($M228=1,AB228,AG228),"")</f>
        <v/>
      </c>
      <c r="AI228" s="13" t="str">
        <f aca="false">IF($J228=1,(Ideal_P-E228)/Span_P,"")</f>
        <v/>
      </c>
      <c r="AJ228" s="13" t="str">
        <f aca="false">IF($J228=1,(Ideal_S-F228)/Span_S,"")</f>
        <v/>
      </c>
      <c r="AK228" s="13" t="str">
        <f aca="false">IF($J228=1,(Ideal_B-G228)/Span_B,"")</f>
        <v/>
      </c>
      <c r="AL228" s="12" t="str">
        <f aca="false">IF($J228=1,MAX(ChA_1*AI228,ChA_2*AJ228,ChA_3*AK228)+Rho*(ChA_1*AI228+ChA_2*AJ228+ChA_3*AK228),"")</f>
        <v/>
      </c>
      <c r="AM228" s="12" t="str">
        <f aca="false">IF($J228=1,MAX(ChB_1*AI228,ChB_2*AJ228,ChB_3*AK228)+Rho*(ChB_1*AI228+ChB_2*AJ228+ChB_3*AK228),"")</f>
        <v/>
      </c>
      <c r="AN228" s="12" t="str">
        <f aca="false">IF($J228=1,MAX(Cx_1*(Ref_P-E228)/Span_P,Cx_2*(Ref_S-F228)/Span_S,Cx_3*(Ref_B-G228)/Span_B),"")</f>
        <v/>
      </c>
    </row>
    <row r="229" customFormat="false" ht="15" hidden="false" customHeight="false" outlineLevel="0" collapsed="false">
      <c r="A229" s="2" t="n">
        <v>223</v>
      </c>
      <c r="B229" s="15" t="n">
        <f aca="false">INT(A229/151)</f>
        <v>1</v>
      </c>
      <c r="C229" s="15" t="n">
        <f aca="false">MOD(A229,151)</f>
        <v>72</v>
      </c>
      <c r="D229" s="15" t="n">
        <f aca="false">INDEX(Grid!$J$6:$P$156,C229+1,B229+1)</f>
        <v>1</v>
      </c>
      <c r="E229" s="16" t="n">
        <f aca="false">IF(D229=1,INDEX(Grid!$B$6:$H$156,C229+1,B229+1),"")</f>
        <v>305.218098614725</v>
      </c>
      <c r="F229" s="13" t="n">
        <f aca="false">Val_pt*(Ceiling_e-E_zero)*(1-(1-Half_gap)^B229)</f>
        <v>70</v>
      </c>
      <c r="G229" s="15" t="n">
        <f aca="false">C229</f>
        <v>72</v>
      </c>
      <c r="H229" s="15" t="n">
        <f aca="false">IF(D229=1,INDEX(Grid!$R$6:$X$156,C229+1,B229+1),"")</f>
        <v>32</v>
      </c>
      <c r="I229" s="2" t="str">
        <f aca="false">IF(D229=1,INDEX(Sch_label,H229+1),"")</f>
        <v>1</v>
      </c>
      <c r="J229" s="15" t="n">
        <f aca="false">IF(D229=1,INDEX(Grid!$Z$6:$AF$156,C229+1,B229+1),0)</f>
        <v>0</v>
      </c>
      <c r="K229" s="16" t="n">
        <f aca="false">IF(J229=1,E229,0)</f>
        <v>0</v>
      </c>
      <c r="L229" s="17" t="n">
        <f aca="false">IF(D229=1,E229+W_board*F229,"")</f>
        <v>700.349849652369</v>
      </c>
      <c r="Z229" s="12" t="str">
        <f aca="false">IF(AND($J229=1,$M229=1),N229*E229/Span_P+O229*F229/Span_S+P229*G229/Span_B,"")</f>
        <v/>
      </c>
      <c r="AA229" s="12" t="str">
        <f aca="false">IF(AND($J229=1,$M229=1),SUMPRODUCT(MAX($J$6:$J$1062*(N229*$K$6:$K$1062/Span_P+O229*$F$6:$F$1062/Span_S+P229*$G$6:$G$1062/Span_B)-(1-$J$6:$J$1062)*1000000000)),"")</f>
        <v/>
      </c>
      <c r="AB229" s="15" t="str">
        <f aca="false">IF(AND($J229=1,$M229=1),IF(AA229-Z229&lt;=0.000000001,1,0),"")</f>
        <v/>
      </c>
      <c r="AC229" s="13" t="str">
        <f aca="false">IF(AND($J229=1,$M229=0),IF(S229="",0,S229*INDEX(Grid!$B$6:$H$156,R229+1,Q229+1))+IF(V229="",0,V229*INDEX(Grid!$B$6:$H$156,U229+1,T229+1))+IF(Y229="",0,Y229*INDEX(Grid!$B$6:$H$156,X229+1,W229+1)),"")</f>
        <v/>
      </c>
      <c r="AD229" s="13" t="str">
        <f aca="false">IF(AND($J229=1,$M229=0),IF(S229="",0,S229*Val_pt*(Ceiling_e-E_zero)*(1-(1-Half_gap)^Q229))+IF(V229="",0,V229*Val_pt*(Ceiling_e-E_zero)*(1-(1-Half_gap)^T229))+IF(Y229="",0,Y229*Val_pt*(Ceiling_e-E_zero)*(1-(1-Half_gap)^W229)),"")</f>
        <v/>
      </c>
      <c r="AE229" s="13" t="str">
        <f aca="false">IF(AND($J229=1,$M229=0),IF(S229="",0,S229*R229)+IF(V229="",0,V229*U229)+IF(Y229="",0,Y229*X229),"")</f>
        <v/>
      </c>
      <c r="AF229" s="12" t="str">
        <f aca="false">IF(AND($J229=1,$M229=0),MIN((AC229-E229)/Span_P,(AD229-F229)/Span_S,(AE229-G229)/Span_B),"")</f>
        <v/>
      </c>
      <c r="AG229" s="15" t="str">
        <f aca="false">IF(AND($J229=1,$M229=0),IF(AF229&gt;0.0000001,1,0),"")</f>
        <v/>
      </c>
      <c r="AH229" s="15" t="str">
        <f aca="false">IF($J229=1,IF($M229=1,AB229,AG229),"")</f>
        <v/>
      </c>
      <c r="AI229" s="13" t="str">
        <f aca="false">IF($J229=1,(Ideal_P-E229)/Span_P,"")</f>
        <v/>
      </c>
      <c r="AJ229" s="13" t="str">
        <f aca="false">IF($J229=1,(Ideal_S-F229)/Span_S,"")</f>
        <v/>
      </c>
      <c r="AK229" s="13" t="str">
        <f aca="false">IF($J229=1,(Ideal_B-G229)/Span_B,"")</f>
        <v/>
      </c>
      <c r="AL229" s="12" t="str">
        <f aca="false">IF($J229=1,MAX(ChA_1*AI229,ChA_2*AJ229,ChA_3*AK229)+Rho*(ChA_1*AI229+ChA_2*AJ229+ChA_3*AK229),"")</f>
        <v/>
      </c>
      <c r="AM229" s="12" t="str">
        <f aca="false">IF($J229=1,MAX(ChB_1*AI229,ChB_2*AJ229,ChB_3*AK229)+Rho*(ChB_1*AI229+ChB_2*AJ229+ChB_3*AK229),"")</f>
        <v/>
      </c>
      <c r="AN229" s="12" t="str">
        <f aca="false">IF($J229=1,MAX(Cx_1*(Ref_P-E229)/Span_P,Cx_2*(Ref_S-F229)/Span_S,Cx_3*(Ref_B-G229)/Span_B),"")</f>
        <v/>
      </c>
    </row>
    <row r="230" customFormat="false" ht="15" hidden="false" customHeight="false" outlineLevel="0" collapsed="false">
      <c r="A230" s="2" t="n">
        <v>224</v>
      </c>
      <c r="B230" s="15" t="n">
        <f aca="false">INT(A230/151)</f>
        <v>1</v>
      </c>
      <c r="C230" s="15" t="n">
        <f aca="false">MOD(A230,151)</f>
        <v>73</v>
      </c>
      <c r="D230" s="15" t="n">
        <f aca="false">INDEX(Grid!$J$6:$P$156,C230+1,B230+1)</f>
        <v>1</v>
      </c>
      <c r="E230" s="16" t="n">
        <f aca="false">IF(D230=1,INDEX(Grid!$B$6:$H$156,C230+1,B230+1),"")</f>
        <v>304.309007705634</v>
      </c>
      <c r="F230" s="13" t="n">
        <f aca="false">Val_pt*(Ceiling_e-E_zero)*(1-(1-Half_gap)^B230)</f>
        <v>70</v>
      </c>
      <c r="G230" s="15" t="n">
        <f aca="false">C230</f>
        <v>73</v>
      </c>
      <c r="H230" s="15" t="n">
        <f aca="false">IF(D230=1,INDEX(Grid!$R$6:$X$156,C230+1,B230+1),"")</f>
        <v>32</v>
      </c>
      <c r="I230" s="2" t="str">
        <f aca="false">IF(D230=1,INDEX(Sch_label,H230+1),"")</f>
        <v>1</v>
      </c>
      <c r="J230" s="15" t="n">
        <f aca="false">IF(D230=1,INDEX(Grid!$Z$6:$AF$156,C230+1,B230+1),0)</f>
        <v>0</v>
      </c>
      <c r="K230" s="16" t="n">
        <f aca="false">IF(J230=1,E230,0)</f>
        <v>0</v>
      </c>
      <c r="L230" s="17" t="n">
        <f aca="false">IF(D230=1,E230+W_board*F230,"")</f>
        <v>699.440758743278</v>
      </c>
      <c r="Z230" s="12" t="str">
        <f aca="false">IF(AND($J230=1,$M230=1),N230*E230/Span_P+O230*F230/Span_S+P230*G230/Span_B,"")</f>
        <v/>
      </c>
      <c r="AA230" s="12" t="str">
        <f aca="false">IF(AND($J230=1,$M230=1),SUMPRODUCT(MAX($J$6:$J$1062*(N230*$K$6:$K$1062/Span_P+O230*$F$6:$F$1062/Span_S+P230*$G$6:$G$1062/Span_B)-(1-$J$6:$J$1062)*1000000000)),"")</f>
        <v/>
      </c>
      <c r="AB230" s="15" t="str">
        <f aca="false">IF(AND($J230=1,$M230=1),IF(AA230-Z230&lt;=0.000000001,1,0),"")</f>
        <v/>
      </c>
      <c r="AC230" s="13" t="str">
        <f aca="false">IF(AND($J230=1,$M230=0),IF(S230="",0,S230*INDEX(Grid!$B$6:$H$156,R230+1,Q230+1))+IF(V230="",0,V230*INDEX(Grid!$B$6:$H$156,U230+1,T230+1))+IF(Y230="",0,Y230*INDEX(Grid!$B$6:$H$156,X230+1,W230+1)),"")</f>
        <v/>
      </c>
      <c r="AD230" s="13" t="str">
        <f aca="false">IF(AND($J230=1,$M230=0),IF(S230="",0,S230*Val_pt*(Ceiling_e-E_zero)*(1-(1-Half_gap)^Q230))+IF(V230="",0,V230*Val_pt*(Ceiling_e-E_zero)*(1-(1-Half_gap)^T230))+IF(Y230="",0,Y230*Val_pt*(Ceiling_e-E_zero)*(1-(1-Half_gap)^W230)),"")</f>
        <v/>
      </c>
      <c r="AE230" s="13" t="str">
        <f aca="false">IF(AND($J230=1,$M230=0),IF(S230="",0,S230*R230)+IF(V230="",0,V230*U230)+IF(Y230="",0,Y230*X230),"")</f>
        <v/>
      </c>
      <c r="AF230" s="12" t="str">
        <f aca="false">IF(AND($J230=1,$M230=0),MIN((AC230-E230)/Span_P,(AD230-F230)/Span_S,(AE230-G230)/Span_B),"")</f>
        <v/>
      </c>
      <c r="AG230" s="15" t="str">
        <f aca="false">IF(AND($J230=1,$M230=0),IF(AF230&gt;0.0000001,1,0),"")</f>
        <v/>
      </c>
      <c r="AH230" s="15" t="str">
        <f aca="false">IF($J230=1,IF($M230=1,AB230,AG230),"")</f>
        <v/>
      </c>
      <c r="AI230" s="13" t="str">
        <f aca="false">IF($J230=1,(Ideal_P-E230)/Span_P,"")</f>
        <v/>
      </c>
      <c r="AJ230" s="13" t="str">
        <f aca="false">IF($J230=1,(Ideal_S-F230)/Span_S,"")</f>
        <v/>
      </c>
      <c r="AK230" s="13" t="str">
        <f aca="false">IF($J230=1,(Ideal_B-G230)/Span_B,"")</f>
        <v/>
      </c>
      <c r="AL230" s="12" t="str">
        <f aca="false">IF($J230=1,MAX(ChA_1*AI230,ChA_2*AJ230,ChA_3*AK230)+Rho*(ChA_1*AI230+ChA_2*AJ230+ChA_3*AK230),"")</f>
        <v/>
      </c>
      <c r="AM230" s="12" t="str">
        <f aca="false">IF($J230=1,MAX(ChB_1*AI230,ChB_2*AJ230,ChB_3*AK230)+Rho*(ChB_1*AI230+ChB_2*AJ230+ChB_3*AK230),"")</f>
        <v/>
      </c>
      <c r="AN230" s="12" t="str">
        <f aca="false">IF($J230=1,MAX(Cx_1*(Ref_P-E230)/Span_P,Cx_2*(Ref_S-F230)/Span_S,Cx_3*(Ref_B-G230)/Span_B),"")</f>
        <v/>
      </c>
    </row>
    <row r="231" customFormat="false" ht="15" hidden="false" customHeight="false" outlineLevel="0" collapsed="false">
      <c r="A231" s="2" t="n">
        <v>225</v>
      </c>
      <c r="B231" s="15" t="n">
        <f aca="false">INT(A231/151)</f>
        <v>1</v>
      </c>
      <c r="C231" s="15" t="n">
        <f aca="false">MOD(A231,151)</f>
        <v>74</v>
      </c>
      <c r="D231" s="15" t="n">
        <f aca="false">INDEX(Grid!$J$6:$P$156,C231+1,B231+1)</f>
        <v>1</v>
      </c>
      <c r="E231" s="16" t="n">
        <f aca="false">IF(D231=1,INDEX(Grid!$B$6:$H$156,C231+1,B231+1),"")</f>
        <v>303.399916796543</v>
      </c>
      <c r="F231" s="13" t="n">
        <f aca="false">Val_pt*(Ceiling_e-E_zero)*(1-(1-Half_gap)^B231)</f>
        <v>70</v>
      </c>
      <c r="G231" s="15" t="n">
        <f aca="false">C231</f>
        <v>74</v>
      </c>
      <c r="H231" s="15" t="n">
        <f aca="false">IF(D231=1,INDEX(Grid!$R$6:$X$156,C231+1,B231+1),"")</f>
        <v>32</v>
      </c>
      <c r="I231" s="2" t="str">
        <f aca="false">IF(D231=1,INDEX(Sch_label,H231+1),"")</f>
        <v>1</v>
      </c>
      <c r="J231" s="15" t="n">
        <f aca="false">IF(D231=1,INDEX(Grid!$Z$6:$AF$156,C231+1,B231+1),0)</f>
        <v>0</v>
      </c>
      <c r="K231" s="16" t="n">
        <f aca="false">IF(J231=1,E231,0)</f>
        <v>0</v>
      </c>
      <c r="L231" s="17" t="n">
        <f aca="false">IF(D231=1,E231+W_board*F231,"")</f>
        <v>698.531667834187</v>
      </c>
      <c r="Z231" s="12" t="str">
        <f aca="false">IF(AND($J231=1,$M231=1),N231*E231/Span_P+O231*F231/Span_S+P231*G231/Span_B,"")</f>
        <v/>
      </c>
      <c r="AA231" s="12" t="str">
        <f aca="false">IF(AND($J231=1,$M231=1),SUMPRODUCT(MAX($J$6:$J$1062*(N231*$K$6:$K$1062/Span_P+O231*$F$6:$F$1062/Span_S+P231*$G$6:$G$1062/Span_B)-(1-$J$6:$J$1062)*1000000000)),"")</f>
        <v/>
      </c>
      <c r="AB231" s="15" t="str">
        <f aca="false">IF(AND($J231=1,$M231=1),IF(AA231-Z231&lt;=0.000000001,1,0),"")</f>
        <v/>
      </c>
      <c r="AC231" s="13" t="str">
        <f aca="false">IF(AND($J231=1,$M231=0),IF(S231="",0,S231*INDEX(Grid!$B$6:$H$156,R231+1,Q231+1))+IF(V231="",0,V231*INDEX(Grid!$B$6:$H$156,U231+1,T231+1))+IF(Y231="",0,Y231*INDEX(Grid!$B$6:$H$156,X231+1,W231+1)),"")</f>
        <v/>
      </c>
      <c r="AD231" s="13" t="str">
        <f aca="false">IF(AND($J231=1,$M231=0),IF(S231="",0,S231*Val_pt*(Ceiling_e-E_zero)*(1-(1-Half_gap)^Q231))+IF(V231="",0,V231*Val_pt*(Ceiling_e-E_zero)*(1-(1-Half_gap)^T231))+IF(Y231="",0,Y231*Val_pt*(Ceiling_e-E_zero)*(1-(1-Half_gap)^W231)),"")</f>
        <v/>
      </c>
      <c r="AE231" s="13" t="str">
        <f aca="false">IF(AND($J231=1,$M231=0),IF(S231="",0,S231*R231)+IF(V231="",0,V231*U231)+IF(Y231="",0,Y231*X231),"")</f>
        <v/>
      </c>
      <c r="AF231" s="12" t="str">
        <f aca="false">IF(AND($J231=1,$M231=0),MIN((AC231-E231)/Span_P,(AD231-F231)/Span_S,(AE231-G231)/Span_B),"")</f>
        <v/>
      </c>
      <c r="AG231" s="15" t="str">
        <f aca="false">IF(AND($J231=1,$M231=0),IF(AF231&gt;0.0000001,1,0),"")</f>
        <v/>
      </c>
      <c r="AH231" s="15" t="str">
        <f aca="false">IF($J231=1,IF($M231=1,AB231,AG231),"")</f>
        <v/>
      </c>
      <c r="AI231" s="13" t="str">
        <f aca="false">IF($J231=1,(Ideal_P-E231)/Span_P,"")</f>
        <v/>
      </c>
      <c r="AJ231" s="13" t="str">
        <f aca="false">IF($J231=1,(Ideal_S-F231)/Span_S,"")</f>
        <v/>
      </c>
      <c r="AK231" s="13" t="str">
        <f aca="false">IF($J231=1,(Ideal_B-G231)/Span_B,"")</f>
        <v/>
      </c>
      <c r="AL231" s="12" t="str">
        <f aca="false">IF($J231=1,MAX(ChA_1*AI231,ChA_2*AJ231,ChA_3*AK231)+Rho*(ChA_1*AI231+ChA_2*AJ231+ChA_3*AK231),"")</f>
        <v/>
      </c>
      <c r="AM231" s="12" t="str">
        <f aca="false">IF($J231=1,MAX(ChB_1*AI231,ChB_2*AJ231,ChB_3*AK231)+Rho*(ChB_1*AI231+ChB_2*AJ231+ChB_3*AK231),"")</f>
        <v/>
      </c>
      <c r="AN231" s="12" t="str">
        <f aca="false">IF($J231=1,MAX(Cx_1*(Ref_P-E231)/Span_P,Cx_2*(Ref_S-F231)/Span_S,Cx_3*(Ref_B-G231)/Span_B),"")</f>
        <v/>
      </c>
    </row>
    <row r="232" customFormat="false" ht="15" hidden="false" customHeight="false" outlineLevel="0" collapsed="false">
      <c r="A232" s="2" t="n">
        <v>226</v>
      </c>
      <c r="B232" s="15" t="n">
        <f aca="false">INT(A232/151)</f>
        <v>1</v>
      </c>
      <c r="C232" s="15" t="n">
        <f aca="false">MOD(A232,151)</f>
        <v>75</v>
      </c>
      <c r="D232" s="15" t="n">
        <f aca="false">INDEX(Grid!$J$6:$P$156,C232+1,B232+1)</f>
        <v>1</v>
      </c>
      <c r="E232" s="16" t="n">
        <f aca="false">IF(D232=1,INDEX(Grid!$B$6:$H$156,C232+1,B232+1),"")</f>
        <v>302.490825887452</v>
      </c>
      <c r="F232" s="13" t="n">
        <f aca="false">Val_pt*(Ceiling_e-E_zero)*(1-(1-Half_gap)^B232)</f>
        <v>70</v>
      </c>
      <c r="G232" s="15" t="n">
        <f aca="false">C232</f>
        <v>75</v>
      </c>
      <c r="H232" s="15" t="n">
        <f aca="false">IF(D232=1,INDEX(Grid!$R$6:$X$156,C232+1,B232+1),"")</f>
        <v>32</v>
      </c>
      <c r="I232" s="2" t="str">
        <f aca="false">IF(D232=1,INDEX(Sch_label,H232+1),"")</f>
        <v>1</v>
      </c>
      <c r="J232" s="15" t="n">
        <f aca="false">IF(D232=1,INDEX(Grid!$Z$6:$AF$156,C232+1,B232+1),0)</f>
        <v>0</v>
      </c>
      <c r="K232" s="16" t="n">
        <f aca="false">IF(J232=1,E232,0)</f>
        <v>0</v>
      </c>
      <c r="L232" s="17" t="n">
        <f aca="false">IF(D232=1,E232+W_board*F232,"")</f>
        <v>697.622576925096</v>
      </c>
      <c r="Z232" s="12" t="str">
        <f aca="false">IF(AND($J232=1,$M232=1),N232*E232/Span_P+O232*F232/Span_S+P232*G232/Span_B,"")</f>
        <v/>
      </c>
      <c r="AA232" s="12" t="str">
        <f aca="false">IF(AND($J232=1,$M232=1),SUMPRODUCT(MAX($J$6:$J$1062*(N232*$K$6:$K$1062/Span_P+O232*$F$6:$F$1062/Span_S+P232*$G$6:$G$1062/Span_B)-(1-$J$6:$J$1062)*1000000000)),"")</f>
        <v/>
      </c>
      <c r="AB232" s="15" t="str">
        <f aca="false">IF(AND($J232=1,$M232=1),IF(AA232-Z232&lt;=0.000000001,1,0),"")</f>
        <v/>
      </c>
      <c r="AC232" s="13" t="str">
        <f aca="false">IF(AND($J232=1,$M232=0),IF(S232="",0,S232*INDEX(Grid!$B$6:$H$156,R232+1,Q232+1))+IF(V232="",0,V232*INDEX(Grid!$B$6:$H$156,U232+1,T232+1))+IF(Y232="",0,Y232*INDEX(Grid!$B$6:$H$156,X232+1,W232+1)),"")</f>
        <v/>
      </c>
      <c r="AD232" s="13" t="str">
        <f aca="false">IF(AND($J232=1,$M232=0),IF(S232="",0,S232*Val_pt*(Ceiling_e-E_zero)*(1-(1-Half_gap)^Q232))+IF(V232="",0,V232*Val_pt*(Ceiling_e-E_zero)*(1-(1-Half_gap)^T232))+IF(Y232="",0,Y232*Val_pt*(Ceiling_e-E_zero)*(1-(1-Half_gap)^W232)),"")</f>
        <v/>
      </c>
      <c r="AE232" s="13" t="str">
        <f aca="false">IF(AND($J232=1,$M232=0),IF(S232="",0,S232*R232)+IF(V232="",0,V232*U232)+IF(Y232="",0,Y232*X232),"")</f>
        <v/>
      </c>
      <c r="AF232" s="12" t="str">
        <f aca="false">IF(AND($J232=1,$M232=0),MIN((AC232-E232)/Span_P,(AD232-F232)/Span_S,(AE232-G232)/Span_B),"")</f>
        <v/>
      </c>
      <c r="AG232" s="15" t="str">
        <f aca="false">IF(AND($J232=1,$M232=0),IF(AF232&gt;0.0000001,1,0),"")</f>
        <v/>
      </c>
      <c r="AH232" s="15" t="str">
        <f aca="false">IF($J232=1,IF($M232=1,AB232,AG232),"")</f>
        <v/>
      </c>
      <c r="AI232" s="13" t="str">
        <f aca="false">IF($J232=1,(Ideal_P-E232)/Span_P,"")</f>
        <v/>
      </c>
      <c r="AJ232" s="13" t="str">
        <f aca="false">IF($J232=1,(Ideal_S-F232)/Span_S,"")</f>
        <v/>
      </c>
      <c r="AK232" s="13" t="str">
        <f aca="false">IF($J232=1,(Ideal_B-G232)/Span_B,"")</f>
        <v/>
      </c>
      <c r="AL232" s="12" t="str">
        <f aca="false">IF($J232=1,MAX(ChA_1*AI232,ChA_2*AJ232,ChA_3*AK232)+Rho*(ChA_1*AI232+ChA_2*AJ232+ChA_3*AK232),"")</f>
        <v/>
      </c>
      <c r="AM232" s="12" t="str">
        <f aca="false">IF($J232=1,MAX(ChB_1*AI232,ChB_2*AJ232,ChB_3*AK232)+Rho*(ChB_1*AI232+ChB_2*AJ232+ChB_3*AK232),"")</f>
        <v/>
      </c>
      <c r="AN232" s="12" t="str">
        <f aca="false">IF($J232=1,MAX(Cx_1*(Ref_P-E232)/Span_P,Cx_2*(Ref_S-F232)/Span_S,Cx_3*(Ref_B-G232)/Span_B),"")</f>
        <v/>
      </c>
    </row>
    <row r="233" customFormat="false" ht="15" hidden="false" customHeight="false" outlineLevel="0" collapsed="false">
      <c r="A233" s="2" t="n">
        <v>227</v>
      </c>
      <c r="B233" s="15" t="n">
        <f aca="false">INT(A233/151)</f>
        <v>1</v>
      </c>
      <c r="C233" s="15" t="n">
        <f aca="false">MOD(A233,151)</f>
        <v>76</v>
      </c>
      <c r="D233" s="15" t="n">
        <f aca="false">INDEX(Grid!$J$6:$P$156,C233+1,B233+1)</f>
        <v>1</v>
      </c>
      <c r="E233" s="16" t="n">
        <f aca="false">IF(D233=1,INDEX(Grid!$B$6:$H$156,C233+1,B233+1),"")</f>
        <v>301.581734978361</v>
      </c>
      <c r="F233" s="13" t="n">
        <f aca="false">Val_pt*(Ceiling_e-E_zero)*(1-(1-Half_gap)^B233)</f>
        <v>70</v>
      </c>
      <c r="G233" s="15" t="n">
        <f aca="false">C233</f>
        <v>76</v>
      </c>
      <c r="H233" s="15" t="n">
        <f aca="false">IF(D233=1,INDEX(Grid!$R$6:$X$156,C233+1,B233+1),"")</f>
        <v>32</v>
      </c>
      <c r="I233" s="2" t="str">
        <f aca="false">IF(D233=1,INDEX(Sch_label,H233+1),"")</f>
        <v>1</v>
      </c>
      <c r="J233" s="15" t="n">
        <f aca="false">IF(D233=1,INDEX(Grid!$Z$6:$AF$156,C233+1,B233+1),0)</f>
        <v>0</v>
      </c>
      <c r="K233" s="16" t="n">
        <f aca="false">IF(J233=1,E233,0)</f>
        <v>0</v>
      </c>
      <c r="L233" s="17" t="n">
        <f aca="false">IF(D233=1,E233+W_board*F233,"")</f>
        <v>696.713486016005</v>
      </c>
      <c r="Z233" s="12" t="str">
        <f aca="false">IF(AND($J233=1,$M233=1),N233*E233/Span_P+O233*F233/Span_S+P233*G233/Span_B,"")</f>
        <v/>
      </c>
      <c r="AA233" s="12" t="str">
        <f aca="false">IF(AND($J233=1,$M233=1),SUMPRODUCT(MAX($J$6:$J$1062*(N233*$K$6:$K$1062/Span_P+O233*$F$6:$F$1062/Span_S+P233*$G$6:$G$1062/Span_B)-(1-$J$6:$J$1062)*1000000000)),"")</f>
        <v/>
      </c>
      <c r="AB233" s="15" t="str">
        <f aca="false">IF(AND($J233=1,$M233=1),IF(AA233-Z233&lt;=0.000000001,1,0),"")</f>
        <v/>
      </c>
      <c r="AC233" s="13" t="str">
        <f aca="false">IF(AND($J233=1,$M233=0),IF(S233="",0,S233*INDEX(Grid!$B$6:$H$156,R233+1,Q233+1))+IF(V233="",0,V233*INDEX(Grid!$B$6:$H$156,U233+1,T233+1))+IF(Y233="",0,Y233*INDEX(Grid!$B$6:$H$156,X233+1,W233+1)),"")</f>
        <v/>
      </c>
      <c r="AD233" s="13" t="str">
        <f aca="false">IF(AND($J233=1,$M233=0),IF(S233="",0,S233*Val_pt*(Ceiling_e-E_zero)*(1-(1-Half_gap)^Q233))+IF(V233="",0,V233*Val_pt*(Ceiling_e-E_zero)*(1-(1-Half_gap)^T233))+IF(Y233="",0,Y233*Val_pt*(Ceiling_e-E_zero)*(1-(1-Half_gap)^W233)),"")</f>
        <v/>
      </c>
      <c r="AE233" s="13" t="str">
        <f aca="false">IF(AND($J233=1,$M233=0),IF(S233="",0,S233*R233)+IF(V233="",0,V233*U233)+IF(Y233="",0,Y233*X233),"")</f>
        <v/>
      </c>
      <c r="AF233" s="12" t="str">
        <f aca="false">IF(AND($J233=1,$M233=0),MIN((AC233-E233)/Span_P,(AD233-F233)/Span_S,(AE233-G233)/Span_B),"")</f>
        <v/>
      </c>
      <c r="AG233" s="15" t="str">
        <f aca="false">IF(AND($J233=1,$M233=0),IF(AF233&gt;0.0000001,1,0),"")</f>
        <v/>
      </c>
      <c r="AH233" s="15" t="str">
        <f aca="false">IF($J233=1,IF($M233=1,AB233,AG233),"")</f>
        <v/>
      </c>
      <c r="AI233" s="13" t="str">
        <f aca="false">IF($J233=1,(Ideal_P-E233)/Span_P,"")</f>
        <v/>
      </c>
      <c r="AJ233" s="13" t="str">
        <f aca="false">IF($J233=1,(Ideal_S-F233)/Span_S,"")</f>
        <v/>
      </c>
      <c r="AK233" s="13" t="str">
        <f aca="false">IF($J233=1,(Ideal_B-G233)/Span_B,"")</f>
        <v/>
      </c>
      <c r="AL233" s="12" t="str">
        <f aca="false">IF($J233=1,MAX(ChA_1*AI233,ChA_2*AJ233,ChA_3*AK233)+Rho*(ChA_1*AI233+ChA_2*AJ233+ChA_3*AK233),"")</f>
        <v/>
      </c>
      <c r="AM233" s="12" t="str">
        <f aca="false">IF($J233=1,MAX(ChB_1*AI233,ChB_2*AJ233,ChB_3*AK233)+Rho*(ChB_1*AI233+ChB_2*AJ233+ChB_3*AK233),"")</f>
        <v/>
      </c>
      <c r="AN233" s="12" t="str">
        <f aca="false">IF($J233=1,MAX(Cx_1*(Ref_P-E233)/Span_P,Cx_2*(Ref_S-F233)/Span_S,Cx_3*(Ref_B-G233)/Span_B),"")</f>
        <v/>
      </c>
    </row>
    <row r="234" customFormat="false" ht="15" hidden="false" customHeight="false" outlineLevel="0" collapsed="false">
      <c r="A234" s="2" t="n">
        <v>228</v>
      </c>
      <c r="B234" s="15" t="n">
        <f aca="false">INT(A234/151)</f>
        <v>1</v>
      </c>
      <c r="C234" s="15" t="n">
        <f aca="false">MOD(A234,151)</f>
        <v>77</v>
      </c>
      <c r="D234" s="15" t="n">
        <f aca="false">INDEX(Grid!$J$6:$P$156,C234+1,B234+1)</f>
        <v>1</v>
      </c>
      <c r="E234" s="16" t="n">
        <f aca="false">IF(D234=1,INDEX(Grid!$B$6:$H$156,C234+1,B234+1),"")</f>
        <v>300.67264406927</v>
      </c>
      <c r="F234" s="13" t="n">
        <f aca="false">Val_pt*(Ceiling_e-E_zero)*(1-(1-Half_gap)^B234)</f>
        <v>70</v>
      </c>
      <c r="G234" s="15" t="n">
        <f aca="false">C234</f>
        <v>77</v>
      </c>
      <c r="H234" s="15" t="n">
        <f aca="false">IF(D234=1,INDEX(Grid!$R$6:$X$156,C234+1,B234+1),"")</f>
        <v>32</v>
      </c>
      <c r="I234" s="2" t="str">
        <f aca="false">IF(D234=1,INDEX(Sch_label,H234+1),"")</f>
        <v>1</v>
      </c>
      <c r="J234" s="15" t="n">
        <f aca="false">IF(D234=1,INDEX(Grid!$Z$6:$AF$156,C234+1,B234+1),0)</f>
        <v>0</v>
      </c>
      <c r="K234" s="16" t="n">
        <f aca="false">IF(J234=1,E234,0)</f>
        <v>0</v>
      </c>
      <c r="L234" s="17" t="n">
        <f aca="false">IF(D234=1,E234+W_board*F234,"")</f>
        <v>695.804395106914</v>
      </c>
      <c r="Z234" s="12" t="str">
        <f aca="false">IF(AND($J234=1,$M234=1),N234*E234/Span_P+O234*F234/Span_S+P234*G234/Span_B,"")</f>
        <v/>
      </c>
      <c r="AA234" s="12" t="str">
        <f aca="false">IF(AND($J234=1,$M234=1),SUMPRODUCT(MAX($J$6:$J$1062*(N234*$K$6:$K$1062/Span_P+O234*$F$6:$F$1062/Span_S+P234*$G$6:$G$1062/Span_B)-(1-$J$6:$J$1062)*1000000000)),"")</f>
        <v/>
      </c>
      <c r="AB234" s="15" t="str">
        <f aca="false">IF(AND($J234=1,$M234=1),IF(AA234-Z234&lt;=0.000000001,1,0),"")</f>
        <v/>
      </c>
      <c r="AC234" s="13" t="str">
        <f aca="false">IF(AND($J234=1,$M234=0),IF(S234="",0,S234*INDEX(Grid!$B$6:$H$156,R234+1,Q234+1))+IF(V234="",0,V234*INDEX(Grid!$B$6:$H$156,U234+1,T234+1))+IF(Y234="",0,Y234*INDEX(Grid!$B$6:$H$156,X234+1,W234+1)),"")</f>
        <v/>
      </c>
      <c r="AD234" s="13" t="str">
        <f aca="false">IF(AND($J234=1,$M234=0),IF(S234="",0,S234*Val_pt*(Ceiling_e-E_zero)*(1-(1-Half_gap)^Q234))+IF(V234="",0,V234*Val_pt*(Ceiling_e-E_zero)*(1-(1-Half_gap)^T234))+IF(Y234="",0,Y234*Val_pt*(Ceiling_e-E_zero)*(1-(1-Half_gap)^W234)),"")</f>
        <v/>
      </c>
      <c r="AE234" s="13" t="str">
        <f aca="false">IF(AND($J234=1,$M234=0),IF(S234="",0,S234*R234)+IF(V234="",0,V234*U234)+IF(Y234="",0,Y234*X234),"")</f>
        <v/>
      </c>
      <c r="AF234" s="12" t="str">
        <f aca="false">IF(AND($J234=1,$M234=0),MIN((AC234-E234)/Span_P,(AD234-F234)/Span_S,(AE234-G234)/Span_B),"")</f>
        <v/>
      </c>
      <c r="AG234" s="15" t="str">
        <f aca="false">IF(AND($J234=1,$M234=0),IF(AF234&gt;0.0000001,1,0),"")</f>
        <v/>
      </c>
      <c r="AH234" s="15" t="str">
        <f aca="false">IF($J234=1,IF($M234=1,AB234,AG234),"")</f>
        <v/>
      </c>
      <c r="AI234" s="13" t="str">
        <f aca="false">IF($J234=1,(Ideal_P-E234)/Span_P,"")</f>
        <v/>
      </c>
      <c r="AJ234" s="13" t="str">
        <f aca="false">IF($J234=1,(Ideal_S-F234)/Span_S,"")</f>
        <v/>
      </c>
      <c r="AK234" s="13" t="str">
        <f aca="false">IF($J234=1,(Ideal_B-G234)/Span_B,"")</f>
        <v/>
      </c>
      <c r="AL234" s="12" t="str">
        <f aca="false">IF($J234=1,MAX(ChA_1*AI234,ChA_2*AJ234,ChA_3*AK234)+Rho*(ChA_1*AI234+ChA_2*AJ234+ChA_3*AK234),"")</f>
        <v/>
      </c>
      <c r="AM234" s="12" t="str">
        <f aca="false">IF($J234=1,MAX(ChB_1*AI234,ChB_2*AJ234,ChB_3*AK234)+Rho*(ChB_1*AI234+ChB_2*AJ234+ChB_3*AK234),"")</f>
        <v/>
      </c>
      <c r="AN234" s="12" t="str">
        <f aca="false">IF($J234=1,MAX(Cx_1*(Ref_P-E234)/Span_P,Cx_2*(Ref_S-F234)/Span_S,Cx_3*(Ref_B-G234)/Span_B),"")</f>
        <v/>
      </c>
    </row>
    <row r="235" customFormat="false" ht="15" hidden="false" customHeight="false" outlineLevel="0" collapsed="false">
      <c r="A235" s="2" t="n">
        <v>229</v>
      </c>
      <c r="B235" s="15" t="n">
        <f aca="false">INT(A235/151)</f>
        <v>1</v>
      </c>
      <c r="C235" s="15" t="n">
        <f aca="false">MOD(A235,151)</f>
        <v>78</v>
      </c>
      <c r="D235" s="15" t="n">
        <f aca="false">INDEX(Grid!$J$6:$P$156,C235+1,B235+1)</f>
        <v>1</v>
      </c>
      <c r="E235" s="16" t="n">
        <f aca="false">IF(D235=1,INDEX(Grid!$B$6:$H$156,C235+1,B235+1),"")</f>
        <v>299.763553160179</v>
      </c>
      <c r="F235" s="13" t="n">
        <f aca="false">Val_pt*(Ceiling_e-E_zero)*(1-(1-Half_gap)^B235)</f>
        <v>70</v>
      </c>
      <c r="G235" s="15" t="n">
        <f aca="false">C235</f>
        <v>78</v>
      </c>
      <c r="H235" s="15" t="n">
        <f aca="false">IF(D235=1,INDEX(Grid!$R$6:$X$156,C235+1,B235+1),"")</f>
        <v>32</v>
      </c>
      <c r="I235" s="2" t="str">
        <f aca="false">IF(D235=1,INDEX(Sch_label,H235+1),"")</f>
        <v>1</v>
      </c>
      <c r="J235" s="15" t="n">
        <f aca="false">IF(D235=1,INDEX(Grid!$Z$6:$AF$156,C235+1,B235+1),0)</f>
        <v>0</v>
      </c>
      <c r="K235" s="16" t="n">
        <f aca="false">IF(J235=1,E235,0)</f>
        <v>0</v>
      </c>
      <c r="L235" s="17" t="n">
        <f aca="false">IF(D235=1,E235+W_board*F235,"")</f>
        <v>694.895304197823</v>
      </c>
      <c r="Z235" s="12" t="str">
        <f aca="false">IF(AND($J235=1,$M235=1),N235*E235/Span_P+O235*F235/Span_S+P235*G235/Span_B,"")</f>
        <v/>
      </c>
      <c r="AA235" s="12" t="str">
        <f aca="false">IF(AND($J235=1,$M235=1),SUMPRODUCT(MAX($J$6:$J$1062*(N235*$K$6:$K$1062/Span_P+O235*$F$6:$F$1062/Span_S+P235*$G$6:$G$1062/Span_B)-(1-$J$6:$J$1062)*1000000000)),"")</f>
        <v/>
      </c>
      <c r="AB235" s="15" t="str">
        <f aca="false">IF(AND($J235=1,$M235=1),IF(AA235-Z235&lt;=0.000000001,1,0),"")</f>
        <v/>
      </c>
      <c r="AC235" s="13" t="str">
        <f aca="false">IF(AND($J235=1,$M235=0),IF(S235="",0,S235*INDEX(Grid!$B$6:$H$156,R235+1,Q235+1))+IF(V235="",0,V235*INDEX(Grid!$B$6:$H$156,U235+1,T235+1))+IF(Y235="",0,Y235*INDEX(Grid!$B$6:$H$156,X235+1,W235+1)),"")</f>
        <v/>
      </c>
      <c r="AD235" s="13" t="str">
        <f aca="false">IF(AND($J235=1,$M235=0),IF(S235="",0,S235*Val_pt*(Ceiling_e-E_zero)*(1-(1-Half_gap)^Q235))+IF(V235="",0,V235*Val_pt*(Ceiling_e-E_zero)*(1-(1-Half_gap)^T235))+IF(Y235="",0,Y235*Val_pt*(Ceiling_e-E_zero)*(1-(1-Half_gap)^W235)),"")</f>
        <v/>
      </c>
      <c r="AE235" s="13" t="str">
        <f aca="false">IF(AND($J235=1,$M235=0),IF(S235="",0,S235*R235)+IF(V235="",0,V235*U235)+IF(Y235="",0,Y235*X235),"")</f>
        <v/>
      </c>
      <c r="AF235" s="12" t="str">
        <f aca="false">IF(AND($J235=1,$M235=0),MIN((AC235-E235)/Span_P,(AD235-F235)/Span_S,(AE235-G235)/Span_B),"")</f>
        <v/>
      </c>
      <c r="AG235" s="15" t="str">
        <f aca="false">IF(AND($J235=1,$M235=0),IF(AF235&gt;0.0000001,1,0),"")</f>
        <v/>
      </c>
      <c r="AH235" s="15" t="str">
        <f aca="false">IF($J235=1,IF($M235=1,AB235,AG235),"")</f>
        <v/>
      </c>
      <c r="AI235" s="13" t="str">
        <f aca="false">IF($J235=1,(Ideal_P-E235)/Span_P,"")</f>
        <v/>
      </c>
      <c r="AJ235" s="13" t="str">
        <f aca="false">IF($J235=1,(Ideal_S-F235)/Span_S,"")</f>
        <v/>
      </c>
      <c r="AK235" s="13" t="str">
        <f aca="false">IF($J235=1,(Ideal_B-G235)/Span_B,"")</f>
        <v/>
      </c>
      <c r="AL235" s="12" t="str">
        <f aca="false">IF($J235=1,MAX(ChA_1*AI235,ChA_2*AJ235,ChA_3*AK235)+Rho*(ChA_1*AI235+ChA_2*AJ235+ChA_3*AK235),"")</f>
        <v/>
      </c>
      <c r="AM235" s="12" t="str">
        <f aca="false">IF($J235=1,MAX(ChB_1*AI235,ChB_2*AJ235,ChB_3*AK235)+Rho*(ChB_1*AI235+ChB_2*AJ235+ChB_3*AK235),"")</f>
        <v/>
      </c>
      <c r="AN235" s="12" t="str">
        <f aca="false">IF($J235=1,MAX(Cx_1*(Ref_P-E235)/Span_P,Cx_2*(Ref_S-F235)/Span_S,Cx_3*(Ref_B-G235)/Span_B),"")</f>
        <v/>
      </c>
    </row>
    <row r="236" customFormat="false" ht="15" hidden="false" customHeight="false" outlineLevel="0" collapsed="false">
      <c r="A236" s="2" t="n">
        <v>230</v>
      </c>
      <c r="B236" s="15" t="n">
        <f aca="false">INT(A236/151)</f>
        <v>1</v>
      </c>
      <c r="C236" s="15" t="n">
        <f aca="false">MOD(A236,151)</f>
        <v>79</v>
      </c>
      <c r="D236" s="15" t="n">
        <f aca="false">INDEX(Grid!$J$6:$P$156,C236+1,B236+1)</f>
        <v>1</v>
      </c>
      <c r="E236" s="16" t="n">
        <f aca="false">IF(D236=1,INDEX(Grid!$B$6:$H$156,C236+1,B236+1),"")</f>
        <v>298.854462251088</v>
      </c>
      <c r="F236" s="13" t="n">
        <f aca="false">Val_pt*(Ceiling_e-E_zero)*(1-(1-Half_gap)^B236)</f>
        <v>70</v>
      </c>
      <c r="G236" s="15" t="n">
        <f aca="false">C236</f>
        <v>79</v>
      </c>
      <c r="H236" s="15" t="n">
        <f aca="false">IF(D236=1,INDEX(Grid!$R$6:$X$156,C236+1,B236+1),"")</f>
        <v>32</v>
      </c>
      <c r="I236" s="2" t="str">
        <f aca="false">IF(D236=1,INDEX(Sch_label,H236+1),"")</f>
        <v>1</v>
      </c>
      <c r="J236" s="15" t="n">
        <f aca="false">IF(D236=1,INDEX(Grid!$Z$6:$AF$156,C236+1,B236+1),0)</f>
        <v>0</v>
      </c>
      <c r="K236" s="16" t="n">
        <f aca="false">IF(J236=1,E236,0)</f>
        <v>0</v>
      </c>
      <c r="L236" s="17" t="n">
        <f aca="false">IF(D236=1,E236+W_board*F236,"")</f>
        <v>693.986213288732</v>
      </c>
      <c r="Z236" s="12" t="str">
        <f aca="false">IF(AND($J236=1,$M236=1),N236*E236/Span_P+O236*F236/Span_S+P236*G236/Span_B,"")</f>
        <v/>
      </c>
      <c r="AA236" s="12" t="str">
        <f aca="false">IF(AND($J236=1,$M236=1),SUMPRODUCT(MAX($J$6:$J$1062*(N236*$K$6:$K$1062/Span_P+O236*$F$6:$F$1062/Span_S+P236*$G$6:$G$1062/Span_B)-(1-$J$6:$J$1062)*1000000000)),"")</f>
        <v/>
      </c>
      <c r="AB236" s="15" t="str">
        <f aca="false">IF(AND($J236=1,$M236=1),IF(AA236-Z236&lt;=0.000000001,1,0),"")</f>
        <v/>
      </c>
      <c r="AC236" s="13" t="str">
        <f aca="false">IF(AND($J236=1,$M236=0),IF(S236="",0,S236*INDEX(Grid!$B$6:$H$156,R236+1,Q236+1))+IF(V236="",0,V236*INDEX(Grid!$B$6:$H$156,U236+1,T236+1))+IF(Y236="",0,Y236*INDEX(Grid!$B$6:$H$156,X236+1,W236+1)),"")</f>
        <v/>
      </c>
      <c r="AD236" s="13" t="str">
        <f aca="false">IF(AND($J236=1,$M236=0),IF(S236="",0,S236*Val_pt*(Ceiling_e-E_zero)*(1-(1-Half_gap)^Q236))+IF(V236="",0,V236*Val_pt*(Ceiling_e-E_zero)*(1-(1-Half_gap)^T236))+IF(Y236="",0,Y236*Val_pt*(Ceiling_e-E_zero)*(1-(1-Half_gap)^W236)),"")</f>
        <v/>
      </c>
      <c r="AE236" s="13" t="str">
        <f aca="false">IF(AND($J236=1,$M236=0),IF(S236="",0,S236*R236)+IF(V236="",0,V236*U236)+IF(Y236="",0,Y236*X236),"")</f>
        <v/>
      </c>
      <c r="AF236" s="12" t="str">
        <f aca="false">IF(AND($J236=1,$M236=0),MIN((AC236-E236)/Span_P,(AD236-F236)/Span_S,(AE236-G236)/Span_B),"")</f>
        <v/>
      </c>
      <c r="AG236" s="15" t="str">
        <f aca="false">IF(AND($J236=1,$M236=0),IF(AF236&gt;0.0000001,1,0),"")</f>
        <v/>
      </c>
      <c r="AH236" s="15" t="str">
        <f aca="false">IF($J236=1,IF($M236=1,AB236,AG236),"")</f>
        <v/>
      </c>
      <c r="AI236" s="13" t="str">
        <f aca="false">IF($J236=1,(Ideal_P-E236)/Span_P,"")</f>
        <v/>
      </c>
      <c r="AJ236" s="13" t="str">
        <f aca="false">IF($J236=1,(Ideal_S-F236)/Span_S,"")</f>
        <v/>
      </c>
      <c r="AK236" s="13" t="str">
        <f aca="false">IF($J236=1,(Ideal_B-G236)/Span_B,"")</f>
        <v/>
      </c>
      <c r="AL236" s="12" t="str">
        <f aca="false">IF($J236=1,MAX(ChA_1*AI236,ChA_2*AJ236,ChA_3*AK236)+Rho*(ChA_1*AI236+ChA_2*AJ236+ChA_3*AK236),"")</f>
        <v/>
      </c>
      <c r="AM236" s="12" t="str">
        <f aca="false">IF($J236=1,MAX(ChB_1*AI236,ChB_2*AJ236,ChB_3*AK236)+Rho*(ChB_1*AI236+ChB_2*AJ236+ChB_3*AK236),"")</f>
        <v/>
      </c>
      <c r="AN236" s="12" t="str">
        <f aca="false">IF($J236=1,MAX(Cx_1*(Ref_P-E236)/Span_P,Cx_2*(Ref_S-F236)/Span_S,Cx_3*(Ref_B-G236)/Span_B),"")</f>
        <v/>
      </c>
    </row>
    <row r="237" customFormat="false" ht="15" hidden="false" customHeight="false" outlineLevel="0" collapsed="false">
      <c r="A237" s="2" t="n">
        <v>231</v>
      </c>
      <c r="B237" s="15" t="n">
        <f aca="false">INT(A237/151)</f>
        <v>1</v>
      </c>
      <c r="C237" s="15" t="n">
        <f aca="false">MOD(A237,151)</f>
        <v>80</v>
      </c>
      <c r="D237" s="15" t="n">
        <f aca="false">INDEX(Grid!$J$6:$P$156,C237+1,B237+1)</f>
        <v>1</v>
      </c>
      <c r="E237" s="16" t="n">
        <f aca="false">IF(D237=1,INDEX(Grid!$B$6:$H$156,C237+1,B237+1),"")</f>
        <v>297.945371341997</v>
      </c>
      <c r="F237" s="13" t="n">
        <f aca="false">Val_pt*(Ceiling_e-E_zero)*(1-(1-Half_gap)^B237)</f>
        <v>70</v>
      </c>
      <c r="G237" s="15" t="n">
        <f aca="false">C237</f>
        <v>80</v>
      </c>
      <c r="H237" s="15" t="n">
        <f aca="false">IF(D237=1,INDEX(Grid!$R$6:$X$156,C237+1,B237+1),"")</f>
        <v>32</v>
      </c>
      <c r="I237" s="2" t="str">
        <f aca="false">IF(D237=1,INDEX(Sch_label,H237+1),"")</f>
        <v>1</v>
      </c>
      <c r="J237" s="15" t="n">
        <f aca="false">IF(D237=1,INDEX(Grid!$Z$6:$AF$156,C237+1,B237+1),0)</f>
        <v>0</v>
      </c>
      <c r="K237" s="16" t="n">
        <f aca="false">IF(J237=1,E237,0)</f>
        <v>0</v>
      </c>
      <c r="L237" s="17" t="n">
        <f aca="false">IF(D237=1,E237+W_board*F237,"")</f>
        <v>693.077122379641</v>
      </c>
      <c r="Z237" s="12" t="str">
        <f aca="false">IF(AND($J237=1,$M237=1),N237*E237/Span_P+O237*F237/Span_S+P237*G237/Span_B,"")</f>
        <v/>
      </c>
      <c r="AA237" s="12" t="str">
        <f aca="false">IF(AND($J237=1,$M237=1),SUMPRODUCT(MAX($J$6:$J$1062*(N237*$K$6:$K$1062/Span_P+O237*$F$6:$F$1062/Span_S+P237*$G$6:$G$1062/Span_B)-(1-$J$6:$J$1062)*1000000000)),"")</f>
        <v/>
      </c>
      <c r="AB237" s="15" t="str">
        <f aca="false">IF(AND($J237=1,$M237=1),IF(AA237-Z237&lt;=0.000000001,1,0),"")</f>
        <v/>
      </c>
      <c r="AC237" s="13" t="str">
        <f aca="false">IF(AND($J237=1,$M237=0),IF(S237="",0,S237*INDEX(Grid!$B$6:$H$156,R237+1,Q237+1))+IF(V237="",0,V237*INDEX(Grid!$B$6:$H$156,U237+1,T237+1))+IF(Y237="",0,Y237*INDEX(Grid!$B$6:$H$156,X237+1,W237+1)),"")</f>
        <v/>
      </c>
      <c r="AD237" s="13" t="str">
        <f aca="false">IF(AND($J237=1,$M237=0),IF(S237="",0,S237*Val_pt*(Ceiling_e-E_zero)*(1-(1-Half_gap)^Q237))+IF(V237="",0,V237*Val_pt*(Ceiling_e-E_zero)*(1-(1-Half_gap)^T237))+IF(Y237="",0,Y237*Val_pt*(Ceiling_e-E_zero)*(1-(1-Half_gap)^W237)),"")</f>
        <v/>
      </c>
      <c r="AE237" s="13" t="str">
        <f aca="false">IF(AND($J237=1,$M237=0),IF(S237="",0,S237*R237)+IF(V237="",0,V237*U237)+IF(Y237="",0,Y237*X237),"")</f>
        <v/>
      </c>
      <c r="AF237" s="12" t="str">
        <f aca="false">IF(AND($J237=1,$M237=0),MIN((AC237-E237)/Span_P,(AD237-F237)/Span_S,(AE237-G237)/Span_B),"")</f>
        <v/>
      </c>
      <c r="AG237" s="15" t="str">
        <f aca="false">IF(AND($J237=1,$M237=0),IF(AF237&gt;0.0000001,1,0),"")</f>
        <v/>
      </c>
      <c r="AH237" s="15" t="str">
        <f aca="false">IF($J237=1,IF($M237=1,AB237,AG237),"")</f>
        <v/>
      </c>
      <c r="AI237" s="13" t="str">
        <f aca="false">IF($J237=1,(Ideal_P-E237)/Span_P,"")</f>
        <v/>
      </c>
      <c r="AJ237" s="13" t="str">
        <f aca="false">IF($J237=1,(Ideal_S-F237)/Span_S,"")</f>
        <v/>
      </c>
      <c r="AK237" s="13" t="str">
        <f aca="false">IF($J237=1,(Ideal_B-G237)/Span_B,"")</f>
        <v/>
      </c>
      <c r="AL237" s="12" t="str">
        <f aca="false">IF($J237=1,MAX(ChA_1*AI237,ChA_2*AJ237,ChA_3*AK237)+Rho*(ChA_1*AI237+ChA_2*AJ237+ChA_3*AK237),"")</f>
        <v/>
      </c>
      <c r="AM237" s="12" t="str">
        <f aca="false">IF($J237=1,MAX(ChB_1*AI237,ChB_2*AJ237,ChB_3*AK237)+Rho*(ChB_1*AI237+ChB_2*AJ237+ChB_3*AK237),"")</f>
        <v/>
      </c>
      <c r="AN237" s="12" t="str">
        <f aca="false">IF($J237=1,MAX(Cx_1*(Ref_P-E237)/Span_P,Cx_2*(Ref_S-F237)/Span_S,Cx_3*(Ref_B-G237)/Span_B),"")</f>
        <v/>
      </c>
    </row>
    <row r="238" customFormat="false" ht="15" hidden="false" customHeight="false" outlineLevel="0" collapsed="false">
      <c r="A238" s="2" t="n">
        <v>232</v>
      </c>
      <c r="B238" s="15" t="n">
        <f aca="false">INT(A238/151)</f>
        <v>1</v>
      </c>
      <c r="C238" s="15" t="n">
        <f aca="false">MOD(A238,151)</f>
        <v>81</v>
      </c>
      <c r="D238" s="15" t="n">
        <f aca="false">INDEX(Grid!$J$6:$P$156,C238+1,B238+1)</f>
        <v>1</v>
      </c>
      <c r="E238" s="16" t="n">
        <f aca="false">IF(D238=1,INDEX(Grid!$B$6:$H$156,C238+1,B238+1),"")</f>
        <v>297.036280432906</v>
      </c>
      <c r="F238" s="13" t="n">
        <f aca="false">Val_pt*(Ceiling_e-E_zero)*(1-(1-Half_gap)^B238)</f>
        <v>70</v>
      </c>
      <c r="G238" s="15" t="n">
        <f aca="false">C238</f>
        <v>81</v>
      </c>
      <c r="H238" s="15" t="n">
        <f aca="false">IF(D238=1,INDEX(Grid!$R$6:$X$156,C238+1,B238+1),"")</f>
        <v>32</v>
      </c>
      <c r="I238" s="2" t="str">
        <f aca="false">IF(D238=1,INDEX(Sch_label,H238+1),"")</f>
        <v>1</v>
      </c>
      <c r="J238" s="15" t="n">
        <f aca="false">IF(D238=1,INDEX(Grid!$Z$6:$AF$156,C238+1,B238+1),0)</f>
        <v>0</v>
      </c>
      <c r="K238" s="16" t="n">
        <f aca="false">IF(J238=1,E238,0)</f>
        <v>0</v>
      </c>
      <c r="L238" s="17" t="n">
        <f aca="false">IF(D238=1,E238+W_board*F238,"")</f>
        <v>692.16803147055</v>
      </c>
      <c r="Z238" s="12" t="str">
        <f aca="false">IF(AND($J238=1,$M238=1),N238*E238/Span_P+O238*F238/Span_S+P238*G238/Span_B,"")</f>
        <v/>
      </c>
      <c r="AA238" s="12" t="str">
        <f aca="false">IF(AND($J238=1,$M238=1),SUMPRODUCT(MAX($J$6:$J$1062*(N238*$K$6:$K$1062/Span_P+O238*$F$6:$F$1062/Span_S+P238*$G$6:$G$1062/Span_B)-(1-$J$6:$J$1062)*1000000000)),"")</f>
        <v/>
      </c>
      <c r="AB238" s="15" t="str">
        <f aca="false">IF(AND($J238=1,$M238=1),IF(AA238-Z238&lt;=0.000000001,1,0),"")</f>
        <v/>
      </c>
      <c r="AC238" s="13" t="str">
        <f aca="false">IF(AND($J238=1,$M238=0),IF(S238="",0,S238*INDEX(Grid!$B$6:$H$156,R238+1,Q238+1))+IF(V238="",0,V238*INDEX(Grid!$B$6:$H$156,U238+1,T238+1))+IF(Y238="",0,Y238*INDEX(Grid!$B$6:$H$156,X238+1,W238+1)),"")</f>
        <v/>
      </c>
      <c r="AD238" s="13" t="str">
        <f aca="false">IF(AND($J238=1,$M238=0),IF(S238="",0,S238*Val_pt*(Ceiling_e-E_zero)*(1-(1-Half_gap)^Q238))+IF(V238="",0,V238*Val_pt*(Ceiling_e-E_zero)*(1-(1-Half_gap)^T238))+IF(Y238="",0,Y238*Val_pt*(Ceiling_e-E_zero)*(1-(1-Half_gap)^W238)),"")</f>
        <v/>
      </c>
      <c r="AE238" s="13" t="str">
        <f aca="false">IF(AND($J238=1,$M238=0),IF(S238="",0,S238*R238)+IF(V238="",0,V238*U238)+IF(Y238="",0,Y238*X238),"")</f>
        <v/>
      </c>
      <c r="AF238" s="12" t="str">
        <f aca="false">IF(AND($J238=1,$M238=0),MIN((AC238-E238)/Span_P,(AD238-F238)/Span_S,(AE238-G238)/Span_B),"")</f>
        <v/>
      </c>
      <c r="AG238" s="15" t="str">
        <f aca="false">IF(AND($J238=1,$M238=0),IF(AF238&gt;0.0000001,1,0),"")</f>
        <v/>
      </c>
      <c r="AH238" s="15" t="str">
        <f aca="false">IF($J238=1,IF($M238=1,AB238,AG238),"")</f>
        <v/>
      </c>
      <c r="AI238" s="13" t="str">
        <f aca="false">IF($J238=1,(Ideal_P-E238)/Span_P,"")</f>
        <v/>
      </c>
      <c r="AJ238" s="13" t="str">
        <f aca="false">IF($J238=1,(Ideal_S-F238)/Span_S,"")</f>
        <v/>
      </c>
      <c r="AK238" s="13" t="str">
        <f aca="false">IF($J238=1,(Ideal_B-G238)/Span_B,"")</f>
        <v/>
      </c>
      <c r="AL238" s="12" t="str">
        <f aca="false">IF($J238=1,MAX(ChA_1*AI238,ChA_2*AJ238,ChA_3*AK238)+Rho*(ChA_1*AI238+ChA_2*AJ238+ChA_3*AK238),"")</f>
        <v/>
      </c>
      <c r="AM238" s="12" t="str">
        <f aca="false">IF($J238=1,MAX(ChB_1*AI238,ChB_2*AJ238,ChB_3*AK238)+Rho*(ChB_1*AI238+ChB_2*AJ238+ChB_3*AK238),"")</f>
        <v/>
      </c>
      <c r="AN238" s="12" t="str">
        <f aca="false">IF($J238=1,MAX(Cx_1*(Ref_P-E238)/Span_P,Cx_2*(Ref_S-F238)/Span_S,Cx_3*(Ref_B-G238)/Span_B),"")</f>
        <v/>
      </c>
    </row>
    <row r="239" customFormat="false" ht="15" hidden="false" customHeight="false" outlineLevel="0" collapsed="false">
      <c r="A239" s="2" t="n">
        <v>233</v>
      </c>
      <c r="B239" s="15" t="n">
        <f aca="false">INT(A239/151)</f>
        <v>1</v>
      </c>
      <c r="C239" s="15" t="n">
        <f aca="false">MOD(A239,151)</f>
        <v>82</v>
      </c>
      <c r="D239" s="15" t="n">
        <f aca="false">INDEX(Grid!$J$6:$P$156,C239+1,B239+1)</f>
        <v>1</v>
      </c>
      <c r="E239" s="16" t="n">
        <f aca="false">IF(D239=1,INDEX(Grid!$B$6:$H$156,C239+1,B239+1),"")</f>
        <v>296.127189523815</v>
      </c>
      <c r="F239" s="13" t="n">
        <f aca="false">Val_pt*(Ceiling_e-E_zero)*(1-(1-Half_gap)^B239)</f>
        <v>70</v>
      </c>
      <c r="G239" s="15" t="n">
        <f aca="false">C239</f>
        <v>82</v>
      </c>
      <c r="H239" s="15" t="n">
        <f aca="false">IF(D239=1,INDEX(Grid!$R$6:$X$156,C239+1,B239+1),"")</f>
        <v>32</v>
      </c>
      <c r="I239" s="2" t="str">
        <f aca="false">IF(D239=1,INDEX(Sch_label,H239+1),"")</f>
        <v>1</v>
      </c>
      <c r="J239" s="15" t="n">
        <f aca="false">IF(D239=1,INDEX(Grid!$Z$6:$AF$156,C239+1,B239+1),0)</f>
        <v>0</v>
      </c>
      <c r="K239" s="16" t="n">
        <f aca="false">IF(J239=1,E239,0)</f>
        <v>0</v>
      </c>
      <c r="L239" s="17" t="n">
        <f aca="false">IF(D239=1,E239+W_board*F239,"")</f>
        <v>691.258940561459</v>
      </c>
      <c r="Z239" s="12" t="str">
        <f aca="false">IF(AND($J239=1,$M239=1),N239*E239/Span_P+O239*F239/Span_S+P239*G239/Span_B,"")</f>
        <v/>
      </c>
      <c r="AA239" s="12" t="str">
        <f aca="false">IF(AND($J239=1,$M239=1),SUMPRODUCT(MAX($J$6:$J$1062*(N239*$K$6:$K$1062/Span_P+O239*$F$6:$F$1062/Span_S+P239*$G$6:$G$1062/Span_B)-(1-$J$6:$J$1062)*1000000000)),"")</f>
        <v/>
      </c>
      <c r="AB239" s="15" t="str">
        <f aca="false">IF(AND($J239=1,$M239=1),IF(AA239-Z239&lt;=0.000000001,1,0),"")</f>
        <v/>
      </c>
      <c r="AC239" s="13" t="str">
        <f aca="false">IF(AND($J239=1,$M239=0),IF(S239="",0,S239*INDEX(Grid!$B$6:$H$156,R239+1,Q239+1))+IF(V239="",0,V239*INDEX(Grid!$B$6:$H$156,U239+1,T239+1))+IF(Y239="",0,Y239*INDEX(Grid!$B$6:$H$156,X239+1,W239+1)),"")</f>
        <v/>
      </c>
      <c r="AD239" s="13" t="str">
        <f aca="false">IF(AND($J239=1,$M239=0),IF(S239="",0,S239*Val_pt*(Ceiling_e-E_zero)*(1-(1-Half_gap)^Q239))+IF(V239="",0,V239*Val_pt*(Ceiling_e-E_zero)*(1-(1-Half_gap)^T239))+IF(Y239="",0,Y239*Val_pt*(Ceiling_e-E_zero)*(1-(1-Half_gap)^W239)),"")</f>
        <v/>
      </c>
      <c r="AE239" s="13" t="str">
        <f aca="false">IF(AND($J239=1,$M239=0),IF(S239="",0,S239*R239)+IF(V239="",0,V239*U239)+IF(Y239="",0,Y239*X239),"")</f>
        <v/>
      </c>
      <c r="AF239" s="12" t="str">
        <f aca="false">IF(AND($J239=1,$M239=0),MIN((AC239-E239)/Span_P,(AD239-F239)/Span_S,(AE239-G239)/Span_B),"")</f>
        <v/>
      </c>
      <c r="AG239" s="15" t="str">
        <f aca="false">IF(AND($J239=1,$M239=0),IF(AF239&gt;0.0000001,1,0),"")</f>
        <v/>
      </c>
      <c r="AH239" s="15" t="str">
        <f aca="false">IF($J239=1,IF($M239=1,AB239,AG239),"")</f>
        <v/>
      </c>
      <c r="AI239" s="13" t="str">
        <f aca="false">IF($J239=1,(Ideal_P-E239)/Span_P,"")</f>
        <v/>
      </c>
      <c r="AJ239" s="13" t="str">
        <f aca="false">IF($J239=1,(Ideal_S-F239)/Span_S,"")</f>
        <v/>
      </c>
      <c r="AK239" s="13" t="str">
        <f aca="false">IF($J239=1,(Ideal_B-G239)/Span_B,"")</f>
        <v/>
      </c>
      <c r="AL239" s="12" t="str">
        <f aca="false">IF($J239=1,MAX(ChA_1*AI239,ChA_2*AJ239,ChA_3*AK239)+Rho*(ChA_1*AI239+ChA_2*AJ239+ChA_3*AK239),"")</f>
        <v/>
      </c>
      <c r="AM239" s="12" t="str">
        <f aca="false">IF($J239=1,MAX(ChB_1*AI239,ChB_2*AJ239,ChB_3*AK239)+Rho*(ChB_1*AI239+ChB_2*AJ239+ChB_3*AK239),"")</f>
        <v/>
      </c>
      <c r="AN239" s="12" t="str">
        <f aca="false">IF($J239=1,MAX(Cx_1*(Ref_P-E239)/Span_P,Cx_2*(Ref_S-F239)/Span_S,Cx_3*(Ref_B-G239)/Span_B),"")</f>
        <v/>
      </c>
    </row>
    <row r="240" customFormat="false" ht="15" hidden="false" customHeight="false" outlineLevel="0" collapsed="false">
      <c r="A240" s="2" t="n">
        <v>234</v>
      </c>
      <c r="B240" s="15" t="n">
        <f aca="false">INT(A240/151)</f>
        <v>1</v>
      </c>
      <c r="C240" s="15" t="n">
        <f aca="false">MOD(A240,151)</f>
        <v>83</v>
      </c>
      <c r="D240" s="15" t="n">
        <f aca="false">INDEX(Grid!$J$6:$P$156,C240+1,B240+1)</f>
        <v>1</v>
      </c>
      <c r="E240" s="16" t="n">
        <f aca="false">IF(D240=1,INDEX(Grid!$B$6:$H$156,C240+1,B240+1),"")</f>
        <v>295.218098614725</v>
      </c>
      <c r="F240" s="13" t="n">
        <f aca="false">Val_pt*(Ceiling_e-E_zero)*(1-(1-Half_gap)^B240)</f>
        <v>70</v>
      </c>
      <c r="G240" s="15" t="n">
        <f aca="false">C240</f>
        <v>83</v>
      </c>
      <c r="H240" s="15" t="n">
        <f aca="false">IF(D240=1,INDEX(Grid!$R$6:$X$156,C240+1,B240+1),"")</f>
        <v>32</v>
      </c>
      <c r="I240" s="2" t="str">
        <f aca="false">IF(D240=1,INDEX(Sch_label,H240+1),"")</f>
        <v>1</v>
      </c>
      <c r="J240" s="15" t="n">
        <f aca="false">IF(D240=1,INDEX(Grid!$Z$6:$AF$156,C240+1,B240+1),0)</f>
        <v>0</v>
      </c>
      <c r="K240" s="16" t="n">
        <f aca="false">IF(J240=1,E240,0)</f>
        <v>0</v>
      </c>
      <c r="L240" s="17" t="n">
        <f aca="false">IF(D240=1,E240+W_board*F240,"")</f>
        <v>690.349849652369</v>
      </c>
      <c r="Z240" s="12" t="str">
        <f aca="false">IF(AND($J240=1,$M240=1),N240*E240/Span_P+O240*F240/Span_S+P240*G240/Span_B,"")</f>
        <v/>
      </c>
      <c r="AA240" s="12" t="str">
        <f aca="false">IF(AND($J240=1,$M240=1),SUMPRODUCT(MAX($J$6:$J$1062*(N240*$K$6:$K$1062/Span_P+O240*$F$6:$F$1062/Span_S+P240*$G$6:$G$1062/Span_B)-(1-$J$6:$J$1062)*1000000000)),"")</f>
        <v/>
      </c>
      <c r="AB240" s="15" t="str">
        <f aca="false">IF(AND($J240=1,$M240=1),IF(AA240-Z240&lt;=0.000000001,1,0),"")</f>
        <v/>
      </c>
      <c r="AC240" s="13" t="str">
        <f aca="false">IF(AND($J240=1,$M240=0),IF(S240="",0,S240*INDEX(Grid!$B$6:$H$156,R240+1,Q240+1))+IF(V240="",0,V240*INDEX(Grid!$B$6:$H$156,U240+1,T240+1))+IF(Y240="",0,Y240*INDEX(Grid!$B$6:$H$156,X240+1,W240+1)),"")</f>
        <v/>
      </c>
      <c r="AD240" s="13" t="str">
        <f aca="false">IF(AND($J240=1,$M240=0),IF(S240="",0,S240*Val_pt*(Ceiling_e-E_zero)*(1-(1-Half_gap)^Q240))+IF(V240="",0,V240*Val_pt*(Ceiling_e-E_zero)*(1-(1-Half_gap)^T240))+IF(Y240="",0,Y240*Val_pt*(Ceiling_e-E_zero)*(1-(1-Half_gap)^W240)),"")</f>
        <v/>
      </c>
      <c r="AE240" s="13" t="str">
        <f aca="false">IF(AND($J240=1,$M240=0),IF(S240="",0,S240*R240)+IF(V240="",0,V240*U240)+IF(Y240="",0,Y240*X240),"")</f>
        <v/>
      </c>
      <c r="AF240" s="12" t="str">
        <f aca="false">IF(AND($J240=1,$M240=0),MIN((AC240-E240)/Span_P,(AD240-F240)/Span_S,(AE240-G240)/Span_B),"")</f>
        <v/>
      </c>
      <c r="AG240" s="15" t="str">
        <f aca="false">IF(AND($J240=1,$M240=0),IF(AF240&gt;0.0000001,1,0),"")</f>
        <v/>
      </c>
      <c r="AH240" s="15" t="str">
        <f aca="false">IF($J240=1,IF($M240=1,AB240,AG240),"")</f>
        <v/>
      </c>
      <c r="AI240" s="13" t="str">
        <f aca="false">IF($J240=1,(Ideal_P-E240)/Span_P,"")</f>
        <v/>
      </c>
      <c r="AJ240" s="13" t="str">
        <f aca="false">IF($J240=1,(Ideal_S-F240)/Span_S,"")</f>
        <v/>
      </c>
      <c r="AK240" s="13" t="str">
        <f aca="false">IF($J240=1,(Ideal_B-G240)/Span_B,"")</f>
        <v/>
      </c>
      <c r="AL240" s="12" t="str">
        <f aca="false">IF($J240=1,MAX(ChA_1*AI240,ChA_2*AJ240,ChA_3*AK240)+Rho*(ChA_1*AI240+ChA_2*AJ240+ChA_3*AK240),"")</f>
        <v/>
      </c>
      <c r="AM240" s="12" t="str">
        <f aca="false">IF($J240=1,MAX(ChB_1*AI240,ChB_2*AJ240,ChB_3*AK240)+Rho*(ChB_1*AI240+ChB_2*AJ240+ChB_3*AK240),"")</f>
        <v/>
      </c>
      <c r="AN240" s="12" t="str">
        <f aca="false">IF($J240=1,MAX(Cx_1*(Ref_P-E240)/Span_P,Cx_2*(Ref_S-F240)/Span_S,Cx_3*(Ref_B-G240)/Span_B),"")</f>
        <v/>
      </c>
    </row>
    <row r="241" customFormat="false" ht="15" hidden="false" customHeight="false" outlineLevel="0" collapsed="false">
      <c r="A241" s="2" t="n">
        <v>235</v>
      </c>
      <c r="B241" s="15" t="n">
        <f aca="false">INT(A241/151)</f>
        <v>1</v>
      </c>
      <c r="C241" s="15" t="n">
        <f aca="false">MOD(A241,151)</f>
        <v>84</v>
      </c>
      <c r="D241" s="15" t="n">
        <f aca="false">INDEX(Grid!$J$6:$P$156,C241+1,B241+1)</f>
        <v>1</v>
      </c>
      <c r="E241" s="16" t="n">
        <f aca="false">IF(D241=1,INDEX(Grid!$B$6:$H$156,C241+1,B241+1),"")</f>
        <v>294.309007705634</v>
      </c>
      <c r="F241" s="13" t="n">
        <f aca="false">Val_pt*(Ceiling_e-E_zero)*(1-(1-Half_gap)^B241)</f>
        <v>70</v>
      </c>
      <c r="G241" s="15" t="n">
        <f aca="false">C241</f>
        <v>84</v>
      </c>
      <c r="H241" s="15" t="n">
        <f aca="false">IF(D241=1,INDEX(Grid!$R$6:$X$156,C241+1,B241+1),"")</f>
        <v>32</v>
      </c>
      <c r="I241" s="2" t="str">
        <f aca="false">IF(D241=1,INDEX(Sch_label,H241+1),"")</f>
        <v>1</v>
      </c>
      <c r="J241" s="15" t="n">
        <f aca="false">IF(D241=1,INDEX(Grid!$Z$6:$AF$156,C241+1,B241+1),0)</f>
        <v>0</v>
      </c>
      <c r="K241" s="16" t="n">
        <f aca="false">IF(J241=1,E241,0)</f>
        <v>0</v>
      </c>
      <c r="L241" s="17" t="n">
        <f aca="false">IF(D241=1,E241+W_board*F241,"")</f>
        <v>689.440758743278</v>
      </c>
      <c r="Z241" s="12" t="str">
        <f aca="false">IF(AND($J241=1,$M241=1),N241*E241/Span_P+O241*F241/Span_S+P241*G241/Span_B,"")</f>
        <v/>
      </c>
      <c r="AA241" s="12" t="str">
        <f aca="false">IF(AND($J241=1,$M241=1),SUMPRODUCT(MAX($J$6:$J$1062*(N241*$K$6:$K$1062/Span_P+O241*$F$6:$F$1062/Span_S+P241*$G$6:$G$1062/Span_B)-(1-$J$6:$J$1062)*1000000000)),"")</f>
        <v/>
      </c>
      <c r="AB241" s="15" t="str">
        <f aca="false">IF(AND($J241=1,$M241=1),IF(AA241-Z241&lt;=0.000000001,1,0),"")</f>
        <v/>
      </c>
      <c r="AC241" s="13" t="str">
        <f aca="false">IF(AND($J241=1,$M241=0),IF(S241="",0,S241*INDEX(Grid!$B$6:$H$156,R241+1,Q241+1))+IF(V241="",0,V241*INDEX(Grid!$B$6:$H$156,U241+1,T241+1))+IF(Y241="",0,Y241*INDEX(Grid!$B$6:$H$156,X241+1,W241+1)),"")</f>
        <v/>
      </c>
      <c r="AD241" s="13" t="str">
        <f aca="false">IF(AND($J241=1,$M241=0),IF(S241="",0,S241*Val_pt*(Ceiling_e-E_zero)*(1-(1-Half_gap)^Q241))+IF(V241="",0,V241*Val_pt*(Ceiling_e-E_zero)*(1-(1-Half_gap)^T241))+IF(Y241="",0,Y241*Val_pt*(Ceiling_e-E_zero)*(1-(1-Half_gap)^W241)),"")</f>
        <v/>
      </c>
      <c r="AE241" s="13" t="str">
        <f aca="false">IF(AND($J241=1,$M241=0),IF(S241="",0,S241*R241)+IF(V241="",0,V241*U241)+IF(Y241="",0,Y241*X241),"")</f>
        <v/>
      </c>
      <c r="AF241" s="12" t="str">
        <f aca="false">IF(AND($J241=1,$M241=0),MIN((AC241-E241)/Span_P,(AD241-F241)/Span_S,(AE241-G241)/Span_B),"")</f>
        <v/>
      </c>
      <c r="AG241" s="15" t="str">
        <f aca="false">IF(AND($J241=1,$M241=0),IF(AF241&gt;0.0000001,1,0),"")</f>
        <v/>
      </c>
      <c r="AH241" s="15" t="str">
        <f aca="false">IF($J241=1,IF($M241=1,AB241,AG241),"")</f>
        <v/>
      </c>
      <c r="AI241" s="13" t="str">
        <f aca="false">IF($J241=1,(Ideal_P-E241)/Span_P,"")</f>
        <v/>
      </c>
      <c r="AJ241" s="13" t="str">
        <f aca="false">IF($J241=1,(Ideal_S-F241)/Span_S,"")</f>
        <v/>
      </c>
      <c r="AK241" s="13" t="str">
        <f aca="false">IF($J241=1,(Ideal_B-G241)/Span_B,"")</f>
        <v/>
      </c>
      <c r="AL241" s="12" t="str">
        <f aca="false">IF($J241=1,MAX(ChA_1*AI241,ChA_2*AJ241,ChA_3*AK241)+Rho*(ChA_1*AI241+ChA_2*AJ241+ChA_3*AK241),"")</f>
        <v/>
      </c>
      <c r="AM241" s="12" t="str">
        <f aca="false">IF($J241=1,MAX(ChB_1*AI241,ChB_2*AJ241,ChB_3*AK241)+Rho*(ChB_1*AI241+ChB_2*AJ241+ChB_3*AK241),"")</f>
        <v/>
      </c>
      <c r="AN241" s="12" t="str">
        <f aca="false">IF($J241=1,MAX(Cx_1*(Ref_P-E241)/Span_P,Cx_2*(Ref_S-F241)/Span_S,Cx_3*(Ref_B-G241)/Span_B),"")</f>
        <v/>
      </c>
    </row>
    <row r="242" customFormat="false" ht="15" hidden="false" customHeight="false" outlineLevel="0" collapsed="false">
      <c r="A242" s="2" t="n">
        <v>236</v>
      </c>
      <c r="B242" s="15" t="n">
        <f aca="false">INT(A242/151)</f>
        <v>1</v>
      </c>
      <c r="C242" s="15" t="n">
        <f aca="false">MOD(A242,151)</f>
        <v>85</v>
      </c>
      <c r="D242" s="15" t="n">
        <f aca="false">INDEX(Grid!$J$6:$P$156,C242+1,B242+1)</f>
        <v>1</v>
      </c>
      <c r="E242" s="16" t="n">
        <f aca="false">IF(D242=1,INDEX(Grid!$B$6:$H$156,C242+1,B242+1),"")</f>
        <v>293.399916796543</v>
      </c>
      <c r="F242" s="13" t="n">
        <f aca="false">Val_pt*(Ceiling_e-E_zero)*(1-(1-Half_gap)^B242)</f>
        <v>70</v>
      </c>
      <c r="G242" s="15" t="n">
        <f aca="false">C242</f>
        <v>85</v>
      </c>
      <c r="H242" s="15" t="n">
        <f aca="false">IF(D242=1,INDEX(Grid!$R$6:$X$156,C242+1,B242+1),"")</f>
        <v>32</v>
      </c>
      <c r="I242" s="2" t="str">
        <f aca="false">IF(D242=1,INDEX(Sch_label,H242+1),"")</f>
        <v>1</v>
      </c>
      <c r="J242" s="15" t="n">
        <f aca="false">IF(D242=1,INDEX(Grid!$Z$6:$AF$156,C242+1,B242+1),0)</f>
        <v>0</v>
      </c>
      <c r="K242" s="16" t="n">
        <f aca="false">IF(J242=1,E242,0)</f>
        <v>0</v>
      </c>
      <c r="L242" s="17" t="n">
        <f aca="false">IF(D242=1,E242+W_board*F242,"")</f>
        <v>688.531667834187</v>
      </c>
      <c r="Z242" s="12" t="str">
        <f aca="false">IF(AND($J242=1,$M242=1),N242*E242/Span_P+O242*F242/Span_S+P242*G242/Span_B,"")</f>
        <v/>
      </c>
      <c r="AA242" s="12" t="str">
        <f aca="false">IF(AND($J242=1,$M242=1),SUMPRODUCT(MAX($J$6:$J$1062*(N242*$K$6:$K$1062/Span_P+O242*$F$6:$F$1062/Span_S+P242*$G$6:$G$1062/Span_B)-(1-$J$6:$J$1062)*1000000000)),"")</f>
        <v/>
      </c>
      <c r="AB242" s="15" t="str">
        <f aca="false">IF(AND($J242=1,$M242=1),IF(AA242-Z242&lt;=0.000000001,1,0),"")</f>
        <v/>
      </c>
      <c r="AC242" s="13" t="str">
        <f aca="false">IF(AND($J242=1,$M242=0),IF(S242="",0,S242*INDEX(Grid!$B$6:$H$156,R242+1,Q242+1))+IF(V242="",0,V242*INDEX(Grid!$B$6:$H$156,U242+1,T242+1))+IF(Y242="",0,Y242*INDEX(Grid!$B$6:$H$156,X242+1,W242+1)),"")</f>
        <v/>
      </c>
      <c r="AD242" s="13" t="str">
        <f aca="false">IF(AND($J242=1,$M242=0),IF(S242="",0,S242*Val_pt*(Ceiling_e-E_zero)*(1-(1-Half_gap)^Q242))+IF(V242="",0,V242*Val_pt*(Ceiling_e-E_zero)*(1-(1-Half_gap)^T242))+IF(Y242="",0,Y242*Val_pt*(Ceiling_e-E_zero)*(1-(1-Half_gap)^W242)),"")</f>
        <v/>
      </c>
      <c r="AE242" s="13" t="str">
        <f aca="false">IF(AND($J242=1,$M242=0),IF(S242="",0,S242*R242)+IF(V242="",0,V242*U242)+IF(Y242="",0,Y242*X242),"")</f>
        <v/>
      </c>
      <c r="AF242" s="12" t="str">
        <f aca="false">IF(AND($J242=1,$M242=0),MIN((AC242-E242)/Span_P,(AD242-F242)/Span_S,(AE242-G242)/Span_B),"")</f>
        <v/>
      </c>
      <c r="AG242" s="15" t="str">
        <f aca="false">IF(AND($J242=1,$M242=0),IF(AF242&gt;0.0000001,1,0),"")</f>
        <v/>
      </c>
      <c r="AH242" s="15" t="str">
        <f aca="false">IF($J242=1,IF($M242=1,AB242,AG242),"")</f>
        <v/>
      </c>
      <c r="AI242" s="13" t="str">
        <f aca="false">IF($J242=1,(Ideal_P-E242)/Span_P,"")</f>
        <v/>
      </c>
      <c r="AJ242" s="13" t="str">
        <f aca="false">IF($J242=1,(Ideal_S-F242)/Span_S,"")</f>
        <v/>
      </c>
      <c r="AK242" s="13" t="str">
        <f aca="false">IF($J242=1,(Ideal_B-G242)/Span_B,"")</f>
        <v/>
      </c>
      <c r="AL242" s="12" t="str">
        <f aca="false">IF($J242=1,MAX(ChA_1*AI242,ChA_2*AJ242,ChA_3*AK242)+Rho*(ChA_1*AI242+ChA_2*AJ242+ChA_3*AK242),"")</f>
        <v/>
      </c>
      <c r="AM242" s="12" t="str">
        <f aca="false">IF($J242=1,MAX(ChB_1*AI242,ChB_2*AJ242,ChB_3*AK242)+Rho*(ChB_1*AI242+ChB_2*AJ242+ChB_3*AK242),"")</f>
        <v/>
      </c>
      <c r="AN242" s="12" t="str">
        <f aca="false">IF($J242=1,MAX(Cx_1*(Ref_P-E242)/Span_P,Cx_2*(Ref_S-F242)/Span_S,Cx_3*(Ref_B-G242)/Span_B),"")</f>
        <v/>
      </c>
    </row>
    <row r="243" customFormat="false" ht="15" hidden="false" customHeight="false" outlineLevel="0" collapsed="false">
      <c r="A243" s="2" t="n">
        <v>237</v>
      </c>
      <c r="B243" s="15" t="n">
        <f aca="false">INT(A243/151)</f>
        <v>1</v>
      </c>
      <c r="C243" s="15" t="n">
        <f aca="false">MOD(A243,151)</f>
        <v>86</v>
      </c>
      <c r="D243" s="15" t="n">
        <f aca="false">INDEX(Grid!$J$6:$P$156,C243+1,B243+1)</f>
        <v>1</v>
      </c>
      <c r="E243" s="16" t="n">
        <f aca="false">IF(D243=1,INDEX(Grid!$B$6:$H$156,C243+1,B243+1),"")</f>
        <v>292.490825887452</v>
      </c>
      <c r="F243" s="13" t="n">
        <f aca="false">Val_pt*(Ceiling_e-E_zero)*(1-(1-Half_gap)^B243)</f>
        <v>70</v>
      </c>
      <c r="G243" s="15" t="n">
        <f aca="false">C243</f>
        <v>86</v>
      </c>
      <c r="H243" s="15" t="n">
        <f aca="false">IF(D243=1,INDEX(Grid!$R$6:$X$156,C243+1,B243+1),"")</f>
        <v>32</v>
      </c>
      <c r="I243" s="2" t="str">
        <f aca="false">IF(D243=1,INDEX(Sch_label,H243+1),"")</f>
        <v>1</v>
      </c>
      <c r="J243" s="15" t="n">
        <f aca="false">IF(D243=1,INDEX(Grid!$Z$6:$AF$156,C243+1,B243+1),0)</f>
        <v>0</v>
      </c>
      <c r="K243" s="16" t="n">
        <f aca="false">IF(J243=1,E243,0)</f>
        <v>0</v>
      </c>
      <c r="L243" s="17" t="n">
        <f aca="false">IF(D243=1,E243+W_board*F243,"")</f>
        <v>687.622576925096</v>
      </c>
      <c r="Z243" s="12" t="str">
        <f aca="false">IF(AND($J243=1,$M243=1),N243*E243/Span_P+O243*F243/Span_S+P243*G243/Span_B,"")</f>
        <v/>
      </c>
      <c r="AA243" s="12" t="str">
        <f aca="false">IF(AND($J243=1,$M243=1),SUMPRODUCT(MAX($J$6:$J$1062*(N243*$K$6:$K$1062/Span_P+O243*$F$6:$F$1062/Span_S+P243*$G$6:$G$1062/Span_B)-(1-$J$6:$J$1062)*1000000000)),"")</f>
        <v/>
      </c>
      <c r="AB243" s="15" t="str">
        <f aca="false">IF(AND($J243=1,$M243=1),IF(AA243-Z243&lt;=0.000000001,1,0),"")</f>
        <v/>
      </c>
      <c r="AC243" s="13" t="str">
        <f aca="false">IF(AND($J243=1,$M243=0),IF(S243="",0,S243*INDEX(Grid!$B$6:$H$156,R243+1,Q243+1))+IF(V243="",0,V243*INDEX(Grid!$B$6:$H$156,U243+1,T243+1))+IF(Y243="",0,Y243*INDEX(Grid!$B$6:$H$156,X243+1,W243+1)),"")</f>
        <v/>
      </c>
      <c r="AD243" s="13" t="str">
        <f aca="false">IF(AND($J243=1,$M243=0),IF(S243="",0,S243*Val_pt*(Ceiling_e-E_zero)*(1-(1-Half_gap)^Q243))+IF(V243="",0,V243*Val_pt*(Ceiling_e-E_zero)*(1-(1-Half_gap)^T243))+IF(Y243="",0,Y243*Val_pt*(Ceiling_e-E_zero)*(1-(1-Half_gap)^W243)),"")</f>
        <v/>
      </c>
      <c r="AE243" s="13" t="str">
        <f aca="false">IF(AND($J243=1,$M243=0),IF(S243="",0,S243*R243)+IF(V243="",0,V243*U243)+IF(Y243="",0,Y243*X243),"")</f>
        <v/>
      </c>
      <c r="AF243" s="12" t="str">
        <f aca="false">IF(AND($J243=1,$M243=0),MIN((AC243-E243)/Span_P,(AD243-F243)/Span_S,(AE243-G243)/Span_B),"")</f>
        <v/>
      </c>
      <c r="AG243" s="15" t="str">
        <f aca="false">IF(AND($J243=1,$M243=0),IF(AF243&gt;0.0000001,1,0),"")</f>
        <v/>
      </c>
      <c r="AH243" s="15" t="str">
        <f aca="false">IF($J243=1,IF($M243=1,AB243,AG243),"")</f>
        <v/>
      </c>
      <c r="AI243" s="13" t="str">
        <f aca="false">IF($J243=1,(Ideal_P-E243)/Span_P,"")</f>
        <v/>
      </c>
      <c r="AJ243" s="13" t="str">
        <f aca="false">IF($J243=1,(Ideal_S-F243)/Span_S,"")</f>
        <v/>
      </c>
      <c r="AK243" s="13" t="str">
        <f aca="false">IF($J243=1,(Ideal_B-G243)/Span_B,"")</f>
        <v/>
      </c>
      <c r="AL243" s="12" t="str">
        <f aca="false">IF($J243=1,MAX(ChA_1*AI243,ChA_2*AJ243,ChA_3*AK243)+Rho*(ChA_1*AI243+ChA_2*AJ243+ChA_3*AK243),"")</f>
        <v/>
      </c>
      <c r="AM243" s="12" t="str">
        <f aca="false">IF($J243=1,MAX(ChB_1*AI243,ChB_2*AJ243,ChB_3*AK243)+Rho*(ChB_1*AI243+ChB_2*AJ243+ChB_3*AK243),"")</f>
        <v/>
      </c>
      <c r="AN243" s="12" t="str">
        <f aca="false">IF($J243=1,MAX(Cx_1*(Ref_P-E243)/Span_P,Cx_2*(Ref_S-F243)/Span_S,Cx_3*(Ref_B-G243)/Span_B),"")</f>
        <v/>
      </c>
    </row>
    <row r="244" customFormat="false" ht="15" hidden="false" customHeight="false" outlineLevel="0" collapsed="false">
      <c r="A244" s="2" t="n">
        <v>238</v>
      </c>
      <c r="B244" s="15" t="n">
        <f aca="false">INT(A244/151)</f>
        <v>1</v>
      </c>
      <c r="C244" s="15" t="n">
        <f aca="false">MOD(A244,151)</f>
        <v>87</v>
      </c>
      <c r="D244" s="15" t="n">
        <f aca="false">INDEX(Grid!$J$6:$P$156,C244+1,B244+1)</f>
        <v>1</v>
      </c>
      <c r="E244" s="16" t="n">
        <f aca="false">IF(D244=1,INDEX(Grid!$B$6:$H$156,C244+1,B244+1),"")</f>
        <v>291.581734978361</v>
      </c>
      <c r="F244" s="13" t="n">
        <f aca="false">Val_pt*(Ceiling_e-E_zero)*(1-(1-Half_gap)^B244)</f>
        <v>70</v>
      </c>
      <c r="G244" s="15" t="n">
        <f aca="false">C244</f>
        <v>87</v>
      </c>
      <c r="H244" s="15" t="n">
        <f aca="false">IF(D244=1,INDEX(Grid!$R$6:$X$156,C244+1,B244+1),"")</f>
        <v>32</v>
      </c>
      <c r="I244" s="2" t="str">
        <f aca="false">IF(D244=1,INDEX(Sch_label,H244+1),"")</f>
        <v>1</v>
      </c>
      <c r="J244" s="15" t="n">
        <f aca="false">IF(D244=1,INDEX(Grid!$Z$6:$AF$156,C244+1,B244+1),0)</f>
        <v>0</v>
      </c>
      <c r="K244" s="16" t="n">
        <f aca="false">IF(J244=1,E244,0)</f>
        <v>0</v>
      </c>
      <c r="L244" s="17" t="n">
        <f aca="false">IF(D244=1,E244+W_board*F244,"")</f>
        <v>686.713486016005</v>
      </c>
      <c r="Z244" s="12" t="str">
        <f aca="false">IF(AND($J244=1,$M244=1),N244*E244/Span_P+O244*F244/Span_S+P244*G244/Span_B,"")</f>
        <v/>
      </c>
      <c r="AA244" s="12" t="str">
        <f aca="false">IF(AND($J244=1,$M244=1),SUMPRODUCT(MAX($J$6:$J$1062*(N244*$K$6:$K$1062/Span_P+O244*$F$6:$F$1062/Span_S+P244*$G$6:$G$1062/Span_B)-(1-$J$6:$J$1062)*1000000000)),"")</f>
        <v/>
      </c>
      <c r="AB244" s="15" t="str">
        <f aca="false">IF(AND($J244=1,$M244=1),IF(AA244-Z244&lt;=0.000000001,1,0),"")</f>
        <v/>
      </c>
      <c r="AC244" s="13" t="str">
        <f aca="false">IF(AND($J244=1,$M244=0),IF(S244="",0,S244*INDEX(Grid!$B$6:$H$156,R244+1,Q244+1))+IF(V244="",0,V244*INDEX(Grid!$B$6:$H$156,U244+1,T244+1))+IF(Y244="",0,Y244*INDEX(Grid!$B$6:$H$156,X244+1,W244+1)),"")</f>
        <v/>
      </c>
      <c r="AD244" s="13" t="str">
        <f aca="false">IF(AND($J244=1,$M244=0),IF(S244="",0,S244*Val_pt*(Ceiling_e-E_zero)*(1-(1-Half_gap)^Q244))+IF(V244="",0,V244*Val_pt*(Ceiling_e-E_zero)*(1-(1-Half_gap)^T244))+IF(Y244="",0,Y244*Val_pt*(Ceiling_e-E_zero)*(1-(1-Half_gap)^W244)),"")</f>
        <v/>
      </c>
      <c r="AE244" s="13" t="str">
        <f aca="false">IF(AND($J244=1,$M244=0),IF(S244="",0,S244*R244)+IF(V244="",0,V244*U244)+IF(Y244="",0,Y244*X244),"")</f>
        <v/>
      </c>
      <c r="AF244" s="12" t="str">
        <f aca="false">IF(AND($J244=1,$M244=0),MIN((AC244-E244)/Span_P,(AD244-F244)/Span_S,(AE244-G244)/Span_B),"")</f>
        <v/>
      </c>
      <c r="AG244" s="15" t="str">
        <f aca="false">IF(AND($J244=1,$M244=0),IF(AF244&gt;0.0000001,1,0),"")</f>
        <v/>
      </c>
      <c r="AH244" s="15" t="str">
        <f aca="false">IF($J244=1,IF($M244=1,AB244,AG244),"")</f>
        <v/>
      </c>
      <c r="AI244" s="13" t="str">
        <f aca="false">IF($J244=1,(Ideal_P-E244)/Span_P,"")</f>
        <v/>
      </c>
      <c r="AJ244" s="13" t="str">
        <f aca="false">IF($J244=1,(Ideal_S-F244)/Span_S,"")</f>
        <v/>
      </c>
      <c r="AK244" s="13" t="str">
        <f aca="false">IF($J244=1,(Ideal_B-G244)/Span_B,"")</f>
        <v/>
      </c>
      <c r="AL244" s="12" t="str">
        <f aca="false">IF($J244=1,MAX(ChA_1*AI244,ChA_2*AJ244,ChA_3*AK244)+Rho*(ChA_1*AI244+ChA_2*AJ244+ChA_3*AK244),"")</f>
        <v/>
      </c>
      <c r="AM244" s="12" t="str">
        <f aca="false">IF($J244=1,MAX(ChB_1*AI244,ChB_2*AJ244,ChB_3*AK244)+Rho*(ChB_1*AI244+ChB_2*AJ244+ChB_3*AK244),"")</f>
        <v/>
      </c>
      <c r="AN244" s="12" t="str">
        <f aca="false">IF($J244=1,MAX(Cx_1*(Ref_P-E244)/Span_P,Cx_2*(Ref_S-F244)/Span_S,Cx_3*(Ref_B-G244)/Span_B),"")</f>
        <v/>
      </c>
    </row>
    <row r="245" customFormat="false" ht="15" hidden="false" customHeight="false" outlineLevel="0" collapsed="false">
      <c r="A245" s="2" t="n">
        <v>239</v>
      </c>
      <c r="B245" s="15" t="n">
        <f aca="false">INT(A245/151)</f>
        <v>1</v>
      </c>
      <c r="C245" s="15" t="n">
        <f aca="false">MOD(A245,151)</f>
        <v>88</v>
      </c>
      <c r="D245" s="15" t="n">
        <f aca="false">INDEX(Grid!$J$6:$P$156,C245+1,B245+1)</f>
        <v>1</v>
      </c>
      <c r="E245" s="16" t="n">
        <f aca="false">IF(D245=1,INDEX(Grid!$B$6:$H$156,C245+1,B245+1),"")</f>
        <v>290.67264406927</v>
      </c>
      <c r="F245" s="13" t="n">
        <f aca="false">Val_pt*(Ceiling_e-E_zero)*(1-(1-Half_gap)^B245)</f>
        <v>70</v>
      </c>
      <c r="G245" s="15" t="n">
        <f aca="false">C245</f>
        <v>88</v>
      </c>
      <c r="H245" s="15" t="n">
        <f aca="false">IF(D245=1,INDEX(Grid!$R$6:$X$156,C245+1,B245+1),"")</f>
        <v>32</v>
      </c>
      <c r="I245" s="2" t="str">
        <f aca="false">IF(D245=1,INDEX(Sch_label,H245+1),"")</f>
        <v>1</v>
      </c>
      <c r="J245" s="15" t="n">
        <f aca="false">IF(D245=1,INDEX(Grid!$Z$6:$AF$156,C245+1,B245+1),0)</f>
        <v>0</v>
      </c>
      <c r="K245" s="16" t="n">
        <f aca="false">IF(J245=1,E245,0)</f>
        <v>0</v>
      </c>
      <c r="L245" s="17" t="n">
        <f aca="false">IF(D245=1,E245+W_board*F245,"")</f>
        <v>685.804395106914</v>
      </c>
      <c r="Z245" s="12" t="str">
        <f aca="false">IF(AND($J245=1,$M245=1),N245*E245/Span_P+O245*F245/Span_S+P245*G245/Span_B,"")</f>
        <v/>
      </c>
      <c r="AA245" s="12" t="str">
        <f aca="false">IF(AND($J245=1,$M245=1),SUMPRODUCT(MAX($J$6:$J$1062*(N245*$K$6:$K$1062/Span_P+O245*$F$6:$F$1062/Span_S+P245*$G$6:$G$1062/Span_B)-(1-$J$6:$J$1062)*1000000000)),"")</f>
        <v/>
      </c>
      <c r="AB245" s="15" t="str">
        <f aca="false">IF(AND($J245=1,$M245=1),IF(AA245-Z245&lt;=0.000000001,1,0),"")</f>
        <v/>
      </c>
      <c r="AC245" s="13" t="str">
        <f aca="false">IF(AND($J245=1,$M245=0),IF(S245="",0,S245*INDEX(Grid!$B$6:$H$156,R245+1,Q245+1))+IF(V245="",0,V245*INDEX(Grid!$B$6:$H$156,U245+1,T245+1))+IF(Y245="",0,Y245*INDEX(Grid!$B$6:$H$156,X245+1,W245+1)),"")</f>
        <v/>
      </c>
      <c r="AD245" s="13" t="str">
        <f aca="false">IF(AND($J245=1,$M245=0),IF(S245="",0,S245*Val_pt*(Ceiling_e-E_zero)*(1-(1-Half_gap)^Q245))+IF(V245="",0,V245*Val_pt*(Ceiling_e-E_zero)*(1-(1-Half_gap)^T245))+IF(Y245="",0,Y245*Val_pt*(Ceiling_e-E_zero)*(1-(1-Half_gap)^W245)),"")</f>
        <v/>
      </c>
      <c r="AE245" s="13" t="str">
        <f aca="false">IF(AND($J245=1,$M245=0),IF(S245="",0,S245*R245)+IF(V245="",0,V245*U245)+IF(Y245="",0,Y245*X245),"")</f>
        <v/>
      </c>
      <c r="AF245" s="12" t="str">
        <f aca="false">IF(AND($J245=1,$M245=0),MIN((AC245-E245)/Span_P,(AD245-F245)/Span_S,(AE245-G245)/Span_B),"")</f>
        <v/>
      </c>
      <c r="AG245" s="15" t="str">
        <f aca="false">IF(AND($J245=1,$M245=0),IF(AF245&gt;0.0000001,1,0),"")</f>
        <v/>
      </c>
      <c r="AH245" s="15" t="str">
        <f aca="false">IF($J245=1,IF($M245=1,AB245,AG245),"")</f>
        <v/>
      </c>
      <c r="AI245" s="13" t="str">
        <f aca="false">IF($J245=1,(Ideal_P-E245)/Span_P,"")</f>
        <v/>
      </c>
      <c r="AJ245" s="13" t="str">
        <f aca="false">IF($J245=1,(Ideal_S-F245)/Span_S,"")</f>
        <v/>
      </c>
      <c r="AK245" s="13" t="str">
        <f aca="false">IF($J245=1,(Ideal_B-G245)/Span_B,"")</f>
        <v/>
      </c>
      <c r="AL245" s="12" t="str">
        <f aca="false">IF($J245=1,MAX(ChA_1*AI245,ChA_2*AJ245,ChA_3*AK245)+Rho*(ChA_1*AI245+ChA_2*AJ245+ChA_3*AK245),"")</f>
        <v/>
      </c>
      <c r="AM245" s="12" t="str">
        <f aca="false">IF($J245=1,MAX(ChB_1*AI245,ChB_2*AJ245,ChB_3*AK245)+Rho*(ChB_1*AI245+ChB_2*AJ245+ChB_3*AK245),"")</f>
        <v/>
      </c>
      <c r="AN245" s="12" t="str">
        <f aca="false">IF($J245=1,MAX(Cx_1*(Ref_P-E245)/Span_P,Cx_2*(Ref_S-F245)/Span_S,Cx_3*(Ref_B-G245)/Span_B),"")</f>
        <v/>
      </c>
    </row>
    <row r="246" customFormat="false" ht="15" hidden="false" customHeight="false" outlineLevel="0" collapsed="false">
      <c r="A246" s="2" t="n">
        <v>240</v>
      </c>
      <c r="B246" s="15" t="n">
        <f aca="false">INT(A246/151)</f>
        <v>1</v>
      </c>
      <c r="C246" s="15" t="n">
        <f aca="false">MOD(A246,151)</f>
        <v>89</v>
      </c>
      <c r="D246" s="15" t="n">
        <f aca="false">INDEX(Grid!$J$6:$P$156,C246+1,B246+1)</f>
        <v>1</v>
      </c>
      <c r="E246" s="16" t="n">
        <f aca="false">IF(D246=1,INDEX(Grid!$B$6:$H$156,C246+1,B246+1),"")</f>
        <v>289.763553160179</v>
      </c>
      <c r="F246" s="13" t="n">
        <f aca="false">Val_pt*(Ceiling_e-E_zero)*(1-(1-Half_gap)^B246)</f>
        <v>70</v>
      </c>
      <c r="G246" s="15" t="n">
        <f aca="false">C246</f>
        <v>89</v>
      </c>
      <c r="H246" s="15" t="n">
        <f aca="false">IF(D246=1,INDEX(Grid!$R$6:$X$156,C246+1,B246+1),"")</f>
        <v>32</v>
      </c>
      <c r="I246" s="2" t="str">
        <f aca="false">IF(D246=1,INDEX(Sch_label,H246+1),"")</f>
        <v>1</v>
      </c>
      <c r="J246" s="15" t="n">
        <f aca="false">IF(D246=1,INDEX(Grid!$Z$6:$AF$156,C246+1,B246+1),0)</f>
        <v>0</v>
      </c>
      <c r="K246" s="16" t="n">
        <f aca="false">IF(J246=1,E246,0)</f>
        <v>0</v>
      </c>
      <c r="L246" s="17" t="n">
        <f aca="false">IF(D246=1,E246+W_board*F246,"")</f>
        <v>684.895304197823</v>
      </c>
      <c r="Z246" s="12" t="str">
        <f aca="false">IF(AND($J246=1,$M246=1),N246*E246/Span_P+O246*F246/Span_S+P246*G246/Span_B,"")</f>
        <v/>
      </c>
      <c r="AA246" s="12" t="str">
        <f aca="false">IF(AND($J246=1,$M246=1),SUMPRODUCT(MAX($J$6:$J$1062*(N246*$K$6:$K$1062/Span_P+O246*$F$6:$F$1062/Span_S+P246*$G$6:$G$1062/Span_B)-(1-$J$6:$J$1062)*1000000000)),"")</f>
        <v/>
      </c>
      <c r="AB246" s="15" t="str">
        <f aca="false">IF(AND($J246=1,$M246=1),IF(AA246-Z246&lt;=0.000000001,1,0),"")</f>
        <v/>
      </c>
      <c r="AC246" s="13" t="str">
        <f aca="false">IF(AND($J246=1,$M246=0),IF(S246="",0,S246*INDEX(Grid!$B$6:$H$156,R246+1,Q246+1))+IF(V246="",0,V246*INDEX(Grid!$B$6:$H$156,U246+1,T246+1))+IF(Y246="",0,Y246*INDEX(Grid!$B$6:$H$156,X246+1,W246+1)),"")</f>
        <v/>
      </c>
      <c r="AD246" s="13" t="str">
        <f aca="false">IF(AND($J246=1,$M246=0),IF(S246="",0,S246*Val_pt*(Ceiling_e-E_zero)*(1-(1-Half_gap)^Q246))+IF(V246="",0,V246*Val_pt*(Ceiling_e-E_zero)*(1-(1-Half_gap)^T246))+IF(Y246="",0,Y246*Val_pt*(Ceiling_e-E_zero)*(1-(1-Half_gap)^W246)),"")</f>
        <v/>
      </c>
      <c r="AE246" s="13" t="str">
        <f aca="false">IF(AND($J246=1,$M246=0),IF(S246="",0,S246*R246)+IF(V246="",0,V246*U246)+IF(Y246="",0,Y246*X246),"")</f>
        <v/>
      </c>
      <c r="AF246" s="12" t="str">
        <f aca="false">IF(AND($J246=1,$M246=0),MIN((AC246-E246)/Span_P,(AD246-F246)/Span_S,(AE246-G246)/Span_B),"")</f>
        <v/>
      </c>
      <c r="AG246" s="15" t="str">
        <f aca="false">IF(AND($J246=1,$M246=0),IF(AF246&gt;0.0000001,1,0),"")</f>
        <v/>
      </c>
      <c r="AH246" s="15" t="str">
        <f aca="false">IF($J246=1,IF($M246=1,AB246,AG246),"")</f>
        <v/>
      </c>
      <c r="AI246" s="13" t="str">
        <f aca="false">IF($J246=1,(Ideal_P-E246)/Span_P,"")</f>
        <v/>
      </c>
      <c r="AJ246" s="13" t="str">
        <f aca="false">IF($J246=1,(Ideal_S-F246)/Span_S,"")</f>
        <v/>
      </c>
      <c r="AK246" s="13" t="str">
        <f aca="false">IF($J246=1,(Ideal_B-G246)/Span_B,"")</f>
        <v/>
      </c>
      <c r="AL246" s="12" t="str">
        <f aca="false">IF($J246=1,MAX(ChA_1*AI246,ChA_2*AJ246,ChA_3*AK246)+Rho*(ChA_1*AI246+ChA_2*AJ246+ChA_3*AK246),"")</f>
        <v/>
      </c>
      <c r="AM246" s="12" t="str">
        <f aca="false">IF($J246=1,MAX(ChB_1*AI246,ChB_2*AJ246,ChB_3*AK246)+Rho*(ChB_1*AI246+ChB_2*AJ246+ChB_3*AK246),"")</f>
        <v/>
      </c>
      <c r="AN246" s="12" t="str">
        <f aca="false">IF($J246=1,MAX(Cx_1*(Ref_P-E246)/Span_P,Cx_2*(Ref_S-F246)/Span_S,Cx_3*(Ref_B-G246)/Span_B),"")</f>
        <v/>
      </c>
    </row>
    <row r="247" customFormat="false" ht="15" hidden="false" customHeight="false" outlineLevel="0" collapsed="false">
      <c r="A247" s="2" t="n">
        <v>241</v>
      </c>
      <c r="B247" s="15" t="n">
        <f aca="false">INT(A247/151)</f>
        <v>1</v>
      </c>
      <c r="C247" s="15" t="n">
        <f aca="false">MOD(A247,151)</f>
        <v>90</v>
      </c>
      <c r="D247" s="15" t="n">
        <f aca="false">INDEX(Grid!$J$6:$P$156,C247+1,B247+1)</f>
        <v>1</v>
      </c>
      <c r="E247" s="16" t="n">
        <f aca="false">IF(D247=1,INDEX(Grid!$B$6:$H$156,C247+1,B247+1),"")</f>
        <v>288.854462251088</v>
      </c>
      <c r="F247" s="13" t="n">
        <f aca="false">Val_pt*(Ceiling_e-E_zero)*(1-(1-Half_gap)^B247)</f>
        <v>70</v>
      </c>
      <c r="G247" s="15" t="n">
        <f aca="false">C247</f>
        <v>90</v>
      </c>
      <c r="H247" s="15" t="n">
        <f aca="false">IF(D247=1,INDEX(Grid!$R$6:$X$156,C247+1,B247+1),"")</f>
        <v>32</v>
      </c>
      <c r="I247" s="2" t="str">
        <f aca="false">IF(D247=1,INDEX(Sch_label,H247+1),"")</f>
        <v>1</v>
      </c>
      <c r="J247" s="15" t="n">
        <f aca="false">IF(D247=1,INDEX(Grid!$Z$6:$AF$156,C247+1,B247+1),0)</f>
        <v>0</v>
      </c>
      <c r="K247" s="16" t="n">
        <f aca="false">IF(J247=1,E247,0)</f>
        <v>0</v>
      </c>
      <c r="L247" s="17" t="n">
        <f aca="false">IF(D247=1,E247+W_board*F247,"")</f>
        <v>683.986213288732</v>
      </c>
      <c r="Z247" s="12" t="str">
        <f aca="false">IF(AND($J247=1,$M247=1),N247*E247/Span_P+O247*F247/Span_S+P247*G247/Span_B,"")</f>
        <v/>
      </c>
      <c r="AA247" s="12" t="str">
        <f aca="false">IF(AND($J247=1,$M247=1),SUMPRODUCT(MAX($J$6:$J$1062*(N247*$K$6:$K$1062/Span_P+O247*$F$6:$F$1062/Span_S+P247*$G$6:$G$1062/Span_B)-(1-$J$6:$J$1062)*1000000000)),"")</f>
        <v/>
      </c>
      <c r="AB247" s="15" t="str">
        <f aca="false">IF(AND($J247=1,$M247=1),IF(AA247-Z247&lt;=0.000000001,1,0),"")</f>
        <v/>
      </c>
      <c r="AC247" s="13" t="str">
        <f aca="false">IF(AND($J247=1,$M247=0),IF(S247="",0,S247*INDEX(Grid!$B$6:$H$156,R247+1,Q247+1))+IF(V247="",0,V247*INDEX(Grid!$B$6:$H$156,U247+1,T247+1))+IF(Y247="",0,Y247*INDEX(Grid!$B$6:$H$156,X247+1,W247+1)),"")</f>
        <v/>
      </c>
      <c r="AD247" s="13" t="str">
        <f aca="false">IF(AND($J247=1,$M247=0),IF(S247="",0,S247*Val_pt*(Ceiling_e-E_zero)*(1-(1-Half_gap)^Q247))+IF(V247="",0,V247*Val_pt*(Ceiling_e-E_zero)*(1-(1-Half_gap)^T247))+IF(Y247="",0,Y247*Val_pt*(Ceiling_e-E_zero)*(1-(1-Half_gap)^W247)),"")</f>
        <v/>
      </c>
      <c r="AE247" s="13" t="str">
        <f aca="false">IF(AND($J247=1,$M247=0),IF(S247="",0,S247*R247)+IF(V247="",0,V247*U247)+IF(Y247="",0,Y247*X247),"")</f>
        <v/>
      </c>
      <c r="AF247" s="12" t="str">
        <f aca="false">IF(AND($J247=1,$M247=0),MIN((AC247-E247)/Span_P,(AD247-F247)/Span_S,(AE247-G247)/Span_B),"")</f>
        <v/>
      </c>
      <c r="AG247" s="15" t="str">
        <f aca="false">IF(AND($J247=1,$M247=0),IF(AF247&gt;0.0000001,1,0),"")</f>
        <v/>
      </c>
      <c r="AH247" s="15" t="str">
        <f aca="false">IF($J247=1,IF($M247=1,AB247,AG247),"")</f>
        <v/>
      </c>
      <c r="AI247" s="13" t="str">
        <f aca="false">IF($J247=1,(Ideal_P-E247)/Span_P,"")</f>
        <v/>
      </c>
      <c r="AJ247" s="13" t="str">
        <f aca="false">IF($J247=1,(Ideal_S-F247)/Span_S,"")</f>
        <v/>
      </c>
      <c r="AK247" s="13" t="str">
        <f aca="false">IF($J247=1,(Ideal_B-G247)/Span_B,"")</f>
        <v/>
      </c>
      <c r="AL247" s="12" t="str">
        <f aca="false">IF($J247=1,MAX(ChA_1*AI247,ChA_2*AJ247,ChA_3*AK247)+Rho*(ChA_1*AI247+ChA_2*AJ247+ChA_3*AK247),"")</f>
        <v/>
      </c>
      <c r="AM247" s="12" t="str">
        <f aca="false">IF($J247=1,MAX(ChB_1*AI247,ChB_2*AJ247,ChB_3*AK247)+Rho*(ChB_1*AI247+ChB_2*AJ247+ChB_3*AK247),"")</f>
        <v/>
      </c>
      <c r="AN247" s="12" t="str">
        <f aca="false">IF($J247=1,MAX(Cx_1*(Ref_P-E247)/Span_P,Cx_2*(Ref_S-F247)/Span_S,Cx_3*(Ref_B-G247)/Span_B),"")</f>
        <v/>
      </c>
    </row>
    <row r="248" customFormat="false" ht="15" hidden="false" customHeight="false" outlineLevel="0" collapsed="false">
      <c r="A248" s="2" t="n">
        <v>242</v>
      </c>
      <c r="B248" s="15" t="n">
        <f aca="false">INT(A248/151)</f>
        <v>1</v>
      </c>
      <c r="C248" s="15" t="n">
        <f aca="false">MOD(A248,151)</f>
        <v>91</v>
      </c>
      <c r="D248" s="15" t="n">
        <f aca="false">INDEX(Grid!$J$6:$P$156,C248+1,B248+1)</f>
        <v>1</v>
      </c>
      <c r="E248" s="16" t="n">
        <f aca="false">IF(D248=1,INDEX(Grid!$B$6:$H$156,C248+1,B248+1),"")</f>
        <v>287.945371341997</v>
      </c>
      <c r="F248" s="13" t="n">
        <f aca="false">Val_pt*(Ceiling_e-E_zero)*(1-(1-Half_gap)^B248)</f>
        <v>70</v>
      </c>
      <c r="G248" s="15" t="n">
        <f aca="false">C248</f>
        <v>91</v>
      </c>
      <c r="H248" s="15" t="n">
        <f aca="false">IF(D248=1,INDEX(Grid!$R$6:$X$156,C248+1,B248+1),"")</f>
        <v>32</v>
      </c>
      <c r="I248" s="2" t="str">
        <f aca="false">IF(D248=1,INDEX(Sch_label,H248+1),"")</f>
        <v>1</v>
      </c>
      <c r="J248" s="15" t="n">
        <f aca="false">IF(D248=1,INDEX(Grid!$Z$6:$AF$156,C248+1,B248+1),0)</f>
        <v>0</v>
      </c>
      <c r="K248" s="16" t="n">
        <f aca="false">IF(J248=1,E248,0)</f>
        <v>0</v>
      </c>
      <c r="L248" s="17" t="n">
        <f aca="false">IF(D248=1,E248+W_board*F248,"")</f>
        <v>683.077122379641</v>
      </c>
      <c r="Z248" s="12" t="str">
        <f aca="false">IF(AND($J248=1,$M248=1),N248*E248/Span_P+O248*F248/Span_S+P248*G248/Span_B,"")</f>
        <v/>
      </c>
      <c r="AA248" s="12" t="str">
        <f aca="false">IF(AND($J248=1,$M248=1),SUMPRODUCT(MAX($J$6:$J$1062*(N248*$K$6:$K$1062/Span_P+O248*$F$6:$F$1062/Span_S+P248*$G$6:$G$1062/Span_B)-(1-$J$6:$J$1062)*1000000000)),"")</f>
        <v/>
      </c>
      <c r="AB248" s="15" t="str">
        <f aca="false">IF(AND($J248=1,$M248=1),IF(AA248-Z248&lt;=0.000000001,1,0),"")</f>
        <v/>
      </c>
      <c r="AC248" s="13" t="str">
        <f aca="false">IF(AND($J248=1,$M248=0),IF(S248="",0,S248*INDEX(Grid!$B$6:$H$156,R248+1,Q248+1))+IF(V248="",0,V248*INDEX(Grid!$B$6:$H$156,U248+1,T248+1))+IF(Y248="",0,Y248*INDEX(Grid!$B$6:$H$156,X248+1,W248+1)),"")</f>
        <v/>
      </c>
      <c r="AD248" s="13" t="str">
        <f aca="false">IF(AND($J248=1,$M248=0),IF(S248="",0,S248*Val_pt*(Ceiling_e-E_zero)*(1-(1-Half_gap)^Q248))+IF(V248="",0,V248*Val_pt*(Ceiling_e-E_zero)*(1-(1-Half_gap)^T248))+IF(Y248="",0,Y248*Val_pt*(Ceiling_e-E_zero)*(1-(1-Half_gap)^W248)),"")</f>
        <v/>
      </c>
      <c r="AE248" s="13" t="str">
        <f aca="false">IF(AND($J248=1,$M248=0),IF(S248="",0,S248*R248)+IF(V248="",0,V248*U248)+IF(Y248="",0,Y248*X248),"")</f>
        <v/>
      </c>
      <c r="AF248" s="12" t="str">
        <f aca="false">IF(AND($J248=1,$M248=0),MIN((AC248-E248)/Span_P,(AD248-F248)/Span_S,(AE248-G248)/Span_B),"")</f>
        <v/>
      </c>
      <c r="AG248" s="15" t="str">
        <f aca="false">IF(AND($J248=1,$M248=0),IF(AF248&gt;0.0000001,1,0),"")</f>
        <v/>
      </c>
      <c r="AH248" s="15" t="str">
        <f aca="false">IF($J248=1,IF($M248=1,AB248,AG248),"")</f>
        <v/>
      </c>
      <c r="AI248" s="13" t="str">
        <f aca="false">IF($J248=1,(Ideal_P-E248)/Span_P,"")</f>
        <v/>
      </c>
      <c r="AJ248" s="13" t="str">
        <f aca="false">IF($J248=1,(Ideal_S-F248)/Span_S,"")</f>
        <v/>
      </c>
      <c r="AK248" s="13" t="str">
        <f aca="false">IF($J248=1,(Ideal_B-G248)/Span_B,"")</f>
        <v/>
      </c>
      <c r="AL248" s="12" t="str">
        <f aca="false">IF($J248=1,MAX(ChA_1*AI248,ChA_2*AJ248,ChA_3*AK248)+Rho*(ChA_1*AI248+ChA_2*AJ248+ChA_3*AK248),"")</f>
        <v/>
      </c>
      <c r="AM248" s="12" t="str">
        <f aca="false">IF($J248=1,MAX(ChB_1*AI248,ChB_2*AJ248,ChB_3*AK248)+Rho*(ChB_1*AI248+ChB_2*AJ248+ChB_3*AK248),"")</f>
        <v/>
      </c>
      <c r="AN248" s="12" t="str">
        <f aca="false">IF($J248=1,MAX(Cx_1*(Ref_P-E248)/Span_P,Cx_2*(Ref_S-F248)/Span_S,Cx_3*(Ref_B-G248)/Span_B),"")</f>
        <v/>
      </c>
    </row>
    <row r="249" customFormat="false" ht="15" hidden="false" customHeight="false" outlineLevel="0" collapsed="false">
      <c r="A249" s="2" t="n">
        <v>243</v>
      </c>
      <c r="B249" s="15" t="n">
        <f aca="false">INT(A249/151)</f>
        <v>1</v>
      </c>
      <c r="C249" s="15" t="n">
        <f aca="false">MOD(A249,151)</f>
        <v>92</v>
      </c>
      <c r="D249" s="15" t="n">
        <f aca="false">INDEX(Grid!$J$6:$P$156,C249+1,B249+1)</f>
        <v>1</v>
      </c>
      <c r="E249" s="16" t="n">
        <f aca="false">IF(D249=1,INDEX(Grid!$B$6:$H$156,C249+1,B249+1),"")</f>
        <v>287.036280432906</v>
      </c>
      <c r="F249" s="13" t="n">
        <f aca="false">Val_pt*(Ceiling_e-E_zero)*(1-(1-Half_gap)^B249)</f>
        <v>70</v>
      </c>
      <c r="G249" s="15" t="n">
        <f aca="false">C249</f>
        <v>92</v>
      </c>
      <c r="H249" s="15" t="n">
        <f aca="false">IF(D249=1,INDEX(Grid!$R$6:$X$156,C249+1,B249+1),"")</f>
        <v>32</v>
      </c>
      <c r="I249" s="2" t="str">
        <f aca="false">IF(D249=1,INDEX(Sch_label,H249+1),"")</f>
        <v>1</v>
      </c>
      <c r="J249" s="15" t="n">
        <f aca="false">IF(D249=1,INDEX(Grid!$Z$6:$AF$156,C249+1,B249+1),0)</f>
        <v>0</v>
      </c>
      <c r="K249" s="16" t="n">
        <f aca="false">IF(J249=1,E249,0)</f>
        <v>0</v>
      </c>
      <c r="L249" s="17" t="n">
        <f aca="false">IF(D249=1,E249+W_board*F249,"")</f>
        <v>682.16803147055</v>
      </c>
      <c r="Z249" s="12" t="str">
        <f aca="false">IF(AND($J249=1,$M249=1),N249*E249/Span_P+O249*F249/Span_S+P249*G249/Span_B,"")</f>
        <v/>
      </c>
      <c r="AA249" s="12" t="str">
        <f aca="false">IF(AND($J249=1,$M249=1),SUMPRODUCT(MAX($J$6:$J$1062*(N249*$K$6:$K$1062/Span_P+O249*$F$6:$F$1062/Span_S+P249*$G$6:$G$1062/Span_B)-(1-$J$6:$J$1062)*1000000000)),"")</f>
        <v/>
      </c>
      <c r="AB249" s="15" t="str">
        <f aca="false">IF(AND($J249=1,$M249=1),IF(AA249-Z249&lt;=0.000000001,1,0),"")</f>
        <v/>
      </c>
      <c r="AC249" s="13" t="str">
        <f aca="false">IF(AND($J249=1,$M249=0),IF(S249="",0,S249*INDEX(Grid!$B$6:$H$156,R249+1,Q249+1))+IF(V249="",0,V249*INDEX(Grid!$B$6:$H$156,U249+1,T249+1))+IF(Y249="",0,Y249*INDEX(Grid!$B$6:$H$156,X249+1,W249+1)),"")</f>
        <v/>
      </c>
      <c r="AD249" s="13" t="str">
        <f aca="false">IF(AND($J249=1,$M249=0),IF(S249="",0,S249*Val_pt*(Ceiling_e-E_zero)*(1-(1-Half_gap)^Q249))+IF(V249="",0,V249*Val_pt*(Ceiling_e-E_zero)*(1-(1-Half_gap)^T249))+IF(Y249="",0,Y249*Val_pt*(Ceiling_e-E_zero)*(1-(1-Half_gap)^W249)),"")</f>
        <v/>
      </c>
      <c r="AE249" s="13" t="str">
        <f aca="false">IF(AND($J249=1,$M249=0),IF(S249="",0,S249*R249)+IF(V249="",0,V249*U249)+IF(Y249="",0,Y249*X249),"")</f>
        <v/>
      </c>
      <c r="AF249" s="12" t="str">
        <f aca="false">IF(AND($J249=1,$M249=0),MIN((AC249-E249)/Span_P,(AD249-F249)/Span_S,(AE249-G249)/Span_B),"")</f>
        <v/>
      </c>
      <c r="AG249" s="15" t="str">
        <f aca="false">IF(AND($J249=1,$M249=0),IF(AF249&gt;0.0000001,1,0),"")</f>
        <v/>
      </c>
      <c r="AH249" s="15" t="str">
        <f aca="false">IF($J249=1,IF($M249=1,AB249,AG249),"")</f>
        <v/>
      </c>
      <c r="AI249" s="13" t="str">
        <f aca="false">IF($J249=1,(Ideal_P-E249)/Span_P,"")</f>
        <v/>
      </c>
      <c r="AJ249" s="13" t="str">
        <f aca="false">IF($J249=1,(Ideal_S-F249)/Span_S,"")</f>
        <v/>
      </c>
      <c r="AK249" s="13" t="str">
        <f aca="false">IF($J249=1,(Ideal_B-G249)/Span_B,"")</f>
        <v/>
      </c>
      <c r="AL249" s="12" t="str">
        <f aca="false">IF($J249=1,MAX(ChA_1*AI249,ChA_2*AJ249,ChA_3*AK249)+Rho*(ChA_1*AI249+ChA_2*AJ249+ChA_3*AK249),"")</f>
        <v/>
      </c>
      <c r="AM249" s="12" t="str">
        <f aca="false">IF($J249=1,MAX(ChB_1*AI249,ChB_2*AJ249,ChB_3*AK249)+Rho*(ChB_1*AI249+ChB_2*AJ249+ChB_3*AK249),"")</f>
        <v/>
      </c>
      <c r="AN249" s="12" t="str">
        <f aca="false">IF($J249=1,MAX(Cx_1*(Ref_P-E249)/Span_P,Cx_2*(Ref_S-F249)/Span_S,Cx_3*(Ref_B-G249)/Span_B),"")</f>
        <v/>
      </c>
    </row>
    <row r="250" customFormat="false" ht="15" hidden="false" customHeight="false" outlineLevel="0" collapsed="false">
      <c r="A250" s="2" t="n">
        <v>244</v>
      </c>
      <c r="B250" s="15" t="n">
        <f aca="false">INT(A250/151)</f>
        <v>1</v>
      </c>
      <c r="C250" s="15" t="n">
        <f aca="false">MOD(A250,151)</f>
        <v>93</v>
      </c>
      <c r="D250" s="15" t="n">
        <f aca="false">INDEX(Grid!$J$6:$P$156,C250+1,B250+1)</f>
        <v>1</v>
      </c>
      <c r="E250" s="16" t="n">
        <f aca="false">IF(D250=1,INDEX(Grid!$B$6:$H$156,C250+1,B250+1),"")</f>
        <v>286.127189523815</v>
      </c>
      <c r="F250" s="13" t="n">
        <f aca="false">Val_pt*(Ceiling_e-E_zero)*(1-(1-Half_gap)^B250)</f>
        <v>70</v>
      </c>
      <c r="G250" s="15" t="n">
        <f aca="false">C250</f>
        <v>93</v>
      </c>
      <c r="H250" s="15" t="n">
        <f aca="false">IF(D250=1,INDEX(Grid!$R$6:$X$156,C250+1,B250+1),"")</f>
        <v>32</v>
      </c>
      <c r="I250" s="2" t="str">
        <f aca="false">IF(D250=1,INDEX(Sch_label,H250+1),"")</f>
        <v>1</v>
      </c>
      <c r="J250" s="15" t="n">
        <f aca="false">IF(D250=1,INDEX(Grid!$Z$6:$AF$156,C250+1,B250+1),0)</f>
        <v>0</v>
      </c>
      <c r="K250" s="16" t="n">
        <f aca="false">IF(J250=1,E250,0)</f>
        <v>0</v>
      </c>
      <c r="L250" s="17" t="n">
        <f aca="false">IF(D250=1,E250+W_board*F250,"")</f>
        <v>681.258940561459</v>
      </c>
      <c r="Z250" s="12" t="str">
        <f aca="false">IF(AND($J250=1,$M250=1),N250*E250/Span_P+O250*F250/Span_S+P250*G250/Span_B,"")</f>
        <v/>
      </c>
      <c r="AA250" s="12" t="str">
        <f aca="false">IF(AND($J250=1,$M250=1),SUMPRODUCT(MAX($J$6:$J$1062*(N250*$K$6:$K$1062/Span_P+O250*$F$6:$F$1062/Span_S+P250*$G$6:$G$1062/Span_B)-(1-$J$6:$J$1062)*1000000000)),"")</f>
        <v/>
      </c>
      <c r="AB250" s="15" t="str">
        <f aca="false">IF(AND($J250=1,$M250=1),IF(AA250-Z250&lt;=0.000000001,1,0),"")</f>
        <v/>
      </c>
      <c r="AC250" s="13" t="str">
        <f aca="false">IF(AND($J250=1,$M250=0),IF(S250="",0,S250*INDEX(Grid!$B$6:$H$156,R250+1,Q250+1))+IF(V250="",0,V250*INDEX(Grid!$B$6:$H$156,U250+1,T250+1))+IF(Y250="",0,Y250*INDEX(Grid!$B$6:$H$156,X250+1,W250+1)),"")</f>
        <v/>
      </c>
      <c r="AD250" s="13" t="str">
        <f aca="false">IF(AND($J250=1,$M250=0),IF(S250="",0,S250*Val_pt*(Ceiling_e-E_zero)*(1-(1-Half_gap)^Q250))+IF(V250="",0,V250*Val_pt*(Ceiling_e-E_zero)*(1-(1-Half_gap)^T250))+IF(Y250="",0,Y250*Val_pt*(Ceiling_e-E_zero)*(1-(1-Half_gap)^W250)),"")</f>
        <v/>
      </c>
      <c r="AE250" s="13" t="str">
        <f aca="false">IF(AND($J250=1,$M250=0),IF(S250="",0,S250*R250)+IF(V250="",0,V250*U250)+IF(Y250="",0,Y250*X250),"")</f>
        <v/>
      </c>
      <c r="AF250" s="12" t="str">
        <f aca="false">IF(AND($J250=1,$M250=0),MIN((AC250-E250)/Span_P,(AD250-F250)/Span_S,(AE250-G250)/Span_B),"")</f>
        <v/>
      </c>
      <c r="AG250" s="15" t="str">
        <f aca="false">IF(AND($J250=1,$M250=0),IF(AF250&gt;0.0000001,1,0),"")</f>
        <v/>
      </c>
      <c r="AH250" s="15" t="str">
        <f aca="false">IF($J250=1,IF($M250=1,AB250,AG250),"")</f>
        <v/>
      </c>
      <c r="AI250" s="13" t="str">
        <f aca="false">IF($J250=1,(Ideal_P-E250)/Span_P,"")</f>
        <v/>
      </c>
      <c r="AJ250" s="13" t="str">
        <f aca="false">IF($J250=1,(Ideal_S-F250)/Span_S,"")</f>
        <v/>
      </c>
      <c r="AK250" s="13" t="str">
        <f aca="false">IF($J250=1,(Ideal_B-G250)/Span_B,"")</f>
        <v/>
      </c>
      <c r="AL250" s="12" t="str">
        <f aca="false">IF($J250=1,MAX(ChA_1*AI250,ChA_2*AJ250,ChA_3*AK250)+Rho*(ChA_1*AI250+ChA_2*AJ250+ChA_3*AK250),"")</f>
        <v/>
      </c>
      <c r="AM250" s="12" t="str">
        <f aca="false">IF($J250=1,MAX(ChB_1*AI250,ChB_2*AJ250,ChB_3*AK250)+Rho*(ChB_1*AI250+ChB_2*AJ250+ChB_3*AK250),"")</f>
        <v/>
      </c>
      <c r="AN250" s="12" t="str">
        <f aca="false">IF($J250=1,MAX(Cx_1*(Ref_P-E250)/Span_P,Cx_2*(Ref_S-F250)/Span_S,Cx_3*(Ref_B-G250)/Span_B),"")</f>
        <v/>
      </c>
    </row>
    <row r="251" customFormat="false" ht="15" hidden="false" customHeight="false" outlineLevel="0" collapsed="false">
      <c r="A251" s="2" t="n">
        <v>245</v>
      </c>
      <c r="B251" s="15" t="n">
        <f aca="false">INT(A251/151)</f>
        <v>1</v>
      </c>
      <c r="C251" s="15" t="n">
        <f aca="false">MOD(A251,151)</f>
        <v>94</v>
      </c>
      <c r="D251" s="15" t="n">
        <f aca="false">INDEX(Grid!$J$6:$P$156,C251+1,B251+1)</f>
        <v>1</v>
      </c>
      <c r="E251" s="16" t="n">
        <f aca="false">IF(D251=1,INDEX(Grid!$B$6:$H$156,C251+1,B251+1),"")</f>
        <v>285.218098614725</v>
      </c>
      <c r="F251" s="13" t="n">
        <f aca="false">Val_pt*(Ceiling_e-E_zero)*(1-(1-Half_gap)^B251)</f>
        <v>70</v>
      </c>
      <c r="G251" s="15" t="n">
        <f aca="false">C251</f>
        <v>94</v>
      </c>
      <c r="H251" s="15" t="n">
        <f aca="false">IF(D251=1,INDEX(Grid!$R$6:$X$156,C251+1,B251+1),"")</f>
        <v>32</v>
      </c>
      <c r="I251" s="2" t="str">
        <f aca="false">IF(D251=1,INDEX(Sch_label,H251+1),"")</f>
        <v>1</v>
      </c>
      <c r="J251" s="15" t="n">
        <f aca="false">IF(D251=1,INDEX(Grid!$Z$6:$AF$156,C251+1,B251+1),0)</f>
        <v>0</v>
      </c>
      <c r="K251" s="16" t="n">
        <f aca="false">IF(J251=1,E251,0)</f>
        <v>0</v>
      </c>
      <c r="L251" s="17" t="n">
        <f aca="false">IF(D251=1,E251+W_board*F251,"")</f>
        <v>680.349849652369</v>
      </c>
      <c r="Z251" s="12" t="str">
        <f aca="false">IF(AND($J251=1,$M251=1),N251*E251/Span_P+O251*F251/Span_S+P251*G251/Span_B,"")</f>
        <v/>
      </c>
      <c r="AA251" s="12" t="str">
        <f aca="false">IF(AND($J251=1,$M251=1),SUMPRODUCT(MAX($J$6:$J$1062*(N251*$K$6:$K$1062/Span_P+O251*$F$6:$F$1062/Span_S+P251*$G$6:$G$1062/Span_B)-(1-$J$6:$J$1062)*1000000000)),"")</f>
        <v/>
      </c>
      <c r="AB251" s="15" t="str">
        <f aca="false">IF(AND($J251=1,$M251=1),IF(AA251-Z251&lt;=0.000000001,1,0),"")</f>
        <v/>
      </c>
      <c r="AC251" s="13" t="str">
        <f aca="false">IF(AND($J251=1,$M251=0),IF(S251="",0,S251*INDEX(Grid!$B$6:$H$156,R251+1,Q251+1))+IF(V251="",0,V251*INDEX(Grid!$B$6:$H$156,U251+1,T251+1))+IF(Y251="",0,Y251*INDEX(Grid!$B$6:$H$156,X251+1,W251+1)),"")</f>
        <v/>
      </c>
      <c r="AD251" s="13" t="str">
        <f aca="false">IF(AND($J251=1,$M251=0),IF(S251="",0,S251*Val_pt*(Ceiling_e-E_zero)*(1-(1-Half_gap)^Q251))+IF(V251="",0,V251*Val_pt*(Ceiling_e-E_zero)*(1-(1-Half_gap)^T251))+IF(Y251="",0,Y251*Val_pt*(Ceiling_e-E_zero)*(1-(1-Half_gap)^W251)),"")</f>
        <v/>
      </c>
      <c r="AE251" s="13" t="str">
        <f aca="false">IF(AND($J251=1,$M251=0),IF(S251="",0,S251*R251)+IF(V251="",0,V251*U251)+IF(Y251="",0,Y251*X251),"")</f>
        <v/>
      </c>
      <c r="AF251" s="12" t="str">
        <f aca="false">IF(AND($J251=1,$M251=0),MIN((AC251-E251)/Span_P,(AD251-F251)/Span_S,(AE251-G251)/Span_B),"")</f>
        <v/>
      </c>
      <c r="AG251" s="15" t="str">
        <f aca="false">IF(AND($J251=1,$M251=0),IF(AF251&gt;0.0000001,1,0),"")</f>
        <v/>
      </c>
      <c r="AH251" s="15" t="str">
        <f aca="false">IF($J251=1,IF($M251=1,AB251,AG251),"")</f>
        <v/>
      </c>
      <c r="AI251" s="13" t="str">
        <f aca="false">IF($J251=1,(Ideal_P-E251)/Span_P,"")</f>
        <v/>
      </c>
      <c r="AJ251" s="13" t="str">
        <f aca="false">IF($J251=1,(Ideal_S-F251)/Span_S,"")</f>
        <v/>
      </c>
      <c r="AK251" s="13" t="str">
        <f aca="false">IF($J251=1,(Ideal_B-G251)/Span_B,"")</f>
        <v/>
      </c>
      <c r="AL251" s="12" t="str">
        <f aca="false">IF($J251=1,MAX(ChA_1*AI251,ChA_2*AJ251,ChA_3*AK251)+Rho*(ChA_1*AI251+ChA_2*AJ251+ChA_3*AK251),"")</f>
        <v/>
      </c>
      <c r="AM251" s="12" t="str">
        <f aca="false">IF($J251=1,MAX(ChB_1*AI251,ChB_2*AJ251,ChB_3*AK251)+Rho*(ChB_1*AI251+ChB_2*AJ251+ChB_3*AK251),"")</f>
        <v/>
      </c>
      <c r="AN251" s="12" t="str">
        <f aca="false">IF($J251=1,MAX(Cx_1*(Ref_P-E251)/Span_P,Cx_2*(Ref_S-F251)/Span_S,Cx_3*(Ref_B-G251)/Span_B),"")</f>
        <v/>
      </c>
    </row>
    <row r="252" customFormat="false" ht="15" hidden="false" customHeight="false" outlineLevel="0" collapsed="false">
      <c r="A252" s="2" t="n">
        <v>246</v>
      </c>
      <c r="B252" s="15" t="n">
        <f aca="false">INT(A252/151)</f>
        <v>1</v>
      </c>
      <c r="C252" s="15" t="n">
        <f aca="false">MOD(A252,151)</f>
        <v>95</v>
      </c>
      <c r="D252" s="15" t="n">
        <f aca="false">INDEX(Grid!$J$6:$P$156,C252+1,B252+1)</f>
        <v>1</v>
      </c>
      <c r="E252" s="16" t="n">
        <f aca="false">IF(D252=1,INDEX(Grid!$B$6:$H$156,C252+1,B252+1),"")</f>
        <v>284.309007705634</v>
      </c>
      <c r="F252" s="13" t="n">
        <f aca="false">Val_pt*(Ceiling_e-E_zero)*(1-(1-Half_gap)^B252)</f>
        <v>70</v>
      </c>
      <c r="G252" s="15" t="n">
        <f aca="false">C252</f>
        <v>95</v>
      </c>
      <c r="H252" s="15" t="n">
        <f aca="false">IF(D252=1,INDEX(Grid!$R$6:$X$156,C252+1,B252+1),"")</f>
        <v>32</v>
      </c>
      <c r="I252" s="2" t="str">
        <f aca="false">IF(D252=1,INDEX(Sch_label,H252+1),"")</f>
        <v>1</v>
      </c>
      <c r="J252" s="15" t="n">
        <f aca="false">IF(D252=1,INDEX(Grid!$Z$6:$AF$156,C252+1,B252+1),0)</f>
        <v>0</v>
      </c>
      <c r="K252" s="16" t="n">
        <f aca="false">IF(J252=1,E252,0)</f>
        <v>0</v>
      </c>
      <c r="L252" s="17" t="n">
        <f aca="false">IF(D252=1,E252+W_board*F252,"")</f>
        <v>679.440758743278</v>
      </c>
      <c r="Z252" s="12" t="str">
        <f aca="false">IF(AND($J252=1,$M252=1),N252*E252/Span_P+O252*F252/Span_S+P252*G252/Span_B,"")</f>
        <v/>
      </c>
      <c r="AA252" s="12" t="str">
        <f aca="false">IF(AND($J252=1,$M252=1),SUMPRODUCT(MAX($J$6:$J$1062*(N252*$K$6:$K$1062/Span_P+O252*$F$6:$F$1062/Span_S+P252*$G$6:$G$1062/Span_B)-(1-$J$6:$J$1062)*1000000000)),"")</f>
        <v/>
      </c>
      <c r="AB252" s="15" t="str">
        <f aca="false">IF(AND($J252=1,$M252=1),IF(AA252-Z252&lt;=0.000000001,1,0),"")</f>
        <v/>
      </c>
      <c r="AC252" s="13" t="str">
        <f aca="false">IF(AND($J252=1,$M252=0),IF(S252="",0,S252*INDEX(Grid!$B$6:$H$156,R252+1,Q252+1))+IF(V252="",0,V252*INDEX(Grid!$B$6:$H$156,U252+1,T252+1))+IF(Y252="",0,Y252*INDEX(Grid!$B$6:$H$156,X252+1,W252+1)),"")</f>
        <v/>
      </c>
      <c r="AD252" s="13" t="str">
        <f aca="false">IF(AND($J252=1,$M252=0),IF(S252="",0,S252*Val_pt*(Ceiling_e-E_zero)*(1-(1-Half_gap)^Q252))+IF(V252="",0,V252*Val_pt*(Ceiling_e-E_zero)*(1-(1-Half_gap)^T252))+IF(Y252="",0,Y252*Val_pt*(Ceiling_e-E_zero)*(1-(1-Half_gap)^W252)),"")</f>
        <v/>
      </c>
      <c r="AE252" s="13" t="str">
        <f aca="false">IF(AND($J252=1,$M252=0),IF(S252="",0,S252*R252)+IF(V252="",0,V252*U252)+IF(Y252="",0,Y252*X252),"")</f>
        <v/>
      </c>
      <c r="AF252" s="12" t="str">
        <f aca="false">IF(AND($J252=1,$M252=0),MIN((AC252-E252)/Span_P,(AD252-F252)/Span_S,(AE252-G252)/Span_B),"")</f>
        <v/>
      </c>
      <c r="AG252" s="15" t="str">
        <f aca="false">IF(AND($J252=1,$M252=0),IF(AF252&gt;0.0000001,1,0),"")</f>
        <v/>
      </c>
      <c r="AH252" s="15" t="str">
        <f aca="false">IF($J252=1,IF($M252=1,AB252,AG252),"")</f>
        <v/>
      </c>
      <c r="AI252" s="13" t="str">
        <f aca="false">IF($J252=1,(Ideal_P-E252)/Span_P,"")</f>
        <v/>
      </c>
      <c r="AJ252" s="13" t="str">
        <f aca="false">IF($J252=1,(Ideal_S-F252)/Span_S,"")</f>
        <v/>
      </c>
      <c r="AK252" s="13" t="str">
        <f aca="false">IF($J252=1,(Ideal_B-G252)/Span_B,"")</f>
        <v/>
      </c>
      <c r="AL252" s="12" t="str">
        <f aca="false">IF($J252=1,MAX(ChA_1*AI252,ChA_2*AJ252,ChA_3*AK252)+Rho*(ChA_1*AI252+ChA_2*AJ252+ChA_3*AK252),"")</f>
        <v/>
      </c>
      <c r="AM252" s="12" t="str">
        <f aca="false">IF($J252=1,MAX(ChB_1*AI252,ChB_2*AJ252,ChB_3*AK252)+Rho*(ChB_1*AI252+ChB_2*AJ252+ChB_3*AK252),"")</f>
        <v/>
      </c>
      <c r="AN252" s="12" t="str">
        <f aca="false">IF($J252=1,MAX(Cx_1*(Ref_P-E252)/Span_P,Cx_2*(Ref_S-F252)/Span_S,Cx_3*(Ref_B-G252)/Span_B),"")</f>
        <v/>
      </c>
    </row>
    <row r="253" customFormat="false" ht="15" hidden="false" customHeight="false" outlineLevel="0" collapsed="false">
      <c r="A253" s="2" t="n">
        <v>247</v>
      </c>
      <c r="B253" s="15" t="n">
        <f aca="false">INT(A253/151)</f>
        <v>1</v>
      </c>
      <c r="C253" s="15" t="n">
        <f aca="false">MOD(A253,151)</f>
        <v>96</v>
      </c>
      <c r="D253" s="15" t="n">
        <f aca="false">INDEX(Grid!$J$6:$P$156,C253+1,B253+1)</f>
        <v>1</v>
      </c>
      <c r="E253" s="16" t="n">
        <f aca="false">IF(D253=1,INDEX(Grid!$B$6:$H$156,C253+1,B253+1),"")</f>
        <v>283.399916796543</v>
      </c>
      <c r="F253" s="13" t="n">
        <f aca="false">Val_pt*(Ceiling_e-E_zero)*(1-(1-Half_gap)^B253)</f>
        <v>70</v>
      </c>
      <c r="G253" s="15" t="n">
        <f aca="false">C253</f>
        <v>96</v>
      </c>
      <c r="H253" s="15" t="n">
        <f aca="false">IF(D253=1,INDEX(Grid!$R$6:$X$156,C253+1,B253+1),"")</f>
        <v>32</v>
      </c>
      <c r="I253" s="2" t="str">
        <f aca="false">IF(D253=1,INDEX(Sch_label,H253+1),"")</f>
        <v>1</v>
      </c>
      <c r="J253" s="15" t="n">
        <f aca="false">IF(D253=1,INDEX(Grid!$Z$6:$AF$156,C253+1,B253+1),0)</f>
        <v>0</v>
      </c>
      <c r="K253" s="16" t="n">
        <f aca="false">IF(J253=1,E253,0)</f>
        <v>0</v>
      </c>
      <c r="L253" s="17" t="n">
        <f aca="false">IF(D253=1,E253+W_board*F253,"")</f>
        <v>678.531667834187</v>
      </c>
      <c r="Z253" s="12" t="str">
        <f aca="false">IF(AND($J253=1,$M253=1),N253*E253/Span_P+O253*F253/Span_S+P253*G253/Span_B,"")</f>
        <v/>
      </c>
      <c r="AA253" s="12" t="str">
        <f aca="false">IF(AND($J253=1,$M253=1),SUMPRODUCT(MAX($J$6:$J$1062*(N253*$K$6:$K$1062/Span_P+O253*$F$6:$F$1062/Span_S+P253*$G$6:$G$1062/Span_B)-(1-$J$6:$J$1062)*1000000000)),"")</f>
        <v/>
      </c>
      <c r="AB253" s="15" t="str">
        <f aca="false">IF(AND($J253=1,$M253=1),IF(AA253-Z253&lt;=0.000000001,1,0),"")</f>
        <v/>
      </c>
      <c r="AC253" s="13" t="str">
        <f aca="false">IF(AND($J253=1,$M253=0),IF(S253="",0,S253*INDEX(Grid!$B$6:$H$156,R253+1,Q253+1))+IF(V253="",0,V253*INDEX(Grid!$B$6:$H$156,U253+1,T253+1))+IF(Y253="",0,Y253*INDEX(Grid!$B$6:$H$156,X253+1,W253+1)),"")</f>
        <v/>
      </c>
      <c r="AD253" s="13" t="str">
        <f aca="false">IF(AND($J253=1,$M253=0),IF(S253="",0,S253*Val_pt*(Ceiling_e-E_zero)*(1-(1-Half_gap)^Q253))+IF(V253="",0,V253*Val_pt*(Ceiling_e-E_zero)*(1-(1-Half_gap)^T253))+IF(Y253="",0,Y253*Val_pt*(Ceiling_e-E_zero)*(1-(1-Half_gap)^W253)),"")</f>
        <v/>
      </c>
      <c r="AE253" s="13" t="str">
        <f aca="false">IF(AND($J253=1,$M253=0),IF(S253="",0,S253*R253)+IF(V253="",0,V253*U253)+IF(Y253="",0,Y253*X253),"")</f>
        <v/>
      </c>
      <c r="AF253" s="12" t="str">
        <f aca="false">IF(AND($J253=1,$M253=0),MIN((AC253-E253)/Span_P,(AD253-F253)/Span_S,(AE253-G253)/Span_B),"")</f>
        <v/>
      </c>
      <c r="AG253" s="15" t="str">
        <f aca="false">IF(AND($J253=1,$M253=0),IF(AF253&gt;0.0000001,1,0),"")</f>
        <v/>
      </c>
      <c r="AH253" s="15" t="str">
        <f aca="false">IF($J253=1,IF($M253=1,AB253,AG253),"")</f>
        <v/>
      </c>
      <c r="AI253" s="13" t="str">
        <f aca="false">IF($J253=1,(Ideal_P-E253)/Span_P,"")</f>
        <v/>
      </c>
      <c r="AJ253" s="13" t="str">
        <f aca="false">IF($J253=1,(Ideal_S-F253)/Span_S,"")</f>
        <v/>
      </c>
      <c r="AK253" s="13" t="str">
        <f aca="false">IF($J253=1,(Ideal_B-G253)/Span_B,"")</f>
        <v/>
      </c>
      <c r="AL253" s="12" t="str">
        <f aca="false">IF($J253=1,MAX(ChA_1*AI253,ChA_2*AJ253,ChA_3*AK253)+Rho*(ChA_1*AI253+ChA_2*AJ253+ChA_3*AK253),"")</f>
        <v/>
      </c>
      <c r="AM253" s="12" t="str">
        <f aca="false">IF($J253=1,MAX(ChB_1*AI253,ChB_2*AJ253,ChB_3*AK253)+Rho*(ChB_1*AI253+ChB_2*AJ253+ChB_3*AK253),"")</f>
        <v/>
      </c>
      <c r="AN253" s="12" t="str">
        <f aca="false">IF($J253=1,MAX(Cx_1*(Ref_P-E253)/Span_P,Cx_2*(Ref_S-F253)/Span_S,Cx_3*(Ref_B-G253)/Span_B),"")</f>
        <v/>
      </c>
    </row>
    <row r="254" customFormat="false" ht="15" hidden="false" customHeight="false" outlineLevel="0" collapsed="false">
      <c r="A254" s="2" t="n">
        <v>248</v>
      </c>
      <c r="B254" s="15" t="n">
        <f aca="false">INT(A254/151)</f>
        <v>1</v>
      </c>
      <c r="C254" s="15" t="n">
        <f aca="false">MOD(A254,151)</f>
        <v>97</v>
      </c>
      <c r="D254" s="15" t="n">
        <f aca="false">INDEX(Grid!$J$6:$P$156,C254+1,B254+1)</f>
        <v>1</v>
      </c>
      <c r="E254" s="16" t="n">
        <f aca="false">IF(D254=1,INDEX(Grid!$B$6:$H$156,C254+1,B254+1),"")</f>
        <v>282.490825887452</v>
      </c>
      <c r="F254" s="13" t="n">
        <f aca="false">Val_pt*(Ceiling_e-E_zero)*(1-(1-Half_gap)^B254)</f>
        <v>70</v>
      </c>
      <c r="G254" s="15" t="n">
        <f aca="false">C254</f>
        <v>97</v>
      </c>
      <c r="H254" s="15" t="n">
        <f aca="false">IF(D254=1,INDEX(Grid!$R$6:$X$156,C254+1,B254+1),"")</f>
        <v>32</v>
      </c>
      <c r="I254" s="2" t="str">
        <f aca="false">IF(D254=1,INDEX(Sch_label,H254+1),"")</f>
        <v>1</v>
      </c>
      <c r="J254" s="15" t="n">
        <f aca="false">IF(D254=1,INDEX(Grid!$Z$6:$AF$156,C254+1,B254+1),0)</f>
        <v>0</v>
      </c>
      <c r="K254" s="16" t="n">
        <f aca="false">IF(J254=1,E254,0)</f>
        <v>0</v>
      </c>
      <c r="L254" s="17" t="n">
        <f aca="false">IF(D254=1,E254+W_board*F254,"")</f>
        <v>677.622576925096</v>
      </c>
      <c r="Z254" s="12" t="str">
        <f aca="false">IF(AND($J254=1,$M254=1),N254*E254/Span_P+O254*F254/Span_S+P254*G254/Span_B,"")</f>
        <v/>
      </c>
      <c r="AA254" s="12" t="str">
        <f aca="false">IF(AND($J254=1,$M254=1),SUMPRODUCT(MAX($J$6:$J$1062*(N254*$K$6:$K$1062/Span_P+O254*$F$6:$F$1062/Span_S+P254*$G$6:$G$1062/Span_B)-(1-$J$6:$J$1062)*1000000000)),"")</f>
        <v/>
      </c>
      <c r="AB254" s="15" t="str">
        <f aca="false">IF(AND($J254=1,$M254=1),IF(AA254-Z254&lt;=0.000000001,1,0),"")</f>
        <v/>
      </c>
      <c r="AC254" s="13" t="str">
        <f aca="false">IF(AND($J254=1,$M254=0),IF(S254="",0,S254*INDEX(Grid!$B$6:$H$156,R254+1,Q254+1))+IF(V254="",0,V254*INDEX(Grid!$B$6:$H$156,U254+1,T254+1))+IF(Y254="",0,Y254*INDEX(Grid!$B$6:$H$156,X254+1,W254+1)),"")</f>
        <v/>
      </c>
      <c r="AD254" s="13" t="str">
        <f aca="false">IF(AND($J254=1,$M254=0),IF(S254="",0,S254*Val_pt*(Ceiling_e-E_zero)*(1-(1-Half_gap)^Q254))+IF(V254="",0,V254*Val_pt*(Ceiling_e-E_zero)*(1-(1-Half_gap)^T254))+IF(Y254="",0,Y254*Val_pt*(Ceiling_e-E_zero)*(1-(1-Half_gap)^W254)),"")</f>
        <v/>
      </c>
      <c r="AE254" s="13" t="str">
        <f aca="false">IF(AND($J254=1,$M254=0),IF(S254="",0,S254*R254)+IF(V254="",0,V254*U254)+IF(Y254="",0,Y254*X254),"")</f>
        <v/>
      </c>
      <c r="AF254" s="12" t="str">
        <f aca="false">IF(AND($J254=1,$M254=0),MIN((AC254-E254)/Span_P,(AD254-F254)/Span_S,(AE254-G254)/Span_B),"")</f>
        <v/>
      </c>
      <c r="AG254" s="15" t="str">
        <f aca="false">IF(AND($J254=1,$M254=0),IF(AF254&gt;0.0000001,1,0),"")</f>
        <v/>
      </c>
      <c r="AH254" s="15" t="str">
        <f aca="false">IF($J254=1,IF($M254=1,AB254,AG254),"")</f>
        <v/>
      </c>
      <c r="AI254" s="13" t="str">
        <f aca="false">IF($J254=1,(Ideal_P-E254)/Span_P,"")</f>
        <v/>
      </c>
      <c r="AJ254" s="13" t="str">
        <f aca="false">IF($J254=1,(Ideal_S-F254)/Span_S,"")</f>
        <v/>
      </c>
      <c r="AK254" s="13" t="str">
        <f aca="false">IF($J254=1,(Ideal_B-G254)/Span_B,"")</f>
        <v/>
      </c>
      <c r="AL254" s="12" t="str">
        <f aca="false">IF($J254=1,MAX(ChA_1*AI254,ChA_2*AJ254,ChA_3*AK254)+Rho*(ChA_1*AI254+ChA_2*AJ254+ChA_3*AK254),"")</f>
        <v/>
      </c>
      <c r="AM254" s="12" t="str">
        <f aca="false">IF($J254=1,MAX(ChB_1*AI254,ChB_2*AJ254,ChB_3*AK254)+Rho*(ChB_1*AI254+ChB_2*AJ254+ChB_3*AK254),"")</f>
        <v/>
      </c>
      <c r="AN254" s="12" t="str">
        <f aca="false">IF($J254=1,MAX(Cx_1*(Ref_P-E254)/Span_P,Cx_2*(Ref_S-F254)/Span_S,Cx_3*(Ref_B-G254)/Span_B),"")</f>
        <v/>
      </c>
    </row>
    <row r="255" customFormat="false" ht="15" hidden="false" customHeight="false" outlineLevel="0" collapsed="false">
      <c r="A255" s="2" t="n">
        <v>249</v>
      </c>
      <c r="B255" s="15" t="n">
        <f aca="false">INT(A255/151)</f>
        <v>1</v>
      </c>
      <c r="C255" s="15" t="n">
        <f aca="false">MOD(A255,151)</f>
        <v>98</v>
      </c>
      <c r="D255" s="15" t="n">
        <f aca="false">INDEX(Grid!$J$6:$P$156,C255+1,B255+1)</f>
        <v>1</v>
      </c>
      <c r="E255" s="16" t="n">
        <f aca="false">IF(D255=1,INDEX(Grid!$B$6:$H$156,C255+1,B255+1),"")</f>
        <v>281.581734978361</v>
      </c>
      <c r="F255" s="13" t="n">
        <f aca="false">Val_pt*(Ceiling_e-E_zero)*(1-(1-Half_gap)^B255)</f>
        <v>70</v>
      </c>
      <c r="G255" s="15" t="n">
        <f aca="false">C255</f>
        <v>98</v>
      </c>
      <c r="H255" s="15" t="n">
        <f aca="false">IF(D255=1,INDEX(Grid!$R$6:$X$156,C255+1,B255+1),"")</f>
        <v>32</v>
      </c>
      <c r="I255" s="2" t="str">
        <f aca="false">IF(D255=1,INDEX(Sch_label,H255+1),"")</f>
        <v>1</v>
      </c>
      <c r="J255" s="15" t="n">
        <f aca="false">IF(D255=1,INDEX(Grid!$Z$6:$AF$156,C255+1,B255+1),0)</f>
        <v>0</v>
      </c>
      <c r="K255" s="16" t="n">
        <f aca="false">IF(J255=1,E255,0)</f>
        <v>0</v>
      </c>
      <c r="L255" s="17" t="n">
        <f aca="false">IF(D255=1,E255+W_board*F255,"")</f>
        <v>676.713486016005</v>
      </c>
      <c r="Z255" s="12" t="str">
        <f aca="false">IF(AND($J255=1,$M255=1),N255*E255/Span_P+O255*F255/Span_S+P255*G255/Span_B,"")</f>
        <v/>
      </c>
      <c r="AA255" s="12" t="str">
        <f aca="false">IF(AND($J255=1,$M255=1),SUMPRODUCT(MAX($J$6:$J$1062*(N255*$K$6:$K$1062/Span_P+O255*$F$6:$F$1062/Span_S+P255*$G$6:$G$1062/Span_B)-(1-$J$6:$J$1062)*1000000000)),"")</f>
        <v/>
      </c>
      <c r="AB255" s="15" t="str">
        <f aca="false">IF(AND($J255=1,$M255=1),IF(AA255-Z255&lt;=0.000000001,1,0),"")</f>
        <v/>
      </c>
      <c r="AC255" s="13" t="str">
        <f aca="false">IF(AND($J255=1,$M255=0),IF(S255="",0,S255*INDEX(Grid!$B$6:$H$156,R255+1,Q255+1))+IF(V255="",0,V255*INDEX(Grid!$B$6:$H$156,U255+1,T255+1))+IF(Y255="",0,Y255*INDEX(Grid!$B$6:$H$156,X255+1,W255+1)),"")</f>
        <v/>
      </c>
      <c r="AD255" s="13" t="str">
        <f aca="false">IF(AND($J255=1,$M255=0),IF(S255="",0,S255*Val_pt*(Ceiling_e-E_zero)*(1-(1-Half_gap)^Q255))+IF(V255="",0,V255*Val_pt*(Ceiling_e-E_zero)*(1-(1-Half_gap)^T255))+IF(Y255="",0,Y255*Val_pt*(Ceiling_e-E_zero)*(1-(1-Half_gap)^W255)),"")</f>
        <v/>
      </c>
      <c r="AE255" s="13" t="str">
        <f aca="false">IF(AND($J255=1,$M255=0),IF(S255="",0,S255*R255)+IF(V255="",0,V255*U255)+IF(Y255="",0,Y255*X255),"")</f>
        <v/>
      </c>
      <c r="AF255" s="12" t="str">
        <f aca="false">IF(AND($J255=1,$M255=0),MIN((AC255-E255)/Span_P,(AD255-F255)/Span_S,(AE255-G255)/Span_B),"")</f>
        <v/>
      </c>
      <c r="AG255" s="15" t="str">
        <f aca="false">IF(AND($J255=1,$M255=0),IF(AF255&gt;0.0000001,1,0),"")</f>
        <v/>
      </c>
      <c r="AH255" s="15" t="str">
        <f aca="false">IF($J255=1,IF($M255=1,AB255,AG255),"")</f>
        <v/>
      </c>
      <c r="AI255" s="13" t="str">
        <f aca="false">IF($J255=1,(Ideal_P-E255)/Span_P,"")</f>
        <v/>
      </c>
      <c r="AJ255" s="13" t="str">
        <f aca="false">IF($J255=1,(Ideal_S-F255)/Span_S,"")</f>
        <v/>
      </c>
      <c r="AK255" s="13" t="str">
        <f aca="false">IF($J255=1,(Ideal_B-G255)/Span_B,"")</f>
        <v/>
      </c>
      <c r="AL255" s="12" t="str">
        <f aca="false">IF($J255=1,MAX(ChA_1*AI255,ChA_2*AJ255,ChA_3*AK255)+Rho*(ChA_1*AI255+ChA_2*AJ255+ChA_3*AK255),"")</f>
        <v/>
      </c>
      <c r="AM255" s="12" t="str">
        <f aca="false">IF($J255=1,MAX(ChB_1*AI255,ChB_2*AJ255,ChB_3*AK255)+Rho*(ChB_1*AI255+ChB_2*AJ255+ChB_3*AK255),"")</f>
        <v/>
      </c>
      <c r="AN255" s="12" t="str">
        <f aca="false">IF($J255=1,MAX(Cx_1*(Ref_P-E255)/Span_P,Cx_2*(Ref_S-F255)/Span_S,Cx_3*(Ref_B-G255)/Span_B),"")</f>
        <v/>
      </c>
    </row>
    <row r="256" customFormat="false" ht="15" hidden="false" customHeight="false" outlineLevel="0" collapsed="false">
      <c r="A256" s="2" t="n">
        <v>250</v>
      </c>
      <c r="B256" s="15" t="n">
        <f aca="false">INT(A256/151)</f>
        <v>1</v>
      </c>
      <c r="C256" s="15" t="n">
        <f aca="false">MOD(A256,151)</f>
        <v>99</v>
      </c>
      <c r="D256" s="15" t="n">
        <f aca="false">INDEX(Grid!$J$6:$P$156,C256+1,B256+1)</f>
        <v>1</v>
      </c>
      <c r="E256" s="16" t="n">
        <f aca="false">IF(D256=1,INDEX(Grid!$B$6:$H$156,C256+1,B256+1),"")</f>
        <v>280.67264406927</v>
      </c>
      <c r="F256" s="13" t="n">
        <f aca="false">Val_pt*(Ceiling_e-E_zero)*(1-(1-Half_gap)^B256)</f>
        <v>70</v>
      </c>
      <c r="G256" s="15" t="n">
        <f aca="false">C256</f>
        <v>99</v>
      </c>
      <c r="H256" s="15" t="n">
        <f aca="false">IF(D256=1,INDEX(Grid!$R$6:$X$156,C256+1,B256+1),"")</f>
        <v>32</v>
      </c>
      <c r="I256" s="2" t="str">
        <f aca="false">IF(D256=1,INDEX(Sch_label,H256+1),"")</f>
        <v>1</v>
      </c>
      <c r="J256" s="15" t="n">
        <f aca="false">IF(D256=1,INDEX(Grid!$Z$6:$AF$156,C256+1,B256+1),0)</f>
        <v>0</v>
      </c>
      <c r="K256" s="16" t="n">
        <f aca="false">IF(J256=1,E256,0)</f>
        <v>0</v>
      </c>
      <c r="L256" s="17" t="n">
        <f aca="false">IF(D256=1,E256+W_board*F256,"")</f>
        <v>675.804395106914</v>
      </c>
      <c r="Z256" s="12" t="str">
        <f aca="false">IF(AND($J256=1,$M256=1),N256*E256/Span_P+O256*F256/Span_S+P256*G256/Span_B,"")</f>
        <v/>
      </c>
      <c r="AA256" s="12" t="str">
        <f aca="false">IF(AND($J256=1,$M256=1),SUMPRODUCT(MAX($J$6:$J$1062*(N256*$K$6:$K$1062/Span_P+O256*$F$6:$F$1062/Span_S+P256*$G$6:$G$1062/Span_B)-(1-$J$6:$J$1062)*1000000000)),"")</f>
        <v/>
      </c>
      <c r="AB256" s="15" t="str">
        <f aca="false">IF(AND($J256=1,$M256=1),IF(AA256-Z256&lt;=0.000000001,1,0),"")</f>
        <v/>
      </c>
      <c r="AC256" s="13" t="str">
        <f aca="false">IF(AND($J256=1,$M256=0),IF(S256="",0,S256*INDEX(Grid!$B$6:$H$156,R256+1,Q256+1))+IF(V256="",0,V256*INDEX(Grid!$B$6:$H$156,U256+1,T256+1))+IF(Y256="",0,Y256*INDEX(Grid!$B$6:$H$156,X256+1,W256+1)),"")</f>
        <v/>
      </c>
      <c r="AD256" s="13" t="str">
        <f aca="false">IF(AND($J256=1,$M256=0),IF(S256="",0,S256*Val_pt*(Ceiling_e-E_zero)*(1-(1-Half_gap)^Q256))+IF(V256="",0,V256*Val_pt*(Ceiling_e-E_zero)*(1-(1-Half_gap)^T256))+IF(Y256="",0,Y256*Val_pt*(Ceiling_e-E_zero)*(1-(1-Half_gap)^W256)),"")</f>
        <v/>
      </c>
      <c r="AE256" s="13" t="str">
        <f aca="false">IF(AND($J256=1,$M256=0),IF(S256="",0,S256*R256)+IF(V256="",0,V256*U256)+IF(Y256="",0,Y256*X256),"")</f>
        <v/>
      </c>
      <c r="AF256" s="12" t="str">
        <f aca="false">IF(AND($J256=1,$M256=0),MIN((AC256-E256)/Span_P,(AD256-F256)/Span_S,(AE256-G256)/Span_B),"")</f>
        <v/>
      </c>
      <c r="AG256" s="15" t="str">
        <f aca="false">IF(AND($J256=1,$M256=0),IF(AF256&gt;0.0000001,1,0),"")</f>
        <v/>
      </c>
      <c r="AH256" s="15" t="str">
        <f aca="false">IF($J256=1,IF($M256=1,AB256,AG256),"")</f>
        <v/>
      </c>
      <c r="AI256" s="13" t="str">
        <f aca="false">IF($J256=1,(Ideal_P-E256)/Span_P,"")</f>
        <v/>
      </c>
      <c r="AJ256" s="13" t="str">
        <f aca="false">IF($J256=1,(Ideal_S-F256)/Span_S,"")</f>
        <v/>
      </c>
      <c r="AK256" s="13" t="str">
        <f aca="false">IF($J256=1,(Ideal_B-G256)/Span_B,"")</f>
        <v/>
      </c>
      <c r="AL256" s="12" t="str">
        <f aca="false">IF($J256=1,MAX(ChA_1*AI256,ChA_2*AJ256,ChA_3*AK256)+Rho*(ChA_1*AI256+ChA_2*AJ256+ChA_3*AK256),"")</f>
        <v/>
      </c>
      <c r="AM256" s="12" t="str">
        <f aca="false">IF($J256=1,MAX(ChB_1*AI256,ChB_2*AJ256,ChB_3*AK256)+Rho*(ChB_1*AI256+ChB_2*AJ256+ChB_3*AK256),"")</f>
        <v/>
      </c>
      <c r="AN256" s="12" t="str">
        <f aca="false">IF($J256=1,MAX(Cx_1*(Ref_P-E256)/Span_P,Cx_2*(Ref_S-F256)/Span_S,Cx_3*(Ref_B-G256)/Span_B),"")</f>
        <v/>
      </c>
    </row>
    <row r="257" customFormat="false" ht="15" hidden="false" customHeight="false" outlineLevel="0" collapsed="false">
      <c r="A257" s="2" t="n">
        <v>251</v>
      </c>
      <c r="B257" s="15" t="n">
        <f aca="false">INT(A257/151)</f>
        <v>1</v>
      </c>
      <c r="C257" s="15" t="n">
        <f aca="false">MOD(A257,151)</f>
        <v>100</v>
      </c>
      <c r="D257" s="15" t="n">
        <f aca="false">INDEX(Grid!$J$6:$P$156,C257+1,B257+1)</f>
        <v>1</v>
      </c>
      <c r="E257" s="16" t="n">
        <f aca="false">IF(D257=1,INDEX(Grid!$B$6:$H$156,C257+1,B257+1),"")</f>
        <v>279.763553160179</v>
      </c>
      <c r="F257" s="13" t="n">
        <f aca="false">Val_pt*(Ceiling_e-E_zero)*(1-(1-Half_gap)^B257)</f>
        <v>70</v>
      </c>
      <c r="G257" s="15" t="n">
        <f aca="false">C257</f>
        <v>100</v>
      </c>
      <c r="H257" s="15" t="n">
        <f aca="false">IF(D257=1,INDEX(Grid!$R$6:$X$156,C257+1,B257+1),"")</f>
        <v>32</v>
      </c>
      <c r="I257" s="2" t="str">
        <f aca="false">IF(D257=1,INDEX(Sch_label,H257+1),"")</f>
        <v>1</v>
      </c>
      <c r="J257" s="15" t="n">
        <f aca="false">IF(D257=1,INDEX(Grid!$Z$6:$AF$156,C257+1,B257+1),0)</f>
        <v>0</v>
      </c>
      <c r="K257" s="16" t="n">
        <f aca="false">IF(J257=1,E257,0)</f>
        <v>0</v>
      </c>
      <c r="L257" s="17" t="n">
        <f aca="false">IF(D257=1,E257+W_board*F257,"")</f>
        <v>674.895304197823</v>
      </c>
      <c r="Z257" s="12" t="str">
        <f aca="false">IF(AND($J257=1,$M257=1),N257*E257/Span_P+O257*F257/Span_S+P257*G257/Span_B,"")</f>
        <v/>
      </c>
      <c r="AA257" s="12" t="str">
        <f aca="false">IF(AND($J257=1,$M257=1),SUMPRODUCT(MAX($J$6:$J$1062*(N257*$K$6:$K$1062/Span_P+O257*$F$6:$F$1062/Span_S+P257*$G$6:$G$1062/Span_B)-(1-$J$6:$J$1062)*1000000000)),"")</f>
        <v/>
      </c>
      <c r="AB257" s="15" t="str">
        <f aca="false">IF(AND($J257=1,$M257=1),IF(AA257-Z257&lt;=0.000000001,1,0),"")</f>
        <v/>
      </c>
      <c r="AC257" s="13" t="str">
        <f aca="false">IF(AND($J257=1,$M257=0),IF(S257="",0,S257*INDEX(Grid!$B$6:$H$156,R257+1,Q257+1))+IF(V257="",0,V257*INDEX(Grid!$B$6:$H$156,U257+1,T257+1))+IF(Y257="",0,Y257*INDEX(Grid!$B$6:$H$156,X257+1,W257+1)),"")</f>
        <v/>
      </c>
      <c r="AD257" s="13" t="str">
        <f aca="false">IF(AND($J257=1,$M257=0),IF(S257="",0,S257*Val_pt*(Ceiling_e-E_zero)*(1-(1-Half_gap)^Q257))+IF(V257="",0,V257*Val_pt*(Ceiling_e-E_zero)*(1-(1-Half_gap)^T257))+IF(Y257="",0,Y257*Val_pt*(Ceiling_e-E_zero)*(1-(1-Half_gap)^W257)),"")</f>
        <v/>
      </c>
      <c r="AE257" s="13" t="str">
        <f aca="false">IF(AND($J257=1,$M257=0),IF(S257="",0,S257*R257)+IF(V257="",0,V257*U257)+IF(Y257="",0,Y257*X257),"")</f>
        <v/>
      </c>
      <c r="AF257" s="12" t="str">
        <f aca="false">IF(AND($J257=1,$M257=0),MIN((AC257-E257)/Span_P,(AD257-F257)/Span_S,(AE257-G257)/Span_B),"")</f>
        <v/>
      </c>
      <c r="AG257" s="15" t="str">
        <f aca="false">IF(AND($J257=1,$M257=0),IF(AF257&gt;0.0000001,1,0),"")</f>
        <v/>
      </c>
      <c r="AH257" s="15" t="str">
        <f aca="false">IF($J257=1,IF($M257=1,AB257,AG257),"")</f>
        <v/>
      </c>
      <c r="AI257" s="13" t="str">
        <f aca="false">IF($J257=1,(Ideal_P-E257)/Span_P,"")</f>
        <v/>
      </c>
      <c r="AJ257" s="13" t="str">
        <f aca="false">IF($J257=1,(Ideal_S-F257)/Span_S,"")</f>
        <v/>
      </c>
      <c r="AK257" s="13" t="str">
        <f aca="false">IF($J257=1,(Ideal_B-G257)/Span_B,"")</f>
        <v/>
      </c>
      <c r="AL257" s="12" t="str">
        <f aca="false">IF($J257=1,MAX(ChA_1*AI257,ChA_2*AJ257,ChA_3*AK257)+Rho*(ChA_1*AI257+ChA_2*AJ257+ChA_3*AK257),"")</f>
        <v/>
      </c>
      <c r="AM257" s="12" t="str">
        <f aca="false">IF($J257=1,MAX(ChB_1*AI257,ChB_2*AJ257,ChB_3*AK257)+Rho*(ChB_1*AI257+ChB_2*AJ257+ChB_3*AK257),"")</f>
        <v/>
      </c>
      <c r="AN257" s="12" t="str">
        <f aca="false">IF($J257=1,MAX(Cx_1*(Ref_P-E257)/Span_P,Cx_2*(Ref_S-F257)/Span_S,Cx_3*(Ref_B-G257)/Span_B),"")</f>
        <v/>
      </c>
    </row>
    <row r="258" customFormat="false" ht="15" hidden="false" customHeight="false" outlineLevel="0" collapsed="false">
      <c r="A258" s="2" t="n">
        <v>252</v>
      </c>
      <c r="B258" s="15" t="n">
        <f aca="false">INT(A258/151)</f>
        <v>1</v>
      </c>
      <c r="C258" s="15" t="n">
        <f aca="false">MOD(A258,151)</f>
        <v>101</v>
      </c>
      <c r="D258" s="15" t="n">
        <f aca="false">INDEX(Grid!$J$6:$P$156,C258+1,B258+1)</f>
        <v>1</v>
      </c>
      <c r="E258" s="16" t="n">
        <f aca="false">IF(D258=1,INDEX(Grid!$B$6:$H$156,C258+1,B258+1),"")</f>
        <v>278.854462251088</v>
      </c>
      <c r="F258" s="13" t="n">
        <f aca="false">Val_pt*(Ceiling_e-E_zero)*(1-(1-Half_gap)^B258)</f>
        <v>70</v>
      </c>
      <c r="G258" s="15" t="n">
        <f aca="false">C258</f>
        <v>101</v>
      </c>
      <c r="H258" s="15" t="n">
        <f aca="false">IF(D258=1,INDEX(Grid!$R$6:$X$156,C258+1,B258+1),"")</f>
        <v>32</v>
      </c>
      <c r="I258" s="2" t="str">
        <f aca="false">IF(D258=1,INDEX(Sch_label,H258+1),"")</f>
        <v>1</v>
      </c>
      <c r="J258" s="15" t="n">
        <f aca="false">IF(D258=1,INDEX(Grid!$Z$6:$AF$156,C258+1,B258+1),0)</f>
        <v>1</v>
      </c>
      <c r="K258" s="16" t="n">
        <f aca="false">IF(J258=1,E258,0)</f>
        <v>278.854462251088</v>
      </c>
      <c r="L258" s="17" t="n">
        <f aca="false">IF(D258=1,E258+W_board*F258,"")</f>
        <v>673.986213288732</v>
      </c>
      <c r="M258" s="24" t="n">
        <v>0</v>
      </c>
      <c r="Q258" s="24" t="n">
        <v>1</v>
      </c>
      <c r="R258" s="24" t="n">
        <v>150</v>
      </c>
      <c r="S258" s="25" t="n">
        <v>0.0936427643933283</v>
      </c>
      <c r="T258" s="24" t="n">
        <v>2</v>
      </c>
      <c r="U258" s="24" t="n">
        <v>100</v>
      </c>
      <c r="V258" s="25" t="n">
        <v>0.906357235606672</v>
      </c>
      <c r="Z258" s="12" t="str">
        <f aca="false">IF(AND($J258=1,$M258=1),N258*E258/Span_P+O258*F258/Span_S+P258*G258/Span_B,"")</f>
        <v/>
      </c>
      <c r="AA258" s="12" t="str">
        <f aca="false">IF(AND($J258=1,$M258=1),SUMPRODUCT(MAX($J$6:$J$1062*(N258*$K$6:$K$1062/Span_P+O258*$F$6:$F$1062/Span_S+P258*$G$6:$G$1062/Span_B)-(1-$J$6:$J$1062)*1000000000)),"")</f>
        <v/>
      </c>
      <c r="AB258" s="15" t="str">
        <f aca="false">IF(AND($J258=1,$M258=1),IF(AA258-Z258&lt;=0.000000001,1,0),"")</f>
        <v/>
      </c>
      <c r="AC258" s="13" t="n">
        <f aca="false">IF(AND($J258=1,$M258=0),IF(S258="",0,S258*INDEX(Grid!$B$6:$H$156,R258+1,Q258+1))+IF(V258="",0,V258*INDEX(Grid!$B$6:$H$156,U258+1,T258+1))+IF(Y258="",0,Y258*INDEX(Grid!$B$6:$H$156,X258+1,W258+1)),"")</f>
        <v>287.743514046099</v>
      </c>
      <c r="AD258" s="13" t="n">
        <f aca="false">IF(AND($J258=1,$M258=0),IF(S258="",0,S258*Val_pt*(Ceiling_e-E_zero)*(1-(1-Half_gap)^Q258))+IF(V258="",0,V258*Val_pt*(Ceiling_e-E_zero)*(1-(1-Half_gap)^T258))+IF(Y258="",0,Y258*Val_pt*(Ceiling_e-E_zero)*(1-(1-Half_gap)^W258)),"")</f>
        <v>101.722503246234</v>
      </c>
      <c r="AE258" s="13" t="n">
        <f aca="false">IF(AND($J258=1,$M258=0),IF(S258="",0,S258*R258)+IF(V258="",0,V258*U258)+IF(Y258="",0,Y258*X258),"")</f>
        <v>104.682138219666</v>
      </c>
      <c r="AF258" s="12" t="n">
        <f aca="false">IF(AND($J258=1,$M258=0),MIN((AC258-E258)/Span_P,(AD258-F258)/Span_S,(AE258-G258)/Span_B),"")</f>
        <v>0.0245475881311092</v>
      </c>
      <c r="AG258" s="15" t="n">
        <f aca="false">IF(AND($J258=1,$M258=0),IF(AF258&gt;0.0000001,1,0),"")</f>
        <v>1</v>
      </c>
      <c r="AH258" s="15" t="n">
        <f aca="false">IF($J258=1,IF($M258=1,AB258,AG258),"")</f>
        <v>1</v>
      </c>
      <c r="AI258" s="13" t="n">
        <f aca="false">IF($J258=1,(Ideal_P-E258)/Span_P,"")</f>
        <v>0.290843658533525</v>
      </c>
      <c r="AJ258" s="13" t="n">
        <f aca="false">IF($J258=1,(Ideal_S-F258)/Span_S,"")</f>
        <v>1</v>
      </c>
      <c r="AK258" s="13" t="n">
        <f aca="false">IF($J258=1,(Ideal_B-G258)/Span_B,"")</f>
        <v>0.326666666666667</v>
      </c>
      <c r="AL258" s="12" t="n">
        <f aca="false">IF($J258=1,MAX(ChA_1*AI258,ChA_2*AJ258,ChA_3*AK258)+Rho*(ChA_1*AI258+ChA_2*AJ258+ChA_3*AK258),"")</f>
        <v>1.00016175103252</v>
      </c>
      <c r="AM258" s="12" t="n">
        <f aca="false">IF($J258=1,MAX(ChB_1*AI258,ChB_2*AJ258,ChB_3*AK258)+Rho*(ChB_1*AI258+ChB_2*AJ258+ChB_3*AK258),"")</f>
        <v>1.00019083539837</v>
      </c>
      <c r="AN258" s="12" t="n">
        <f aca="false">IF($J258=1,MAX(Cx_1*(Ref_P-E258)/Span_P,Cx_2*(Ref_S-F258)/Span_S,Cx_3*(Ref_B-G258)/Span_B),"")</f>
        <v>4.28317373461012</v>
      </c>
    </row>
    <row r="259" customFormat="false" ht="15" hidden="false" customHeight="false" outlineLevel="0" collapsed="false">
      <c r="A259" s="2" t="n">
        <v>253</v>
      </c>
      <c r="B259" s="15" t="n">
        <f aca="false">INT(A259/151)</f>
        <v>1</v>
      </c>
      <c r="C259" s="15" t="n">
        <f aca="false">MOD(A259,151)</f>
        <v>102</v>
      </c>
      <c r="D259" s="15" t="n">
        <f aca="false">INDEX(Grid!$J$6:$P$156,C259+1,B259+1)</f>
        <v>1</v>
      </c>
      <c r="E259" s="16" t="n">
        <f aca="false">IF(D259=1,INDEX(Grid!$B$6:$H$156,C259+1,B259+1),"")</f>
        <v>277.945371341997</v>
      </c>
      <c r="F259" s="13" t="n">
        <f aca="false">Val_pt*(Ceiling_e-E_zero)*(1-(1-Half_gap)^B259)</f>
        <v>70</v>
      </c>
      <c r="G259" s="15" t="n">
        <f aca="false">C259</f>
        <v>102</v>
      </c>
      <c r="H259" s="15" t="n">
        <f aca="false">IF(D259=1,INDEX(Grid!$R$6:$X$156,C259+1,B259+1),"")</f>
        <v>32</v>
      </c>
      <c r="I259" s="2" t="str">
        <f aca="false">IF(D259=1,INDEX(Sch_label,H259+1),"")</f>
        <v>1</v>
      </c>
      <c r="J259" s="15" t="n">
        <f aca="false">IF(D259=1,INDEX(Grid!$Z$6:$AF$156,C259+1,B259+1),0)</f>
        <v>1</v>
      </c>
      <c r="K259" s="16" t="n">
        <f aca="false">IF(J259=1,E259,0)</f>
        <v>277.945371341997</v>
      </c>
      <c r="L259" s="17" t="n">
        <f aca="false">IF(D259=1,E259+W_board*F259,"")</f>
        <v>673.077122379641</v>
      </c>
      <c r="M259" s="24" t="n">
        <v>0</v>
      </c>
      <c r="Q259" s="24" t="n">
        <v>1</v>
      </c>
      <c r="R259" s="24" t="n">
        <v>150</v>
      </c>
      <c r="S259" s="25" t="n">
        <v>0.112139850834281</v>
      </c>
      <c r="T259" s="24" t="n">
        <v>2</v>
      </c>
      <c r="U259" s="24" t="n">
        <v>100</v>
      </c>
      <c r="V259" s="25" t="n">
        <v>0.887860149165719</v>
      </c>
      <c r="Z259" s="12" t="str">
        <f aca="false">IF(AND($J259=1,$M259=1),N259*E259/Span_P+O259*F259/Span_S+P259*G259/Span_B,"")</f>
        <v/>
      </c>
      <c r="AA259" s="12" t="str">
        <f aca="false">IF(AND($J259=1,$M259=1),SUMPRODUCT(MAX($J$6:$J$1062*(N259*$K$6:$K$1062/Span_P+O259*$F$6:$F$1062/Span_S+P259*$G$6:$G$1062/Span_B)-(1-$J$6:$J$1062)*1000000000)),"")</f>
        <v/>
      </c>
      <c r="AB259" s="15" t="str">
        <f aca="false">IF(AND($J259=1,$M259=1),IF(AA259-Z259&lt;=0.000000001,1,0),"")</f>
        <v/>
      </c>
      <c r="AC259" s="13" t="n">
        <f aca="false">IF(AND($J259=1,$M259=0),IF(S259="",0,S259*INDEX(Grid!$B$6:$H$156,R259+1,Q259+1))+IF(V259="",0,V259*INDEX(Grid!$B$6:$H$156,U259+1,T259+1))+IF(Y259="",0,Y259*INDEX(Grid!$B$6:$H$156,X259+1,W259+1)),"")</f>
        <v>286.653013916701</v>
      </c>
      <c r="AD259" s="13" t="n">
        <f aca="false">IF(AND($J259=1,$M259=0),IF(S259="",0,S259*Val_pt*(Ceiling_e-E_zero)*(1-(1-Half_gap)^Q259))+IF(V259="",0,V259*Val_pt*(Ceiling_e-E_zero)*(1-(1-Half_gap)^T259))+IF(Y259="",0,Y259*Val_pt*(Ceiling_e-E_zero)*(1-(1-Half_gap)^W259)),"")</f>
        <v>101.0751052208</v>
      </c>
      <c r="AE259" s="13" t="n">
        <f aca="false">IF(AND($J259=1,$M259=0),IF(S259="",0,S259*R259)+IF(V259="",0,V259*U259)+IF(Y259="",0,Y259*X259),"")</f>
        <v>105.606992541714</v>
      </c>
      <c r="AF259" s="12" t="n">
        <f aca="false">IF(AND($J259=1,$M259=0),MIN((AC259-E259)/Span_P,(AD259-F259)/Span_S,(AE259-G259)/Span_B),"")</f>
        <v>0.0240466169447602</v>
      </c>
      <c r="AG259" s="15" t="n">
        <f aca="false">IF(AND($J259=1,$M259=0),IF(AF259&gt;0.0000001,1,0),"")</f>
        <v>1</v>
      </c>
      <c r="AH259" s="15" t="n">
        <f aca="false">IF($J259=1,IF($M259=1,AB259,AG259),"")</f>
        <v>1</v>
      </c>
      <c r="AI259" s="13" t="n">
        <f aca="false">IF($J259=1,(Ideal_P-E259)/Span_P,"")</f>
        <v>0.293354161309831</v>
      </c>
      <c r="AJ259" s="13" t="n">
        <f aca="false">IF($J259=1,(Ideal_S-F259)/Span_S,"")</f>
        <v>1</v>
      </c>
      <c r="AK259" s="13" t="n">
        <f aca="false">IF($J259=1,(Ideal_B-G259)/Span_B,"")</f>
        <v>0.32</v>
      </c>
      <c r="AL259" s="12" t="n">
        <f aca="false">IF($J259=1,MAX(ChA_1*AI259,ChA_2*AJ259,ChA_3*AK259)+Rho*(ChA_1*AI259+ChA_2*AJ259+ChA_3*AK259),"")</f>
        <v>1.00016133541613</v>
      </c>
      <c r="AM259" s="12" t="n">
        <f aca="false">IF($J259=1,MAX(ChB_1*AI259,ChB_2*AJ259,ChB_3*AK259)+Rho*(ChB_1*AI259+ChB_2*AJ259+ChB_3*AK259),"")</f>
        <v>1.00019067083226</v>
      </c>
      <c r="AN259" s="12" t="n">
        <f aca="false">IF($J259=1,MAX(Cx_1*(Ref_P-E259)/Span_P,Cx_2*(Ref_S-F259)/Span_S,Cx_3*(Ref_B-G259)/Span_B),"")</f>
        <v>4.28317373461012</v>
      </c>
    </row>
    <row r="260" customFormat="false" ht="15" hidden="false" customHeight="false" outlineLevel="0" collapsed="false">
      <c r="A260" s="2" t="n">
        <v>254</v>
      </c>
      <c r="B260" s="15" t="n">
        <f aca="false">INT(A260/151)</f>
        <v>1</v>
      </c>
      <c r="C260" s="15" t="n">
        <f aca="false">MOD(A260,151)</f>
        <v>103</v>
      </c>
      <c r="D260" s="15" t="n">
        <f aca="false">INDEX(Grid!$J$6:$P$156,C260+1,B260+1)</f>
        <v>1</v>
      </c>
      <c r="E260" s="16" t="n">
        <f aca="false">IF(D260=1,INDEX(Grid!$B$6:$H$156,C260+1,B260+1),"")</f>
        <v>277.036280432906</v>
      </c>
      <c r="F260" s="13" t="n">
        <f aca="false">Val_pt*(Ceiling_e-E_zero)*(1-(1-Half_gap)^B260)</f>
        <v>70</v>
      </c>
      <c r="G260" s="15" t="n">
        <f aca="false">C260</f>
        <v>103</v>
      </c>
      <c r="H260" s="15" t="n">
        <f aca="false">IF(D260=1,INDEX(Grid!$R$6:$X$156,C260+1,B260+1),"")</f>
        <v>32</v>
      </c>
      <c r="I260" s="2" t="str">
        <f aca="false">IF(D260=1,INDEX(Sch_label,H260+1),"")</f>
        <v>1</v>
      </c>
      <c r="J260" s="15" t="n">
        <f aca="false">IF(D260=1,INDEX(Grid!$Z$6:$AF$156,C260+1,B260+1),0)</f>
        <v>1</v>
      </c>
      <c r="K260" s="16" t="n">
        <f aca="false">IF(J260=1,E260,0)</f>
        <v>277.036280432906</v>
      </c>
      <c r="L260" s="17" t="n">
        <f aca="false">IF(D260=1,E260+W_board*F260,"")</f>
        <v>672.16803147055</v>
      </c>
      <c r="M260" s="24" t="n">
        <v>0</v>
      </c>
      <c r="Q260" s="24" t="n">
        <v>1</v>
      </c>
      <c r="R260" s="24" t="n">
        <v>150</v>
      </c>
      <c r="S260" s="25" t="n">
        <v>0.130636937275233</v>
      </c>
      <c r="T260" s="24" t="n">
        <v>2</v>
      </c>
      <c r="U260" s="24" t="n">
        <v>100</v>
      </c>
      <c r="V260" s="25" t="n">
        <v>0.869363062724767</v>
      </c>
      <c r="Z260" s="12" t="str">
        <f aca="false">IF(AND($J260=1,$M260=1),N260*E260/Span_P+O260*F260/Span_S+P260*G260/Span_B,"")</f>
        <v/>
      </c>
      <c r="AA260" s="12" t="str">
        <f aca="false">IF(AND($J260=1,$M260=1),SUMPRODUCT(MAX($J$6:$J$1062*(N260*$K$6:$K$1062/Span_P+O260*$F$6:$F$1062/Span_S+P260*$G$6:$G$1062/Span_B)-(1-$J$6:$J$1062)*1000000000)),"")</f>
        <v/>
      </c>
      <c r="AB260" s="15" t="str">
        <f aca="false">IF(AND($J260=1,$M260=1),IF(AA260-Z260&lt;=0.000000001,1,0),"")</f>
        <v/>
      </c>
      <c r="AC260" s="13" t="n">
        <f aca="false">IF(AND($J260=1,$M260=0),IF(S260="",0,S260*INDEX(Grid!$B$6:$H$156,R260+1,Q260+1))+IF(V260="",0,V260*INDEX(Grid!$B$6:$H$156,U260+1,T260+1))+IF(Y260="",0,Y260*INDEX(Grid!$B$6:$H$156,X260+1,W260+1)),"")</f>
        <v>285.562513787304</v>
      </c>
      <c r="AD260" s="13" t="n">
        <f aca="false">IF(AND($J260=1,$M260=0),IF(S260="",0,S260*Val_pt*(Ceiling_e-E_zero)*(1-(1-Half_gap)^Q260))+IF(V260="",0,V260*Val_pt*(Ceiling_e-E_zero)*(1-(1-Half_gap)^T260))+IF(Y260="",0,Y260*Val_pt*(Ceiling_e-E_zero)*(1-(1-Half_gap)^W260)),"")</f>
        <v>100.427707195367</v>
      </c>
      <c r="AE260" s="13" t="n">
        <f aca="false">IF(AND($J260=1,$M260=0),IF(S260="",0,S260*R260)+IF(V260="",0,V260*U260)+IF(Y260="",0,Y260*X260),"")</f>
        <v>106.531846863762</v>
      </c>
      <c r="AF260" s="12" t="n">
        <f aca="false">IF(AND($J260=1,$M260=0),MIN((AC260-E260)/Span_P,(AD260-F260)/Span_S,(AE260-G260)/Span_B),"")</f>
        <v>0.0235456457584112</v>
      </c>
      <c r="AG260" s="15" t="n">
        <f aca="false">IF(AND($J260=1,$M260=0),IF(AF260&gt;0.0000001,1,0),"")</f>
        <v>1</v>
      </c>
      <c r="AH260" s="15" t="n">
        <f aca="false">IF($J260=1,IF($M260=1,AB260,AG260),"")</f>
        <v>1</v>
      </c>
      <c r="AI260" s="13" t="n">
        <f aca="false">IF($J260=1,(Ideal_P-E260)/Span_P,"")</f>
        <v>0.295864664086136</v>
      </c>
      <c r="AJ260" s="13" t="n">
        <f aca="false">IF($J260=1,(Ideal_S-F260)/Span_S,"")</f>
        <v>1</v>
      </c>
      <c r="AK260" s="13" t="n">
        <f aca="false">IF($J260=1,(Ideal_B-G260)/Span_B,"")</f>
        <v>0.313333333333333</v>
      </c>
      <c r="AL260" s="12" t="n">
        <f aca="false">IF($J260=1,MAX(ChA_1*AI260,ChA_2*AJ260,ChA_3*AK260)+Rho*(ChA_1*AI260+ChA_2*AJ260+ChA_3*AK260),"")</f>
        <v>1.00016091979974</v>
      </c>
      <c r="AM260" s="12" t="n">
        <f aca="false">IF($J260=1,MAX(ChB_1*AI260,ChB_2*AJ260,ChB_3*AK260)+Rho*(ChB_1*AI260+ChB_2*AJ260+ChB_3*AK260),"")</f>
        <v>1.00019050626615</v>
      </c>
      <c r="AN260" s="12" t="n">
        <f aca="false">IF($J260=1,MAX(Cx_1*(Ref_P-E260)/Span_P,Cx_2*(Ref_S-F260)/Span_S,Cx_3*(Ref_B-G260)/Span_B),"")</f>
        <v>4.28317373461012</v>
      </c>
    </row>
    <row r="261" customFormat="false" ht="15" hidden="false" customHeight="false" outlineLevel="0" collapsed="false">
      <c r="A261" s="2" t="n">
        <v>255</v>
      </c>
      <c r="B261" s="15" t="n">
        <f aca="false">INT(A261/151)</f>
        <v>1</v>
      </c>
      <c r="C261" s="15" t="n">
        <f aca="false">MOD(A261,151)</f>
        <v>104</v>
      </c>
      <c r="D261" s="15" t="n">
        <f aca="false">INDEX(Grid!$J$6:$P$156,C261+1,B261+1)</f>
        <v>1</v>
      </c>
      <c r="E261" s="16" t="n">
        <f aca="false">IF(D261=1,INDEX(Grid!$B$6:$H$156,C261+1,B261+1),"")</f>
        <v>276.127189523815</v>
      </c>
      <c r="F261" s="13" t="n">
        <f aca="false">Val_pt*(Ceiling_e-E_zero)*(1-(1-Half_gap)^B261)</f>
        <v>70</v>
      </c>
      <c r="G261" s="15" t="n">
        <f aca="false">C261</f>
        <v>104</v>
      </c>
      <c r="H261" s="15" t="n">
        <f aca="false">IF(D261=1,INDEX(Grid!$R$6:$X$156,C261+1,B261+1),"")</f>
        <v>32</v>
      </c>
      <c r="I261" s="2" t="str">
        <f aca="false">IF(D261=1,INDEX(Sch_label,H261+1),"")</f>
        <v>1</v>
      </c>
      <c r="J261" s="15" t="n">
        <f aca="false">IF(D261=1,INDEX(Grid!$Z$6:$AF$156,C261+1,B261+1),0)</f>
        <v>1</v>
      </c>
      <c r="K261" s="16" t="n">
        <f aca="false">IF(J261=1,E261,0)</f>
        <v>276.127189523815</v>
      </c>
      <c r="L261" s="17" t="n">
        <f aca="false">IF(D261=1,E261+W_board*F261,"")</f>
        <v>671.258940561459</v>
      </c>
      <c r="M261" s="24" t="n">
        <v>0</v>
      </c>
      <c r="Q261" s="24" t="n">
        <v>1</v>
      </c>
      <c r="R261" s="24" t="n">
        <v>150</v>
      </c>
      <c r="S261" s="25" t="n">
        <v>0.149134023716186</v>
      </c>
      <c r="T261" s="24" t="n">
        <v>2</v>
      </c>
      <c r="U261" s="24" t="n">
        <v>100</v>
      </c>
      <c r="V261" s="25" t="n">
        <v>0.850865976283816</v>
      </c>
      <c r="Z261" s="12" t="str">
        <f aca="false">IF(AND($J261=1,$M261=1),N261*E261/Span_P+O261*F261/Span_S+P261*G261/Span_B,"")</f>
        <v/>
      </c>
      <c r="AA261" s="12" t="str">
        <f aca="false">IF(AND($J261=1,$M261=1),SUMPRODUCT(MAX($J$6:$J$1062*(N261*$K$6:$K$1062/Span_P+O261*$F$6:$F$1062/Span_S+P261*$G$6:$G$1062/Span_B)-(1-$J$6:$J$1062)*1000000000)),"")</f>
        <v/>
      </c>
      <c r="AB261" s="15" t="str">
        <f aca="false">IF(AND($J261=1,$M261=1),IF(AA261-Z261&lt;=0.000000001,1,0),"")</f>
        <v/>
      </c>
      <c r="AC261" s="13" t="n">
        <f aca="false">IF(AND($J261=1,$M261=0),IF(S261="",0,S261*INDEX(Grid!$B$6:$H$156,R261+1,Q261+1))+IF(V261="",0,V261*INDEX(Grid!$B$6:$H$156,U261+1,T261+1))+IF(Y261="",0,Y261*INDEX(Grid!$B$6:$H$156,X261+1,W261+1)),"")</f>
        <v>284.472013657907</v>
      </c>
      <c r="AD261" s="13" t="n">
        <f aca="false">IF(AND($J261=1,$M261=0),IF(S261="",0,S261*Val_pt*(Ceiling_e-E_zero)*(1-(1-Half_gap)^Q261))+IF(V261="",0,V261*Val_pt*(Ceiling_e-E_zero)*(1-(1-Half_gap)^T261))+IF(Y261="",0,Y261*Val_pt*(Ceiling_e-E_zero)*(1-(1-Half_gap)^W261)),"")</f>
        <v>99.7803091699337</v>
      </c>
      <c r="AE261" s="13" t="n">
        <f aca="false">IF(AND($J261=1,$M261=0),IF(S261="",0,S261*R261)+IF(V261="",0,V261*U261)+IF(Y261="",0,Y261*X261),"")</f>
        <v>107.456701185809</v>
      </c>
      <c r="AF261" s="12" t="n">
        <f aca="false">IF(AND($J261=1,$M261=0),MIN((AC261-E261)/Span_P,(AD261-F261)/Span_S,(AE261-G261)/Span_B),"")</f>
        <v>0.0230446745720628</v>
      </c>
      <c r="AG261" s="15" t="n">
        <f aca="false">IF(AND($J261=1,$M261=0),IF(AF261&gt;0.0000001,1,0),"")</f>
        <v>1</v>
      </c>
      <c r="AH261" s="15" t="n">
        <f aca="false">IF($J261=1,IF($M261=1,AB261,AG261),"")</f>
        <v>1</v>
      </c>
      <c r="AI261" s="13" t="n">
        <f aca="false">IF($J261=1,(Ideal_P-E261)/Span_P,"")</f>
        <v>0.298375166862442</v>
      </c>
      <c r="AJ261" s="13" t="n">
        <f aca="false">IF($J261=1,(Ideal_S-F261)/Span_S,"")</f>
        <v>1</v>
      </c>
      <c r="AK261" s="13" t="n">
        <f aca="false">IF($J261=1,(Ideal_B-G261)/Span_B,"")</f>
        <v>0.306666666666667</v>
      </c>
      <c r="AL261" s="12" t="n">
        <f aca="false">IF($J261=1,MAX(ChA_1*AI261,ChA_2*AJ261,ChA_3*AK261)+Rho*(ChA_1*AI261+ChA_2*AJ261+ChA_3*AK261),"")</f>
        <v>1.00016050418335</v>
      </c>
      <c r="AM261" s="12" t="n">
        <f aca="false">IF($J261=1,MAX(ChB_1*AI261,ChB_2*AJ261,ChB_3*AK261)+Rho*(ChB_1*AI261+ChB_2*AJ261+ChB_3*AK261),"")</f>
        <v>1.00019034170004</v>
      </c>
      <c r="AN261" s="12" t="n">
        <f aca="false">IF($J261=1,MAX(Cx_1*(Ref_P-E261)/Span_P,Cx_2*(Ref_S-F261)/Span_S,Cx_3*(Ref_B-G261)/Span_B),"")</f>
        <v>4.28317373461012</v>
      </c>
    </row>
    <row r="262" customFormat="false" ht="15" hidden="false" customHeight="false" outlineLevel="0" collapsed="false">
      <c r="A262" s="2" t="n">
        <v>256</v>
      </c>
      <c r="B262" s="15" t="n">
        <f aca="false">INT(A262/151)</f>
        <v>1</v>
      </c>
      <c r="C262" s="15" t="n">
        <f aca="false">MOD(A262,151)</f>
        <v>105</v>
      </c>
      <c r="D262" s="15" t="n">
        <f aca="false">INDEX(Grid!$J$6:$P$156,C262+1,B262+1)</f>
        <v>1</v>
      </c>
      <c r="E262" s="16" t="n">
        <f aca="false">IF(D262=1,INDEX(Grid!$B$6:$H$156,C262+1,B262+1),"")</f>
        <v>275.218098614725</v>
      </c>
      <c r="F262" s="13" t="n">
        <f aca="false">Val_pt*(Ceiling_e-E_zero)*(1-(1-Half_gap)^B262)</f>
        <v>70</v>
      </c>
      <c r="G262" s="15" t="n">
        <f aca="false">C262</f>
        <v>105</v>
      </c>
      <c r="H262" s="15" t="n">
        <f aca="false">IF(D262=1,INDEX(Grid!$R$6:$X$156,C262+1,B262+1),"")</f>
        <v>32</v>
      </c>
      <c r="I262" s="2" t="str">
        <f aca="false">IF(D262=1,INDEX(Sch_label,H262+1),"")</f>
        <v>1</v>
      </c>
      <c r="J262" s="15" t="n">
        <f aca="false">IF(D262=1,INDEX(Grid!$Z$6:$AF$156,C262+1,B262+1),0)</f>
        <v>1</v>
      </c>
      <c r="K262" s="16" t="n">
        <f aca="false">IF(J262=1,E262,0)</f>
        <v>275.218098614725</v>
      </c>
      <c r="L262" s="17" t="n">
        <f aca="false">IF(D262=1,E262+W_board*F262,"")</f>
        <v>670.349849652369</v>
      </c>
      <c r="M262" s="24" t="n">
        <v>0</v>
      </c>
      <c r="Q262" s="24" t="n">
        <v>1</v>
      </c>
      <c r="R262" s="24" t="n">
        <v>150</v>
      </c>
      <c r="S262" s="25" t="n">
        <v>0.167631110157138</v>
      </c>
      <c r="T262" s="24" t="n">
        <v>2</v>
      </c>
      <c r="U262" s="24" t="n">
        <v>100</v>
      </c>
      <c r="V262" s="25" t="n">
        <v>0.832368889842862</v>
      </c>
      <c r="Z262" s="12" t="str">
        <f aca="false">IF(AND($J262=1,$M262=1),N262*E262/Span_P+O262*F262/Span_S+P262*G262/Span_B,"")</f>
        <v/>
      </c>
      <c r="AA262" s="12" t="str">
        <f aca="false">IF(AND($J262=1,$M262=1),SUMPRODUCT(MAX($J$6:$J$1062*(N262*$K$6:$K$1062/Span_P+O262*$F$6:$F$1062/Span_S+P262*$G$6:$G$1062/Span_B)-(1-$J$6:$J$1062)*1000000000)),"")</f>
        <v/>
      </c>
      <c r="AB262" s="15" t="str">
        <f aca="false">IF(AND($J262=1,$M262=1),IF(AA262-Z262&lt;=0.000000001,1,0),"")</f>
        <v/>
      </c>
      <c r="AC262" s="13" t="n">
        <f aca="false">IF(AND($J262=1,$M262=0),IF(S262="",0,S262*INDEX(Grid!$B$6:$H$156,R262+1,Q262+1))+IF(V262="",0,V262*INDEX(Grid!$B$6:$H$156,U262+1,T262+1))+IF(Y262="",0,Y262*INDEX(Grid!$B$6:$H$156,X262+1,W262+1)),"")</f>
        <v>283.38151352851</v>
      </c>
      <c r="AD262" s="13" t="n">
        <f aca="false">IF(AND($J262=1,$M262=0),IF(S262="",0,S262*Val_pt*(Ceiling_e-E_zero)*(1-(1-Half_gap)^Q262))+IF(V262="",0,V262*Val_pt*(Ceiling_e-E_zero)*(1-(1-Half_gap)^T262))+IF(Y262="",0,Y262*Val_pt*(Ceiling_e-E_zero)*(1-(1-Half_gap)^W262)),"")</f>
        <v>99.1329111445002</v>
      </c>
      <c r="AE262" s="13" t="n">
        <f aca="false">IF(AND($J262=1,$M262=0),IF(S262="",0,S262*R262)+IF(V262="",0,V262*U262)+IF(Y262="",0,Y262*X262),"")</f>
        <v>108.381555507857</v>
      </c>
      <c r="AF262" s="12" t="n">
        <f aca="false">IF(AND($J262=1,$M262=0),MIN((AC262-E262)/Span_P,(AD262-F262)/Span_S,(AE262-G262)/Span_B),"")</f>
        <v>0.0225437033857127</v>
      </c>
      <c r="AG262" s="15" t="n">
        <f aca="false">IF(AND($J262=1,$M262=0),IF(AF262&gt;0.0000001,1,0),"")</f>
        <v>1</v>
      </c>
      <c r="AH262" s="15" t="n">
        <f aca="false">IF($J262=1,IF($M262=1,AB262,AG262),"")</f>
        <v>1</v>
      </c>
      <c r="AI262" s="13" t="n">
        <f aca="false">IF($J262=1,(Ideal_P-E262)/Span_P,"")</f>
        <v>0.300885669638748</v>
      </c>
      <c r="AJ262" s="13" t="n">
        <f aca="false">IF($J262=1,(Ideal_S-F262)/Span_S,"")</f>
        <v>1</v>
      </c>
      <c r="AK262" s="13" t="n">
        <f aca="false">IF($J262=1,(Ideal_B-G262)/Span_B,"")</f>
        <v>0.3</v>
      </c>
      <c r="AL262" s="12" t="n">
        <f aca="false">IF($J262=1,MAX(ChA_1*AI262,ChA_2*AJ262,ChA_3*AK262)+Rho*(ChA_1*AI262+ChA_2*AJ262+ChA_3*AK262),"")</f>
        <v>1.00016008856696</v>
      </c>
      <c r="AM262" s="12" t="n">
        <f aca="false">IF($J262=1,MAX(ChB_1*AI262,ChB_2*AJ262,ChB_3*AK262)+Rho*(ChB_1*AI262+ChB_2*AJ262+ChB_3*AK262),"")</f>
        <v>1.00019017713393</v>
      </c>
      <c r="AN262" s="12" t="n">
        <f aca="false">IF($J262=1,MAX(Cx_1*(Ref_P-E262)/Span_P,Cx_2*(Ref_S-F262)/Span_S,Cx_3*(Ref_B-G262)/Span_B),"")</f>
        <v>4.28317373461012</v>
      </c>
    </row>
    <row r="263" customFormat="false" ht="15" hidden="false" customHeight="false" outlineLevel="0" collapsed="false">
      <c r="A263" s="2" t="n">
        <v>257</v>
      </c>
      <c r="B263" s="15" t="n">
        <f aca="false">INT(A263/151)</f>
        <v>1</v>
      </c>
      <c r="C263" s="15" t="n">
        <f aca="false">MOD(A263,151)</f>
        <v>106</v>
      </c>
      <c r="D263" s="15" t="n">
        <f aca="false">INDEX(Grid!$J$6:$P$156,C263+1,B263+1)</f>
        <v>1</v>
      </c>
      <c r="E263" s="16" t="n">
        <f aca="false">IF(D263=1,INDEX(Grid!$B$6:$H$156,C263+1,B263+1),"")</f>
        <v>274.309007705634</v>
      </c>
      <c r="F263" s="13" t="n">
        <f aca="false">Val_pt*(Ceiling_e-E_zero)*(1-(1-Half_gap)^B263)</f>
        <v>70</v>
      </c>
      <c r="G263" s="15" t="n">
        <f aca="false">C263</f>
        <v>106</v>
      </c>
      <c r="H263" s="15" t="n">
        <f aca="false">IF(D263=1,INDEX(Grid!$R$6:$X$156,C263+1,B263+1),"")</f>
        <v>32</v>
      </c>
      <c r="I263" s="2" t="str">
        <f aca="false">IF(D263=1,INDEX(Sch_label,H263+1),"")</f>
        <v>1</v>
      </c>
      <c r="J263" s="15" t="n">
        <f aca="false">IF(D263=1,INDEX(Grid!$Z$6:$AF$156,C263+1,B263+1),0)</f>
        <v>1</v>
      </c>
      <c r="K263" s="16" t="n">
        <f aca="false">IF(J263=1,E263,0)</f>
        <v>274.309007705634</v>
      </c>
      <c r="L263" s="17" t="n">
        <f aca="false">IF(D263=1,E263+W_board*F263,"")</f>
        <v>669.440758743278</v>
      </c>
      <c r="M263" s="24" t="n">
        <v>0</v>
      </c>
      <c r="Q263" s="24" t="n">
        <v>1</v>
      </c>
      <c r="R263" s="24" t="n">
        <v>150</v>
      </c>
      <c r="S263" s="25" t="n">
        <v>0.18612819659809</v>
      </c>
      <c r="T263" s="24" t="n">
        <v>2</v>
      </c>
      <c r="U263" s="24" t="n">
        <v>100</v>
      </c>
      <c r="V263" s="25" t="n">
        <v>0.813871803401909</v>
      </c>
      <c r="Z263" s="12" t="str">
        <f aca="false">IF(AND($J263=1,$M263=1),N263*E263/Span_P+O263*F263/Span_S+P263*G263/Span_B,"")</f>
        <v/>
      </c>
      <c r="AA263" s="12" t="str">
        <f aca="false">IF(AND($J263=1,$M263=1),SUMPRODUCT(MAX($J$6:$J$1062*(N263*$K$6:$K$1062/Span_P+O263*$F$6:$F$1062/Span_S+P263*$G$6:$G$1062/Span_B)-(1-$J$6:$J$1062)*1000000000)),"")</f>
        <v/>
      </c>
      <c r="AB263" s="15" t="str">
        <f aca="false">IF(AND($J263=1,$M263=1),IF(AA263-Z263&lt;=0.000000001,1,0),"")</f>
        <v/>
      </c>
      <c r="AC263" s="13" t="n">
        <f aca="false">IF(AND($J263=1,$M263=0),IF(S263="",0,S263*INDEX(Grid!$B$6:$H$156,R263+1,Q263+1))+IF(V263="",0,V263*INDEX(Grid!$B$6:$H$156,U263+1,T263+1))+IF(Y263="",0,Y263*INDEX(Grid!$B$6:$H$156,X263+1,W263+1)),"")</f>
        <v>282.291013399112</v>
      </c>
      <c r="AD263" s="13" t="n">
        <f aca="false">IF(AND($J263=1,$M263=0),IF(S263="",0,S263*Val_pt*(Ceiling_e-E_zero)*(1-(1-Half_gap)^Q263))+IF(V263="",0,V263*Val_pt*(Ceiling_e-E_zero)*(1-(1-Half_gap)^T263))+IF(Y263="",0,Y263*Val_pt*(Ceiling_e-E_zero)*(1-(1-Half_gap)^W263)),"")</f>
        <v>98.4855131190668</v>
      </c>
      <c r="AE263" s="13" t="n">
        <f aca="false">IF(AND($J263=1,$M263=0),IF(S263="",0,S263*R263)+IF(V263="",0,V263*U263)+IF(Y263="",0,Y263*X263),"")</f>
        <v>109.306409829905</v>
      </c>
      <c r="AF263" s="12" t="n">
        <f aca="false">IF(AND($J263=1,$M263=0),MIN((AC263-E263)/Span_P,(AD263-F263)/Span_S,(AE263-G263)/Span_B),"")</f>
        <v>0.0220427321993633</v>
      </c>
      <c r="AG263" s="15" t="n">
        <f aca="false">IF(AND($J263=1,$M263=0),IF(AF263&gt;0.0000001,1,0),"")</f>
        <v>1</v>
      </c>
      <c r="AH263" s="15" t="n">
        <f aca="false">IF($J263=1,IF($M263=1,AB263,AG263),"")</f>
        <v>1</v>
      </c>
      <c r="AI263" s="13" t="n">
        <f aca="false">IF($J263=1,(Ideal_P-E263)/Span_P,"")</f>
        <v>0.303396172415054</v>
      </c>
      <c r="AJ263" s="13" t="n">
        <f aca="false">IF($J263=1,(Ideal_S-F263)/Span_S,"")</f>
        <v>1</v>
      </c>
      <c r="AK263" s="13" t="n">
        <f aca="false">IF($J263=1,(Ideal_B-G263)/Span_B,"")</f>
        <v>0.293333333333333</v>
      </c>
      <c r="AL263" s="12" t="n">
        <f aca="false">IF($J263=1,MAX(ChA_1*AI263,ChA_2*AJ263,ChA_3*AK263)+Rho*(ChA_1*AI263+ChA_2*AJ263+ChA_3*AK263),"")</f>
        <v>1.00015967295057</v>
      </c>
      <c r="AM263" s="12" t="n">
        <f aca="false">IF($J263=1,MAX(ChB_1*AI263,ChB_2*AJ263,ChB_3*AK263)+Rho*(ChB_1*AI263+ChB_2*AJ263+ChB_3*AK263),"")</f>
        <v>1.00019001256782</v>
      </c>
      <c r="AN263" s="12" t="n">
        <f aca="false">IF($J263=1,MAX(Cx_1*(Ref_P-E263)/Span_P,Cx_2*(Ref_S-F263)/Span_S,Cx_3*(Ref_B-G263)/Span_B),"")</f>
        <v>4.28317373461012</v>
      </c>
    </row>
    <row r="264" customFormat="false" ht="15" hidden="false" customHeight="false" outlineLevel="0" collapsed="false">
      <c r="A264" s="2" t="n">
        <v>258</v>
      </c>
      <c r="B264" s="15" t="n">
        <f aca="false">INT(A264/151)</f>
        <v>1</v>
      </c>
      <c r="C264" s="15" t="n">
        <f aca="false">MOD(A264,151)</f>
        <v>107</v>
      </c>
      <c r="D264" s="15" t="n">
        <f aca="false">INDEX(Grid!$J$6:$P$156,C264+1,B264+1)</f>
        <v>1</v>
      </c>
      <c r="E264" s="16" t="n">
        <f aca="false">IF(D264=1,INDEX(Grid!$B$6:$H$156,C264+1,B264+1),"")</f>
        <v>273.399916796543</v>
      </c>
      <c r="F264" s="13" t="n">
        <f aca="false">Val_pt*(Ceiling_e-E_zero)*(1-(1-Half_gap)^B264)</f>
        <v>70</v>
      </c>
      <c r="G264" s="15" t="n">
        <f aca="false">C264</f>
        <v>107</v>
      </c>
      <c r="H264" s="15" t="n">
        <f aca="false">IF(D264=1,INDEX(Grid!$R$6:$X$156,C264+1,B264+1),"")</f>
        <v>32</v>
      </c>
      <c r="I264" s="2" t="str">
        <f aca="false">IF(D264=1,INDEX(Sch_label,H264+1),"")</f>
        <v>1</v>
      </c>
      <c r="J264" s="15" t="n">
        <f aca="false">IF(D264=1,INDEX(Grid!$Z$6:$AF$156,C264+1,B264+1),0)</f>
        <v>1</v>
      </c>
      <c r="K264" s="16" t="n">
        <f aca="false">IF(J264=1,E264,0)</f>
        <v>273.399916796543</v>
      </c>
      <c r="L264" s="17" t="n">
        <f aca="false">IF(D264=1,E264+W_board*F264,"")</f>
        <v>668.531667834187</v>
      </c>
      <c r="M264" s="24" t="n">
        <v>0</v>
      </c>
      <c r="Q264" s="24" t="n">
        <v>1</v>
      </c>
      <c r="R264" s="24" t="n">
        <v>150</v>
      </c>
      <c r="S264" s="25" t="n">
        <v>0.204625283039043</v>
      </c>
      <c r="T264" s="24" t="n">
        <v>2</v>
      </c>
      <c r="U264" s="24" t="n">
        <v>100</v>
      </c>
      <c r="V264" s="25" t="n">
        <v>0.795374716960957</v>
      </c>
      <c r="Z264" s="12" t="str">
        <f aca="false">IF(AND($J264=1,$M264=1),N264*E264/Span_P+O264*F264/Span_S+P264*G264/Span_B,"")</f>
        <v/>
      </c>
      <c r="AA264" s="12" t="str">
        <f aca="false">IF(AND($J264=1,$M264=1),SUMPRODUCT(MAX($J$6:$J$1062*(N264*$K$6:$K$1062/Span_P+O264*$F$6:$F$1062/Span_S+P264*$G$6:$G$1062/Span_B)-(1-$J$6:$J$1062)*1000000000)),"")</f>
        <v/>
      </c>
      <c r="AB264" s="15" t="str">
        <f aca="false">IF(AND($J264=1,$M264=1),IF(AA264-Z264&lt;=0.000000001,1,0),"")</f>
        <v/>
      </c>
      <c r="AC264" s="13" t="n">
        <f aca="false">IF(AND($J264=1,$M264=0),IF(S264="",0,S264*INDEX(Grid!$B$6:$H$156,R264+1,Q264+1))+IF(V264="",0,V264*INDEX(Grid!$B$6:$H$156,U264+1,T264+1))+IF(Y264="",0,Y264*INDEX(Grid!$B$6:$H$156,X264+1,W264+1)),"")</f>
        <v>281.200513269715</v>
      </c>
      <c r="AD264" s="13" t="n">
        <f aca="false">IF(AND($J264=1,$M264=0),IF(S264="",0,S264*Val_pt*(Ceiling_e-E_zero)*(1-(1-Half_gap)^Q264))+IF(V264="",0,V264*Val_pt*(Ceiling_e-E_zero)*(1-(1-Half_gap)^T264))+IF(Y264="",0,Y264*Val_pt*(Ceiling_e-E_zero)*(1-(1-Half_gap)^W264)),"")</f>
        <v>97.8381150936335</v>
      </c>
      <c r="AE264" s="13" t="n">
        <f aca="false">IF(AND($J264=1,$M264=0),IF(S264="",0,S264*R264)+IF(V264="",0,V264*U264)+IF(Y264="",0,Y264*X264),"")</f>
        <v>110.231264151952</v>
      </c>
      <c r="AF264" s="12" t="n">
        <f aca="false">IF(AND($J264=1,$M264=0),MIN((AC264-E264)/Span_P,(AD264-F264)/Span_S,(AE264-G264)/Span_B),"")</f>
        <v>0.0215417610130143</v>
      </c>
      <c r="AG264" s="15" t="n">
        <f aca="false">IF(AND($J264=1,$M264=0),IF(AF264&gt;0.0000001,1,0),"")</f>
        <v>1</v>
      </c>
      <c r="AH264" s="15" t="n">
        <f aca="false">IF($J264=1,IF($M264=1,AB264,AG264),"")</f>
        <v>1</v>
      </c>
      <c r="AI264" s="13" t="n">
        <f aca="false">IF($J264=1,(Ideal_P-E264)/Span_P,"")</f>
        <v>0.305906675191359</v>
      </c>
      <c r="AJ264" s="13" t="n">
        <f aca="false">IF($J264=1,(Ideal_S-F264)/Span_S,"")</f>
        <v>1</v>
      </c>
      <c r="AK264" s="13" t="n">
        <f aca="false">IF($J264=1,(Ideal_B-G264)/Span_B,"")</f>
        <v>0.286666666666667</v>
      </c>
      <c r="AL264" s="12" t="n">
        <f aca="false">IF($J264=1,MAX(ChA_1*AI264,ChA_2*AJ264,ChA_3*AK264)+Rho*(ChA_1*AI264+ChA_2*AJ264+ChA_3*AK264),"")</f>
        <v>1.00015925733419</v>
      </c>
      <c r="AM264" s="12" t="n">
        <f aca="false">IF($J264=1,MAX(ChB_1*AI264,ChB_2*AJ264,ChB_3*AK264)+Rho*(ChB_1*AI264+ChB_2*AJ264+ChB_3*AK264),"")</f>
        <v>1.0001898480017</v>
      </c>
      <c r="AN264" s="12" t="n">
        <f aca="false">IF($J264=1,MAX(Cx_1*(Ref_P-E264)/Span_P,Cx_2*(Ref_S-F264)/Span_S,Cx_3*(Ref_B-G264)/Span_B),"")</f>
        <v>4.28317373461012</v>
      </c>
    </row>
    <row r="265" customFormat="false" ht="15" hidden="false" customHeight="false" outlineLevel="0" collapsed="false">
      <c r="A265" s="2" t="n">
        <v>259</v>
      </c>
      <c r="B265" s="15" t="n">
        <f aca="false">INT(A265/151)</f>
        <v>1</v>
      </c>
      <c r="C265" s="15" t="n">
        <f aca="false">MOD(A265,151)</f>
        <v>108</v>
      </c>
      <c r="D265" s="15" t="n">
        <f aca="false">INDEX(Grid!$J$6:$P$156,C265+1,B265+1)</f>
        <v>1</v>
      </c>
      <c r="E265" s="16" t="n">
        <f aca="false">IF(D265=1,INDEX(Grid!$B$6:$H$156,C265+1,B265+1),"")</f>
        <v>272.490825887452</v>
      </c>
      <c r="F265" s="13" t="n">
        <f aca="false">Val_pt*(Ceiling_e-E_zero)*(1-(1-Half_gap)^B265)</f>
        <v>70</v>
      </c>
      <c r="G265" s="15" t="n">
        <f aca="false">C265</f>
        <v>108</v>
      </c>
      <c r="H265" s="15" t="n">
        <f aca="false">IF(D265=1,INDEX(Grid!$R$6:$X$156,C265+1,B265+1),"")</f>
        <v>32</v>
      </c>
      <c r="I265" s="2" t="str">
        <f aca="false">IF(D265=1,INDEX(Sch_label,H265+1),"")</f>
        <v>1</v>
      </c>
      <c r="J265" s="15" t="n">
        <f aca="false">IF(D265=1,INDEX(Grid!$Z$6:$AF$156,C265+1,B265+1),0)</f>
        <v>1</v>
      </c>
      <c r="K265" s="16" t="n">
        <f aca="false">IF(J265=1,E265,0)</f>
        <v>272.490825887452</v>
      </c>
      <c r="L265" s="17" t="n">
        <f aca="false">IF(D265=1,E265+W_board*F265,"")</f>
        <v>667.622576925096</v>
      </c>
      <c r="M265" s="24" t="n">
        <v>0</v>
      </c>
      <c r="Q265" s="24" t="n">
        <v>1</v>
      </c>
      <c r="R265" s="24" t="n">
        <v>150</v>
      </c>
      <c r="S265" s="25" t="n">
        <v>0.223122369479995</v>
      </c>
      <c r="T265" s="24" t="n">
        <v>2</v>
      </c>
      <c r="U265" s="24" t="n">
        <v>100</v>
      </c>
      <c r="V265" s="25" t="n">
        <v>0.776877630520005</v>
      </c>
      <c r="Z265" s="12" t="str">
        <f aca="false">IF(AND($J265=1,$M265=1),N265*E265/Span_P+O265*F265/Span_S+P265*G265/Span_B,"")</f>
        <v/>
      </c>
      <c r="AA265" s="12" t="str">
        <f aca="false">IF(AND($J265=1,$M265=1),SUMPRODUCT(MAX($J$6:$J$1062*(N265*$K$6:$K$1062/Span_P+O265*$F$6:$F$1062/Span_S+P265*$G$6:$G$1062/Span_B)-(1-$J$6:$J$1062)*1000000000)),"")</f>
        <v/>
      </c>
      <c r="AB265" s="15" t="str">
        <f aca="false">IF(AND($J265=1,$M265=1),IF(AA265-Z265&lt;=0.000000001,1,0),"")</f>
        <v/>
      </c>
      <c r="AC265" s="13" t="n">
        <f aca="false">IF(AND($J265=1,$M265=0),IF(S265="",0,S265*INDEX(Grid!$B$6:$H$156,R265+1,Q265+1))+IF(V265="",0,V265*INDEX(Grid!$B$6:$H$156,U265+1,T265+1))+IF(Y265="",0,Y265*INDEX(Grid!$B$6:$H$156,X265+1,W265+1)),"")</f>
        <v>280.110013140318</v>
      </c>
      <c r="AD265" s="13" t="n">
        <f aca="false">IF(AND($J265=1,$M265=0),IF(S265="",0,S265*Val_pt*(Ceiling_e-E_zero)*(1-(1-Half_gap)^Q265))+IF(V265="",0,V265*Val_pt*(Ceiling_e-E_zero)*(1-(1-Half_gap)^T265))+IF(Y265="",0,Y265*Val_pt*(Ceiling_e-E_zero)*(1-(1-Half_gap)^W265)),"")</f>
        <v>97.1907170682002</v>
      </c>
      <c r="AE265" s="13" t="n">
        <f aca="false">IF(AND($J265=1,$M265=0),IF(S265="",0,S265*R265)+IF(V265="",0,V265*U265)+IF(Y265="",0,Y265*X265),"")</f>
        <v>111.156118474</v>
      </c>
      <c r="AF265" s="12" t="n">
        <f aca="false">IF(AND($J265=1,$M265=0),MIN((AC265-E265)/Span_P,(AD265-F265)/Span_S,(AE265-G265)/Span_B),"")</f>
        <v>0.0210407898266652</v>
      </c>
      <c r="AG265" s="15" t="n">
        <f aca="false">IF(AND($J265=1,$M265=0),IF(AF265&gt;0.0000001,1,0),"")</f>
        <v>1</v>
      </c>
      <c r="AH265" s="15" t="n">
        <f aca="false">IF($J265=1,IF($M265=1,AB265,AG265),"")</f>
        <v>1</v>
      </c>
      <c r="AI265" s="13" t="n">
        <f aca="false">IF($J265=1,(Ideal_P-E265)/Span_P,"")</f>
        <v>0.308417177967665</v>
      </c>
      <c r="AJ265" s="13" t="n">
        <f aca="false">IF($J265=1,(Ideal_S-F265)/Span_S,"")</f>
        <v>1</v>
      </c>
      <c r="AK265" s="13" t="n">
        <f aca="false">IF($J265=1,(Ideal_B-G265)/Span_B,"")</f>
        <v>0.28</v>
      </c>
      <c r="AL265" s="12" t="n">
        <f aca="false">IF($J265=1,MAX(ChA_1*AI265,ChA_2*AJ265,ChA_3*AK265)+Rho*(ChA_1*AI265+ChA_2*AJ265+ChA_3*AK265),"")</f>
        <v>1.0001588417178</v>
      </c>
      <c r="AM265" s="12" t="n">
        <f aca="false">IF($J265=1,MAX(ChB_1*AI265,ChB_2*AJ265,ChB_3*AK265)+Rho*(ChB_1*AI265+ChB_2*AJ265+ChB_3*AK265),"")</f>
        <v>1.00018968343559</v>
      </c>
      <c r="AN265" s="12" t="n">
        <f aca="false">IF($J265=1,MAX(Cx_1*(Ref_P-E265)/Span_P,Cx_2*(Ref_S-F265)/Span_S,Cx_3*(Ref_B-G265)/Span_B),"")</f>
        <v>4.28317373461012</v>
      </c>
    </row>
    <row r="266" customFormat="false" ht="15" hidden="false" customHeight="false" outlineLevel="0" collapsed="false">
      <c r="A266" s="2" t="n">
        <v>260</v>
      </c>
      <c r="B266" s="15" t="n">
        <f aca="false">INT(A266/151)</f>
        <v>1</v>
      </c>
      <c r="C266" s="15" t="n">
        <f aca="false">MOD(A266,151)</f>
        <v>109</v>
      </c>
      <c r="D266" s="15" t="n">
        <f aca="false">INDEX(Grid!$J$6:$P$156,C266+1,B266+1)</f>
        <v>1</v>
      </c>
      <c r="E266" s="16" t="n">
        <f aca="false">IF(D266=1,INDEX(Grid!$B$6:$H$156,C266+1,B266+1),"")</f>
        <v>271.581734978361</v>
      </c>
      <c r="F266" s="13" t="n">
        <f aca="false">Val_pt*(Ceiling_e-E_zero)*(1-(1-Half_gap)^B266)</f>
        <v>70</v>
      </c>
      <c r="G266" s="15" t="n">
        <f aca="false">C266</f>
        <v>109</v>
      </c>
      <c r="H266" s="15" t="n">
        <f aca="false">IF(D266=1,INDEX(Grid!$R$6:$X$156,C266+1,B266+1),"")</f>
        <v>32</v>
      </c>
      <c r="I266" s="2" t="str">
        <f aca="false">IF(D266=1,INDEX(Sch_label,H266+1),"")</f>
        <v>1</v>
      </c>
      <c r="J266" s="15" t="n">
        <f aca="false">IF(D266=1,INDEX(Grid!$Z$6:$AF$156,C266+1,B266+1),0)</f>
        <v>1</v>
      </c>
      <c r="K266" s="16" t="n">
        <f aca="false">IF(J266=1,E266,0)</f>
        <v>271.581734978361</v>
      </c>
      <c r="L266" s="17" t="n">
        <f aca="false">IF(D266=1,E266+W_board*F266,"")</f>
        <v>666.713486016005</v>
      </c>
      <c r="M266" s="24" t="n">
        <v>0</v>
      </c>
      <c r="Q266" s="24" t="n">
        <v>1</v>
      </c>
      <c r="R266" s="24" t="n">
        <v>150</v>
      </c>
      <c r="S266" s="25" t="n">
        <v>0.241619455920948</v>
      </c>
      <c r="T266" s="24" t="n">
        <v>2</v>
      </c>
      <c r="U266" s="24" t="n">
        <v>100</v>
      </c>
      <c r="V266" s="25" t="n">
        <v>0.758380544079053</v>
      </c>
      <c r="Z266" s="12" t="str">
        <f aca="false">IF(AND($J266=1,$M266=1),N266*E266/Span_P+O266*F266/Span_S+P266*G266/Span_B,"")</f>
        <v/>
      </c>
      <c r="AA266" s="12" t="str">
        <f aca="false">IF(AND($J266=1,$M266=1),SUMPRODUCT(MAX($J$6:$J$1062*(N266*$K$6:$K$1062/Span_P+O266*$F$6:$F$1062/Span_S+P266*$G$6:$G$1062/Span_B)-(1-$J$6:$J$1062)*1000000000)),"")</f>
        <v/>
      </c>
      <c r="AB266" s="15" t="str">
        <f aca="false">IF(AND($J266=1,$M266=1),IF(AA266-Z266&lt;=0.000000001,1,0),"")</f>
        <v/>
      </c>
      <c r="AC266" s="13" t="n">
        <f aca="false">IF(AND($J266=1,$M266=0),IF(S266="",0,S266*INDEX(Grid!$B$6:$H$156,R266+1,Q266+1))+IF(V266="",0,V266*INDEX(Grid!$B$6:$H$156,U266+1,T266+1))+IF(Y266="",0,Y266*INDEX(Grid!$B$6:$H$156,X266+1,W266+1)),"")</f>
        <v>279.019513010921</v>
      </c>
      <c r="AD266" s="13" t="n">
        <f aca="false">IF(AND($J266=1,$M266=0),IF(S266="",0,S266*Val_pt*(Ceiling_e-E_zero)*(1-(1-Half_gap)^Q266))+IF(V266="",0,V266*Val_pt*(Ceiling_e-E_zero)*(1-(1-Half_gap)^T266))+IF(Y266="",0,Y266*Val_pt*(Ceiling_e-E_zero)*(1-(1-Half_gap)^W266)),"")</f>
        <v>96.5433190427669</v>
      </c>
      <c r="AE266" s="13" t="n">
        <f aca="false">IF(AND($J266=1,$M266=0),IF(S266="",0,S266*R266)+IF(V266="",0,V266*U266)+IF(Y266="",0,Y266*X266),"")</f>
        <v>112.080972796047</v>
      </c>
      <c r="AF266" s="12" t="n">
        <f aca="false">IF(AND($J266=1,$M266=0),MIN((AC266-E266)/Span_P,(AD266-F266)/Span_S,(AE266-G266)/Span_B),"")</f>
        <v>0.0205398186403164</v>
      </c>
      <c r="AG266" s="15" t="n">
        <f aca="false">IF(AND($J266=1,$M266=0),IF(AF266&gt;0.0000001,1,0),"")</f>
        <v>1</v>
      </c>
      <c r="AH266" s="15" t="n">
        <f aca="false">IF($J266=1,IF($M266=1,AB266,AG266),"")</f>
        <v>1</v>
      </c>
      <c r="AI266" s="13" t="n">
        <f aca="false">IF($J266=1,(Ideal_P-E266)/Span_P,"")</f>
        <v>0.310927680743971</v>
      </c>
      <c r="AJ266" s="13" t="n">
        <f aca="false">IF($J266=1,(Ideal_S-F266)/Span_S,"")</f>
        <v>1</v>
      </c>
      <c r="AK266" s="13" t="n">
        <f aca="false">IF($J266=1,(Ideal_B-G266)/Span_B,"")</f>
        <v>0.273333333333333</v>
      </c>
      <c r="AL266" s="12" t="n">
        <f aca="false">IF($J266=1,MAX(ChA_1*AI266,ChA_2*AJ266,ChA_3*AK266)+Rho*(ChA_1*AI266+ChA_2*AJ266+ChA_3*AK266),"")</f>
        <v>1.00015842610141</v>
      </c>
      <c r="AM266" s="12" t="n">
        <f aca="false">IF($J266=1,MAX(ChB_1*AI266,ChB_2*AJ266,ChB_3*AK266)+Rho*(ChB_1*AI266+ChB_2*AJ266+ChB_3*AK266),"")</f>
        <v>1.00018951886948</v>
      </c>
      <c r="AN266" s="12" t="n">
        <f aca="false">IF($J266=1,MAX(Cx_1*(Ref_P-E266)/Span_P,Cx_2*(Ref_S-F266)/Span_S,Cx_3*(Ref_B-G266)/Span_B),"")</f>
        <v>4.28317373461012</v>
      </c>
    </row>
    <row r="267" customFormat="false" ht="15" hidden="false" customHeight="false" outlineLevel="0" collapsed="false">
      <c r="A267" s="2" t="n">
        <v>261</v>
      </c>
      <c r="B267" s="15" t="n">
        <f aca="false">INT(A267/151)</f>
        <v>1</v>
      </c>
      <c r="C267" s="15" t="n">
        <f aca="false">MOD(A267,151)</f>
        <v>110</v>
      </c>
      <c r="D267" s="15" t="n">
        <f aca="false">INDEX(Grid!$J$6:$P$156,C267+1,B267+1)</f>
        <v>1</v>
      </c>
      <c r="E267" s="16" t="n">
        <f aca="false">IF(D267=1,INDEX(Grid!$B$6:$H$156,C267+1,B267+1),"")</f>
        <v>270.67264406927</v>
      </c>
      <c r="F267" s="13" t="n">
        <f aca="false">Val_pt*(Ceiling_e-E_zero)*(1-(1-Half_gap)^B267)</f>
        <v>70</v>
      </c>
      <c r="G267" s="15" t="n">
        <f aca="false">C267</f>
        <v>110</v>
      </c>
      <c r="H267" s="15" t="n">
        <f aca="false">IF(D267=1,INDEX(Grid!$R$6:$X$156,C267+1,B267+1),"")</f>
        <v>32</v>
      </c>
      <c r="I267" s="2" t="str">
        <f aca="false">IF(D267=1,INDEX(Sch_label,H267+1),"")</f>
        <v>1</v>
      </c>
      <c r="J267" s="15" t="n">
        <f aca="false">IF(D267=1,INDEX(Grid!$Z$6:$AF$156,C267+1,B267+1),0)</f>
        <v>1</v>
      </c>
      <c r="K267" s="16" t="n">
        <f aca="false">IF(J267=1,E267,0)</f>
        <v>270.67264406927</v>
      </c>
      <c r="L267" s="17" t="n">
        <f aca="false">IF(D267=1,E267+W_board*F267,"")</f>
        <v>665.804395106914</v>
      </c>
      <c r="M267" s="24" t="n">
        <v>0</v>
      </c>
      <c r="Q267" s="24" t="n">
        <v>1</v>
      </c>
      <c r="R267" s="24" t="n">
        <v>150</v>
      </c>
      <c r="S267" s="25" t="n">
        <v>0.2601165423619</v>
      </c>
      <c r="T267" s="24" t="n">
        <v>2</v>
      </c>
      <c r="U267" s="24" t="n">
        <v>100</v>
      </c>
      <c r="V267" s="25" t="n">
        <v>0.7398834576381</v>
      </c>
      <c r="Z267" s="12" t="str">
        <f aca="false">IF(AND($J267=1,$M267=1),N267*E267/Span_P+O267*F267/Span_S+P267*G267/Span_B,"")</f>
        <v/>
      </c>
      <c r="AA267" s="12" t="str">
        <f aca="false">IF(AND($J267=1,$M267=1),SUMPRODUCT(MAX($J$6:$J$1062*(N267*$K$6:$K$1062/Span_P+O267*$F$6:$F$1062/Span_S+P267*$G$6:$G$1062/Span_B)-(1-$J$6:$J$1062)*1000000000)),"")</f>
        <v/>
      </c>
      <c r="AB267" s="15" t="str">
        <f aca="false">IF(AND($J267=1,$M267=1),IF(AA267-Z267&lt;=0.000000001,1,0),"")</f>
        <v/>
      </c>
      <c r="AC267" s="13" t="n">
        <f aca="false">IF(AND($J267=1,$M267=0),IF(S267="",0,S267*INDEX(Grid!$B$6:$H$156,R267+1,Q267+1))+IF(V267="",0,V267*INDEX(Grid!$B$6:$H$156,U267+1,T267+1))+IF(Y267="",0,Y267*INDEX(Grid!$B$6:$H$156,X267+1,W267+1)),"")</f>
        <v>277.929012881523</v>
      </c>
      <c r="AD267" s="13" t="n">
        <f aca="false">IF(AND($J267=1,$M267=0),IF(S267="",0,S267*Val_pt*(Ceiling_e-E_zero)*(1-(1-Half_gap)^Q267))+IF(V267="",0,V267*Val_pt*(Ceiling_e-E_zero)*(1-(1-Half_gap)^T267))+IF(Y267="",0,Y267*Val_pt*(Ceiling_e-E_zero)*(1-(1-Half_gap)^W267)),"")</f>
        <v>95.8959210173335</v>
      </c>
      <c r="AE267" s="13" t="n">
        <f aca="false">IF(AND($J267=1,$M267=0),IF(S267="",0,S267*R267)+IF(V267="",0,V267*U267)+IF(Y267="",0,Y267*X267),"")</f>
        <v>113.005827118095</v>
      </c>
      <c r="AF267" s="12" t="n">
        <f aca="false">IF(AND($J267=1,$M267=0),MIN((AC267-E267)/Span_P,(AD267-F267)/Span_S,(AE267-G267)/Span_B),"")</f>
        <v>0.0200388474539665</v>
      </c>
      <c r="AG267" s="15" t="n">
        <f aca="false">IF(AND($J267=1,$M267=0),IF(AF267&gt;0.0000001,1,0),"")</f>
        <v>1</v>
      </c>
      <c r="AH267" s="15" t="n">
        <f aca="false">IF($J267=1,IF($M267=1,AB267,AG267),"")</f>
        <v>1</v>
      </c>
      <c r="AI267" s="13" t="n">
        <f aca="false">IF($J267=1,(Ideal_P-E267)/Span_P,"")</f>
        <v>0.313438183520277</v>
      </c>
      <c r="AJ267" s="13" t="n">
        <f aca="false">IF($J267=1,(Ideal_S-F267)/Span_S,"")</f>
        <v>1</v>
      </c>
      <c r="AK267" s="13" t="n">
        <f aca="false">IF($J267=1,(Ideal_B-G267)/Span_B,"")</f>
        <v>0.266666666666667</v>
      </c>
      <c r="AL267" s="12" t="n">
        <f aca="false">IF($J267=1,MAX(ChA_1*AI267,ChA_2*AJ267,ChA_3*AK267)+Rho*(ChA_1*AI267+ChA_2*AJ267+ChA_3*AK267),"")</f>
        <v>1.00015801048502</v>
      </c>
      <c r="AM267" s="12" t="n">
        <f aca="false">IF($J267=1,MAX(ChB_1*AI267,ChB_2*AJ267,ChB_3*AK267)+Rho*(ChB_1*AI267+ChB_2*AJ267+ChB_3*AK267),"")</f>
        <v>1.00018935430337</v>
      </c>
      <c r="AN267" s="12" t="n">
        <f aca="false">IF($J267=1,MAX(Cx_1*(Ref_P-E267)/Span_P,Cx_2*(Ref_S-F267)/Span_S,Cx_3*(Ref_B-G267)/Span_B),"")</f>
        <v>4.28317373461012</v>
      </c>
    </row>
    <row r="268" customFormat="false" ht="15" hidden="false" customHeight="false" outlineLevel="0" collapsed="false">
      <c r="A268" s="2" t="n">
        <v>262</v>
      </c>
      <c r="B268" s="15" t="n">
        <f aca="false">INT(A268/151)</f>
        <v>1</v>
      </c>
      <c r="C268" s="15" t="n">
        <f aca="false">MOD(A268,151)</f>
        <v>111</v>
      </c>
      <c r="D268" s="15" t="n">
        <f aca="false">INDEX(Grid!$J$6:$P$156,C268+1,B268+1)</f>
        <v>1</v>
      </c>
      <c r="E268" s="16" t="n">
        <f aca="false">IF(D268=1,INDEX(Grid!$B$6:$H$156,C268+1,B268+1),"")</f>
        <v>269.763553160179</v>
      </c>
      <c r="F268" s="13" t="n">
        <f aca="false">Val_pt*(Ceiling_e-E_zero)*(1-(1-Half_gap)^B268)</f>
        <v>70</v>
      </c>
      <c r="G268" s="15" t="n">
        <f aca="false">C268</f>
        <v>111</v>
      </c>
      <c r="H268" s="15" t="n">
        <f aca="false">IF(D268=1,INDEX(Grid!$R$6:$X$156,C268+1,B268+1),"")</f>
        <v>32</v>
      </c>
      <c r="I268" s="2" t="str">
        <f aca="false">IF(D268=1,INDEX(Sch_label,H268+1),"")</f>
        <v>1</v>
      </c>
      <c r="J268" s="15" t="n">
        <f aca="false">IF(D268=1,INDEX(Grid!$Z$6:$AF$156,C268+1,B268+1),0)</f>
        <v>1</v>
      </c>
      <c r="K268" s="16" t="n">
        <f aca="false">IF(J268=1,E268,0)</f>
        <v>269.763553160179</v>
      </c>
      <c r="L268" s="17" t="n">
        <f aca="false">IF(D268=1,E268+W_board*F268,"")</f>
        <v>664.895304197823</v>
      </c>
      <c r="M268" s="24" t="n">
        <v>0</v>
      </c>
      <c r="Q268" s="24" t="n">
        <v>1</v>
      </c>
      <c r="R268" s="24" t="n">
        <v>150</v>
      </c>
      <c r="S268" s="25" t="n">
        <v>0.278613628802853</v>
      </c>
      <c r="T268" s="24" t="n">
        <v>2</v>
      </c>
      <c r="U268" s="24" t="n">
        <v>100</v>
      </c>
      <c r="V268" s="25" t="n">
        <v>0.721386371197147</v>
      </c>
      <c r="Z268" s="12" t="str">
        <f aca="false">IF(AND($J268=1,$M268=1),N268*E268/Span_P+O268*F268/Span_S+P268*G268/Span_B,"")</f>
        <v/>
      </c>
      <c r="AA268" s="12" t="str">
        <f aca="false">IF(AND($J268=1,$M268=1),SUMPRODUCT(MAX($J$6:$J$1062*(N268*$K$6:$K$1062/Span_P+O268*$F$6:$F$1062/Span_S+P268*$G$6:$G$1062/Span_B)-(1-$J$6:$J$1062)*1000000000)),"")</f>
        <v/>
      </c>
      <c r="AB268" s="15" t="str">
        <f aca="false">IF(AND($J268=1,$M268=1),IF(AA268-Z268&lt;=0.000000001,1,0),"")</f>
        <v/>
      </c>
      <c r="AC268" s="13" t="n">
        <f aca="false">IF(AND($J268=1,$M268=0),IF(S268="",0,S268*INDEX(Grid!$B$6:$H$156,R268+1,Q268+1))+IF(V268="",0,V268*INDEX(Grid!$B$6:$H$156,U268+1,T268+1))+IF(Y268="",0,Y268*INDEX(Grid!$B$6:$H$156,X268+1,W268+1)),"")</f>
        <v>276.838512752126</v>
      </c>
      <c r="AD268" s="13" t="n">
        <f aca="false">IF(AND($J268=1,$M268=0),IF(S268="",0,S268*Val_pt*(Ceiling_e-E_zero)*(1-(1-Half_gap)^Q268))+IF(V268="",0,V268*Val_pt*(Ceiling_e-E_zero)*(1-(1-Half_gap)^T268))+IF(Y268="",0,Y268*Val_pt*(Ceiling_e-E_zero)*(1-(1-Half_gap)^W268)),"")</f>
        <v>95.2485229919001</v>
      </c>
      <c r="AE268" s="13" t="n">
        <f aca="false">IF(AND($J268=1,$M268=0),IF(S268="",0,S268*R268)+IF(V268="",0,V268*U268)+IF(Y268="",0,Y268*X268),"")</f>
        <v>113.930681440143</v>
      </c>
      <c r="AF268" s="12" t="n">
        <f aca="false">IF(AND($J268=1,$M268=0),MIN((AC268-E268)/Span_P,(AD268-F268)/Span_S,(AE268-G268)/Span_B),"")</f>
        <v>0.0195378762676172</v>
      </c>
      <c r="AG268" s="15" t="n">
        <f aca="false">IF(AND($J268=1,$M268=0),IF(AF268&gt;0.0000001,1,0),"")</f>
        <v>1</v>
      </c>
      <c r="AH268" s="15" t="n">
        <f aca="false">IF($J268=1,IF($M268=1,AB268,AG268),"")</f>
        <v>1</v>
      </c>
      <c r="AI268" s="13" t="n">
        <f aca="false">IF($J268=1,(Ideal_P-E268)/Span_P,"")</f>
        <v>0.315948686296582</v>
      </c>
      <c r="AJ268" s="13" t="n">
        <f aca="false">IF($J268=1,(Ideal_S-F268)/Span_S,"")</f>
        <v>1</v>
      </c>
      <c r="AK268" s="13" t="n">
        <f aca="false">IF($J268=1,(Ideal_B-G268)/Span_B,"")</f>
        <v>0.26</v>
      </c>
      <c r="AL268" s="12" t="n">
        <f aca="false">IF($J268=1,MAX(ChA_1*AI268,ChA_2*AJ268,ChA_3*AK268)+Rho*(ChA_1*AI268+ChA_2*AJ268+ChA_3*AK268),"")</f>
        <v>1.00015759486863</v>
      </c>
      <c r="AM268" s="12" t="n">
        <f aca="false">IF($J268=1,MAX(ChB_1*AI268,ChB_2*AJ268,ChB_3*AK268)+Rho*(ChB_1*AI268+ChB_2*AJ268+ChB_3*AK268),"")</f>
        <v>1.00018918973726</v>
      </c>
      <c r="AN268" s="12" t="n">
        <f aca="false">IF($J268=1,MAX(Cx_1*(Ref_P-E268)/Span_P,Cx_2*(Ref_S-F268)/Span_S,Cx_3*(Ref_B-G268)/Span_B),"")</f>
        <v>4.28317373461012</v>
      </c>
    </row>
    <row r="269" customFormat="false" ht="15" hidden="false" customHeight="false" outlineLevel="0" collapsed="false">
      <c r="A269" s="2" t="n">
        <v>263</v>
      </c>
      <c r="B269" s="15" t="n">
        <f aca="false">INT(A269/151)</f>
        <v>1</v>
      </c>
      <c r="C269" s="15" t="n">
        <f aca="false">MOD(A269,151)</f>
        <v>112</v>
      </c>
      <c r="D269" s="15" t="n">
        <f aca="false">INDEX(Grid!$J$6:$P$156,C269+1,B269+1)</f>
        <v>1</v>
      </c>
      <c r="E269" s="16" t="n">
        <f aca="false">IF(D269=1,INDEX(Grid!$B$6:$H$156,C269+1,B269+1),"")</f>
        <v>268.854462251088</v>
      </c>
      <c r="F269" s="13" t="n">
        <f aca="false">Val_pt*(Ceiling_e-E_zero)*(1-(1-Half_gap)^B269)</f>
        <v>70</v>
      </c>
      <c r="G269" s="15" t="n">
        <f aca="false">C269</f>
        <v>112</v>
      </c>
      <c r="H269" s="15" t="n">
        <f aca="false">IF(D269=1,INDEX(Grid!$R$6:$X$156,C269+1,B269+1),"")</f>
        <v>32</v>
      </c>
      <c r="I269" s="2" t="str">
        <f aca="false">IF(D269=1,INDEX(Sch_label,H269+1),"")</f>
        <v>1</v>
      </c>
      <c r="J269" s="15" t="n">
        <f aca="false">IF(D269=1,INDEX(Grid!$Z$6:$AF$156,C269+1,B269+1),0)</f>
        <v>1</v>
      </c>
      <c r="K269" s="16" t="n">
        <f aca="false">IF(J269=1,E269,0)</f>
        <v>268.854462251088</v>
      </c>
      <c r="L269" s="17" t="n">
        <f aca="false">IF(D269=1,E269+W_board*F269,"")</f>
        <v>663.986213288732</v>
      </c>
      <c r="M269" s="24" t="n">
        <v>0</v>
      </c>
      <c r="Q269" s="24" t="n">
        <v>1</v>
      </c>
      <c r="R269" s="24" t="n">
        <v>150</v>
      </c>
      <c r="S269" s="25" t="n">
        <v>0.297110715243806</v>
      </c>
      <c r="T269" s="24" t="n">
        <v>2</v>
      </c>
      <c r="U269" s="24" t="n">
        <v>100</v>
      </c>
      <c r="V269" s="25" t="n">
        <v>0.702889284756194</v>
      </c>
      <c r="Z269" s="12" t="str">
        <f aca="false">IF(AND($J269=1,$M269=1),N269*E269/Span_P+O269*F269/Span_S+P269*G269/Span_B,"")</f>
        <v/>
      </c>
      <c r="AA269" s="12" t="str">
        <f aca="false">IF(AND($J269=1,$M269=1),SUMPRODUCT(MAX($J$6:$J$1062*(N269*$K$6:$K$1062/Span_P+O269*$F$6:$F$1062/Span_S+P269*$G$6:$G$1062/Span_B)-(1-$J$6:$J$1062)*1000000000)),"")</f>
        <v/>
      </c>
      <c r="AB269" s="15" t="str">
        <f aca="false">IF(AND($J269=1,$M269=1),IF(AA269-Z269&lt;=0.000000001,1,0),"")</f>
        <v/>
      </c>
      <c r="AC269" s="13" t="n">
        <f aca="false">IF(AND($J269=1,$M269=0),IF(S269="",0,S269*INDEX(Grid!$B$6:$H$156,R269+1,Q269+1))+IF(V269="",0,V269*INDEX(Grid!$B$6:$H$156,U269+1,T269+1))+IF(Y269="",0,Y269*INDEX(Grid!$B$6:$H$156,X269+1,W269+1)),"")</f>
        <v>275.748012622729</v>
      </c>
      <c r="AD269" s="13" t="n">
        <f aca="false">IF(AND($J269=1,$M269=0),IF(S269="",0,S269*Val_pt*(Ceiling_e-E_zero)*(1-(1-Half_gap)^Q269))+IF(V269="",0,V269*Val_pt*(Ceiling_e-E_zero)*(1-(1-Half_gap)^T269))+IF(Y269="",0,Y269*Val_pt*(Ceiling_e-E_zero)*(1-(1-Half_gap)^W269)),"")</f>
        <v>94.6011249664668</v>
      </c>
      <c r="AE269" s="13" t="n">
        <f aca="false">IF(AND($J269=1,$M269=0),IF(S269="",0,S269*R269)+IF(V269="",0,V269*U269)+IF(Y269="",0,Y269*X269),"")</f>
        <v>114.85553576219</v>
      </c>
      <c r="AF269" s="12" t="n">
        <f aca="false">IF(AND($J269=1,$M269=0),MIN((AC269-E269)/Span_P,(AD269-F269)/Span_S,(AE269-G269)/Span_B),"")</f>
        <v>0.0190369050812684</v>
      </c>
      <c r="AG269" s="15" t="n">
        <f aca="false">IF(AND($J269=1,$M269=0),IF(AF269&gt;0.0000001,1,0),"")</f>
        <v>1</v>
      </c>
      <c r="AH269" s="15" t="n">
        <f aca="false">IF($J269=1,IF($M269=1,AB269,AG269),"")</f>
        <v>1</v>
      </c>
      <c r="AI269" s="13" t="n">
        <f aca="false">IF($J269=1,(Ideal_P-E269)/Span_P,"")</f>
        <v>0.318459189072888</v>
      </c>
      <c r="AJ269" s="13" t="n">
        <f aca="false">IF($J269=1,(Ideal_S-F269)/Span_S,"")</f>
        <v>1</v>
      </c>
      <c r="AK269" s="13" t="n">
        <f aca="false">IF($J269=1,(Ideal_B-G269)/Span_B,"")</f>
        <v>0.253333333333333</v>
      </c>
      <c r="AL269" s="12" t="n">
        <f aca="false">IF($J269=1,MAX(ChA_1*AI269,ChA_2*AJ269,ChA_3*AK269)+Rho*(ChA_1*AI269+ChA_2*AJ269+ChA_3*AK269),"")</f>
        <v>1.00015717925224</v>
      </c>
      <c r="AM269" s="12" t="n">
        <f aca="false">IF($J269=1,MAX(ChB_1*AI269,ChB_2*AJ269,ChB_3*AK269)+Rho*(ChB_1*AI269+ChB_2*AJ269+ChB_3*AK269),"")</f>
        <v>1.00018902517115</v>
      </c>
      <c r="AN269" s="12" t="n">
        <f aca="false">IF($J269=1,MAX(Cx_1*(Ref_P-E269)/Span_P,Cx_2*(Ref_S-F269)/Span_S,Cx_3*(Ref_B-G269)/Span_B),"")</f>
        <v>4.28317373461012</v>
      </c>
    </row>
    <row r="270" customFormat="false" ht="15" hidden="false" customHeight="false" outlineLevel="0" collapsed="false">
      <c r="A270" s="2" t="n">
        <v>264</v>
      </c>
      <c r="B270" s="15" t="n">
        <f aca="false">INT(A270/151)</f>
        <v>1</v>
      </c>
      <c r="C270" s="15" t="n">
        <f aca="false">MOD(A270,151)</f>
        <v>113</v>
      </c>
      <c r="D270" s="15" t="n">
        <f aca="false">INDEX(Grid!$J$6:$P$156,C270+1,B270+1)</f>
        <v>1</v>
      </c>
      <c r="E270" s="16" t="n">
        <f aca="false">IF(D270=1,INDEX(Grid!$B$6:$H$156,C270+1,B270+1),"")</f>
        <v>267.945371341997</v>
      </c>
      <c r="F270" s="13" t="n">
        <f aca="false">Val_pt*(Ceiling_e-E_zero)*(1-(1-Half_gap)^B270)</f>
        <v>70</v>
      </c>
      <c r="G270" s="15" t="n">
        <f aca="false">C270</f>
        <v>113</v>
      </c>
      <c r="H270" s="15" t="n">
        <f aca="false">IF(D270=1,INDEX(Grid!$R$6:$X$156,C270+1,B270+1),"")</f>
        <v>32</v>
      </c>
      <c r="I270" s="2" t="str">
        <f aca="false">IF(D270=1,INDEX(Sch_label,H270+1),"")</f>
        <v>1</v>
      </c>
      <c r="J270" s="15" t="n">
        <f aca="false">IF(D270=1,INDEX(Grid!$Z$6:$AF$156,C270+1,B270+1),0)</f>
        <v>1</v>
      </c>
      <c r="K270" s="16" t="n">
        <f aca="false">IF(J270=1,E270,0)</f>
        <v>267.945371341997</v>
      </c>
      <c r="L270" s="17" t="n">
        <f aca="false">IF(D270=1,E270+W_board*F270,"")</f>
        <v>663.077122379641</v>
      </c>
      <c r="M270" s="24" t="n">
        <v>0</v>
      </c>
      <c r="Q270" s="24" t="n">
        <v>1</v>
      </c>
      <c r="R270" s="24" t="n">
        <v>150</v>
      </c>
      <c r="S270" s="25" t="n">
        <v>0.315607801684758</v>
      </c>
      <c r="T270" s="24" t="n">
        <v>2</v>
      </c>
      <c r="U270" s="24" t="n">
        <v>100</v>
      </c>
      <c r="V270" s="25" t="n">
        <v>0.684392198315242</v>
      </c>
      <c r="Z270" s="12" t="str">
        <f aca="false">IF(AND($J270=1,$M270=1),N270*E270/Span_P+O270*F270/Span_S+P270*G270/Span_B,"")</f>
        <v/>
      </c>
      <c r="AA270" s="12" t="str">
        <f aca="false">IF(AND($J270=1,$M270=1),SUMPRODUCT(MAX($J$6:$J$1062*(N270*$K$6:$K$1062/Span_P+O270*$F$6:$F$1062/Span_S+P270*$G$6:$G$1062/Span_B)-(1-$J$6:$J$1062)*1000000000)),"")</f>
        <v/>
      </c>
      <c r="AB270" s="15" t="str">
        <f aca="false">IF(AND($J270=1,$M270=1),IF(AA270-Z270&lt;=0.000000001,1,0),"")</f>
        <v/>
      </c>
      <c r="AC270" s="13" t="n">
        <f aca="false">IF(AND($J270=1,$M270=0),IF(S270="",0,S270*INDEX(Grid!$B$6:$H$156,R270+1,Q270+1))+IF(V270="",0,V270*INDEX(Grid!$B$6:$H$156,U270+1,T270+1))+IF(Y270="",0,Y270*INDEX(Grid!$B$6:$H$156,X270+1,W270+1)),"")</f>
        <v>274.657512493331</v>
      </c>
      <c r="AD270" s="13" t="n">
        <f aca="false">IF(AND($J270=1,$M270=0),IF(S270="",0,S270*Val_pt*(Ceiling_e-E_zero)*(1-(1-Half_gap)^Q270))+IF(V270="",0,V270*Val_pt*(Ceiling_e-E_zero)*(1-(1-Half_gap)^T270))+IF(Y270="",0,Y270*Val_pt*(Ceiling_e-E_zero)*(1-(1-Half_gap)^W270)),"")</f>
        <v>93.9537269410334</v>
      </c>
      <c r="AE270" s="13" t="n">
        <f aca="false">IF(AND($J270=1,$M270=0),IF(S270="",0,S270*R270)+IF(V270="",0,V270*U270)+IF(Y270="",0,Y270*X270),"")</f>
        <v>115.780390084238</v>
      </c>
      <c r="AF270" s="12" t="n">
        <f aca="false">IF(AND($J270=1,$M270=0),MIN((AC270-E270)/Span_P,(AD270-F270)/Span_S,(AE270-G270)/Span_B),"")</f>
        <v>0.0185359338949189</v>
      </c>
      <c r="AG270" s="15" t="n">
        <f aca="false">IF(AND($J270=1,$M270=0),IF(AF270&gt;0.0000001,1,0),"")</f>
        <v>1</v>
      </c>
      <c r="AH270" s="15" t="n">
        <f aca="false">IF($J270=1,IF($M270=1,AB270,AG270),"")</f>
        <v>1</v>
      </c>
      <c r="AI270" s="13" t="n">
        <f aca="false">IF($J270=1,(Ideal_P-E270)/Span_P,"")</f>
        <v>0.320969691849194</v>
      </c>
      <c r="AJ270" s="13" t="n">
        <f aca="false">IF($J270=1,(Ideal_S-F270)/Span_S,"")</f>
        <v>1</v>
      </c>
      <c r="AK270" s="13" t="n">
        <f aca="false">IF($J270=1,(Ideal_B-G270)/Span_B,"")</f>
        <v>0.246666666666667</v>
      </c>
      <c r="AL270" s="12" t="n">
        <f aca="false">IF($J270=1,MAX(ChA_1*AI270,ChA_2*AJ270,ChA_3*AK270)+Rho*(ChA_1*AI270+ChA_2*AJ270+ChA_3*AK270),"")</f>
        <v>1.00015676363585</v>
      </c>
      <c r="AM270" s="12" t="n">
        <f aca="false">IF($J270=1,MAX(ChB_1*AI270,ChB_2*AJ270,ChB_3*AK270)+Rho*(ChB_1*AI270+ChB_2*AJ270+ChB_3*AK270),"")</f>
        <v>1.00018886060504</v>
      </c>
      <c r="AN270" s="12" t="n">
        <f aca="false">IF($J270=1,MAX(Cx_1*(Ref_P-E270)/Span_P,Cx_2*(Ref_S-F270)/Span_S,Cx_3*(Ref_B-G270)/Span_B),"")</f>
        <v>4.28317373461012</v>
      </c>
    </row>
    <row r="271" customFormat="false" ht="15" hidden="false" customHeight="false" outlineLevel="0" collapsed="false">
      <c r="A271" s="2" t="n">
        <v>265</v>
      </c>
      <c r="B271" s="15" t="n">
        <f aca="false">INT(A271/151)</f>
        <v>1</v>
      </c>
      <c r="C271" s="15" t="n">
        <f aca="false">MOD(A271,151)</f>
        <v>114</v>
      </c>
      <c r="D271" s="15" t="n">
        <f aca="false">INDEX(Grid!$J$6:$P$156,C271+1,B271+1)</f>
        <v>1</v>
      </c>
      <c r="E271" s="16" t="n">
        <f aca="false">IF(D271=1,INDEX(Grid!$B$6:$H$156,C271+1,B271+1),"")</f>
        <v>267.036280432906</v>
      </c>
      <c r="F271" s="13" t="n">
        <f aca="false">Val_pt*(Ceiling_e-E_zero)*(1-(1-Half_gap)^B271)</f>
        <v>70</v>
      </c>
      <c r="G271" s="15" t="n">
        <f aca="false">C271</f>
        <v>114</v>
      </c>
      <c r="H271" s="15" t="n">
        <f aca="false">IF(D271=1,INDEX(Grid!$R$6:$X$156,C271+1,B271+1),"")</f>
        <v>32</v>
      </c>
      <c r="I271" s="2" t="str">
        <f aca="false">IF(D271=1,INDEX(Sch_label,H271+1),"")</f>
        <v>1</v>
      </c>
      <c r="J271" s="15" t="n">
        <f aca="false">IF(D271=1,INDEX(Grid!$Z$6:$AF$156,C271+1,B271+1),0)</f>
        <v>1</v>
      </c>
      <c r="K271" s="16" t="n">
        <f aca="false">IF(J271=1,E271,0)</f>
        <v>267.036280432906</v>
      </c>
      <c r="L271" s="17" t="n">
        <f aca="false">IF(D271=1,E271+W_board*F271,"")</f>
        <v>662.16803147055</v>
      </c>
      <c r="M271" s="24" t="n">
        <v>0</v>
      </c>
      <c r="Q271" s="24" t="n">
        <v>1</v>
      </c>
      <c r="R271" s="24" t="n">
        <v>150</v>
      </c>
      <c r="S271" s="25" t="n">
        <v>0.33410488812571</v>
      </c>
      <c r="T271" s="24" t="n">
        <v>2</v>
      </c>
      <c r="U271" s="24" t="n">
        <v>100</v>
      </c>
      <c r="V271" s="25" t="n">
        <v>0.66589511187429</v>
      </c>
      <c r="Z271" s="12" t="str">
        <f aca="false">IF(AND($J271=1,$M271=1),N271*E271/Span_P+O271*F271/Span_S+P271*G271/Span_B,"")</f>
        <v/>
      </c>
      <c r="AA271" s="12" t="str">
        <f aca="false">IF(AND($J271=1,$M271=1),SUMPRODUCT(MAX($J$6:$J$1062*(N271*$K$6:$K$1062/Span_P+O271*$F$6:$F$1062/Span_S+P271*$G$6:$G$1062/Span_B)-(1-$J$6:$J$1062)*1000000000)),"")</f>
        <v/>
      </c>
      <c r="AB271" s="15" t="str">
        <f aca="false">IF(AND($J271=1,$M271=1),IF(AA271-Z271&lt;=0.000000001,1,0),"")</f>
        <v/>
      </c>
      <c r="AC271" s="13" t="n">
        <f aca="false">IF(AND($J271=1,$M271=0),IF(S271="",0,S271*INDEX(Grid!$B$6:$H$156,R271+1,Q271+1))+IF(V271="",0,V271*INDEX(Grid!$B$6:$H$156,U271+1,T271+1))+IF(Y271="",0,Y271*INDEX(Grid!$B$6:$H$156,X271+1,W271+1)),"")</f>
        <v>273.567012363934</v>
      </c>
      <c r="AD271" s="13" t="n">
        <f aca="false">IF(AND($J271=1,$M271=0),IF(S271="",0,S271*Val_pt*(Ceiling_e-E_zero)*(1-(1-Half_gap)^Q271))+IF(V271="",0,V271*Val_pt*(Ceiling_e-E_zero)*(1-(1-Half_gap)^T271))+IF(Y271="",0,Y271*Val_pt*(Ceiling_e-E_zero)*(1-(1-Half_gap)^W271)),"")</f>
        <v>93.3063289156002</v>
      </c>
      <c r="AE271" s="13" t="n">
        <f aca="false">IF(AND($J271=1,$M271=0),IF(S271="",0,S271*R271)+IF(V271="",0,V271*U271)+IF(Y271="",0,Y271*X271),"")</f>
        <v>116.705244406286</v>
      </c>
      <c r="AF271" s="12" t="n">
        <f aca="false">IF(AND($J271=1,$M271=0),MIN((AC271-E271)/Span_P,(AD271-F271)/Span_S,(AE271-G271)/Span_B),"")</f>
        <v>0.0180349627085701</v>
      </c>
      <c r="AG271" s="15" t="n">
        <f aca="false">IF(AND($J271=1,$M271=0),IF(AF271&gt;0.0000001,1,0),"")</f>
        <v>1</v>
      </c>
      <c r="AH271" s="15" t="n">
        <f aca="false">IF($J271=1,IF($M271=1,AB271,AG271),"")</f>
        <v>1</v>
      </c>
      <c r="AI271" s="13" t="n">
        <f aca="false">IF($J271=1,(Ideal_P-E271)/Span_P,"")</f>
        <v>0.3234801946255</v>
      </c>
      <c r="AJ271" s="13" t="n">
        <f aca="false">IF($J271=1,(Ideal_S-F271)/Span_S,"")</f>
        <v>1</v>
      </c>
      <c r="AK271" s="13" t="n">
        <f aca="false">IF($J271=1,(Ideal_B-G271)/Span_B,"")</f>
        <v>0.24</v>
      </c>
      <c r="AL271" s="12" t="n">
        <f aca="false">IF($J271=1,MAX(ChA_1*AI271,ChA_2*AJ271,ChA_3*AK271)+Rho*(ChA_1*AI271+ChA_2*AJ271+ChA_3*AK271),"")</f>
        <v>1.00015634801946</v>
      </c>
      <c r="AM271" s="12" t="n">
        <f aca="false">IF($J271=1,MAX(ChB_1*AI271,ChB_2*AJ271,ChB_3*AK271)+Rho*(ChB_1*AI271+ChB_2*AJ271+ChB_3*AK271),"")</f>
        <v>1.00018869603893</v>
      </c>
      <c r="AN271" s="12" t="n">
        <f aca="false">IF($J271=1,MAX(Cx_1*(Ref_P-E271)/Span_P,Cx_2*(Ref_S-F271)/Span_S,Cx_3*(Ref_B-G271)/Span_B),"")</f>
        <v>4.28317373461012</v>
      </c>
    </row>
    <row r="272" customFormat="false" ht="15" hidden="false" customHeight="false" outlineLevel="0" collapsed="false">
      <c r="A272" s="2" t="n">
        <v>266</v>
      </c>
      <c r="B272" s="15" t="n">
        <f aca="false">INT(A272/151)</f>
        <v>1</v>
      </c>
      <c r="C272" s="15" t="n">
        <f aca="false">MOD(A272,151)</f>
        <v>115</v>
      </c>
      <c r="D272" s="15" t="n">
        <f aca="false">INDEX(Grid!$J$6:$P$156,C272+1,B272+1)</f>
        <v>1</v>
      </c>
      <c r="E272" s="16" t="n">
        <f aca="false">IF(D272=1,INDEX(Grid!$B$6:$H$156,C272+1,B272+1),"")</f>
        <v>266.127189523815</v>
      </c>
      <c r="F272" s="13" t="n">
        <f aca="false">Val_pt*(Ceiling_e-E_zero)*(1-(1-Half_gap)^B272)</f>
        <v>70</v>
      </c>
      <c r="G272" s="15" t="n">
        <f aca="false">C272</f>
        <v>115</v>
      </c>
      <c r="H272" s="15" t="n">
        <f aca="false">IF(D272=1,INDEX(Grid!$R$6:$X$156,C272+1,B272+1),"")</f>
        <v>32</v>
      </c>
      <c r="I272" s="2" t="str">
        <f aca="false">IF(D272=1,INDEX(Sch_label,H272+1),"")</f>
        <v>1</v>
      </c>
      <c r="J272" s="15" t="n">
        <f aca="false">IF(D272=1,INDEX(Grid!$Z$6:$AF$156,C272+1,B272+1),0)</f>
        <v>1</v>
      </c>
      <c r="K272" s="16" t="n">
        <f aca="false">IF(J272=1,E272,0)</f>
        <v>266.127189523815</v>
      </c>
      <c r="L272" s="17" t="n">
        <f aca="false">IF(D272=1,E272+W_board*F272,"")</f>
        <v>661.258940561459</v>
      </c>
      <c r="M272" s="24" t="n">
        <v>0</v>
      </c>
      <c r="Q272" s="24" t="n">
        <v>1</v>
      </c>
      <c r="R272" s="24" t="n">
        <v>150</v>
      </c>
      <c r="S272" s="25" t="n">
        <v>0.352601974566663</v>
      </c>
      <c r="T272" s="24" t="n">
        <v>2</v>
      </c>
      <c r="U272" s="24" t="n">
        <v>100</v>
      </c>
      <c r="V272" s="25" t="n">
        <v>0.647398025433338</v>
      </c>
      <c r="Z272" s="12" t="str">
        <f aca="false">IF(AND($J272=1,$M272=1),N272*E272/Span_P+O272*F272/Span_S+P272*G272/Span_B,"")</f>
        <v/>
      </c>
      <c r="AA272" s="12" t="str">
        <f aca="false">IF(AND($J272=1,$M272=1),SUMPRODUCT(MAX($J$6:$J$1062*(N272*$K$6:$K$1062/Span_P+O272*$F$6:$F$1062/Span_S+P272*$G$6:$G$1062/Span_B)-(1-$J$6:$J$1062)*1000000000)),"")</f>
        <v/>
      </c>
      <c r="AB272" s="15" t="str">
        <f aca="false">IF(AND($J272=1,$M272=1),IF(AA272-Z272&lt;=0.000000001,1,0),"")</f>
        <v/>
      </c>
      <c r="AC272" s="13" t="n">
        <f aca="false">IF(AND($J272=1,$M272=0),IF(S272="",0,S272*INDEX(Grid!$B$6:$H$156,R272+1,Q272+1))+IF(V272="",0,V272*INDEX(Grid!$B$6:$H$156,U272+1,T272+1))+IF(Y272="",0,Y272*INDEX(Grid!$B$6:$H$156,X272+1,W272+1)),"")</f>
        <v>272.476512234537</v>
      </c>
      <c r="AD272" s="13" t="n">
        <f aca="false">IF(AND($J272=1,$M272=0),IF(S272="",0,S272*Val_pt*(Ceiling_e-E_zero)*(1-(1-Half_gap)^Q272))+IF(V272="",0,V272*Val_pt*(Ceiling_e-E_zero)*(1-(1-Half_gap)^T272))+IF(Y272="",0,Y272*Val_pt*(Ceiling_e-E_zero)*(1-(1-Half_gap)^W272)),"")</f>
        <v>92.6589308901669</v>
      </c>
      <c r="AE272" s="13" t="n">
        <f aca="false">IF(AND($J272=1,$M272=0),IF(S272="",0,S272*R272)+IF(V272="",0,V272*U272)+IF(Y272="",0,Y272*X272),"")</f>
        <v>117.630098728333</v>
      </c>
      <c r="AF272" s="12" t="n">
        <f aca="false">IF(AND($J272=1,$M272=0),MIN((AC272-E272)/Span_P,(AD272-F272)/Span_S,(AE272-G272)/Span_B),"")</f>
        <v>0.0175339915222213</v>
      </c>
      <c r="AG272" s="15" t="n">
        <f aca="false">IF(AND($J272=1,$M272=0),IF(AF272&gt;0.0000001,1,0),"")</f>
        <v>1</v>
      </c>
      <c r="AH272" s="15" t="n">
        <f aca="false">IF($J272=1,IF($M272=1,AB272,AG272),"")</f>
        <v>1</v>
      </c>
      <c r="AI272" s="13" t="n">
        <f aca="false">IF($J272=1,(Ideal_P-E272)/Span_P,"")</f>
        <v>0.325990697401806</v>
      </c>
      <c r="AJ272" s="13" t="n">
        <f aca="false">IF($J272=1,(Ideal_S-F272)/Span_S,"")</f>
        <v>1</v>
      </c>
      <c r="AK272" s="13" t="n">
        <f aca="false">IF($J272=1,(Ideal_B-G272)/Span_B,"")</f>
        <v>0.233333333333333</v>
      </c>
      <c r="AL272" s="12" t="n">
        <f aca="false">IF($J272=1,MAX(ChA_1*AI272,ChA_2*AJ272,ChA_3*AK272)+Rho*(ChA_1*AI272+ChA_2*AJ272+ChA_3*AK272),"")</f>
        <v>1.00015593240307</v>
      </c>
      <c r="AM272" s="12" t="n">
        <f aca="false">IF($J272=1,MAX(ChB_1*AI272,ChB_2*AJ272,ChB_3*AK272)+Rho*(ChB_1*AI272+ChB_2*AJ272+ChB_3*AK272),"")</f>
        <v>1.00018853147281</v>
      </c>
      <c r="AN272" s="12" t="n">
        <f aca="false">IF($J272=1,MAX(Cx_1*(Ref_P-E272)/Span_P,Cx_2*(Ref_S-F272)/Span_S,Cx_3*(Ref_B-G272)/Span_B),"")</f>
        <v>4.28317373461012</v>
      </c>
    </row>
    <row r="273" customFormat="false" ht="15" hidden="false" customHeight="false" outlineLevel="0" collapsed="false">
      <c r="A273" s="2" t="n">
        <v>267</v>
      </c>
      <c r="B273" s="15" t="n">
        <f aca="false">INT(A273/151)</f>
        <v>1</v>
      </c>
      <c r="C273" s="15" t="n">
        <f aca="false">MOD(A273,151)</f>
        <v>116</v>
      </c>
      <c r="D273" s="15" t="n">
        <f aca="false">INDEX(Grid!$J$6:$P$156,C273+1,B273+1)</f>
        <v>1</v>
      </c>
      <c r="E273" s="16" t="n">
        <f aca="false">IF(D273=1,INDEX(Grid!$B$6:$H$156,C273+1,B273+1),"")</f>
        <v>265.218098614725</v>
      </c>
      <c r="F273" s="13" t="n">
        <f aca="false">Val_pt*(Ceiling_e-E_zero)*(1-(1-Half_gap)^B273)</f>
        <v>70</v>
      </c>
      <c r="G273" s="15" t="n">
        <f aca="false">C273</f>
        <v>116</v>
      </c>
      <c r="H273" s="15" t="n">
        <f aca="false">IF(D273=1,INDEX(Grid!$R$6:$X$156,C273+1,B273+1),"")</f>
        <v>32</v>
      </c>
      <c r="I273" s="2" t="str">
        <f aca="false">IF(D273=1,INDEX(Sch_label,H273+1),"")</f>
        <v>1</v>
      </c>
      <c r="J273" s="15" t="n">
        <f aca="false">IF(D273=1,INDEX(Grid!$Z$6:$AF$156,C273+1,B273+1),0)</f>
        <v>1</v>
      </c>
      <c r="K273" s="16" t="n">
        <f aca="false">IF(J273=1,E273,0)</f>
        <v>265.218098614725</v>
      </c>
      <c r="L273" s="17" t="n">
        <f aca="false">IF(D273=1,E273+W_board*F273,"")</f>
        <v>660.349849652369</v>
      </c>
      <c r="M273" s="24" t="n">
        <v>0</v>
      </c>
      <c r="Q273" s="24" t="n">
        <v>1</v>
      </c>
      <c r="R273" s="24" t="n">
        <v>150</v>
      </c>
      <c r="S273" s="25" t="n">
        <v>0.371099061007615</v>
      </c>
      <c r="T273" s="24" t="n">
        <v>2</v>
      </c>
      <c r="U273" s="24" t="n">
        <v>100</v>
      </c>
      <c r="V273" s="25" t="n">
        <v>0.628900938992384</v>
      </c>
      <c r="Z273" s="12" t="str">
        <f aca="false">IF(AND($J273=1,$M273=1),N273*E273/Span_P+O273*F273/Span_S+P273*G273/Span_B,"")</f>
        <v/>
      </c>
      <c r="AA273" s="12" t="str">
        <f aca="false">IF(AND($J273=1,$M273=1),SUMPRODUCT(MAX($J$6:$J$1062*(N273*$K$6:$K$1062/Span_P+O273*$F$6:$F$1062/Span_S+P273*$G$6:$G$1062/Span_B)-(1-$J$6:$J$1062)*1000000000)),"")</f>
        <v/>
      </c>
      <c r="AB273" s="15" t="str">
        <f aca="false">IF(AND($J273=1,$M273=1),IF(AA273-Z273&lt;=0.000000001,1,0),"")</f>
        <v/>
      </c>
      <c r="AC273" s="13" t="n">
        <f aca="false">IF(AND($J273=1,$M273=0),IF(S273="",0,S273*INDEX(Grid!$B$6:$H$156,R273+1,Q273+1))+IF(V273="",0,V273*INDEX(Grid!$B$6:$H$156,U273+1,T273+1))+IF(Y273="",0,Y273*INDEX(Grid!$B$6:$H$156,X273+1,W273+1)),"")</f>
        <v>271.38601210514</v>
      </c>
      <c r="AD273" s="13" t="n">
        <f aca="false">IF(AND($J273=1,$M273=0),IF(S273="",0,S273*Val_pt*(Ceiling_e-E_zero)*(1-(1-Half_gap)^Q273))+IF(V273="",0,V273*Val_pt*(Ceiling_e-E_zero)*(1-(1-Half_gap)^T273))+IF(Y273="",0,Y273*Val_pt*(Ceiling_e-E_zero)*(1-(1-Half_gap)^W273)),"")</f>
        <v>92.0115328647334</v>
      </c>
      <c r="AE273" s="13" t="n">
        <f aca="false">IF(AND($J273=1,$M273=0),IF(S273="",0,S273*R273)+IF(V273="",0,V273*U273)+IF(Y273="",0,Y273*X273),"")</f>
        <v>118.554953050381</v>
      </c>
      <c r="AF273" s="12" t="n">
        <f aca="false">IF(AND($J273=1,$M273=0),MIN((AC273-E273)/Span_P,(AD273-F273)/Span_S,(AE273-G273)/Span_B),"")</f>
        <v>0.0170330203358712</v>
      </c>
      <c r="AG273" s="15" t="n">
        <f aca="false">IF(AND($J273=1,$M273=0),IF(AF273&gt;0.0000001,1,0),"")</f>
        <v>1</v>
      </c>
      <c r="AH273" s="15" t="n">
        <f aca="false">IF($J273=1,IF($M273=1,AB273,AG273),"")</f>
        <v>1</v>
      </c>
      <c r="AI273" s="13" t="n">
        <f aca="false">IF($J273=1,(Ideal_P-E273)/Span_P,"")</f>
        <v>0.328501200178111</v>
      </c>
      <c r="AJ273" s="13" t="n">
        <f aca="false">IF($J273=1,(Ideal_S-F273)/Span_S,"")</f>
        <v>1</v>
      </c>
      <c r="AK273" s="13" t="n">
        <f aca="false">IF($J273=1,(Ideal_B-G273)/Span_B,"")</f>
        <v>0.226666666666667</v>
      </c>
      <c r="AL273" s="12" t="n">
        <f aca="false">IF($J273=1,MAX(ChA_1*AI273,ChA_2*AJ273,ChA_3*AK273)+Rho*(ChA_1*AI273+ChA_2*AJ273+ChA_3*AK273),"")</f>
        <v>1.00015551678668</v>
      </c>
      <c r="AM273" s="12" t="n">
        <f aca="false">IF($J273=1,MAX(ChB_1*AI273,ChB_2*AJ273,ChB_3*AK273)+Rho*(ChB_1*AI273+ChB_2*AJ273+ChB_3*AK273),"")</f>
        <v>1.0001883669067</v>
      </c>
      <c r="AN273" s="12" t="n">
        <f aca="false">IF($J273=1,MAX(Cx_1*(Ref_P-E273)/Span_P,Cx_2*(Ref_S-F273)/Span_S,Cx_3*(Ref_B-G273)/Span_B),"")</f>
        <v>4.28317373461012</v>
      </c>
    </row>
    <row r="274" customFormat="false" ht="15" hidden="false" customHeight="false" outlineLevel="0" collapsed="false">
      <c r="A274" s="2" t="n">
        <v>268</v>
      </c>
      <c r="B274" s="15" t="n">
        <f aca="false">INT(A274/151)</f>
        <v>1</v>
      </c>
      <c r="C274" s="15" t="n">
        <f aca="false">MOD(A274,151)</f>
        <v>117</v>
      </c>
      <c r="D274" s="15" t="n">
        <f aca="false">INDEX(Grid!$J$6:$P$156,C274+1,B274+1)</f>
        <v>1</v>
      </c>
      <c r="E274" s="16" t="n">
        <f aca="false">IF(D274=1,INDEX(Grid!$B$6:$H$156,C274+1,B274+1),"")</f>
        <v>264.309007705634</v>
      </c>
      <c r="F274" s="13" t="n">
        <f aca="false">Val_pt*(Ceiling_e-E_zero)*(1-(1-Half_gap)^B274)</f>
        <v>70</v>
      </c>
      <c r="G274" s="15" t="n">
        <f aca="false">C274</f>
        <v>117</v>
      </c>
      <c r="H274" s="15" t="n">
        <f aca="false">IF(D274=1,INDEX(Grid!$R$6:$X$156,C274+1,B274+1),"")</f>
        <v>32</v>
      </c>
      <c r="I274" s="2" t="str">
        <f aca="false">IF(D274=1,INDEX(Sch_label,H274+1),"")</f>
        <v>1</v>
      </c>
      <c r="J274" s="15" t="n">
        <f aca="false">IF(D274=1,INDEX(Grid!$Z$6:$AF$156,C274+1,B274+1),0)</f>
        <v>1</v>
      </c>
      <c r="K274" s="16" t="n">
        <f aca="false">IF(J274=1,E274,0)</f>
        <v>264.309007705634</v>
      </c>
      <c r="L274" s="17" t="n">
        <f aca="false">IF(D274=1,E274+W_board*F274,"")</f>
        <v>659.440758743278</v>
      </c>
      <c r="M274" s="24" t="n">
        <v>0</v>
      </c>
      <c r="Q274" s="24" t="n">
        <v>1</v>
      </c>
      <c r="R274" s="24" t="n">
        <v>150</v>
      </c>
      <c r="S274" s="25" t="n">
        <v>0.389596147448566</v>
      </c>
      <c r="T274" s="24" t="n">
        <v>2</v>
      </c>
      <c r="U274" s="24" t="n">
        <v>100</v>
      </c>
      <c r="V274" s="25" t="n">
        <v>0.610403852551432</v>
      </c>
      <c r="Z274" s="12" t="str">
        <f aca="false">IF(AND($J274=1,$M274=1),N274*E274/Span_P+O274*F274/Span_S+P274*G274/Span_B,"")</f>
        <v/>
      </c>
      <c r="AA274" s="12" t="str">
        <f aca="false">IF(AND($J274=1,$M274=1),SUMPRODUCT(MAX($J$6:$J$1062*(N274*$K$6:$K$1062/Span_P+O274*$F$6:$F$1062/Span_S+P274*$G$6:$G$1062/Span_B)-(1-$J$6:$J$1062)*1000000000)),"")</f>
        <v/>
      </c>
      <c r="AB274" s="15" t="str">
        <f aca="false">IF(AND($J274=1,$M274=1),IF(AA274-Z274&lt;=0.000000001,1,0),"")</f>
        <v/>
      </c>
      <c r="AC274" s="13" t="n">
        <f aca="false">IF(AND($J274=1,$M274=0),IF(S274="",0,S274*INDEX(Grid!$B$6:$H$156,R274+1,Q274+1))+IF(V274="",0,V274*INDEX(Grid!$B$6:$H$156,U274+1,T274+1))+IF(Y274="",0,Y274*INDEX(Grid!$B$6:$H$156,X274+1,W274+1)),"")</f>
        <v>270.295511975742</v>
      </c>
      <c r="AD274" s="13" t="n">
        <f aca="false">IF(AND($J274=1,$M274=0),IF(S274="",0,S274*Val_pt*(Ceiling_e-E_zero)*(1-(1-Half_gap)^Q274))+IF(V274="",0,V274*Val_pt*(Ceiling_e-E_zero)*(1-(1-Half_gap)^T274))+IF(Y274="",0,Y274*Val_pt*(Ceiling_e-E_zero)*(1-(1-Half_gap)^W274)),"")</f>
        <v>91.3641348393</v>
      </c>
      <c r="AE274" s="13" t="n">
        <f aca="false">IF(AND($J274=1,$M274=0),IF(S274="",0,S274*R274)+IF(V274="",0,V274*U274)+IF(Y274="",0,Y274*X274),"")</f>
        <v>119.479807372428</v>
      </c>
      <c r="AF274" s="12" t="n">
        <f aca="false">IF(AND($J274=1,$M274=0),MIN((AC274-E274)/Span_P,(AD274-F274)/Span_S,(AE274-G274)/Span_B),"")</f>
        <v>0.0165320491495208</v>
      </c>
      <c r="AG274" s="15" t="n">
        <f aca="false">IF(AND($J274=1,$M274=0),IF(AF274&gt;0.0000001,1,0),"")</f>
        <v>1</v>
      </c>
      <c r="AH274" s="15" t="n">
        <f aca="false">IF($J274=1,IF($M274=1,AB274,AG274),"")</f>
        <v>1</v>
      </c>
      <c r="AI274" s="13" t="n">
        <f aca="false">IF($J274=1,(Ideal_P-E274)/Span_P,"")</f>
        <v>0.331011702954417</v>
      </c>
      <c r="AJ274" s="13" t="n">
        <f aca="false">IF($J274=1,(Ideal_S-F274)/Span_S,"")</f>
        <v>1</v>
      </c>
      <c r="AK274" s="13" t="n">
        <f aca="false">IF($J274=1,(Ideal_B-G274)/Span_B,"")</f>
        <v>0.22</v>
      </c>
      <c r="AL274" s="12" t="n">
        <f aca="false">IF($J274=1,MAX(ChA_1*AI274,ChA_2*AJ274,ChA_3*AK274)+Rho*(ChA_1*AI274+ChA_2*AJ274+ChA_3*AK274),"")</f>
        <v>1.0001551011703</v>
      </c>
      <c r="AM274" s="12" t="n">
        <f aca="false">IF($J274=1,MAX(ChB_1*AI274,ChB_2*AJ274,ChB_3*AK274)+Rho*(ChB_1*AI274+ChB_2*AJ274+ChB_3*AK274),"")</f>
        <v>1.00018820234059</v>
      </c>
      <c r="AN274" s="12" t="n">
        <f aca="false">IF($J274=1,MAX(Cx_1*(Ref_P-E274)/Span_P,Cx_2*(Ref_S-F274)/Span_S,Cx_3*(Ref_B-G274)/Span_B),"")</f>
        <v>4.28317373461012</v>
      </c>
    </row>
    <row r="275" customFormat="false" ht="15" hidden="false" customHeight="false" outlineLevel="0" collapsed="false">
      <c r="A275" s="2" t="n">
        <v>269</v>
      </c>
      <c r="B275" s="15" t="n">
        <f aca="false">INT(A275/151)</f>
        <v>1</v>
      </c>
      <c r="C275" s="15" t="n">
        <f aca="false">MOD(A275,151)</f>
        <v>118</v>
      </c>
      <c r="D275" s="15" t="n">
        <f aca="false">INDEX(Grid!$J$6:$P$156,C275+1,B275+1)</f>
        <v>1</v>
      </c>
      <c r="E275" s="16" t="n">
        <f aca="false">IF(D275=1,INDEX(Grid!$B$6:$H$156,C275+1,B275+1),"")</f>
        <v>263.399916796543</v>
      </c>
      <c r="F275" s="13" t="n">
        <f aca="false">Val_pt*(Ceiling_e-E_zero)*(1-(1-Half_gap)^B275)</f>
        <v>70</v>
      </c>
      <c r="G275" s="15" t="n">
        <f aca="false">C275</f>
        <v>118</v>
      </c>
      <c r="H275" s="15" t="n">
        <f aca="false">IF(D275=1,INDEX(Grid!$R$6:$X$156,C275+1,B275+1),"")</f>
        <v>32</v>
      </c>
      <c r="I275" s="2" t="str">
        <f aca="false">IF(D275=1,INDEX(Sch_label,H275+1),"")</f>
        <v>1</v>
      </c>
      <c r="J275" s="15" t="n">
        <f aca="false">IF(D275=1,INDEX(Grid!$Z$6:$AF$156,C275+1,B275+1),0)</f>
        <v>1</v>
      </c>
      <c r="K275" s="16" t="n">
        <f aca="false">IF(J275=1,E275,0)</f>
        <v>263.399916796543</v>
      </c>
      <c r="L275" s="17" t="n">
        <f aca="false">IF(D275=1,E275+W_board*F275,"")</f>
        <v>658.531667834187</v>
      </c>
      <c r="M275" s="24" t="n">
        <v>0</v>
      </c>
      <c r="Q275" s="24" t="n">
        <v>1</v>
      </c>
      <c r="R275" s="24" t="n">
        <v>150</v>
      </c>
      <c r="S275" s="25" t="n">
        <v>0.40809323388952</v>
      </c>
      <c r="T275" s="24" t="n">
        <v>2</v>
      </c>
      <c r="U275" s="24" t="n">
        <v>100</v>
      </c>
      <c r="V275" s="25" t="n">
        <v>0.591906766110479</v>
      </c>
      <c r="Z275" s="12" t="str">
        <f aca="false">IF(AND($J275=1,$M275=1),N275*E275/Span_P+O275*F275/Span_S+P275*G275/Span_B,"")</f>
        <v/>
      </c>
      <c r="AA275" s="12" t="str">
        <f aca="false">IF(AND($J275=1,$M275=1),SUMPRODUCT(MAX($J$6:$J$1062*(N275*$K$6:$K$1062/Span_P+O275*$F$6:$F$1062/Span_S+P275*$G$6:$G$1062/Span_B)-(1-$J$6:$J$1062)*1000000000)),"")</f>
        <v/>
      </c>
      <c r="AB275" s="15" t="str">
        <f aca="false">IF(AND($J275=1,$M275=1),IF(AA275-Z275&lt;=0.000000001,1,0),"")</f>
        <v/>
      </c>
      <c r="AC275" s="13" t="n">
        <f aca="false">IF(AND($J275=1,$M275=0),IF(S275="",0,S275*INDEX(Grid!$B$6:$H$156,R275+1,Q275+1))+IF(V275="",0,V275*INDEX(Grid!$B$6:$H$156,U275+1,T275+1))+IF(Y275="",0,Y275*INDEX(Grid!$B$6:$H$156,X275+1,W275+1)),"")</f>
        <v>269.205011846345</v>
      </c>
      <c r="AD275" s="13" t="n">
        <f aca="false">IF(AND($J275=1,$M275=0),IF(S275="",0,S275*Val_pt*(Ceiling_e-E_zero)*(1-(1-Half_gap)^Q275))+IF(V275="",0,V275*Val_pt*(Ceiling_e-E_zero)*(1-(1-Half_gap)^T275))+IF(Y275="",0,Y275*Val_pt*(Ceiling_e-E_zero)*(1-(1-Half_gap)^W275)),"")</f>
        <v>90.7167368138667</v>
      </c>
      <c r="AE275" s="13" t="n">
        <f aca="false">IF(AND($J275=1,$M275=0),IF(S275="",0,S275*R275)+IF(V275="",0,V275*U275)+IF(Y275="",0,Y275*X275),"")</f>
        <v>120.404661694476</v>
      </c>
      <c r="AF275" s="12" t="n">
        <f aca="false">IF(AND($J275=1,$M275=0),MIN((AC275-E275)/Span_P,(AD275-F275)/Span_S,(AE275-G275)/Span_B),"")</f>
        <v>0.0160310779631722</v>
      </c>
      <c r="AG275" s="15" t="n">
        <f aca="false">IF(AND($J275=1,$M275=0),IF(AF275&gt;0.0000001,1,0),"")</f>
        <v>1</v>
      </c>
      <c r="AH275" s="15" t="n">
        <f aca="false">IF($J275=1,IF($M275=1,AB275,AG275),"")</f>
        <v>1</v>
      </c>
      <c r="AI275" s="13" t="n">
        <f aca="false">IF($J275=1,(Ideal_P-E275)/Span_P,"")</f>
        <v>0.333522205730723</v>
      </c>
      <c r="AJ275" s="13" t="n">
        <f aca="false">IF($J275=1,(Ideal_S-F275)/Span_S,"")</f>
        <v>1</v>
      </c>
      <c r="AK275" s="13" t="n">
        <f aca="false">IF($J275=1,(Ideal_B-G275)/Span_B,"")</f>
        <v>0.213333333333333</v>
      </c>
      <c r="AL275" s="12" t="n">
        <f aca="false">IF($J275=1,MAX(ChA_1*AI275,ChA_2*AJ275,ChA_3*AK275)+Rho*(ChA_1*AI275+ChA_2*AJ275+ChA_3*AK275),"")</f>
        <v>1.00015468555391</v>
      </c>
      <c r="AM275" s="12" t="n">
        <f aca="false">IF($J275=1,MAX(ChB_1*AI275,ChB_2*AJ275,ChB_3*AK275)+Rho*(ChB_1*AI275+ChB_2*AJ275+ChB_3*AK275),"")</f>
        <v>1.00018803777448</v>
      </c>
      <c r="AN275" s="12" t="n">
        <f aca="false">IF($J275=1,MAX(Cx_1*(Ref_P-E275)/Span_P,Cx_2*(Ref_S-F275)/Span_S,Cx_3*(Ref_B-G275)/Span_B),"")</f>
        <v>4.28317373461012</v>
      </c>
    </row>
    <row r="276" customFormat="false" ht="15" hidden="false" customHeight="false" outlineLevel="0" collapsed="false">
      <c r="A276" s="2" t="n">
        <v>270</v>
      </c>
      <c r="B276" s="15" t="n">
        <f aca="false">INT(A276/151)</f>
        <v>1</v>
      </c>
      <c r="C276" s="15" t="n">
        <f aca="false">MOD(A276,151)</f>
        <v>119</v>
      </c>
      <c r="D276" s="15" t="n">
        <f aca="false">INDEX(Grid!$J$6:$P$156,C276+1,B276+1)</f>
        <v>1</v>
      </c>
      <c r="E276" s="16" t="n">
        <f aca="false">IF(D276=1,INDEX(Grid!$B$6:$H$156,C276+1,B276+1),"")</f>
        <v>262.490825887452</v>
      </c>
      <c r="F276" s="13" t="n">
        <f aca="false">Val_pt*(Ceiling_e-E_zero)*(1-(1-Half_gap)^B276)</f>
        <v>70</v>
      </c>
      <c r="G276" s="15" t="n">
        <f aca="false">C276</f>
        <v>119</v>
      </c>
      <c r="H276" s="15" t="n">
        <f aca="false">IF(D276=1,INDEX(Grid!$R$6:$X$156,C276+1,B276+1),"")</f>
        <v>32</v>
      </c>
      <c r="I276" s="2" t="str">
        <f aca="false">IF(D276=1,INDEX(Sch_label,H276+1),"")</f>
        <v>1</v>
      </c>
      <c r="J276" s="15" t="n">
        <f aca="false">IF(D276=1,INDEX(Grid!$Z$6:$AF$156,C276+1,B276+1),0)</f>
        <v>1</v>
      </c>
      <c r="K276" s="16" t="n">
        <f aca="false">IF(J276=1,E276,0)</f>
        <v>262.490825887452</v>
      </c>
      <c r="L276" s="17" t="n">
        <f aca="false">IF(D276=1,E276+W_board*F276,"")</f>
        <v>657.622576925096</v>
      </c>
      <c r="M276" s="24" t="n">
        <v>0</v>
      </c>
      <c r="Q276" s="24" t="n">
        <v>1</v>
      </c>
      <c r="R276" s="24" t="n">
        <v>150</v>
      </c>
      <c r="S276" s="25" t="n">
        <v>0.426590320330472</v>
      </c>
      <c r="T276" s="24" t="n">
        <v>2</v>
      </c>
      <c r="U276" s="24" t="n">
        <v>100</v>
      </c>
      <c r="V276" s="25" t="n">
        <v>0.573409679669525</v>
      </c>
      <c r="Z276" s="12" t="str">
        <f aca="false">IF(AND($J276=1,$M276=1),N276*E276/Span_P+O276*F276/Span_S+P276*G276/Span_B,"")</f>
        <v/>
      </c>
      <c r="AA276" s="12" t="str">
        <f aca="false">IF(AND($J276=1,$M276=1),SUMPRODUCT(MAX($J$6:$J$1062*(N276*$K$6:$K$1062/Span_P+O276*$F$6:$F$1062/Span_S+P276*$G$6:$G$1062/Span_B)-(1-$J$6:$J$1062)*1000000000)),"")</f>
        <v/>
      </c>
      <c r="AB276" s="15" t="str">
        <f aca="false">IF(AND($J276=1,$M276=1),IF(AA276-Z276&lt;=0.000000001,1,0),"")</f>
        <v/>
      </c>
      <c r="AC276" s="13" t="n">
        <f aca="false">IF(AND($J276=1,$M276=0),IF(S276="",0,S276*INDEX(Grid!$B$6:$H$156,R276+1,Q276+1))+IF(V276="",0,V276*INDEX(Grid!$B$6:$H$156,U276+1,T276+1))+IF(Y276="",0,Y276*INDEX(Grid!$B$6:$H$156,X276+1,W276+1)),"")</f>
        <v>268.114511716948</v>
      </c>
      <c r="AD276" s="13" t="n">
        <f aca="false">IF(AND($J276=1,$M276=0),IF(S276="",0,S276*Val_pt*(Ceiling_e-E_zero)*(1-(1-Half_gap)^Q276))+IF(V276="",0,V276*Val_pt*(Ceiling_e-E_zero)*(1-(1-Half_gap)^T276))+IF(Y276="",0,Y276*Val_pt*(Ceiling_e-E_zero)*(1-(1-Half_gap)^W276)),"")</f>
        <v>90.0693387884332</v>
      </c>
      <c r="AE276" s="13" t="n">
        <f aca="false">IF(AND($J276=1,$M276=0),IF(S276="",0,S276*R276)+IF(V276="",0,V276*U276)+IF(Y276="",0,Y276*X276),"")</f>
        <v>121.329516016523</v>
      </c>
      <c r="AF276" s="12" t="n">
        <f aca="false">IF(AND($J276=1,$M276=0),MIN((AC276-E276)/Span_P,(AD276-F276)/Span_S,(AE276-G276)/Span_B),"")</f>
        <v>0.0155301067768225</v>
      </c>
      <c r="AG276" s="15" t="n">
        <f aca="false">IF(AND($J276=1,$M276=0),IF(AF276&gt;0.0000001,1,0),"")</f>
        <v>1</v>
      </c>
      <c r="AH276" s="15" t="n">
        <f aca="false">IF($J276=1,IF($M276=1,AB276,AG276),"")</f>
        <v>1</v>
      </c>
      <c r="AI276" s="13" t="n">
        <f aca="false">IF($J276=1,(Ideal_P-E276)/Span_P,"")</f>
        <v>0.336032708507029</v>
      </c>
      <c r="AJ276" s="13" t="n">
        <f aca="false">IF($J276=1,(Ideal_S-F276)/Span_S,"")</f>
        <v>1</v>
      </c>
      <c r="AK276" s="13" t="n">
        <f aca="false">IF($J276=1,(Ideal_B-G276)/Span_B,"")</f>
        <v>0.206666666666667</v>
      </c>
      <c r="AL276" s="12" t="n">
        <f aca="false">IF($J276=1,MAX(ChA_1*AI276,ChA_2*AJ276,ChA_3*AK276)+Rho*(ChA_1*AI276+ChA_2*AJ276+ChA_3*AK276),"")</f>
        <v>1.00015426993752</v>
      </c>
      <c r="AM276" s="12" t="n">
        <f aca="false">IF($J276=1,MAX(ChB_1*AI276,ChB_2*AJ276,ChB_3*AK276)+Rho*(ChB_1*AI276+ChB_2*AJ276+ChB_3*AK276),"")</f>
        <v>1.00018787320837</v>
      </c>
      <c r="AN276" s="12" t="n">
        <f aca="false">IF($J276=1,MAX(Cx_1*(Ref_P-E276)/Span_P,Cx_2*(Ref_S-F276)/Span_S,Cx_3*(Ref_B-G276)/Span_B),"")</f>
        <v>4.28317373461012</v>
      </c>
    </row>
    <row r="277" customFormat="false" ht="15" hidden="false" customHeight="false" outlineLevel="0" collapsed="false">
      <c r="A277" s="2" t="n">
        <v>271</v>
      </c>
      <c r="B277" s="15" t="n">
        <f aca="false">INT(A277/151)</f>
        <v>1</v>
      </c>
      <c r="C277" s="15" t="n">
        <f aca="false">MOD(A277,151)</f>
        <v>120</v>
      </c>
      <c r="D277" s="15" t="n">
        <f aca="false">INDEX(Grid!$J$6:$P$156,C277+1,B277+1)</f>
        <v>1</v>
      </c>
      <c r="E277" s="16" t="n">
        <f aca="false">IF(D277=1,INDEX(Grid!$B$6:$H$156,C277+1,B277+1),"")</f>
        <v>261.581734978361</v>
      </c>
      <c r="F277" s="13" t="n">
        <f aca="false">Val_pt*(Ceiling_e-E_zero)*(1-(1-Half_gap)^B277)</f>
        <v>70</v>
      </c>
      <c r="G277" s="15" t="n">
        <f aca="false">C277</f>
        <v>120</v>
      </c>
      <c r="H277" s="15" t="n">
        <f aca="false">IF(D277=1,INDEX(Grid!$R$6:$X$156,C277+1,B277+1),"")</f>
        <v>32</v>
      </c>
      <c r="I277" s="2" t="str">
        <f aca="false">IF(D277=1,INDEX(Sch_label,H277+1),"")</f>
        <v>1</v>
      </c>
      <c r="J277" s="15" t="n">
        <f aca="false">IF(D277=1,INDEX(Grid!$Z$6:$AF$156,C277+1,B277+1),0)</f>
        <v>1</v>
      </c>
      <c r="K277" s="16" t="n">
        <f aca="false">IF(J277=1,E277,0)</f>
        <v>261.581734978361</v>
      </c>
      <c r="L277" s="17" t="n">
        <f aca="false">IF(D277=1,E277+W_board*F277,"")</f>
        <v>656.713486016005</v>
      </c>
      <c r="M277" s="24" t="n">
        <v>0</v>
      </c>
      <c r="Q277" s="24" t="n">
        <v>1</v>
      </c>
      <c r="R277" s="24" t="n">
        <v>150</v>
      </c>
      <c r="S277" s="25" t="n">
        <v>0.445087406771425</v>
      </c>
      <c r="T277" s="24" t="n">
        <v>2</v>
      </c>
      <c r="U277" s="24" t="n">
        <v>100</v>
      </c>
      <c r="V277" s="25" t="n">
        <v>0.554912593228575</v>
      </c>
      <c r="Z277" s="12" t="str">
        <f aca="false">IF(AND($J277=1,$M277=1),N277*E277/Span_P+O277*F277/Span_S+P277*G277/Span_B,"")</f>
        <v/>
      </c>
      <c r="AA277" s="12" t="str">
        <f aca="false">IF(AND($J277=1,$M277=1),SUMPRODUCT(MAX($J$6:$J$1062*(N277*$K$6:$K$1062/Span_P+O277*$F$6:$F$1062/Span_S+P277*$G$6:$G$1062/Span_B)-(1-$J$6:$J$1062)*1000000000)),"")</f>
        <v/>
      </c>
      <c r="AB277" s="15" t="str">
        <f aca="false">IF(AND($J277=1,$M277=1),IF(AA277-Z277&lt;=0.000000001,1,0),"")</f>
        <v/>
      </c>
      <c r="AC277" s="13" t="n">
        <f aca="false">IF(AND($J277=1,$M277=0),IF(S277="",0,S277*INDEX(Grid!$B$6:$H$156,R277+1,Q277+1))+IF(V277="",0,V277*INDEX(Grid!$B$6:$H$156,U277+1,T277+1))+IF(Y277="",0,Y277*INDEX(Grid!$B$6:$H$156,X277+1,W277+1)),"")</f>
        <v>267.024011587551</v>
      </c>
      <c r="AD277" s="13" t="n">
        <f aca="false">IF(AND($J277=1,$M277=0),IF(S277="",0,S277*Val_pt*(Ceiling_e-E_zero)*(1-(1-Half_gap)^Q277))+IF(V277="",0,V277*Val_pt*(Ceiling_e-E_zero)*(1-(1-Half_gap)^T277))+IF(Y277="",0,Y277*Val_pt*(Ceiling_e-E_zero)*(1-(1-Half_gap)^W277)),"")</f>
        <v>89.4219407630002</v>
      </c>
      <c r="AE277" s="13" t="n">
        <f aca="false">IF(AND($J277=1,$M277=0),IF(S277="",0,S277*R277)+IF(V277="",0,V277*U277)+IF(Y277="",0,Y277*X277),"")</f>
        <v>122.254370338571</v>
      </c>
      <c r="AF277" s="12" t="n">
        <f aca="false">IF(AND($J277=1,$M277=0),MIN((AC277-E277)/Span_P,(AD277-F277)/Span_S,(AE277-G277)/Span_B),"")</f>
        <v>0.0150291355904756</v>
      </c>
      <c r="AG277" s="15" t="n">
        <f aca="false">IF(AND($J277=1,$M277=0),IF(AF277&gt;0.0000001,1,0),"")</f>
        <v>1</v>
      </c>
      <c r="AH277" s="15" t="n">
        <f aca="false">IF($J277=1,IF($M277=1,AB277,AG277),"")</f>
        <v>1</v>
      </c>
      <c r="AI277" s="13" t="n">
        <f aca="false">IF($J277=1,(Ideal_P-E277)/Span_P,"")</f>
        <v>0.338543211283335</v>
      </c>
      <c r="AJ277" s="13" t="n">
        <f aca="false">IF($J277=1,(Ideal_S-F277)/Span_S,"")</f>
        <v>1</v>
      </c>
      <c r="AK277" s="13" t="n">
        <f aca="false">IF($J277=1,(Ideal_B-G277)/Span_B,"")</f>
        <v>0.2</v>
      </c>
      <c r="AL277" s="12" t="n">
        <f aca="false">IF($J277=1,MAX(ChA_1*AI277,ChA_2*AJ277,ChA_3*AK277)+Rho*(ChA_1*AI277+ChA_2*AJ277+ChA_3*AK277),"")</f>
        <v>1.00015385432113</v>
      </c>
      <c r="AM277" s="12" t="n">
        <f aca="false">IF($J277=1,MAX(ChB_1*AI277,ChB_2*AJ277,ChB_3*AK277)+Rho*(ChB_1*AI277+ChB_2*AJ277+ChB_3*AK277),"")</f>
        <v>1.00018770864226</v>
      </c>
      <c r="AN277" s="12" t="n">
        <f aca="false">IF($J277=1,MAX(Cx_1*(Ref_P-E277)/Span_P,Cx_2*(Ref_S-F277)/Span_S,Cx_3*(Ref_B-G277)/Span_B),"")</f>
        <v>4.28317373461012</v>
      </c>
    </row>
    <row r="278" customFormat="false" ht="15" hidden="false" customHeight="false" outlineLevel="0" collapsed="false">
      <c r="A278" s="2" t="n">
        <v>272</v>
      </c>
      <c r="B278" s="15" t="n">
        <f aca="false">INT(A278/151)</f>
        <v>1</v>
      </c>
      <c r="C278" s="15" t="n">
        <f aca="false">MOD(A278,151)</f>
        <v>121</v>
      </c>
      <c r="D278" s="15" t="n">
        <f aca="false">INDEX(Grid!$J$6:$P$156,C278+1,B278+1)</f>
        <v>1</v>
      </c>
      <c r="E278" s="16" t="n">
        <f aca="false">IF(D278=1,INDEX(Grid!$B$6:$H$156,C278+1,B278+1),"")</f>
        <v>260.67264406927</v>
      </c>
      <c r="F278" s="13" t="n">
        <f aca="false">Val_pt*(Ceiling_e-E_zero)*(1-(1-Half_gap)^B278)</f>
        <v>70</v>
      </c>
      <c r="G278" s="15" t="n">
        <f aca="false">C278</f>
        <v>121</v>
      </c>
      <c r="H278" s="15" t="n">
        <f aca="false">IF(D278=1,INDEX(Grid!$R$6:$X$156,C278+1,B278+1),"")</f>
        <v>32</v>
      </c>
      <c r="I278" s="2" t="str">
        <f aca="false">IF(D278=1,INDEX(Sch_label,H278+1),"")</f>
        <v>1</v>
      </c>
      <c r="J278" s="15" t="n">
        <f aca="false">IF(D278=1,INDEX(Grid!$Z$6:$AF$156,C278+1,B278+1),0)</f>
        <v>1</v>
      </c>
      <c r="K278" s="16" t="n">
        <f aca="false">IF(J278=1,E278,0)</f>
        <v>260.67264406927</v>
      </c>
      <c r="L278" s="17" t="n">
        <f aca="false">IF(D278=1,E278+W_board*F278,"")</f>
        <v>655.804395106914</v>
      </c>
      <c r="M278" s="24" t="n">
        <v>0</v>
      </c>
      <c r="Q278" s="24" t="n">
        <v>1</v>
      </c>
      <c r="R278" s="24" t="n">
        <v>150</v>
      </c>
      <c r="S278" s="25" t="n">
        <v>0.463584493212377</v>
      </c>
      <c r="T278" s="24" t="n">
        <v>2</v>
      </c>
      <c r="U278" s="24" t="n">
        <v>100</v>
      </c>
      <c r="V278" s="25" t="n">
        <v>0.53641550678762</v>
      </c>
      <c r="Z278" s="12" t="str">
        <f aca="false">IF(AND($J278=1,$M278=1),N278*E278/Span_P+O278*F278/Span_S+P278*G278/Span_B,"")</f>
        <v/>
      </c>
      <c r="AA278" s="12" t="str">
        <f aca="false">IF(AND($J278=1,$M278=1),SUMPRODUCT(MAX($J$6:$J$1062*(N278*$K$6:$K$1062/Span_P+O278*$F$6:$F$1062/Span_S+P278*$G$6:$G$1062/Span_B)-(1-$J$6:$J$1062)*1000000000)),"")</f>
        <v/>
      </c>
      <c r="AB278" s="15" t="str">
        <f aca="false">IF(AND($J278=1,$M278=1),IF(AA278-Z278&lt;=0.000000001,1,0),"")</f>
        <v/>
      </c>
      <c r="AC278" s="13" t="n">
        <f aca="false">IF(AND($J278=1,$M278=0),IF(S278="",0,S278*INDEX(Grid!$B$6:$H$156,R278+1,Q278+1))+IF(V278="",0,V278*INDEX(Grid!$B$6:$H$156,U278+1,T278+1))+IF(Y278="",0,Y278*INDEX(Grid!$B$6:$H$156,X278+1,W278+1)),"")</f>
        <v>265.933511458153</v>
      </c>
      <c r="AD278" s="13" t="n">
        <f aca="false">IF(AND($J278=1,$M278=0),IF(S278="",0,S278*Val_pt*(Ceiling_e-E_zero)*(1-(1-Half_gap)^Q278))+IF(V278="",0,V278*Val_pt*(Ceiling_e-E_zero)*(1-(1-Half_gap)^T278))+IF(Y278="",0,Y278*Val_pt*(Ceiling_e-E_zero)*(1-(1-Half_gap)^W278)),"")</f>
        <v>88.7745427375665</v>
      </c>
      <c r="AE278" s="13" t="n">
        <f aca="false">IF(AND($J278=1,$M278=0),IF(S278="",0,S278*R278)+IF(V278="",0,V278*U278)+IF(Y278="",0,Y278*X278),"")</f>
        <v>123.179224660619</v>
      </c>
      <c r="AF278" s="12" t="n">
        <f aca="false">IF(AND($J278=1,$M278=0),MIN((AC278-E278)/Span_P,(AD278-F278)/Span_S,(AE278-G278)/Span_B),"")</f>
        <v>0.0145281644041238</v>
      </c>
      <c r="AG278" s="15" t="n">
        <f aca="false">IF(AND($J278=1,$M278=0),IF(AF278&gt;0.0000001,1,0),"")</f>
        <v>1</v>
      </c>
      <c r="AH278" s="15" t="n">
        <f aca="false">IF($J278=1,IF($M278=1,AB278,AG278),"")</f>
        <v>1</v>
      </c>
      <c r="AI278" s="13" t="n">
        <f aca="false">IF($J278=1,(Ideal_P-E278)/Span_P,"")</f>
        <v>0.34105371405964</v>
      </c>
      <c r="AJ278" s="13" t="n">
        <f aca="false">IF($J278=1,(Ideal_S-F278)/Span_S,"")</f>
        <v>1</v>
      </c>
      <c r="AK278" s="13" t="n">
        <f aca="false">IF($J278=1,(Ideal_B-G278)/Span_B,"")</f>
        <v>0.193333333333333</v>
      </c>
      <c r="AL278" s="12" t="n">
        <f aca="false">IF($J278=1,MAX(ChA_1*AI278,ChA_2*AJ278,ChA_3*AK278)+Rho*(ChA_1*AI278+ChA_2*AJ278+ChA_3*AK278),"")</f>
        <v>1.00015343870474</v>
      </c>
      <c r="AM278" s="12" t="n">
        <f aca="false">IF($J278=1,MAX(ChB_1*AI278,ChB_2*AJ278,ChB_3*AK278)+Rho*(ChB_1*AI278+ChB_2*AJ278+ChB_3*AK278),"")</f>
        <v>1.00018754407615</v>
      </c>
      <c r="AN278" s="12" t="n">
        <f aca="false">IF($J278=1,MAX(Cx_1*(Ref_P-E278)/Span_P,Cx_2*(Ref_S-F278)/Span_S,Cx_3*(Ref_B-G278)/Span_B),"")</f>
        <v>4.28317373461012</v>
      </c>
    </row>
    <row r="279" customFormat="false" ht="15" hidden="false" customHeight="false" outlineLevel="0" collapsed="false">
      <c r="A279" s="2" t="n">
        <v>273</v>
      </c>
      <c r="B279" s="15" t="n">
        <f aca="false">INT(A279/151)</f>
        <v>1</v>
      </c>
      <c r="C279" s="15" t="n">
        <f aca="false">MOD(A279,151)</f>
        <v>122</v>
      </c>
      <c r="D279" s="15" t="n">
        <f aca="false">INDEX(Grid!$J$6:$P$156,C279+1,B279+1)</f>
        <v>1</v>
      </c>
      <c r="E279" s="16" t="n">
        <f aca="false">IF(D279=1,INDEX(Grid!$B$6:$H$156,C279+1,B279+1),"")</f>
        <v>259.763553160179</v>
      </c>
      <c r="F279" s="13" t="n">
        <f aca="false">Val_pt*(Ceiling_e-E_zero)*(1-(1-Half_gap)^B279)</f>
        <v>70</v>
      </c>
      <c r="G279" s="15" t="n">
        <f aca="false">C279</f>
        <v>122</v>
      </c>
      <c r="H279" s="15" t="n">
        <f aca="false">IF(D279=1,INDEX(Grid!$R$6:$X$156,C279+1,B279+1),"")</f>
        <v>32</v>
      </c>
      <c r="I279" s="2" t="str">
        <f aca="false">IF(D279=1,INDEX(Sch_label,H279+1),"")</f>
        <v>1</v>
      </c>
      <c r="J279" s="15" t="n">
        <f aca="false">IF(D279=1,INDEX(Grid!$Z$6:$AF$156,C279+1,B279+1),0)</f>
        <v>1</v>
      </c>
      <c r="K279" s="16" t="n">
        <f aca="false">IF(J279=1,E279,0)</f>
        <v>259.763553160179</v>
      </c>
      <c r="L279" s="17" t="n">
        <f aca="false">IF(D279=1,E279+W_board*F279,"")</f>
        <v>654.895304197823</v>
      </c>
      <c r="M279" s="24" t="n">
        <v>0</v>
      </c>
      <c r="Q279" s="24" t="n">
        <v>1</v>
      </c>
      <c r="R279" s="24" t="n">
        <v>150</v>
      </c>
      <c r="S279" s="25" t="n">
        <v>0.48208157965333</v>
      </c>
      <c r="T279" s="24" t="n">
        <v>2</v>
      </c>
      <c r="U279" s="24" t="n">
        <v>100</v>
      </c>
      <c r="V279" s="25" t="n">
        <v>0.517918420346668</v>
      </c>
      <c r="Z279" s="12" t="str">
        <f aca="false">IF(AND($J279=1,$M279=1),N279*E279/Span_P+O279*F279/Span_S+P279*G279/Span_B,"")</f>
        <v/>
      </c>
      <c r="AA279" s="12" t="str">
        <f aca="false">IF(AND($J279=1,$M279=1),SUMPRODUCT(MAX($J$6:$J$1062*(N279*$K$6:$K$1062/Span_P+O279*$F$6:$F$1062/Span_S+P279*$G$6:$G$1062/Span_B)-(1-$J$6:$J$1062)*1000000000)),"")</f>
        <v/>
      </c>
      <c r="AB279" s="15" t="str">
        <f aca="false">IF(AND($J279=1,$M279=1),IF(AA279-Z279&lt;=0.000000001,1,0),"")</f>
        <v/>
      </c>
      <c r="AC279" s="13" t="n">
        <f aca="false">IF(AND($J279=1,$M279=0),IF(S279="",0,S279*INDEX(Grid!$B$6:$H$156,R279+1,Q279+1))+IF(V279="",0,V279*INDEX(Grid!$B$6:$H$156,U279+1,T279+1))+IF(Y279="",0,Y279*INDEX(Grid!$B$6:$H$156,X279+1,W279+1)),"")</f>
        <v>264.843011328756</v>
      </c>
      <c r="AD279" s="13" t="n">
        <f aca="false">IF(AND($J279=1,$M279=0),IF(S279="",0,S279*Val_pt*(Ceiling_e-E_zero)*(1-(1-Half_gap)^Q279))+IF(V279="",0,V279*Val_pt*(Ceiling_e-E_zero)*(1-(1-Half_gap)^T279))+IF(Y279="",0,Y279*Val_pt*(Ceiling_e-E_zero)*(1-(1-Half_gap)^W279)),"")</f>
        <v>88.1271447121332</v>
      </c>
      <c r="AE279" s="13" t="n">
        <f aca="false">IF(AND($J279=1,$M279=0),IF(S279="",0,S279*R279)+IF(V279="",0,V279*U279)+IF(Y279="",0,Y279*X279),"")</f>
        <v>124.104078982666</v>
      </c>
      <c r="AF279" s="12" t="n">
        <f aca="false">IF(AND($J279=1,$M279=0),MIN((AC279-E279)/Span_P,(AD279-F279)/Span_S,(AE279-G279)/Span_B),"")</f>
        <v>0.0140271932177751</v>
      </c>
      <c r="AG279" s="15" t="n">
        <f aca="false">IF(AND($J279=1,$M279=0),IF(AF279&gt;0.0000001,1,0),"")</f>
        <v>1</v>
      </c>
      <c r="AH279" s="15" t="n">
        <f aca="false">IF($J279=1,IF($M279=1,AB279,AG279),"")</f>
        <v>1</v>
      </c>
      <c r="AI279" s="13" t="n">
        <f aca="false">IF($J279=1,(Ideal_P-E279)/Span_P,"")</f>
        <v>0.343564216835946</v>
      </c>
      <c r="AJ279" s="13" t="n">
        <f aca="false">IF($J279=1,(Ideal_S-F279)/Span_S,"")</f>
        <v>1</v>
      </c>
      <c r="AK279" s="13" t="n">
        <f aca="false">IF($J279=1,(Ideal_B-G279)/Span_B,"")</f>
        <v>0.186666666666667</v>
      </c>
      <c r="AL279" s="12" t="n">
        <f aca="false">IF($J279=1,MAX(ChA_1*AI279,ChA_2*AJ279,ChA_3*AK279)+Rho*(ChA_1*AI279+ChA_2*AJ279+ChA_3*AK279),"")</f>
        <v>1.00015302308835</v>
      </c>
      <c r="AM279" s="12" t="n">
        <f aca="false">IF($J279=1,MAX(ChB_1*AI279,ChB_2*AJ279,ChB_3*AK279)+Rho*(ChB_1*AI279+ChB_2*AJ279+ChB_3*AK279),"")</f>
        <v>1.00018737951003</v>
      </c>
      <c r="AN279" s="12" t="n">
        <f aca="false">IF($J279=1,MAX(Cx_1*(Ref_P-E279)/Span_P,Cx_2*(Ref_S-F279)/Span_S,Cx_3*(Ref_B-G279)/Span_B),"")</f>
        <v>4.28317373461012</v>
      </c>
    </row>
    <row r="280" customFormat="false" ht="15" hidden="false" customHeight="false" outlineLevel="0" collapsed="false">
      <c r="A280" s="2" t="n">
        <v>274</v>
      </c>
      <c r="B280" s="15" t="n">
        <f aca="false">INT(A280/151)</f>
        <v>1</v>
      </c>
      <c r="C280" s="15" t="n">
        <f aca="false">MOD(A280,151)</f>
        <v>123</v>
      </c>
      <c r="D280" s="15" t="n">
        <f aca="false">INDEX(Grid!$J$6:$P$156,C280+1,B280+1)</f>
        <v>1</v>
      </c>
      <c r="E280" s="16" t="n">
        <f aca="false">IF(D280=1,INDEX(Grid!$B$6:$H$156,C280+1,B280+1),"")</f>
        <v>258.854462251088</v>
      </c>
      <c r="F280" s="13" t="n">
        <f aca="false">Val_pt*(Ceiling_e-E_zero)*(1-(1-Half_gap)^B280)</f>
        <v>70</v>
      </c>
      <c r="G280" s="15" t="n">
        <f aca="false">C280</f>
        <v>123</v>
      </c>
      <c r="H280" s="15" t="n">
        <f aca="false">IF(D280=1,INDEX(Grid!$R$6:$X$156,C280+1,B280+1),"")</f>
        <v>32</v>
      </c>
      <c r="I280" s="2" t="str">
        <f aca="false">IF(D280=1,INDEX(Sch_label,H280+1),"")</f>
        <v>1</v>
      </c>
      <c r="J280" s="15" t="n">
        <f aca="false">IF(D280=1,INDEX(Grid!$Z$6:$AF$156,C280+1,B280+1),0)</f>
        <v>1</v>
      </c>
      <c r="K280" s="16" t="n">
        <f aca="false">IF(J280=1,E280,0)</f>
        <v>258.854462251088</v>
      </c>
      <c r="L280" s="17" t="n">
        <f aca="false">IF(D280=1,E280+W_board*F280,"")</f>
        <v>653.986213288732</v>
      </c>
      <c r="M280" s="24" t="n">
        <v>0</v>
      </c>
      <c r="Q280" s="24" t="n">
        <v>1</v>
      </c>
      <c r="R280" s="24" t="n">
        <v>150</v>
      </c>
      <c r="S280" s="25" t="n">
        <v>0.500578666094282</v>
      </c>
      <c r="T280" s="24" t="n">
        <v>2</v>
      </c>
      <c r="U280" s="24" t="n">
        <v>100</v>
      </c>
      <c r="V280" s="25" t="n">
        <v>0.499421333905716</v>
      </c>
      <c r="Z280" s="12" t="str">
        <f aca="false">IF(AND($J280=1,$M280=1),N280*E280/Span_P+O280*F280/Span_S+P280*G280/Span_B,"")</f>
        <v/>
      </c>
      <c r="AA280" s="12" t="str">
        <f aca="false">IF(AND($J280=1,$M280=1),SUMPRODUCT(MAX($J$6:$J$1062*(N280*$K$6:$K$1062/Span_P+O280*$F$6:$F$1062/Span_S+P280*$G$6:$G$1062/Span_B)-(1-$J$6:$J$1062)*1000000000)),"")</f>
        <v/>
      </c>
      <c r="AB280" s="15" t="str">
        <f aca="false">IF(AND($J280=1,$M280=1),IF(AA280-Z280&lt;=0.000000001,1,0),"")</f>
        <v/>
      </c>
      <c r="AC280" s="13" t="n">
        <f aca="false">IF(AND($J280=1,$M280=0),IF(S280="",0,S280*INDEX(Grid!$B$6:$H$156,R280+1,Q280+1))+IF(V280="",0,V280*INDEX(Grid!$B$6:$H$156,U280+1,T280+1))+IF(Y280="",0,Y280*INDEX(Grid!$B$6:$H$156,X280+1,W280+1)),"")</f>
        <v>263.752511199359</v>
      </c>
      <c r="AD280" s="13" t="n">
        <f aca="false">IF(AND($J280=1,$M280=0),IF(S280="",0,S280*Val_pt*(Ceiling_e-E_zero)*(1-(1-Half_gap)^Q280))+IF(V280="",0,V280*Val_pt*(Ceiling_e-E_zero)*(1-(1-Half_gap)^T280))+IF(Y280="",0,Y280*Val_pt*(Ceiling_e-E_zero)*(1-(1-Half_gap)^W280)),"")</f>
        <v>87.4797466866999</v>
      </c>
      <c r="AE280" s="13" t="n">
        <f aca="false">IF(AND($J280=1,$M280=0),IF(S280="",0,S280*R280)+IF(V280="",0,V280*U280)+IF(Y280="",0,Y280*X280),"")</f>
        <v>125.028933304714</v>
      </c>
      <c r="AF280" s="12" t="n">
        <f aca="false">IF(AND($J280=1,$M280=0),MIN((AC280-E280)/Span_P,(AD280-F280)/Span_S,(AE280-G280)/Span_B),"")</f>
        <v>0.0135262220314263</v>
      </c>
      <c r="AG280" s="15" t="n">
        <f aca="false">IF(AND($J280=1,$M280=0),IF(AF280&gt;0.0000001,1,0),"")</f>
        <v>1</v>
      </c>
      <c r="AH280" s="15" t="n">
        <f aca="false">IF($J280=1,IF($M280=1,AB280,AG280),"")</f>
        <v>1</v>
      </c>
      <c r="AI280" s="13" t="n">
        <f aca="false">IF($J280=1,(Ideal_P-E280)/Span_P,"")</f>
        <v>0.346074719612252</v>
      </c>
      <c r="AJ280" s="13" t="n">
        <f aca="false">IF($J280=1,(Ideal_S-F280)/Span_S,"")</f>
        <v>1</v>
      </c>
      <c r="AK280" s="13" t="n">
        <f aca="false">IF($J280=1,(Ideal_B-G280)/Span_B,"")</f>
        <v>0.18</v>
      </c>
      <c r="AL280" s="12" t="n">
        <f aca="false">IF($J280=1,MAX(ChA_1*AI280,ChA_2*AJ280,ChA_3*AK280)+Rho*(ChA_1*AI280+ChA_2*AJ280+ChA_3*AK280),"")</f>
        <v>1.00015260747196</v>
      </c>
      <c r="AM280" s="12" t="n">
        <f aca="false">IF($J280=1,MAX(ChB_1*AI280,ChB_2*AJ280,ChB_3*AK280)+Rho*(ChB_1*AI280+ChB_2*AJ280+ChB_3*AK280),"")</f>
        <v>1.00018721494392</v>
      </c>
      <c r="AN280" s="12" t="n">
        <f aca="false">IF($J280=1,MAX(Cx_1*(Ref_P-E280)/Span_P,Cx_2*(Ref_S-F280)/Span_S,Cx_3*(Ref_B-G280)/Span_B),"")</f>
        <v>4.28317373461012</v>
      </c>
    </row>
    <row r="281" customFormat="false" ht="15" hidden="false" customHeight="false" outlineLevel="0" collapsed="false">
      <c r="A281" s="2" t="n">
        <v>275</v>
      </c>
      <c r="B281" s="15" t="n">
        <f aca="false">INT(A281/151)</f>
        <v>1</v>
      </c>
      <c r="C281" s="15" t="n">
        <f aca="false">MOD(A281,151)</f>
        <v>124</v>
      </c>
      <c r="D281" s="15" t="n">
        <f aca="false">INDEX(Grid!$J$6:$P$156,C281+1,B281+1)</f>
        <v>1</v>
      </c>
      <c r="E281" s="16" t="n">
        <f aca="false">IF(D281=1,INDEX(Grid!$B$6:$H$156,C281+1,B281+1),"")</f>
        <v>257.945371341997</v>
      </c>
      <c r="F281" s="13" t="n">
        <f aca="false">Val_pt*(Ceiling_e-E_zero)*(1-(1-Half_gap)^B281)</f>
        <v>70</v>
      </c>
      <c r="G281" s="15" t="n">
        <f aca="false">C281</f>
        <v>124</v>
      </c>
      <c r="H281" s="15" t="n">
        <f aca="false">IF(D281=1,INDEX(Grid!$R$6:$X$156,C281+1,B281+1),"")</f>
        <v>32</v>
      </c>
      <c r="I281" s="2" t="str">
        <f aca="false">IF(D281=1,INDEX(Sch_label,H281+1),"")</f>
        <v>1</v>
      </c>
      <c r="J281" s="15" t="n">
        <f aca="false">IF(D281=1,INDEX(Grid!$Z$6:$AF$156,C281+1,B281+1),0)</f>
        <v>1</v>
      </c>
      <c r="K281" s="16" t="n">
        <f aca="false">IF(J281=1,E281,0)</f>
        <v>257.945371341997</v>
      </c>
      <c r="L281" s="17" t="n">
        <f aca="false">IF(D281=1,E281+W_board*F281,"")</f>
        <v>653.077122379641</v>
      </c>
      <c r="M281" s="24" t="n">
        <v>0</v>
      </c>
      <c r="Q281" s="24" t="n">
        <v>1</v>
      </c>
      <c r="R281" s="24" t="n">
        <v>150</v>
      </c>
      <c r="S281" s="25" t="n">
        <v>0.519075752535235</v>
      </c>
      <c r="T281" s="24" t="n">
        <v>2</v>
      </c>
      <c r="U281" s="24" t="n">
        <v>100</v>
      </c>
      <c r="V281" s="25" t="n">
        <v>0.480924247464764</v>
      </c>
      <c r="Z281" s="12" t="str">
        <f aca="false">IF(AND($J281=1,$M281=1),N281*E281/Span_P+O281*F281/Span_S+P281*G281/Span_B,"")</f>
        <v/>
      </c>
      <c r="AA281" s="12" t="str">
        <f aca="false">IF(AND($J281=1,$M281=1),SUMPRODUCT(MAX($J$6:$J$1062*(N281*$K$6:$K$1062/Span_P+O281*$F$6:$F$1062/Span_S+P281*$G$6:$G$1062/Span_B)-(1-$J$6:$J$1062)*1000000000)),"")</f>
        <v/>
      </c>
      <c r="AB281" s="15" t="str">
        <f aca="false">IF(AND($J281=1,$M281=1),IF(AA281-Z281&lt;=0.000000001,1,0),"")</f>
        <v/>
      </c>
      <c r="AC281" s="13" t="n">
        <f aca="false">IF(AND($J281=1,$M281=0),IF(S281="",0,S281*INDEX(Grid!$B$6:$H$156,R281+1,Q281+1))+IF(V281="",0,V281*INDEX(Grid!$B$6:$H$156,U281+1,T281+1))+IF(Y281="",0,Y281*INDEX(Grid!$B$6:$H$156,X281+1,W281+1)),"")</f>
        <v>262.662011069962</v>
      </c>
      <c r="AD281" s="13" t="n">
        <f aca="false">IF(AND($J281=1,$M281=0),IF(S281="",0,S281*Val_pt*(Ceiling_e-E_zero)*(1-(1-Half_gap)^Q281))+IF(V281="",0,V281*Val_pt*(Ceiling_e-E_zero)*(1-(1-Half_gap)^T281))+IF(Y281="",0,Y281*Val_pt*(Ceiling_e-E_zero)*(1-(1-Half_gap)^W281)),"")</f>
        <v>86.8323486612667</v>
      </c>
      <c r="AE281" s="13" t="n">
        <f aca="false">IF(AND($J281=1,$M281=0),IF(S281="",0,S281*R281)+IF(V281="",0,V281*U281)+IF(Y281="",0,Y281*X281),"")</f>
        <v>125.953787626762</v>
      </c>
      <c r="AF281" s="12" t="n">
        <f aca="false">IF(AND($J281=1,$M281=0),MIN((AC281-E281)/Span_P,(AD281-F281)/Span_S,(AE281-G281)/Span_B),"")</f>
        <v>0.0130252508450778</v>
      </c>
      <c r="AG281" s="15" t="n">
        <f aca="false">IF(AND($J281=1,$M281=0),IF(AF281&gt;0.0000001,1,0),"")</f>
        <v>1</v>
      </c>
      <c r="AH281" s="15" t="n">
        <f aca="false">IF($J281=1,IF($M281=1,AB281,AG281),"")</f>
        <v>1</v>
      </c>
      <c r="AI281" s="13" t="n">
        <f aca="false">IF($J281=1,(Ideal_P-E281)/Span_P,"")</f>
        <v>0.348585222388558</v>
      </c>
      <c r="AJ281" s="13" t="n">
        <f aca="false">IF($J281=1,(Ideal_S-F281)/Span_S,"")</f>
        <v>1</v>
      </c>
      <c r="AK281" s="13" t="n">
        <f aca="false">IF($J281=1,(Ideal_B-G281)/Span_B,"")</f>
        <v>0.173333333333333</v>
      </c>
      <c r="AL281" s="12" t="n">
        <f aca="false">IF($J281=1,MAX(ChA_1*AI281,ChA_2*AJ281,ChA_3*AK281)+Rho*(ChA_1*AI281+ChA_2*AJ281+ChA_3*AK281),"")</f>
        <v>1.00015219185557</v>
      </c>
      <c r="AM281" s="12" t="n">
        <f aca="false">IF($J281=1,MAX(ChB_1*AI281,ChB_2*AJ281,ChB_3*AK281)+Rho*(ChB_1*AI281+ChB_2*AJ281+ChB_3*AK281),"")</f>
        <v>1.00018705037781</v>
      </c>
      <c r="AN281" s="12" t="n">
        <f aca="false">IF($J281=1,MAX(Cx_1*(Ref_P-E281)/Span_P,Cx_2*(Ref_S-F281)/Span_S,Cx_3*(Ref_B-G281)/Span_B),"")</f>
        <v>4.28317373461012</v>
      </c>
    </row>
    <row r="282" customFormat="false" ht="15" hidden="false" customHeight="false" outlineLevel="0" collapsed="false">
      <c r="A282" s="2" t="n">
        <v>276</v>
      </c>
      <c r="B282" s="15" t="n">
        <f aca="false">INT(A282/151)</f>
        <v>1</v>
      </c>
      <c r="C282" s="15" t="n">
        <f aca="false">MOD(A282,151)</f>
        <v>125</v>
      </c>
      <c r="D282" s="15" t="n">
        <f aca="false">INDEX(Grid!$J$6:$P$156,C282+1,B282+1)</f>
        <v>1</v>
      </c>
      <c r="E282" s="16" t="n">
        <f aca="false">IF(D282=1,INDEX(Grid!$B$6:$H$156,C282+1,B282+1),"")</f>
        <v>257.036280432906</v>
      </c>
      <c r="F282" s="13" t="n">
        <f aca="false">Val_pt*(Ceiling_e-E_zero)*(1-(1-Half_gap)^B282)</f>
        <v>70</v>
      </c>
      <c r="G282" s="15" t="n">
        <f aca="false">C282</f>
        <v>125</v>
      </c>
      <c r="H282" s="15" t="n">
        <f aca="false">IF(D282=1,INDEX(Grid!$R$6:$X$156,C282+1,B282+1),"")</f>
        <v>32</v>
      </c>
      <c r="I282" s="2" t="str">
        <f aca="false">IF(D282=1,INDEX(Sch_label,H282+1),"")</f>
        <v>1</v>
      </c>
      <c r="J282" s="15" t="n">
        <f aca="false">IF(D282=1,INDEX(Grid!$Z$6:$AF$156,C282+1,B282+1),0)</f>
        <v>1</v>
      </c>
      <c r="K282" s="16" t="n">
        <f aca="false">IF(J282=1,E282,0)</f>
        <v>257.036280432906</v>
      </c>
      <c r="L282" s="17" t="n">
        <f aca="false">IF(D282=1,E282+W_board*F282,"")</f>
        <v>652.16803147055</v>
      </c>
      <c r="M282" s="24" t="n">
        <v>0</v>
      </c>
      <c r="Q282" s="24" t="n">
        <v>1</v>
      </c>
      <c r="R282" s="24" t="n">
        <v>150</v>
      </c>
      <c r="S282" s="25" t="n">
        <v>0.537572838976187</v>
      </c>
      <c r="T282" s="24" t="n">
        <v>2</v>
      </c>
      <c r="U282" s="24" t="n">
        <v>100</v>
      </c>
      <c r="V282" s="25" t="n">
        <v>0.462427161023811</v>
      </c>
      <c r="Z282" s="12" t="str">
        <f aca="false">IF(AND($J282=1,$M282=1),N282*E282/Span_P+O282*F282/Span_S+P282*G282/Span_B,"")</f>
        <v/>
      </c>
      <c r="AA282" s="12" t="str">
        <f aca="false">IF(AND($J282=1,$M282=1),SUMPRODUCT(MAX($J$6:$J$1062*(N282*$K$6:$K$1062/Span_P+O282*$F$6:$F$1062/Span_S+P282*$G$6:$G$1062/Span_B)-(1-$J$6:$J$1062)*1000000000)),"")</f>
        <v/>
      </c>
      <c r="AB282" s="15" t="str">
        <f aca="false">IF(AND($J282=1,$M282=1),IF(AA282-Z282&lt;=0.000000001,1,0),"")</f>
        <v/>
      </c>
      <c r="AC282" s="13" t="n">
        <f aca="false">IF(AND($J282=1,$M282=0),IF(S282="",0,S282*INDEX(Grid!$B$6:$H$156,R282+1,Q282+1))+IF(V282="",0,V282*INDEX(Grid!$B$6:$H$156,U282+1,T282+1))+IF(Y282="",0,Y282*INDEX(Grid!$B$6:$H$156,X282+1,W282+1)),"")</f>
        <v>261.571510940564</v>
      </c>
      <c r="AD282" s="13" t="n">
        <f aca="false">IF(AND($J282=1,$M282=0),IF(S282="",0,S282*Val_pt*(Ceiling_e-E_zero)*(1-(1-Half_gap)^Q282))+IF(V282="",0,V282*Val_pt*(Ceiling_e-E_zero)*(1-(1-Half_gap)^T282))+IF(Y282="",0,Y282*Val_pt*(Ceiling_e-E_zero)*(1-(1-Half_gap)^W282)),"")</f>
        <v>86.1849506358332</v>
      </c>
      <c r="AE282" s="13" t="n">
        <f aca="false">IF(AND($J282=1,$M282=0),IF(S282="",0,S282*R282)+IF(V282="",0,V282*U282)+IF(Y282="",0,Y282*X282),"")</f>
        <v>126.878641948809</v>
      </c>
      <c r="AF282" s="12" t="n">
        <f aca="false">IF(AND($J282=1,$M282=0),MIN((AC282-E282)/Span_P,(AD282-F282)/Span_S,(AE282-G282)/Span_B),"")</f>
        <v>0.0125242796587276</v>
      </c>
      <c r="AG282" s="15" t="n">
        <f aca="false">IF(AND($J282=1,$M282=0),IF(AF282&gt;0.0000001,1,0),"")</f>
        <v>1</v>
      </c>
      <c r="AH282" s="15" t="n">
        <f aca="false">IF($J282=1,IF($M282=1,AB282,AG282),"")</f>
        <v>1</v>
      </c>
      <c r="AI282" s="13" t="n">
        <f aca="false">IF($J282=1,(Ideal_P-E282)/Span_P,"")</f>
        <v>0.351095725164863</v>
      </c>
      <c r="AJ282" s="13" t="n">
        <f aca="false">IF($J282=1,(Ideal_S-F282)/Span_S,"")</f>
        <v>1</v>
      </c>
      <c r="AK282" s="13" t="n">
        <f aca="false">IF($J282=1,(Ideal_B-G282)/Span_B,"")</f>
        <v>0.166666666666667</v>
      </c>
      <c r="AL282" s="12" t="n">
        <f aca="false">IF($J282=1,MAX(ChA_1*AI282,ChA_2*AJ282,ChA_3*AK282)+Rho*(ChA_1*AI282+ChA_2*AJ282+ChA_3*AK282),"")</f>
        <v>1.00015177623918</v>
      </c>
      <c r="AM282" s="12" t="n">
        <f aca="false">IF($J282=1,MAX(ChB_1*AI282,ChB_2*AJ282,ChB_3*AK282)+Rho*(ChB_1*AI282+ChB_2*AJ282+ChB_3*AK282),"")</f>
        <v>1.0001868858117</v>
      </c>
      <c r="AN282" s="12" t="n">
        <f aca="false">IF($J282=1,MAX(Cx_1*(Ref_P-E282)/Span_P,Cx_2*(Ref_S-F282)/Span_S,Cx_3*(Ref_B-G282)/Span_B),"")</f>
        <v>4.28317373461012</v>
      </c>
    </row>
    <row r="283" customFormat="false" ht="15" hidden="false" customHeight="false" outlineLevel="0" collapsed="false">
      <c r="A283" s="2" t="n">
        <v>277</v>
      </c>
      <c r="B283" s="15" t="n">
        <f aca="false">INT(A283/151)</f>
        <v>1</v>
      </c>
      <c r="C283" s="15" t="n">
        <f aca="false">MOD(A283,151)</f>
        <v>126</v>
      </c>
      <c r="D283" s="15" t="n">
        <f aca="false">INDEX(Grid!$J$6:$P$156,C283+1,B283+1)</f>
        <v>1</v>
      </c>
      <c r="E283" s="16" t="n">
        <f aca="false">IF(D283=1,INDEX(Grid!$B$6:$H$156,C283+1,B283+1),"")</f>
        <v>256.127189523815</v>
      </c>
      <c r="F283" s="13" t="n">
        <f aca="false">Val_pt*(Ceiling_e-E_zero)*(1-(1-Half_gap)^B283)</f>
        <v>70</v>
      </c>
      <c r="G283" s="15" t="n">
        <f aca="false">C283</f>
        <v>126</v>
      </c>
      <c r="H283" s="15" t="n">
        <f aca="false">IF(D283=1,INDEX(Grid!$R$6:$X$156,C283+1,B283+1),"")</f>
        <v>32</v>
      </c>
      <c r="I283" s="2" t="str">
        <f aca="false">IF(D283=1,INDEX(Sch_label,H283+1),"")</f>
        <v>1</v>
      </c>
      <c r="J283" s="15" t="n">
        <f aca="false">IF(D283=1,INDEX(Grid!$Z$6:$AF$156,C283+1,B283+1),0)</f>
        <v>1</v>
      </c>
      <c r="K283" s="16" t="n">
        <f aca="false">IF(J283=1,E283,0)</f>
        <v>256.127189523815</v>
      </c>
      <c r="L283" s="17" t="n">
        <f aca="false">IF(D283=1,E283+W_board*F283,"")</f>
        <v>651.258940561459</v>
      </c>
      <c r="M283" s="24" t="n">
        <v>0</v>
      </c>
      <c r="Q283" s="24" t="n">
        <v>1</v>
      </c>
      <c r="R283" s="24" t="n">
        <v>150</v>
      </c>
      <c r="S283" s="25" t="n">
        <v>0.556069925417142</v>
      </c>
      <c r="T283" s="24" t="n">
        <v>2</v>
      </c>
      <c r="U283" s="24" t="n">
        <v>100</v>
      </c>
      <c r="V283" s="25" t="n">
        <v>0.44393007458286</v>
      </c>
      <c r="Z283" s="12" t="str">
        <f aca="false">IF(AND($J283=1,$M283=1),N283*E283/Span_P+O283*F283/Span_S+P283*G283/Span_B,"")</f>
        <v/>
      </c>
      <c r="AA283" s="12" t="str">
        <f aca="false">IF(AND($J283=1,$M283=1),SUMPRODUCT(MAX($J$6:$J$1062*(N283*$K$6:$K$1062/Span_P+O283*$F$6:$F$1062/Span_S+P283*$G$6:$G$1062/Span_B)-(1-$J$6:$J$1062)*1000000000)),"")</f>
        <v/>
      </c>
      <c r="AB283" s="15" t="str">
        <f aca="false">IF(AND($J283=1,$M283=1),IF(AA283-Z283&lt;=0.000000001,1,0),"")</f>
        <v/>
      </c>
      <c r="AC283" s="13" t="n">
        <f aca="false">IF(AND($J283=1,$M283=0),IF(S283="",0,S283*INDEX(Grid!$B$6:$H$156,R283+1,Q283+1))+IF(V283="",0,V283*INDEX(Grid!$B$6:$H$156,U283+1,T283+1))+IF(Y283="",0,Y283*INDEX(Grid!$B$6:$H$156,X283+1,W283+1)),"")</f>
        <v>260.481010811168</v>
      </c>
      <c r="AD283" s="13" t="n">
        <f aca="false">IF(AND($J283=1,$M283=0),IF(S283="",0,S283*Val_pt*(Ceiling_e-E_zero)*(1-(1-Half_gap)^Q283))+IF(V283="",0,V283*Val_pt*(Ceiling_e-E_zero)*(1-(1-Half_gap)^T283))+IF(Y283="",0,Y283*Val_pt*(Ceiling_e-E_zero)*(1-(1-Half_gap)^W283)),"")</f>
        <v>85.5375526104002</v>
      </c>
      <c r="AE283" s="13" t="n">
        <f aca="false">IF(AND($J283=1,$M283=0),IF(S283="",0,S283*R283)+IF(V283="",0,V283*U283)+IF(Y283="",0,Y283*X283),"")</f>
        <v>127.803496270857</v>
      </c>
      <c r="AF283" s="12" t="n">
        <f aca="false">IF(AND($J283=1,$M283=0),MIN((AC283-E283)/Span_P,(AD283-F283)/Span_S,(AE283-G283)/Span_B),"")</f>
        <v>0.0120233084723809</v>
      </c>
      <c r="AG283" s="15" t="n">
        <f aca="false">IF(AND($J283=1,$M283=0),IF(AF283&gt;0.0000001,1,0),"")</f>
        <v>1</v>
      </c>
      <c r="AH283" s="15" t="n">
        <f aca="false">IF($J283=1,IF($M283=1,AB283,AG283),"")</f>
        <v>1</v>
      </c>
      <c r="AI283" s="13" t="n">
        <f aca="false">IF($J283=1,(Ideal_P-E283)/Span_P,"")</f>
        <v>0.353606227941169</v>
      </c>
      <c r="AJ283" s="13" t="n">
        <f aca="false">IF($J283=1,(Ideal_S-F283)/Span_S,"")</f>
        <v>1</v>
      </c>
      <c r="AK283" s="13" t="n">
        <f aca="false">IF($J283=1,(Ideal_B-G283)/Span_B,"")</f>
        <v>0.16</v>
      </c>
      <c r="AL283" s="12" t="n">
        <f aca="false">IF($J283=1,MAX(ChA_1*AI283,ChA_2*AJ283,ChA_3*AK283)+Rho*(ChA_1*AI283+ChA_2*AJ283+ChA_3*AK283),"")</f>
        <v>1.00015136062279</v>
      </c>
      <c r="AM283" s="12" t="n">
        <f aca="false">IF($J283=1,MAX(ChB_1*AI283,ChB_2*AJ283,ChB_3*AK283)+Rho*(ChB_1*AI283+ChB_2*AJ283+ChB_3*AK283),"")</f>
        <v>1.00018672124559</v>
      </c>
      <c r="AN283" s="12" t="n">
        <f aca="false">IF($J283=1,MAX(Cx_1*(Ref_P-E283)/Span_P,Cx_2*(Ref_S-F283)/Span_S,Cx_3*(Ref_B-G283)/Span_B),"")</f>
        <v>4.28317373461012</v>
      </c>
    </row>
    <row r="284" customFormat="false" ht="15" hidden="false" customHeight="false" outlineLevel="0" collapsed="false">
      <c r="A284" s="2" t="n">
        <v>278</v>
      </c>
      <c r="B284" s="15" t="n">
        <f aca="false">INT(A284/151)</f>
        <v>1</v>
      </c>
      <c r="C284" s="15" t="n">
        <f aca="false">MOD(A284,151)</f>
        <v>127</v>
      </c>
      <c r="D284" s="15" t="n">
        <f aca="false">INDEX(Grid!$J$6:$P$156,C284+1,B284+1)</f>
        <v>1</v>
      </c>
      <c r="E284" s="16" t="n">
        <f aca="false">IF(D284=1,INDEX(Grid!$B$6:$H$156,C284+1,B284+1),"")</f>
        <v>255.218098614725</v>
      </c>
      <c r="F284" s="13" t="n">
        <f aca="false">Val_pt*(Ceiling_e-E_zero)*(1-(1-Half_gap)^B284)</f>
        <v>70</v>
      </c>
      <c r="G284" s="15" t="n">
        <f aca="false">C284</f>
        <v>127</v>
      </c>
      <c r="H284" s="15" t="n">
        <f aca="false">IF(D284=1,INDEX(Grid!$R$6:$X$156,C284+1,B284+1),"")</f>
        <v>32</v>
      </c>
      <c r="I284" s="2" t="str">
        <f aca="false">IF(D284=1,INDEX(Sch_label,H284+1),"")</f>
        <v>1</v>
      </c>
      <c r="J284" s="15" t="n">
        <f aca="false">IF(D284=1,INDEX(Grid!$Z$6:$AF$156,C284+1,B284+1),0)</f>
        <v>1</v>
      </c>
      <c r="K284" s="16" t="n">
        <f aca="false">IF(J284=1,E284,0)</f>
        <v>255.218098614725</v>
      </c>
      <c r="L284" s="17" t="n">
        <f aca="false">IF(D284=1,E284+W_board*F284,"")</f>
        <v>650.349849652369</v>
      </c>
      <c r="M284" s="24" t="n">
        <v>0</v>
      </c>
      <c r="Q284" s="24" t="n">
        <v>1</v>
      </c>
      <c r="R284" s="24" t="n">
        <v>150</v>
      </c>
      <c r="S284" s="25" t="n">
        <v>0.574567011858092</v>
      </c>
      <c r="T284" s="24" t="n">
        <v>2</v>
      </c>
      <c r="U284" s="24" t="n">
        <v>100</v>
      </c>
      <c r="V284" s="25" t="n">
        <v>0.425432988141907</v>
      </c>
      <c r="Z284" s="12" t="str">
        <f aca="false">IF(AND($J284=1,$M284=1),N284*E284/Span_P+O284*F284/Span_S+P284*G284/Span_B,"")</f>
        <v/>
      </c>
      <c r="AA284" s="12" t="str">
        <f aca="false">IF(AND($J284=1,$M284=1),SUMPRODUCT(MAX($J$6:$J$1062*(N284*$K$6:$K$1062/Span_P+O284*$F$6:$F$1062/Span_S+P284*$G$6:$G$1062/Span_B)-(1-$J$6:$J$1062)*1000000000)),"")</f>
        <v/>
      </c>
      <c r="AB284" s="15" t="str">
        <f aca="false">IF(AND($J284=1,$M284=1),IF(AA284-Z284&lt;=0.000000001,1,0),"")</f>
        <v/>
      </c>
      <c r="AC284" s="13" t="n">
        <f aca="false">IF(AND($J284=1,$M284=0),IF(S284="",0,S284*INDEX(Grid!$B$6:$H$156,R284+1,Q284+1))+IF(V284="",0,V284*INDEX(Grid!$B$6:$H$156,U284+1,T284+1))+IF(Y284="",0,Y284*INDEX(Grid!$B$6:$H$156,X284+1,W284+1)),"")</f>
        <v>259.39051068177</v>
      </c>
      <c r="AD284" s="13" t="n">
        <f aca="false">IF(AND($J284=1,$M284=0),IF(S284="",0,S284*Val_pt*(Ceiling_e-E_zero)*(1-(1-Half_gap)^Q284))+IF(V284="",0,V284*Val_pt*(Ceiling_e-E_zero)*(1-(1-Half_gap)^T284))+IF(Y284="",0,Y284*Val_pt*(Ceiling_e-E_zero)*(1-(1-Half_gap)^W284)),"")</f>
        <v>84.8901545849667</v>
      </c>
      <c r="AE284" s="13" t="n">
        <f aca="false">IF(AND($J284=1,$M284=0),IF(S284="",0,S284*R284)+IF(V284="",0,V284*U284)+IF(Y284="",0,Y284*X284),"")</f>
        <v>128.728350592905</v>
      </c>
      <c r="AF284" s="12" t="n">
        <f aca="false">IF(AND($J284=1,$M284=0),MIN((AC284-E284)/Span_P,(AD284-F284)/Span_S,(AE284-G284)/Span_B),"")</f>
        <v>0.0115223372860301</v>
      </c>
      <c r="AG284" s="15" t="n">
        <f aca="false">IF(AND($J284=1,$M284=0),IF(AF284&gt;0.0000001,1,0),"")</f>
        <v>1</v>
      </c>
      <c r="AH284" s="15" t="n">
        <f aca="false">IF($J284=1,IF($M284=1,AB284,AG284),"")</f>
        <v>1</v>
      </c>
      <c r="AI284" s="13" t="n">
        <f aca="false">IF($J284=1,(Ideal_P-E284)/Span_P,"")</f>
        <v>0.356116730717475</v>
      </c>
      <c r="AJ284" s="13" t="n">
        <f aca="false">IF($J284=1,(Ideal_S-F284)/Span_S,"")</f>
        <v>1</v>
      </c>
      <c r="AK284" s="13" t="n">
        <f aca="false">IF($J284=1,(Ideal_B-G284)/Span_B,"")</f>
        <v>0.153333333333333</v>
      </c>
      <c r="AL284" s="12" t="n">
        <f aca="false">IF($J284=1,MAX(ChA_1*AI284,ChA_2*AJ284,ChA_3*AK284)+Rho*(ChA_1*AI284+ChA_2*AJ284+ChA_3*AK284),"")</f>
        <v>1.00015094500641</v>
      </c>
      <c r="AM284" s="12" t="n">
        <f aca="false">IF($J284=1,MAX(ChB_1*AI284,ChB_2*AJ284,ChB_3*AK284)+Rho*(ChB_1*AI284+ChB_2*AJ284+ChB_3*AK284),"")</f>
        <v>1.00018655667948</v>
      </c>
      <c r="AN284" s="12" t="n">
        <f aca="false">IF($J284=1,MAX(Cx_1*(Ref_P-E284)/Span_P,Cx_2*(Ref_S-F284)/Span_S,Cx_3*(Ref_B-G284)/Span_B),"")</f>
        <v>4.28317373461012</v>
      </c>
    </row>
    <row r="285" customFormat="false" ht="15" hidden="false" customHeight="false" outlineLevel="0" collapsed="false">
      <c r="A285" s="2" t="n">
        <v>279</v>
      </c>
      <c r="B285" s="15" t="n">
        <f aca="false">INT(A285/151)</f>
        <v>1</v>
      </c>
      <c r="C285" s="15" t="n">
        <f aca="false">MOD(A285,151)</f>
        <v>128</v>
      </c>
      <c r="D285" s="15" t="n">
        <f aca="false">INDEX(Grid!$J$6:$P$156,C285+1,B285+1)</f>
        <v>1</v>
      </c>
      <c r="E285" s="16" t="n">
        <f aca="false">IF(D285=1,INDEX(Grid!$B$6:$H$156,C285+1,B285+1),"")</f>
        <v>254.309007705634</v>
      </c>
      <c r="F285" s="13" t="n">
        <f aca="false">Val_pt*(Ceiling_e-E_zero)*(1-(1-Half_gap)^B285)</f>
        <v>70</v>
      </c>
      <c r="G285" s="15" t="n">
        <f aca="false">C285</f>
        <v>128</v>
      </c>
      <c r="H285" s="15" t="n">
        <f aca="false">IF(D285=1,INDEX(Grid!$R$6:$X$156,C285+1,B285+1),"")</f>
        <v>32</v>
      </c>
      <c r="I285" s="2" t="str">
        <f aca="false">IF(D285=1,INDEX(Sch_label,H285+1),"")</f>
        <v>1</v>
      </c>
      <c r="J285" s="15" t="n">
        <f aca="false">IF(D285=1,INDEX(Grid!$Z$6:$AF$156,C285+1,B285+1),0)</f>
        <v>1</v>
      </c>
      <c r="K285" s="16" t="n">
        <f aca="false">IF(J285=1,E285,0)</f>
        <v>254.309007705634</v>
      </c>
      <c r="L285" s="17" t="n">
        <f aca="false">IF(D285=1,E285+W_board*F285,"")</f>
        <v>649.440758743278</v>
      </c>
      <c r="M285" s="24" t="n">
        <v>0</v>
      </c>
      <c r="Q285" s="24" t="n">
        <v>1</v>
      </c>
      <c r="R285" s="24" t="n">
        <v>150</v>
      </c>
      <c r="S285" s="25" t="n">
        <v>0.593064098299046</v>
      </c>
      <c r="T285" s="24" t="n">
        <v>2</v>
      </c>
      <c r="U285" s="24" t="n">
        <v>100</v>
      </c>
      <c r="V285" s="25" t="n">
        <v>0.406935901700955</v>
      </c>
      <c r="Z285" s="12" t="str">
        <f aca="false">IF(AND($J285=1,$M285=1),N285*E285/Span_P+O285*F285/Span_S+P285*G285/Span_B,"")</f>
        <v/>
      </c>
      <c r="AA285" s="12" t="str">
        <f aca="false">IF(AND($J285=1,$M285=1),SUMPRODUCT(MAX($J$6:$J$1062*(N285*$K$6:$K$1062/Span_P+O285*$F$6:$F$1062/Span_S+P285*$G$6:$G$1062/Span_B)-(1-$J$6:$J$1062)*1000000000)),"")</f>
        <v/>
      </c>
      <c r="AB285" s="15" t="str">
        <f aca="false">IF(AND($J285=1,$M285=1),IF(AA285-Z285&lt;=0.000000001,1,0),"")</f>
        <v/>
      </c>
      <c r="AC285" s="13" t="n">
        <f aca="false">IF(AND($J285=1,$M285=0),IF(S285="",0,S285*INDEX(Grid!$B$6:$H$156,R285+1,Q285+1))+IF(V285="",0,V285*INDEX(Grid!$B$6:$H$156,U285+1,T285+1))+IF(Y285="",0,Y285*INDEX(Grid!$B$6:$H$156,X285+1,W285+1)),"")</f>
        <v>258.300010552373</v>
      </c>
      <c r="AD285" s="13" t="n">
        <f aca="false">IF(AND($J285=1,$M285=0),IF(S285="",0,S285*Val_pt*(Ceiling_e-E_zero)*(1-(1-Half_gap)^Q285))+IF(V285="",0,V285*Val_pt*(Ceiling_e-E_zero)*(1-(1-Half_gap)^T285))+IF(Y285="",0,Y285*Val_pt*(Ceiling_e-E_zero)*(1-(1-Half_gap)^W285)),"")</f>
        <v>84.2427565595335</v>
      </c>
      <c r="AE285" s="13" t="n">
        <f aca="false">IF(AND($J285=1,$M285=0),IF(S285="",0,S285*R285)+IF(V285="",0,V285*U285)+IF(Y285="",0,Y285*X285),"")</f>
        <v>129.653204914952</v>
      </c>
      <c r="AF285" s="12" t="n">
        <f aca="false">IF(AND($J285=1,$M285=0),MIN((AC285-E285)/Span_P,(AD285-F285)/Span_S,(AE285-G285)/Span_B),"")</f>
        <v>0.0110213660996823</v>
      </c>
      <c r="AG285" s="15" t="n">
        <f aca="false">IF(AND($J285=1,$M285=0),IF(AF285&gt;0.0000001,1,0),"")</f>
        <v>1</v>
      </c>
      <c r="AH285" s="15" t="n">
        <f aca="false">IF($J285=1,IF($M285=1,AB285,AG285),"")</f>
        <v>1</v>
      </c>
      <c r="AI285" s="13" t="n">
        <f aca="false">IF($J285=1,(Ideal_P-E285)/Span_P,"")</f>
        <v>0.358627233493781</v>
      </c>
      <c r="AJ285" s="13" t="n">
        <f aca="false">IF($J285=1,(Ideal_S-F285)/Span_S,"")</f>
        <v>1</v>
      </c>
      <c r="AK285" s="13" t="n">
        <f aca="false">IF($J285=1,(Ideal_B-G285)/Span_B,"")</f>
        <v>0.146666666666667</v>
      </c>
      <c r="AL285" s="12" t="n">
        <f aca="false">IF($J285=1,MAX(ChA_1*AI285,ChA_2*AJ285,ChA_3*AK285)+Rho*(ChA_1*AI285+ChA_2*AJ285+ChA_3*AK285),"")</f>
        <v>1.00015052939002</v>
      </c>
      <c r="AM285" s="12" t="n">
        <f aca="false">IF($J285=1,MAX(ChB_1*AI285,ChB_2*AJ285,ChB_3*AK285)+Rho*(ChB_1*AI285+ChB_2*AJ285+ChB_3*AK285),"")</f>
        <v>1.00018639211337</v>
      </c>
      <c r="AN285" s="12" t="n">
        <f aca="false">IF($J285=1,MAX(Cx_1*(Ref_P-E285)/Span_P,Cx_2*(Ref_S-F285)/Span_S,Cx_3*(Ref_B-G285)/Span_B),"")</f>
        <v>4.28317373461012</v>
      </c>
    </row>
    <row r="286" customFormat="false" ht="15" hidden="false" customHeight="false" outlineLevel="0" collapsed="false">
      <c r="A286" s="2" t="n">
        <v>280</v>
      </c>
      <c r="B286" s="15" t="n">
        <f aca="false">INT(A286/151)</f>
        <v>1</v>
      </c>
      <c r="C286" s="15" t="n">
        <f aca="false">MOD(A286,151)</f>
        <v>129</v>
      </c>
      <c r="D286" s="15" t="n">
        <f aca="false">INDEX(Grid!$J$6:$P$156,C286+1,B286+1)</f>
        <v>1</v>
      </c>
      <c r="E286" s="16" t="n">
        <f aca="false">IF(D286=1,INDEX(Grid!$B$6:$H$156,C286+1,B286+1),"")</f>
        <v>253.399916796543</v>
      </c>
      <c r="F286" s="13" t="n">
        <f aca="false">Val_pt*(Ceiling_e-E_zero)*(1-(1-Half_gap)^B286)</f>
        <v>70</v>
      </c>
      <c r="G286" s="15" t="n">
        <f aca="false">C286</f>
        <v>129</v>
      </c>
      <c r="H286" s="15" t="n">
        <f aca="false">IF(D286=1,INDEX(Grid!$R$6:$X$156,C286+1,B286+1),"")</f>
        <v>32</v>
      </c>
      <c r="I286" s="2" t="str">
        <f aca="false">IF(D286=1,INDEX(Sch_label,H286+1),"")</f>
        <v>1</v>
      </c>
      <c r="J286" s="15" t="n">
        <f aca="false">IF(D286=1,INDEX(Grid!$Z$6:$AF$156,C286+1,B286+1),0)</f>
        <v>1</v>
      </c>
      <c r="K286" s="16" t="n">
        <f aca="false">IF(J286=1,E286,0)</f>
        <v>253.399916796543</v>
      </c>
      <c r="L286" s="17" t="n">
        <f aca="false">IF(D286=1,E286+W_board*F286,"")</f>
        <v>648.531667834187</v>
      </c>
      <c r="M286" s="24" t="n">
        <v>0</v>
      </c>
      <c r="Q286" s="24" t="n">
        <v>1</v>
      </c>
      <c r="R286" s="24" t="n">
        <v>150</v>
      </c>
      <c r="S286" s="25" t="n">
        <v>0.611561184739992</v>
      </c>
      <c r="T286" s="24" t="n">
        <v>2</v>
      </c>
      <c r="U286" s="24" t="n">
        <v>100</v>
      </c>
      <c r="V286" s="25" t="n">
        <v>0.388438815260003</v>
      </c>
      <c r="Z286" s="12" t="str">
        <f aca="false">IF(AND($J286=1,$M286=1),N286*E286/Span_P+O286*F286/Span_S+P286*G286/Span_B,"")</f>
        <v/>
      </c>
      <c r="AA286" s="12" t="str">
        <f aca="false">IF(AND($J286=1,$M286=1),SUMPRODUCT(MAX($J$6:$J$1062*(N286*$K$6:$K$1062/Span_P+O286*$F$6:$F$1062/Span_S+P286*$G$6:$G$1062/Span_B)-(1-$J$6:$J$1062)*1000000000)),"")</f>
        <v/>
      </c>
      <c r="AB286" s="15" t="str">
        <f aca="false">IF(AND($J286=1,$M286=1),IF(AA286-Z286&lt;=0.000000001,1,0),"")</f>
        <v/>
      </c>
      <c r="AC286" s="13" t="n">
        <f aca="false">IF(AND($J286=1,$M286=0),IF(S286="",0,S286*INDEX(Grid!$B$6:$H$156,R286+1,Q286+1))+IF(V286="",0,V286*INDEX(Grid!$B$6:$H$156,U286+1,T286+1))+IF(Y286="",0,Y286*INDEX(Grid!$B$6:$H$156,X286+1,W286+1)),"")</f>
        <v>257.209510422975</v>
      </c>
      <c r="AD286" s="13" t="n">
        <f aca="false">IF(AND($J286=1,$M286=0),IF(S286="",0,S286*Val_pt*(Ceiling_e-E_zero)*(1-(1-Half_gap)^Q286))+IF(V286="",0,V286*Val_pt*(Ceiling_e-E_zero)*(1-(1-Half_gap)^T286))+IF(Y286="",0,Y286*Val_pt*(Ceiling_e-E_zero)*(1-(1-Half_gap)^W286)),"")</f>
        <v>83.5953585340997</v>
      </c>
      <c r="AE286" s="13" t="n">
        <f aca="false">IF(AND($J286=1,$M286=0),IF(S286="",0,S286*R286)+IF(V286="",0,V286*U286)+IF(Y286="",0,Y286*X286),"")</f>
        <v>130.578059236999</v>
      </c>
      <c r="AF286" s="12" t="n">
        <f aca="false">IF(AND($J286=1,$M286=0),MIN((AC286-E286)/Span_P,(AD286-F286)/Span_S,(AE286-G286)/Span_B),"")</f>
        <v>0.0105203949133276</v>
      </c>
      <c r="AG286" s="15" t="n">
        <f aca="false">IF(AND($J286=1,$M286=0),IF(AF286&gt;0.0000001,1,0),"")</f>
        <v>1</v>
      </c>
      <c r="AH286" s="15" t="n">
        <f aca="false">IF($J286=1,IF($M286=1,AB286,AG286),"")</f>
        <v>1</v>
      </c>
      <c r="AI286" s="13" t="n">
        <f aca="false">IF($J286=1,(Ideal_P-E286)/Span_P,"")</f>
        <v>0.361137736270086</v>
      </c>
      <c r="AJ286" s="13" t="n">
        <f aca="false">IF($J286=1,(Ideal_S-F286)/Span_S,"")</f>
        <v>1</v>
      </c>
      <c r="AK286" s="13" t="n">
        <f aca="false">IF($J286=1,(Ideal_B-G286)/Span_B,"")</f>
        <v>0.14</v>
      </c>
      <c r="AL286" s="12" t="n">
        <f aca="false">IF($J286=1,MAX(ChA_1*AI286,ChA_2*AJ286,ChA_3*AK286)+Rho*(ChA_1*AI286+ChA_2*AJ286+ChA_3*AK286),"")</f>
        <v>1.00015011377363</v>
      </c>
      <c r="AM286" s="12" t="n">
        <f aca="false">IF($J286=1,MAX(ChB_1*AI286,ChB_2*AJ286,ChB_3*AK286)+Rho*(ChB_1*AI286+ChB_2*AJ286+ChB_3*AK286),"")</f>
        <v>1.00018622754725</v>
      </c>
      <c r="AN286" s="12" t="n">
        <f aca="false">IF($J286=1,MAX(Cx_1*(Ref_P-E286)/Span_P,Cx_2*(Ref_S-F286)/Span_S,Cx_3*(Ref_B-G286)/Span_B),"")</f>
        <v>4.28317373461012</v>
      </c>
    </row>
    <row r="287" customFormat="false" ht="15" hidden="false" customHeight="false" outlineLevel="0" collapsed="false">
      <c r="A287" s="2" t="n">
        <v>281</v>
      </c>
      <c r="B287" s="15" t="n">
        <f aca="false">INT(A287/151)</f>
        <v>1</v>
      </c>
      <c r="C287" s="15" t="n">
        <f aca="false">MOD(A287,151)</f>
        <v>130</v>
      </c>
      <c r="D287" s="15" t="n">
        <f aca="false">INDEX(Grid!$J$6:$P$156,C287+1,B287+1)</f>
        <v>1</v>
      </c>
      <c r="E287" s="16" t="n">
        <f aca="false">IF(D287=1,INDEX(Grid!$B$6:$H$156,C287+1,B287+1),"")</f>
        <v>252.490825887452</v>
      </c>
      <c r="F287" s="13" t="n">
        <f aca="false">Val_pt*(Ceiling_e-E_zero)*(1-(1-Half_gap)^B287)</f>
        <v>70</v>
      </c>
      <c r="G287" s="15" t="n">
        <f aca="false">C287</f>
        <v>130</v>
      </c>
      <c r="H287" s="15" t="n">
        <f aca="false">IF(D287=1,INDEX(Grid!$R$6:$X$156,C287+1,B287+1),"")</f>
        <v>32</v>
      </c>
      <c r="I287" s="2" t="str">
        <f aca="false">IF(D287=1,INDEX(Sch_label,H287+1),"")</f>
        <v>1</v>
      </c>
      <c r="J287" s="15" t="n">
        <f aca="false">IF(D287=1,INDEX(Grid!$Z$6:$AF$156,C287+1,B287+1),0)</f>
        <v>1</v>
      </c>
      <c r="K287" s="16" t="n">
        <f aca="false">IF(J287=1,E287,0)</f>
        <v>252.490825887452</v>
      </c>
      <c r="L287" s="17" t="n">
        <f aca="false">IF(D287=1,E287+W_board*F287,"")</f>
        <v>647.622576925096</v>
      </c>
      <c r="M287" s="24" t="n">
        <v>0</v>
      </c>
      <c r="Q287" s="24" t="n">
        <v>1</v>
      </c>
      <c r="R287" s="24" t="n">
        <v>150</v>
      </c>
      <c r="S287" s="25" t="n">
        <v>0.63005827118095</v>
      </c>
      <c r="T287" s="24" t="n">
        <v>2</v>
      </c>
      <c r="U287" s="24" t="n">
        <v>100</v>
      </c>
      <c r="V287" s="25" t="n">
        <v>0.36994172881905</v>
      </c>
      <c r="Z287" s="12" t="str">
        <f aca="false">IF(AND($J287=1,$M287=1),N287*E287/Span_P+O287*F287/Span_S+P287*G287/Span_B,"")</f>
        <v/>
      </c>
      <c r="AA287" s="12" t="str">
        <f aca="false">IF(AND($J287=1,$M287=1),SUMPRODUCT(MAX($J$6:$J$1062*(N287*$K$6:$K$1062/Span_P+O287*$F$6:$F$1062/Span_S+P287*$G$6:$G$1062/Span_B)-(1-$J$6:$J$1062)*1000000000)),"")</f>
        <v/>
      </c>
      <c r="AB287" s="15" t="str">
        <f aca="false">IF(AND($J287=1,$M287=1),IF(AA287-Z287&lt;=0.000000001,1,0),"")</f>
        <v/>
      </c>
      <c r="AC287" s="13" t="n">
        <f aca="false">IF(AND($J287=1,$M287=0),IF(S287="",0,S287*INDEX(Grid!$B$6:$H$156,R287+1,Q287+1))+IF(V287="",0,V287*INDEX(Grid!$B$6:$H$156,U287+1,T287+1))+IF(Y287="",0,Y287*INDEX(Grid!$B$6:$H$156,X287+1,W287+1)),"")</f>
        <v>256.119010293578</v>
      </c>
      <c r="AD287" s="13" t="n">
        <f aca="false">IF(AND($J287=1,$M287=0),IF(S287="",0,S287*Val_pt*(Ceiling_e-E_zero)*(1-(1-Half_gap)^Q287))+IF(V287="",0,V287*Val_pt*(Ceiling_e-E_zero)*(1-(1-Half_gap)^T287))+IF(Y287="",0,Y287*Val_pt*(Ceiling_e-E_zero)*(1-(1-Half_gap)^W287)),"")</f>
        <v>82.9479605086667</v>
      </c>
      <c r="AE287" s="13" t="n">
        <f aca="false">IF(AND($J287=1,$M287=0),IF(S287="",0,S287*R287)+IF(V287="",0,V287*U287)+IF(Y287="",0,Y287*X287),"")</f>
        <v>131.502913559048</v>
      </c>
      <c r="AF287" s="12" t="n">
        <f aca="false">IF(AND($J287=1,$M287=0),MIN((AC287-E287)/Span_P,(AD287-F287)/Span_S,(AE287-G287)/Span_B),"")</f>
        <v>0.0100194237269833</v>
      </c>
      <c r="AG287" s="15" t="n">
        <f aca="false">IF(AND($J287=1,$M287=0),IF(AF287&gt;0.0000001,1,0),"")</f>
        <v>1</v>
      </c>
      <c r="AH287" s="15" t="n">
        <f aca="false">IF($J287=1,IF($M287=1,AB287,AG287),"")</f>
        <v>1</v>
      </c>
      <c r="AI287" s="13" t="n">
        <f aca="false">IF($J287=1,(Ideal_P-E287)/Span_P,"")</f>
        <v>0.363648239046392</v>
      </c>
      <c r="AJ287" s="13" t="n">
        <f aca="false">IF($J287=1,(Ideal_S-F287)/Span_S,"")</f>
        <v>1</v>
      </c>
      <c r="AK287" s="13" t="n">
        <f aca="false">IF($J287=1,(Ideal_B-G287)/Span_B,"")</f>
        <v>0.133333333333333</v>
      </c>
      <c r="AL287" s="12" t="n">
        <f aca="false">IF($J287=1,MAX(ChA_1*AI287,ChA_2*AJ287,ChA_3*AK287)+Rho*(ChA_1*AI287+ChA_2*AJ287+ChA_3*AK287),"")</f>
        <v>1.00014969815724</v>
      </c>
      <c r="AM287" s="12" t="n">
        <f aca="false">IF($J287=1,MAX(ChB_1*AI287,ChB_2*AJ287,ChB_3*AK287)+Rho*(ChB_1*AI287+ChB_2*AJ287+ChB_3*AK287),"")</f>
        <v>1.00018606298114</v>
      </c>
      <c r="AN287" s="12" t="n">
        <f aca="false">IF($J287=1,MAX(Cx_1*(Ref_P-E287)/Span_P,Cx_2*(Ref_S-F287)/Span_S,Cx_3*(Ref_B-G287)/Span_B),"")</f>
        <v>4.28317373461012</v>
      </c>
    </row>
    <row r="288" customFormat="false" ht="15" hidden="false" customHeight="false" outlineLevel="0" collapsed="false">
      <c r="A288" s="2" t="n">
        <v>282</v>
      </c>
      <c r="B288" s="15" t="n">
        <f aca="false">INT(A288/151)</f>
        <v>1</v>
      </c>
      <c r="C288" s="15" t="n">
        <f aca="false">MOD(A288,151)</f>
        <v>131</v>
      </c>
      <c r="D288" s="15" t="n">
        <f aca="false">INDEX(Grid!$J$6:$P$156,C288+1,B288+1)</f>
        <v>1</v>
      </c>
      <c r="E288" s="16" t="n">
        <f aca="false">IF(D288=1,INDEX(Grid!$B$6:$H$156,C288+1,B288+1),"")</f>
        <v>251.581734978361</v>
      </c>
      <c r="F288" s="13" t="n">
        <f aca="false">Val_pt*(Ceiling_e-E_zero)*(1-(1-Half_gap)^B288)</f>
        <v>70</v>
      </c>
      <c r="G288" s="15" t="n">
        <f aca="false">C288</f>
        <v>131</v>
      </c>
      <c r="H288" s="15" t="n">
        <f aca="false">IF(D288=1,INDEX(Grid!$R$6:$X$156,C288+1,B288+1),"")</f>
        <v>32</v>
      </c>
      <c r="I288" s="2" t="str">
        <f aca="false">IF(D288=1,INDEX(Sch_label,H288+1),"")</f>
        <v>1</v>
      </c>
      <c r="J288" s="15" t="n">
        <f aca="false">IF(D288=1,INDEX(Grid!$Z$6:$AF$156,C288+1,B288+1),0)</f>
        <v>1</v>
      </c>
      <c r="K288" s="16" t="n">
        <f aca="false">IF(J288=1,E288,0)</f>
        <v>251.581734978361</v>
      </c>
      <c r="L288" s="17" t="n">
        <f aca="false">IF(D288=1,E288+W_board*F288,"")</f>
        <v>646.713486016005</v>
      </c>
      <c r="M288" s="24" t="n">
        <v>0</v>
      </c>
      <c r="Q288" s="24" t="n">
        <v>1</v>
      </c>
      <c r="R288" s="24" t="n">
        <v>150</v>
      </c>
      <c r="S288" s="25" t="n">
        <v>0.648555357621903</v>
      </c>
      <c r="T288" s="24" t="n">
        <v>2</v>
      </c>
      <c r="U288" s="24" t="n">
        <v>100</v>
      </c>
      <c r="V288" s="25" t="n">
        <v>0.351444642378098</v>
      </c>
      <c r="Z288" s="12" t="str">
        <f aca="false">IF(AND($J288=1,$M288=1),N288*E288/Span_P+O288*F288/Span_S+P288*G288/Span_B,"")</f>
        <v/>
      </c>
      <c r="AA288" s="12" t="str">
        <f aca="false">IF(AND($J288=1,$M288=1),SUMPRODUCT(MAX($J$6:$J$1062*(N288*$K$6:$K$1062/Span_P+O288*$F$6:$F$1062/Span_S+P288*$G$6:$G$1062/Span_B)-(1-$J$6:$J$1062)*1000000000)),"")</f>
        <v/>
      </c>
      <c r="AB288" s="15" t="str">
        <f aca="false">IF(AND($J288=1,$M288=1),IF(AA288-Z288&lt;=0.000000001,1,0),"")</f>
        <v/>
      </c>
      <c r="AC288" s="13" t="n">
        <f aca="false">IF(AND($J288=1,$M288=0),IF(S288="",0,S288*INDEX(Grid!$B$6:$H$156,R288+1,Q288+1))+IF(V288="",0,V288*INDEX(Grid!$B$6:$H$156,U288+1,T288+1))+IF(Y288="",0,Y288*INDEX(Grid!$B$6:$H$156,X288+1,W288+1)),"")</f>
        <v>255.028510164182</v>
      </c>
      <c r="AD288" s="13" t="n">
        <f aca="false">IF(AND($J288=1,$M288=0),IF(S288="",0,S288*Val_pt*(Ceiling_e-E_zero)*(1-(1-Half_gap)^Q288))+IF(V288="",0,V288*Val_pt*(Ceiling_e-E_zero)*(1-(1-Half_gap)^T288))+IF(Y288="",0,Y288*Val_pt*(Ceiling_e-E_zero)*(1-(1-Half_gap)^W288)),"")</f>
        <v>82.3005624832335</v>
      </c>
      <c r="AE288" s="13" t="n">
        <f aca="false">IF(AND($J288=1,$M288=0),IF(S288="",0,S288*R288)+IF(V288="",0,V288*U288)+IF(Y288="",0,Y288*X288),"")</f>
        <v>132.427767881095</v>
      </c>
      <c r="AF288" s="12" t="n">
        <f aca="false">IF(AND($J288=1,$M288=0),MIN((AC288-E288)/Span_P,(AD288-F288)/Span_S,(AE288-G288)/Span_B),"")</f>
        <v>0.0095184525406349</v>
      </c>
      <c r="AG288" s="15" t="n">
        <f aca="false">IF(AND($J288=1,$M288=0),IF(AF288&gt;0.0000001,1,0),"")</f>
        <v>1</v>
      </c>
      <c r="AH288" s="15" t="n">
        <f aca="false">IF($J288=1,IF($M288=1,AB288,AG288),"")</f>
        <v>1</v>
      </c>
      <c r="AI288" s="13" t="n">
        <f aca="false">IF($J288=1,(Ideal_P-E288)/Span_P,"")</f>
        <v>0.366158741822698</v>
      </c>
      <c r="AJ288" s="13" t="n">
        <f aca="false">IF($J288=1,(Ideal_S-F288)/Span_S,"")</f>
        <v>1</v>
      </c>
      <c r="AK288" s="13" t="n">
        <f aca="false">IF($J288=1,(Ideal_B-G288)/Span_B,"")</f>
        <v>0.126666666666667</v>
      </c>
      <c r="AL288" s="12" t="n">
        <f aca="false">IF($J288=1,MAX(ChA_1*AI288,ChA_2*AJ288,ChA_3*AK288)+Rho*(ChA_1*AI288+ChA_2*AJ288+ChA_3*AK288),"")</f>
        <v>1.00014928254085</v>
      </c>
      <c r="AM288" s="12" t="n">
        <f aca="false">IF($J288=1,MAX(ChB_1*AI288,ChB_2*AJ288,ChB_3*AK288)+Rho*(ChB_1*AI288+ChB_2*AJ288+ChB_3*AK288),"")</f>
        <v>1.00018589841503</v>
      </c>
      <c r="AN288" s="12" t="n">
        <f aca="false">IF($J288=1,MAX(Cx_1*(Ref_P-E288)/Span_P,Cx_2*(Ref_S-F288)/Span_S,Cx_3*(Ref_B-G288)/Span_B),"")</f>
        <v>4.28317373461012</v>
      </c>
    </row>
    <row r="289" customFormat="false" ht="15" hidden="false" customHeight="false" outlineLevel="0" collapsed="false">
      <c r="A289" s="2" t="n">
        <v>283</v>
      </c>
      <c r="B289" s="15" t="n">
        <f aca="false">INT(A289/151)</f>
        <v>1</v>
      </c>
      <c r="C289" s="15" t="n">
        <f aca="false">MOD(A289,151)</f>
        <v>132</v>
      </c>
      <c r="D289" s="15" t="n">
        <f aca="false">INDEX(Grid!$J$6:$P$156,C289+1,B289+1)</f>
        <v>1</v>
      </c>
      <c r="E289" s="16" t="n">
        <f aca="false">IF(D289=1,INDEX(Grid!$B$6:$H$156,C289+1,B289+1),"")</f>
        <v>250.67264406927</v>
      </c>
      <c r="F289" s="13" t="n">
        <f aca="false">Val_pt*(Ceiling_e-E_zero)*(1-(1-Half_gap)^B289)</f>
        <v>70</v>
      </c>
      <c r="G289" s="15" t="n">
        <f aca="false">C289</f>
        <v>132</v>
      </c>
      <c r="H289" s="15" t="n">
        <f aca="false">IF(D289=1,INDEX(Grid!$R$6:$X$156,C289+1,B289+1),"")</f>
        <v>32</v>
      </c>
      <c r="I289" s="2" t="str">
        <f aca="false">IF(D289=1,INDEX(Sch_label,H289+1),"")</f>
        <v>1</v>
      </c>
      <c r="J289" s="15" t="n">
        <f aca="false">IF(D289=1,INDEX(Grid!$Z$6:$AF$156,C289+1,B289+1),0)</f>
        <v>1</v>
      </c>
      <c r="K289" s="16" t="n">
        <f aca="false">IF(J289=1,E289,0)</f>
        <v>250.67264406927</v>
      </c>
      <c r="L289" s="17" t="n">
        <f aca="false">IF(D289=1,E289+W_board*F289,"")</f>
        <v>645.804395106914</v>
      </c>
      <c r="M289" s="24" t="n">
        <v>0</v>
      </c>
      <c r="Q289" s="24" t="n">
        <v>1</v>
      </c>
      <c r="R289" s="24" t="n">
        <v>150</v>
      </c>
      <c r="S289" s="25" t="n">
        <v>0.667052444062855</v>
      </c>
      <c r="T289" s="24" t="n">
        <v>2</v>
      </c>
      <c r="U289" s="24" t="n">
        <v>100</v>
      </c>
      <c r="V289" s="25" t="n">
        <v>0.332947555937145</v>
      </c>
      <c r="Z289" s="12" t="str">
        <f aca="false">IF(AND($J289=1,$M289=1),N289*E289/Span_P+O289*F289/Span_S+P289*G289/Span_B,"")</f>
        <v/>
      </c>
      <c r="AA289" s="12" t="str">
        <f aca="false">IF(AND($J289=1,$M289=1),SUMPRODUCT(MAX($J$6:$J$1062*(N289*$K$6:$K$1062/Span_P+O289*$F$6:$F$1062/Span_S+P289*$G$6:$G$1062/Span_B)-(1-$J$6:$J$1062)*1000000000)),"")</f>
        <v/>
      </c>
      <c r="AB289" s="15" t="str">
        <f aca="false">IF(AND($J289=1,$M289=1),IF(AA289-Z289&lt;=0.000000001,1,0),"")</f>
        <v/>
      </c>
      <c r="AC289" s="13" t="n">
        <f aca="false">IF(AND($J289=1,$M289=0),IF(S289="",0,S289*INDEX(Grid!$B$6:$H$156,R289+1,Q289+1))+IF(V289="",0,V289*INDEX(Grid!$B$6:$H$156,U289+1,T289+1))+IF(Y289="",0,Y289*INDEX(Grid!$B$6:$H$156,X289+1,W289+1)),"")</f>
        <v>253.938010034784</v>
      </c>
      <c r="AD289" s="13" t="n">
        <f aca="false">IF(AND($J289=1,$M289=0),IF(S289="",0,S289*Val_pt*(Ceiling_e-E_zero)*(1-(1-Half_gap)^Q289))+IF(V289="",0,V289*Val_pt*(Ceiling_e-E_zero)*(1-(1-Half_gap)^T289))+IF(Y289="",0,Y289*Val_pt*(Ceiling_e-E_zero)*(1-(1-Half_gap)^W289)),"")</f>
        <v>81.6531644578001</v>
      </c>
      <c r="AE289" s="13" t="n">
        <f aca="false">IF(AND($J289=1,$M289=0),IF(S289="",0,S289*R289)+IF(V289="",0,V289*U289)+IF(Y289="",0,Y289*X289),"")</f>
        <v>133.352622203143</v>
      </c>
      <c r="AF289" s="12" t="n">
        <f aca="false">IF(AND($J289=1,$M289=0),MIN((AC289-E289)/Span_P,(AD289-F289)/Span_S,(AE289-G289)/Span_B),"")</f>
        <v>0.00901748135428534</v>
      </c>
      <c r="AG289" s="15" t="n">
        <f aca="false">IF(AND($J289=1,$M289=0),IF(AF289&gt;0.0000001,1,0),"")</f>
        <v>1</v>
      </c>
      <c r="AH289" s="15" t="n">
        <f aca="false">IF($J289=1,IF($M289=1,AB289,AG289),"")</f>
        <v>1</v>
      </c>
      <c r="AI289" s="13" t="n">
        <f aca="false">IF($J289=1,(Ideal_P-E289)/Span_P,"")</f>
        <v>0.368669244599004</v>
      </c>
      <c r="AJ289" s="13" t="n">
        <f aca="false">IF($J289=1,(Ideal_S-F289)/Span_S,"")</f>
        <v>1</v>
      </c>
      <c r="AK289" s="13" t="n">
        <f aca="false">IF($J289=1,(Ideal_B-G289)/Span_B,"")</f>
        <v>0.12</v>
      </c>
      <c r="AL289" s="12" t="n">
        <f aca="false">IF($J289=1,MAX(ChA_1*AI289,ChA_2*AJ289,ChA_3*AK289)+Rho*(ChA_1*AI289+ChA_2*AJ289+ChA_3*AK289),"")</f>
        <v>1.00014886692446</v>
      </c>
      <c r="AM289" s="12" t="n">
        <f aca="false">IF($J289=1,MAX(ChB_1*AI289,ChB_2*AJ289,ChB_3*AK289)+Rho*(ChB_1*AI289+ChB_2*AJ289+ChB_3*AK289),"")</f>
        <v>1.00018573384892</v>
      </c>
      <c r="AN289" s="12" t="n">
        <f aca="false">IF($J289=1,MAX(Cx_1*(Ref_P-E289)/Span_P,Cx_2*(Ref_S-F289)/Span_S,Cx_3*(Ref_B-G289)/Span_B),"")</f>
        <v>4.28317373461012</v>
      </c>
    </row>
    <row r="290" customFormat="false" ht="15" hidden="false" customHeight="false" outlineLevel="0" collapsed="false">
      <c r="A290" s="2" t="n">
        <v>284</v>
      </c>
      <c r="B290" s="15" t="n">
        <f aca="false">INT(A290/151)</f>
        <v>1</v>
      </c>
      <c r="C290" s="15" t="n">
        <f aca="false">MOD(A290,151)</f>
        <v>133</v>
      </c>
      <c r="D290" s="15" t="n">
        <f aca="false">INDEX(Grid!$J$6:$P$156,C290+1,B290+1)</f>
        <v>1</v>
      </c>
      <c r="E290" s="16" t="n">
        <f aca="false">IF(D290=1,INDEX(Grid!$B$6:$H$156,C290+1,B290+1),"")</f>
        <v>249.763553160179</v>
      </c>
      <c r="F290" s="13" t="n">
        <f aca="false">Val_pt*(Ceiling_e-E_zero)*(1-(1-Half_gap)^B290)</f>
        <v>70</v>
      </c>
      <c r="G290" s="15" t="n">
        <f aca="false">C290</f>
        <v>133</v>
      </c>
      <c r="H290" s="15" t="n">
        <f aca="false">IF(D290=1,INDEX(Grid!$R$6:$X$156,C290+1,B290+1),"")</f>
        <v>32</v>
      </c>
      <c r="I290" s="2" t="str">
        <f aca="false">IF(D290=1,INDEX(Sch_label,H290+1),"")</f>
        <v>1</v>
      </c>
      <c r="J290" s="15" t="n">
        <f aca="false">IF(D290=1,INDEX(Grid!$Z$6:$AF$156,C290+1,B290+1),0)</f>
        <v>1</v>
      </c>
      <c r="K290" s="16" t="n">
        <f aca="false">IF(J290=1,E290,0)</f>
        <v>249.763553160179</v>
      </c>
      <c r="L290" s="17" t="n">
        <f aca="false">IF(D290=1,E290+W_board*F290,"")</f>
        <v>644.895304197823</v>
      </c>
      <c r="M290" s="24" t="n">
        <v>0</v>
      </c>
      <c r="Q290" s="24" t="n">
        <v>1</v>
      </c>
      <c r="R290" s="24" t="n">
        <v>150</v>
      </c>
      <c r="S290" s="25" t="n">
        <v>0.685549530503808</v>
      </c>
      <c r="T290" s="24" t="n">
        <v>2</v>
      </c>
      <c r="U290" s="24" t="n">
        <v>100</v>
      </c>
      <c r="V290" s="25" t="n">
        <v>0.314450469496193</v>
      </c>
      <c r="Z290" s="12" t="str">
        <f aca="false">IF(AND($J290=1,$M290=1),N290*E290/Span_P+O290*F290/Span_S+P290*G290/Span_B,"")</f>
        <v/>
      </c>
      <c r="AA290" s="12" t="str">
        <f aca="false">IF(AND($J290=1,$M290=1),SUMPRODUCT(MAX($J$6:$J$1062*(N290*$K$6:$K$1062/Span_P+O290*$F$6:$F$1062/Span_S+P290*$G$6:$G$1062/Span_B)-(1-$J$6:$J$1062)*1000000000)),"")</f>
        <v/>
      </c>
      <c r="AB290" s="15" t="str">
        <f aca="false">IF(AND($J290=1,$M290=1),IF(AA290-Z290&lt;=0.000000001,1,0),"")</f>
        <v/>
      </c>
      <c r="AC290" s="13" t="n">
        <f aca="false">IF(AND($J290=1,$M290=0),IF(S290="",0,S290*INDEX(Grid!$B$6:$H$156,R290+1,Q290+1))+IF(V290="",0,V290*INDEX(Grid!$B$6:$H$156,U290+1,T290+1))+IF(Y290="",0,Y290*INDEX(Grid!$B$6:$H$156,X290+1,W290+1)),"")</f>
        <v>252.847509905387</v>
      </c>
      <c r="AD290" s="13" t="n">
        <f aca="false">IF(AND($J290=1,$M290=0),IF(S290="",0,S290*Val_pt*(Ceiling_e-E_zero)*(1-(1-Half_gap)^Q290))+IF(V290="",0,V290*Val_pt*(Ceiling_e-E_zero)*(1-(1-Half_gap)^T290))+IF(Y290="",0,Y290*Val_pt*(Ceiling_e-E_zero)*(1-(1-Half_gap)^W290)),"")</f>
        <v>81.0057664323668</v>
      </c>
      <c r="AE290" s="13" t="n">
        <f aca="false">IF(AND($J290=1,$M290=0),IF(S290="",0,S290*R290)+IF(V290="",0,V290*U290)+IF(Y290="",0,Y290*X290),"")</f>
        <v>134.27747652519</v>
      </c>
      <c r="AF290" s="12" t="n">
        <f aca="false">IF(AND($J290=1,$M290=0),MIN((AC290-E290)/Span_P,(AD290-F290)/Span_S,(AE290-G290)/Span_B),"")</f>
        <v>0.0085165101679364</v>
      </c>
      <c r="AG290" s="15" t="n">
        <f aca="false">IF(AND($J290=1,$M290=0),IF(AF290&gt;0.0000001,1,0),"")</f>
        <v>1</v>
      </c>
      <c r="AH290" s="15" t="n">
        <f aca="false">IF($J290=1,IF($M290=1,AB290,AG290),"")</f>
        <v>1</v>
      </c>
      <c r="AI290" s="13" t="n">
        <f aca="false">IF($J290=1,(Ideal_P-E290)/Span_P,"")</f>
        <v>0.371179747375309</v>
      </c>
      <c r="AJ290" s="13" t="n">
        <f aca="false">IF($J290=1,(Ideal_S-F290)/Span_S,"")</f>
        <v>1</v>
      </c>
      <c r="AK290" s="13" t="n">
        <f aca="false">IF($J290=1,(Ideal_B-G290)/Span_B,"")</f>
        <v>0.113333333333333</v>
      </c>
      <c r="AL290" s="12" t="n">
        <f aca="false">IF($J290=1,MAX(ChA_1*AI290,ChA_2*AJ290,ChA_3*AK290)+Rho*(ChA_1*AI290+ChA_2*AJ290+ChA_3*AK290),"")</f>
        <v>1.00014845130807</v>
      </c>
      <c r="AM290" s="12" t="n">
        <f aca="false">IF($J290=1,MAX(ChB_1*AI290,ChB_2*AJ290,ChB_3*AK290)+Rho*(ChB_1*AI290+ChB_2*AJ290+ChB_3*AK290),"")</f>
        <v>1.00018556928281</v>
      </c>
      <c r="AN290" s="12" t="n">
        <f aca="false">IF($J290=1,MAX(Cx_1*(Ref_P-E290)/Span_P,Cx_2*(Ref_S-F290)/Span_S,Cx_3*(Ref_B-G290)/Span_B),"")</f>
        <v>4.28317373461012</v>
      </c>
    </row>
    <row r="291" customFormat="false" ht="15" hidden="false" customHeight="false" outlineLevel="0" collapsed="false">
      <c r="A291" s="2" t="n">
        <v>285</v>
      </c>
      <c r="B291" s="15" t="n">
        <f aca="false">INT(A291/151)</f>
        <v>1</v>
      </c>
      <c r="C291" s="15" t="n">
        <f aca="false">MOD(A291,151)</f>
        <v>134</v>
      </c>
      <c r="D291" s="15" t="n">
        <f aca="false">INDEX(Grid!$J$6:$P$156,C291+1,B291+1)</f>
        <v>1</v>
      </c>
      <c r="E291" s="16" t="n">
        <f aca="false">IF(D291=1,INDEX(Grid!$B$6:$H$156,C291+1,B291+1),"")</f>
        <v>248.854462251088</v>
      </c>
      <c r="F291" s="13" t="n">
        <f aca="false">Val_pt*(Ceiling_e-E_zero)*(1-(1-Half_gap)^B291)</f>
        <v>70</v>
      </c>
      <c r="G291" s="15" t="n">
        <f aca="false">C291</f>
        <v>134</v>
      </c>
      <c r="H291" s="15" t="n">
        <f aca="false">IF(D291=1,INDEX(Grid!$R$6:$X$156,C291+1,B291+1),"")</f>
        <v>32</v>
      </c>
      <c r="I291" s="2" t="str">
        <f aca="false">IF(D291=1,INDEX(Sch_label,H291+1),"")</f>
        <v>1</v>
      </c>
      <c r="J291" s="15" t="n">
        <f aca="false">IF(D291=1,INDEX(Grid!$Z$6:$AF$156,C291+1,B291+1),0)</f>
        <v>1</v>
      </c>
      <c r="K291" s="16" t="n">
        <f aca="false">IF(J291=1,E291,0)</f>
        <v>248.854462251088</v>
      </c>
      <c r="L291" s="17" t="n">
        <f aca="false">IF(D291=1,E291+W_board*F291,"")</f>
        <v>643.986213288732</v>
      </c>
      <c r="M291" s="24" t="n">
        <v>0</v>
      </c>
      <c r="Q291" s="24" t="n">
        <v>1</v>
      </c>
      <c r="R291" s="24" t="n">
        <v>150</v>
      </c>
      <c r="S291" s="25" t="n">
        <v>0.704046616944761</v>
      </c>
      <c r="T291" s="24" t="n">
        <v>2</v>
      </c>
      <c r="U291" s="24" t="n">
        <v>100</v>
      </c>
      <c r="V291" s="25" t="n">
        <v>0.295953383055239</v>
      </c>
      <c r="Z291" s="12" t="str">
        <f aca="false">IF(AND($J291=1,$M291=1),N291*E291/Span_P+O291*F291/Span_S+P291*G291/Span_B,"")</f>
        <v/>
      </c>
      <c r="AA291" s="12" t="str">
        <f aca="false">IF(AND($J291=1,$M291=1),SUMPRODUCT(MAX($J$6:$J$1062*(N291*$K$6:$K$1062/Span_P+O291*$F$6:$F$1062/Span_S+P291*$G$6:$G$1062/Span_B)-(1-$J$6:$J$1062)*1000000000)),"")</f>
        <v/>
      </c>
      <c r="AB291" s="15" t="str">
        <f aca="false">IF(AND($J291=1,$M291=1),IF(AA291-Z291&lt;=0.000000001,1,0),"")</f>
        <v/>
      </c>
      <c r="AC291" s="13" t="n">
        <f aca="false">IF(AND($J291=1,$M291=0),IF(S291="",0,S291*INDEX(Grid!$B$6:$H$156,R291+1,Q291+1))+IF(V291="",0,V291*INDEX(Grid!$B$6:$H$156,U291+1,T291+1))+IF(Y291="",0,Y291*INDEX(Grid!$B$6:$H$156,X291+1,W291+1)),"")</f>
        <v>251.757009775989</v>
      </c>
      <c r="AD291" s="13" t="n">
        <f aca="false">IF(AND($J291=1,$M291=0),IF(S291="",0,S291*Val_pt*(Ceiling_e-E_zero)*(1-(1-Half_gap)^Q291))+IF(V291="",0,V291*Val_pt*(Ceiling_e-E_zero)*(1-(1-Half_gap)^T291))+IF(Y291="",0,Y291*Val_pt*(Ceiling_e-E_zero)*(1-(1-Half_gap)^W291)),"")</f>
        <v>80.3583684069334</v>
      </c>
      <c r="AE291" s="13" t="n">
        <f aca="false">IF(AND($J291=1,$M291=0),IF(S291="",0,S291*R291)+IF(V291="",0,V291*U291)+IF(Y291="",0,Y291*X291),"")</f>
        <v>135.202330847238</v>
      </c>
      <c r="AF291" s="12" t="n">
        <f aca="false">IF(AND($J291=1,$M291=0),MIN((AC291-E291)/Span_P,(AD291-F291)/Span_S,(AE291-G291)/Span_B),"")</f>
        <v>0.0080155389815866</v>
      </c>
      <c r="AG291" s="15" t="n">
        <f aca="false">IF(AND($J291=1,$M291=0),IF(AF291&gt;0.0000001,1,0),"")</f>
        <v>1</v>
      </c>
      <c r="AH291" s="15" t="n">
        <f aca="false">IF($J291=1,IF($M291=1,AB291,AG291),"")</f>
        <v>1</v>
      </c>
      <c r="AI291" s="13" t="n">
        <f aca="false">IF($J291=1,(Ideal_P-E291)/Span_P,"")</f>
        <v>0.373690250151615</v>
      </c>
      <c r="AJ291" s="13" t="n">
        <f aca="false">IF($J291=1,(Ideal_S-F291)/Span_S,"")</f>
        <v>1</v>
      </c>
      <c r="AK291" s="13" t="n">
        <f aca="false">IF($J291=1,(Ideal_B-G291)/Span_B,"")</f>
        <v>0.106666666666667</v>
      </c>
      <c r="AL291" s="12" t="n">
        <f aca="false">IF($J291=1,MAX(ChA_1*AI291,ChA_2*AJ291,ChA_3*AK291)+Rho*(ChA_1*AI291+ChA_2*AJ291+ChA_3*AK291),"")</f>
        <v>1.00014803569168</v>
      </c>
      <c r="AM291" s="12" t="n">
        <f aca="false">IF($J291=1,MAX(ChB_1*AI291,ChB_2*AJ291,ChB_3*AK291)+Rho*(ChB_1*AI291+ChB_2*AJ291+ChB_3*AK291),"")</f>
        <v>1.0001854047167</v>
      </c>
      <c r="AN291" s="12" t="n">
        <f aca="false">IF($J291=1,MAX(Cx_1*(Ref_P-E291)/Span_P,Cx_2*(Ref_S-F291)/Span_S,Cx_3*(Ref_B-G291)/Span_B),"")</f>
        <v>4.28317373461012</v>
      </c>
    </row>
    <row r="292" customFormat="false" ht="15" hidden="false" customHeight="false" outlineLevel="0" collapsed="false">
      <c r="A292" s="2" t="n">
        <v>286</v>
      </c>
      <c r="B292" s="15" t="n">
        <f aca="false">INT(A292/151)</f>
        <v>1</v>
      </c>
      <c r="C292" s="15" t="n">
        <f aca="false">MOD(A292,151)</f>
        <v>135</v>
      </c>
      <c r="D292" s="15" t="n">
        <f aca="false">INDEX(Grid!$J$6:$P$156,C292+1,B292+1)</f>
        <v>1</v>
      </c>
      <c r="E292" s="16" t="n">
        <f aca="false">IF(D292=1,INDEX(Grid!$B$6:$H$156,C292+1,B292+1),"")</f>
        <v>247.945371341997</v>
      </c>
      <c r="F292" s="13" t="n">
        <f aca="false">Val_pt*(Ceiling_e-E_zero)*(1-(1-Half_gap)^B292)</f>
        <v>70</v>
      </c>
      <c r="G292" s="15" t="n">
        <f aca="false">C292</f>
        <v>135</v>
      </c>
      <c r="H292" s="15" t="n">
        <f aca="false">IF(D292=1,INDEX(Grid!$R$6:$X$156,C292+1,B292+1),"")</f>
        <v>32</v>
      </c>
      <c r="I292" s="2" t="str">
        <f aca="false">IF(D292=1,INDEX(Sch_label,H292+1),"")</f>
        <v>1</v>
      </c>
      <c r="J292" s="15" t="n">
        <f aca="false">IF(D292=1,INDEX(Grid!$Z$6:$AF$156,C292+1,B292+1),0)</f>
        <v>1</v>
      </c>
      <c r="K292" s="16" t="n">
        <f aca="false">IF(J292=1,E292,0)</f>
        <v>247.945371341997</v>
      </c>
      <c r="L292" s="17" t="n">
        <f aca="false">IF(D292=1,E292+W_board*F292,"")</f>
        <v>643.077122379641</v>
      </c>
      <c r="M292" s="24" t="n">
        <v>0</v>
      </c>
      <c r="Q292" s="24" t="n">
        <v>1</v>
      </c>
      <c r="R292" s="24" t="n">
        <v>150</v>
      </c>
      <c r="S292" s="25" t="n">
        <v>0.722543703385713</v>
      </c>
      <c r="T292" s="24" t="n">
        <v>2</v>
      </c>
      <c r="U292" s="24" t="n">
        <v>100</v>
      </c>
      <c r="V292" s="25" t="n">
        <v>0.277456296614287</v>
      </c>
      <c r="Z292" s="12" t="str">
        <f aca="false">IF(AND($J292=1,$M292=1),N292*E292/Span_P+O292*F292/Span_S+P292*G292/Span_B,"")</f>
        <v/>
      </c>
      <c r="AA292" s="12" t="str">
        <f aca="false">IF(AND($J292=1,$M292=1),SUMPRODUCT(MAX($J$6:$J$1062*(N292*$K$6:$K$1062/Span_P+O292*$F$6:$F$1062/Span_S+P292*$G$6:$G$1062/Span_B)-(1-$J$6:$J$1062)*1000000000)),"")</f>
        <v/>
      </c>
      <c r="AB292" s="15" t="str">
        <f aca="false">IF(AND($J292=1,$M292=1),IF(AA292-Z292&lt;=0.000000001,1,0),"")</f>
        <v/>
      </c>
      <c r="AC292" s="13" t="n">
        <f aca="false">IF(AND($J292=1,$M292=0),IF(S292="",0,S292*INDEX(Grid!$B$6:$H$156,R292+1,Q292+1))+IF(V292="",0,V292*INDEX(Grid!$B$6:$H$156,U292+1,T292+1))+IF(Y292="",0,Y292*INDEX(Grid!$B$6:$H$156,X292+1,W292+1)),"")</f>
        <v>250.666509646592</v>
      </c>
      <c r="AD292" s="13" t="n">
        <f aca="false">IF(AND($J292=1,$M292=0),IF(S292="",0,S292*Val_pt*(Ceiling_e-E_zero)*(1-(1-Half_gap)^Q292))+IF(V292="",0,V292*Val_pt*(Ceiling_e-E_zero)*(1-(1-Half_gap)^T292))+IF(Y292="",0,Y292*Val_pt*(Ceiling_e-E_zero)*(1-(1-Half_gap)^W292)),"")</f>
        <v>79.7109703815001</v>
      </c>
      <c r="AE292" s="13" t="n">
        <f aca="false">IF(AND($J292=1,$M292=0),IF(S292="",0,S292*R292)+IF(V292="",0,V292*U292)+IF(Y292="",0,Y292*X292),"")</f>
        <v>136.127185169286</v>
      </c>
      <c r="AF292" s="12" t="n">
        <f aca="false">IF(AND($J292=1,$M292=0),MIN((AC292-E292)/Span_P,(AD292-F292)/Span_S,(AE292-G292)/Span_B),"")</f>
        <v>0.00751456779523758</v>
      </c>
      <c r="AG292" s="15" t="n">
        <f aca="false">IF(AND($J292=1,$M292=0),IF(AF292&gt;0.0000001,1,0),"")</f>
        <v>1</v>
      </c>
      <c r="AH292" s="15" t="n">
        <f aca="false">IF($J292=1,IF($M292=1,AB292,AG292),"")</f>
        <v>1</v>
      </c>
      <c r="AI292" s="13" t="n">
        <f aca="false">IF($J292=1,(Ideal_P-E292)/Span_P,"")</f>
        <v>0.376200752927921</v>
      </c>
      <c r="AJ292" s="13" t="n">
        <f aca="false">IF($J292=1,(Ideal_S-F292)/Span_S,"")</f>
        <v>1</v>
      </c>
      <c r="AK292" s="13" t="n">
        <f aca="false">IF($J292=1,(Ideal_B-G292)/Span_B,"")</f>
        <v>0.1</v>
      </c>
      <c r="AL292" s="12" t="n">
        <f aca="false">IF($J292=1,MAX(ChA_1*AI292,ChA_2*AJ292,ChA_3*AK292)+Rho*(ChA_1*AI292+ChA_2*AJ292+ChA_3*AK292),"")</f>
        <v>1.00014762007529</v>
      </c>
      <c r="AM292" s="12" t="n">
        <f aca="false">IF($J292=1,MAX(ChB_1*AI292,ChB_2*AJ292,ChB_3*AK292)+Rho*(ChB_1*AI292+ChB_2*AJ292+ChB_3*AK292),"")</f>
        <v>1.00018524015059</v>
      </c>
      <c r="AN292" s="12" t="n">
        <f aca="false">IF($J292=1,MAX(Cx_1*(Ref_P-E292)/Span_P,Cx_2*(Ref_S-F292)/Span_S,Cx_3*(Ref_B-G292)/Span_B),"")</f>
        <v>4.28317373461012</v>
      </c>
    </row>
    <row r="293" customFormat="false" ht="15" hidden="false" customHeight="false" outlineLevel="0" collapsed="false">
      <c r="A293" s="2" t="n">
        <v>287</v>
      </c>
      <c r="B293" s="15" t="n">
        <f aca="false">INT(A293/151)</f>
        <v>1</v>
      </c>
      <c r="C293" s="15" t="n">
        <f aca="false">MOD(A293,151)</f>
        <v>136</v>
      </c>
      <c r="D293" s="15" t="n">
        <f aca="false">INDEX(Grid!$J$6:$P$156,C293+1,B293+1)</f>
        <v>1</v>
      </c>
      <c r="E293" s="16" t="n">
        <f aca="false">IF(D293=1,INDEX(Grid!$B$6:$H$156,C293+1,B293+1),"")</f>
        <v>247.036280432906</v>
      </c>
      <c r="F293" s="13" t="n">
        <f aca="false">Val_pt*(Ceiling_e-E_zero)*(1-(1-Half_gap)^B293)</f>
        <v>70</v>
      </c>
      <c r="G293" s="15" t="n">
        <f aca="false">C293</f>
        <v>136</v>
      </c>
      <c r="H293" s="15" t="n">
        <f aca="false">IF(D293=1,INDEX(Grid!$R$6:$X$156,C293+1,B293+1),"")</f>
        <v>32</v>
      </c>
      <c r="I293" s="2" t="str">
        <f aca="false">IF(D293=1,INDEX(Sch_label,H293+1),"")</f>
        <v>1</v>
      </c>
      <c r="J293" s="15" t="n">
        <f aca="false">IF(D293=1,INDEX(Grid!$Z$6:$AF$156,C293+1,B293+1),0)</f>
        <v>1</v>
      </c>
      <c r="K293" s="16" t="n">
        <f aca="false">IF(J293=1,E293,0)</f>
        <v>247.036280432906</v>
      </c>
      <c r="L293" s="17" t="n">
        <f aca="false">IF(D293=1,E293+W_board*F293,"")</f>
        <v>642.16803147055</v>
      </c>
      <c r="M293" s="24" t="n">
        <v>0</v>
      </c>
      <c r="Q293" s="24" t="n">
        <v>1</v>
      </c>
      <c r="R293" s="24" t="n">
        <v>150</v>
      </c>
      <c r="S293" s="25" t="n">
        <v>0.741040789826665</v>
      </c>
      <c r="T293" s="24" t="n">
        <v>2</v>
      </c>
      <c r="U293" s="24" t="n">
        <v>100</v>
      </c>
      <c r="V293" s="25" t="n">
        <v>0.258959210173335</v>
      </c>
      <c r="Z293" s="12" t="str">
        <f aca="false">IF(AND($J293=1,$M293=1),N293*E293/Span_P+O293*F293/Span_S+P293*G293/Span_B,"")</f>
        <v/>
      </c>
      <c r="AA293" s="12" t="str">
        <f aca="false">IF(AND($J293=1,$M293=1),SUMPRODUCT(MAX($J$6:$J$1062*(N293*$K$6:$K$1062/Span_P+O293*$F$6:$F$1062/Span_S+P293*$G$6:$G$1062/Span_B)-(1-$J$6:$J$1062)*1000000000)),"")</f>
        <v/>
      </c>
      <c r="AB293" s="15" t="str">
        <f aca="false">IF(AND($J293=1,$M293=1),IF(AA293-Z293&lt;=0.000000001,1,0),"")</f>
        <v/>
      </c>
      <c r="AC293" s="13" t="n">
        <f aca="false">IF(AND($J293=1,$M293=0),IF(S293="",0,S293*INDEX(Grid!$B$6:$H$156,R293+1,Q293+1))+IF(V293="",0,V293*INDEX(Grid!$B$6:$H$156,U293+1,T293+1))+IF(Y293="",0,Y293*INDEX(Grid!$B$6:$H$156,X293+1,W293+1)),"")</f>
        <v>249.576009517195</v>
      </c>
      <c r="AD293" s="13" t="n">
        <f aca="false">IF(AND($J293=1,$M293=0),IF(S293="",0,S293*Val_pt*(Ceiling_e-E_zero)*(1-(1-Half_gap)^Q293))+IF(V293="",0,V293*Val_pt*(Ceiling_e-E_zero)*(1-(1-Half_gap)^T293))+IF(Y293="",0,Y293*Val_pt*(Ceiling_e-E_zero)*(1-(1-Half_gap)^W293)),"")</f>
        <v>79.0635723560667</v>
      </c>
      <c r="AE293" s="13" t="n">
        <f aca="false">IF(AND($J293=1,$M293=0),IF(S293="",0,S293*R293)+IF(V293="",0,V293*U293)+IF(Y293="",0,Y293*X293),"")</f>
        <v>137.052039491333</v>
      </c>
      <c r="AF293" s="12" t="n">
        <f aca="false">IF(AND($J293=1,$M293=0),MIN((AC293-E293)/Span_P,(AD293-F293)/Span_S,(AE293-G293)/Span_B),"")</f>
        <v>0.00701359660888841</v>
      </c>
      <c r="AG293" s="15" t="n">
        <f aca="false">IF(AND($J293=1,$M293=0),IF(AF293&gt;0.0000001,1,0),"")</f>
        <v>1</v>
      </c>
      <c r="AH293" s="15" t="n">
        <f aca="false">IF($J293=1,IF($M293=1,AB293,AG293),"")</f>
        <v>1</v>
      </c>
      <c r="AI293" s="13" t="n">
        <f aca="false">IF($J293=1,(Ideal_P-E293)/Span_P,"")</f>
        <v>0.378711255704227</v>
      </c>
      <c r="AJ293" s="13" t="n">
        <f aca="false">IF($J293=1,(Ideal_S-F293)/Span_S,"")</f>
        <v>1</v>
      </c>
      <c r="AK293" s="13" t="n">
        <f aca="false">IF($J293=1,(Ideal_B-G293)/Span_B,"")</f>
        <v>0.0933333333333333</v>
      </c>
      <c r="AL293" s="12" t="n">
        <f aca="false">IF($J293=1,MAX(ChA_1*AI293,ChA_2*AJ293,ChA_3*AK293)+Rho*(ChA_1*AI293+ChA_2*AJ293+ChA_3*AK293),"")</f>
        <v>1.0001472044589</v>
      </c>
      <c r="AM293" s="12" t="n">
        <f aca="false">IF($J293=1,MAX(ChB_1*AI293,ChB_2*AJ293,ChB_3*AK293)+Rho*(ChB_1*AI293+ChB_2*AJ293+ChB_3*AK293),"")</f>
        <v>1.00018507558447</v>
      </c>
      <c r="AN293" s="12" t="n">
        <f aca="false">IF($J293=1,MAX(Cx_1*(Ref_P-E293)/Span_P,Cx_2*(Ref_S-F293)/Span_S,Cx_3*(Ref_B-G293)/Span_B),"")</f>
        <v>4.28317373461012</v>
      </c>
    </row>
    <row r="294" customFormat="false" ht="15" hidden="false" customHeight="false" outlineLevel="0" collapsed="false">
      <c r="A294" s="2" t="n">
        <v>288</v>
      </c>
      <c r="B294" s="15" t="n">
        <f aca="false">INT(A294/151)</f>
        <v>1</v>
      </c>
      <c r="C294" s="15" t="n">
        <f aca="false">MOD(A294,151)</f>
        <v>137</v>
      </c>
      <c r="D294" s="15" t="n">
        <f aca="false">INDEX(Grid!$J$6:$P$156,C294+1,B294+1)</f>
        <v>1</v>
      </c>
      <c r="E294" s="16" t="n">
        <f aca="false">IF(D294=1,INDEX(Grid!$B$6:$H$156,C294+1,B294+1),"")</f>
        <v>246.127189523815</v>
      </c>
      <c r="F294" s="13" t="n">
        <f aca="false">Val_pt*(Ceiling_e-E_zero)*(1-(1-Half_gap)^B294)</f>
        <v>70</v>
      </c>
      <c r="G294" s="15" t="n">
        <f aca="false">C294</f>
        <v>137</v>
      </c>
      <c r="H294" s="15" t="n">
        <f aca="false">IF(D294=1,INDEX(Grid!$R$6:$X$156,C294+1,B294+1),"")</f>
        <v>32</v>
      </c>
      <c r="I294" s="2" t="str">
        <f aca="false">IF(D294=1,INDEX(Sch_label,H294+1),"")</f>
        <v>1</v>
      </c>
      <c r="J294" s="15" t="n">
        <f aca="false">IF(D294=1,INDEX(Grid!$Z$6:$AF$156,C294+1,B294+1),0)</f>
        <v>1</v>
      </c>
      <c r="K294" s="16" t="n">
        <f aca="false">IF(J294=1,E294,0)</f>
        <v>246.127189523815</v>
      </c>
      <c r="L294" s="17" t="n">
        <f aca="false">IF(D294=1,E294+W_board*F294,"")</f>
        <v>641.258940561459</v>
      </c>
      <c r="M294" s="24" t="n">
        <v>0</v>
      </c>
      <c r="Q294" s="24" t="n">
        <v>1</v>
      </c>
      <c r="R294" s="24" t="n">
        <v>150</v>
      </c>
      <c r="S294" s="25" t="n">
        <v>0.759537876267618</v>
      </c>
      <c r="T294" s="24" t="n">
        <v>2</v>
      </c>
      <c r="U294" s="24" t="n">
        <v>100</v>
      </c>
      <c r="V294" s="25" t="n">
        <v>0.240462123732383</v>
      </c>
      <c r="Z294" s="12" t="str">
        <f aca="false">IF(AND($J294=1,$M294=1),N294*E294/Span_P+O294*F294/Span_S+P294*G294/Span_B,"")</f>
        <v/>
      </c>
      <c r="AA294" s="12" t="str">
        <f aca="false">IF(AND($J294=1,$M294=1),SUMPRODUCT(MAX($J$6:$J$1062*(N294*$K$6:$K$1062/Span_P+O294*$F$6:$F$1062/Span_S+P294*$G$6:$G$1062/Span_B)-(1-$J$6:$J$1062)*1000000000)),"")</f>
        <v/>
      </c>
      <c r="AB294" s="15" t="str">
        <f aca="false">IF(AND($J294=1,$M294=1),IF(AA294-Z294&lt;=0.000000001,1,0),"")</f>
        <v/>
      </c>
      <c r="AC294" s="13" t="n">
        <f aca="false">IF(AND($J294=1,$M294=0),IF(S294="",0,S294*INDEX(Grid!$B$6:$H$156,R294+1,Q294+1))+IF(V294="",0,V294*INDEX(Grid!$B$6:$H$156,U294+1,T294+1))+IF(Y294="",0,Y294*INDEX(Grid!$B$6:$H$156,X294+1,W294+1)),"")</f>
        <v>248.485509387798</v>
      </c>
      <c r="AD294" s="13" t="n">
        <f aca="false">IF(AND($J294=1,$M294=0),IF(S294="",0,S294*Val_pt*(Ceiling_e-E_zero)*(1-(1-Half_gap)^Q294))+IF(V294="",0,V294*Val_pt*(Ceiling_e-E_zero)*(1-(1-Half_gap)^T294))+IF(Y294="",0,Y294*Val_pt*(Ceiling_e-E_zero)*(1-(1-Half_gap)^W294)),"")</f>
        <v>78.4161743306334</v>
      </c>
      <c r="AE294" s="13" t="n">
        <f aca="false">IF(AND($J294=1,$M294=0),IF(S294="",0,S294*R294)+IF(V294="",0,V294*U294)+IF(Y294="",0,Y294*X294),"")</f>
        <v>137.976893813381</v>
      </c>
      <c r="AF294" s="12" t="n">
        <f aca="false">IF(AND($J294=1,$M294=0),MIN((AC294-E294)/Span_P,(AD294-F294)/Span_S,(AE294-G294)/Span_B),"")</f>
        <v>0.00651262542253922</v>
      </c>
      <c r="AG294" s="15" t="n">
        <f aca="false">IF(AND($J294=1,$M294=0),IF(AF294&gt;0.0000001,1,0),"")</f>
        <v>1</v>
      </c>
      <c r="AH294" s="15" t="n">
        <f aca="false">IF($J294=1,IF($M294=1,AB294,AG294),"")</f>
        <v>1</v>
      </c>
      <c r="AI294" s="13" t="n">
        <f aca="false">IF($J294=1,(Ideal_P-E294)/Span_P,"")</f>
        <v>0.381221758480533</v>
      </c>
      <c r="AJ294" s="13" t="n">
        <f aca="false">IF($J294=1,(Ideal_S-F294)/Span_S,"")</f>
        <v>1</v>
      </c>
      <c r="AK294" s="13" t="n">
        <f aca="false">IF($J294=1,(Ideal_B-G294)/Span_B,"")</f>
        <v>0.0866666666666667</v>
      </c>
      <c r="AL294" s="12" t="n">
        <f aca="false">IF($J294=1,MAX(ChA_1*AI294,ChA_2*AJ294,ChA_3*AK294)+Rho*(ChA_1*AI294+ChA_2*AJ294+ChA_3*AK294),"")</f>
        <v>1.00014678884251</v>
      </c>
      <c r="AM294" s="12" t="n">
        <f aca="false">IF($J294=1,MAX(ChB_1*AI294,ChB_2*AJ294,ChB_3*AK294)+Rho*(ChB_1*AI294+ChB_2*AJ294+ChB_3*AK294),"")</f>
        <v>1.00018491101836</v>
      </c>
      <c r="AN294" s="12" t="n">
        <f aca="false">IF($J294=1,MAX(Cx_1*(Ref_P-E294)/Span_P,Cx_2*(Ref_S-F294)/Span_S,Cx_3*(Ref_B-G294)/Span_B),"")</f>
        <v>4.28317373461012</v>
      </c>
    </row>
    <row r="295" customFormat="false" ht="15" hidden="false" customHeight="false" outlineLevel="0" collapsed="false">
      <c r="A295" s="2" t="n">
        <v>289</v>
      </c>
      <c r="B295" s="15" t="n">
        <f aca="false">INT(A295/151)</f>
        <v>1</v>
      </c>
      <c r="C295" s="15" t="n">
        <f aca="false">MOD(A295,151)</f>
        <v>138</v>
      </c>
      <c r="D295" s="15" t="n">
        <f aca="false">INDEX(Grid!$J$6:$P$156,C295+1,B295+1)</f>
        <v>1</v>
      </c>
      <c r="E295" s="16" t="n">
        <f aca="false">IF(D295=1,INDEX(Grid!$B$6:$H$156,C295+1,B295+1),"")</f>
        <v>245.218098614725</v>
      </c>
      <c r="F295" s="13" t="n">
        <f aca="false">Val_pt*(Ceiling_e-E_zero)*(1-(1-Half_gap)^B295)</f>
        <v>70</v>
      </c>
      <c r="G295" s="15" t="n">
        <f aca="false">C295</f>
        <v>138</v>
      </c>
      <c r="H295" s="15" t="n">
        <f aca="false">IF(D295=1,INDEX(Grid!$R$6:$X$156,C295+1,B295+1),"")</f>
        <v>32</v>
      </c>
      <c r="I295" s="2" t="str">
        <f aca="false">IF(D295=1,INDEX(Sch_label,H295+1),"")</f>
        <v>1</v>
      </c>
      <c r="J295" s="15" t="n">
        <f aca="false">IF(D295=1,INDEX(Grid!$Z$6:$AF$156,C295+1,B295+1),0)</f>
        <v>1</v>
      </c>
      <c r="K295" s="16" t="n">
        <f aca="false">IF(J295=1,E295,0)</f>
        <v>245.218098614725</v>
      </c>
      <c r="L295" s="17" t="n">
        <f aca="false">IF(D295=1,E295+W_board*F295,"")</f>
        <v>640.349849652369</v>
      </c>
      <c r="M295" s="24" t="n">
        <v>0</v>
      </c>
      <c r="Q295" s="24" t="n">
        <v>1</v>
      </c>
      <c r="R295" s="24" t="n">
        <v>150</v>
      </c>
      <c r="S295" s="25" t="n">
        <v>0.778034962708569</v>
      </c>
      <c r="T295" s="24" t="n">
        <v>2</v>
      </c>
      <c r="U295" s="24" t="n">
        <v>100</v>
      </c>
      <c r="V295" s="25" t="n">
        <v>0.221965037291429</v>
      </c>
      <c r="Z295" s="12" t="str">
        <f aca="false">IF(AND($J295=1,$M295=1),N295*E295/Span_P+O295*F295/Span_S+P295*G295/Span_B,"")</f>
        <v/>
      </c>
      <c r="AA295" s="12" t="str">
        <f aca="false">IF(AND($J295=1,$M295=1),SUMPRODUCT(MAX($J$6:$J$1062*(N295*$K$6:$K$1062/Span_P+O295*$F$6:$F$1062/Span_S+P295*$G$6:$G$1062/Span_B)-(1-$J$6:$J$1062)*1000000000)),"")</f>
        <v/>
      </c>
      <c r="AB295" s="15" t="str">
        <f aca="false">IF(AND($J295=1,$M295=1),IF(AA295-Z295&lt;=0.000000001,1,0),"")</f>
        <v/>
      </c>
      <c r="AC295" s="13" t="n">
        <f aca="false">IF(AND($J295=1,$M295=0),IF(S295="",0,S295*INDEX(Grid!$B$6:$H$156,R295+1,Q295+1))+IF(V295="",0,V295*INDEX(Grid!$B$6:$H$156,U295+1,T295+1))+IF(Y295="",0,Y295*INDEX(Grid!$B$6:$H$156,X295+1,W295+1)),"")</f>
        <v>247.3950092584</v>
      </c>
      <c r="AD295" s="13" t="n">
        <f aca="false">IF(AND($J295=1,$M295=0),IF(S295="",0,S295*Val_pt*(Ceiling_e-E_zero)*(1-(1-Half_gap)^Q295))+IF(V295="",0,V295*Val_pt*(Ceiling_e-E_zero)*(1-(1-Half_gap)^T295))+IF(Y295="",0,Y295*Val_pt*(Ceiling_e-E_zero)*(1-(1-Half_gap)^W295)),"")</f>
        <v>77.7687763051999</v>
      </c>
      <c r="AE295" s="13" t="n">
        <f aca="false">IF(AND($J295=1,$M295=0),IF(S295="",0,S295*R295)+IF(V295="",0,V295*U295)+IF(Y295="",0,Y295*X295),"")</f>
        <v>138.901748135428</v>
      </c>
      <c r="AF295" s="12" t="n">
        <f aca="false">IF(AND($J295=1,$M295=0),MIN((AC295-E295)/Span_P,(AD295-F295)/Span_S,(AE295-G295)/Span_B),"")</f>
        <v>0.00601165423618795</v>
      </c>
      <c r="AG295" s="15" t="n">
        <f aca="false">IF(AND($J295=1,$M295=0),IF(AF295&gt;0.0000001,1,0),"")</f>
        <v>1</v>
      </c>
      <c r="AH295" s="15" t="n">
        <f aca="false">IF($J295=1,IF($M295=1,AB295,AG295),"")</f>
        <v>1</v>
      </c>
      <c r="AI295" s="13" t="n">
        <f aca="false">IF($J295=1,(Ideal_P-E295)/Span_P,"")</f>
        <v>0.383732261256838</v>
      </c>
      <c r="AJ295" s="13" t="n">
        <f aca="false">IF($J295=1,(Ideal_S-F295)/Span_S,"")</f>
        <v>1</v>
      </c>
      <c r="AK295" s="13" t="n">
        <f aca="false">IF($J295=1,(Ideal_B-G295)/Span_B,"")</f>
        <v>0.08</v>
      </c>
      <c r="AL295" s="12" t="n">
        <f aca="false">IF($J295=1,MAX(ChA_1*AI295,ChA_2*AJ295,ChA_3*AK295)+Rho*(ChA_1*AI295+ChA_2*AJ295+ChA_3*AK295),"")</f>
        <v>1.00014637322613</v>
      </c>
      <c r="AM295" s="12" t="n">
        <f aca="false">IF($J295=1,MAX(ChB_1*AI295,ChB_2*AJ295,ChB_3*AK295)+Rho*(ChB_1*AI295+ChB_2*AJ295+ChB_3*AK295),"")</f>
        <v>1.00018474645225</v>
      </c>
      <c r="AN295" s="12" t="n">
        <f aca="false">IF($J295=1,MAX(Cx_1*(Ref_P-E295)/Span_P,Cx_2*(Ref_S-F295)/Span_S,Cx_3*(Ref_B-G295)/Span_B),"")</f>
        <v>4.28317373461012</v>
      </c>
    </row>
    <row r="296" customFormat="false" ht="15" hidden="false" customHeight="false" outlineLevel="0" collapsed="false">
      <c r="A296" s="2" t="n">
        <v>290</v>
      </c>
      <c r="B296" s="15" t="n">
        <f aca="false">INT(A296/151)</f>
        <v>1</v>
      </c>
      <c r="C296" s="15" t="n">
        <f aca="false">MOD(A296,151)</f>
        <v>139</v>
      </c>
      <c r="D296" s="15" t="n">
        <f aca="false">INDEX(Grid!$J$6:$P$156,C296+1,B296+1)</f>
        <v>1</v>
      </c>
      <c r="E296" s="16" t="n">
        <f aca="false">IF(D296=1,INDEX(Grid!$B$6:$H$156,C296+1,B296+1),"")</f>
        <v>244.309007705634</v>
      </c>
      <c r="F296" s="13" t="n">
        <f aca="false">Val_pt*(Ceiling_e-E_zero)*(1-(1-Half_gap)^B296)</f>
        <v>70</v>
      </c>
      <c r="G296" s="15" t="n">
        <f aca="false">C296</f>
        <v>139</v>
      </c>
      <c r="H296" s="15" t="n">
        <f aca="false">IF(D296=1,INDEX(Grid!$R$6:$X$156,C296+1,B296+1),"")</f>
        <v>32</v>
      </c>
      <c r="I296" s="2" t="str">
        <f aca="false">IF(D296=1,INDEX(Sch_label,H296+1),"")</f>
        <v>1</v>
      </c>
      <c r="J296" s="15" t="n">
        <f aca="false">IF(D296=1,INDEX(Grid!$Z$6:$AF$156,C296+1,B296+1),0)</f>
        <v>1</v>
      </c>
      <c r="K296" s="16" t="n">
        <f aca="false">IF(J296=1,E296,0)</f>
        <v>244.309007705634</v>
      </c>
      <c r="L296" s="17" t="n">
        <f aca="false">IF(D296=1,E296+W_board*F296,"")</f>
        <v>639.440758743278</v>
      </c>
      <c r="M296" s="24" t="n">
        <v>0</v>
      </c>
      <c r="Q296" s="24" t="n">
        <v>1</v>
      </c>
      <c r="R296" s="24" t="n">
        <v>150</v>
      </c>
      <c r="S296" s="25" t="n">
        <v>0.796532049149523</v>
      </c>
      <c r="T296" s="24" t="n">
        <v>2</v>
      </c>
      <c r="U296" s="24" t="n">
        <v>100</v>
      </c>
      <c r="V296" s="25" t="n">
        <v>0.203467950850478</v>
      </c>
      <c r="Z296" s="12" t="str">
        <f aca="false">IF(AND($J296=1,$M296=1),N296*E296/Span_P+O296*F296/Span_S+P296*G296/Span_B,"")</f>
        <v/>
      </c>
      <c r="AA296" s="12" t="str">
        <f aca="false">IF(AND($J296=1,$M296=1),SUMPRODUCT(MAX($J$6:$J$1062*(N296*$K$6:$K$1062/Span_P+O296*$F$6:$F$1062/Span_S+P296*$G$6:$G$1062/Span_B)-(1-$J$6:$J$1062)*1000000000)),"")</f>
        <v/>
      </c>
      <c r="AB296" s="15" t="str">
        <f aca="false">IF(AND($J296=1,$M296=1),IF(AA296-Z296&lt;=0.000000001,1,0),"")</f>
        <v/>
      </c>
      <c r="AC296" s="13" t="n">
        <f aca="false">IF(AND($J296=1,$M296=0),IF(S296="",0,S296*INDEX(Grid!$B$6:$H$156,R296+1,Q296+1))+IF(V296="",0,V296*INDEX(Grid!$B$6:$H$156,U296+1,T296+1))+IF(Y296="",0,Y296*INDEX(Grid!$B$6:$H$156,X296+1,W296+1)),"")</f>
        <v>246.304509129003</v>
      </c>
      <c r="AD296" s="13" t="n">
        <f aca="false">IF(AND($J296=1,$M296=0),IF(S296="",0,S296*Val_pt*(Ceiling_e-E_zero)*(1-(1-Half_gap)^Q296))+IF(V296="",0,V296*Val_pt*(Ceiling_e-E_zero)*(1-(1-Half_gap)^T296))+IF(Y296="",0,Y296*Val_pt*(Ceiling_e-E_zero)*(1-(1-Half_gap)^W296)),"")</f>
        <v>77.1213782797667</v>
      </c>
      <c r="AE296" s="13" t="n">
        <f aca="false">IF(AND($J296=1,$M296=0),IF(S296="",0,S296*R296)+IF(V296="",0,V296*U296)+IF(Y296="",0,Y296*X296),"")</f>
        <v>139.826602457476</v>
      </c>
      <c r="AF296" s="12" t="n">
        <f aca="false">IF(AND($J296=1,$M296=0),MIN((AC296-E296)/Span_P,(AD296-F296)/Span_S,(AE296-G296)/Span_B),"")</f>
        <v>0.00551068304984085</v>
      </c>
      <c r="AG296" s="15" t="n">
        <f aca="false">IF(AND($J296=1,$M296=0),IF(AF296&gt;0.0000001,1,0),"")</f>
        <v>1</v>
      </c>
      <c r="AH296" s="15" t="n">
        <f aca="false">IF($J296=1,IF($M296=1,AB296,AG296),"")</f>
        <v>1</v>
      </c>
      <c r="AI296" s="13" t="n">
        <f aca="false">IF($J296=1,(Ideal_P-E296)/Span_P,"")</f>
        <v>0.386242764033144</v>
      </c>
      <c r="AJ296" s="13" t="n">
        <f aca="false">IF($J296=1,(Ideal_S-F296)/Span_S,"")</f>
        <v>1</v>
      </c>
      <c r="AK296" s="13" t="n">
        <f aca="false">IF($J296=1,(Ideal_B-G296)/Span_B,"")</f>
        <v>0.0733333333333333</v>
      </c>
      <c r="AL296" s="12" t="n">
        <f aca="false">IF($J296=1,MAX(ChA_1*AI296,ChA_2*AJ296,ChA_3*AK296)+Rho*(ChA_1*AI296+ChA_2*AJ296+ChA_3*AK296),"")</f>
        <v>1.00014595760974</v>
      </c>
      <c r="AM296" s="12" t="n">
        <f aca="false">IF($J296=1,MAX(ChB_1*AI296,ChB_2*AJ296,ChB_3*AK296)+Rho*(ChB_1*AI296+ChB_2*AJ296+ChB_3*AK296),"")</f>
        <v>1.00018458188614</v>
      </c>
      <c r="AN296" s="12" t="n">
        <f aca="false">IF($J296=1,MAX(Cx_1*(Ref_P-E296)/Span_P,Cx_2*(Ref_S-F296)/Span_S,Cx_3*(Ref_B-G296)/Span_B),"")</f>
        <v>4.28317373461012</v>
      </c>
    </row>
    <row r="297" customFormat="false" ht="15" hidden="false" customHeight="false" outlineLevel="0" collapsed="false">
      <c r="A297" s="2" t="n">
        <v>291</v>
      </c>
      <c r="B297" s="15" t="n">
        <f aca="false">INT(A297/151)</f>
        <v>1</v>
      </c>
      <c r="C297" s="15" t="n">
        <f aca="false">MOD(A297,151)</f>
        <v>140</v>
      </c>
      <c r="D297" s="15" t="n">
        <f aca="false">INDEX(Grid!$J$6:$P$156,C297+1,B297+1)</f>
        <v>1</v>
      </c>
      <c r="E297" s="16" t="n">
        <f aca="false">IF(D297=1,INDEX(Grid!$B$6:$H$156,C297+1,B297+1),"")</f>
        <v>243.399916796543</v>
      </c>
      <c r="F297" s="13" t="n">
        <f aca="false">Val_pt*(Ceiling_e-E_zero)*(1-(1-Half_gap)^B297)</f>
        <v>70</v>
      </c>
      <c r="G297" s="15" t="n">
        <f aca="false">C297</f>
        <v>140</v>
      </c>
      <c r="H297" s="15" t="n">
        <f aca="false">IF(D297=1,INDEX(Grid!$R$6:$X$156,C297+1,B297+1),"")</f>
        <v>32</v>
      </c>
      <c r="I297" s="2" t="str">
        <f aca="false">IF(D297=1,INDEX(Sch_label,H297+1),"")</f>
        <v>1</v>
      </c>
      <c r="J297" s="15" t="n">
        <f aca="false">IF(D297=1,INDEX(Grid!$Z$6:$AF$156,C297+1,B297+1),0)</f>
        <v>1</v>
      </c>
      <c r="K297" s="16" t="n">
        <f aca="false">IF(J297=1,E297,0)</f>
        <v>243.399916796543</v>
      </c>
      <c r="L297" s="17" t="n">
        <f aca="false">IF(D297=1,E297+W_board*F297,"")</f>
        <v>638.531667834187</v>
      </c>
      <c r="M297" s="24" t="n">
        <v>0</v>
      </c>
      <c r="Q297" s="24" t="n">
        <v>1</v>
      </c>
      <c r="R297" s="24" t="n">
        <v>150</v>
      </c>
      <c r="S297" s="25" t="n">
        <v>0.815029135590476</v>
      </c>
      <c r="T297" s="24" t="n">
        <v>2</v>
      </c>
      <c r="U297" s="24" t="n">
        <v>100</v>
      </c>
      <c r="V297" s="25" t="n">
        <v>0.184970864409526</v>
      </c>
      <c r="Z297" s="12" t="str">
        <f aca="false">IF(AND($J297=1,$M297=1),N297*E297/Span_P+O297*F297/Span_S+P297*G297/Span_B,"")</f>
        <v/>
      </c>
      <c r="AA297" s="12" t="str">
        <f aca="false">IF(AND($J297=1,$M297=1),SUMPRODUCT(MAX($J$6:$J$1062*(N297*$K$6:$K$1062/Span_P+O297*$F$6:$F$1062/Span_S+P297*$G$6:$G$1062/Span_B)-(1-$J$6:$J$1062)*1000000000)),"")</f>
        <v/>
      </c>
      <c r="AB297" s="15" t="str">
        <f aca="false">IF(AND($J297=1,$M297=1),IF(AA297-Z297&lt;=0.000000001,1,0),"")</f>
        <v/>
      </c>
      <c r="AC297" s="13" t="n">
        <f aca="false">IF(AND($J297=1,$M297=0),IF(S297="",0,S297*INDEX(Grid!$B$6:$H$156,R297+1,Q297+1))+IF(V297="",0,V297*INDEX(Grid!$B$6:$H$156,U297+1,T297+1))+IF(Y297="",0,Y297*INDEX(Grid!$B$6:$H$156,X297+1,W297+1)),"")</f>
        <v>245.214008999606</v>
      </c>
      <c r="AD297" s="13" t="n">
        <f aca="false">IF(AND($J297=1,$M297=0),IF(S297="",0,S297*Val_pt*(Ceiling_e-E_zero)*(1-(1-Half_gap)^Q297))+IF(V297="",0,V297*Val_pt*(Ceiling_e-E_zero)*(1-(1-Half_gap)^T297))+IF(Y297="",0,Y297*Val_pt*(Ceiling_e-E_zero)*(1-(1-Half_gap)^W297)),"")</f>
        <v>76.4739802543335</v>
      </c>
      <c r="AE297" s="13" t="n">
        <f aca="false">IF(AND($J297=1,$M297=0),IF(S297="",0,S297*R297)+IF(V297="",0,V297*U297)+IF(Y297="",0,Y297*X297),"")</f>
        <v>140.751456779524</v>
      </c>
      <c r="AF297" s="12" t="n">
        <f aca="false">IF(AND($J297=1,$M297=0),MIN((AC297-E297)/Span_P,(AD297-F297)/Span_S,(AE297-G297)/Span_B),"")</f>
        <v>0.00500971186349266</v>
      </c>
      <c r="AG297" s="15" t="n">
        <f aca="false">IF(AND($J297=1,$M297=0),IF(AF297&gt;0.0000001,1,0),"")</f>
        <v>1</v>
      </c>
      <c r="AH297" s="15" t="n">
        <f aca="false">IF($J297=1,IF($M297=1,AB297,AG297),"")</f>
        <v>1</v>
      </c>
      <c r="AI297" s="13" t="n">
        <f aca="false">IF($J297=1,(Ideal_P-E297)/Span_P,"")</f>
        <v>0.38875326680945</v>
      </c>
      <c r="AJ297" s="13" t="n">
        <f aca="false">IF($J297=1,(Ideal_S-F297)/Span_S,"")</f>
        <v>1</v>
      </c>
      <c r="AK297" s="13" t="n">
        <f aca="false">IF($J297=1,(Ideal_B-G297)/Span_B,"")</f>
        <v>0.0666666666666667</v>
      </c>
      <c r="AL297" s="12" t="n">
        <f aca="false">IF($J297=1,MAX(ChA_1*AI297,ChA_2*AJ297,ChA_3*AK297)+Rho*(ChA_1*AI297+ChA_2*AJ297+ChA_3*AK297),"")</f>
        <v>1.00014554199335</v>
      </c>
      <c r="AM297" s="12" t="n">
        <f aca="false">IF($J297=1,MAX(ChB_1*AI297,ChB_2*AJ297,ChB_3*AK297)+Rho*(ChB_1*AI297+ChB_2*AJ297+ChB_3*AK297),"")</f>
        <v>1.00018441732003</v>
      </c>
      <c r="AN297" s="12" t="n">
        <f aca="false">IF($J297=1,MAX(Cx_1*(Ref_P-E297)/Span_P,Cx_2*(Ref_S-F297)/Span_S,Cx_3*(Ref_B-G297)/Span_B),"")</f>
        <v>4.28317373461012</v>
      </c>
    </row>
    <row r="298" customFormat="false" ht="15" hidden="false" customHeight="false" outlineLevel="0" collapsed="false">
      <c r="A298" s="2" t="n">
        <v>292</v>
      </c>
      <c r="B298" s="15" t="n">
        <f aca="false">INT(A298/151)</f>
        <v>1</v>
      </c>
      <c r="C298" s="15" t="n">
        <f aca="false">MOD(A298,151)</f>
        <v>141</v>
      </c>
      <c r="D298" s="15" t="n">
        <f aca="false">INDEX(Grid!$J$6:$P$156,C298+1,B298+1)</f>
        <v>1</v>
      </c>
      <c r="E298" s="16" t="n">
        <f aca="false">IF(D298=1,INDEX(Grid!$B$6:$H$156,C298+1,B298+1),"")</f>
        <v>242.490825887452</v>
      </c>
      <c r="F298" s="13" t="n">
        <f aca="false">Val_pt*(Ceiling_e-E_zero)*(1-(1-Half_gap)^B298)</f>
        <v>70</v>
      </c>
      <c r="G298" s="15" t="n">
        <f aca="false">C298</f>
        <v>141</v>
      </c>
      <c r="H298" s="15" t="n">
        <f aca="false">IF(D298=1,INDEX(Grid!$R$6:$X$156,C298+1,B298+1),"")</f>
        <v>32</v>
      </c>
      <c r="I298" s="2" t="str">
        <f aca="false">IF(D298=1,INDEX(Sch_label,H298+1),"")</f>
        <v>1</v>
      </c>
      <c r="J298" s="15" t="n">
        <f aca="false">IF(D298=1,INDEX(Grid!$Z$6:$AF$156,C298+1,B298+1),0)</f>
        <v>1</v>
      </c>
      <c r="K298" s="16" t="n">
        <f aca="false">IF(J298=1,E298,0)</f>
        <v>242.490825887452</v>
      </c>
      <c r="L298" s="17" t="n">
        <f aca="false">IF(D298=1,E298+W_board*F298,"")</f>
        <v>637.622576925096</v>
      </c>
      <c r="M298" s="24" t="n">
        <v>0</v>
      </c>
      <c r="Q298" s="24" t="n">
        <v>1</v>
      </c>
      <c r="R298" s="24" t="n">
        <v>150</v>
      </c>
      <c r="S298" s="25" t="n">
        <v>0.833526222031428</v>
      </c>
      <c r="T298" s="24" t="n">
        <v>2</v>
      </c>
      <c r="U298" s="24" t="n">
        <v>100</v>
      </c>
      <c r="V298" s="25" t="n">
        <v>0.166473777968572</v>
      </c>
      <c r="Z298" s="12" t="str">
        <f aca="false">IF(AND($J298=1,$M298=1),N298*E298/Span_P+O298*F298/Span_S+P298*G298/Span_B,"")</f>
        <v/>
      </c>
      <c r="AA298" s="12" t="str">
        <f aca="false">IF(AND($J298=1,$M298=1),SUMPRODUCT(MAX($J$6:$J$1062*(N298*$K$6:$K$1062/Span_P+O298*$F$6:$F$1062/Span_S+P298*$G$6:$G$1062/Span_B)-(1-$J$6:$J$1062)*1000000000)),"")</f>
        <v/>
      </c>
      <c r="AB298" s="15" t="str">
        <f aca="false">IF(AND($J298=1,$M298=1),IF(AA298-Z298&lt;=0.000000001,1,0),"")</f>
        <v/>
      </c>
      <c r="AC298" s="13" t="n">
        <f aca="false">IF(AND($J298=1,$M298=0),IF(S298="",0,S298*INDEX(Grid!$B$6:$H$156,R298+1,Q298+1))+IF(V298="",0,V298*INDEX(Grid!$B$6:$H$156,U298+1,T298+1))+IF(Y298="",0,Y298*INDEX(Grid!$B$6:$H$156,X298+1,W298+1)),"")</f>
        <v>244.123508870209</v>
      </c>
      <c r="AD298" s="13" t="n">
        <f aca="false">IF(AND($J298=1,$M298=0),IF(S298="",0,S298*Val_pt*(Ceiling_e-E_zero)*(1-(1-Half_gap)^Q298))+IF(V298="",0,V298*Val_pt*(Ceiling_e-E_zero)*(1-(1-Half_gap)^T298))+IF(Y298="",0,Y298*Val_pt*(Ceiling_e-E_zero)*(1-(1-Half_gap)^W298)),"")</f>
        <v>75.8265822289</v>
      </c>
      <c r="AE298" s="13" t="n">
        <f aca="false">IF(AND($J298=1,$M298=0),IF(S298="",0,S298*R298)+IF(V298="",0,V298*U298)+IF(Y298="",0,Y298*X298),"")</f>
        <v>141.676311101571</v>
      </c>
      <c r="AF298" s="12" t="n">
        <f aca="false">IF(AND($J298=1,$M298=0),MIN((AC298-E298)/Span_P,(AD298-F298)/Span_S,(AE298-G298)/Span_B),"")</f>
        <v>0.00450874067714229</v>
      </c>
      <c r="AG298" s="15" t="n">
        <f aca="false">IF(AND($J298=1,$M298=0),IF(AF298&gt;0.0000001,1,0),"")</f>
        <v>1</v>
      </c>
      <c r="AH298" s="15" t="n">
        <f aca="false">IF($J298=1,IF($M298=1,AB298,AG298),"")</f>
        <v>1</v>
      </c>
      <c r="AI298" s="13" t="n">
        <f aca="false">IF($J298=1,(Ideal_P-E298)/Span_P,"")</f>
        <v>0.391263769585756</v>
      </c>
      <c r="AJ298" s="13" t="n">
        <f aca="false">IF($J298=1,(Ideal_S-F298)/Span_S,"")</f>
        <v>1</v>
      </c>
      <c r="AK298" s="13" t="n">
        <f aca="false">IF($J298=1,(Ideal_B-G298)/Span_B,"")</f>
        <v>0.06</v>
      </c>
      <c r="AL298" s="12" t="n">
        <f aca="false">IF($J298=1,MAX(ChA_1*AI298,ChA_2*AJ298,ChA_3*AK298)+Rho*(ChA_1*AI298+ChA_2*AJ298+ChA_3*AK298),"")</f>
        <v>1.00014512637696</v>
      </c>
      <c r="AM298" s="12" t="n">
        <f aca="false">IF($J298=1,MAX(ChB_1*AI298,ChB_2*AJ298,ChB_3*AK298)+Rho*(ChB_1*AI298+ChB_2*AJ298+ChB_3*AK298),"")</f>
        <v>1.00018425275392</v>
      </c>
      <c r="AN298" s="12" t="n">
        <f aca="false">IF($J298=1,MAX(Cx_1*(Ref_P-E298)/Span_P,Cx_2*(Ref_S-F298)/Span_S,Cx_3*(Ref_B-G298)/Span_B),"")</f>
        <v>4.28317373461012</v>
      </c>
    </row>
    <row r="299" customFormat="false" ht="15" hidden="false" customHeight="false" outlineLevel="0" collapsed="false">
      <c r="A299" s="2" t="n">
        <v>293</v>
      </c>
      <c r="B299" s="15" t="n">
        <f aca="false">INT(A299/151)</f>
        <v>1</v>
      </c>
      <c r="C299" s="15" t="n">
        <f aca="false">MOD(A299,151)</f>
        <v>142</v>
      </c>
      <c r="D299" s="15" t="n">
        <f aca="false">INDEX(Grid!$J$6:$P$156,C299+1,B299+1)</f>
        <v>1</v>
      </c>
      <c r="E299" s="16" t="n">
        <f aca="false">IF(D299=1,INDEX(Grid!$B$6:$H$156,C299+1,B299+1),"")</f>
        <v>241.581734978361</v>
      </c>
      <c r="F299" s="13" t="n">
        <f aca="false">Val_pt*(Ceiling_e-E_zero)*(1-(1-Half_gap)^B299)</f>
        <v>70</v>
      </c>
      <c r="G299" s="15" t="n">
        <f aca="false">C299</f>
        <v>142</v>
      </c>
      <c r="H299" s="15" t="n">
        <f aca="false">IF(D299=1,INDEX(Grid!$R$6:$X$156,C299+1,B299+1),"")</f>
        <v>32</v>
      </c>
      <c r="I299" s="2" t="str">
        <f aca="false">IF(D299=1,INDEX(Sch_label,H299+1),"")</f>
        <v>1</v>
      </c>
      <c r="J299" s="15" t="n">
        <f aca="false">IF(D299=1,INDEX(Grid!$Z$6:$AF$156,C299+1,B299+1),0)</f>
        <v>1</v>
      </c>
      <c r="K299" s="16" t="n">
        <f aca="false">IF(J299=1,E299,0)</f>
        <v>241.581734978361</v>
      </c>
      <c r="L299" s="17" t="n">
        <f aca="false">IF(D299=1,E299+W_board*F299,"")</f>
        <v>636.713486016005</v>
      </c>
      <c r="M299" s="24" t="n">
        <v>0</v>
      </c>
      <c r="Q299" s="24" t="n">
        <v>1</v>
      </c>
      <c r="R299" s="24" t="n">
        <v>150</v>
      </c>
      <c r="S299" s="25" t="n">
        <v>0.852023308472379</v>
      </c>
      <c r="T299" s="24" t="n">
        <v>2</v>
      </c>
      <c r="U299" s="24" t="n">
        <v>100</v>
      </c>
      <c r="V299" s="25" t="n">
        <v>0.14797669152762</v>
      </c>
      <c r="Z299" s="12" t="str">
        <f aca="false">IF(AND($J299=1,$M299=1),N299*E299/Span_P+O299*F299/Span_S+P299*G299/Span_B,"")</f>
        <v/>
      </c>
      <c r="AA299" s="12" t="str">
        <f aca="false">IF(AND($J299=1,$M299=1),SUMPRODUCT(MAX($J$6:$J$1062*(N299*$K$6:$K$1062/Span_P+O299*$F$6:$F$1062/Span_S+P299*$G$6:$G$1062/Span_B)-(1-$J$6:$J$1062)*1000000000)),"")</f>
        <v/>
      </c>
      <c r="AB299" s="15" t="str">
        <f aca="false">IF(AND($J299=1,$M299=1),IF(AA299-Z299&lt;=0.000000001,1,0),"")</f>
        <v/>
      </c>
      <c r="AC299" s="13" t="n">
        <f aca="false">IF(AND($J299=1,$M299=0),IF(S299="",0,S299*INDEX(Grid!$B$6:$H$156,R299+1,Q299+1))+IF(V299="",0,V299*INDEX(Grid!$B$6:$H$156,U299+1,T299+1))+IF(Y299="",0,Y299*INDEX(Grid!$B$6:$H$156,X299+1,W299+1)),"")</f>
        <v>243.033008740811</v>
      </c>
      <c r="AD299" s="13" t="n">
        <f aca="false">IF(AND($J299=1,$M299=0),IF(S299="",0,S299*Val_pt*(Ceiling_e-E_zero)*(1-(1-Half_gap)^Q299))+IF(V299="",0,V299*Val_pt*(Ceiling_e-E_zero)*(1-(1-Half_gap)^T299))+IF(Y299="",0,Y299*Val_pt*(Ceiling_e-E_zero)*(1-(1-Half_gap)^W299)),"")</f>
        <v>75.1791842034666</v>
      </c>
      <c r="AE299" s="13" t="n">
        <f aca="false">IF(AND($J299=1,$M299=0),IF(S299="",0,S299*R299)+IF(V299="",0,V299*U299)+IF(Y299="",0,Y299*X299),"")</f>
        <v>142.601165423619</v>
      </c>
      <c r="AF299" s="12" t="n">
        <f aca="false">IF(AND($J299=1,$M299=0),MIN((AC299-E299)/Span_P,(AD299-F299)/Span_S,(AE299-G299)/Span_B),"")</f>
        <v>0.00400776949079235</v>
      </c>
      <c r="AG299" s="15" t="n">
        <f aca="false">IF(AND($J299=1,$M299=0),IF(AF299&gt;0.0000001,1,0),"")</f>
        <v>1</v>
      </c>
      <c r="AH299" s="15" t="n">
        <f aca="false">IF($J299=1,IF($M299=1,AB299,AG299),"")</f>
        <v>1</v>
      </c>
      <c r="AI299" s="13" t="n">
        <f aca="false">IF($J299=1,(Ideal_P-E299)/Span_P,"")</f>
        <v>0.393774272362061</v>
      </c>
      <c r="AJ299" s="13" t="n">
        <f aca="false">IF($J299=1,(Ideal_S-F299)/Span_S,"")</f>
        <v>1</v>
      </c>
      <c r="AK299" s="13" t="n">
        <f aca="false">IF($J299=1,(Ideal_B-G299)/Span_B,"")</f>
        <v>0.0533333333333333</v>
      </c>
      <c r="AL299" s="12" t="n">
        <f aca="false">IF($J299=1,MAX(ChA_1*AI299,ChA_2*AJ299,ChA_3*AK299)+Rho*(ChA_1*AI299+ChA_2*AJ299+ChA_3*AK299),"")</f>
        <v>1.00014471076057</v>
      </c>
      <c r="AM299" s="12" t="n">
        <f aca="false">IF($J299=1,MAX(ChB_1*AI299,ChB_2*AJ299,ChB_3*AK299)+Rho*(ChB_1*AI299+ChB_2*AJ299+ChB_3*AK299),"")</f>
        <v>1.00018408818781</v>
      </c>
      <c r="AN299" s="12" t="n">
        <f aca="false">IF($J299=1,MAX(Cx_1*(Ref_P-E299)/Span_P,Cx_2*(Ref_S-F299)/Span_S,Cx_3*(Ref_B-G299)/Span_B),"")</f>
        <v>4.28317373461012</v>
      </c>
    </row>
    <row r="300" customFormat="false" ht="15" hidden="false" customHeight="false" outlineLevel="0" collapsed="false">
      <c r="A300" s="2" t="n">
        <v>294</v>
      </c>
      <c r="B300" s="15" t="n">
        <f aca="false">INT(A300/151)</f>
        <v>1</v>
      </c>
      <c r="C300" s="15" t="n">
        <f aca="false">MOD(A300,151)</f>
        <v>143</v>
      </c>
      <c r="D300" s="15" t="n">
        <f aca="false">INDEX(Grid!$J$6:$P$156,C300+1,B300+1)</f>
        <v>1</v>
      </c>
      <c r="E300" s="16" t="n">
        <f aca="false">IF(D300=1,INDEX(Grid!$B$6:$H$156,C300+1,B300+1),"")</f>
        <v>240.67264406927</v>
      </c>
      <c r="F300" s="13" t="n">
        <f aca="false">Val_pt*(Ceiling_e-E_zero)*(1-(1-Half_gap)^B300)</f>
        <v>70</v>
      </c>
      <c r="G300" s="15" t="n">
        <f aca="false">C300</f>
        <v>143</v>
      </c>
      <c r="H300" s="15" t="n">
        <f aca="false">IF(D300=1,INDEX(Grid!$R$6:$X$156,C300+1,B300+1),"")</f>
        <v>32</v>
      </c>
      <c r="I300" s="2" t="str">
        <f aca="false">IF(D300=1,INDEX(Sch_label,H300+1),"")</f>
        <v>1</v>
      </c>
      <c r="J300" s="15" t="n">
        <f aca="false">IF(D300=1,INDEX(Grid!$Z$6:$AF$156,C300+1,B300+1),0)</f>
        <v>1</v>
      </c>
      <c r="K300" s="16" t="n">
        <f aca="false">IF(J300=1,E300,0)</f>
        <v>240.67264406927</v>
      </c>
      <c r="L300" s="17" t="n">
        <f aca="false">IF(D300=1,E300+W_board*F300,"")</f>
        <v>635.804395106914</v>
      </c>
      <c r="M300" s="24" t="n">
        <v>0</v>
      </c>
      <c r="Q300" s="24" t="n">
        <v>1</v>
      </c>
      <c r="R300" s="24" t="n">
        <v>150</v>
      </c>
      <c r="S300" s="25" t="n">
        <v>0.870520394913332</v>
      </c>
      <c r="T300" s="24" t="n">
        <v>2</v>
      </c>
      <c r="U300" s="24" t="n">
        <v>100</v>
      </c>
      <c r="V300" s="25" t="n">
        <v>0.129479605086668</v>
      </c>
      <c r="Z300" s="12" t="str">
        <f aca="false">IF(AND($J300=1,$M300=1),N300*E300/Span_P+O300*F300/Span_S+P300*G300/Span_B,"")</f>
        <v/>
      </c>
      <c r="AA300" s="12" t="str">
        <f aca="false">IF(AND($J300=1,$M300=1),SUMPRODUCT(MAX($J$6:$J$1062*(N300*$K$6:$K$1062/Span_P+O300*$F$6:$F$1062/Span_S+P300*$G$6:$G$1062/Span_B)-(1-$J$6:$J$1062)*1000000000)),"")</f>
        <v/>
      </c>
      <c r="AB300" s="15" t="str">
        <f aca="false">IF(AND($J300=1,$M300=1),IF(AA300-Z300&lt;=0.000000001,1,0),"")</f>
        <v/>
      </c>
      <c r="AC300" s="13" t="n">
        <f aca="false">IF(AND($J300=1,$M300=0),IF(S300="",0,S300*INDEX(Grid!$B$6:$H$156,R300+1,Q300+1))+IF(V300="",0,V300*INDEX(Grid!$B$6:$H$156,U300+1,T300+1))+IF(Y300="",0,Y300*INDEX(Grid!$B$6:$H$156,X300+1,W300+1)),"")</f>
        <v>241.942508611414</v>
      </c>
      <c r="AD300" s="13" t="n">
        <f aca="false">IF(AND($J300=1,$M300=0),IF(S300="",0,S300*Val_pt*(Ceiling_e-E_zero)*(1-(1-Half_gap)^Q300))+IF(V300="",0,V300*Val_pt*(Ceiling_e-E_zero)*(1-(1-Half_gap)^T300))+IF(Y300="",0,Y300*Val_pt*(Ceiling_e-E_zero)*(1-(1-Half_gap)^W300)),"")</f>
        <v>74.5317861780334</v>
      </c>
      <c r="AE300" s="13" t="n">
        <f aca="false">IF(AND($J300=1,$M300=0),IF(S300="",0,S300*R300)+IF(V300="",0,V300*U300)+IF(Y300="",0,Y300*X300),"")</f>
        <v>143.526019745667</v>
      </c>
      <c r="AF300" s="12" t="n">
        <f aca="false">IF(AND($J300=1,$M300=0),MIN((AC300-E300)/Span_P,(AD300-F300)/Span_S,(AE300-G300)/Span_B),"")</f>
        <v>0.0035067983044443</v>
      </c>
      <c r="AG300" s="15" t="n">
        <f aca="false">IF(AND($J300=1,$M300=0),IF(AF300&gt;0.0000001,1,0),"")</f>
        <v>1</v>
      </c>
      <c r="AH300" s="15" t="n">
        <f aca="false">IF($J300=1,IF($M300=1,AB300,AG300),"")</f>
        <v>1</v>
      </c>
      <c r="AI300" s="13" t="n">
        <f aca="false">IF($J300=1,(Ideal_P-E300)/Span_P,"")</f>
        <v>0.396284775138367</v>
      </c>
      <c r="AJ300" s="13" t="n">
        <f aca="false">IF($J300=1,(Ideal_S-F300)/Span_S,"")</f>
        <v>1</v>
      </c>
      <c r="AK300" s="13" t="n">
        <f aca="false">IF($J300=1,(Ideal_B-G300)/Span_B,"")</f>
        <v>0.0466666666666667</v>
      </c>
      <c r="AL300" s="12" t="n">
        <f aca="false">IF($J300=1,MAX(ChA_1*AI300,ChA_2*AJ300,ChA_3*AK300)+Rho*(ChA_1*AI300+ChA_2*AJ300+ChA_3*AK300),"")</f>
        <v>1.00014429514418</v>
      </c>
      <c r="AM300" s="12" t="n">
        <f aca="false">IF($J300=1,MAX(ChB_1*AI300,ChB_2*AJ300,ChB_3*AK300)+Rho*(ChB_1*AI300+ChB_2*AJ300+ChB_3*AK300),"")</f>
        <v>1.00018392362169</v>
      </c>
      <c r="AN300" s="12" t="n">
        <f aca="false">IF($J300=1,MAX(Cx_1*(Ref_P-E300)/Span_P,Cx_2*(Ref_S-F300)/Span_S,Cx_3*(Ref_B-G300)/Span_B),"")</f>
        <v>4.28317373461012</v>
      </c>
    </row>
    <row r="301" customFormat="false" ht="15" hidden="false" customHeight="false" outlineLevel="0" collapsed="false">
      <c r="A301" s="2" t="n">
        <v>295</v>
      </c>
      <c r="B301" s="15" t="n">
        <f aca="false">INT(A301/151)</f>
        <v>1</v>
      </c>
      <c r="C301" s="15" t="n">
        <f aca="false">MOD(A301,151)</f>
        <v>144</v>
      </c>
      <c r="D301" s="15" t="n">
        <f aca="false">INDEX(Grid!$J$6:$P$156,C301+1,B301+1)</f>
        <v>1</v>
      </c>
      <c r="E301" s="16" t="n">
        <f aca="false">IF(D301=1,INDEX(Grid!$B$6:$H$156,C301+1,B301+1),"")</f>
        <v>239.763553160179</v>
      </c>
      <c r="F301" s="13" t="n">
        <f aca="false">Val_pt*(Ceiling_e-E_zero)*(1-(1-Half_gap)^B301)</f>
        <v>70</v>
      </c>
      <c r="G301" s="15" t="n">
        <f aca="false">C301</f>
        <v>144</v>
      </c>
      <c r="H301" s="15" t="n">
        <f aca="false">IF(D301=1,INDEX(Grid!$R$6:$X$156,C301+1,B301+1),"")</f>
        <v>32</v>
      </c>
      <c r="I301" s="2" t="str">
        <f aca="false">IF(D301=1,INDEX(Sch_label,H301+1),"")</f>
        <v>1</v>
      </c>
      <c r="J301" s="15" t="n">
        <f aca="false">IF(D301=1,INDEX(Grid!$Z$6:$AF$156,C301+1,B301+1),0)</f>
        <v>1</v>
      </c>
      <c r="K301" s="16" t="n">
        <f aca="false">IF(J301=1,E301,0)</f>
        <v>239.763553160179</v>
      </c>
      <c r="L301" s="17" t="n">
        <f aca="false">IF(D301=1,E301+W_board*F301,"")</f>
        <v>634.895304197823</v>
      </c>
      <c r="M301" s="24" t="n">
        <v>0</v>
      </c>
      <c r="Q301" s="24" t="n">
        <v>1</v>
      </c>
      <c r="R301" s="24" t="n">
        <v>150</v>
      </c>
      <c r="S301" s="25" t="n">
        <v>0.889017481354285</v>
      </c>
      <c r="T301" s="24" t="n">
        <v>2</v>
      </c>
      <c r="U301" s="24" t="n">
        <v>100</v>
      </c>
      <c r="V301" s="25" t="n">
        <v>0.110982518645715</v>
      </c>
      <c r="Z301" s="12" t="str">
        <f aca="false">IF(AND($J301=1,$M301=1),N301*E301/Span_P+O301*F301/Span_S+P301*G301/Span_B,"")</f>
        <v/>
      </c>
      <c r="AA301" s="12" t="str">
        <f aca="false">IF(AND($J301=1,$M301=1),SUMPRODUCT(MAX($J$6:$J$1062*(N301*$K$6:$K$1062/Span_P+O301*$F$6:$F$1062/Span_S+P301*$G$6:$G$1062/Span_B)-(1-$J$6:$J$1062)*1000000000)),"")</f>
        <v/>
      </c>
      <c r="AB301" s="15" t="str">
        <f aca="false">IF(AND($J301=1,$M301=1),IF(AA301-Z301&lt;=0.000000001,1,0),"")</f>
        <v/>
      </c>
      <c r="AC301" s="13" t="n">
        <f aca="false">IF(AND($J301=1,$M301=0),IF(S301="",0,S301*INDEX(Grid!$B$6:$H$156,R301+1,Q301+1))+IF(V301="",0,V301*INDEX(Grid!$B$6:$H$156,U301+1,T301+1))+IF(Y301="",0,Y301*INDEX(Grid!$B$6:$H$156,X301+1,W301+1)),"")</f>
        <v>240.852008482017</v>
      </c>
      <c r="AD301" s="13" t="n">
        <f aca="false">IF(AND($J301=1,$M301=0),IF(S301="",0,S301*Val_pt*(Ceiling_e-E_zero)*(1-(1-Half_gap)^Q301))+IF(V301="",0,V301*Val_pt*(Ceiling_e-E_zero)*(1-(1-Half_gap)^T301))+IF(Y301="",0,Y301*Val_pt*(Ceiling_e-E_zero)*(1-(1-Half_gap)^W301)),"")</f>
        <v>73.8843881526</v>
      </c>
      <c r="AE301" s="13" t="n">
        <f aca="false">IF(AND($J301=1,$M301=0),IF(S301="",0,S301*R301)+IF(V301="",0,V301*U301)+IF(Y301="",0,Y301*X301),"")</f>
        <v>144.450874067714</v>
      </c>
      <c r="AF301" s="12" t="n">
        <f aca="false">IF(AND($J301=1,$M301=0),MIN((AC301-E301)/Span_P,(AD301-F301)/Span_S,(AE301-G301)/Span_B),"")</f>
        <v>0.00300582711809473</v>
      </c>
      <c r="AG301" s="15" t="n">
        <f aca="false">IF(AND($J301=1,$M301=0),IF(AF301&gt;0.0000001,1,0),"")</f>
        <v>1</v>
      </c>
      <c r="AH301" s="15" t="n">
        <f aca="false">IF($J301=1,IF($M301=1,AB301,AG301),"")</f>
        <v>1</v>
      </c>
      <c r="AI301" s="13" t="n">
        <f aca="false">IF($J301=1,(Ideal_P-E301)/Span_P,"")</f>
        <v>0.398795277914673</v>
      </c>
      <c r="AJ301" s="13" t="n">
        <f aca="false">IF($J301=1,(Ideal_S-F301)/Span_S,"")</f>
        <v>1</v>
      </c>
      <c r="AK301" s="13" t="n">
        <f aca="false">IF($J301=1,(Ideal_B-G301)/Span_B,"")</f>
        <v>0.04</v>
      </c>
      <c r="AL301" s="12" t="n">
        <f aca="false">IF($J301=1,MAX(ChA_1*AI301,ChA_2*AJ301,ChA_3*AK301)+Rho*(ChA_1*AI301+ChA_2*AJ301+ChA_3*AK301),"")</f>
        <v>1.00014387952779</v>
      </c>
      <c r="AM301" s="12" t="n">
        <f aca="false">IF($J301=1,MAX(ChB_1*AI301,ChB_2*AJ301,ChB_3*AK301)+Rho*(ChB_1*AI301+ChB_2*AJ301+ChB_3*AK301),"")</f>
        <v>1.00018375905558</v>
      </c>
      <c r="AN301" s="12" t="n">
        <f aca="false">IF($J301=1,MAX(Cx_1*(Ref_P-E301)/Span_P,Cx_2*(Ref_S-F301)/Span_S,Cx_3*(Ref_B-G301)/Span_B),"")</f>
        <v>4.28317373461012</v>
      </c>
    </row>
    <row r="302" customFormat="false" ht="15" hidden="false" customHeight="false" outlineLevel="0" collapsed="false">
      <c r="A302" s="2" t="n">
        <v>296</v>
      </c>
      <c r="B302" s="15" t="n">
        <f aca="false">INT(A302/151)</f>
        <v>1</v>
      </c>
      <c r="C302" s="15" t="n">
        <f aca="false">MOD(A302,151)</f>
        <v>145</v>
      </c>
      <c r="D302" s="15" t="n">
        <f aca="false">INDEX(Grid!$J$6:$P$156,C302+1,B302+1)</f>
        <v>1</v>
      </c>
      <c r="E302" s="16" t="n">
        <f aca="false">IF(D302=1,INDEX(Grid!$B$6:$H$156,C302+1,B302+1),"")</f>
        <v>238.854462251088</v>
      </c>
      <c r="F302" s="13" t="n">
        <f aca="false">Val_pt*(Ceiling_e-E_zero)*(1-(1-Half_gap)^B302)</f>
        <v>70</v>
      </c>
      <c r="G302" s="15" t="n">
        <f aca="false">C302</f>
        <v>145</v>
      </c>
      <c r="H302" s="15" t="n">
        <f aca="false">IF(D302=1,INDEX(Grid!$R$6:$X$156,C302+1,B302+1),"")</f>
        <v>32</v>
      </c>
      <c r="I302" s="2" t="str">
        <f aca="false">IF(D302=1,INDEX(Sch_label,H302+1),"")</f>
        <v>1</v>
      </c>
      <c r="J302" s="15" t="n">
        <f aca="false">IF(D302=1,INDEX(Grid!$Z$6:$AF$156,C302+1,B302+1),0)</f>
        <v>1</v>
      </c>
      <c r="K302" s="16" t="n">
        <f aca="false">IF(J302=1,E302,0)</f>
        <v>238.854462251088</v>
      </c>
      <c r="L302" s="17" t="n">
        <f aca="false">IF(D302=1,E302+W_board*F302,"")</f>
        <v>633.986213288732</v>
      </c>
      <c r="M302" s="24" t="n">
        <v>0</v>
      </c>
      <c r="Q302" s="24" t="n">
        <v>1</v>
      </c>
      <c r="R302" s="24" t="n">
        <v>150</v>
      </c>
      <c r="S302" s="25" t="n">
        <v>0.907514567795238</v>
      </c>
      <c r="T302" s="24" t="n">
        <v>2</v>
      </c>
      <c r="U302" s="24" t="n">
        <v>100</v>
      </c>
      <c r="V302" s="25" t="n">
        <v>0.0924854322047627</v>
      </c>
      <c r="Z302" s="12" t="str">
        <f aca="false">IF(AND($J302=1,$M302=1),N302*E302/Span_P+O302*F302/Span_S+P302*G302/Span_B,"")</f>
        <v/>
      </c>
      <c r="AA302" s="12" t="str">
        <f aca="false">IF(AND($J302=1,$M302=1),SUMPRODUCT(MAX($J$6:$J$1062*(N302*$K$6:$K$1062/Span_P+O302*$F$6:$F$1062/Span_S+P302*$G$6:$G$1062/Span_B)-(1-$J$6:$J$1062)*1000000000)),"")</f>
        <v/>
      </c>
      <c r="AB302" s="15" t="str">
        <f aca="false">IF(AND($J302=1,$M302=1),IF(AA302-Z302&lt;=0.000000001,1,0),"")</f>
        <v/>
      </c>
      <c r="AC302" s="13" t="n">
        <f aca="false">IF(AND($J302=1,$M302=0),IF(S302="",0,S302*INDEX(Grid!$B$6:$H$156,R302+1,Q302+1))+IF(V302="",0,V302*INDEX(Grid!$B$6:$H$156,U302+1,T302+1))+IF(Y302="",0,Y302*INDEX(Grid!$B$6:$H$156,X302+1,W302+1)),"")</f>
        <v>239.76150835262</v>
      </c>
      <c r="AD302" s="13" t="n">
        <f aca="false">IF(AND($J302=1,$M302=0),IF(S302="",0,S302*Val_pt*(Ceiling_e-E_zero)*(1-(1-Half_gap)^Q302))+IF(V302="",0,V302*Val_pt*(Ceiling_e-E_zero)*(1-(1-Half_gap)^T302))+IF(Y302="",0,Y302*Val_pt*(Ceiling_e-E_zero)*(1-(1-Half_gap)^W302)),"")</f>
        <v>73.2369901271667</v>
      </c>
      <c r="AE302" s="13" t="n">
        <f aca="false">IF(AND($J302=1,$M302=0),IF(S302="",0,S302*R302)+IF(V302="",0,V302*U302)+IF(Y302="",0,Y302*X302),"")</f>
        <v>145.375728389762</v>
      </c>
      <c r="AF302" s="12" t="n">
        <f aca="false">IF(AND($J302=1,$M302=0),MIN((AC302-E302)/Span_P,(AD302-F302)/Span_S,(AE302-G302)/Span_B),"")</f>
        <v>0.0025048559317461</v>
      </c>
      <c r="AG302" s="15" t="n">
        <f aca="false">IF(AND($J302=1,$M302=0),IF(AF302&gt;0.0000001,1,0),"")</f>
        <v>1</v>
      </c>
      <c r="AH302" s="15" t="n">
        <f aca="false">IF($J302=1,IF($M302=1,AB302,AG302),"")</f>
        <v>1</v>
      </c>
      <c r="AI302" s="13" t="n">
        <f aca="false">IF($J302=1,(Ideal_P-E302)/Span_P,"")</f>
        <v>0.401305780690979</v>
      </c>
      <c r="AJ302" s="13" t="n">
        <f aca="false">IF($J302=1,(Ideal_S-F302)/Span_S,"")</f>
        <v>1</v>
      </c>
      <c r="AK302" s="13" t="n">
        <f aca="false">IF($J302=1,(Ideal_B-G302)/Span_B,"")</f>
        <v>0.0333333333333333</v>
      </c>
      <c r="AL302" s="12" t="n">
        <f aca="false">IF($J302=1,MAX(ChA_1*AI302,ChA_2*AJ302,ChA_3*AK302)+Rho*(ChA_1*AI302+ChA_2*AJ302+ChA_3*AK302),"")</f>
        <v>1.0001434639114</v>
      </c>
      <c r="AM302" s="12" t="n">
        <f aca="false">IF($J302=1,MAX(ChB_1*AI302,ChB_2*AJ302,ChB_3*AK302)+Rho*(ChB_1*AI302+ChB_2*AJ302+ChB_3*AK302),"")</f>
        <v>1.00018359448947</v>
      </c>
      <c r="AN302" s="12" t="n">
        <f aca="false">IF($J302=1,MAX(Cx_1*(Ref_P-E302)/Span_P,Cx_2*(Ref_S-F302)/Span_S,Cx_3*(Ref_B-G302)/Span_B),"")</f>
        <v>4.28317373461012</v>
      </c>
    </row>
    <row r="303" customFormat="false" ht="15" hidden="false" customHeight="false" outlineLevel="0" collapsed="false">
      <c r="A303" s="2" t="n">
        <v>297</v>
      </c>
      <c r="B303" s="15" t="n">
        <f aca="false">INT(A303/151)</f>
        <v>1</v>
      </c>
      <c r="C303" s="15" t="n">
        <f aca="false">MOD(A303,151)</f>
        <v>146</v>
      </c>
      <c r="D303" s="15" t="n">
        <f aca="false">INDEX(Grid!$J$6:$P$156,C303+1,B303+1)</f>
        <v>1</v>
      </c>
      <c r="E303" s="16" t="n">
        <f aca="false">IF(D303=1,INDEX(Grid!$B$6:$H$156,C303+1,B303+1),"")</f>
        <v>237.945371341997</v>
      </c>
      <c r="F303" s="13" t="n">
        <f aca="false">Val_pt*(Ceiling_e-E_zero)*(1-(1-Half_gap)^B303)</f>
        <v>70</v>
      </c>
      <c r="G303" s="15" t="n">
        <f aca="false">C303</f>
        <v>146</v>
      </c>
      <c r="H303" s="15" t="n">
        <f aca="false">IF(D303=1,INDEX(Grid!$R$6:$X$156,C303+1,B303+1),"")</f>
        <v>32</v>
      </c>
      <c r="I303" s="2" t="str">
        <f aca="false">IF(D303=1,INDEX(Sch_label,H303+1),"")</f>
        <v>1</v>
      </c>
      <c r="J303" s="15" t="n">
        <f aca="false">IF(D303=1,INDEX(Grid!$Z$6:$AF$156,C303+1,B303+1),0)</f>
        <v>1</v>
      </c>
      <c r="K303" s="16" t="n">
        <f aca="false">IF(J303=1,E303,0)</f>
        <v>237.945371341997</v>
      </c>
      <c r="L303" s="17" t="n">
        <f aca="false">IF(D303=1,E303+W_board*F303,"")</f>
        <v>633.077122379641</v>
      </c>
      <c r="M303" s="24" t="n">
        <v>0</v>
      </c>
      <c r="Q303" s="24" t="n">
        <v>1</v>
      </c>
      <c r="R303" s="24" t="n">
        <v>150</v>
      </c>
      <c r="S303" s="25" t="n">
        <v>0.92601165423619</v>
      </c>
      <c r="T303" s="24" t="n">
        <v>2</v>
      </c>
      <c r="U303" s="24" t="n">
        <v>100</v>
      </c>
      <c r="V303" s="25" t="n">
        <v>0.0739883457638097</v>
      </c>
      <c r="Z303" s="12" t="str">
        <f aca="false">IF(AND($J303=1,$M303=1),N303*E303/Span_P+O303*F303/Span_S+P303*G303/Span_B,"")</f>
        <v/>
      </c>
      <c r="AA303" s="12" t="str">
        <f aca="false">IF(AND($J303=1,$M303=1),SUMPRODUCT(MAX($J$6:$J$1062*(N303*$K$6:$K$1062/Span_P+O303*$F$6:$F$1062/Span_S+P303*$G$6:$G$1062/Span_B)-(1-$J$6:$J$1062)*1000000000)),"")</f>
        <v/>
      </c>
      <c r="AB303" s="15" t="str">
        <f aca="false">IF(AND($J303=1,$M303=1),IF(AA303-Z303&lt;=0.000000001,1,0),"")</f>
        <v/>
      </c>
      <c r="AC303" s="13" t="n">
        <f aca="false">IF(AND($J303=1,$M303=0),IF(S303="",0,S303*INDEX(Grid!$B$6:$H$156,R303+1,Q303+1))+IF(V303="",0,V303*INDEX(Grid!$B$6:$H$156,U303+1,T303+1))+IF(Y303="",0,Y303*INDEX(Grid!$B$6:$H$156,X303+1,W303+1)),"")</f>
        <v>238.671008223223</v>
      </c>
      <c r="AD303" s="13" t="n">
        <f aca="false">IF(AND($J303=1,$M303=0),IF(S303="",0,S303*Val_pt*(Ceiling_e-E_zero)*(1-(1-Half_gap)^Q303))+IF(V303="",0,V303*Val_pt*(Ceiling_e-E_zero)*(1-(1-Half_gap)^T303))+IF(Y303="",0,Y303*Val_pt*(Ceiling_e-E_zero)*(1-(1-Half_gap)^W303)),"")</f>
        <v>72.5895921017333</v>
      </c>
      <c r="AE303" s="13" t="n">
        <f aca="false">IF(AND($J303=1,$M303=0),IF(S303="",0,S303*R303)+IF(V303="",0,V303*U303)+IF(Y303="",0,Y303*X303),"")</f>
        <v>146.30058271181</v>
      </c>
      <c r="AF303" s="12" t="n">
        <f aca="false">IF(AND($J303=1,$M303=0),MIN((AC303-E303)/Span_P,(AD303-F303)/Span_S,(AE303-G303)/Span_B),"")</f>
        <v>0.00200388474539661</v>
      </c>
      <c r="AG303" s="15" t="n">
        <f aca="false">IF(AND($J303=1,$M303=0),IF(AF303&gt;0.0000001,1,0),"")</f>
        <v>1</v>
      </c>
      <c r="AH303" s="15" t="n">
        <f aca="false">IF($J303=1,IF($M303=1,AB303,AG303),"")</f>
        <v>1</v>
      </c>
      <c r="AI303" s="13" t="n">
        <f aca="false">IF($J303=1,(Ideal_P-E303)/Span_P,"")</f>
        <v>0.403816283467284</v>
      </c>
      <c r="AJ303" s="13" t="n">
        <f aca="false">IF($J303=1,(Ideal_S-F303)/Span_S,"")</f>
        <v>1</v>
      </c>
      <c r="AK303" s="13" t="n">
        <f aca="false">IF($J303=1,(Ideal_B-G303)/Span_B,"")</f>
        <v>0.0266666666666667</v>
      </c>
      <c r="AL303" s="12" t="n">
        <f aca="false">IF($J303=1,MAX(ChA_1*AI303,ChA_2*AJ303,ChA_3*AK303)+Rho*(ChA_1*AI303+ChA_2*AJ303+ChA_3*AK303),"")</f>
        <v>1.00014304829501</v>
      </c>
      <c r="AM303" s="12" t="n">
        <f aca="false">IF($J303=1,MAX(ChB_1*AI303,ChB_2*AJ303,ChB_3*AK303)+Rho*(ChB_1*AI303+ChB_2*AJ303+ChB_3*AK303),"")</f>
        <v>1.00018342992336</v>
      </c>
      <c r="AN303" s="12" t="n">
        <f aca="false">IF($J303=1,MAX(Cx_1*(Ref_P-E303)/Span_P,Cx_2*(Ref_S-F303)/Span_S,Cx_3*(Ref_B-G303)/Span_B),"")</f>
        <v>4.28317373461012</v>
      </c>
    </row>
    <row r="304" customFormat="false" ht="15" hidden="false" customHeight="false" outlineLevel="0" collapsed="false">
      <c r="A304" s="2" t="n">
        <v>298</v>
      </c>
      <c r="B304" s="15" t="n">
        <f aca="false">INT(A304/151)</f>
        <v>1</v>
      </c>
      <c r="C304" s="15" t="n">
        <f aca="false">MOD(A304,151)</f>
        <v>147</v>
      </c>
      <c r="D304" s="15" t="n">
        <f aca="false">INDEX(Grid!$J$6:$P$156,C304+1,B304+1)</f>
        <v>1</v>
      </c>
      <c r="E304" s="16" t="n">
        <f aca="false">IF(D304=1,INDEX(Grid!$B$6:$H$156,C304+1,B304+1),"")</f>
        <v>237.036280432906</v>
      </c>
      <c r="F304" s="13" t="n">
        <f aca="false">Val_pt*(Ceiling_e-E_zero)*(1-(1-Half_gap)^B304)</f>
        <v>70</v>
      </c>
      <c r="G304" s="15" t="n">
        <f aca="false">C304</f>
        <v>147</v>
      </c>
      <c r="H304" s="15" t="n">
        <f aca="false">IF(D304=1,INDEX(Grid!$R$6:$X$156,C304+1,B304+1),"")</f>
        <v>32</v>
      </c>
      <c r="I304" s="2" t="str">
        <f aca="false">IF(D304=1,INDEX(Sch_label,H304+1),"")</f>
        <v>1</v>
      </c>
      <c r="J304" s="15" t="n">
        <f aca="false">IF(D304=1,INDEX(Grid!$Z$6:$AF$156,C304+1,B304+1),0)</f>
        <v>1</v>
      </c>
      <c r="K304" s="16" t="n">
        <f aca="false">IF(J304=1,E304,0)</f>
        <v>237.036280432906</v>
      </c>
      <c r="L304" s="17" t="n">
        <f aca="false">IF(D304=1,E304+W_board*F304,"")</f>
        <v>632.16803147055</v>
      </c>
      <c r="M304" s="24" t="n">
        <v>0</v>
      </c>
      <c r="Q304" s="24" t="n">
        <v>1</v>
      </c>
      <c r="R304" s="24" t="n">
        <v>150</v>
      </c>
      <c r="S304" s="25" t="n">
        <v>0.944508740677143</v>
      </c>
      <c r="T304" s="24" t="n">
        <v>2</v>
      </c>
      <c r="U304" s="24" t="n">
        <v>100</v>
      </c>
      <c r="V304" s="25" t="n">
        <v>0.0554912593228573</v>
      </c>
      <c r="Z304" s="12" t="str">
        <f aca="false">IF(AND($J304=1,$M304=1),N304*E304/Span_P+O304*F304/Span_S+P304*G304/Span_B,"")</f>
        <v/>
      </c>
      <c r="AA304" s="12" t="str">
        <f aca="false">IF(AND($J304=1,$M304=1),SUMPRODUCT(MAX($J$6:$J$1062*(N304*$K$6:$K$1062/Span_P+O304*$F$6:$F$1062/Span_S+P304*$G$6:$G$1062/Span_B)-(1-$J$6:$J$1062)*1000000000)),"")</f>
        <v/>
      </c>
      <c r="AB304" s="15" t="str">
        <f aca="false">IF(AND($J304=1,$M304=1),IF(AA304-Z304&lt;=0.000000001,1,0),"")</f>
        <v/>
      </c>
      <c r="AC304" s="13" t="n">
        <f aca="false">IF(AND($J304=1,$M304=0),IF(S304="",0,S304*INDEX(Grid!$B$6:$H$156,R304+1,Q304+1))+IF(V304="",0,V304*INDEX(Grid!$B$6:$H$156,U304+1,T304+1))+IF(Y304="",0,Y304*INDEX(Grid!$B$6:$H$156,X304+1,W304+1)),"")</f>
        <v>237.580508093825</v>
      </c>
      <c r="AD304" s="13" t="n">
        <f aca="false">IF(AND($J304=1,$M304=0),IF(S304="",0,S304*Val_pt*(Ceiling_e-E_zero)*(1-(1-Half_gap)^Q304))+IF(V304="",0,V304*Val_pt*(Ceiling_e-E_zero)*(1-(1-Half_gap)^T304))+IF(Y304="",0,Y304*Val_pt*(Ceiling_e-E_zero)*(1-(1-Half_gap)^W304)),"")</f>
        <v>71.9421940763</v>
      </c>
      <c r="AE304" s="13" t="n">
        <f aca="false">IF(AND($J304=1,$M304=0),IF(S304="",0,S304*R304)+IF(V304="",0,V304*U304)+IF(Y304="",0,Y304*X304),"")</f>
        <v>147.225437033857</v>
      </c>
      <c r="AF304" s="12" t="n">
        <f aca="false">IF(AND($J304=1,$M304=0),MIN((AC304-E304)/Span_P,(AD304-F304)/Span_S,(AE304-G304)/Span_B),"")</f>
        <v>0.00150291355904744</v>
      </c>
      <c r="AG304" s="15" t="n">
        <f aca="false">IF(AND($J304=1,$M304=0),IF(AF304&gt;0.0000001,1,0),"")</f>
        <v>1</v>
      </c>
      <c r="AH304" s="15" t="n">
        <f aca="false">IF($J304=1,IF($M304=1,AB304,AG304),"")</f>
        <v>1</v>
      </c>
      <c r="AI304" s="13" t="n">
        <f aca="false">IF($J304=1,(Ideal_P-E304)/Span_P,"")</f>
        <v>0.40632678624359</v>
      </c>
      <c r="AJ304" s="13" t="n">
        <f aca="false">IF($J304=1,(Ideal_S-F304)/Span_S,"")</f>
        <v>1</v>
      </c>
      <c r="AK304" s="13" t="n">
        <f aca="false">IF($J304=1,(Ideal_B-G304)/Span_B,"")</f>
        <v>0.02</v>
      </c>
      <c r="AL304" s="12" t="n">
        <f aca="false">IF($J304=1,MAX(ChA_1*AI304,ChA_2*AJ304,ChA_3*AK304)+Rho*(ChA_1*AI304+ChA_2*AJ304+ChA_3*AK304),"")</f>
        <v>1.00014263267862</v>
      </c>
      <c r="AM304" s="12" t="n">
        <f aca="false">IF($J304=1,MAX(ChB_1*AI304,ChB_2*AJ304,ChB_3*AK304)+Rho*(ChB_1*AI304+ChB_2*AJ304+ChB_3*AK304),"")</f>
        <v>1.00018326535725</v>
      </c>
      <c r="AN304" s="12" t="n">
        <f aca="false">IF($J304=1,MAX(Cx_1*(Ref_P-E304)/Span_P,Cx_2*(Ref_S-F304)/Span_S,Cx_3*(Ref_B-G304)/Span_B),"")</f>
        <v>4.28317373461012</v>
      </c>
    </row>
    <row r="305" customFormat="false" ht="15" hidden="false" customHeight="false" outlineLevel="0" collapsed="false">
      <c r="A305" s="2" t="n">
        <v>299</v>
      </c>
      <c r="B305" s="15" t="n">
        <f aca="false">INT(A305/151)</f>
        <v>1</v>
      </c>
      <c r="C305" s="15" t="n">
        <f aca="false">MOD(A305,151)</f>
        <v>148</v>
      </c>
      <c r="D305" s="15" t="n">
        <f aca="false">INDEX(Grid!$J$6:$P$156,C305+1,B305+1)</f>
        <v>1</v>
      </c>
      <c r="E305" s="16" t="n">
        <f aca="false">IF(D305=1,INDEX(Grid!$B$6:$H$156,C305+1,B305+1),"")</f>
        <v>236.127189523815</v>
      </c>
      <c r="F305" s="13" t="n">
        <f aca="false">Val_pt*(Ceiling_e-E_zero)*(1-(1-Half_gap)^B305)</f>
        <v>70</v>
      </c>
      <c r="G305" s="15" t="n">
        <f aca="false">C305</f>
        <v>148</v>
      </c>
      <c r="H305" s="15" t="n">
        <f aca="false">IF(D305=1,INDEX(Grid!$R$6:$X$156,C305+1,B305+1),"")</f>
        <v>32</v>
      </c>
      <c r="I305" s="2" t="str">
        <f aca="false">IF(D305=1,INDEX(Sch_label,H305+1),"")</f>
        <v>1</v>
      </c>
      <c r="J305" s="15" t="n">
        <f aca="false">IF(D305=1,INDEX(Grid!$Z$6:$AF$156,C305+1,B305+1),0)</f>
        <v>1</v>
      </c>
      <c r="K305" s="16" t="n">
        <f aca="false">IF(J305=1,E305,0)</f>
        <v>236.127189523815</v>
      </c>
      <c r="L305" s="17" t="n">
        <f aca="false">IF(D305=1,E305+W_board*F305,"")</f>
        <v>631.25894056146</v>
      </c>
      <c r="M305" s="24" t="n">
        <v>0</v>
      </c>
      <c r="Q305" s="24" t="n">
        <v>1</v>
      </c>
      <c r="R305" s="24" t="n">
        <v>150</v>
      </c>
      <c r="S305" s="25" t="n">
        <v>0.963005827118095</v>
      </c>
      <c r="T305" s="24" t="n">
        <v>2</v>
      </c>
      <c r="U305" s="24" t="n">
        <v>100</v>
      </c>
      <c r="V305" s="25" t="n">
        <v>0.036994172881905</v>
      </c>
      <c r="Z305" s="12" t="str">
        <f aca="false">IF(AND($J305=1,$M305=1),N305*E305/Span_P+O305*F305/Span_S+P305*G305/Span_B,"")</f>
        <v/>
      </c>
      <c r="AA305" s="12" t="str">
        <f aca="false">IF(AND($J305=1,$M305=1),SUMPRODUCT(MAX($J$6:$J$1062*(N305*$K$6:$K$1062/Span_P+O305*$F$6:$F$1062/Span_S+P305*$G$6:$G$1062/Span_B)-(1-$J$6:$J$1062)*1000000000)),"")</f>
        <v/>
      </c>
      <c r="AB305" s="15" t="str">
        <f aca="false">IF(AND($J305=1,$M305=1),IF(AA305-Z305&lt;=0.000000001,1,0),"")</f>
        <v/>
      </c>
      <c r="AC305" s="13" t="n">
        <f aca="false">IF(AND($J305=1,$M305=0),IF(S305="",0,S305*INDEX(Grid!$B$6:$H$156,R305+1,Q305+1))+IF(V305="",0,V305*INDEX(Grid!$B$6:$H$156,U305+1,T305+1))+IF(Y305="",0,Y305*INDEX(Grid!$B$6:$H$156,X305+1,W305+1)),"")</f>
        <v>236.490007964428</v>
      </c>
      <c r="AD305" s="13" t="n">
        <f aca="false">IF(AND($J305=1,$M305=0),IF(S305="",0,S305*Val_pt*(Ceiling_e-E_zero)*(1-(1-Half_gap)^Q305))+IF(V305="",0,V305*Val_pt*(Ceiling_e-E_zero)*(1-(1-Half_gap)^T305))+IF(Y305="",0,Y305*Val_pt*(Ceiling_e-E_zero)*(1-(1-Half_gap)^W305)),"")</f>
        <v>71.2947960508667</v>
      </c>
      <c r="AE305" s="13" t="n">
        <f aca="false">IF(AND($J305=1,$M305=0),IF(S305="",0,S305*R305)+IF(V305="",0,V305*U305)+IF(Y305="",0,Y305*X305),"")</f>
        <v>148.150291355905</v>
      </c>
      <c r="AF305" s="12" t="n">
        <f aca="false">IF(AND($J305=1,$M305=0),MIN((AC305-E305)/Span_P,(AD305-F305)/Span_S,(AE305-G305)/Span_B),"")</f>
        <v>0.00100194237269837</v>
      </c>
      <c r="AG305" s="15" t="n">
        <f aca="false">IF(AND($J305=1,$M305=0),IF(AF305&gt;0.0000001,1,0),"")</f>
        <v>1</v>
      </c>
      <c r="AH305" s="15" t="n">
        <f aca="false">IF($J305=1,IF($M305=1,AB305,AG305),"")</f>
        <v>1</v>
      </c>
      <c r="AI305" s="13" t="n">
        <f aca="false">IF($J305=1,(Ideal_P-E305)/Span_P,"")</f>
        <v>0.408837289019896</v>
      </c>
      <c r="AJ305" s="13" t="n">
        <f aca="false">IF($J305=1,(Ideal_S-F305)/Span_S,"")</f>
        <v>1</v>
      </c>
      <c r="AK305" s="13" t="n">
        <f aca="false">IF($J305=1,(Ideal_B-G305)/Span_B,"")</f>
        <v>0.0133333333333333</v>
      </c>
      <c r="AL305" s="12" t="n">
        <f aca="false">IF($J305=1,MAX(ChA_1*AI305,ChA_2*AJ305,ChA_3*AK305)+Rho*(ChA_1*AI305+ChA_2*AJ305+ChA_3*AK305),"")</f>
        <v>1.00014221706224</v>
      </c>
      <c r="AM305" s="12" t="n">
        <f aca="false">IF($J305=1,MAX(ChB_1*AI305,ChB_2*AJ305,ChB_3*AK305)+Rho*(ChB_1*AI305+ChB_2*AJ305+ChB_3*AK305),"")</f>
        <v>1.00018310079114</v>
      </c>
      <c r="AN305" s="12" t="n">
        <f aca="false">IF($J305=1,MAX(Cx_1*(Ref_P-E305)/Span_P,Cx_2*(Ref_S-F305)/Span_S,Cx_3*(Ref_B-G305)/Span_B),"")</f>
        <v>4.28317373461012</v>
      </c>
    </row>
    <row r="306" customFormat="false" ht="15" hidden="false" customHeight="false" outlineLevel="0" collapsed="false">
      <c r="A306" s="2" t="n">
        <v>300</v>
      </c>
      <c r="B306" s="15" t="n">
        <f aca="false">INT(A306/151)</f>
        <v>1</v>
      </c>
      <c r="C306" s="15" t="n">
        <f aca="false">MOD(A306,151)</f>
        <v>149</v>
      </c>
      <c r="D306" s="15" t="n">
        <f aca="false">INDEX(Grid!$J$6:$P$156,C306+1,B306+1)</f>
        <v>1</v>
      </c>
      <c r="E306" s="16" t="n">
        <f aca="false">IF(D306=1,INDEX(Grid!$B$6:$H$156,C306+1,B306+1),"")</f>
        <v>235.218098614725</v>
      </c>
      <c r="F306" s="13" t="n">
        <f aca="false">Val_pt*(Ceiling_e-E_zero)*(1-(1-Half_gap)^B306)</f>
        <v>70</v>
      </c>
      <c r="G306" s="15" t="n">
        <f aca="false">C306</f>
        <v>149</v>
      </c>
      <c r="H306" s="15" t="n">
        <f aca="false">IF(D306=1,INDEX(Grid!$R$6:$X$156,C306+1,B306+1),"")</f>
        <v>32</v>
      </c>
      <c r="I306" s="2" t="str">
        <f aca="false">IF(D306=1,INDEX(Sch_label,H306+1),"")</f>
        <v>1</v>
      </c>
      <c r="J306" s="15" t="n">
        <f aca="false">IF(D306=1,INDEX(Grid!$Z$6:$AF$156,C306+1,B306+1),0)</f>
        <v>1</v>
      </c>
      <c r="K306" s="16" t="n">
        <f aca="false">IF(J306=1,E306,0)</f>
        <v>235.218098614725</v>
      </c>
      <c r="L306" s="17" t="n">
        <f aca="false">IF(D306=1,E306+W_board*F306,"")</f>
        <v>630.349849652369</v>
      </c>
      <c r="M306" s="24" t="n">
        <v>0</v>
      </c>
      <c r="Q306" s="24" t="n">
        <v>1</v>
      </c>
      <c r="R306" s="24" t="n">
        <v>150</v>
      </c>
      <c r="S306" s="25" t="n">
        <v>0.981502913559048</v>
      </c>
      <c r="T306" s="24" t="n">
        <v>2</v>
      </c>
      <c r="U306" s="24" t="n">
        <v>100</v>
      </c>
      <c r="V306" s="25" t="n">
        <v>0.0184970864409524</v>
      </c>
      <c r="Z306" s="12" t="str">
        <f aca="false">IF(AND($J306=1,$M306=1),N306*E306/Span_P+O306*F306/Span_S+P306*G306/Span_B,"")</f>
        <v/>
      </c>
      <c r="AA306" s="12" t="str">
        <f aca="false">IF(AND($J306=1,$M306=1),SUMPRODUCT(MAX($J$6:$J$1062*(N306*$K$6:$K$1062/Span_P+O306*$F$6:$F$1062/Span_S+P306*$G$6:$G$1062/Span_B)-(1-$J$6:$J$1062)*1000000000)),"")</f>
        <v/>
      </c>
      <c r="AB306" s="15" t="str">
        <f aca="false">IF(AND($J306=1,$M306=1),IF(AA306-Z306&lt;=0.000000001,1,0),"")</f>
        <v/>
      </c>
      <c r="AC306" s="13" t="n">
        <f aca="false">IF(AND($J306=1,$M306=0),IF(S306="",0,S306*INDEX(Grid!$B$6:$H$156,R306+1,Q306+1))+IF(V306="",0,V306*INDEX(Grid!$B$6:$H$156,U306+1,T306+1))+IF(Y306="",0,Y306*INDEX(Grid!$B$6:$H$156,X306+1,W306+1)),"")</f>
        <v>235.399507835031</v>
      </c>
      <c r="AD306" s="13" t="n">
        <f aca="false">IF(AND($J306=1,$M306=0),IF(S306="",0,S306*Val_pt*(Ceiling_e-E_zero)*(1-(1-Half_gap)^Q306))+IF(V306="",0,V306*Val_pt*(Ceiling_e-E_zero)*(1-(1-Half_gap)^T306))+IF(Y306="",0,Y306*Val_pt*(Ceiling_e-E_zero)*(1-(1-Half_gap)^W306)),"")</f>
        <v>70.6473980254333</v>
      </c>
      <c r="AE306" s="13" t="n">
        <f aca="false">IF(AND($J306=1,$M306=0),IF(S306="",0,S306*R306)+IF(V306="",0,V306*U306)+IF(Y306="",0,Y306*X306),"")</f>
        <v>149.075145677952</v>
      </c>
      <c r="AF306" s="12" t="n">
        <f aca="false">IF(AND($J306=1,$M306=0),MIN((AC306-E306)/Span_P,(AD306-F306)/Span_S,(AE306-G306)/Span_B),"")</f>
        <v>0.000500971186349251</v>
      </c>
      <c r="AG306" s="15" t="n">
        <f aca="false">IF(AND($J306=1,$M306=0),IF(AF306&gt;0.0000001,1,0),"")</f>
        <v>1</v>
      </c>
      <c r="AH306" s="15" t="n">
        <f aca="false">IF($J306=1,IF($M306=1,AB306,AG306),"")</f>
        <v>1</v>
      </c>
      <c r="AI306" s="13" t="n">
        <f aca="false">IF($J306=1,(Ideal_P-E306)/Span_P,"")</f>
        <v>0.411347791796202</v>
      </c>
      <c r="AJ306" s="13" t="n">
        <f aca="false">IF($J306=1,(Ideal_S-F306)/Span_S,"")</f>
        <v>1</v>
      </c>
      <c r="AK306" s="13" t="n">
        <f aca="false">IF($J306=1,(Ideal_B-G306)/Span_B,"")</f>
        <v>0.00666666666666667</v>
      </c>
      <c r="AL306" s="12" t="n">
        <f aca="false">IF($J306=1,MAX(ChA_1*AI306,ChA_2*AJ306,ChA_3*AK306)+Rho*(ChA_1*AI306+ChA_2*AJ306+ChA_3*AK306),"")</f>
        <v>1.00014180144585</v>
      </c>
      <c r="AM306" s="12" t="n">
        <f aca="false">IF($J306=1,MAX(ChB_1*AI306,ChB_2*AJ306,ChB_3*AK306)+Rho*(ChB_1*AI306+ChB_2*AJ306+ChB_3*AK306),"")</f>
        <v>1.00018293622503</v>
      </c>
      <c r="AN306" s="12" t="n">
        <f aca="false">IF($J306=1,MAX(Cx_1*(Ref_P-E306)/Span_P,Cx_2*(Ref_S-F306)/Span_S,Cx_3*(Ref_B-G306)/Span_B),"")</f>
        <v>4.28317373461012</v>
      </c>
    </row>
    <row r="307" customFormat="false" ht="15" hidden="false" customHeight="false" outlineLevel="0" collapsed="false">
      <c r="A307" s="2" t="n">
        <v>301</v>
      </c>
      <c r="B307" s="15" t="n">
        <f aca="false">INT(A307/151)</f>
        <v>1</v>
      </c>
      <c r="C307" s="15" t="n">
        <f aca="false">MOD(A307,151)</f>
        <v>150</v>
      </c>
      <c r="D307" s="15" t="n">
        <f aca="false">INDEX(Grid!$J$6:$P$156,C307+1,B307+1)</f>
        <v>1</v>
      </c>
      <c r="E307" s="16" t="n">
        <f aca="false">IF(D307=1,INDEX(Grid!$B$6:$H$156,C307+1,B307+1),"")</f>
        <v>234.309007705634</v>
      </c>
      <c r="F307" s="13" t="n">
        <f aca="false">Val_pt*(Ceiling_e-E_zero)*(1-(1-Half_gap)^B307)</f>
        <v>70</v>
      </c>
      <c r="G307" s="15" t="n">
        <f aca="false">C307</f>
        <v>150</v>
      </c>
      <c r="H307" s="15" t="n">
        <f aca="false">IF(D307=1,INDEX(Grid!$R$6:$X$156,C307+1,B307+1),"")</f>
        <v>32</v>
      </c>
      <c r="I307" s="2" t="str">
        <f aca="false">IF(D307=1,INDEX(Sch_label,H307+1),"")</f>
        <v>1</v>
      </c>
      <c r="J307" s="15" t="n">
        <f aca="false">IF(D307=1,INDEX(Grid!$Z$6:$AF$156,C307+1,B307+1),0)</f>
        <v>1</v>
      </c>
      <c r="K307" s="16" t="n">
        <f aca="false">IF(J307=1,E307,0)</f>
        <v>234.309007705634</v>
      </c>
      <c r="L307" s="17" t="n">
        <f aca="false">IF(D307=1,E307+W_board*F307,"")</f>
        <v>629.440758743278</v>
      </c>
      <c r="M307" s="24" t="n">
        <v>1</v>
      </c>
      <c r="N307" s="25" t="n">
        <v>0.0193881653373379</v>
      </c>
      <c r="O307" s="25" t="n">
        <v>0.001</v>
      </c>
      <c r="P307" s="25" t="n">
        <v>0.979611834662662</v>
      </c>
      <c r="Z307" s="12" t="n">
        <f aca="false">IF(AND($J307=1,$M307=1),N307*E307/Span_P+O307*F307/Span_S+P307*G307/Span_B,"")</f>
        <v>0.993189336091159</v>
      </c>
      <c r="AA307" s="12" t="n">
        <f aca="false">IF(AND($J307=1,$M307=1),SUMPRODUCT(MAX($J$6:$J$1062*(N307*$K$6:$K$1062/Span_P+O307*$F$6:$F$1062/Span_S+P307*$G$6:$G$1062/Span_B)-(1-$J$6:$J$1062)*1000000000)),"")</f>
        <v>0.993189336091159</v>
      </c>
      <c r="AB307" s="15" t="n">
        <f aca="false">IF(AND($J307=1,$M307=1),IF(AA307-Z307&lt;=0.000000001,1,0),"")</f>
        <v>1</v>
      </c>
      <c r="AC307" s="13" t="str">
        <f aca="false">IF(AND($J307=1,$M307=0),IF(S307="",0,S307*INDEX(Grid!$B$6:$H$156,R307+1,Q307+1))+IF(V307="",0,V307*INDEX(Grid!$B$6:$H$156,U307+1,T307+1))+IF(Y307="",0,Y307*INDEX(Grid!$B$6:$H$156,X307+1,W307+1)),"")</f>
        <v/>
      </c>
      <c r="AD307" s="13" t="str">
        <f aca="false">IF(AND($J307=1,$M307=0),IF(S307="",0,S307*Val_pt*(Ceiling_e-E_zero)*(1-(1-Half_gap)^Q307))+IF(V307="",0,V307*Val_pt*(Ceiling_e-E_zero)*(1-(1-Half_gap)^T307))+IF(Y307="",0,Y307*Val_pt*(Ceiling_e-E_zero)*(1-(1-Half_gap)^W307)),"")</f>
        <v/>
      </c>
      <c r="AE307" s="13" t="str">
        <f aca="false">IF(AND($J307=1,$M307=0),IF(S307="",0,S307*R307)+IF(V307="",0,V307*U307)+IF(Y307="",0,Y307*X307),"")</f>
        <v/>
      </c>
      <c r="AF307" s="12" t="str">
        <f aca="false">IF(AND($J307=1,$M307=0),MIN((AC307-E307)/Span_P,(AD307-F307)/Span_S,(AE307-G307)/Span_B),"")</f>
        <v/>
      </c>
      <c r="AG307" s="15" t="str">
        <f aca="false">IF(AND($J307=1,$M307=0),IF(AF307&gt;0.0000001,1,0),"")</f>
        <v/>
      </c>
      <c r="AH307" s="15" t="n">
        <f aca="false">IF($J307=1,IF($M307=1,AB307,AG307),"")</f>
        <v>1</v>
      </c>
      <c r="AI307" s="13" t="n">
        <f aca="false">IF($J307=1,(Ideal_P-E307)/Span_P,"")</f>
        <v>0.413858294572508</v>
      </c>
      <c r="AJ307" s="13" t="n">
        <f aca="false">IF($J307=1,(Ideal_S-F307)/Span_S,"")</f>
        <v>1</v>
      </c>
      <c r="AK307" s="13" t="n">
        <f aca="false">IF($J307=1,(Ideal_B-G307)/Span_B,"")</f>
        <v>0</v>
      </c>
      <c r="AL307" s="12" t="n">
        <f aca="false">IF($J307=1,MAX(ChA_1*AI307,ChA_2*AJ307,ChA_3*AK307)+Rho*(ChA_1*AI307+ChA_2*AJ307+ChA_3*AK307),"")</f>
        <v>1.00014138582946</v>
      </c>
      <c r="AM307" s="12" t="n">
        <f aca="false">IF($J307=1,MAX(ChB_1*AI307,ChB_2*AJ307,ChB_3*AK307)+Rho*(ChB_1*AI307+ChB_2*AJ307+ChB_3*AK307),"")</f>
        <v>1.00018277165891</v>
      </c>
      <c r="AN307" s="12" t="n">
        <f aca="false">IF($J307=1,MAX(Cx_1*(Ref_P-E307)/Span_P,Cx_2*(Ref_S-F307)/Span_S,Cx_3*(Ref_B-G307)/Span_B),"")</f>
        <v>4.28317373461012</v>
      </c>
    </row>
    <row r="308" customFormat="false" ht="15" hidden="false" customHeight="false" outlineLevel="0" collapsed="false">
      <c r="A308" s="2" t="n">
        <v>302</v>
      </c>
      <c r="B308" s="15" t="n">
        <f aca="false">INT(A308/151)</f>
        <v>2</v>
      </c>
      <c r="C308" s="15" t="n">
        <f aca="false">MOD(A308,151)</f>
        <v>0</v>
      </c>
      <c r="D308" s="15" t="n">
        <f aca="false">INDEX(Grid!$J$6:$P$156,C308+1,B308+1)</f>
        <v>1</v>
      </c>
      <c r="E308" s="16" t="n">
        <f aca="false">IF(D308=1,INDEX(Grid!$B$6:$H$156,C308+1,B308+1),"")</f>
        <v>384.173336396545</v>
      </c>
      <c r="F308" s="13" t="n">
        <f aca="false">Val_pt*(Ceiling_e-E_zero)*(1-(1-Half_gap)^B308)</f>
        <v>105</v>
      </c>
      <c r="G308" s="15" t="n">
        <f aca="false">C308</f>
        <v>0</v>
      </c>
      <c r="H308" s="15" t="n">
        <f aca="false">IF(D308=1,INDEX(Grid!$R$6:$X$156,C308+1,B308+1),"")</f>
        <v>48</v>
      </c>
      <c r="I308" s="2" t="str">
        <f aca="false">IF(D308=1,INDEX(Sch_label,H308+1),"")</f>
        <v>1, 2</v>
      </c>
      <c r="J308" s="15" t="n">
        <f aca="false">IF(D308=1,INDEX(Grid!$Z$6:$AF$156,C308+1,B308+1),0)</f>
        <v>1</v>
      </c>
      <c r="K308" s="16" t="n">
        <f aca="false">IF(J308=1,E308,0)</f>
        <v>384.173336396545</v>
      </c>
      <c r="L308" s="17" t="n">
        <f aca="false">IF(D308=1,E308+W_board*F308,"")</f>
        <v>976.870962953011</v>
      </c>
      <c r="M308" s="24" t="n">
        <v>1</v>
      </c>
      <c r="N308" s="25" t="n">
        <v>0.998</v>
      </c>
      <c r="O308" s="25" t="n">
        <v>0.001</v>
      </c>
      <c r="P308" s="25" t="n">
        <v>0.001</v>
      </c>
      <c r="Z308" s="12" t="n">
        <f aca="false">IF(AND($J308=1,$M308=1),N308*E308/Span_P+O308*F308/Span_S+P308*G308/Span_B,"")</f>
        <v>1.06034160736284</v>
      </c>
      <c r="AA308" s="12" t="n">
        <f aca="false">IF(AND($J308=1,$M308=1),SUMPRODUCT(MAX($J$6:$J$1062*(N308*$K$6:$K$1062/Span_P+O308*$F$6:$F$1062/Span_S+P308*$G$6:$G$1062/Span_B)-(1-$J$6:$J$1062)*1000000000)),"")</f>
        <v>1.06034160736284</v>
      </c>
      <c r="AB308" s="15" t="n">
        <f aca="false">IF(AND($J308=1,$M308=1),IF(AA308-Z308&lt;=0.000000001,1,0),"")</f>
        <v>1</v>
      </c>
      <c r="AC308" s="13" t="str">
        <f aca="false">IF(AND($J308=1,$M308=0),IF(S308="",0,S308*INDEX(Grid!$B$6:$H$156,R308+1,Q308+1))+IF(V308="",0,V308*INDEX(Grid!$B$6:$H$156,U308+1,T308+1))+IF(Y308="",0,Y308*INDEX(Grid!$B$6:$H$156,X308+1,W308+1)),"")</f>
        <v/>
      </c>
      <c r="AD308" s="13" t="str">
        <f aca="false">IF(AND($J308=1,$M308=0),IF(S308="",0,S308*Val_pt*(Ceiling_e-E_zero)*(1-(1-Half_gap)^Q308))+IF(V308="",0,V308*Val_pt*(Ceiling_e-E_zero)*(1-(1-Half_gap)^T308))+IF(Y308="",0,Y308*Val_pt*(Ceiling_e-E_zero)*(1-(1-Half_gap)^W308)),"")</f>
        <v/>
      </c>
      <c r="AE308" s="13" t="str">
        <f aca="false">IF(AND($J308=1,$M308=0),IF(S308="",0,S308*R308)+IF(V308="",0,V308*U308)+IF(Y308="",0,Y308*X308),"")</f>
        <v/>
      </c>
      <c r="AF308" s="12" t="str">
        <f aca="false">IF(AND($J308=1,$M308=0),MIN((AC308-E308)/Span_P,(AD308-F308)/Span_S,(AE308-G308)/Span_B),"")</f>
        <v/>
      </c>
      <c r="AG308" s="15" t="str">
        <f aca="false">IF(AND($J308=1,$M308=0),IF(AF308&gt;0.0000001,1,0),"")</f>
        <v/>
      </c>
      <c r="AH308" s="15" t="n">
        <f aca="false">IF($J308=1,IF($M308=1,AB308,AG308),"")</f>
        <v>1</v>
      </c>
      <c r="AI308" s="13" t="n">
        <f aca="false">IF($J308=1,(Ideal_P-E308)/Span_P,"")</f>
        <v>0</v>
      </c>
      <c r="AJ308" s="13" t="n">
        <f aca="false">IF($J308=1,(Ideal_S-F308)/Span_S,"")</f>
        <v>0.483870967741936</v>
      </c>
      <c r="AK308" s="13" t="n">
        <f aca="false">IF($J308=1,(Ideal_B-G308)/Span_B,"")</f>
        <v>1</v>
      </c>
      <c r="AL308" s="12" t="n">
        <f aca="false">IF($J308=1,MAX(ChA_1*AI308,ChA_2*AJ308,ChA_3*AK308)+Rho*(ChA_1*AI308+ChA_2*AJ308+ChA_3*AK308),"")</f>
        <v>1.00014838709677</v>
      </c>
      <c r="AM308" s="12" t="n">
        <f aca="false">IF($J308=1,MAX(ChB_1*AI308,ChB_2*AJ308,ChB_3*AK308)+Rho*(ChB_1*AI308+ChB_2*AJ308+ChB_3*AK308),"")</f>
        <v>1.00014838709677</v>
      </c>
      <c r="AN308" s="12" t="n">
        <f aca="false">IF($J308=1,MAX(Cx_1*(Ref_P-E308)/Span_P,Cx_2*(Ref_S-F308)/Span_S,Cx_3*(Ref_B-G308)/Span_B),"")</f>
        <v>2.54621848739496</v>
      </c>
    </row>
    <row r="309" customFormat="false" ht="15" hidden="false" customHeight="false" outlineLevel="0" collapsed="false">
      <c r="A309" s="2" t="n">
        <v>303</v>
      </c>
      <c r="B309" s="15" t="n">
        <f aca="false">INT(A309/151)</f>
        <v>2</v>
      </c>
      <c r="C309" s="15" t="n">
        <f aca="false">MOD(A309,151)</f>
        <v>1</v>
      </c>
      <c r="D309" s="15" t="n">
        <f aca="false">INDEX(Grid!$J$6:$P$156,C309+1,B309+1)</f>
        <v>1</v>
      </c>
      <c r="E309" s="16" t="n">
        <f aca="false">IF(D309=1,INDEX(Grid!$B$6:$H$156,C309+1,B309+1),"")</f>
        <v>383.264245487454</v>
      </c>
      <c r="F309" s="13" t="n">
        <f aca="false">Val_pt*(Ceiling_e-E_zero)*(1-(1-Half_gap)^B309)</f>
        <v>105</v>
      </c>
      <c r="G309" s="15" t="n">
        <f aca="false">C309</f>
        <v>1</v>
      </c>
      <c r="H309" s="15" t="n">
        <f aca="false">IF(D309=1,INDEX(Grid!$R$6:$X$156,C309+1,B309+1),"")</f>
        <v>48</v>
      </c>
      <c r="I309" s="2" t="str">
        <f aca="false">IF(D309=1,INDEX(Sch_label,H309+1),"")</f>
        <v>1, 2</v>
      </c>
      <c r="J309" s="15" t="n">
        <f aca="false">IF(D309=1,INDEX(Grid!$Z$6:$AF$156,C309+1,B309+1),0)</f>
        <v>1</v>
      </c>
      <c r="K309" s="16" t="n">
        <f aca="false">IF(J309=1,E309,0)</f>
        <v>383.264245487454</v>
      </c>
      <c r="L309" s="17" t="n">
        <f aca="false">IF(D309=1,E309+W_board*F309,"")</f>
        <v>975.96187204392</v>
      </c>
      <c r="M309" s="24" t="n">
        <v>1</v>
      </c>
      <c r="N309" s="25" t="n">
        <v>0.725713962391753</v>
      </c>
      <c r="O309" s="25" t="n">
        <v>0.001</v>
      </c>
      <c r="P309" s="25" t="n">
        <v>0.273286037608247</v>
      </c>
      <c r="Z309" s="12" t="n">
        <f aca="false">IF(AND($J309=1,$M309=1),N309*E309/Span_P+O309*F309/Span_S+P309*G309/Span_B,"")</f>
        <v>0.771469252059507</v>
      </c>
      <c r="AA309" s="12" t="n">
        <f aca="false">IF(AND($J309=1,$M309=1),SUMPRODUCT(MAX($J$6:$J$1062*(N309*$K$6:$K$1062/Span_P+O309*$F$6:$F$1062/Span_S+P309*$G$6:$G$1062/Span_B)-(1-$J$6:$J$1062)*1000000000)),"")</f>
        <v>0.771469252059507</v>
      </c>
      <c r="AB309" s="15" t="n">
        <f aca="false">IF(AND($J309=1,$M309=1),IF(AA309-Z309&lt;=0.000000001,1,0),"")</f>
        <v>1</v>
      </c>
      <c r="AC309" s="13" t="str">
        <f aca="false">IF(AND($J309=1,$M309=0),IF(S309="",0,S309*INDEX(Grid!$B$6:$H$156,R309+1,Q309+1))+IF(V309="",0,V309*INDEX(Grid!$B$6:$H$156,U309+1,T309+1))+IF(Y309="",0,Y309*INDEX(Grid!$B$6:$H$156,X309+1,W309+1)),"")</f>
        <v/>
      </c>
      <c r="AD309" s="13" t="str">
        <f aca="false">IF(AND($J309=1,$M309=0),IF(S309="",0,S309*Val_pt*(Ceiling_e-E_zero)*(1-(1-Half_gap)^Q309))+IF(V309="",0,V309*Val_pt*(Ceiling_e-E_zero)*(1-(1-Half_gap)^T309))+IF(Y309="",0,Y309*Val_pt*(Ceiling_e-E_zero)*(1-(1-Half_gap)^W309)),"")</f>
        <v/>
      </c>
      <c r="AE309" s="13" t="str">
        <f aca="false">IF(AND($J309=1,$M309=0),IF(S309="",0,S309*R309)+IF(V309="",0,V309*U309)+IF(Y309="",0,Y309*X309),"")</f>
        <v/>
      </c>
      <c r="AF309" s="12" t="str">
        <f aca="false">IF(AND($J309=1,$M309=0),MIN((AC309-E309)/Span_P,(AD309-F309)/Span_S,(AE309-G309)/Span_B),"")</f>
        <v/>
      </c>
      <c r="AG309" s="15" t="str">
        <f aca="false">IF(AND($J309=1,$M309=0),IF(AF309&gt;0.0000001,1,0),"")</f>
        <v/>
      </c>
      <c r="AH309" s="15" t="n">
        <f aca="false">IF($J309=1,IF($M309=1,AB309,AG309),"")</f>
        <v>1</v>
      </c>
      <c r="AI309" s="13" t="n">
        <f aca="false">IF($J309=1,(Ideal_P-E309)/Span_P,"")</f>
        <v>0.00251050277630584</v>
      </c>
      <c r="AJ309" s="13" t="n">
        <f aca="false">IF($J309=1,(Ideal_S-F309)/Span_S,"")</f>
        <v>0.483870967741936</v>
      </c>
      <c r="AK309" s="13" t="n">
        <f aca="false">IF($J309=1,(Ideal_B-G309)/Span_B,"")</f>
        <v>0.993333333333333</v>
      </c>
      <c r="AL309" s="12" t="n">
        <f aca="false">IF($J309=1,MAX(ChA_1*AI309,ChA_2*AJ309,ChA_3*AK309)+Rho*(ChA_1*AI309+ChA_2*AJ309+ChA_3*AK309),"")</f>
        <v>0.993481304813718</v>
      </c>
      <c r="AM309" s="12" t="n">
        <f aca="false">IF($J309=1,MAX(ChB_1*AI309,ChB_2*AJ309,ChB_3*AK309)+Rho*(ChB_1*AI309+ChB_2*AJ309+ChB_3*AK309),"")</f>
        <v>0.993481555863996</v>
      </c>
      <c r="AN309" s="12" t="n">
        <f aca="false">IF($J309=1,MAX(Cx_1*(Ref_P-E309)/Span_P,Cx_2*(Ref_S-F309)/Span_S,Cx_3*(Ref_B-G309)/Span_B),"")</f>
        <v>2.52941176470588</v>
      </c>
    </row>
    <row r="310" customFormat="false" ht="15" hidden="false" customHeight="false" outlineLevel="0" collapsed="false">
      <c r="A310" s="2" t="n">
        <v>304</v>
      </c>
      <c r="B310" s="15" t="n">
        <f aca="false">INT(A310/151)</f>
        <v>2</v>
      </c>
      <c r="C310" s="15" t="n">
        <f aca="false">MOD(A310,151)</f>
        <v>2</v>
      </c>
      <c r="D310" s="15" t="n">
        <f aca="false">INDEX(Grid!$J$6:$P$156,C310+1,B310+1)</f>
        <v>1</v>
      </c>
      <c r="E310" s="16" t="n">
        <f aca="false">IF(D310=1,INDEX(Grid!$B$6:$H$156,C310+1,B310+1),"")</f>
        <v>382.355154578363</v>
      </c>
      <c r="F310" s="13" t="n">
        <f aca="false">Val_pt*(Ceiling_e-E_zero)*(1-(1-Half_gap)^B310)</f>
        <v>105</v>
      </c>
      <c r="G310" s="15" t="n">
        <f aca="false">C310</f>
        <v>2</v>
      </c>
      <c r="H310" s="15" t="n">
        <f aca="false">IF(D310=1,INDEX(Grid!$R$6:$X$156,C310+1,B310+1),"")</f>
        <v>48</v>
      </c>
      <c r="I310" s="2" t="str">
        <f aca="false">IF(D310=1,INDEX(Sch_label,H310+1),"")</f>
        <v>1, 2</v>
      </c>
      <c r="J310" s="15" t="n">
        <f aca="false">IF(D310=1,INDEX(Grid!$Z$6:$AF$156,C310+1,B310+1),0)</f>
        <v>1</v>
      </c>
      <c r="K310" s="16" t="n">
        <f aca="false">IF(J310=1,E310,0)</f>
        <v>382.355154578363</v>
      </c>
      <c r="L310" s="17" t="n">
        <f aca="false">IF(D310=1,E310+W_board*F310,"")</f>
        <v>975.05278113483</v>
      </c>
      <c r="M310" s="24" t="n">
        <v>1</v>
      </c>
      <c r="N310" s="25" t="n">
        <v>0.725713962391735</v>
      </c>
      <c r="O310" s="25" t="n">
        <v>0.001</v>
      </c>
      <c r="P310" s="25" t="n">
        <v>0.273286037608265</v>
      </c>
      <c r="Z310" s="12" t="n">
        <f aca="false">IF(AND($J310=1,$M310=1),N310*E310/Span_P+O310*F310/Span_S+P310*G310/Span_B,"")</f>
        <v>0.771469252059489</v>
      </c>
      <c r="AA310" s="12" t="n">
        <f aca="false">IF(AND($J310=1,$M310=1),SUMPRODUCT(MAX($J$6:$J$1062*(N310*$K$6:$K$1062/Span_P+O310*$F$6:$F$1062/Span_S+P310*$G$6:$G$1062/Span_B)-(1-$J$6:$J$1062)*1000000000)),"")</f>
        <v>0.7714692520595</v>
      </c>
      <c r="AB310" s="15" t="n">
        <f aca="false">IF(AND($J310=1,$M310=1),IF(AA310-Z310&lt;=0.000000001,1,0),"")</f>
        <v>1</v>
      </c>
      <c r="AC310" s="13" t="str">
        <f aca="false">IF(AND($J310=1,$M310=0),IF(S310="",0,S310*INDEX(Grid!$B$6:$H$156,R310+1,Q310+1))+IF(V310="",0,V310*INDEX(Grid!$B$6:$H$156,U310+1,T310+1))+IF(Y310="",0,Y310*INDEX(Grid!$B$6:$H$156,X310+1,W310+1)),"")</f>
        <v/>
      </c>
      <c r="AD310" s="13" t="str">
        <f aca="false">IF(AND($J310=1,$M310=0),IF(S310="",0,S310*Val_pt*(Ceiling_e-E_zero)*(1-(1-Half_gap)^Q310))+IF(V310="",0,V310*Val_pt*(Ceiling_e-E_zero)*(1-(1-Half_gap)^T310))+IF(Y310="",0,Y310*Val_pt*(Ceiling_e-E_zero)*(1-(1-Half_gap)^W310)),"")</f>
        <v/>
      </c>
      <c r="AE310" s="13" t="str">
        <f aca="false">IF(AND($J310=1,$M310=0),IF(S310="",0,S310*R310)+IF(V310="",0,V310*U310)+IF(Y310="",0,Y310*X310),"")</f>
        <v/>
      </c>
      <c r="AF310" s="12" t="str">
        <f aca="false">IF(AND($J310=1,$M310=0),MIN((AC310-E310)/Span_P,(AD310-F310)/Span_S,(AE310-G310)/Span_B),"")</f>
        <v/>
      </c>
      <c r="AG310" s="15" t="str">
        <f aca="false">IF(AND($J310=1,$M310=0),IF(AF310&gt;0.0000001,1,0),"")</f>
        <v/>
      </c>
      <c r="AH310" s="15" t="n">
        <f aca="false">IF($J310=1,IF($M310=1,AB310,AG310),"")</f>
        <v>1</v>
      </c>
      <c r="AI310" s="13" t="n">
        <f aca="false">IF($J310=1,(Ideal_P-E310)/Span_P,"")</f>
        <v>0.00502100555261153</v>
      </c>
      <c r="AJ310" s="13" t="n">
        <f aca="false">IF($J310=1,(Ideal_S-F310)/Span_S,"")</f>
        <v>0.483870967741936</v>
      </c>
      <c r="AK310" s="13" t="n">
        <f aca="false">IF($J310=1,(Ideal_B-G310)/Span_B,"")</f>
        <v>0.986666666666667</v>
      </c>
      <c r="AL310" s="12" t="n">
        <f aca="false">IF($J310=1,MAX(ChA_1*AI310,ChA_2*AJ310,ChA_3*AK310)+Rho*(ChA_1*AI310+ChA_2*AJ310+ChA_3*AK310),"")</f>
        <v>0.986814222530663</v>
      </c>
      <c r="AM310" s="12" t="n">
        <f aca="false">IF($J310=1,MAX(ChB_1*AI310,ChB_2*AJ310,ChB_3*AK310)+Rho*(ChB_1*AI310+ChB_2*AJ310+ChB_3*AK310),"")</f>
        <v>0.986814724631218</v>
      </c>
      <c r="AN310" s="12" t="n">
        <f aca="false">IF($J310=1,MAX(Cx_1*(Ref_P-E310)/Span_P,Cx_2*(Ref_S-F310)/Span_S,Cx_3*(Ref_B-G310)/Span_B),"")</f>
        <v>2.51260504201681</v>
      </c>
    </row>
    <row r="311" customFormat="false" ht="15" hidden="false" customHeight="false" outlineLevel="0" collapsed="false">
      <c r="A311" s="2" t="n">
        <v>305</v>
      </c>
      <c r="B311" s="15" t="n">
        <f aca="false">INT(A311/151)</f>
        <v>2</v>
      </c>
      <c r="C311" s="15" t="n">
        <f aca="false">MOD(A311,151)</f>
        <v>3</v>
      </c>
      <c r="D311" s="15" t="n">
        <f aca="false">INDEX(Grid!$J$6:$P$156,C311+1,B311+1)</f>
        <v>1</v>
      </c>
      <c r="E311" s="16" t="n">
        <f aca="false">IF(D311=1,INDEX(Grid!$B$6:$H$156,C311+1,B311+1),"")</f>
        <v>381.446063669272</v>
      </c>
      <c r="F311" s="13" t="n">
        <f aca="false">Val_pt*(Ceiling_e-E_zero)*(1-(1-Half_gap)^B311)</f>
        <v>105</v>
      </c>
      <c r="G311" s="15" t="n">
        <f aca="false">C311</f>
        <v>3</v>
      </c>
      <c r="H311" s="15" t="n">
        <f aca="false">IF(D311=1,INDEX(Grid!$R$6:$X$156,C311+1,B311+1),"")</f>
        <v>48</v>
      </c>
      <c r="I311" s="2" t="str">
        <f aca="false">IF(D311=1,INDEX(Sch_label,H311+1),"")</f>
        <v>1, 2</v>
      </c>
      <c r="J311" s="15" t="n">
        <f aca="false">IF(D311=1,INDEX(Grid!$Z$6:$AF$156,C311+1,B311+1),0)</f>
        <v>1</v>
      </c>
      <c r="K311" s="16" t="n">
        <f aca="false">IF(J311=1,E311,0)</f>
        <v>381.446063669272</v>
      </c>
      <c r="L311" s="17" t="n">
        <f aca="false">IF(D311=1,E311+W_board*F311,"")</f>
        <v>974.143690225739</v>
      </c>
      <c r="M311" s="24" t="n">
        <v>1</v>
      </c>
      <c r="N311" s="25" t="n">
        <v>0.725713962391753</v>
      </c>
      <c r="O311" s="25" t="n">
        <v>0.001</v>
      </c>
      <c r="P311" s="25" t="n">
        <v>0.273286037608247</v>
      </c>
      <c r="Z311" s="12" t="n">
        <f aca="false">IF(AND($J311=1,$M311=1),N311*E311/Span_P+O311*F311/Span_S+P311*G311/Span_B,"")</f>
        <v>0.771469252059507</v>
      </c>
      <c r="AA311" s="12" t="n">
        <f aca="false">IF(AND($J311=1,$M311=1),SUMPRODUCT(MAX($J$6:$J$1062*(N311*$K$6:$K$1062/Span_P+O311*$F$6:$F$1062/Span_S+P311*$G$6:$G$1062/Span_B)-(1-$J$6:$J$1062)*1000000000)),"")</f>
        <v>0.771469252059507</v>
      </c>
      <c r="AB311" s="15" t="n">
        <f aca="false">IF(AND($J311=1,$M311=1),IF(AA311-Z311&lt;=0.000000001,1,0),"")</f>
        <v>1</v>
      </c>
      <c r="AC311" s="13" t="str">
        <f aca="false">IF(AND($J311=1,$M311=0),IF(S311="",0,S311*INDEX(Grid!$B$6:$H$156,R311+1,Q311+1))+IF(V311="",0,V311*INDEX(Grid!$B$6:$H$156,U311+1,T311+1))+IF(Y311="",0,Y311*INDEX(Grid!$B$6:$H$156,X311+1,W311+1)),"")</f>
        <v/>
      </c>
      <c r="AD311" s="13" t="str">
        <f aca="false">IF(AND($J311=1,$M311=0),IF(S311="",0,S311*Val_pt*(Ceiling_e-E_zero)*(1-(1-Half_gap)^Q311))+IF(V311="",0,V311*Val_pt*(Ceiling_e-E_zero)*(1-(1-Half_gap)^T311))+IF(Y311="",0,Y311*Val_pt*(Ceiling_e-E_zero)*(1-(1-Half_gap)^W311)),"")</f>
        <v/>
      </c>
      <c r="AE311" s="13" t="str">
        <f aca="false">IF(AND($J311=1,$M311=0),IF(S311="",0,S311*R311)+IF(V311="",0,V311*U311)+IF(Y311="",0,Y311*X311),"")</f>
        <v/>
      </c>
      <c r="AF311" s="12" t="str">
        <f aca="false">IF(AND($J311=1,$M311=0),MIN((AC311-E311)/Span_P,(AD311-F311)/Span_S,(AE311-G311)/Span_B),"")</f>
        <v/>
      </c>
      <c r="AG311" s="15" t="str">
        <f aca="false">IF(AND($J311=1,$M311=0),IF(AF311&gt;0.0000001,1,0),"")</f>
        <v/>
      </c>
      <c r="AH311" s="15" t="n">
        <f aca="false">IF($J311=1,IF($M311=1,AB311,AG311),"")</f>
        <v>1</v>
      </c>
      <c r="AI311" s="13" t="n">
        <f aca="false">IF($J311=1,(Ideal_P-E311)/Span_P,"")</f>
        <v>0.00753150832891737</v>
      </c>
      <c r="AJ311" s="13" t="n">
        <f aca="false">IF($J311=1,(Ideal_S-F311)/Span_S,"")</f>
        <v>0.483870967741936</v>
      </c>
      <c r="AK311" s="13" t="n">
        <f aca="false">IF($J311=1,(Ideal_B-G311)/Span_B,"")</f>
        <v>0.98</v>
      </c>
      <c r="AL311" s="12" t="n">
        <f aca="false">IF($J311=1,MAX(ChA_1*AI311,ChA_2*AJ311,ChA_3*AK311)+Rho*(ChA_1*AI311+ChA_2*AJ311+ChA_3*AK311),"")</f>
        <v>0.980147140247607</v>
      </c>
      <c r="AM311" s="12" t="n">
        <f aca="false">IF($J311=1,MAX(ChB_1*AI311,ChB_2*AJ311,ChB_3*AK311)+Rho*(ChB_1*AI311+ChB_2*AJ311+ChB_3*AK311),"")</f>
        <v>0.98014789339844</v>
      </c>
      <c r="AN311" s="12" t="n">
        <f aca="false">IF($J311=1,MAX(Cx_1*(Ref_P-E311)/Span_P,Cx_2*(Ref_S-F311)/Span_S,Cx_3*(Ref_B-G311)/Span_B),"")</f>
        <v>2.49579831932773</v>
      </c>
    </row>
    <row r="312" customFormat="false" ht="15" hidden="false" customHeight="false" outlineLevel="0" collapsed="false">
      <c r="A312" s="2" t="n">
        <v>306</v>
      </c>
      <c r="B312" s="15" t="n">
        <f aca="false">INT(A312/151)</f>
        <v>2</v>
      </c>
      <c r="C312" s="15" t="n">
        <f aca="false">MOD(A312,151)</f>
        <v>4</v>
      </c>
      <c r="D312" s="15" t="n">
        <f aca="false">INDEX(Grid!$J$6:$P$156,C312+1,B312+1)</f>
        <v>1</v>
      </c>
      <c r="E312" s="16" t="n">
        <f aca="false">IF(D312=1,INDEX(Grid!$B$6:$H$156,C312+1,B312+1),"")</f>
        <v>380.536972760182</v>
      </c>
      <c r="F312" s="13" t="n">
        <f aca="false">Val_pt*(Ceiling_e-E_zero)*(1-(1-Half_gap)^B312)</f>
        <v>105</v>
      </c>
      <c r="G312" s="15" t="n">
        <f aca="false">C312</f>
        <v>4</v>
      </c>
      <c r="H312" s="15" t="n">
        <f aca="false">IF(D312=1,INDEX(Grid!$R$6:$X$156,C312+1,B312+1),"")</f>
        <v>48</v>
      </c>
      <c r="I312" s="2" t="str">
        <f aca="false">IF(D312=1,INDEX(Sch_label,H312+1),"")</f>
        <v>1, 2</v>
      </c>
      <c r="J312" s="15" t="n">
        <f aca="false">IF(D312=1,INDEX(Grid!$Z$6:$AF$156,C312+1,B312+1),0)</f>
        <v>1</v>
      </c>
      <c r="K312" s="16" t="n">
        <f aca="false">IF(J312=1,E312,0)</f>
        <v>380.536972760182</v>
      </c>
      <c r="L312" s="17" t="n">
        <f aca="false">IF(D312=1,E312+W_board*F312,"")</f>
        <v>973.234599316648</v>
      </c>
      <c r="M312" s="24" t="n">
        <v>1</v>
      </c>
      <c r="N312" s="25" t="n">
        <v>0.725713962391753</v>
      </c>
      <c r="O312" s="25" t="n">
        <v>0.001</v>
      </c>
      <c r="P312" s="25" t="n">
        <v>0.273286037608247</v>
      </c>
      <c r="Z312" s="12" t="n">
        <f aca="false">IF(AND($J312=1,$M312=1),N312*E312/Span_P+O312*F312/Span_S+P312*G312/Span_B,"")</f>
        <v>0.771469252059507</v>
      </c>
      <c r="AA312" s="12" t="n">
        <f aca="false">IF(AND($J312=1,$M312=1),SUMPRODUCT(MAX($J$6:$J$1062*(N312*$K$6:$K$1062/Span_P+O312*$F$6:$F$1062/Span_S+P312*$G$6:$G$1062/Span_B)-(1-$J$6:$J$1062)*1000000000)),"")</f>
        <v>0.771469252059507</v>
      </c>
      <c r="AB312" s="15" t="n">
        <f aca="false">IF(AND($J312=1,$M312=1),IF(AA312-Z312&lt;=0.000000001,1,0),"")</f>
        <v>1</v>
      </c>
      <c r="AC312" s="13" t="str">
        <f aca="false">IF(AND($J312=1,$M312=0),IF(S312="",0,S312*INDEX(Grid!$B$6:$H$156,R312+1,Q312+1))+IF(V312="",0,V312*INDEX(Grid!$B$6:$H$156,U312+1,T312+1))+IF(Y312="",0,Y312*INDEX(Grid!$B$6:$H$156,X312+1,W312+1)),"")</f>
        <v/>
      </c>
      <c r="AD312" s="13" t="str">
        <f aca="false">IF(AND($J312=1,$M312=0),IF(S312="",0,S312*Val_pt*(Ceiling_e-E_zero)*(1-(1-Half_gap)^Q312))+IF(V312="",0,V312*Val_pt*(Ceiling_e-E_zero)*(1-(1-Half_gap)^T312))+IF(Y312="",0,Y312*Val_pt*(Ceiling_e-E_zero)*(1-(1-Half_gap)^W312)),"")</f>
        <v/>
      </c>
      <c r="AE312" s="13" t="str">
        <f aca="false">IF(AND($J312=1,$M312=0),IF(S312="",0,S312*R312)+IF(V312="",0,V312*U312)+IF(Y312="",0,Y312*X312),"")</f>
        <v/>
      </c>
      <c r="AF312" s="12" t="str">
        <f aca="false">IF(AND($J312=1,$M312=0),MIN((AC312-E312)/Span_P,(AD312-F312)/Span_S,(AE312-G312)/Span_B),"")</f>
        <v/>
      </c>
      <c r="AG312" s="15" t="str">
        <f aca="false">IF(AND($J312=1,$M312=0),IF(AF312&gt;0.0000001,1,0),"")</f>
        <v/>
      </c>
      <c r="AH312" s="15" t="n">
        <f aca="false">IF($J312=1,IF($M312=1,AB312,AG312),"")</f>
        <v>1</v>
      </c>
      <c r="AI312" s="13" t="n">
        <f aca="false">IF($J312=1,(Ideal_P-E312)/Span_P,"")</f>
        <v>0.0100420111052231</v>
      </c>
      <c r="AJ312" s="13" t="n">
        <f aca="false">IF($J312=1,(Ideal_S-F312)/Span_S,"")</f>
        <v>0.483870967741936</v>
      </c>
      <c r="AK312" s="13" t="n">
        <f aca="false">IF($J312=1,(Ideal_B-G312)/Span_B,"")</f>
        <v>0.973333333333333</v>
      </c>
      <c r="AL312" s="12" t="n">
        <f aca="false">IF($J312=1,MAX(ChA_1*AI312,ChA_2*AJ312,ChA_3*AK312)+Rho*(ChA_1*AI312+ChA_2*AJ312+ChA_3*AK312),"")</f>
        <v>0.973480057964551</v>
      </c>
      <c r="AM312" s="12" t="n">
        <f aca="false">IF($J312=1,MAX(ChB_1*AI312,ChB_2*AJ312,ChB_3*AK312)+Rho*(ChB_1*AI312+ChB_2*AJ312+ChB_3*AK312),"")</f>
        <v>0.973481062165662</v>
      </c>
      <c r="AN312" s="12" t="n">
        <f aca="false">IF($J312=1,MAX(Cx_1*(Ref_P-E312)/Span_P,Cx_2*(Ref_S-F312)/Span_S,Cx_3*(Ref_B-G312)/Span_B),"")</f>
        <v>2.47899159663866</v>
      </c>
    </row>
    <row r="313" customFormat="false" ht="15" hidden="false" customHeight="false" outlineLevel="0" collapsed="false">
      <c r="A313" s="2" t="n">
        <v>307</v>
      </c>
      <c r="B313" s="15" t="n">
        <f aca="false">INT(A313/151)</f>
        <v>2</v>
      </c>
      <c r="C313" s="15" t="n">
        <f aca="false">MOD(A313,151)</f>
        <v>5</v>
      </c>
      <c r="D313" s="15" t="n">
        <f aca="false">INDEX(Grid!$J$6:$P$156,C313+1,B313+1)</f>
        <v>1</v>
      </c>
      <c r="E313" s="16" t="n">
        <f aca="false">IF(D313=1,INDEX(Grid!$B$6:$H$156,C313+1,B313+1),"")</f>
        <v>379.627881851091</v>
      </c>
      <c r="F313" s="13" t="n">
        <f aca="false">Val_pt*(Ceiling_e-E_zero)*(1-(1-Half_gap)^B313)</f>
        <v>105</v>
      </c>
      <c r="G313" s="15" t="n">
        <f aca="false">C313</f>
        <v>5</v>
      </c>
      <c r="H313" s="15" t="n">
        <f aca="false">IF(D313=1,INDEX(Grid!$R$6:$X$156,C313+1,B313+1),"")</f>
        <v>48</v>
      </c>
      <c r="I313" s="2" t="str">
        <f aca="false">IF(D313=1,INDEX(Sch_label,H313+1),"")</f>
        <v>1, 2</v>
      </c>
      <c r="J313" s="15" t="n">
        <f aca="false">IF(D313=1,INDEX(Grid!$Z$6:$AF$156,C313+1,B313+1),0)</f>
        <v>1</v>
      </c>
      <c r="K313" s="16" t="n">
        <f aca="false">IF(J313=1,E313,0)</f>
        <v>379.627881851091</v>
      </c>
      <c r="L313" s="17" t="n">
        <f aca="false">IF(D313=1,E313+W_board*F313,"")</f>
        <v>972.325508407557</v>
      </c>
      <c r="M313" s="24" t="n">
        <v>1</v>
      </c>
      <c r="N313" s="25" t="n">
        <v>0.725713962391753</v>
      </c>
      <c r="O313" s="25" t="n">
        <v>0.001</v>
      </c>
      <c r="P313" s="25" t="n">
        <v>0.273286037608247</v>
      </c>
      <c r="Z313" s="12" t="n">
        <f aca="false">IF(AND($J313=1,$M313=1),N313*E313/Span_P+O313*F313/Span_S+P313*G313/Span_B,"")</f>
        <v>0.771469252059507</v>
      </c>
      <c r="AA313" s="12" t="n">
        <f aca="false">IF(AND($J313=1,$M313=1),SUMPRODUCT(MAX($J$6:$J$1062*(N313*$K$6:$K$1062/Span_P+O313*$F$6:$F$1062/Span_S+P313*$G$6:$G$1062/Span_B)-(1-$J$6:$J$1062)*1000000000)),"")</f>
        <v>0.771469252059507</v>
      </c>
      <c r="AB313" s="15" t="n">
        <f aca="false">IF(AND($J313=1,$M313=1),IF(AA313-Z313&lt;=0.000000001,1,0),"")</f>
        <v>1</v>
      </c>
      <c r="AC313" s="13" t="str">
        <f aca="false">IF(AND($J313=1,$M313=0),IF(S313="",0,S313*INDEX(Grid!$B$6:$H$156,R313+1,Q313+1))+IF(V313="",0,V313*INDEX(Grid!$B$6:$H$156,U313+1,T313+1))+IF(Y313="",0,Y313*INDEX(Grid!$B$6:$H$156,X313+1,W313+1)),"")</f>
        <v/>
      </c>
      <c r="AD313" s="13" t="str">
        <f aca="false">IF(AND($J313=1,$M313=0),IF(S313="",0,S313*Val_pt*(Ceiling_e-E_zero)*(1-(1-Half_gap)^Q313))+IF(V313="",0,V313*Val_pt*(Ceiling_e-E_zero)*(1-(1-Half_gap)^T313))+IF(Y313="",0,Y313*Val_pt*(Ceiling_e-E_zero)*(1-(1-Half_gap)^W313)),"")</f>
        <v/>
      </c>
      <c r="AE313" s="13" t="str">
        <f aca="false">IF(AND($J313=1,$M313=0),IF(S313="",0,S313*R313)+IF(V313="",0,V313*U313)+IF(Y313="",0,Y313*X313),"")</f>
        <v/>
      </c>
      <c r="AF313" s="12" t="str">
        <f aca="false">IF(AND($J313=1,$M313=0),MIN((AC313-E313)/Span_P,(AD313-F313)/Span_S,(AE313-G313)/Span_B),"")</f>
        <v/>
      </c>
      <c r="AG313" s="15" t="str">
        <f aca="false">IF(AND($J313=1,$M313=0),IF(AF313&gt;0.0000001,1,0),"")</f>
        <v/>
      </c>
      <c r="AH313" s="15" t="n">
        <f aca="false">IF($J313=1,IF($M313=1,AB313,AG313),"")</f>
        <v>1</v>
      </c>
      <c r="AI313" s="13" t="n">
        <f aca="false">IF($J313=1,(Ideal_P-E313)/Span_P,"")</f>
        <v>0.0125525138815289</v>
      </c>
      <c r="AJ313" s="13" t="n">
        <f aca="false">IF($J313=1,(Ideal_S-F313)/Span_S,"")</f>
        <v>0.483870967741936</v>
      </c>
      <c r="AK313" s="13" t="n">
        <f aca="false">IF($J313=1,(Ideal_B-G313)/Span_B,"")</f>
        <v>0.966666666666667</v>
      </c>
      <c r="AL313" s="12" t="n">
        <f aca="false">IF($J313=1,MAX(ChA_1*AI313,ChA_2*AJ313,ChA_3*AK313)+Rho*(ChA_1*AI313+ChA_2*AJ313+ChA_3*AK313),"")</f>
        <v>0.966812975681496</v>
      </c>
      <c r="AM313" s="12" t="n">
        <f aca="false">IF($J313=1,MAX(ChB_1*AI313,ChB_2*AJ313,ChB_3*AK313)+Rho*(ChB_1*AI313+ChB_2*AJ313+ChB_3*AK313),"")</f>
        <v>0.966814230932884</v>
      </c>
      <c r="AN313" s="12" t="n">
        <f aca="false">IF($J313=1,MAX(Cx_1*(Ref_P-E313)/Span_P,Cx_2*(Ref_S-F313)/Span_S,Cx_3*(Ref_B-G313)/Span_B),"")</f>
        <v>2.46218487394958</v>
      </c>
    </row>
    <row r="314" customFormat="false" ht="15" hidden="false" customHeight="false" outlineLevel="0" collapsed="false">
      <c r="A314" s="2" t="n">
        <v>308</v>
      </c>
      <c r="B314" s="15" t="n">
        <f aca="false">INT(A314/151)</f>
        <v>2</v>
      </c>
      <c r="C314" s="15" t="n">
        <f aca="false">MOD(A314,151)</f>
        <v>6</v>
      </c>
      <c r="D314" s="15" t="n">
        <f aca="false">INDEX(Grid!$J$6:$P$156,C314+1,B314+1)</f>
        <v>1</v>
      </c>
      <c r="E314" s="16" t="n">
        <f aca="false">IF(D314=1,INDEX(Grid!$B$6:$H$156,C314+1,B314+1),"")</f>
        <v>378.718790942</v>
      </c>
      <c r="F314" s="13" t="n">
        <f aca="false">Val_pt*(Ceiling_e-E_zero)*(1-(1-Half_gap)^B314)</f>
        <v>105</v>
      </c>
      <c r="G314" s="15" t="n">
        <f aca="false">C314</f>
        <v>6</v>
      </c>
      <c r="H314" s="15" t="n">
        <f aca="false">IF(D314=1,INDEX(Grid!$R$6:$X$156,C314+1,B314+1),"")</f>
        <v>48</v>
      </c>
      <c r="I314" s="2" t="str">
        <f aca="false">IF(D314=1,INDEX(Sch_label,H314+1),"")</f>
        <v>1, 2</v>
      </c>
      <c r="J314" s="15" t="n">
        <f aca="false">IF(D314=1,INDEX(Grid!$Z$6:$AF$156,C314+1,B314+1),0)</f>
        <v>1</v>
      </c>
      <c r="K314" s="16" t="n">
        <f aca="false">IF(J314=1,E314,0)</f>
        <v>378.718790942</v>
      </c>
      <c r="L314" s="17" t="n">
        <f aca="false">IF(D314=1,E314+W_board*F314,"")</f>
        <v>971.416417498466</v>
      </c>
      <c r="M314" s="24" t="n">
        <v>1</v>
      </c>
      <c r="N314" s="25" t="n">
        <v>0.725713962391735</v>
      </c>
      <c r="O314" s="25" t="n">
        <v>0.001</v>
      </c>
      <c r="P314" s="25" t="n">
        <v>0.273286037608265</v>
      </c>
      <c r="Z314" s="12" t="n">
        <f aca="false">IF(AND($J314=1,$M314=1),N314*E314/Span_P+O314*F314/Span_S+P314*G314/Span_B,"")</f>
        <v>0.771469252059489</v>
      </c>
      <c r="AA314" s="12" t="n">
        <f aca="false">IF(AND($J314=1,$M314=1),SUMPRODUCT(MAX($J$6:$J$1062*(N314*$K$6:$K$1062/Span_P+O314*$F$6:$F$1062/Span_S+P314*$G$6:$G$1062/Span_B)-(1-$J$6:$J$1062)*1000000000)),"")</f>
        <v>0.7714692520595</v>
      </c>
      <c r="AB314" s="15" t="n">
        <f aca="false">IF(AND($J314=1,$M314=1),IF(AA314-Z314&lt;=0.000000001,1,0),"")</f>
        <v>1</v>
      </c>
      <c r="AC314" s="13" t="str">
        <f aca="false">IF(AND($J314=1,$M314=0),IF(S314="",0,S314*INDEX(Grid!$B$6:$H$156,R314+1,Q314+1))+IF(V314="",0,V314*INDEX(Grid!$B$6:$H$156,U314+1,T314+1))+IF(Y314="",0,Y314*INDEX(Grid!$B$6:$H$156,X314+1,W314+1)),"")</f>
        <v/>
      </c>
      <c r="AD314" s="13" t="str">
        <f aca="false">IF(AND($J314=1,$M314=0),IF(S314="",0,S314*Val_pt*(Ceiling_e-E_zero)*(1-(1-Half_gap)^Q314))+IF(V314="",0,V314*Val_pt*(Ceiling_e-E_zero)*(1-(1-Half_gap)^T314))+IF(Y314="",0,Y314*Val_pt*(Ceiling_e-E_zero)*(1-(1-Half_gap)^W314)),"")</f>
        <v/>
      </c>
      <c r="AE314" s="13" t="str">
        <f aca="false">IF(AND($J314=1,$M314=0),IF(S314="",0,S314*R314)+IF(V314="",0,V314*U314)+IF(Y314="",0,Y314*X314),"")</f>
        <v/>
      </c>
      <c r="AF314" s="12" t="str">
        <f aca="false">IF(AND($J314=1,$M314=0),MIN((AC314-E314)/Span_P,(AD314-F314)/Span_S,(AE314-G314)/Span_B),"")</f>
        <v/>
      </c>
      <c r="AG314" s="15" t="str">
        <f aca="false">IF(AND($J314=1,$M314=0),IF(AF314&gt;0.0000001,1,0),"")</f>
        <v/>
      </c>
      <c r="AH314" s="15" t="n">
        <f aca="false">IF($J314=1,IF($M314=1,AB314,AG314),"")</f>
        <v>1</v>
      </c>
      <c r="AI314" s="13" t="n">
        <f aca="false">IF($J314=1,(Ideal_P-E314)/Span_P,"")</f>
        <v>0.0150630166578346</v>
      </c>
      <c r="AJ314" s="13" t="n">
        <f aca="false">IF($J314=1,(Ideal_S-F314)/Span_S,"")</f>
        <v>0.483870967741936</v>
      </c>
      <c r="AK314" s="13" t="n">
        <f aca="false">IF($J314=1,(Ideal_B-G314)/Span_B,"")</f>
        <v>0.96</v>
      </c>
      <c r="AL314" s="12" t="n">
        <f aca="false">IF($J314=1,MAX(ChA_1*AI314,ChA_2*AJ314,ChA_3*AK314)+Rho*(ChA_1*AI314+ChA_2*AJ314+ChA_3*AK314),"")</f>
        <v>0.96014589339844</v>
      </c>
      <c r="AM314" s="12" t="n">
        <f aca="false">IF($J314=1,MAX(ChB_1*AI314,ChB_2*AJ314,ChB_3*AK314)+Rho*(ChB_1*AI314+ChB_2*AJ314+ChB_3*AK314),"")</f>
        <v>0.960147399700106</v>
      </c>
      <c r="AN314" s="12" t="n">
        <f aca="false">IF($J314=1,MAX(Cx_1*(Ref_P-E314)/Span_P,Cx_2*(Ref_S-F314)/Span_S,Cx_3*(Ref_B-G314)/Span_B),"")</f>
        <v>2.4453781512605</v>
      </c>
    </row>
    <row r="315" customFormat="false" ht="15" hidden="false" customHeight="false" outlineLevel="0" collapsed="false">
      <c r="A315" s="2" t="n">
        <v>309</v>
      </c>
      <c r="B315" s="15" t="n">
        <f aca="false">INT(A315/151)</f>
        <v>2</v>
      </c>
      <c r="C315" s="15" t="n">
        <f aca="false">MOD(A315,151)</f>
        <v>7</v>
      </c>
      <c r="D315" s="15" t="n">
        <f aca="false">INDEX(Grid!$J$6:$P$156,C315+1,B315+1)</f>
        <v>1</v>
      </c>
      <c r="E315" s="16" t="n">
        <f aca="false">IF(D315=1,INDEX(Grid!$B$6:$H$156,C315+1,B315+1),"")</f>
        <v>377.809700032909</v>
      </c>
      <c r="F315" s="13" t="n">
        <f aca="false">Val_pt*(Ceiling_e-E_zero)*(1-(1-Half_gap)^B315)</f>
        <v>105</v>
      </c>
      <c r="G315" s="15" t="n">
        <f aca="false">C315</f>
        <v>7</v>
      </c>
      <c r="H315" s="15" t="n">
        <f aca="false">IF(D315=1,INDEX(Grid!$R$6:$X$156,C315+1,B315+1),"")</f>
        <v>48</v>
      </c>
      <c r="I315" s="2" t="str">
        <f aca="false">IF(D315=1,INDEX(Sch_label,H315+1),"")</f>
        <v>1, 2</v>
      </c>
      <c r="J315" s="15" t="n">
        <f aca="false">IF(D315=1,INDEX(Grid!$Z$6:$AF$156,C315+1,B315+1),0)</f>
        <v>1</v>
      </c>
      <c r="K315" s="16" t="n">
        <f aca="false">IF(J315=1,E315,0)</f>
        <v>377.809700032909</v>
      </c>
      <c r="L315" s="17" t="n">
        <f aca="false">IF(D315=1,E315+W_board*F315,"")</f>
        <v>970.507326589375</v>
      </c>
      <c r="M315" s="24" t="n">
        <v>1</v>
      </c>
      <c r="N315" s="25" t="n">
        <v>0.725713962391753</v>
      </c>
      <c r="O315" s="25" t="n">
        <v>0.001</v>
      </c>
      <c r="P315" s="25" t="n">
        <v>0.273286037608247</v>
      </c>
      <c r="Z315" s="12" t="n">
        <f aca="false">IF(AND($J315=1,$M315=1),N315*E315/Span_P+O315*F315/Span_S+P315*G315/Span_B,"")</f>
        <v>0.771469252059507</v>
      </c>
      <c r="AA315" s="12" t="n">
        <f aca="false">IF(AND($J315=1,$M315=1),SUMPRODUCT(MAX($J$6:$J$1062*(N315*$K$6:$K$1062/Span_P+O315*$F$6:$F$1062/Span_S+P315*$G$6:$G$1062/Span_B)-(1-$J$6:$J$1062)*1000000000)),"")</f>
        <v>0.771469252059507</v>
      </c>
      <c r="AB315" s="15" t="n">
        <f aca="false">IF(AND($J315=1,$M315=1),IF(AA315-Z315&lt;=0.000000001,1,0),"")</f>
        <v>1</v>
      </c>
      <c r="AC315" s="13" t="str">
        <f aca="false">IF(AND($J315=1,$M315=0),IF(S315="",0,S315*INDEX(Grid!$B$6:$H$156,R315+1,Q315+1))+IF(V315="",0,V315*INDEX(Grid!$B$6:$H$156,U315+1,T315+1))+IF(Y315="",0,Y315*INDEX(Grid!$B$6:$H$156,X315+1,W315+1)),"")</f>
        <v/>
      </c>
      <c r="AD315" s="13" t="str">
        <f aca="false">IF(AND($J315=1,$M315=0),IF(S315="",0,S315*Val_pt*(Ceiling_e-E_zero)*(1-(1-Half_gap)^Q315))+IF(V315="",0,V315*Val_pt*(Ceiling_e-E_zero)*(1-(1-Half_gap)^T315))+IF(Y315="",0,Y315*Val_pt*(Ceiling_e-E_zero)*(1-(1-Half_gap)^W315)),"")</f>
        <v/>
      </c>
      <c r="AE315" s="13" t="str">
        <f aca="false">IF(AND($J315=1,$M315=0),IF(S315="",0,S315*R315)+IF(V315="",0,V315*U315)+IF(Y315="",0,Y315*X315),"")</f>
        <v/>
      </c>
      <c r="AF315" s="12" t="str">
        <f aca="false">IF(AND($J315=1,$M315=0),MIN((AC315-E315)/Span_P,(AD315-F315)/Span_S,(AE315-G315)/Span_B),"")</f>
        <v/>
      </c>
      <c r="AG315" s="15" t="str">
        <f aca="false">IF(AND($J315=1,$M315=0),IF(AF315&gt;0.0000001,1,0),"")</f>
        <v/>
      </c>
      <c r="AH315" s="15" t="n">
        <f aca="false">IF($J315=1,IF($M315=1,AB315,AG315),"")</f>
        <v>1</v>
      </c>
      <c r="AI315" s="13" t="n">
        <f aca="false">IF($J315=1,(Ideal_P-E315)/Span_P,"")</f>
        <v>0.0175735194341404</v>
      </c>
      <c r="AJ315" s="13" t="n">
        <f aca="false">IF($J315=1,(Ideal_S-F315)/Span_S,"")</f>
        <v>0.483870967741936</v>
      </c>
      <c r="AK315" s="13" t="n">
        <f aca="false">IF($J315=1,(Ideal_B-G315)/Span_B,"")</f>
        <v>0.953333333333333</v>
      </c>
      <c r="AL315" s="12" t="n">
        <f aca="false">IF($J315=1,MAX(ChA_1*AI315,ChA_2*AJ315,ChA_3*AK315)+Rho*(ChA_1*AI315+ChA_2*AJ315+ChA_3*AK315),"")</f>
        <v>0.953478811115384</v>
      </c>
      <c r="AM315" s="12" t="n">
        <f aca="false">IF($J315=1,MAX(ChB_1*AI315,ChB_2*AJ315,ChB_3*AK315)+Rho*(ChB_1*AI315+ChB_2*AJ315+ChB_3*AK315),"")</f>
        <v>0.953480568467328</v>
      </c>
      <c r="AN315" s="12" t="n">
        <f aca="false">IF($J315=1,MAX(Cx_1*(Ref_P-E315)/Span_P,Cx_2*(Ref_S-F315)/Span_S,Cx_3*(Ref_B-G315)/Span_B),"")</f>
        <v>2.42857142857143</v>
      </c>
    </row>
    <row r="316" customFormat="false" ht="15" hidden="false" customHeight="false" outlineLevel="0" collapsed="false">
      <c r="A316" s="2" t="n">
        <v>310</v>
      </c>
      <c r="B316" s="15" t="n">
        <f aca="false">INT(A316/151)</f>
        <v>2</v>
      </c>
      <c r="C316" s="15" t="n">
        <f aca="false">MOD(A316,151)</f>
        <v>8</v>
      </c>
      <c r="D316" s="15" t="n">
        <f aca="false">INDEX(Grid!$J$6:$P$156,C316+1,B316+1)</f>
        <v>1</v>
      </c>
      <c r="E316" s="16" t="n">
        <f aca="false">IF(D316=1,INDEX(Grid!$B$6:$H$156,C316+1,B316+1),"")</f>
        <v>376.900609123818</v>
      </c>
      <c r="F316" s="13" t="n">
        <f aca="false">Val_pt*(Ceiling_e-E_zero)*(1-(1-Half_gap)^B316)</f>
        <v>105</v>
      </c>
      <c r="G316" s="15" t="n">
        <f aca="false">C316</f>
        <v>8</v>
      </c>
      <c r="H316" s="15" t="n">
        <f aca="false">IF(D316=1,INDEX(Grid!$R$6:$X$156,C316+1,B316+1),"")</f>
        <v>48</v>
      </c>
      <c r="I316" s="2" t="str">
        <f aca="false">IF(D316=1,INDEX(Sch_label,H316+1),"")</f>
        <v>1, 2</v>
      </c>
      <c r="J316" s="15" t="n">
        <f aca="false">IF(D316=1,INDEX(Grid!$Z$6:$AF$156,C316+1,B316+1),0)</f>
        <v>1</v>
      </c>
      <c r="K316" s="16" t="n">
        <f aca="false">IF(J316=1,E316,0)</f>
        <v>376.900609123818</v>
      </c>
      <c r="L316" s="17" t="n">
        <f aca="false">IF(D316=1,E316+W_board*F316,"")</f>
        <v>969.598235680284</v>
      </c>
      <c r="M316" s="24" t="n">
        <v>1</v>
      </c>
      <c r="N316" s="25" t="n">
        <v>0.725713962391753</v>
      </c>
      <c r="O316" s="25" t="n">
        <v>0.001</v>
      </c>
      <c r="P316" s="25" t="n">
        <v>0.273286037608247</v>
      </c>
      <c r="Z316" s="12" t="n">
        <f aca="false">IF(AND($J316=1,$M316=1),N316*E316/Span_P+O316*F316/Span_S+P316*G316/Span_B,"")</f>
        <v>0.771469252059507</v>
      </c>
      <c r="AA316" s="12" t="n">
        <f aca="false">IF(AND($J316=1,$M316=1),SUMPRODUCT(MAX($J$6:$J$1062*(N316*$K$6:$K$1062/Span_P+O316*$F$6:$F$1062/Span_S+P316*$G$6:$G$1062/Span_B)-(1-$J$6:$J$1062)*1000000000)),"")</f>
        <v>0.771469252059507</v>
      </c>
      <c r="AB316" s="15" t="n">
        <f aca="false">IF(AND($J316=1,$M316=1),IF(AA316-Z316&lt;=0.000000001,1,0),"")</f>
        <v>1</v>
      </c>
      <c r="AC316" s="13" t="str">
        <f aca="false">IF(AND($J316=1,$M316=0),IF(S316="",0,S316*INDEX(Grid!$B$6:$H$156,R316+1,Q316+1))+IF(V316="",0,V316*INDEX(Grid!$B$6:$H$156,U316+1,T316+1))+IF(Y316="",0,Y316*INDEX(Grid!$B$6:$H$156,X316+1,W316+1)),"")</f>
        <v/>
      </c>
      <c r="AD316" s="13" t="str">
        <f aca="false">IF(AND($J316=1,$M316=0),IF(S316="",0,S316*Val_pt*(Ceiling_e-E_zero)*(1-(1-Half_gap)^Q316))+IF(V316="",0,V316*Val_pt*(Ceiling_e-E_zero)*(1-(1-Half_gap)^T316))+IF(Y316="",0,Y316*Val_pt*(Ceiling_e-E_zero)*(1-(1-Half_gap)^W316)),"")</f>
        <v/>
      </c>
      <c r="AE316" s="13" t="str">
        <f aca="false">IF(AND($J316=1,$M316=0),IF(S316="",0,S316*R316)+IF(V316="",0,V316*U316)+IF(Y316="",0,Y316*X316),"")</f>
        <v/>
      </c>
      <c r="AF316" s="12" t="str">
        <f aca="false">IF(AND($J316=1,$M316=0),MIN((AC316-E316)/Span_P,(AD316-F316)/Span_S,(AE316-G316)/Span_B),"")</f>
        <v/>
      </c>
      <c r="AG316" s="15" t="str">
        <f aca="false">IF(AND($J316=1,$M316=0),IF(AF316&gt;0.0000001,1,0),"")</f>
        <v/>
      </c>
      <c r="AH316" s="15" t="n">
        <f aca="false">IF($J316=1,IF($M316=1,AB316,AG316),"")</f>
        <v>1</v>
      </c>
      <c r="AI316" s="13" t="n">
        <f aca="false">IF($J316=1,(Ideal_P-E316)/Span_P,"")</f>
        <v>0.0200840222104461</v>
      </c>
      <c r="AJ316" s="13" t="n">
        <f aca="false">IF($J316=1,(Ideal_S-F316)/Span_S,"")</f>
        <v>0.483870967741936</v>
      </c>
      <c r="AK316" s="13" t="n">
        <f aca="false">IF($J316=1,(Ideal_B-G316)/Span_B,"")</f>
        <v>0.946666666666667</v>
      </c>
      <c r="AL316" s="12" t="n">
        <f aca="false">IF($J316=1,MAX(ChA_1*AI316,ChA_2*AJ316,ChA_3*AK316)+Rho*(ChA_1*AI316+ChA_2*AJ316+ChA_3*AK316),"")</f>
        <v>0.946811728832329</v>
      </c>
      <c r="AM316" s="12" t="n">
        <f aca="false">IF($J316=1,MAX(ChB_1*AI316,ChB_2*AJ316,ChB_3*AK316)+Rho*(ChB_1*AI316+ChB_2*AJ316+ChB_3*AK316),"")</f>
        <v>0.94681373723455</v>
      </c>
      <c r="AN316" s="12" t="n">
        <f aca="false">IF($J316=1,MAX(Cx_1*(Ref_P-E316)/Span_P,Cx_2*(Ref_S-F316)/Span_S,Cx_3*(Ref_B-G316)/Span_B),"")</f>
        <v>2.41176470588235</v>
      </c>
    </row>
    <row r="317" customFormat="false" ht="15" hidden="false" customHeight="false" outlineLevel="0" collapsed="false">
      <c r="A317" s="2" t="n">
        <v>311</v>
      </c>
      <c r="B317" s="15" t="n">
        <f aca="false">INT(A317/151)</f>
        <v>2</v>
      </c>
      <c r="C317" s="15" t="n">
        <f aca="false">MOD(A317,151)</f>
        <v>9</v>
      </c>
      <c r="D317" s="15" t="n">
        <f aca="false">INDEX(Grid!$J$6:$P$156,C317+1,B317+1)</f>
        <v>1</v>
      </c>
      <c r="E317" s="16" t="n">
        <f aca="false">IF(D317=1,INDEX(Grid!$B$6:$H$156,C317+1,B317+1),"")</f>
        <v>375.991518214727</v>
      </c>
      <c r="F317" s="13" t="n">
        <f aca="false">Val_pt*(Ceiling_e-E_zero)*(1-(1-Half_gap)^B317)</f>
        <v>105</v>
      </c>
      <c r="G317" s="15" t="n">
        <f aca="false">C317</f>
        <v>9</v>
      </c>
      <c r="H317" s="15" t="n">
        <f aca="false">IF(D317=1,INDEX(Grid!$R$6:$X$156,C317+1,B317+1),"")</f>
        <v>48</v>
      </c>
      <c r="I317" s="2" t="str">
        <f aca="false">IF(D317=1,INDEX(Sch_label,H317+1),"")</f>
        <v>1, 2</v>
      </c>
      <c r="J317" s="15" t="n">
        <f aca="false">IF(D317=1,INDEX(Grid!$Z$6:$AF$156,C317+1,B317+1),0)</f>
        <v>1</v>
      </c>
      <c r="K317" s="16" t="n">
        <f aca="false">IF(J317=1,E317,0)</f>
        <v>375.991518214727</v>
      </c>
      <c r="L317" s="17" t="n">
        <f aca="false">IF(D317=1,E317+W_board*F317,"")</f>
        <v>968.689144771193</v>
      </c>
      <c r="M317" s="24" t="n">
        <v>1</v>
      </c>
      <c r="N317" s="25" t="n">
        <v>0.725713962391753</v>
      </c>
      <c r="O317" s="25" t="n">
        <v>0.001</v>
      </c>
      <c r="P317" s="25" t="n">
        <v>0.273286037608247</v>
      </c>
      <c r="Z317" s="12" t="n">
        <f aca="false">IF(AND($J317=1,$M317=1),N317*E317/Span_P+O317*F317/Span_S+P317*G317/Span_B,"")</f>
        <v>0.771469252059507</v>
      </c>
      <c r="AA317" s="12" t="n">
        <f aca="false">IF(AND($J317=1,$M317=1),SUMPRODUCT(MAX($J$6:$J$1062*(N317*$K$6:$K$1062/Span_P+O317*$F$6:$F$1062/Span_S+P317*$G$6:$G$1062/Span_B)-(1-$J$6:$J$1062)*1000000000)),"")</f>
        <v>0.771469252059507</v>
      </c>
      <c r="AB317" s="15" t="n">
        <f aca="false">IF(AND($J317=1,$M317=1),IF(AA317-Z317&lt;=0.000000001,1,0),"")</f>
        <v>1</v>
      </c>
      <c r="AC317" s="13" t="str">
        <f aca="false">IF(AND($J317=1,$M317=0),IF(S317="",0,S317*INDEX(Grid!$B$6:$H$156,R317+1,Q317+1))+IF(V317="",0,V317*INDEX(Grid!$B$6:$H$156,U317+1,T317+1))+IF(Y317="",0,Y317*INDEX(Grid!$B$6:$H$156,X317+1,W317+1)),"")</f>
        <v/>
      </c>
      <c r="AD317" s="13" t="str">
        <f aca="false">IF(AND($J317=1,$M317=0),IF(S317="",0,S317*Val_pt*(Ceiling_e-E_zero)*(1-(1-Half_gap)^Q317))+IF(V317="",0,V317*Val_pt*(Ceiling_e-E_zero)*(1-(1-Half_gap)^T317))+IF(Y317="",0,Y317*Val_pt*(Ceiling_e-E_zero)*(1-(1-Half_gap)^W317)),"")</f>
        <v/>
      </c>
      <c r="AE317" s="13" t="str">
        <f aca="false">IF(AND($J317=1,$M317=0),IF(S317="",0,S317*R317)+IF(V317="",0,V317*U317)+IF(Y317="",0,Y317*X317),"")</f>
        <v/>
      </c>
      <c r="AF317" s="12" t="str">
        <f aca="false">IF(AND($J317=1,$M317=0),MIN((AC317-E317)/Span_P,(AD317-F317)/Span_S,(AE317-G317)/Span_B),"")</f>
        <v/>
      </c>
      <c r="AG317" s="15" t="str">
        <f aca="false">IF(AND($J317=1,$M317=0),IF(AF317&gt;0.0000001,1,0),"")</f>
        <v/>
      </c>
      <c r="AH317" s="15" t="n">
        <f aca="false">IF($J317=1,IF($M317=1,AB317,AG317),"")</f>
        <v>1</v>
      </c>
      <c r="AI317" s="13" t="n">
        <f aca="false">IF($J317=1,(Ideal_P-E317)/Span_P,"")</f>
        <v>0.022594524986752</v>
      </c>
      <c r="AJ317" s="13" t="n">
        <f aca="false">IF($J317=1,(Ideal_S-F317)/Span_S,"")</f>
        <v>0.483870967741936</v>
      </c>
      <c r="AK317" s="13" t="n">
        <f aca="false">IF($J317=1,(Ideal_B-G317)/Span_B,"")</f>
        <v>0.94</v>
      </c>
      <c r="AL317" s="12" t="n">
        <f aca="false">IF($J317=1,MAX(ChA_1*AI317,ChA_2*AJ317,ChA_3*AK317)+Rho*(ChA_1*AI317+ChA_2*AJ317+ChA_3*AK317),"")</f>
        <v>0.940144646549273</v>
      </c>
      <c r="AM317" s="12" t="n">
        <f aca="false">IF($J317=1,MAX(ChB_1*AI317,ChB_2*AJ317,ChB_3*AK317)+Rho*(ChB_1*AI317+ChB_2*AJ317+ChB_3*AK317),"")</f>
        <v>0.940146906001772</v>
      </c>
      <c r="AN317" s="12" t="n">
        <f aca="false">IF($J317=1,MAX(Cx_1*(Ref_P-E317)/Span_P,Cx_2*(Ref_S-F317)/Span_S,Cx_3*(Ref_B-G317)/Span_B),"")</f>
        <v>2.39495798319328</v>
      </c>
    </row>
    <row r="318" customFormat="false" ht="15" hidden="false" customHeight="false" outlineLevel="0" collapsed="false">
      <c r="A318" s="2" t="n">
        <v>312</v>
      </c>
      <c r="B318" s="15" t="n">
        <f aca="false">INT(A318/151)</f>
        <v>2</v>
      </c>
      <c r="C318" s="15" t="n">
        <f aca="false">MOD(A318,151)</f>
        <v>10</v>
      </c>
      <c r="D318" s="15" t="n">
        <f aca="false">INDEX(Grid!$J$6:$P$156,C318+1,B318+1)</f>
        <v>1</v>
      </c>
      <c r="E318" s="16" t="n">
        <f aca="false">IF(D318=1,INDEX(Grid!$B$6:$H$156,C318+1,B318+1),"")</f>
        <v>375.082427305636</v>
      </c>
      <c r="F318" s="13" t="n">
        <f aca="false">Val_pt*(Ceiling_e-E_zero)*(1-(1-Half_gap)^B318)</f>
        <v>105</v>
      </c>
      <c r="G318" s="15" t="n">
        <f aca="false">C318</f>
        <v>10</v>
      </c>
      <c r="H318" s="15" t="n">
        <f aca="false">IF(D318=1,INDEX(Grid!$R$6:$X$156,C318+1,B318+1),"")</f>
        <v>48</v>
      </c>
      <c r="I318" s="2" t="str">
        <f aca="false">IF(D318=1,INDEX(Sch_label,H318+1),"")</f>
        <v>1, 2</v>
      </c>
      <c r="J318" s="15" t="n">
        <f aca="false">IF(D318=1,INDEX(Grid!$Z$6:$AF$156,C318+1,B318+1),0)</f>
        <v>1</v>
      </c>
      <c r="K318" s="16" t="n">
        <f aca="false">IF(J318=1,E318,0)</f>
        <v>375.082427305636</v>
      </c>
      <c r="L318" s="17" t="n">
        <f aca="false">IF(D318=1,E318+W_board*F318,"")</f>
        <v>967.780053862102</v>
      </c>
      <c r="M318" s="24" t="n">
        <v>1</v>
      </c>
      <c r="N318" s="25" t="n">
        <v>0.725713962391735</v>
      </c>
      <c r="O318" s="25" t="n">
        <v>0.001</v>
      </c>
      <c r="P318" s="25" t="n">
        <v>0.273286037608265</v>
      </c>
      <c r="Z318" s="12" t="n">
        <f aca="false">IF(AND($J318=1,$M318=1),N318*E318/Span_P+O318*F318/Span_S+P318*G318/Span_B,"")</f>
        <v>0.77146925205949</v>
      </c>
      <c r="AA318" s="12" t="n">
        <f aca="false">IF(AND($J318=1,$M318=1),SUMPRODUCT(MAX($J$6:$J$1062*(N318*$K$6:$K$1062/Span_P+O318*$F$6:$F$1062/Span_S+P318*$G$6:$G$1062/Span_B)-(1-$J$6:$J$1062)*1000000000)),"")</f>
        <v>0.7714692520595</v>
      </c>
      <c r="AB318" s="15" t="n">
        <f aca="false">IF(AND($J318=1,$M318=1),IF(AA318-Z318&lt;=0.000000001,1,0),"")</f>
        <v>1</v>
      </c>
      <c r="AC318" s="13" t="str">
        <f aca="false">IF(AND($J318=1,$M318=0),IF(S318="",0,S318*INDEX(Grid!$B$6:$H$156,R318+1,Q318+1))+IF(V318="",0,V318*INDEX(Grid!$B$6:$H$156,U318+1,T318+1))+IF(Y318="",0,Y318*INDEX(Grid!$B$6:$H$156,X318+1,W318+1)),"")</f>
        <v/>
      </c>
      <c r="AD318" s="13" t="str">
        <f aca="false">IF(AND($J318=1,$M318=0),IF(S318="",0,S318*Val_pt*(Ceiling_e-E_zero)*(1-(1-Half_gap)^Q318))+IF(V318="",0,V318*Val_pt*(Ceiling_e-E_zero)*(1-(1-Half_gap)^T318))+IF(Y318="",0,Y318*Val_pt*(Ceiling_e-E_zero)*(1-(1-Half_gap)^W318)),"")</f>
        <v/>
      </c>
      <c r="AE318" s="13" t="str">
        <f aca="false">IF(AND($J318=1,$M318=0),IF(S318="",0,S318*R318)+IF(V318="",0,V318*U318)+IF(Y318="",0,Y318*X318),"")</f>
        <v/>
      </c>
      <c r="AF318" s="12" t="str">
        <f aca="false">IF(AND($J318=1,$M318=0),MIN((AC318-E318)/Span_P,(AD318-F318)/Span_S,(AE318-G318)/Span_B),"")</f>
        <v/>
      </c>
      <c r="AG318" s="15" t="str">
        <f aca="false">IF(AND($J318=1,$M318=0),IF(AF318&gt;0.0000001,1,0),"")</f>
        <v/>
      </c>
      <c r="AH318" s="15" t="n">
        <f aca="false">IF($J318=1,IF($M318=1,AB318,AG318),"")</f>
        <v>1</v>
      </c>
      <c r="AI318" s="13" t="n">
        <f aca="false">IF($J318=1,(Ideal_P-E318)/Span_P,"")</f>
        <v>0.0251050277630576</v>
      </c>
      <c r="AJ318" s="13" t="n">
        <f aca="false">IF($J318=1,(Ideal_S-F318)/Span_S,"")</f>
        <v>0.483870967741936</v>
      </c>
      <c r="AK318" s="13" t="n">
        <f aca="false">IF($J318=1,(Ideal_B-G318)/Span_B,"")</f>
        <v>0.933333333333333</v>
      </c>
      <c r="AL318" s="12" t="n">
        <f aca="false">IF($J318=1,MAX(ChA_1*AI318,ChA_2*AJ318,ChA_3*AK318)+Rho*(ChA_1*AI318+ChA_2*AJ318+ChA_3*AK318),"")</f>
        <v>0.933477564266217</v>
      </c>
      <c r="AM318" s="12" t="n">
        <f aca="false">IF($J318=1,MAX(ChB_1*AI318,ChB_2*AJ318,ChB_3*AK318)+Rho*(ChB_1*AI318+ChB_2*AJ318+ChB_3*AK318),"")</f>
        <v>0.933480074768994</v>
      </c>
      <c r="AN318" s="12" t="n">
        <f aca="false">IF($J318=1,MAX(Cx_1*(Ref_P-E318)/Span_P,Cx_2*(Ref_S-F318)/Span_S,Cx_3*(Ref_B-G318)/Span_B),"")</f>
        <v>2.3781512605042</v>
      </c>
    </row>
    <row r="319" customFormat="false" ht="15" hidden="false" customHeight="false" outlineLevel="0" collapsed="false">
      <c r="A319" s="2" t="n">
        <v>313</v>
      </c>
      <c r="B319" s="15" t="n">
        <f aca="false">INT(A319/151)</f>
        <v>2</v>
      </c>
      <c r="C319" s="15" t="n">
        <f aca="false">MOD(A319,151)</f>
        <v>11</v>
      </c>
      <c r="D319" s="15" t="n">
        <f aca="false">INDEX(Grid!$J$6:$P$156,C319+1,B319+1)</f>
        <v>1</v>
      </c>
      <c r="E319" s="16" t="n">
        <f aca="false">IF(D319=1,INDEX(Grid!$B$6:$H$156,C319+1,B319+1),"")</f>
        <v>374.173336396545</v>
      </c>
      <c r="F319" s="13" t="n">
        <f aca="false">Val_pt*(Ceiling_e-E_zero)*(1-(1-Half_gap)^B319)</f>
        <v>105</v>
      </c>
      <c r="G319" s="15" t="n">
        <f aca="false">C319</f>
        <v>11</v>
      </c>
      <c r="H319" s="15" t="n">
        <f aca="false">IF(D319=1,INDEX(Grid!$R$6:$X$156,C319+1,B319+1),"")</f>
        <v>48</v>
      </c>
      <c r="I319" s="2" t="str">
        <f aca="false">IF(D319=1,INDEX(Sch_label,H319+1),"")</f>
        <v>1, 2</v>
      </c>
      <c r="J319" s="15" t="n">
        <f aca="false">IF(D319=1,INDEX(Grid!$Z$6:$AF$156,C319+1,B319+1),0)</f>
        <v>1</v>
      </c>
      <c r="K319" s="16" t="n">
        <f aca="false">IF(J319=1,E319,0)</f>
        <v>374.173336396545</v>
      </c>
      <c r="L319" s="17" t="n">
        <f aca="false">IF(D319=1,E319+W_board*F319,"")</f>
        <v>966.870962953011</v>
      </c>
      <c r="M319" s="24" t="n">
        <v>1</v>
      </c>
      <c r="N319" s="25" t="n">
        <v>0.725713962391753</v>
      </c>
      <c r="O319" s="25" t="n">
        <v>0.001</v>
      </c>
      <c r="P319" s="25" t="n">
        <v>0.273286037608247</v>
      </c>
      <c r="Z319" s="12" t="n">
        <f aca="false">IF(AND($J319=1,$M319=1),N319*E319/Span_P+O319*F319/Span_S+P319*G319/Span_B,"")</f>
        <v>0.771469252059507</v>
      </c>
      <c r="AA319" s="12" t="n">
        <f aca="false">IF(AND($J319=1,$M319=1),SUMPRODUCT(MAX($J$6:$J$1062*(N319*$K$6:$K$1062/Span_P+O319*$F$6:$F$1062/Span_S+P319*$G$6:$G$1062/Span_B)-(1-$J$6:$J$1062)*1000000000)),"")</f>
        <v>0.771469252059507</v>
      </c>
      <c r="AB319" s="15" t="n">
        <f aca="false">IF(AND($J319=1,$M319=1),IF(AA319-Z319&lt;=0.000000001,1,0),"")</f>
        <v>1</v>
      </c>
      <c r="AC319" s="13" t="str">
        <f aca="false">IF(AND($J319=1,$M319=0),IF(S319="",0,S319*INDEX(Grid!$B$6:$H$156,R319+1,Q319+1))+IF(V319="",0,V319*INDEX(Grid!$B$6:$H$156,U319+1,T319+1))+IF(Y319="",0,Y319*INDEX(Grid!$B$6:$H$156,X319+1,W319+1)),"")</f>
        <v/>
      </c>
      <c r="AD319" s="13" t="str">
        <f aca="false">IF(AND($J319=1,$M319=0),IF(S319="",0,S319*Val_pt*(Ceiling_e-E_zero)*(1-(1-Half_gap)^Q319))+IF(V319="",0,V319*Val_pt*(Ceiling_e-E_zero)*(1-(1-Half_gap)^T319))+IF(Y319="",0,Y319*Val_pt*(Ceiling_e-E_zero)*(1-(1-Half_gap)^W319)),"")</f>
        <v/>
      </c>
      <c r="AE319" s="13" t="str">
        <f aca="false">IF(AND($J319=1,$M319=0),IF(S319="",0,S319*R319)+IF(V319="",0,V319*U319)+IF(Y319="",0,Y319*X319),"")</f>
        <v/>
      </c>
      <c r="AF319" s="12" t="str">
        <f aca="false">IF(AND($J319=1,$M319=0),MIN((AC319-E319)/Span_P,(AD319-F319)/Span_S,(AE319-G319)/Span_B),"")</f>
        <v/>
      </c>
      <c r="AG319" s="15" t="str">
        <f aca="false">IF(AND($J319=1,$M319=0),IF(AF319&gt;0.0000001,1,0),"")</f>
        <v/>
      </c>
      <c r="AH319" s="15" t="n">
        <f aca="false">IF($J319=1,IF($M319=1,AB319,AG319),"")</f>
        <v>1</v>
      </c>
      <c r="AI319" s="13" t="n">
        <f aca="false">IF($J319=1,(Ideal_P-E319)/Span_P,"")</f>
        <v>0.0276155305393635</v>
      </c>
      <c r="AJ319" s="13" t="n">
        <f aca="false">IF($J319=1,(Ideal_S-F319)/Span_S,"")</f>
        <v>0.483870967741936</v>
      </c>
      <c r="AK319" s="13" t="n">
        <f aca="false">IF($J319=1,(Ideal_B-G319)/Span_B,"")</f>
        <v>0.926666666666667</v>
      </c>
      <c r="AL319" s="12" t="n">
        <f aca="false">IF($J319=1,MAX(ChA_1*AI319,ChA_2*AJ319,ChA_3*AK319)+Rho*(ChA_1*AI319+ChA_2*AJ319+ChA_3*AK319),"")</f>
        <v>0.926810481983161</v>
      </c>
      <c r="AM319" s="12" t="n">
        <f aca="false">IF($J319=1,MAX(ChB_1*AI319,ChB_2*AJ319,ChB_3*AK319)+Rho*(ChB_1*AI319+ChB_2*AJ319+ChB_3*AK319),"")</f>
        <v>0.926813243536215</v>
      </c>
      <c r="AN319" s="12" t="n">
        <f aca="false">IF($J319=1,MAX(Cx_1*(Ref_P-E319)/Span_P,Cx_2*(Ref_S-F319)/Span_S,Cx_3*(Ref_B-G319)/Span_B),"")</f>
        <v>2.36134453781513</v>
      </c>
    </row>
    <row r="320" customFormat="false" ht="15" hidden="false" customHeight="false" outlineLevel="0" collapsed="false">
      <c r="A320" s="2" t="n">
        <v>314</v>
      </c>
      <c r="B320" s="15" t="n">
        <f aca="false">INT(A320/151)</f>
        <v>2</v>
      </c>
      <c r="C320" s="15" t="n">
        <f aca="false">MOD(A320,151)</f>
        <v>12</v>
      </c>
      <c r="D320" s="15" t="n">
        <f aca="false">INDEX(Grid!$J$6:$P$156,C320+1,B320+1)</f>
        <v>1</v>
      </c>
      <c r="E320" s="16" t="n">
        <f aca="false">IF(D320=1,INDEX(Grid!$B$6:$H$156,C320+1,B320+1),"")</f>
        <v>373.264245487454</v>
      </c>
      <c r="F320" s="13" t="n">
        <f aca="false">Val_pt*(Ceiling_e-E_zero)*(1-(1-Half_gap)^B320)</f>
        <v>105</v>
      </c>
      <c r="G320" s="15" t="n">
        <f aca="false">C320</f>
        <v>12</v>
      </c>
      <c r="H320" s="15" t="n">
        <f aca="false">IF(D320=1,INDEX(Grid!$R$6:$X$156,C320+1,B320+1),"")</f>
        <v>48</v>
      </c>
      <c r="I320" s="2" t="str">
        <f aca="false">IF(D320=1,INDEX(Sch_label,H320+1),"")</f>
        <v>1, 2</v>
      </c>
      <c r="J320" s="15" t="n">
        <f aca="false">IF(D320=1,INDEX(Grid!$Z$6:$AF$156,C320+1,B320+1),0)</f>
        <v>1</v>
      </c>
      <c r="K320" s="16" t="n">
        <f aca="false">IF(J320=1,E320,0)</f>
        <v>373.264245487454</v>
      </c>
      <c r="L320" s="17" t="n">
        <f aca="false">IF(D320=1,E320+W_board*F320,"")</f>
        <v>965.96187204392</v>
      </c>
      <c r="M320" s="24" t="n">
        <v>1</v>
      </c>
      <c r="N320" s="25" t="n">
        <v>0.725713962391753</v>
      </c>
      <c r="O320" s="25" t="n">
        <v>0.001</v>
      </c>
      <c r="P320" s="25" t="n">
        <v>0.273286037608247</v>
      </c>
      <c r="Z320" s="12" t="n">
        <f aca="false">IF(AND($J320=1,$M320=1),N320*E320/Span_P+O320*F320/Span_S+P320*G320/Span_B,"")</f>
        <v>0.771469252059507</v>
      </c>
      <c r="AA320" s="12" t="n">
        <f aca="false">IF(AND($J320=1,$M320=1),SUMPRODUCT(MAX($J$6:$J$1062*(N320*$K$6:$K$1062/Span_P+O320*$F$6:$F$1062/Span_S+P320*$G$6:$G$1062/Span_B)-(1-$J$6:$J$1062)*1000000000)),"")</f>
        <v>0.771469252059507</v>
      </c>
      <c r="AB320" s="15" t="n">
        <f aca="false">IF(AND($J320=1,$M320=1),IF(AA320-Z320&lt;=0.000000001,1,0),"")</f>
        <v>1</v>
      </c>
      <c r="AC320" s="13" t="str">
        <f aca="false">IF(AND($J320=1,$M320=0),IF(S320="",0,S320*INDEX(Grid!$B$6:$H$156,R320+1,Q320+1))+IF(V320="",0,V320*INDEX(Grid!$B$6:$H$156,U320+1,T320+1))+IF(Y320="",0,Y320*INDEX(Grid!$B$6:$H$156,X320+1,W320+1)),"")</f>
        <v/>
      </c>
      <c r="AD320" s="13" t="str">
        <f aca="false">IF(AND($J320=1,$M320=0),IF(S320="",0,S320*Val_pt*(Ceiling_e-E_zero)*(1-(1-Half_gap)^Q320))+IF(V320="",0,V320*Val_pt*(Ceiling_e-E_zero)*(1-(1-Half_gap)^T320))+IF(Y320="",0,Y320*Val_pt*(Ceiling_e-E_zero)*(1-(1-Half_gap)^W320)),"")</f>
        <v/>
      </c>
      <c r="AE320" s="13" t="str">
        <f aca="false">IF(AND($J320=1,$M320=0),IF(S320="",0,S320*R320)+IF(V320="",0,V320*U320)+IF(Y320="",0,Y320*X320),"")</f>
        <v/>
      </c>
      <c r="AF320" s="12" t="str">
        <f aca="false">IF(AND($J320=1,$M320=0),MIN((AC320-E320)/Span_P,(AD320-F320)/Span_S,(AE320-G320)/Span_B),"")</f>
        <v/>
      </c>
      <c r="AG320" s="15" t="str">
        <f aca="false">IF(AND($J320=1,$M320=0),IF(AF320&gt;0.0000001,1,0),"")</f>
        <v/>
      </c>
      <c r="AH320" s="15" t="n">
        <f aca="false">IF($J320=1,IF($M320=1,AB320,AG320),"")</f>
        <v>1</v>
      </c>
      <c r="AI320" s="13" t="n">
        <f aca="false">IF($J320=1,(Ideal_P-E320)/Span_P,"")</f>
        <v>0.0301260333156693</v>
      </c>
      <c r="AJ320" s="13" t="n">
        <f aca="false">IF($J320=1,(Ideal_S-F320)/Span_S,"")</f>
        <v>0.483870967741936</v>
      </c>
      <c r="AK320" s="13" t="n">
        <f aca="false">IF($J320=1,(Ideal_B-G320)/Span_B,"")</f>
        <v>0.92</v>
      </c>
      <c r="AL320" s="12" t="n">
        <f aca="false">IF($J320=1,MAX(ChA_1*AI320,ChA_2*AJ320,ChA_3*AK320)+Rho*(ChA_1*AI320+ChA_2*AJ320+ChA_3*AK320),"")</f>
        <v>0.920143399700106</v>
      </c>
      <c r="AM320" s="12" t="n">
        <f aca="false">IF($J320=1,MAX(ChB_1*AI320,ChB_2*AJ320,ChB_3*AK320)+Rho*(ChB_1*AI320+ChB_2*AJ320+ChB_3*AK320),"")</f>
        <v>0.920146412303437</v>
      </c>
      <c r="AN320" s="12" t="n">
        <f aca="false">IF($J320=1,MAX(Cx_1*(Ref_P-E320)/Span_P,Cx_2*(Ref_S-F320)/Span_S,Cx_3*(Ref_B-G320)/Span_B),"")</f>
        <v>2.34453781512605</v>
      </c>
    </row>
    <row r="321" customFormat="false" ht="15" hidden="false" customHeight="false" outlineLevel="0" collapsed="false">
      <c r="A321" s="2" t="n">
        <v>315</v>
      </c>
      <c r="B321" s="15" t="n">
        <f aca="false">INT(A321/151)</f>
        <v>2</v>
      </c>
      <c r="C321" s="15" t="n">
        <f aca="false">MOD(A321,151)</f>
        <v>13</v>
      </c>
      <c r="D321" s="15" t="n">
        <f aca="false">INDEX(Grid!$J$6:$P$156,C321+1,B321+1)</f>
        <v>1</v>
      </c>
      <c r="E321" s="16" t="n">
        <f aca="false">IF(D321=1,INDEX(Grid!$B$6:$H$156,C321+1,B321+1),"")</f>
        <v>372.355154578363</v>
      </c>
      <c r="F321" s="13" t="n">
        <f aca="false">Val_pt*(Ceiling_e-E_zero)*(1-(1-Half_gap)^B321)</f>
        <v>105</v>
      </c>
      <c r="G321" s="15" t="n">
        <f aca="false">C321</f>
        <v>13</v>
      </c>
      <c r="H321" s="15" t="n">
        <f aca="false">IF(D321=1,INDEX(Grid!$R$6:$X$156,C321+1,B321+1),"")</f>
        <v>48</v>
      </c>
      <c r="I321" s="2" t="str">
        <f aca="false">IF(D321=1,INDEX(Sch_label,H321+1),"")</f>
        <v>1, 2</v>
      </c>
      <c r="J321" s="15" t="n">
        <f aca="false">IF(D321=1,INDEX(Grid!$Z$6:$AF$156,C321+1,B321+1),0)</f>
        <v>1</v>
      </c>
      <c r="K321" s="16" t="n">
        <f aca="false">IF(J321=1,E321,0)</f>
        <v>372.355154578363</v>
      </c>
      <c r="L321" s="17" t="n">
        <f aca="false">IF(D321=1,E321+W_board*F321,"")</f>
        <v>965.05278113483</v>
      </c>
      <c r="M321" s="24" t="n">
        <v>1</v>
      </c>
      <c r="N321" s="25" t="n">
        <v>0.725713962391735</v>
      </c>
      <c r="O321" s="25" t="n">
        <v>0.001</v>
      </c>
      <c r="P321" s="25" t="n">
        <v>0.273286037608265</v>
      </c>
      <c r="Z321" s="12" t="n">
        <f aca="false">IF(AND($J321=1,$M321=1),N321*E321/Span_P+O321*F321/Span_S+P321*G321/Span_B,"")</f>
        <v>0.77146925205949</v>
      </c>
      <c r="AA321" s="12" t="n">
        <f aca="false">IF(AND($J321=1,$M321=1),SUMPRODUCT(MAX($J$6:$J$1062*(N321*$K$6:$K$1062/Span_P+O321*$F$6:$F$1062/Span_S+P321*$G$6:$G$1062/Span_B)-(1-$J$6:$J$1062)*1000000000)),"")</f>
        <v>0.7714692520595</v>
      </c>
      <c r="AB321" s="15" t="n">
        <f aca="false">IF(AND($J321=1,$M321=1),IF(AA321-Z321&lt;=0.000000001,1,0),"")</f>
        <v>1</v>
      </c>
      <c r="AC321" s="13" t="str">
        <f aca="false">IF(AND($J321=1,$M321=0),IF(S321="",0,S321*INDEX(Grid!$B$6:$H$156,R321+1,Q321+1))+IF(V321="",0,V321*INDEX(Grid!$B$6:$H$156,U321+1,T321+1))+IF(Y321="",0,Y321*INDEX(Grid!$B$6:$H$156,X321+1,W321+1)),"")</f>
        <v/>
      </c>
      <c r="AD321" s="13" t="str">
        <f aca="false">IF(AND($J321=1,$M321=0),IF(S321="",0,S321*Val_pt*(Ceiling_e-E_zero)*(1-(1-Half_gap)^Q321))+IF(V321="",0,V321*Val_pt*(Ceiling_e-E_zero)*(1-(1-Half_gap)^T321))+IF(Y321="",0,Y321*Val_pt*(Ceiling_e-E_zero)*(1-(1-Half_gap)^W321)),"")</f>
        <v/>
      </c>
      <c r="AE321" s="13" t="str">
        <f aca="false">IF(AND($J321=1,$M321=0),IF(S321="",0,S321*R321)+IF(V321="",0,V321*U321)+IF(Y321="",0,Y321*X321),"")</f>
        <v/>
      </c>
      <c r="AF321" s="12" t="str">
        <f aca="false">IF(AND($J321=1,$M321=0),MIN((AC321-E321)/Span_P,(AD321-F321)/Span_S,(AE321-G321)/Span_B),"")</f>
        <v/>
      </c>
      <c r="AG321" s="15" t="str">
        <f aca="false">IF(AND($J321=1,$M321=0),IF(AF321&gt;0.0000001,1,0),"")</f>
        <v/>
      </c>
      <c r="AH321" s="15" t="n">
        <f aca="false">IF($J321=1,IF($M321=1,AB321,AG321),"")</f>
        <v>1</v>
      </c>
      <c r="AI321" s="13" t="n">
        <f aca="false">IF($J321=1,(Ideal_P-E321)/Span_P,"")</f>
        <v>0.032636536091975</v>
      </c>
      <c r="AJ321" s="13" t="n">
        <f aca="false">IF($J321=1,(Ideal_S-F321)/Span_S,"")</f>
        <v>0.483870967741936</v>
      </c>
      <c r="AK321" s="13" t="n">
        <f aca="false">IF($J321=1,(Ideal_B-G321)/Span_B,"")</f>
        <v>0.913333333333333</v>
      </c>
      <c r="AL321" s="12" t="n">
        <f aca="false">IF($J321=1,MAX(ChA_1*AI321,ChA_2*AJ321,ChA_3*AK321)+Rho*(ChA_1*AI321+ChA_2*AJ321+ChA_3*AK321),"")</f>
        <v>0.91347631741705</v>
      </c>
      <c r="AM321" s="12" t="n">
        <f aca="false">IF($J321=1,MAX(ChB_1*AI321,ChB_2*AJ321,ChB_3*AK321)+Rho*(ChB_1*AI321+ChB_2*AJ321+ChB_3*AK321),"")</f>
        <v>0.913479581070659</v>
      </c>
      <c r="AN321" s="12" t="n">
        <f aca="false">IF($J321=1,MAX(Cx_1*(Ref_P-E321)/Span_P,Cx_2*(Ref_S-F321)/Span_S,Cx_3*(Ref_B-G321)/Span_B),"")</f>
        <v>2.32773109243698</v>
      </c>
    </row>
    <row r="322" customFormat="false" ht="15" hidden="false" customHeight="false" outlineLevel="0" collapsed="false">
      <c r="A322" s="2" t="n">
        <v>316</v>
      </c>
      <c r="B322" s="15" t="n">
        <f aca="false">INT(A322/151)</f>
        <v>2</v>
      </c>
      <c r="C322" s="15" t="n">
        <f aca="false">MOD(A322,151)</f>
        <v>14</v>
      </c>
      <c r="D322" s="15" t="n">
        <f aca="false">INDEX(Grid!$J$6:$P$156,C322+1,B322+1)</f>
        <v>1</v>
      </c>
      <c r="E322" s="16" t="n">
        <f aca="false">IF(D322=1,INDEX(Grid!$B$6:$H$156,C322+1,B322+1),"")</f>
        <v>371.446063669272</v>
      </c>
      <c r="F322" s="13" t="n">
        <f aca="false">Val_pt*(Ceiling_e-E_zero)*(1-(1-Half_gap)^B322)</f>
        <v>105</v>
      </c>
      <c r="G322" s="15" t="n">
        <f aca="false">C322</f>
        <v>14</v>
      </c>
      <c r="H322" s="15" t="n">
        <f aca="false">IF(D322=1,INDEX(Grid!$R$6:$X$156,C322+1,B322+1),"")</f>
        <v>48</v>
      </c>
      <c r="I322" s="2" t="str">
        <f aca="false">IF(D322=1,INDEX(Sch_label,H322+1),"")</f>
        <v>1, 2</v>
      </c>
      <c r="J322" s="15" t="n">
        <f aca="false">IF(D322=1,INDEX(Grid!$Z$6:$AF$156,C322+1,B322+1),0)</f>
        <v>1</v>
      </c>
      <c r="K322" s="16" t="n">
        <f aca="false">IF(J322=1,E322,0)</f>
        <v>371.446063669272</v>
      </c>
      <c r="L322" s="17" t="n">
        <f aca="false">IF(D322=1,E322+W_board*F322,"")</f>
        <v>964.143690225739</v>
      </c>
      <c r="M322" s="24" t="n">
        <v>1</v>
      </c>
      <c r="N322" s="25" t="n">
        <v>0.725713962391753</v>
      </c>
      <c r="O322" s="25" t="n">
        <v>0.001</v>
      </c>
      <c r="P322" s="25" t="n">
        <v>0.273286037608247</v>
      </c>
      <c r="Z322" s="12" t="n">
        <f aca="false">IF(AND($J322=1,$M322=1),N322*E322/Span_P+O322*F322/Span_S+P322*G322/Span_B,"")</f>
        <v>0.771469252059507</v>
      </c>
      <c r="AA322" s="12" t="n">
        <f aca="false">IF(AND($J322=1,$M322=1),SUMPRODUCT(MAX($J$6:$J$1062*(N322*$K$6:$K$1062/Span_P+O322*$F$6:$F$1062/Span_S+P322*$G$6:$G$1062/Span_B)-(1-$J$6:$J$1062)*1000000000)),"")</f>
        <v>0.771469252059507</v>
      </c>
      <c r="AB322" s="15" t="n">
        <f aca="false">IF(AND($J322=1,$M322=1),IF(AA322-Z322&lt;=0.000000001,1,0),"")</f>
        <v>1</v>
      </c>
      <c r="AC322" s="13" t="str">
        <f aca="false">IF(AND($J322=1,$M322=0),IF(S322="",0,S322*INDEX(Grid!$B$6:$H$156,R322+1,Q322+1))+IF(V322="",0,V322*INDEX(Grid!$B$6:$H$156,U322+1,T322+1))+IF(Y322="",0,Y322*INDEX(Grid!$B$6:$H$156,X322+1,W322+1)),"")</f>
        <v/>
      </c>
      <c r="AD322" s="13" t="str">
        <f aca="false">IF(AND($J322=1,$M322=0),IF(S322="",0,S322*Val_pt*(Ceiling_e-E_zero)*(1-(1-Half_gap)^Q322))+IF(V322="",0,V322*Val_pt*(Ceiling_e-E_zero)*(1-(1-Half_gap)^T322))+IF(Y322="",0,Y322*Val_pt*(Ceiling_e-E_zero)*(1-(1-Half_gap)^W322)),"")</f>
        <v/>
      </c>
      <c r="AE322" s="13" t="str">
        <f aca="false">IF(AND($J322=1,$M322=0),IF(S322="",0,S322*R322)+IF(V322="",0,V322*U322)+IF(Y322="",0,Y322*X322),"")</f>
        <v/>
      </c>
      <c r="AF322" s="12" t="str">
        <f aca="false">IF(AND($J322=1,$M322=0),MIN((AC322-E322)/Span_P,(AD322-F322)/Span_S,(AE322-G322)/Span_B),"")</f>
        <v/>
      </c>
      <c r="AG322" s="15" t="str">
        <f aca="false">IF(AND($J322=1,$M322=0),IF(AF322&gt;0.0000001,1,0),"")</f>
        <v/>
      </c>
      <c r="AH322" s="15" t="n">
        <f aca="false">IF($J322=1,IF($M322=1,AB322,AG322),"")</f>
        <v>1</v>
      </c>
      <c r="AI322" s="13" t="n">
        <f aca="false">IF($J322=1,(Ideal_P-E322)/Span_P,"")</f>
        <v>0.0351470388682809</v>
      </c>
      <c r="AJ322" s="13" t="n">
        <f aca="false">IF($J322=1,(Ideal_S-F322)/Span_S,"")</f>
        <v>0.483870967741936</v>
      </c>
      <c r="AK322" s="13" t="n">
        <f aca="false">IF($J322=1,(Ideal_B-G322)/Span_B,"")</f>
        <v>0.906666666666667</v>
      </c>
      <c r="AL322" s="12" t="n">
        <f aca="false">IF($J322=1,MAX(ChA_1*AI322,ChA_2*AJ322,ChA_3*AK322)+Rho*(ChA_1*AI322+ChA_2*AJ322+ChA_3*AK322),"")</f>
        <v>0.906809235133994</v>
      </c>
      <c r="AM322" s="12" t="n">
        <f aca="false">IF($J322=1,MAX(ChB_1*AI322,ChB_2*AJ322,ChB_3*AK322)+Rho*(ChB_1*AI322+ChB_2*AJ322+ChB_3*AK322),"")</f>
        <v>0.906812749837881</v>
      </c>
      <c r="AN322" s="12" t="n">
        <f aca="false">IF($J322=1,MAX(Cx_1*(Ref_P-E322)/Span_P,Cx_2*(Ref_S-F322)/Span_S,Cx_3*(Ref_B-G322)/Span_B),"")</f>
        <v>2.3109243697479</v>
      </c>
    </row>
    <row r="323" customFormat="false" ht="15" hidden="false" customHeight="false" outlineLevel="0" collapsed="false">
      <c r="A323" s="2" t="n">
        <v>317</v>
      </c>
      <c r="B323" s="15" t="n">
        <f aca="false">INT(A323/151)</f>
        <v>2</v>
      </c>
      <c r="C323" s="15" t="n">
        <f aca="false">MOD(A323,151)</f>
        <v>15</v>
      </c>
      <c r="D323" s="15" t="n">
        <f aca="false">INDEX(Grid!$J$6:$P$156,C323+1,B323+1)</f>
        <v>1</v>
      </c>
      <c r="E323" s="16" t="n">
        <f aca="false">IF(D323=1,INDEX(Grid!$B$6:$H$156,C323+1,B323+1),"")</f>
        <v>370.536972760182</v>
      </c>
      <c r="F323" s="13" t="n">
        <f aca="false">Val_pt*(Ceiling_e-E_zero)*(1-(1-Half_gap)^B323)</f>
        <v>105</v>
      </c>
      <c r="G323" s="15" t="n">
        <f aca="false">C323</f>
        <v>15</v>
      </c>
      <c r="H323" s="15" t="n">
        <f aca="false">IF(D323=1,INDEX(Grid!$R$6:$X$156,C323+1,B323+1),"")</f>
        <v>48</v>
      </c>
      <c r="I323" s="2" t="str">
        <f aca="false">IF(D323=1,INDEX(Sch_label,H323+1),"")</f>
        <v>1, 2</v>
      </c>
      <c r="J323" s="15" t="n">
        <f aca="false">IF(D323=1,INDEX(Grid!$Z$6:$AF$156,C323+1,B323+1),0)</f>
        <v>1</v>
      </c>
      <c r="K323" s="16" t="n">
        <f aca="false">IF(J323=1,E323,0)</f>
        <v>370.536972760182</v>
      </c>
      <c r="L323" s="17" t="n">
        <f aca="false">IF(D323=1,E323+W_board*F323,"")</f>
        <v>963.234599316648</v>
      </c>
      <c r="M323" s="24" t="n">
        <v>1</v>
      </c>
      <c r="N323" s="25" t="n">
        <v>0.725713962391753</v>
      </c>
      <c r="O323" s="25" t="n">
        <v>0.001</v>
      </c>
      <c r="P323" s="25" t="n">
        <v>0.273286037608247</v>
      </c>
      <c r="Z323" s="12" t="n">
        <f aca="false">IF(AND($J323=1,$M323=1),N323*E323/Span_P+O323*F323/Span_S+P323*G323/Span_B,"")</f>
        <v>0.771469252059507</v>
      </c>
      <c r="AA323" s="12" t="n">
        <f aca="false">IF(AND($J323=1,$M323=1),SUMPRODUCT(MAX($J$6:$J$1062*(N323*$K$6:$K$1062/Span_P+O323*$F$6:$F$1062/Span_S+P323*$G$6:$G$1062/Span_B)-(1-$J$6:$J$1062)*1000000000)),"")</f>
        <v>0.771469252059507</v>
      </c>
      <c r="AB323" s="15" t="n">
        <f aca="false">IF(AND($J323=1,$M323=1),IF(AA323-Z323&lt;=0.000000001,1,0),"")</f>
        <v>1</v>
      </c>
      <c r="AC323" s="13" t="str">
        <f aca="false">IF(AND($J323=1,$M323=0),IF(S323="",0,S323*INDEX(Grid!$B$6:$H$156,R323+1,Q323+1))+IF(V323="",0,V323*INDEX(Grid!$B$6:$H$156,U323+1,T323+1))+IF(Y323="",0,Y323*INDEX(Grid!$B$6:$H$156,X323+1,W323+1)),"")</f>
        <v/>
      </c>
      <c r="AD323" s="13" t="str">
        <f aca="false">IF(AND($J323=1,$M323=0),IF(S323="",0,S323*Val_pt*(Ceiling_e-E_zero)*(1-(1-Half_gap)^Q323))+IF(V323="",0,V323*Val_pt*(Ceiling_e-E_zero)*(1-(1-Half_gap)^T323))+IF(Y323="",0,Y323*Val_pt*(Ceiling_e-E_zero)*(1-(1-Half_gap)^W323)),"")</f>
        <v/>
      </c>
      <c r="AE323" s="13" t="str">
        <f aca="false">IF(AND($J323=1,$M323=0),IF(S323="",0,S323*R323)+IF(V323="",0,V323*U323)+IF(Y323="",0,Y323*X323),"")</f>
        <v/>
      </c>
      <c r="AF323" s="12" t="str">
        <f aca="false">IF(AND($J323=1,$M323=0),MIN((AC323-E323)/Span_P,(AD323-F323)/Span_S,(AE323-G323)/Span_B),"")</f>
        <v/>
      </c>
      <c r="AG323" s="15" t="str">
        <f aca="false">IF(AND($J323=1,$M323=0),IF(AF323&gt;0.0000001,1,0),"")</f>
        <v/>
      </c>
      <c r="AH323" s="15" t="n">
        <f aca="false">IF($J323=1,IF($M323=1,AB323,AG323),"")</f>
        <v>1</v>
      </c>
      <c r="AI323" s="13" t="n">
        <f aca="false">IF($J323=1,(Ideal_P-E323)/Span_P,"")</f>
        <v>0.0376575416445865</v>
      </c>
      <c r="AJ323" s="13" t="n">
        <f aca="false">IF($J323=1,(Ideal_S-F323)/Span_S,"")</f>
        <v>0.483870967741936</v>
      </c>
      <c r="AK323" s="13" t="n">
        <f aca="false">IF($J323=1,(Ideal_B-G323)/Span_B,"")</f>
        <v>0.9</v>
      </c>
      <c r="AL323" s="12" t="n">
        <f aca="false">IF($J323=1,MAX(ChA_1*AI323,ChA_2*AJ323,ChA_3*AK323)+Rho*(ChA_1*AI323+ChA_2*AJ323+ChA_3*AK323),"")</f>
        <v>0.900142152850939</v>
      </c>
      <c r="AM323" s="12" t="n">
        <f aca="false">IF($J323=1,MAX(ChB_1*AI323,ChB_2*AJ323,ChB_3*AK323)+Rho*(ChB_1*AI323+ChB_2*AJ323+ChB_3*AK323),"")</f>
        <v>0.900145918605103</v>
      </c>
      <c r="AN323" s="12" t="n">
        <f aca="false">IF($J323=1,MAX(Cx_1*(Ref_P-E323)/Span_P,Cx_2*(Ref_S-F323)/Span_S,Cx_3*(Ref_B-G323)/Span_B),"")</f>
        <v>2.29411764705882</v>
      </c>
    </row>
    <row r="324" customFormat="false" ht="15" hidden="false" customHeight="false" outlineLevel="0" collapsed="false">
      <c r="A324" s="2" t="n">
        <v>318</v>
      </c>
      <c r="B324" s="15" t="n">
        <f aca="false">INT(A324/151)</f>
        <v>2</v>
      </c>
      <c r="C324" s="15" t="n">
        <f aca="false">MOD(A324,151)</f>
        <v>16</v>
      </c>
      <c r="D324" s="15" t="n">
        <f aca="false">INDEX(Grid!$J$6:$P$156,C324+1,B324+1)</f>
        <v>1</v>
      </c>
      <c r="E324" s="16" t="n">
        <f aca="false">IF(D324=1,INDEX(Grid!$B$6:$H$156,C324+1,B324+1),"")</f>
        <v>369.627881851091</v>
      </c>
      <c r="F324" s="13" t="n">
        <f aca="false">Val_pt*(Ceiling_e-E_zero)*(1-(1-Half_gap)^B324)</f>
        <v>105</v>
      </c>
      <c r="G324" s="15" t="n">
        <f aca="false">C324</f>
        <v>16</v>
      </c>
      <c r="H324" s="15" t="n">
        <f aca="false">IF(D324=1,INDEX(Grid!$R$6:$X$156,C324+1,B324+1),"")</f>
        <v>48</v>
      </c>
      <c r="I324" s="2" t="str">
        <f aca="false">IF(D324=1,INDEX(Sch_label,H324+1),"")</f>
        <v>1, 2</v>
      </c>
      <c r="J324" s="15" t="n">
        <f aca="false">IF(D324=1,INDEX(Grid!$Z$6:$AF$156,C324+1,B324+1),0)</f>
        <v>1</v>
      </c>
      <c r="K324" s="16" t="n">
        <f aca="false">IF(J324=1,E324,0)</f>
        <v>369.627881851091</v>
      </c>
      <c r="L324" s="17" t="n">
        <f aca="false">IF(D324=1,E324+W_board*F324,"")</f>
        <v>962.325508407557</v>
      </c>
      <c r="M324" s="24" t="n">
        <v>1</v>
      </c>
      <c r="N324" s="25" t="n">
        <v>0.725713962391753</v>
      </c>
      <c r="O324" s="25" t="n">
        <v>0.001</v>
      </c>
      <c r="P324" s="25" t="n">
        <v>0.273286037608248</v>
      </c>
      <c r="Z324" s="12" t="n">
        <f aca="false">IF(AND($J324=1,$M324=1),N324*E324/Span_P+O324*F324/Span_S+P324*G324/Span_B,"")</f>
        <v>0.771469252059506</v>
      </c>
      <c r="AA324" s="12" t="n">
        <f aca="false">IF(AND($J324=1,$M324=1),SUMPRODUCT(MAX($J$6:$J$1062*(N324*$K$6:$K$1062/Span_P+O324*$F$6:$F$1062/Span_S+P324*$G$6:$G$1062/Span_B)-(1-$J$6:$J$1062)*1000000000)),"")</f>
        <v>0.771469252059507</v>
      </c>
      <c r="AB324" s="15" t="n">
        <f aca="false">IF(AND($J324=1,$M324=1),IF(AA324-Z324&lt;=0.000000001,1,0),"")</f>
        <v>1</v>
      </c>
      <c r="AC324" s="13" t="str">
        <f aca="false">IF(AND($J324=1,$M324=0),IF(S324="",0,S324*INDEX(Grid!$B$6:$H$156,R324+1,Q324+1))+IF(V324="",0,V324*INDEX(Grid!$B$6:$H$156,U324+1,T324+1))+IF(Y324="",0,Y324*INDEX(Grid!$B$6:$H$156,X324+1,W324+1)),"")</f>
        <v/>
      </c>
      <c r="AD324" s="13" t="str">
        <f aca="false">IF(AND($J324=1,$M324=0),IF(S324="",0,S324*Val_pt*(Ceiling_e-E_zero)*(1-(1-Half_gap)^Q324))+IF(V324="",0,V324*Val_pt*(Ceiling_e-E_zero)*(1-(1-Half_gap)^T324))+IF(Y324="",0,Y324*Val_pt*(Ceiling_e-E_zero)*(1-(1-Half_gap)^W324)),"")</f>
        <v/>
      </c>
      <c r="AE324" s="13" t="str">
        <f aca="false">IF(AND($J324=1,$M324=0),IF(S324="",0,S324*R324)+IF(V324="",0,V324*U324)+IF(Y324="",0,Y324*X324),"")</f>
        <v/>
      </c>
      <c r="AF324" s="12" t="str">
        <f aca="false">IF(AND($J324=1,$M324=0),MIN((AC324-E324)/Span_P,(AD324-F324)/Span_S,(AE324-G324)/Span_B),"")</f>
        <v/>
      </c>
      <c r="AG324" s="15" t="str">
        <f aca="false">IF(AND($J324=1,$M324=0),IF(AF324&gt;0.0000001,1,0),"")</f>
        <v/>
      </c>
      <c r="AH324" s="15" t="n">
        <f aca="false">IF($J324=1,IF($M324=1,AB324,AG324),"")</f>
        <v>1</v>
      </c>
      <c r="AI324" s="13" t="n">
        <f aca="false">IF($J324=1,(Ideal_P-E324)/Span_P,"")</f>
        <v>0.0401680444208924</v>
      </c>
      <c r="AJ324" s="13" t="n">
        <f aca="false">IF($J324=1,(Ideal_S-F324)/Span_S,"")</f>
        <v>0.483870967741936</v>
      </c>
      <c r="AK324" s="13" t="n">
        <f aca="false">IF($J324=1,(Ideal_B-G324)/Span_B,"")</f>
        <v>0.893333333333333</v>
      </c>
      <c r="AL324" s="12" t="n">
        <f aca="false">IF($J324=1,MAX(ChA_1*AI324,ChA_2*AJ324,ChA_3*AK324)+Rho*(ChA_1*AI324+ChA_2*AJ324+ChA_3*AK324),"")</f>
        <v>0.893475070567883</v>
      </c>
      <c r="AM324" s="12" t="n">
        <f aca="false">IF($J324=1,MAX(ChB_1*AI324,ChB_2*AJ324,ChB_3*AK324)+Rho*(ChB_1*AI324+ChB_2*AJ324+ChB_3*AK324),"")</f>
        <v>0.893479087372325</v>
      </c>
      <c r="AN324" s="12" t="n">
        <f aca="false">IF($J324=1,MAX(Cx_1*(Ref_P-E324)/Span_P,Cx_2*(Ref_S-F324)/Span_S,Cx_3*(Ref_B-G324)/Span_B),"")</f>
        <v>2.27731092436975</v>
      </c>
    </row>
    <row r="325" customFormat="false" ht="15" hidden="false" customHeight="false" outlineLevel="0" collapsed="false">
      <c r="A325" s="2" t="n">
        <v>319</v>
      </c>
      <c r="B325" s="15" t="n">
        <f aca="false">INT(A325/151)</f>
        <v>2</v>
      </c>
      <c r="C325" s="15" t="n">
        <f aca="false">MOD(A325,151)</f>
        <v>17</v>
      </c>
      <c r="D325" s="15" t="n">
        <f aca="false">INDEX(Grid!$J$6:$P$156,C325+1,B325+1)</f>
        <v>1</v>
      </c>
      <c r="E325" s="16" t="n">
        <f aca="false">IF(D325=1,INDEX(Grid!$B$6:$H$156,C325+1,B325+1),"")</f>
        <v>368.718790942</v>
      </c>
      <c r="F325" s="13" t="n">
        <f aca="false">Val_pt*(Ceiling_e-E_zero)*(1-(1-Half_gap)^B325)</f>
        <v>105</v>
      </c>
      <c r="G325" s="15" t="n">
        <f aca="false">C325</f>
        <v>17</v>
      </c>
      <c r="H325" s="15" t="n">
        <f aca="false">IF(D325=1,INDEX(Grid!$R$6:$X$156,C325+1,B325+1),"")</f>
        <v>48</v>
      </c>
      <c r="I325" s="2" t="str">
        <f aca="false">IF(D325=1,INDEX(Sch_label,H325+1),"")</f>
        <v>1, 2</v>
      </c>
      <c r="J325" s="15" t="n">
        <f aca="false">IF(D325=1,INDEX(Grid!$Z$6:$AF$156,C325+1,B325+1),0)</f>
        <v>1</v>
      </c>
      <c r="K325" s="16" t="n">
        <f aca="false">IF(J325=1,E325,0)</f>
        <v>368.718790942</v>
      </c>
      <c r="L325" s="17" t="n">
        <f aca="false">IF(D325=1,E325+W_board*F325,"")</f>
        <v>961.416417498466</v>
      </c>
      <c r="M325" s="24" t="n">
        <v>1</v>
      </c>
      <c r="N325" s="25" t="n">
        <v>0.725713962391735</v>
      </c>
      <c r="O325" s="25" t="n">
        <v>0.001</v>
      </c>
      <c r="P325" s="25" t="n">
        <v>0.273286037608265</v>
      </c>
      <c r="Z325" s="12" t="n">
        <f aca="false">IF(AND($J325=1,$M325=1),N325*E325/Span_P+O325*F325/Span_S+P325*G325/Span_B,"")</f>
        <v>0.771469252059491</v>
      </c>
      <c r="AA325" s="12" t="n">
        <f aca="false">IF(AND($J325=1,$M325=1),SUMPRODUCT(MAX($J$6:$J$1062*(N325*$K$6:$K$1062/Span_P+O325*$F$6:$F$1062/Span_S+P325*$G$6:$G$1062/Span_B)-(1-$J$6:$J$1062)*1000000000)),"")</f>
        <v>0.7714692520595</v>
      </c>
      <c r="AB325" s="15" t="n">
        <f aca="false">IF(AND($J325=1,$M325=1),IF(AA325-Z325&lt;=0.000000001,1,0),"")</f>
        <v>1</v>
      </c>
      <c r="AC325" s="13" t="str">
        <f aca="false">IF(AND($J325=1,$M325=0),IF(S325="",0,S325*INDEX(Grid!$B$6:$H$156,R325+1,Q325+1))+IF(V325="",0,V325*INDEX(Grid!$B$6:$H$156,U325+1,T325+1))+IF(Y325="",0,Y325*INDEX(Grid!$B$6:$H$156,X325+1,W325+1)),"")</f>
        <v/>
      </c>
      <c r="AD325" s="13" t="str">
        <f aca="false">IF(AND($J325=1,$M325=0),IF(S325="",0,S325*Val_pt*(Ceiling_e-E_zero)*(1-(1-Half_gap)^Q325))+IF(V325="",0,V325*Val_pt*(Ceiling_e-E_zero)*(1-(1-Half_gap)^T325))+IF(Y325="",0,Y325*Val_pt*(Ceiling_e-E_zero)*(1-(1-Half_gap)^W325)),"")</f>
        <v/>
      </c>
      <c r="AE325" s="13" t="str">
        <f aca="false">IF(AND($J325=1,$M325=0),IF(S325="",0,S325*R325)+IF(V325="",0,V325*U325)+IF(Y325="",0,Y325*X325),"")</f>
        <v/>
      </c>
      <c r="AF325" s="12" t="str">
        <f aca="false">IF(AND($J325=1,$M325=0),MIN((AC325-E325)/Span_P,(AD325-F325)/Span_S,(AE325-G325)/Span_B),"")</f>
        <v/>
      </c>
      <c r="AG325" s="15" t="str">
        <f aca="false">IF(AND($J325=1,$M325=0),IF(AF325&gt;0.0000001,1,0),"")</f>
        <v/>
      </c>
      <c r="AH325" s="15" t="n">
        <f aca="false">IF($J325=1,IF($M325=1,AB325,AG325),"")</f>
        <v>1</v>
      </c>
      <c r="AI325" s="13" t="n">
        <f aca="false">IF($J325=1,(Ideal_P-E325)/Span_P,"")</f>
        <v>0.0426785471971981</v>
      </c>
      <c r="AJ325" s="13" t="n">
        <f aca="false">IF($J325=1,(Ideal_S-F325)/Span_S,"")</f>
        <v>0.483870967741936</v>
      </c>
      <c r="AK325" s="13" t="n">
        <f aca="false">IF($J325=1,(Ideal_B-G325)/Span_B,"")</f>
        <v>0.886666666666667</v>
      </c>
      <c r="AL325" s="12" t="n">
        <f aca="false">IF($J325=1,MAX(ChA_1*AI325,ChA_2*AJ325,ChA_3*AK325)+Rho*(ChA_1*AI325+ChA_2*AJ325+ChA_3*AK325),"")</f>
        <v>0.886807988284827</v>
      </c>
      <c r="AM325" s="12" t="n">
        <f aca="false">IF($J325=1,MAX(ChB_1*AI325,ChB_2*AJ325,ChB_3*AK325)+Rho*(ChB_1*AI325+ChB_2*AJ325+ChB_3*AK325),"")</f>
        <v>0.886812256139547</v>
      </c>
      <c r="AN325" s="12" t="n">
        <f aca="false">IF($J325=1,MAX(Cx_1*(Ref_P-E325)/Span_P,Cx_2*(Ref_S-F325)/Span_S,Cx_3*(Ref_B-G325)/Span_B),"")</f>
        <v>2.26050420168067</v>
      </c>
    </row>
    <row r="326" customFormat="false" ht="15" hidden="false" customHeight="false" outlineLevel="0" collapsed="false">
      <c r="A326" s="2" t="n">
        <v>320</v>
      </c>
      <c r="B326" s="15" t="n">
        <f aca="false">INT(A326/151)</f>
        <v>2</v>
      </c>
      <c r="C326" s="15" t="n">
        <f aca="false">MOD(A326,151)</f>
        <v>18</v>
      </c>
      <c r="D326" s="15" t="n">
        <f aca="false">INDEX(Grid!$J$6:$P$156,C326+1,B326+1)</f>
        <v>1</v>
      </c>
      <c r="E326" s="16" t="n">
        <f aca="false">IF(D326=1,INDEX(Grid!$B$6:$H$156,C326+1,B326+1),"")</f>
        <v>367.809700032909</v>
      </c>
      <c r="F326" s="13" t="n">
        <f aca="false">Val_pt*(Ceiling_e-E_zero)*(1-(1-Half_gap)^B326)</f>
        <v>105</v>
      </c>
      <c r="G326" s="15" t="n">
        <f aca="false">C326</f>
        <v>18</v>
      </c>
      <c r="H326" s="15" t="n">
        <f aca="false">IF(D326=1,INDEX(Grid!$R$6:$X$156,C326+1,B326+1),"")</f>
        <v>48</v>
      </c>
      <c r="I326" s="2" t="str">
        <f aca="false">IF(D326=1,INDEX(Sch_label,H326+1),"")</f>
        <v>1, 2</v>
      </c>
      <c r="J326" s="15" t="n">
        <f aca="false">IF(D326=1,INDEX(Grid!$Z$6:$AF$156,C326+1,B326+1),0)</f>
        <v>1</v>
      </c>
      <c r="K326" s="16" t="n">
        <f aca="false">IF(J326=1,E326,0)</f>
        <v>367.809700032909</v>
      </c>
      <c r="L326" s="17" t="n">
        <f aca="false">IF(D326=1,E326+W_board*F326,"")</f>
        <v>960.507326589375</v>
      </c>
      <c r="M326" s="24" t="n">
        <v>1</v>
      </c>
      <c r="N326" s="25" t="n">
        <v>0.725713962391753</v>
      </c>
      <c r="O326" s="25" t="n">
        <v>0.001</v>
      </c>
      <c r="P326" s="25" t="n">
        <v>0.273286037608247</v>
      </c>
      <c r="Z326" s="12" t="n">
        <f aca="false">IF(AND($J326=1,$M326=1),N326*E326/Span_P+O326*F326/Span_S+P326*G326/Span_B,"")</f>
        <v>0.771469252059507</v>
      </c>
      <c r="AA326" s="12" t="n">
        <f aca="false">IF(AND($J326=1,$M326=1),SUMPRODUCT(MAX($J$6:$J$1062*(N326*$K$6:$K$1062/Span_P+O326*$F$6:$F$1062/Span_S+P326*$G$6:$G$1062/Span_B)-(1-$J$6:$J$1062)*1000000000)),"")</f>
        <v>0.771469252059508</v>
      </c>
      <c r="AB326" s="15" t="n">
        <f aca="false">IF(AND($J326=1,$M326=1),IF(AA326-Z326&lt;=0.000000001,1,0),"")</f>
        <v>1</v>
      </c>
      <c r="AC326" s="13" t="str">
        <f aca="false">IF(AND($J326=1,$M326=0),IF(S326="",0,S326*INDEX(Grid!$B$6:$H$156,R326+1,Q326+1))+IF(V326="",0,V326*INDEX(Grid!$B$6:$H$156,U326+1,T326+1))+IF(Y326="",0,Y326*INDEX(Grid!$B$6:$H$156,X326+1,W326+1)),"")</f>
        <v/>
      </c>
      <c r="AD326" s="13" t="str">
        <f aca="false">IF(AND($J326=1,$M326=0),IF(S326="",0,S326*Val_pt*(Ceiling_e-E_zero)*(1-(1-Half_gap)^Q326))+IF(V326="",0,V326*Val_pt*(Ceiling_e-E_zero)*(1-(1-Half_gap)^T326))+IF(Y326="",0,Y326*Val_pt*(Ceiling_e-E_zero)*(1-(1-Half_gap)^W326)),"")</f>
        <v/>
      </c>
      <c r="AE326" s="13" t="str">
        <f aca="false">IF(AND($J326=1,$M326=0),IF(S326="",0,S326*R326)+IF(V326="",0,V326*U326)+IF(Y326="",0,Y326*X326),"")</f>
        <v/>
      </c>
      <c r="AF326" s="12" t="str">
        <f aca="false">IF(AND($J326=1,$M326=0),MIN((AC326-E326)/Span_P,(AD326-F326)/Span_S,(AE326-G326)/Span_B),"")</f>
        <v/>
      </c>
      <c r="AG326" s="15" t="str">
        <f aca="false">IF(AND($J326=1,$M326=0),IF(AF326&gt;0.0000001,1,0),"")</f>
        <v/>
      </c>
      <c r="AH326" s="15" t="n">
        <f aca="false">IF($J326=1,IF($M326=1,AB326,AG326),"")</f>
        <v>1</v>
      </c>
      <c r="AI326" s="13" t="n">
        <f aca="false">IF($J326=1,(Ideal_P-E326)/Span_P,"")</f>
        <v>0.0451890499735039</v>
      </c>
      <c r="AJ326" s="13" t="n">
        <f aca="false">IF($J326=1,(Ideal_S-F326)/Span_S,"")</f>
        <v>0.483870967741936</v>
      </c>
      <c r="AK326" s="13" t="n">
        <f aca="false">IF($J326=1,(Ideal_B-G326)/Span_B,"")</f>
        <v>0.88</v>
      </c>
      <c r="AL326" s="12" t="n">
        <f aca="false">IF($J326=1,MAX(ChA_1*AI326,ChA_2*AJ326,ChA_3*AK326)+Rho*(ChA_1*AI326+ChA_2*AJ326+ChA_3*AK326),"")</f>
        <v>0.880140906001772</v>
      </c>
      <c r="AM326" s="12" t="n">
        <f aca="false">IF($J326=1,MAX(ChB_1*AI326,ChB_2*AJ326,ChB_3*AK326)+Rho*(ChB_1*AI326+ChB_2*AJ326+ChB_3*AK326),"")</f>
        <v>0.880145424906769</v>
      </c>
      <c r="AN326" s="12" t="n">
        <f aca="false">IF($J326=1,MAX(Cx_1*(Ref_P-E326)/Span_P,Cx_2*(Ref_S-F326)/Span_S,Cx_3*(Ref_B-G326)/Span_B),"")</f>
        <v>2.2436974789916</v>
      </c>
    </row>
    <row r="327" customFormat="false" ht="15" hidden="false" customHeight="false" outlineLevel="0" collapsed="false">
      <c r="A327" s="2" t="n">
        <v>321</v>
      </c>
      <c r="B327" s="15" t="n">
        <f aca="false">INT(A327/151)</f>
        <v>2</v>
      </c>
      <c r="C327" s="15" t="n">
        <f aca="false">MOD(A327,151)</f>
        <v>19</v>
      </c>
      <c r="D327" s="15" t="n">
        <f aca="false">INDEX(Grid!$J$6:$P$156,C327+1,B327+1)</f>
        <v>1</v>
      </c>
      <c r="E327" s="16" t="n">
        <f aca="false">IF(D327=1,INDEX(Grid!$B$6:$H$156,C327+1,B327+1),"")</f>
        <v>366.900609123818</v>
      </c>
      <c r="F327" s="13" t="n">
        <f aca="false">Val_pt*(Ceiling_e-E_zero)*(1-(1-Half_gap)^B327)</f>
        <v>105</v>
      </c>
      <c r="G327" s="15" t="n">
        <f aca="false">C327</f>
        <v>19</v>
      </c>
      <c r="H327" s="15" t="n">
        <f aca="false">IF(D327=1,INDEX(Grid!$R$6:$X$156,C327+1,B327+1),"")</f>
        <v>48</v>
      </c>
      <c r="I327" s="2" t="str">
        <f aca="false">IF(D327=1,INDEX(Sch_label,H327+1),"")</f>
        <v>1, 2</v>
      </c>
      <c r="J327" s="15" t="n">
        <f aca="false">IF(D327=1,INDEX(Grid!$Z$6:$AF$156,C327+1,B327+1),0)</f>
        <v>1</v>
      </c>
      <c r="K327" s="16" t="n">
        <f aca="false">IF(J327=1,E327,0)</f>
        <v>366.900609123818</v>
      </c>
      <c r="L327" s="17" t="n">
        <f aca="false">IF(D327=1,E327+W_board*F327,"")</f>
        <v>959.598235680284</v>
      </c>
      <c r="M327" s="24" t="n">
        <v>1</v>
      </c>
      <c r="N327" s="25" t="n">
        <v>0.725713962391753</v>
      </c>
      <c r="O327" s="25" t="n">
        <v>0.001</v>
      </c>
      <c r="P327" s="25" t="n">
        <v>0.273286037608248</v>
      </c>
      <c r="Z327" s="12" t="n">
        <f aca="false">IF(AND($J327=1,$M327=1),N327*E327/Span_P+O327*F327/Span_S+P327*G327/Span_B,"")</f>
        <v>0.771469252059506</v>
      </c>
      <c r="AA327" s="12" t="n">
        <f aca="false">IF(AND($J327=1,$M327=1),SUMPRODUCT(MAX($J$6:$J$1062*(N327*$K$6:$K$1062/Span_P+O327*$F$6:$F$1062/Span_S+P327*$G$6:$G$1062/Span_B)-(1-$J$6:$J$1062)*1000000000)),"")</f>
        <v>0.771469252059507</v>
      </c>
      <c r="AB327" s="15" t="n">
        <f aca="false">IF(AND($J327=1,$M327=1),IF(AA327-Z327&lt;=0.000000001,1,0),"")</f>
        <v>1</v>
      </c>
      <c r="AC327" s="13" t="str">
        <f aca="false">IF(AND($J327=1,$M327=0),IF(S327="",0,S327*INDEX(Grid!$B$6:$H$156,R327+1,Q327+1))+IF(V327="",0,V327*INDEX(Grid!$B$6:$H$156,U327+1,T327+1))+IF(Y327="",0,Y327*INDEX(Grid!$B$6:$H$156,X327+1,W327+1)),"")</f>
        <v/>
      </c>
      <c r="AD327" s="13" t="str">
        <f aca="false">IF(AND($J327=1,$M327=0),IF(S327="",0,S327*Val_pt*(Ceiling_e-E_zero)*(1-(1-Half_gap)^Q327))+IF(V327="",0,V327*Val_pt*(Ceiling_e-E_zero)*(1-(1-Half_gap)^T327))+IF(Y327="",0,Y327*Val_pt*(Ceiling_e-E_zero)*(1-(1-Half_gap)^W327)),"")</f>
        <v/>
      </c>
      <c r="AE327" s="13" t="str">
        <f aca="false">IF(AND($J327=1,$M327=0),IF(S327="",0,S327*R327)+IF(V327="",0,V327*U327)+IF(Y327="",0,Y327*X327),"")</f>
        <v/>
      </c>
      <c r="AF327" s="12" t="str">
        <f aca="false">IF(AND($J327=1,$M327=0),MIN((AC327-E327)/Span_P,(AD327-F327)/Span_S,(AE327-G327)/Span_B),"")</f>
        <v/>
      </c>
      <c r="AG327" s="15" t="str">
        <f aca="false">IF(AND($J327=1,$M327=0),IF(AF327&gt;0.0000001,1,0),"")</f>
        <v/>
      </c>
      <c r="AH327" s="15" t="n">
        <f aca="false">IF($J327=1,IF($M327=1,AB327,AG327),"")</f>
        <v>1</v>
      </c>
      <c r="AI327" s="13" t="n">
        <f aca="false">IF($J327=1,(Ideal_P-E327)/Span_P,"")</f>
        <v>0.0476995527498096</v>
      </c>
      <c r="AJ327" s="13" t="n">
        <f aca="false">IF($J327=1,(Ideal_S-F327)/Span_S,"")</f>
        <v>0.483870967741936</v>
      </c>
      <c r="AK327" s="13" t="n">
        <f aca="false">IF($J327=1,(Ideal_B-G327)/Span_B,"")</f>
        <v>0.873333333333333</v>
      </c>
      <c r="AL327" s="12" t="n">
        <f aca="false">IF($J327=1,MAX(ChA_1*AI327,ChA_2*AJ327,ChA_3*AK327)+Rho*(ChA_1*AI327+ChA_2*AJ327+ChA_3*AK327),"")</f>
        <v>0.873473823718716</v>
      </c>
      <c r="AM327" s="12" t="n">
        <f aca="false">IF($J327=1,MAX(ChB_1*AI327,ChB_2*AJ327,ChB_3*AK327)+Rho*(ChB_1*AI327+ChB_2*AJ327+ChB_3*AK327),"")</f>
        <v>0.873478593673991</v>
      </c>
      <c r="AN327" s="12" t="n">
        <f aca="false">IF($J327=1,MAX(Cx_1*(Ref_P-E327)/Span_P,Cx_2*(Ref_S-F327)/Span_S,Cx_3*(Ref_B-G327)/Span_B),"")</f>
        <v>2.22689075630252</v>
      </c>
    </row>
    <row r="328" customFormat="false" ht="15" hidden="false" customHeight="false" outlineLevel="0" collapsed="false">
      <c r="A328" s="2" t="n">
        <v>322</v>
      </c>
      <c r="B328" s="15" t="n">
        <f aca="false">INT(A328/151)</f>
        <v>2</v>
      </c>
      <c r="C328" s="15" t="n">
        <f aca="false">MOD(A328,151)</f>
        <v>20</v>
      </c>
      <c r="D328" s="15" t="n">
        <f aca="false">INDEX(Grid!$J$6:$P$156,C328+1,B328+1)</f>
        <v>1</v>
      </c>
      <c r="E328" s="16" t="n">
        <f aca="false">IF(D328=1,INDEX(Grid!$B$6:$H$156,C328+1,B328+1),"")</f>
        <v>365.991518214727</v>
      </c>
      <c r="F328" s="13" t="n">
        <f aca="false">Val_pt*(Ceiling_e-E_zero)*(1-(1-Half_gap)^B328)</f>
        <v>105</v>
      </c>
      <c r="G328" s="15" t="n">
        <f aca="false">C328</f>
        <v>20</v>
      </c>
      <c r="H328" s="15" t="n">
        <f aca="false">IF(D328=1,INDEX(Grid!$R$6:$X$156,C328+1,B328+1),"")</f>
        <v>48</v>
      </c>
      <c r="I328" s="2" t="str">
        <f aca="false">IF(D328=1,INDEX(Sch_label,H328+1),"")</f>
        <v>1, 2</v>
      </c>
      <c r="J328" s="15" t="n">
        <f aca="false">IF(D328=1,INDEX(Grid!$Z$6:$AF$156,C328+1,B328+1),0)</f>
        <v>1</v>
      </c>
      <c r="K328" s="16" t="n">
        <f aca="false">IF(J328=1,E328,0)</f>
        <v>365.991518214727</v>
      </c>
      <c r="L328" s="17" t="n">
        <f aca="false">IF(D328=1,E328+W_board*F328,"")</f>
        <v>958.689144771193</v>
      </c>
      <c r="M328" s="24" t="n">
        <v>1</v>
      </c>
      <c r="N328" s="25" t="n">
        <v>0.725713962391753</v>
      </c>
      <c r="O328" s="25" t="n">
        <v>0.001</v>
      </c>
      <c r="P328" s="25" t="n">
        <v>0.273286037608247</v>
      </c>
      <c r="Z328" s="12" t="n">
        <f aca="false">IF(AND($J328=1,$M328=1),N328*E328/Span_P+O328*F328/Span_S+P328*G328/Span_B,"")</f>
        <v>0.771469252059507</v>
      </c>
      <c r="AA328" s="12" t="n">
        <f aca="false">IF(AND($J328=1,$M328=1),SUMPRODUCT(MAX($J$6:$J$1062*(N328*$K$6:$K$1062/Span_P+O328*$F$6:$F$1062/Span_S+P328*$G$6:$G$1062/Span_B)-(1-$J$6:$J$1062)*1000000000)),"")</f>
        <v>0.771469252059508</v>
      </c>
      <c r="AB328" s="15" t="n">
        <f aca="false">IF(AND($J328=1,$M328=1),IF(AA328-Z328&lt;=0.000000001,1,0),"")</f>
        <v>1</v>
      </c>
      <c r="AC328" s="13" t="str">
        <f aca="false">IF(AND($J328=1,$M328=0),IF(S328="",0,S328*INDEX(Grid!$B$6:$H$156,R328+1,Q328+1))+IF(V328="",0,V328*INDEX(Grid!$B$6:$H$156,U328+1,T328+1))+IF(Y328="",0,Y328*INDEX(Grid!$B$6:$H$156,X328+1,W328+1)),"")</f>
        <v/>
      </c>
      <c r="AD328" s="13" t="str">
        <f aca="false">IF(AND($J328=1,$M328=0),IF(S328="",0,S328*Val_pt*(Ceiling_e-E_zero)*(1-(1-Half_gap)^Q328))+IF(V328="",0,V328*Val_pt*(Ceiling_e-E_zero)*(1-(1-Half_gap)^T328))+IF(Y328="",0,Y328*Val_pt*(Ceiling_e-E_zero)*(1-(1-Half_gap)^W328)),"")</f>
        <v/>
      </c>
      <c r="AE328" s="13" t="str">
        <f aca="false">IF(AND($J328=1,$M328=0),IF(S328="",0,S328*R328)+IF(V328="",0,V328*U328)+IF(Y328="",0,Y328*X328),"")</f>
        <v/>
      </c>
      <c r="AF328" s="12" t="str">
        <f aca="false">IF(AND($J328=1,$M328=0),MIN((AC328-E328)/Span_P,(AD328-F328)/Span_S,(AE328-G328)/Span_B),"")</f>
        <v/>
      </c>
      <c r="AG328" s="15" t="str">
        <f aca="false">IF(AND($J328=1,$M328=0),IF(AF328&gt;0.0000001,1,0),"")</f>
        <v/>
      </c>
      <c r="AH328" s="15" t="n">
        <f aca="false">IF($J328=1,IF($M328=1,AB328,AG328),"")</f>
        <v>1</v>
      </c>
      <c r="AI328" s="13" t="n">
        <f aca="false">IF($J328=1,(Ideal_P-E328)/Span_P,"")</f>
        <v>0.0502100555261154</v>
      </c>
      <c r="AJ328" s="13" t="n">
        <f aca="false">IF($J328=1,(Ideal_S-F328)/Span_S,"")</f>
        <v>0.483870967741936</v>
      </c>
      <c r="AK328" s="13" t="n">
        <f aca="false">IF($J328=1,(Ideal_B-G328)/Span_B,"")</f>
        <v>0.866666666666667</v>
      </c>
      <c r="AL328" s="12" t="n">
        <f aca="false">IF($J328=1,MAX(ChA_1*AI328,ChA_2*AJ328,ChA_3*AK328)+Rho*(ChA_1*AI328+ChA_2*AJ328+ChA_3*AK328),"")</f>
        <v>0.86680674143566</v>
      </c>
      <c r="AM328" s="12" t="n">
        <f aca="false">IF($J328=1,MAX(ChB_1*AI328,ChB_2*AJ328,ChB_3*AK328)+Rho*(ChB_1*AI328+ChB_2*AJ328+ChB_3*AK328),"")</f>
        <v>0.866811762441213</v>
      </c>
      <c r="AN328" s="12" t="n">
        <f aca="false">IF($J328=1,MAX(Cx_1*(Ref_P-E328)/Span_P,Cx_2*(Ref_S-F328)/Span_S,Cx_3*(Ref_B-G328)/Span_B),"")</f>
        <v>2.21008403361345</v>
      </c>
    </row>
    <row r="329" customFormat="false" ht="15" hidden="false" customHeight="false" outlineLevel="0" collapsed="false">
      <c r="A329" s="2" t="n">
        <v>323</v>
      </c>
      <c r="B329" s="15" t="n">
        <f aca="false">INT(A329/151)</f>
        <v>2</v>
      </c>
      <c r="C329" s="15" t="n">
        <f aca="false">MOD(A329,151)</f>
        <v>21</v>
      </c>
      <c r="D329" s="15" t="n">
        <f aca="false">INDEX(Grid!$J$6:$P$156,C329+1,B329+1)</f>
        <v>1</v>
      </c>
      <c r="E329" s="16" t="n">
        <f aca="false">IF(D329=1,INDEX(Grid!$B$6:$H$156,C329+1,B329+1),"")</f>
        <v>365.082427305636</v>
      </c>
      <c r="F329" s="13" t="n">
        <f aca="false">Val_pt*(Ceiling_e-E_zero)*(1-(1-Half_gap)^B329)</f>
        <v>105</v>
      </c>
      <c r="G329" s="15" t="n">
        <f aca="false">C329</f>
        <v>21</v>
      </c>
      <c r="H329" s="15" t="n">
        <f aca="false">IF(D329=1,INDEX(Grid!$R$6:$X$156,C329+1,B329+1),"")</f>
        <v>48</v>
      </c>
      <c r="I329" s="2" t="str">
        <f aca="false">IF(D329=1,INDEX(Sch_label,H329+1),"")</f>
        <v>1, 2</v>
      </c>
      <c r="J329" s="15" t="n">
        <f aca="false">IF(D329=1,INDEX(Grid!$Z$6:$AF$156,C329+1,B329+1),0)</f>
        <v>1</v>
      </c>
      <c r="K329" s="16" t="n">
        <f aca="false">IF(J329=1,E329,0)</f>
        <v>365.082427305636</v>
      </c>
      <c r="L329" s="17" t="n">
        <f aca="false">IF(D329=1,E329+W_board*F329,"")</f>
        <v>957.780053862102</v>
      </c>
      <c r="M329" s="24" t="n">
        <v>1</v>
      </c>
      <c r="N329" s="25" t="n">
        <v>0.725713962391735</v>
      </c>
      <c r="O329" s="25" t="n">
        <v>0.001</v>
      </c>
      <c r="P329" s="25" t="n">
        <v>0.273286037608265</v>
      </c>
      <c r="Z329" s="12" t="n">
        <f aca="false">IF(AND($J329=1,$M329=1),N329*E329/Span_P+O329*F329/Span_S+P329*G329/Span_B,"")</f>
        <v>0.771469252059491</v>
      </c>
      <c r="AA329" s="12" t="n">
        <f aca="false">IF(AND($J329=1,$M329=1),SUMPRODUCT(MAX($J$6:$J$1062*(N329*$K$6:$K$1062/Span_P+O329*$F$6:$F$1062/Span_S+P329*$G$6:$G$1062/Span_B)-(1-$J$6:$J$1062)*1000000000)),"")</f>
        <v>0.7714692520595</v>
      </c>
      <c r="AB329" s="15" t="n">
        <f aca="false">IF(AND($J329=1,$M329=1),IF(AA329-Z329&lt;=0.000000001,1,0),"")</f>
        <v>1</v>
      </c>
      <c r="AC329" s="13" t="str">
        <f aca="false">IF(AND($J329=1,$M329=0),IF(S329="",0,S329*INDEX(Grid!$B$6:$H$156,R329+1,Q329+1))+IF(V329="",0,V329*INDEX(Grid!$B$6:$H$156,U329+1,T329+1))+IF(Y329="",0,Y329*INDEX(Grid!$B$6:$H$156,X329+1,W329+1)),"")</f>
        <v/>
      </c>
      <c r="AD329" s="13" t="str">
        <f aca="false">IF(AND($J329=1,$M329=0),IF(S329="",0,S329*Val_pt*(Ceiling_e-E_zero)*(1-(1-Half_gap)^Q329))+IF(V329="",0,V329*Val_pt*(Ceiling_e-E_zero)*(1-(1-Half_gap)^T329))+IF(Y329="",0,Y329*Val_pt*(Ceiling_e-E_zero)*(1-(1-Half_gap)^W329)),"")</f>
        <v/>
      </c>
      <c r="AE329" s="13" t="str">
        <f aca="false">IF(AND($J329=1,$M329=0),IF(S329="",0,S329*R329)+IF(V329="",0,V329*U329)+IF(Y329="",0,Y329*X329),"")</f>
        <v/>
      </c>
      <c r="AF329" s="12" t="str">
        <f aca="false">IF(AND($J329=1,$M329=0),MIN((AC329-E329)/Span_P,(AD329-F329)/Span_S,(AE329-G329)/Span_B),"")</f>
        <v/>
      </c>
      <c r="AG329" s="15" t="str">
        <f aca="false">IF(AND($J329=1,$M329=0),IF(AF329&gt;0.0000001,1,0),"")</f>
        <v/>
      </c>
      <c r="AH329" s="15" t="n">
        <f aca="false">IF($J329=1,IF($M329=1,AB329,AG329),"")</f>
        <v>1</v>
      </c>
      <c r="AI329" s="13" t="n">
        <f aca="false">IF($J329=1,(Ideal_P-E329)/Span_P,"")</f>
        <v>0.0527205583024211</v>
      </c>
      <c r="AJ329" s="13" t="n">
        <f aca="false">IF($J329=1,(Ideal_S-F329)/Span_S,"")</f>
        <v>0.483870967741936</v>
      </c>
      <c r="AK329" s="13" t="n">
        <f aca="false">IF($J329=1,(Ideal_B-G329)/Span_B,"")</f>
        <v>0.86</v>
      </c>
      <c r="AL329" s="12" t="n">
        <f aca="false">IF($J329=1,MAX(ChA_1*AI329,ChA_2*AJ329,ChA_3*AK329)+Rho*(ChA_1*AI329+ChA_2*AJ329+ChA_3*AK329),"")</f>
        <v>0.860139659152604</v>
      </c>
      <c r="AM329" s="12" t="n">
        <f aca="false">IF($J329=1,MAX(ChB_1*AI329,ChB_2*AJ329,ChB_3*AK329)+Rho*(ChB_1*AI329+ChB_2*AJ329+ChB_3*AK329),"")</f>
        <v>0.860144931208435</v>
      </c>
      <c r="AN329" s="12" t="n">
        <f aca="false">IF($J329=1,MAX(Cx_1*(Ref_P-E329)/Span_P,Cx_2*(Ref_S-F329)/Span_S,Cx_3*(Ref_B-G329)/Span_B),"")</f>
        <v>2.19327731092437</v>
      </c>
    </row>
    <row r="330" customFormat="false" ht="15" hidden="false" customHeight="false" outlineLevel="0" collapsed="false">
      <c r="A330" s="2" t="n">
        <v>324</v>
      </c>
      <c r="B330" s="15" t="n">
        <f aca="false">INT(A330/151)</f>
        <v>2</v>
      </c>
      <c r="C330" s="15" t="n">
        <f aca="false">MOD(A330,151)</f>
        <v>22</v>
      </c>
      <c r="D330" s="15" t="n">
        <f aca="false">INDEX(Grid!$J$6:$P$156,C330+1,B330+1)</f>
        <v>1</v>
      </c>
      <c r="E330" s="16" t="n">
        <f aca="false">IF(D330=1,INDEX(Grid!$B$6:$H$156,C330+1,B330+1),"")</f>
        <v>364.173336396545</v>
      </c>
      <c r="F330" s="13" t="n">
        <f aca="false">Val_pt*(Ceiling_e-E_zero)*(1-(1-Half_gap)^B330)</f>
        <v>105</v>
      </c>
      <c r="G330" s="15" t="n">
        <f aca="false">C330</f>
        <v>22</v>
      </c>
      <c r="H330" s="15" t="n">
        <f aca="false">IF(D330=1,INDEX(Grid!$R$6:$X$156,C330+1,B330+1),"")</f>
        <v>48</v>
      </c>
      <c r="I330" s="2" t="str">
        <f aca="false">IF(D330=1,INDEX(Sch_label,H330+1),"")</f>
        <v>1, 2</v>
      </c>
      <c r="J330" s="15" t="n">
        <f aca="false">IF(D330=1,INDEX(Grid!$Z$6:$AF$156,C330+1,B330+1),0)</f>
        <v>1</v>
      </c>
      <c r="K330" s="16" t="n">
        <f aca="false">IF(J330=1,E330,0)</f>
        <v>364.173336396545</v>
      </c>
      <c r="L330" s="17" t="n">
        <f aca="false">IF(D330=1,E330+W_board*F330,"")</f>
        <v>956.870962953011</v>
      </c>
      <c r="M330" s="24" t="n">
        <v>1</v>
      </c>
      <c r="N330" s="25" t="n">
        <v>0.725713962391753</v>
      </c>
      <c r="O330" s="25" t="n">
        <v>0.001</v>
      </c>
      <c r="P330" s="25" t="n">
        <v>0.273286037608248</v>
      </c>
      <c r="Z330" s="12" t="n">
        <f aca="false">IF(AND($J330=1,$M330=1),N330*E330/Span_P+O330*F330/Span_S+P330*G330/Span_B,"")</f>
        <v>0.771469252059506</v>
      </c>
      <c r="AA330" s="12" t="n">
        <f aca="false">IF(AND($J330=1,$M330=1),SUMPRODUCT(MAX($J$6:$J$1062*(N330*$K$6:$K$1062/Span_P+O330*$F$6:$F$1062/Span_S+P330*$G$6:$G$1062/Span_B)-(1-$J$6:$J$1062)*1000000000)),"")</f>
        <v>0.771469252059507</v>
      </c>
      <c r="AB330" s="15" t="n">
        <f aca="false">IF(AND($J330=1,$M330=1),IF(AA330-Z330&lt;=0.000000001,1,0),"")</f>
        <v>1</v>
      </c>
      <c r="AC330" s="13" t="str">
        <f aca="false">IF(AND($J330=1,$M330=0),IF(S330="",0,S330*INDEX(Grid!$B$6:$H$156,R330+1,Q330+1))+IF(V330="",0,V330*INDEX(Grid!$B$6:$H$156,U330+1,T330+1))+IF(Y330="",0,Y330*INDEX(Grid!$B$6:$H$156,X330+1,W330+1)),"")</f>
        <v/>
      </c>
      <c r="AD330" s="13" t="str">
        <f aca="false">IF(AND($J330=1,$M330=0),IF(S330="",0,S330*Val_pt*(Ceiling_e-E_zero)*(1-(1-Half_gap)^Q330))+IF(V330="",0,V330*Val_pt*(Ceiling_e-E_zero)*(1-(1-Half_gap)^T330))+IF(Y330="",0,Y330*Val_pt*(Ceiling_e-E_zero)*(1-(1-Half_gap)^W330)),"")</f>
        <v/>
      </c>
      <c r="AE330" s="13" t="str">
        <f aca="false">IF(AND($J330=1,$M330=0),IF(S330="",0,S330*R330)+IF(V330="",0,V330*U330)+IF(Y330="",0,Y330*X330),"")</f>
        <v/>
      </c>
      <c r="AF330" s="12" t="str">
        <f aca="false">IF(AND($J330=1,$M330=0),MIN((AC330-E330)/Span_P,(AD330-F330)/Span_S,(AE330-G330)/Span_B),"")</f>
        <v/>
      </c>
      <c r="AG330" s="15" t="str">
        <f aca="false">IF(AND($J330=1,$M330=0),IF(AF330&gt;0.0000001,1,0),"")</f>
        <v/>
      </c>
      <c r="AH330" s="15" t="n">
        <f aca="false">IF($J330=1,IF($M330=1,AB330,AG330),"")</f>
        <v>1</v>
      </c>
      <c r="AI330" s="13" t="n">
        <f aca="false">IF($J330=1,(Ideal_P-E330)/Span_P,"")</f>
        <v>0.055231061078727</v>
      </c>
      <c r="AJ330" s="13" t="n">
        <f aca="false">IF($J330=1,(Ideal_S-F330)/Span_S,"")</f>
        <v>0.483870967741936</v>
      </c>
      <c r="AK330" s="13" t="n">
        <f aca="false">IF($J330=1,(Ideal_B-G330)/Span_B,"")</f>
        <v>0.853333333333333</v>
      </c>
      <c r="AL330" s="12" t="n">
        <f aca="false">IF($J330=1,MAX(ChA_1*AI330,ChA_2*AJ330,ChA_3*AK330)+Rho*(ChA_1*AI330+ChA_2*AJ330+ChA_3*AK330),"")</f>
        <v>0.853472576869549</v>
      </c>
      <c r="AM330" s="12" t="n">
        <f aca="false">IF($J330=1,MAX(ChB_1*AI330,ChB_2*AJ330,ChB_3*AK330)+Rho*(ChB_1*AI330+ChB_2*AJ330+ChB_3*AK330),"")</f>
        <v>0.853478099975657</v>
      </c>
      <c r="AN330" s="12" t="n">
        <f aca="false">IF($J330=1,MAX(Cx_1*(Ref_P-E330)/Span_P,Cx_2*(Ref_S-F330)/Span_S,Cx_3*(Ref_B-G330)/Span_B),"")</f>
        <v>2.17647058823529</v>
      </c>
    </row>
    <row r="331" customFormat="false" ht="15" hidden="false" customHeight="false" outlineLevel="0" collapsed="false">
      <c r="A331" s="2" t="n">
        <v>325</v>
      </c>
      <c r="B331" s="15" t="n">
        <f aca="false">INT(A331/151)</f>
        <v>2</v>
      </c>
      <c r="C331" s="15" t="n">
        <f aca="false">MOD(A331,151)</f>
        <v>23</v>
      </c>
      <c r="D331" s="15" t="n">
        <f aca="false">INDEX(Grid!$J$6:$P$156,C331+1,B331+1)</f>
        <v>1</v>
      </c>
      <c r="E331" s="16" t="n">
        <f aca="false">IF(D331=1,INDEX(Grid!$B$6:$H$156,C331+1,B331+1),"")</f>
        <v>363.264245487454</v>
      </c>
      <c r="F331" s="13" t="n">
        <f aca="false">Val_pt*(Ceiling_e-E_zero)*(1-(1-Half_gap)^B331)</f>
        <v>105</v>
      </c>
      <c r="G331" s="15" t="n">
        <f aca="false">C331</f>
        <v>23</v>
      </c>
      <c r="H331" s="15" t="n">
        <f aca="false">IF(D331=1,INDEX(Grid!$R$6:$X$156,C331+1,B331+1),"")</f>
        <v>48</v>
      </c>
      <c r="I331" s="2" t="str">
        <f aca="false">IF(D331=1,INDEX(Sch_label,H331+1),"")</f>
        <v>1, 2</v>
      </c>
      <c r="J331" s="15" t="n">
        <f aca="false">IF(D331=1,INDEX(Grid!$Z$6:$AF$156,C331+1,B331+1),0)</f>
        <v>1</v>
      </c>
      <c r="K331" s="16" t="n">
        <f aca="false">IF(J331=1,E331,0)</f>
        <v>363.264245487454</v>
      </c>
      <c r="L331" s="17" t="n">
        <f aca="false">IF(D331=1,E331+W_board*F331,"")</f>
        <v>955.96187204392</v>
      </c>
      <c r="M331" s="24" t="n">
        <v>1</v>
      </c>
      <c r="N331" s="25" t="n">
        <v>0.725713962391753</v>
      </c>
      <c r="O331" s="25" t="n">
        <v>0.001</v>
      </c>
      <c r="P331" s="25" t="n">
        <v>0.273286037608247</v>
      </c>
      <c r="Z331" s="12" t="n">
        <f aca="false">IF(AND($J331=1,$M331=1),N331*E331/Span_P+O331*F331/Span_S+P331*G331/Span_B,"")</f>
        <v>0.771469252059507</v>
      </c>
      <c r="AA331" s="12" t="n">
        <f aca="false">IF(AND($J331=1,$M331=1),SUMPRODUCT(MAX($J$6:$J$1062*(N331*$K$6:$K$1062/Span_P+O331*$F$6:$F$1062/Span_S+P331*$G$6:$G$1062/Span_B)-(1-$J$6:$J$1062)*1000000000)),"")</f>
        <v>0.771469252059508</v>
      </c>
      <c r="AB331" s="15" t="n">
        <f aca="false">IF(AND($J331=1,$M331=1),IF(AA331-Z331&lt;=0.000000001,1,0),"")</f>
        <v>1</v>
      </c>
      <c r="AC331" s="13" t="str">
        <f aca="false">IF(AND($J331=1,$M331=0),IF(S331="",0,S331*INDEX(Grid!$B$6:$H$156,R331+1,Q331+1))+IF(V331="",0,V331*INDEX(Grid!$B$6:$H$156,U331+1,T331+1))+IF(Y331="",0,Y331*INDEX(Grid!$B$6:$H$156,X331+1,W331+1)),"")</f>
        <v/>
      </c>
      <c r="AD331" s="13" t="str">
        <f aca="false">IF(AND($J331=1,$M331=0),IF(S331="",0,S331*Val_pt*(Ceiling_e-E_zero)*(1-(1-Half_gap)^Q331))+IF(V331="",0,V331*Val_pt*(Ceiling_e-E_zero)*(1-(1-Half_gap)^T331))+IF(Y331="",0,Y331*Val_pt*(Ceiling_e-E_zero)*(1-(1-Half_gap)^W331)),"")</f>
        <v/>
      </c>
      <c r="AE331" s="13" t="str">
        <f aca="false">IF(AND($J331=1,$M331=0),IF(S331="",0,S331*R331)+IF(V331="",0,V331*U331)+IF(Y331="",0,Y331*X331),"")</f>
        <v/>
      </c>
      <c r="AF331" s="12" t="str">
        <f aca="false">IF(AND($J331=1,$M331=0),MIN((AC331-E331)/Span_P,(AD331-F331)/Span_S,(AE331-G331)/Span_B),"")</f>
        <v/>
      </c>
      <c r="AG331" s="15" t="str">
        <f aca="false">IF(AND($J331=1,$M331=0),IF(AF331&gt;0.0000001,1,0),"")</f>
        <v/>
      </c>
      <c r="AH331" s="15" t="n">
        <f aca="false">IF($J331=1,IF($M331=1,AB331,AG331),"")</f>
        <v>1</v>
      </c>
      <c r="AI331" s="13" t="n">
        <f aca="false">IF($J331=1,(Ideal_P-E331)/Span_P,"")</f>
        <v>0.0577415638550328</v>
      </c>
      <c r="AJ331" s="13" t="n">
        <f aca="false">IF($J331=1,(Ideal_S-F331)/Span_S,"")</f>
        <v>0.483870967741936</v>
      </c>
      <c r="AK331" s="13" t="n">
        <f aca="false">IF($J331=1,(Ideal_B-G331)/Span_B,"")</f>
        <v>0.846666666666667</v>
      </c>
      <c r="AL331" s="12" t="n">
        <f aca="false">IF($J331=1,MAX(ChA_1*AI331,ChA_2*AJ331,ChA_3*AK331)+Rho*(ChA_1*AI331+ChA_2*AJ331+ChA_3*AK331),"")</f>
        <v>0.846805494586493</v>
      </c>
      <c r="AM331" s="12" t="n">
        <f aca="false">IF($J331=1,MAX(ChB_1*AI331,ChB_2*AJ331,ChB_3*AK331)+Rho*(ChB_1*AI331+ChB_2*AJ331+ChB_3*AK331),"")</f>
        <v>0.846811268742879</v>
      </c>
      <c r="AN331" s="12" t="n">
        <f aca="false">IF($J331=1,MAX(Cx_1*(Ref_P-E331)/Span_P,Cx_2*(Ref_S-F331)/Span_S,Cx_3*(Ref_B-G331)/Span_B),"")</f>
        <v>2.15966386554622</v>
      </c>
    </row>
    <row r="332" customFormat="false" ht="15" hidden="false" customHeight="false" outlineLevel="0" collapsed="false">
      <c r="A332" s="2" t="n">
        <v>326</v>
      </c>
      <c r="B332" s="15" t="n">
        <f aca="false">INT(A332/151)</f>
        <v>2</v>
      </c>
      <c r="C332" s="15" t="n">
        <f aca="false">MOD(A332,151)</f>
        <v>24</v>
      </c>
      <c r="D332" s="15" t="n">
        <f aca="false">INDEX(Grid!$J$6:$P$156,C332+1,B332+1)</f>
        <v>1</v>
      </c>
      <c r="E332" s="16" t="n">
        <f aca="false">IF(D332=1,INDEX(Grid!$B$6:$H$156,C332+1,B332+1),"")</f>
        <v>362.355154578363</v>
      </c>
      <c r="F332" s="13" t="n">
        <f aca="false">Val_pt*(Ceiling_e-E_zero)*(1-(1-Half_gap)^B332)</f>
        <v>105</v>
      </c>
      <c r="G332" s="15" t="n">
        <f aca="false">C332</f>
        <v>24</v>
      </c>
      <c r="H332" s="15" t="n">
        <f aca="false">IF(D332=1,INDEX(Grid!$R$6:$X$156,C332+1,B332+1),"")</f>
        <v>48</v>
      </c>
      <c r="I332" s="2" t="str">
        <f aca="false">IF(D332=1,INDEX(Sch_label,H332+1),"")</f>
        <v>1, 2</v>
      </c>
      <c r="J332" s="15" t="n">
        <f aca="false">IF(D332=1,INDEX(Grid!$Z$6:$AF$156,C332+1,B332+1),0)</f>
        <v>1</v>
      </c>
      <c r="K332" s="16" t="n">
        <f aca="false">IF(J332=1,E332,0)</f>
        <v>362.355154578363</v>
      </c>
      <c r="L332" s="17" t="n">
        <f aca="false">IF(D332=1,E332+W_board*F332,"")</f>
        <v>955.05278113483</v>
      </c>
      <c r="M332" s="24" t="n">
        <v>1</v>
      </c>
      <c r="N332" s="25" t="n">
        <v>0.725713962391735</v>
      </c>
      <c r="O332" s="25" t="n">
        <v>0.001</v>
      </c>
      <c r="P332" s="25" t="n">
        <v>0.273286037608265</v>
      </c>
      <c r="Z332" s="12" t="n">
        <f aca="false">IF(AND($J332=1,$M332=1),N332*E332/Span_P+O332*F332/Span_S+P332*G332/Span_B,"")</f>
        <v>0.771469252059491</v>
      </c>
      <c r="AA332" s="12" t="n">
        <f aca="false">IF(AND($J332=1,$M332=1),SUMPRODUCT(MAX($J$6:$J$1062*(N332*$K$6:$K$1062/Span_P+O332*$F$6:$F$1062/Span_S+P332*$G$6:$G$1062/Span_B)-(1-$J$6:$J$1062)*1000000000)),"")</f>
        <v>0.7714692520595</v>
      </c>
      <c r="AB332" s="15" t="n">
        <f aca="false">IF(AND($J332=1,$M332=1),IF(AA332-Z332&lt;=0.000000001,1,0),"")</f>
        <v>1</v>
      </c>
      <c r="AC332" s="13" t="str">
        <f aca="false">IF(AND($J332=1,$M332=0),IF(S332="",0,S332*INDEX(Grid!$B$6:$H$156,R332+1,Q332+1))+IF(V332="",0,V332*INDEX(Grid!$B$6:$H$156,U332+1,T332+1))+IF(Y332="",0,Y332*INDEX(Grid!$B$6:$H$156,X332+1,W332+1)),"")</f>
        <v/>
      </c>
      <c r="AD332" s="13" t="str">
        <f aca="false">IF(AND($J332=1,$M332=0),IF(S332="",0,S332*Val_pt*(Ceiling_e-E_zero)*(1-(1-Half_gap)^Q332))+IF(V332="",0,V332*Val_pt*(Ceiling_e-E_zero)*(1-(1-Half_gap)^T332))+IF(Y332="",0,Y332*Val_pt*(Ceiling_e-E_zero)*(1-(1-Half_gap)^W332)),"")</f>
        <v/>
      </c>
      <c r="AE332" s="13" t="str">
        <f aca="false">IF(AND($J332=1,$M332=0),IF(S332="",0,S332*R332)+IF(V332="",0,V332*U332)+IF(Y332="",0,Y332*X332),"")</f>
        <v/>
      </c>
      <c r="AF332" s="12" t="str">
        <f aca="false">IF(AND($J332=1,$M332=0),MIN((AC332-E332)/Span_P,(AD332-F332)/Span_S,(AE332-G332)/Span_B),"")</f>
        <v/>
      </c>
      <c r="AG332" s="15" t="str">
        <f aca="false">IF(AND($J332=1,$M332=0),IF(AF332&gt;0.0000001,1,0),"")</f>
        <v/>
      </c>
      <c r="AH332" s="15" t="n">
        <f aca="false">IF($J332=1,IF($M332=1,AB332,AG332),"")</f>
        <v>1</v>
      </c>
      <c r="AI332" s="13" t="n">
        <f aca="false">IF($J332=1,(Ideal_P-E332)/Span_P,"")</f>
        <v>0.0602520666313385</v>
      </c>
      <c r="AJ332" s="13" t="n">
        <f aca="false">IF($J332=1,(Ideal_S-F332)/Span_S,"")</f>
        <v>0.483870967741936</v>
      </c>
      <c r="AK332" s="13" t="n">
        <f aca="false">IF($J332=1,(Ideal_B-G332)/Span_B,"")</f>
        <v>0.84</v>
      </c>
      <c r="AL332" s="12" t="n">
        <f aca="false">IF($J332=1,MAX(ChA_1*AI332,ChA_2*AJ332,ChA_3*AK332)+Rho*(ChA_1*AI332+ChA_2*AJ332+ChA_3*AK332),"")</f>
        <v>0.840138412303437</v>
      </c>
      <c r="AM332" s="12" t="n">
        <f aca="false">IF($J332=1,MAX(ChB_1*AI332,ChB_2*AJ332,ChB_3*AK332)+Rho*(ChB_1*AI332+ChB_2*AJ332+ChB_3*AK332),"")</f>
        <v>0.840144437510101</v>
      </c>
      <c r="AN332" s="12" t="n">
        <f aca="false">IF($J332=1,MAX(Cx_1*(Ref_P-E332)/Span_P,Cx_2*(Ref_S-F332)/Span_S,Cx_3*(Ref_B-G332)/Span_B),"")</f>
        <v>2.14285714285714</v>
      </c>
    </row>
    <row r="333" customFormat="false" ht="15" hidden="false" customHeight="false" outlineLevel="0" collapsed="false">
      <c r="A333" s="2" t="n">
        <v>327</v>
      </c>
      <c r="B333" s="15" t="n">
        <f aca="false">INT(A333/151)</f>
        <v>2</v>
      </c>
      <c r="C333" s="15" t="n">
        <f aca="false">MOD(A333,151)</f>
        <v>25</v>
      </c>
      <c r="D333" s="15" t="n">
        <f aca="false">INDEX(Grid!$J$6:$P$156,C333+1,B333+1)</f>
        <v>1</v>
      </c>
      <c r="E333" s="16" t="n">
        <f aca="false">IF(D333=1,INDEX(Grid!$B$6:$H$156,C333+1,B333+1),"")</f>
        <v>361.446063669272</v>
      </c>
      <c r="F333" s="13" t="n">
        <f aca="false">Val_pt*(Ceiling_e-E_zero)*(1-(1-Half_gap)^B333)</f>
        <v>105</v>
      </c>
      <c r="G333" s="15" t="n">
        <f aca="false">C333</f>
        <v>25</v>
      </c>
      <c r="H333" s="15" t="n">
        <f aca="false">IF(D333=1,INDEX(Grid!$R$6:$X$156,C333+1,B333+1),"")</f>
        <v>48</v>
      </c>
      <c r="I333" s="2" t="str">
        <f aca="false">IF(D333=1,INDEX(Sch_label,H333+1),"")</f>
        <v>1, 2</v>
      </c>
      <c r="J333" s="15" t="n">
        <f aca="false">IF(D333=1,INDEX(Grid!$Z$6:$AF$156,C333+1,B333+1),0)</f>
        <v>1</v>
      </c>
      <c r="K333" s="16" t="n">
        <f aca="false">IF(J333=1,E333,0)</f>
        <v>361.446063669272</v>
      </c>
      <c r="L333" s="17" t="n">
        <f aca="false">IF(D333=1,E333+W_board*F333,"")</f>
        <v>954.143690225739</v>
      </c>
      <c r="M333" s="24" t="n">
        <v>1</v>
      </c>
      <c r="N333" s="25" t="n">
        <v>0.725713962391762</v>
      </c>
      <c r="O333" s="25" t="n">
        <v>0.001</v>
      </c>
      <c r="P333" s="25" t="n">
        <v>0.273286037608238</v>
      </c>
      <c r="Z333" s="12" t="n">
        <f aca="false">IF(AND($J333=1,$M333=1),N333*E333/Span_P+O333*F333/Span_S+P333*G333/Span_B,"")</f>
        <v>0.771469252059514</v>
      </c>
      <c r="AA333" s="12" t="n">
        <f aca="false">IF(AND($J333=1,$M333=1),SUMPRODUCT(MAX($J$6:$J$1062*(N333*$K$6:$K$1062/Span_P+O333*$F$6:$F$1062/Span_S+P333*$G$6:$G$1062/Span_B)-(1-$J$6:$J$1062)*1000000000)),"")</f>
        <v>0.771469252059517</v>
      </c>
      <c r="AB333" s="15" t="n">
        <f aca="false">IF(AND($J333=1,$M333=1),IF(AA333-Z333&lt;=0.000000001,1,0),"")</f>
        <v>1</v>
      </c>
      <c r="AC333" s="13" t="str">
        <f aca="false">IF(AND($J333=1,$M333=0),IF(S333="",0,S333*INDEX(Grid!$B$6:$H$156,R333+1,Q333+1))+IF(V333="",0,V333*INDEX(Grid!$B$6:$H$156,U333+1,T333+1))+IF(Y333="",0,Y333*INDEX(Grid!$B$6:$H$156,X333+1,W333+1)),"")</f>
        <v/>
      </c>
      <c r="AD333" s="13" t="str">
        <f aca="false">IF(AND($J333=1,$M333=0),IF(S333="",0,S333*Val_pt*(Ceiling_e-E_zero)*(1-(1-Half_gap)^Q333))+IF(V333="",0,V333*Val_pt*(Ceiling_e-E_zero)*(1-(1-Half_gap)^T333))+IF(Y333="",0,Y333*Val_pt*(Ceiling_e-E_zero)*(1-(1-Half_gap)^W333)),"")</f>
        <v/>
      </c>
      <c r="AE333" s="13" t="str">
        <f aca="false">IF(AND($J333=1,$M333=0),IF(S333="",0,S333*R333)+IF(V333="",0,V333*U333)+IF(Y333="",0,Y333*X333),"")</f>
        <v/>
      </c>
      <c r="AF333" s="12" t="str">
        <f aca="false">IF(AND($J333=1,$M333=0),MIN((AC333-E333)/Span_P,(AD333-F333)/Span_S,(AE333-G333)/Span_B),"")</f>
        <v/>
      </c>
      <c r="AG333" s="15" t="str">
        <f aca="false">IF(AND($J333=1,$M333=0),IF(AF333&gt;0.0000001,1,0),"")</f>
        <v/>
      </c>
      <c r="AH333" s="15" t="n">
        <f aca="false">IF($J333=1,IF($M333=1,AB333,AG333),"")</f>
        <v>1</v>
      </c>
      <c r="AI333" s="13" t="n">
        <f aca="false">IF($J333=1,(Ideal_P-E333)/Span_P,"")</f>
        <v>0.0627625694076443</v>
      </c>
      <c r="AJ333" s="13" t="n">
        <f aca="false">IF($J333=1,(Ideal_S-F333)/Span_S,"")</f>
        <v>0.483870967741936</v>
      </c>
      <c r="AK333" s="13" t="n">
        <f aca="false">IF($J333=1,(Ideal_B-G333)/Span_B,"")</f>
        <v>0.833333333333333</v>
      </c>
      <c r="AL333" s="12" t="n">
        <f aca="false">IF($J333=1,MAX(ChA_1*AI333,ChA_2*AJ333,ChA_3*AK333)+Rho*(ChA_1*AI333+ChA_2*AJ333+ChA_3*AK333),"")</f>
        <v>0.833471330020382</v>
      </c>
      <c r="AM333" s="12" t="n">
        <f aca="false">IF($J333=1,MAX(ChB_1*AI333,ChB_2*AJ333,ChB_3*AK333)+Rho*(ChB_1*AI333+ChB_2*AJ333+ChB_3*AK333),"")</f>
        <v>0.833477606277323</v>
      </c>
      <c r="AN333" s="12" t="n">
        <f aca="false">IF($J333=1,MAX(Cx_1*(Ref_P-E333)/Span_P,Cx_2*(Ref_S-F333)/Span_S,Cx_3*(Ref_B-G333)/Span_B),"")</f>
        <v>2.12605042016807</v>
      </c>
    </row>
    <row r="334" customFormat="false" ht="15" hidden="false" customHeight="false" outlineLevel="0" collapsed="false">
      <c r="A334" s="2" t="n">
        <v>328</v>
      </c>
      <c r="B334" s="15" t="n">
        <f aca="false">INT(A334/151)</f>
        <v>2</v>
      </c>
      <c r="C334" s="15" t="n">
        <f aca="false">MOD(A334,151)</f>
        <v>26</v>
      </c>
      <c r="D334" s="15" t="n">
        <f aca="false">INDEX(Grid!$J$6:$P$156,C334+1,B334+1)</f>
        <v>1</v>
      </c>
      <c r="E334" s="16" t="n">
        <f aca="false">IF(D334=1,INDEX(Grid!$B$6:$H$156,C334+1,B334+1),"")</f>
        <v>360.536972760182</v>
      </c>
      <c r="F334" s="13" t="n">
        <f aca="false">Val_pt*(Ceiling_e-E_zero)*(1-(1-Half_gap)^B334)</f>
        <v>105</v>
      </c>
      <c r="G334" s="15" t="n">
        <f aca="false">C334</f>
        <v>26</v>
      </c>
      <c r="H334" s="15" t="n">
        <f aca="false">IF(D334=1,INDEX(Grid!$R$6:$X$156,C334+1,B334+1),"")</f>
        <v>48</v>
      </c>
      <c r="I334" s="2" t="str">
        <f aca="false">IF(D334=1,INDEX(Sch_label,H334+1),"")</f>
        <v>1, 2</v>
      </c>
      <c r="J334" s="15" t="n">
        <f aca="false">IF(D334=1,INDEX(Grid!$Z$6:$AF$156,C334+1,B334+1),0)</f>
        <v>1</v>
      </c>
      <c r="K334" s="16" t="n">
        <f aca="false">IF(J334=1,E334,0)</f>
        <v>360.536972760182</v>
      </c>
      <c r="L334" s="17" t="n">
        <f aca="false">IF(D334=1,E334+W_board*F334,"")</f>
        <v>953.234599316648</v>
      </c>
      <c r="M334" s="24" t="n">
        <v>1</v>
      </c>
      <c r="N334" s="25" t="n">
        <v>0.725713962391744</v>
      </c>
      <c r="O334" s="25" t="n">
        <v>0.001</v>
      </c>
      <c r="P334" s="25" t="n">
        <v>0.273286037608256</v>
      </c>
      <c r="Z334" s="12" t="n">
        <f aca="false">IF(AND($J334=1,$M334=1),N334*E334/Span_P+O334*F334/Span_S+P334*G334/Span_B,"")</f>
        <v>0.771469252059499</v>
      </c>
      <c r="AA334" s="12" t="n">
        <f aca="false">IF(AND($J334=1,$M334=1),SUMPRODUCT(MAX($J$6:$J$1062*(N334*$K$6:$K$1062/Span_P+O334*$F$6:$F$1062/Span_S+P334*$G$6:$G$1062/Span_B)-(1-$J$6:$J$1062)*1000000000)),"")</f>
        <v>0.771469252059502</v>
      </c>
      <c r="AB334" s="15" t="n">
        <f aca="false">IF(AND($J334=1,$M334=1),IF(AA334-Z334&lt;=0.000000001,1,0),"")</f>
        <v>1</v>
      </c>
      <c r="AC334" s="13" t="str">
        <f aca="false">IF(AND($J334=1,$M334=0),IF(S334="",0,S334*INDEX(Grid!$B$6:$H$156,R334+1,Q334+1))+IF(V334="",0,V334*INDEX(Grid!$B$6:$H$156,U334+1,T334+1))+IF(Y334="",0,Y334*INDEX(Grid!$B$6:$H$156,X334+1,W334+1)),"")</f>
        <v/>
      </c>
      <c r="AD334" s="13" t="str">
        <f aca="false">IF(AND($J334=1,$M334=0),IF(S334="",0,S334*Val_pt*(Ceiling_e-E_zero)*(1-(1-Half_gap)^Q334))+IF(V334="",0,V334*Val_pt*(Ceiling_e-E_zero)*(1-(1-Half_gap)^T334))+IF(Y334="",0,Y334*Val_pt*(Ceiling_e-E_zero)*(1-(1-Half_gap)^W334)),"")</f>
        <v/>
      </c>
      <c r="AE334" s="13" t="str">
        <f aca="false">IF(AND($J334=1,$M334=0),IF(S334="",0,S334*R334)+IF(V334="",0,V334*U334)+IF(Y334="",0,Y334*X334),"")</f>
        <v/>
      </c>
      <c r="AF334" s="12" t="str">
        <f aca="false">IF(AND($J334=1,$M334=0),MIN((AC334-E334)/Span_P,(AD334-F334)/Span_S,(AE334-G334)/Span_B),"")</f>
        <v/>
      </c>
      <c r="AG334" s="15" t="str">
        <f aca="false">IF(AND($J334=1,$M334=0),IF(AF334&gt;0.0000001,1,0),"")</f>
        <v/>
      </c>
      <c r="AH334" s="15" t="n">
        <f aca="false">IF($J334=1,IF($M334=1,AB334,AG334),"")</f>
        <v>1</v>
      </c>
      <c r="AI334" s="13" t="n">
        <f aca="false">IF($J334=1,(Ideal_P-E334)/Span_P,"")</f>
        <v>0.06527307218395</v>
      </c>
      <c r="AJ334" s="13" t="n">
        <f aca="false">IF($J334=1,(Ideal_S-F334)/Span_S,"")</f>
        <v>0.483870967741936</v>
      </c>
      <c r="AK334" s="13" t="n">
        <f aca="false">IF($J334=1,(Ideal_B-G334)/Span_B,"")</f>
        <v>0.826666666666667</v>
      </c>
      <c r="AL334" s="12" t="n">
        <f aca="false">IF($J334=1,MAX(ChA_1*AI334,ChA_2*AJ334,ChA_3*AK334)+Rho*(ChA_1*AI334+ChA_2*AJ334+ChA_3*AK334),"")</f>
        <v>0.826804247737326</v>
      </c>
      <c r="AM334" s="12" t="n">
        <f aca="false">IF($J334=1,MAX(ChB_1*AI334,ChB_2*AJ334,ChB_3*AK334)+Rho*(ChB_1*AI334+ChB_2*AJ334+ChB_3*AK334),"")</f>
        <v>0.826810775044544</v>
      </c>
      <c r="AN334" s="12" t="n">
        <f aca="false">IF($J334=1,MAX(Cx_1*(Ref_P-E334)/Span_P,Cx_2*(Ref_S-F334)/Span_S,Cx_3*(Ref_B-G334)/Span_B),"")</f>
        <v>2.10924369747899</v>
      </c>
    </row>
    <row r="335" customFormat="false" ht="15" hidden="false" customHeight="false" outlineLevel="0" collapsed="false">
      <c r="A335" s="2" t="n">
        <v>329</v>
      </c>
      <c r="B335" s="15" t="n">
        <f aca="false">INT(A335/151)</f>
        <v>2</v>
      </c>
      <c r="C335" s="15" t="n">
        <f aca="false">MOD(A335,151)</f>
        <v>27</v>
      </c>
      <c r="D335" s="15" t="n">
        <f aca="false">INDEX(Grid!$J$6:$P$156,C335+1,B335+1)</f>
        <v>1</v>
      </c>
      <c r="E335" s="16" t="n">
        <f aca="false">IF(D335=1,INDEX(Grid!$B$6:$H$156,C335+1,B335+1),"")</f>
        <v>359.627881851091</v>
      </c>
      <c r="F335" s="13" t="n">
        <f aca="false">Val_pt*(Ceiling_e-E_zero)*(1-(1-Half_gap)^B335)</f>
        <v>105</v>
      </c>
      <c r="G335" s="15" t="n">
        <f aca="false">C335</f>
        <v>27</v>
      </c>
      <c r="H335" s="15" t="n">
        <f aca="false">IF(D335=1,INDEX(Grid!$R$6:$X$156,C335+1,B335+1),"")</f>
        <v>48</v>
      </c>
      <c r="I335" s="2" t="str">
        <f aca="false">IF(D335=1,INDEX(Sch_label,H335+1),"")</f>
        <v>1, 2</v>
      </c>
      <c r="J335" s="15" t="n">
        <f aca="false">IF(D335=1,INDEX(Grid!$Z$6:$AF$156,C335+1,B335+1),0)</f>
        <v>1</v>
      </c>
      <c r="K335" s="16" t="n">
        <f aca="false">IF(J335=1,E335,0)</f>
        <v>359.627881851091</v>
      </c>
      <c r="L335" s="17" t="n">
        <f aca="false">IF(D335=1,E335+W_board*F335,"")</f>
        <v>952.325508407557</v>
      </c>
      <c r="M335" s="24" t="n">
        <v>1</v>
      </c>
      <c r="N335" s="25" t="n">
        <v>0.725713962391753</v>
      </c>
      <c r="O335" s="25" t="n">
        <v>0.001</v>
      </c>
      <c r="P335" s="25" t="n">
        <v>0.273286037608247</v>
      </c>
      <c r="Z335" s="12" t="n">
        <f aca="false">IF(AND($J335=1,$M335=1),N335*E335/Span_P+O335*F335/Span_S+P335*G335/Span_B,"")</f>
        <v>0.771469252059507</v>
      </c>
      <c r="AA335" s="12" t="n">
        <f aca="false">IF(AND($J335=1,$M335=1),SUMPRODUCT(MAX($J$6:$J$1062*(N335*$K$6:$K$1062/Span_P+O335*$F$6:$F$1062/Span_S+P335*$G$6:$G$1062/Span_B)-(1-$J$6:$J$1062)*1000000000)),"")</f>
        <v>0.771469252059508</v>
      </c>
      <c r="AB335" s="15" t="n">
        <f aca="false">IF(AND($J335=1,$M335=1),IF(AA335-Z335&lt;=0.000000001,1,0),"")</f>
        <v>1</v>
      </c>
      <c r="AC335" s="13" t="str">
        <f aca="false">IF(AND($J335=1,$M335=0),IF(S335="",0,S335*INDEX(Grid!$B$6:$H$156,R335+1,Q335+1))+IF(V335="",0,V335*INDEX(Grid!$B$6:$H$156,U335+1,T335+1))+IF(Y335="",0,Y335*INDEX(Grid!$B$6:$H$156,X335+1,W335+1)),"")</f>
        <v/>
      </c>
      <c r="AD335" s="13" t="str">
        <f aca="false">IF(AND($J335=1,$M335=0),IF(S335="",0,S335*Val_pt*(Ceiling_e-E_zero)*(1-(1-Half_gap)^Q335))+IF(V335="",0,V335*Val_pt*(Ceiling_e-E_zero)*(1-(1-Half_gap)^T335))+IF(Y335="",0,Y335*Val_pt*(Ceiling_e-E_zero)*(1-(1-Half_gap)^W335)),"")</f>
        <v/>
      </c>
      <c r="AE335" s="13" t="str">
        <f aca="false">IF(AND($J335=1,$M335=0),IF(S335="",0,S335*R335)+IF(V335="",0,V335*U335)+IF(Y335="",0,Y335*X335),"")</f>
        <v/>
      </c>
      <c r="AF335" s="12" t="str">
        <f aca="false">IF(AND($J335=1,$M335=0),MIN((AC335-E335)/Span_P,(AD335-F335)/Span_S,(AE335-G335)/Span_B),"")</f>
        <v/>
      </c>
      <c r="AG335" s="15" t="str">
        <f aca="false">IF(AND($J335=1,$M335=0),IF(AF335&gt;0.0000001,1,0),"")</f>
        <v/>
      </c>
      <c r="AH335" s="15" t="n">
        <f aca="false">IF($J335=1,IF($M335=1,AB335,AG335),"")</f>
        <v>1</v>
      </c>
      <c r="AI335" s="13" t="n">
        <f aca="false">IF($J335=1,(Ideal_P-E335)/Span_P,"")</f>
        <v>0.0677835749602559</v>
      </c>
      <c r="AJ335" s="13" t="n">
        <f aca="false">IF($J335=1,(Ideal_S-F335)/Span_S,"")</f>
        <v>0.483870967741936</v>
      </c>
      <c r="AK335" s="13" t="n">
        <f aca="false">IF($J335=1,(Ideal_B-G335)/Span_B,"")</f>
        <v>0.82</v>
      </c>
      <c r="AL335" s="12" t="n">
        <f aca="false">IF($J335=1,MAX(ChA_1*AI335,ChA_2*AJ335,ChA_3*AK335)+Rho*(ChA_1*AI335+ChA_2*AJ335+ChA_3*AK335),"")</f>
        <v>0.82013716545427</v>
      </c>
      <c r="AM335" s="12" t="n">
        <f aca="false">IF($J335=1,MAX(ChB_1*AI335,ChB_2*AJ335,ChB_3*AK335)+Rho*(ChB_1*AI335+ChB_2*AJ335+ChB_3*AK335),"")</f>
        <v>0.820143943811766</v>
      </c>
      <c r="AN335" s="12" t="n">
        <f aca="false">IF($J335=1,MAX(Cx_1*(Ref_P-E335)/Span_P,Cx_2*(Ref_S-F335)/Span_S,Cx_3*(Ref_B-G335)/Span_B),"")</f>
        <v>2.09439124487004</v>
      </c>
    </row>
    <row r="336" customFormat="false" ht="15" hidden="false" customHeight="false" outlineLevel="0" collapsed="false">
      <c r="A336" s="2" t="n">
        <v>330</v>
      </c>
      <c r="B336" s="15" t="n">
        <f aca="false">INT(A336/151)</f>
        <v>2</v>
      </c>
      <c r="C336" s="15" t="n">
        <f aca="false">MOD(A336,151)</f>
        <v>28</v>
      </c>
      <c r="D336" s="15" t="n">
        <f aca="false">INDEX(Grid!$J$6:$P$156,C336+1,B336+1)</f>
        <v>1</v>
      </c>
      <c r="E336" s="16" t="n">
        <f aca="false">IF(D336=1,INDEX(Grid!$B$6:$H$156,C336+1,B336+1),"")</f>
        <v>358.718790942</v>
      </c>
      <c r="F336" s="13" t="n">
        <f aca="false">Val_pt*(Ceiling_e-E_zero)*(1-(1-Half_gap)^B336)</f>
        <v>105</v>
      </c>
      <c r="G336" s="15" t="n">
        <f aca="false">C336</f>
        <v>28</v>
      </c>
      <c r="H336" s="15" t="n">
        <f aca="false">IF(D336=1,INDEX(Grid!$R$6:$X$156,C336+1,B336+1),"")</f>
        <v>48</v>
      </c>
      <c r="I336" s="2" t="str">
        <f aca="false">IF(D336=1,INDEX(Sch_label,H336+1),"")</f>
        <v>1, 2</v>
      </c>
      <c r="J336" s="15" t="n">
        <f aca="false">IF(D336=1,INDEX(Grid!$Z$6:$AF$156,C336+1,B336+1),0)</f>
        <v>1</v>
      </c>
      <c r="K336" s="16" t="n">
        <f aca="false">IF(J336=1,E336,0)</f>
        <v>358.718790942</v>
      </c>
      <c r="L336" s="17" t="n">
        <f aca="false">IF(D336=1,E336+W_board*F336,"")</f>
        <v>951.416417498466</v>
      </c>
      <c r="M336" s="24" t="n">
        <v>1</v>
      </c>
      <c r="N336" s="25" t="n">
        <v>0.725713962391744</v>
      </c>
      <c r="O336" s="25" t="n">
        <v>0.001</v>
      </c>
      <c r="P336" s="25" t="n">
        <v>0.273286037608256</v>
      </c>
      <c r="Z336" s="12" t="n">
        <f aca="false">IF(AND($J336=1,$M336=1),N336*E336/Span_P+O336*F336/Span_S+P336*G336/Span_B,"")</f>
        <v>0.771469252059499</v>
      </c>
      <c r="AA336" s="12" t="n">
        <f aca="false">IF(AND($J336=1,$M336=1),SUMPRODUCT(MAX($J$6:$J$1062*(N336*$K$6:$K$1062/Span_P+O336*$F$6:$F$1062/Span_S+P336*$G$6:$G$1062/Span_B)-(1-$J$6:$J$1062)*1000000000)),"")</f>
        <v>0.771469252059502</v>
      </c>
      <c r="AB336" s="15" t="n">
        <f aca="false">IF(AND($J336=1,$M336=1),IF(AA336-Z336&lt;=0.000000001,1,0),"")</f>
        <v>1</v>
      </c>
      <c r="AC336" s="13" t="str">
        <f aca="false">IF(AND($J336=1,$M336=0),IF(S336="",0,S336*INDEX(Grid!$B$6:$H$156,R336+1,Q336+1))+IF(V336="",0,V336*INDEX(Grid!$B$6:$H$156,U336+1,T336+1))+IF(Y336="",0,Y336*INDEX(Grid!$B$6:$H$156,X336+1,W336+1)),"")</f>
        <v/>
      </c>
      <c r="AD336" s="13" t="str">
        <f aca="false">IF(AND($J336=1,$M336=0),IF(S336="",0,S336*Val_pt*(Ceiling_e-E_zero)*(1-(1-Half_gap)^Q336))+IF(V336="",0,V336*Val_pt*(Ceiling_e-E_zero)*(1-(1-Half_gap)^T336))+IF(Y336="",0,Y336*Val_pt*(Ceiling_e-E_zero)*(1-(1-Half_gap)^W336)),"")</f>
        <v/>
      </c>
      <c r="AE336" s="13" t="str">
        <f aca="false">IF(AND($J336=1,$M336=0),IF(S336="",0,S336*R336)+IF(V336="",0,V336*U336)+IF(Y336="",0,Y336*X336),"")</f>
        <v/>
      </c>
      <c r="AF336" s="12" t="str">
        <f aca="false">IF(AND($J336=1,$M336=0),MIN((AC336-E336)/Span_P,(AD336-F336)/Span_S,(AE336-G336)/Span_B),"")</f>
        <v/>
      </c>
      <c r="AG336" s="15" t="str">
        <f aca="false">IF(AND($J336=1,$M336=0),IF(AF336&gt;0.0000001,1,0),"")</f>
        <v/>
      </c>
      <c r="AH336" s="15" t="n">
        <f aca="false">IF($J336=1,IF($M336=1,AB336,AG336),"")</f>
        <v>1</v>
      </c>
      <c r="AI336" s="13" t="n">
        <f aca="false">IF($J336=1,(Ideal_P-E336)/Span_P,"")</f>
        <v>0.0702940777365615</v>
      </c>
      <c r="AJ336" s="13" t="n">
        <f aca="false">IF($J336=1,(Ideal_S-F336)/Span_S,"")</f>
        <v>0.483870967741936</v>
      </c>
      <c r="AK336" s="13" t="n">
        <f aca="false">IF($J336=1,(Ideal_B-G336)/Span_B,"")</f>
        <v>0.813333333333333</v>
      </c>
      <c r="AL336" s="12" t="n">
        <f aca="false">IF($J336=1,MAX(ChA_1*AI336,ChA_2*AJ336,ChA_3*AK336)+Rho*(ChA_1*AI336+ChA_2*AJ336+ChA_3*AK336),"")</f>
        <v>0.813470083171215</v>
      </c>
      <c r="AM336" s="12" t="n">
        <f aca="false">IF($J336=1,MAX(ChB_1*AI336,ChB_2*AJ336,ChB_3*AK336)+Rho*(ChB_1*AI336+ChB_2*AJ336+ChB_3*AK336),"")</f>
        <v>0.813477112578988</v>
      </c>
      <c r="AN336" s="12" t="n">
        <f aca="false">IF($J336=1,MAX(Cx_1*(Ref_P-E336)/Span_P,Cx_2*(Ref_S-F336)/Span_S,Cx_3*(Ref_B-G336)/Span_B),"")</f>
        <v>2.09439124487004</v>
      </c>
    </row>
    <row r="337" customFormat="false" ht="15" hidden="false" customHeight="false" outlineLevel="0" collapsed="false">
      <c r="A337" s="2" t="n">
        <v>331</v>
      </c>
      <c r="B337" s="15" t="n">
        <f aca="false">INT(A337/151)</f>
        <v>2</v>
      </c>
      <c r="C337" s="15" t="n">
        <f aca="false">MOD(A337,151)</f>
        <v>29</v>
      </c>
      <c r="D337" s="15" t="n">
        <f aca="false">INDEX(Grid!$J$6:$P$156,C337+1,B337+1)</f>
        <v>1</v>
      </c>
      <c r="E337" s="16" t="n">
        <f aca="false">IF(D337=1,INDEX(Grid!$B$6:$H$156,C337+1,B337+1),"")</f>
        <v>357.809700032909</v>
      </c>
      <c r="F337" s="13" t="n">
        <f aca="false">Val_pt*(Ceiling_e-E_zero)*(1-(1-Half_gap)^B337)</f>
        <v>105</v>
      </c>
      <c r="G337" s="15" t="n">
        <f aca="false">C337</f>
        <v>29</v>
      </c>
      <c r="H337" s="15" t="n">
        <f aca="false">IF(D337=1,INDEX(Grid!$R$6:$X$156,C337+1,B337+1),"")</f>
        <v>48</v>
      </c>
      <c r="I337" s="2" t="str">
        <f aca="false">IF(D337=1,INDEX(Sch_label,H337+1),"")</f>
        <v>1, 2</v>
      </c>
      <c r="J337" s="15" t="n">
        <f aca="false">IF(D337=1,INDEX(Grid!$Z$6:$AF$156,C337+1,B337+1),0)</f>
        <v>1</v>
      </c>
      <c r="K337" s="16" t="n">
        <f aca="false">IF(J337=1,E337,0)</f>
        <v>357.809700032909</v>
      </c>
      <c r="L337" s="17" t="n">
        <f aca="false">IF(D337=1,E337+W_board*F337,"")</f>
        <v>950.507326589375</v>
      </c>
      <c r="M337" s="24" t="n">
        <v>1</v>
      </c>
      <c r="N337" s="25" t="n">
        <v>0.725713962391753</v>
      </c>
      <c r="O337" s="25" t="n">
        <v>0.001</v>
      </c>
      <c r="P337" s="25" t="n">
        <v>0.273286037608247</v>
      </c>
      <c r="Z337" s="12" t="n">
        <f aca="false">IF(AND($J337=1,$M337=1),N337*E337/Span_P+O337*F337/Span_S+P337*G337/Span_B,"")</f>
        <v>0.771469252059506</v>
      </c>
      <c r="AA337" s="12" t="n">
        <f aca="false">IF(AND($J337=1,$M337=1),SUMPRODUCT(MAX($J$6:$J$1062*(N337*$K$6:$K$1062/Span_P+O337*$F$6:$F$1062/Span_S+P337*$G$6:$G$1062/Span_B)-(1-$J$6:$J$1062)*1000000000)),"")</f>
        <v>0.771469252059508</v>
      </c>
      <c r="AB337" s="15" t="n">
        <f aca="false">IF(AND($J337=1,$M337=1),IF(AA337-Z337&lt;=0.000000001,1,0),"")</f>
        <v>1</v>
      </c>
      <c r="AC337" s="13" t="str">
        <f aca="false">IF(AND($J337=1,$M337=0),IF(S337="",0,S337*INDEX(Grid!$B$6:$H$156,R337+1,Q337+1))+IF(V337="",0,V337*INDEX(Grid!$B$6:$H$156,U337+1,T337+1))+IF(Y337="",0,Y337*INDEX(Grid!$B$6:$H$156,X337+1,W337+1)),"")</f>
        <v/>
      </c>
      <c r="AD337" s="13" t="str">
        <f aca="false">IF(AND($J337=1,$M337=0),IF(S337="",0,S337*Val_pt*(Ceiling_e-E_zero)*(1-(1-Half_gap)^Q337))+IF(V337="",0,V337*Val_pt*(Ceiling_e-E_zero)*(1-(1-Half_gap)^T337))+IF(Y337="",0,Y337*Val_pt*(Ceiling_e-E_zero)*(1-(1-Half_gap)^W337)),"")</f>
        <v/>
      </c>
      <c r="AE337" s="13" t="str">
        <f aca="false">IF(AND($J337=1,$M337=0),IF(S337="",0,S337*R337)+IF(V337="",0,V337*U337)+IF(Y337="",0,Y337*X337),"")</f>
        <v/>
      </c>
      <c r="AF337" s="12" t="str">
        <f aca="false">IF(AND($J337=1,$M337=0),MIN((AC337-E337)/Span_P,(AD337-F337)/Span_S,(AE337-G337)/Span_B),"")</f>
        <v/>
      </c>
      <c r="AG337" s="15" t="str">
        <f aca="false">IF(AND($J337=1,$M337=0),IF(AF337&gt;0.0000001,1,0),"")</f>
        <v/>
      </c>
      <c r="AH337" s="15" t="n">
        <f aca="false">IF($J337=1,IF($M337=1,AB337,AG337),"")</f>
        <v>1</v>
      </c>
      <c r="AI337" s="13" t="n">
        <f aca="false">IF($J337=1,(Ideal_P-E337)/Span_P,"")</f>
        <v>0.0728045805128674</v>
      </c>
      <c r="AJ337" s="13" t="n">
        <f aca="false">IF($J337=1,(Ideal_S-F337)/Span_S,"")</f>
        <v>0.483870967741936</v>
      </c>
      <c r="AK337" s="13" t="n">
        <f aca="false">IF($J337=1,(Ideal_B-G337)/Span_B,"")</f>
        <v>0.806666666666667</v>
      </c>
      <c r="AL337" s="12" t="n">
        <f aca="false">IF($J337=1,MAX(ChA_1*AI337,ChA_2*AJ337,ChA_3*AK337)+Rho*(ChA_1*AI337+ChA_2*AJ337+ChA_3*AK337),"")</f>
        <v>0.806803000888159</v>
      </c>
      <c r="AM337" s="12" t="n">
        <f aca="false">IF($J337=1,MAX(ChB_1*AI337,ChB_2*AJ337,ChB_3*AK337)+Rho*(ChB_1*AI337+ChB_2*AJ337+ChB_3*AK337),"")</f>
        <v>0.80681028134621</v>
      </c>
      <c r="AN337" s="12" t="n">
        <f aca="false">IF($J337=1,MAX(Cx_1*(Ref_P-E337)/Span_P,Cx_2*(Ref_S-F337)/Span_S,Cx_3*(Ref_B-G337)/Span_B),"")</f>
        <v>2.09439124487004</v>
      </c>
    </row>
    <row r="338" customFormat="false" ht="15" hidden="false" customHeight="false" outlineLevel="0" collapsed="false">
      <c r="A338" s="2" t="n">
        <v>332</v>
      </c>
      <c r="B338" s="15" t="n">
        <f aca="false">INT(A338/151)</f>
        <v>2</v>
      </c>
      <c r="C338" s="15" t="n">
        <f aca="false">MOD(A338,151)</f>
        <v>30</v>
      </c>
      <c r="D338" s="15" t="n">
        <f aca="false">INDEX(Grid!$J$6:$P$156,C338+1,B338+1)</f>
        <v>1</v>
      </c>
      <c r="E338" s="16" t="n">
        <f aca="false">IF(D338=1,INDEX(Grid!$B$6:$H$156,C338+1,B338+1),"")</f>
        <v>356.900609123818</v>
      </c>
      <c r="F338" s="13" t="n">
        <f aca="false">Val_pt*(Ceiling_e-E_zero)*(1-(1-Half_gap)^B338)</f>
        <v>105</v>
      </c>
      <c r="G338" s="15" t="n">
        <f aca="false">C338</f>
        <v>30</v>
      </c>
      <c r="H338" s="15" t="n">
        <f aca="false">IF(D338=1,INDEX(Grid!$R$6:$X$156,C338+1,B338+1),"")</f>
        <v>48</v>
      </c>
      <c r="I338" s="2" t="str">
        <f aca="false">IF(D338=1,INDEX(Sch_label,H338+1),"")</f>
        <v>1, 2</v>
      </c>
      <c r="J338" s="15" t="n">
        <f aca="false">IF(D338=1,INDEX(Grid!$Z$6:$AF$156,C338+1,B338+1),0)</f>
        <v>1</v>
      </c>
      <c r="K338" s="16" t="n">
        <f aca="false">IF(J338=1,E338,0)</f>
        <v>356.900609123818</v>
      </c>
      <c r="L338" s="17" t="n">
        <f aca="false">IF(D338=1,E338+W_board*F338,"")</f>
        <v>949.598235680284</v>
      </c>
      <c r="M338" s="24" t="n">
        <v>1</v>
      </c>
      <c r="N338" s="25" t="n">
        <v>0.725713962391744</v>
      </c>
      <c r="O338" s="25" t="n">
        <v>0.001</v>
      </c>
      <c r="P338" s="25" t="n">
        <v>0.273286037608256</v>
      </c>
      <c r="Z338" s="12" t="n">
        <f aca="false">IF(AND($J338=1,$M338=1),N338*E338/Span_P+O338*F338/Span_S+P338*G338/Span_B,"")</f>
        <v>0.771469252059499</v>
      </c>
      <c r="AA338" s="12" t="n">
        <f aca="false">IF(AND($J338=1,$M338=1),SUMPRODUCT(MAX($J$6:$J$1062*(N338*$K$6:$K$1062/Span_P+O338*$F$6:$F$1062/Span_S+P338*$G$6:$G$1062/Span_B)-(1-$J$6:$J$1062)*1000000000)),"")</f>
        <v>0.771469252059502</v>
      </c>
      <c r="AB338" s="15" t="n">
        <f aca="false">IF(AND($J338=1,$M338=1),IF(AA338-Z338&lt;=0.000000001,1,0),"")</f>
        <v>1</v>
      </c>
      <c r="AC338" s="13" t="str">
        <f aca="false">IF(AND($J338=1,$M338=0),IF(S338="",0,S338*INDEX(Grid!$B$6:$H$156,R338+1,Q338+1))+IF(V338="",0,V338*INDEX(Grid!$B$6:$H$156,U338+1,T338+1))+IF(Y338="",0,Y338*INDEX(Grid!$B$6:$H$156,X338+1,W338+1)),"")</f>
        <v/>
      </c>
      <c r="AD338" s="13" t="str">
        <f aca="false">IF(AND($J338=1,$M338=0),IF(S338="",0,S338*Val_pt*(Ceiling_e-E_zero)*(1-(1-Half_gap)^Q338))+IF(V338="",0,V338*Val_pt*(Ceiling_e-E_zero)*(1-(1-Half_gap)^T338))+IF(Y338="",0,Y338*Val_pt*(Ceiling_e-E_zero)*(1-(1-Half_gap)^W338)),"")</f>
        <v/>
      </c>
      <c r="AE338" s="13" t="str">
        <f aca="false">IF(AND($J338=1,$M338=0),IF(S338="",0,S338*R338)+IF(V338="",0,V338*U338)+IF(Y338="",0,Y338*X338),"")</f>
        <v/>
      </c>
      <c r="AF338" s="12" t="str">
        <f aca="false">IF(AND($J338=1,$M338=0),MIN((AC338-E338)/Span_P,(AD338-F338)/Span_S,(AE338-G338)/Span_B),"")</f>
        <v/>
      </c>
      <c r="AG338" s="15" t="str">
        <f aca="false">IF(AND($J338=1,$M338=0),IF(AF338&gt;0.0000001,1,0),"")</f>
        <v/>
      </c>
      <c r="AH338" s="15" t="n">
        <f aca="false">IF($J338=1,IF($M338=1,AB338,AG338),"")</f>
        <v>1</v>
      </c>
      <c r="AI338" s="13" t="n">
        <f aca="false">IF($J338=1,(Ideal_P-E338)/Span_P,"")</f>
        <v>0.0753150832891731</v>
      </c>
      <c r="AJ338" s="13" t="n">
        <f aca="false">IF($J338=1,(Ideal_S-F338)/Span_S,"")</f>
        <v>0.483870967741936</v>
      </c>
      <c r="AK338" s="13" t="n">
        <f aca="false">IF($J338=1,(Ideal_B-G338)/Span_B,"")</f>
        <v>0.8</v>
      </c>
      <c r="AL338" s="12" t="n">
        <f aca="false">IF($J338=1,MAX(ChA_1*AI338,ChA_2*AJ338,ChA_3*AK338)+Rho*(ChA_1*AI338+ChA_2*AJ338+ChA_3*AK338),"")</f>
        <v>0.800135918605103</v>
      </c>
      <c r="AM338" s="12" t="n">
        <f aca="false">IF($J338=1,MAX(ChB_1*AI338,ChB_2*AJ338,ChB_3*AK338)+Rho*(ChB_1*AI338+ChB_2*AJ338+ChB_3*AK338),"")</f>
        <v>0.800143450113432</v>
      </c>
      <c r="AN338" s="12" t="n">
        <f aca="false">IF($J338=1,MAX(Cx_1*(Ref_P-E338)/Span_P,Cx_2*(Ref_S-F338)/Span_S,Cx_3*(Ref_B-G338)/Span_B),"")</f>
        <v>2.09439124487004</v>
      </c>
    </row>
    <row r="339" customFormat="false" ht="15" hidden="false" customHeight="false" outlineLevel="0" collapsed="false">
      <c r="A339" s="2" t="n">
        <v>333</v>
      </c>
      <c r="B339" s="15" t="n">
        <f aca="false">INT(A339/151)</f>
        <v>2</v>
      </c>
      <c r="C339" s="15" t="n">
        <f aca="false">MOD(A339,151)</f>
        <v>31</v>
      </c>
      <c r="D339" s="15" t="n">
        <f aca="false">INDEX(Grid!$J$6:$P$156,C339+1,B339+1)</f>
        <v>1</v>
      </c>
      <c r="E339" s="16" t="n">
        <f aca="false">IF(D339=1,INDEX(Grid!$B$6:$H$156,C339+1,B339+1),"")</f>
        <v>355.991518214727</v>
      </c>
      <c r="F339" s="13" t="n">
        <f aca="false">Val_pt*(Ceiling_e-E_zero)*(1-(1-Half_gap)^B339)</f>
        <v>105</v>
      </c>
      <c r="G339" s="15" t="n">
        <f aca="false">C339</f>
        <v>31</v>
      </c>
      <c r="H339" s="15" t="n">
        <f aca="false">IF(D339=1,INDEX(Grid!$R$6:$X$156,C339+1,B339+1),"")</f>
        <v>48</v>
      </c>
      <c r="I339" s="2" t="str">
        <f aca="false">IF(D339=1,INDEX(Sch_label,H339+1),"")</f>
        <v>1, 2</v>
      </c>
      <c r="J339" s="15" t="n">
        <f aca="false">IF(D339=1,INDEX(Grid!$Z$6:$AF$156,C339+1,B339+1),0)</f>
        <v>1</v>
      </c>
      <c r="K339" s="16" t="n">
        <f aca="false">IF(J339=1,E339,0)</f>
        <v>355.991518214727</v>
      </c>
      <c r="L339" s="17" t="n">
        <f aca="false">IF(D339=1,E339+W_board*F339,"")</f>
        <v>948.689144771193</v>
      </c>
      <c r="M339" s="24" t="n">
        <v>1</v>
      </c>
      <c r="N339" s="25" t="n">
        <v>0.725713962391753</v>
      </c>
      <c r="O339" s="25" t="n">
        <v>0.001</v>
      </c>
      <c r="P339" s="25" t="n">
        <v>0.273286037608247</v>
      </c>
      <c r="Z339" s="12" t="n">
        <f aca="false">IF(AND($J339=1,$M339=1),N339*E339/Span_P+O339*F339/Span_S+P339*G339/Span_B,"")</f>
        <v>0.771469252059506</v>
      </c>
      <c r="AA339" s="12" t="n">
        <f aca="false">IF(AND($J339=1,$M339=1),SUMPRODUCT(MAX($J$6:$J$1062*(N339*$K$6:$K$1062/Span_P+O339*$F$6:$F$1062/Span_S+P339*$G$6:$G$1062/Span_B)-(1-$J$6:$J$1062)*1000000000)),"")</f>
        <v>0.771469252059508</v>
      </c>
      <c r="AB339" s="15" t="n">
        <f aca="false">IF(AND($J339=1,$M339=1),IF(AA339-Z339&lt;=0.000000001,1,0),"")</f>
        <v>1</v>
      </c>
      <c r="AC339" s="13" t="str">
        <f aca="false">IF(AND($J339=1,$M339=0),IF(S339="",0,S339*INDEX(Grid!$B$6:$H$156,R339+1,Q339+1))+IF(V339="",0,V339*INDEX(Grid!$B$6:$H$156,U339+1,T339+1))+IF(Y339="",0,Y339*INDEX(Grid!$B$6:$H$156,X339+1,W339+1)),"")</f>
        <v/>
      </c>
      <c r="AD339" s="13" t="str">
        <f aca="false">IF(AND($J339=1,$M339=0),IF(S339="",0,S339*Val_pt*(Ceiling_e-E_zero)*(1-(1-Half_gap)^Q339))+IF(V339="",0,V339*Val_pt*(Ceiling_e-E_zero)*(1-(1-Half_gap)^T339))+IF(Y339="",0,Y339*Val_pt*(Ceiling_e-E_zero)*(1-(1-Half_gap)^W339)),"")</f>
        <v/>
      </c>
      <c r="AE339" s="13" t="str">
        <f aca="false">IF(AND($J339=1,$M339=0),IF(S339="",0,S339*R339)+IF(V339="",0,V339*U339)+IF(Y339="",0,Y339*X339),"")</f>
        <v/>
      </c>
      <c r="AF339" s="12" t="str">
        <f aca="false">IF(AND($J339=1,$M339=0),MIN((AC339-E339)/Span_P,(AD339-F339)/Span_S,(AE339-G339)/Span_B),"")</f>
        <v/>
      </c>
      <c r="AG339" s="15" t="str">
        <f aca="false">IF(AND($J339=1,$M339=0),IF(AF339&gt;0.0000001,1,0),"")</f>
        <v/>
      </c>
      <c r="AH339" s="15" t="n">
        <f aca="false">IF($J339=1,IF($M339=1,AB339,AG339),"")</f>
        <v>1</v>
      </c>
      <c r="AI339" s="13" t="n">
        <f aca="false">IF($J339=1,(Ideal_P-E339)/Span_P,"")</f>
        <v>0.0778255860654789</v>
      </c>
      <c r="AJ339" s="13" t="n">
        <f aca="false">IF($J339=1,(Ideal_S-F339)/Span_S,"")</f>
        <v>0.483870967741936</v>
      </c>
      <c r="AK339" s="13" t="n">
        <f aca="false">IF($J339=1,(Ideal_B-G339)/Span_B,"")</f>
        <v>0.793333333333333</v>
      </c>
      <c r="AL339" s="12" t="n">
        <f aca="false">IF($J339=1,MAX(ChA_1*AI339,ChA_2*AJ339,ChA_3*AK339)+Rho*(ChA_1*AI339+ChA_2*AJ339+ChA_3*AK339),"")</f>
        <v>0.793468836322048</v>
      </c>
      <c r="AM339" s="12" t="n">
        <f aca="false">IF($J339=1,MAX(ChB_1*AI339,ChB_2*AJ339,ChB_3*AK339)+Rho*(ChB_1*AI339+ChB_2*AJ339+ChB_3*AK339),"")</f>
        <v>0.793476618880654</v>
      </c>
      <c r="AN339" s="12" t="n">
        <f aca="false">IF($J339=1,MAX(Cx_1*(Ref_P-E339)/Span_P,Cx_2*(Ref_S-F339)/Span_S,Cx_3*(Ref_B-G339)/Span_B),"")</f>
        <v>2.09439124487004</v>
      </c>
    </row>
    <row r="340" customFormat="false" ht="15" hidden="false" customHeight="false" outlineLevel="0" collapsed="false">
      <c r="A340" s="2" t="n">
        <v>334</v>
      </c>
      <c r="B340" s="15" t="n">
        <f aca="false">INT(A340/151)</f>
        <v>2</v>
      </c>
      <c r="C340" s="15" t="n">
        <f aca="false">MOD(A340,151)</f>
        <v>32</v>
      </c>
      <c r="D340" s="15" t="n">
        <f aca="false">INDEX(Grid!$J$6:$P$156,C340+1,B340+1)</f>
        <v>1</v>
      </c>
      <c r="E340" s="16" t="n">
        <f aca="false">IF(D340=1,INDEX(Grid!$B$6:$H$156,C340+1,B340+1),"")</f>
        <v>355.082427305636</v>
      </c>
      <c r="F340" s="13" t="n">
        <f aca="false">Val_pt*(Ceiling_e-E_zero)*(1-(1-Half_gap)^B340)</f>
        <v>105</v>
      </c>
      <c r="G340" s="15" t="n">
        <f aca="false">C340</f>
        <v>32</v>
      </c>
      <c r="H340" s="15" t="n">
        <f aca="false">IF(D340=1,INDEX(Grid!$R$6:$X$156,C340+1,B340+1),"")</f>
        <v>48</v>
      </c>
      <c r="I340" s="2" t="str">
        <f aca="false">IF(D340=1,INDEX(Sch_label,H340+1),"")</f>
        <v>1, 2</v>
      </c>
      <c r="J340" s="15" t="n">
        <f aca="false">IF(D340=1,INDEX(Grid!$Z$6:$AF$156,C340+1,B340+1),0)</f>
        <v>1</v>
      </c>
      <c r="K340" s="16" t="n">
        <f aca="false">IF(J340=1,E340,0)</f>
        <v>355.082427305636</v>
      </c>
      <c r="L340" s="17" t="n">
        <f aca="false">IF(D340=1,E340+W_board*F340,"")</f>
        <v>947.780053862102</v>
      </c>
      <c r="M340" s="24" t="n">
        <v>1</v>
      </c>
      <c r="N340" s="25" t="n">
        <v>0.725713962391744</v>
      </c>
      <c r="O340" s="25" t="n">
        <v>0.001</v>
      </c>
      <c r="P340" s="25" t="n">
        <v>0.273286037608256</v>
      </c>
      <c r="Z340" s="12" t="n">
        <f aca="false">IF(AND($J340=1,$M340=1),N340*E340/Span_P+O340*F340/Span_S+P340*G340/Span_B,"")</f>
        <v>0.771469252059499</v>
      </c>
      <c r="AA340" s="12" t="n">
        <f aca="false">IF(AND($J340=1,$M340=1),SUMPRODUCT(MAX($J$6:$J$1062*(N340*$K$6:$K$1062/Span_P+O340*$F$6:$F$1062/Span_S+P340*$G$6:$G$1062/Span_B)-(1-$J$6:$J$1062)*1000000000)),"")</f>
        <v>0.771469252059502</v>
      </c>
      <c r="AB340" s="15" t="n">
        <f aca="false">IF(AND($J340=1,$M340=1),IF(AA340-Z340&lt;=0.000000001,1,0),"")</f>
        <v>1</v>
      </c>
      <c r="AC340" s="13" t="str">
        <f aca="false">IF(AND($J340=1,$M340=0),IF(S340="",0,S340*INDEX(Grid!$B$6:$H$156,R340+1,Q340+1))+IF(V340="",0,V340*INDEX(Grid!$B$6:$H$156,U340+1,T340+1))+IF(Y340="",0,Y340*INDEX(Grid!$B$6:$H$156,X340+1,W340+1)),"")</f>
        <v/>
      </c>
      <c r="AD340" s="13" t="str">
        <f aca="false">IF(AND($J340=1,$M340=0),IF(S340="",0,S340*Val_pt*(Ceiling_e-E_zero)*(1-(1-Half_gap)^Q340))+IF(V340="",0,V340*Val_pt*(Ceiling_e-E_zero)*(1-(1-Half_gap)^T340))+IF(Y340="",0,Y340*Val_pt*(Ceiling_e-E_zero)*(1-(1-Half_gap)^W340)),"")</f>
        <v/>
      </c>
      <c r="AE340" s="13" t="str">
        <f aca="false">IF(AND($J340=1,$M340=0),IF(S340="",0,S340*R340)+IF(V340="",0,V340*U340)+IF(Y340="",0,Y340*X340),"")</f>
        <v/>
      </c>
      <c r="AF340" s="12" t="str">
        <f aca="false">IF(AND($J340=1,$M340=0),MIN((AC340-E340)/Span_P,(AD340-F340)/Span_S,(AE340-G340)/Span_B),"")</f>
        <v/>
      </c>
      <c r="AG340" s="15" t="str">
        <f aca="false">IF(AND($J340=1,$M340=0),IF(AF340&gt;0.0000001,1,0),"")</f>
        <v/>
      </c>
      <c r="AH340" s="15" t="n">
        <f aca="false">IF($J340=1,IF($M340=1,AB340,AG340),"")</f>
        <v>1</v>
      </c>
      <c r="AI340" s="13" t="n">
        <f aca="false">IF($J340=1,(Ideal_P-E340)/Span_P,"")</f>
        <v>0.0803360888417846</v>
      </c>
      <c r="AJ340" s="13" t="n">
        <f aca="false">IF($J340=1,(Ideal_S-F340)/Span_S,"")</f>
        <v>0.483870967741936</v>
      </c>
      <c r="AK340" s="13" t="n">
        <f aca="false">IF($J340=1,(Ideal_B-G340)/Span_B,"")</f>
        <v>0.786666666666667</v>
      </c>
      <c r="AL340" s="12" t="n">
        <f aca="false">IF($J340=1,MAX(ChA_1*AI340,ChA_2*AJ340,ChA_3*AK340)+Rho*(ChA_1*AI340+ChA_2*AJ340+ChA_3*AK340),"")</f>
        <v>0.786801754038992</v>
      </c>
      <c r="AM340" s="12" t="n">
        <f aca="false">IF($J340=1,MAX(ChB_1*AI340,ChB_2*AJ340,ChB_3*AK340)+Rho*(ChB_1*AI340+ChB_2*AJ340+ChB_3*AK340),"")</f>
        <v>0.786809787647876</v>
      </c>
      <c r="AN340" s="12" t="n">
        <f aca="false">IF($J340=1,MAX(Cx_1*(Ref_P-E340)/Span_P,Cx_2*(Ref_S-F340)/Span_S,Cx_3*(Ref_B-G340)/Span_B),"")</f>
        <v>2.09439124487004</v>
      </c>
    </row>
    <row r="341" customFormat="false" ht="15" hidden="false" customHeight="false" outlineLevel="0" collapsed="false">
      <c r="A341" s="2" t="n">
        <v>335</v>
      </c>
      <c r="B341" s="15" t="n">
        <f aca="false">INT(A341/151)</f>
        <v>2</v>
      </c>
      <c r="C341" s="15" t="n">
        <f aca="false">MOD(A341,151)</f>
        <v>33</v>
      </c>
      <c r="D341" s="15" t="n">
        <f aca="false">INDEX(Grid!$J$6:$P$156,C341+1,B341+1)</f>
        <v>1</v>
      </c>
      <c r="E341" s="16" t="n">
        <f aca="false">IF(D341=1,INDEX(Grid!$B$6:$H$156,C341+1,B341+1),"")</f>
        <v>354.173336396545</v>
      </c>
      <c r="F341" s="13" t="n">
        <f aca="false">Val_pt*(Ceiling_e-E_zero)*(1-(1-Half_gap)^B341)</f>
        <v>105</v>
      </c>
      <c r="G341" s="15" t="n">
        <f aca="false">C341</f>
        <v>33</v>
      </c>
      <c r="H341" s="15" t="n">
        <f aca="false">IF(D341=1,INDEX(Grid!$R$6:$X$156,C341+1,B341+1),"")</f>
        <v>48</v>
      </c>
      <c r="I341" s="2" t="str">
        <f aca="false">IF(D341=1,INDEX(Sch_label,H341+1),"")</f>
        <v>1, 2</v>
      </c>
      <c r="J341" s="15" t="n">
        <f aca="false">IF(D341=1,INDEX(Grid!$Z$6:$AF$156,C341+1,B341+1),0)</f>
        <v>1</v>
      </c>
      <c r="K341" s="16" t="n">
        <f aca="false">IF(J341=1,E341,0)</f>
        <v>354.173336396545</v>
      </c>
      <c r="L341" s="17" t="n">
        <f aca="false">IF(D341=1,E341+W_board*F341,"")</f>
        <v>946.870962953011</v>
      </c>
      <c r="M341" s="24" t="n">
        <v>1</v>
      </c>
      <c r="N341" s="25" t="n">
        <v>0.725713962391753</v>
      </c>
      <c r="O341" s="25" t="n">
        <v>0.001</v>
      </c>
      <c r="P341" s="25" t="n">
        <v>0.273286037608248</v>
      </c>
      <c r="Z341" s="12" t="n">
        <f aca="false">IF(AND($J341=1,$M341=1),N341*E341/Span_P+O341*F341/Span_S+P341*G341/Span_B,"")</f>
        <v>0.771469252059506</v>
      </c>
      <c r="AA341" s="12" t="n">
        <f aca="false">IF(AND($J341=1,$M341=1),SUMPRODUCT(MAX($J$6:$J$1062*(N341*$K$6:$K$1062/Span_P+O341*$F$6:$F$1062/Span_S+P341*$G$6:$G$1062/Span_B)-(1-$J$6:$J$1062)*1000000000)),"")</f>
        <v>0.771469252059507</v>
      </c>
      <c r="AB341" s="15" t="n">
        <f aca="false">IF(AND($J341=1,$M341=1),IF(AA341-Z341&lt;=0.000000001,1,0),"")</f>
        <v>1</v>
      </c>
      <c r="AC341" s="13" t="str">
        <f aca="false">IF(AND($J341=1,$M341=0),IF(S341="",0,S341*INDEX(Grid!$B$6:$H$156,R341+1,Q341+1))+IF(V341="",0,V341*INDEX(Grid!$B$6:$H$156,U341+1,T341+1))+IF(Y341="",0,Y341*INDEX(Grid!$B$6:$H$156,X341+1,W341+1)),"")</f>
        <v/>
      </c>
      <c r="AD341" s="13" t="str">
        <f aca="false">IF(AND($J341=1,$M341=0),IF(S341="",0,S341*Val_pt*(Ceiling_e-E_zero)*(1-(1-Half_gap)^Q341))+IF(V341="",0,V341*Val_pt*(Ceiling_e-E_zero)*(1-(1-Half_gap)^T341))+IF(Y341="",0,Y341*Val_pt*(Ceiling_e-E_zero)*(1-(1-Half_gap)^W341)),"")</f>
        <v/>
      </c>
      <c r="AE341" s="13" t="str">
        <f aca="false">IF(AND($J341=1,$M341=0),IF(S341="",0,S341*R341)+IF(V341="",0,V341*U341)+IF(Y341="",0,Y341*X341),"")</f>
        <v/>
      </c>
      <c r="AF341" s="12" t="str">
        <f aca="false">IF(AND($J341=1,$M341=0),MIN((AC341-E341)/Span_P,(AD341-F341)/Span_S,(AE341-G341)/Span_B),"")</f>
        <v/>
      </c>
      <c r="AG341" s="15" t="str">
        <f aca="false">IF(AND($J341=1,$M341=0),IF(AF341&gt;0.0000001,1,0),"")</f>
        <v/>
      </c>
      <c r="AH341" s="15" t="n">
        <f aca="false">IF($J341=1,IF($M341=1,AB341,AG341),"")</f>
        <v>1</v>
      </c>
      <c r="AI341" s="13" t="n">
        <f aca="false">IF($J341=1,(Ideal_P-E341)/Span_P,"")</f>
        <v>0.0828465916180905</v>
      </c>
      <c r="AJ341" s="13" t="n">
        <f aca="false">IF($J341=1,(Ideal_S-F341)/Span_S,"")</f>
        <v>0.483870967741936</v>
      </c>
      <c r="AK341" s="13" t="n">
        <f aca="false">IF($J341=1,(Ideal_B-G341)/Span_B,"")</f>
        <v>0.78</v>
      </c>
      <c r="AL341" s="12" t="n">
        <f aca="false">IF($J341=1,MAX(ChA_1*AI341,ChA_2*AJ341,ChA_3*AK341)+Rho*(ChA_1*AI341+ChA_2*AJ341+ChA_3*AK341),"")</f>
        <v>0.780134671755936</v>
      </c>
      <c r="AM341" s="12" t="n">
        <f aca="false">IF($J341=1,MAX(ChB_1*AI341,ChB_2*AJ341,ChB_3*AK341)+Rho*(ChB_1*AI341+ChB_2*AJ341+ChB_3*AK341),"")</f>
        <v>0.780142956415098</v>
      </c>
      <c r="AN341" s="12" t="n">
        <f aca="false">IF($J341=1,MAX(Cx_1*(Ref_P-E341)/Span_P,Cx_2*(Ref_S-F341)/Span_S,Cx_3*(Ref_B-G341)/Span_B),"")</f>
        <v>2.09439124487004</v>
      </c>
    </row>
    <row r="342" customFormat="false" ht="15" hidden="false" customHeight="false" outlineLevel="0" collapsed="false">
      <c r="A342" s="2" t="n">
        <v>336</v>
      </c>
      <c r="B342" s="15" t="n">
        <f aca="false">INT(A342/151)</f>
        <v>2</v>
      </c>
      <c r="C342" s="15" t="n">
        <f aca="false">MOD(A342,151)</f>
        <v>34</v>
      </c>
      <c r="D342" s="15" t="n">
        <f aca="false">INDEX(Grid!$J$6:$P$156,C342+1,B342+1)</f>
        <v>1</v>
      </c>
      <c r="E342" s="16" t="n">
        <f aca="false">IF(D342=1,INDEX(Grid!$B$6:$H$156,C342+1,B342+1),"")</f>
        <v>353.264245487454</v>
      </c>
      <c r="F342" s="13" t="n">
        <f aca="false">Val_pt*(Ceiling_e-E_zero)*(1-(1-Half_gap)^B342)</f>
        <v>105</v>
      </c>
      <c r="G342" s="15" t="n">
        <f aca="false">C342</f>
        <v>34</v>
      </c>
      <c r="H342" s="15" t="n">
        <f aca="false">IF(D342=1,INDEX(Grid!$R$6:$X$156,C342+1,B342+1),"")</f>
        <v>48</v>
      </c>
      <c r="I342" s="2" t="str">
        <f aca="false">IF(D342=1,INDEX(Sch_label,H342+1),"")</f>
        <v>1, 2</v>
      </c>
      <c r="J342" s="15" t="n">
        <f aca="false">IF(D342=1,INDEX(Grid!$Z$6:$AF$156,C342+1,B342+1),0)</f>
        <v>1</v>
      </c>
      <c r="K342" s="16" t="n">
        <f aca="false">IF(J342=1,E342,0)</f>
        <v>353.264245487454</v>
      </c>
      <c r="L342" s="17" t="n">
        <f aca="false">IF(D342=1,E342+W_board*F342,"")</f>
        <v>945.96187204392</v>
      </c>
      <c r="M342" s="24" t="n">
        <v>1</v>
      </c>
      <c r="N342" s="25" t="n">
        <v>0.725713962391745</v>
      </c>
      <c r="O342" s="25" t="n">
        <v>0.001</v>
      </c>
      <c r="P342" s="25" t="n">
        <v>0.273286037608256</v>
      </c>
      <c r="Z342" s="12" t="n">
        <f aca="false">IF(AND($J342=1,$M342=1),N342*E342/Span_P+O342*F342/Span_S+P342*G342/Span_B,"")</f>
        <v>0.7714692520595</v>
      </c>
      <c r="AA342" s="12" t="n">
        <f aca="false">IF(AND($J342=1,$M342=1),SUMPRODUCT(MAX($J$6:$J$1062*(N342*$K$6:$K$1062/Span_P+O342*$F$6:$F$1062/Span_S+P342*$G$6:$G$1062/Span_B)-(1-$J$6:$J$1062)*1000000000)),"")</f>
        <v>0.771469252059502</v>
      </c>
      <c r="AB342" s="15" t="n">
        <f aca="false">IF(AND($J342=1,$M342=1),IF(AA342-Z342&lt;=0.000000001,1,0),"")</f>
        <v>1</v>
      </c>
      <c r="AC342" s="13" t="str">
        <f aca="false">IF(AND($J342=1,$M342=0),IF(S342="",0,S342*INDEX(Grid!$B$6:$H$156,R342+1,Q342+1))+IF(V342="",0,V342*INDEX(Grid!$B$6:$H$156,U342+1,T342+1))+IF(Y342="",0,Y342*INDEX(Grid!$B$6:$H$156,X342+1,W342+1)),"")</f>
        <v/>
      </c>
      <c r="AD342" s="13" t="str">
        <f aca="false">IF(AND($J342=1,$M342=0),IF(S342="",0,S342*Val_pt*(Ceiling_e-E_zero)*(1-(1-Half_gap)^Q342))+IF(V342="",0,V342*Val_pt*(Ceiling_e-E_zero)*(1-(1-Half_gap)^T342))+IF(Y342="",0,Y342*Val_pt*(Ceiling_e-E_zero)*(1-(1-Half_gap)^W342)),"")</f>
        <v/>
      </c>
      <c r="AE342" s="13" t="str">
        <f aca="false">IF(AND($J342=1,$M342=0),IF(S342="",0,S342*R342)+IF(V342="",0,V342*U342)+IF(Y342="",0,Y342*X342),"")</f>
        <v/>
      </c>
      <c r="AF342" s="12" t="str">
        <f aca="false">IF(AND($J342=1,$M342=0),MIN((AC342-E342)/Span_P,(AD342-F342)/Span_S,(AE342-G342)/Span_B),"")</f>
        <v/>
      </c>
      <c r="AG342" s="15" t="str">
        <f aca="false">IF(AND($J342=1,$M342=0),IF(AF342&gt;0.0000001,1,0),"")</f>
        <v/>
      </c>
      <c r="AH342" s="15" t="n">
        <f aca="false">IF($J342=1,IF($M342=1,AB342,AG342),"")</f>
        <v>1</v>
      </c>
      <c r="AI342" s="13" t="n">
        <f aca="false">IF($J342=1,(Ideal_P-E342)/Span_P,"")</f>
        <v>0.0853570943943963</v>
      </c>
      <c r="AJ342" s="13" t="n">
        <f aca="false">IF($J342=1,(Ideal_S-F342)/Span_S,"")</f>
        <v>0.483870967741936</v>
      </c>
      <c r="AK342" s="13" t="n">
        <f aca="false">IF($J342=1,(Ideal_B-G342)/Span_B,"")</f>
        <v>0.773333333333333</v>
      </c>
      <c r="AL342" s="12" t="n">
        <f aca="false">IF($J342=1,MAX(ChA_1*AI342,ChA_2*AJ342,ChA_3*AK342)+Rho*(ChA_1*AI342+ChA_2*AJ342+ChA_3*AK342),"")</f>
        <v>0.77346758947288</v>
      </c>
      <c r="AM342" s="12" t="n">
        <f aca="false">IF($J342=1,MAX(ChB_1*AI342,ChB_2*AJ342,ChB_3*AK342)+Rho*(ChB_1*AI342+ChB_2*AJ342+ChB_3*AK342),"")</f>
        <v>0.77347612518232</v>
      </c>
      <c r="AN342" s="12" t="n">
        <f aca="false">IF($J342=1,MAX(Cx_1*(Ref_P-E342)/Span_P,Cx_2*(Ref_S-F342)/Span_S,Cx_3*(Ref_B-G342)/Span_B),"")</f>
        <v>2.09439124487004</v>
      </c>
    </row>
    <row r="343" customFormat="false" ht="15" hidden="false" customHeight="false" outlineLevel="0" collapsed="false">
      <c r="A343" s="2" t="n">
        <v>337</v>
      </c>
      <c r="B343" s="15" t="n">
        <f aca="false">INT(A343/151)</f>
        <v>2</v>
      </c>
      <c r="C343" s="15" t="n">
        <f aca="false">MOD(A343,151)</f>
        <v>35</v>
      </c>
      <c r="D343" s="15" t="n">
        <f aca="false">INDEX(Grid!$J$6:$P$156,C343+1,B343+1)</f>
        <v>1</v>
      </c>
      <c r="E343" s="16" t="n">
        <f aca="false">IF(D343=1,INDEX(Grid!$B$6:$H$156,C343+1,B343+1),"")</f>
        <v>352.355154578363</v>
      </c>
      <c r="F343" s="13" t="n">
        <f aca="false">Val_pt*(Ceiling_e-E_zero)*(1-(1-Half_gap)^B343)</f>
        <v>105</v>
      </c>
      <c r="G343" s="15" t="n">
        <f aca="false">C343</f>
        <v>35</v>
      </c>
      <c r="H343" s="15" t="n">
        <f aca="false">IF(D343=1,INDEX(Grid!$R$6:$X$156,C343+1,B343+1),"")</f>
        <v>48</v>
      </c>
      <c r="I343" s="2" t="str">
        <f aca="false">IF(D343=1,INDEX(Sch_label,H343+1),"")</f>
        <v>1, 2</v>
      </c>
      <c r="J343" s="15" t="n">
        <f aca="false">IF(D343=1,INDEX(Grid!$Z$6:$AF$156,C343+1,B343+1),0)</f>
        <v>1</v>
      </c>
      <c r="K343" s="16" t="n">
        <f aca="false">IF(J343=1,E343,0)</f>
        <v>352.355154578363</v>
      </c>
      <c r="L343" s="17" t="n">
        <f aca="false">IF(D343=1,E343+W_board*F343,"")</f>
        <v>945.05278113483</v>
      </c>
      <c r="M343" s="24" t="n">
        <v>1</v>
      </c>
      <c r="N343" s="25" t="n">
        <v>0.725713962391744</v>
      </c>
      <c r="O343" s="25" t="n">
        <v>0.001</v>
      </c>
      <c r="P343" s="25" t="n">
        <v>0.273286037608256</v>
      </c>
      <c r="Z343" s="12" t="n">
        <f aca="false">IF(AND($J343=1,$M343=1),N343*E343/Span_P+O343*F343/Span_S+P343*G343/Span_B,"")</f>
        <v>0.771469252059499</v>
      </c>
      <c r="AA343" s="12" t="n">
        <f aca="false">IF(AND($J343=1,$M343=1),SUMPRODUCT(MAX($J$6:$J$1062*(N343*$K$6:$K$1062/Span_P+O343*$F$6:$F$1062/Span_S+P343*$G$6:$G$1062/Span_B)-(1-$J$6:$J$1062)*1000000000)),"")</f>
        <v>0.771469252059502</v>
      </c>
      <c r="AB343" s="15" t="n">
        <f aca="false">IF(AND($J343=1,$M343=1),IF(AA343-Z343&lt;=0.000000001,1,0),"")</f>
        <v>1</v>
      </c>
      <c r="AC343" s="13" t="str">
        <f aca="false">IF(AND($J343=1,$M343=0),IF(S343="",0,S343*INDEX(Grid!$B$6:$H$156,R343+1,Q343+1))+IF(V343="",0,V343*INDEX(Grid!$B$6:$H$156,U343+1,T343+1))+IF(Y343="",0,Y343*INDEX(Grid!$B$6:$H$156,X343+1,W343+1)),"")</f>
        <v/>
      </c>
      <c r="AD343" s="13" t="str">
        <f aca="false">IF(AND($J343=1,$M343=0),IF(S343="",0,S343*Val_pt*(Ceiling_e-E_zero)*(1-(1-Half_gap)^Q343))+IF(V343="",0,V343*Val_pt*(Ceiling_e-E_zero)*(1-(1-Half_gap)^T343))+IF(Y343="",0,Y343*Val_pt*(Ceiling_e-E_zero)*(1-(1-Half_gap)^W343)),"")</f>
        <v/>
      </c>
      <c r="AE343" s="13" t="str">
        <f aca="false">IF(AND($J343=1,$M343=0),IF(S343="",0,S343*R343)+IF(V343="",0,V343*U343)+IF(Y343="",0,Y343*X343),"")</f>
        <v/>
      </c>
      <c r="AF343" s="12" t="str">
        <f aca="false">IF(AND($J343=1,$M343=0),MIN((AC343-E343)/Span_P,(AD343-F343)/Span_S,(AE343-G343)/Span_B),"")</f>
        <v/>
      </c>
      <c r="AG343" s="15" t="str">
        <f aca="false">IF(AND($J343=1,$M343=0),IF(AF343&gt;0.0000001,1,0),"")</f>
        <v/>
      </c>
      <c r="AH343" s="15" t="n">
        <f aca="false">IF($J343=1,IF($M343=1,AB343,AG343),"")</f>
        <v>1</v>
      </c>
      <c r="AI343" s="13" t="n">
        <f aca="false">IF($J343=1,(Ideal_P-E343)/Span_P,"")</f>
        <v>0.087867597170702</v>
      </c>
      <c r="AJ343" s="13" t="n">
        <f aca="false">IF($J343=1,(Ideal_S-F343)/Span_S,"")</f>
        <v>0.483870967741936</v>
      </c>
      <c r="AK343" s="13" t="n">
        <f aca="false">IF($J343=1,(Ideal_B-G343)/Span_B,"")</f>
        <v>0.766666666666667</v>
      </c>
      <c r="AL343" s="12" t="n">
        <f aca="false">IF($J343=1,MAX(ChA_1*AI343,ChA_2*AJ343,ChA_3*AK343)+Rho*(ChA_1*AI343+ChA_2*AJ343+ChA_3*AK343),"")</f>
        <v>0.766800507189825</v>
      </c>
      <c r="AM343" s="12" t="n">
        <f aca="false">IF($J343=1,MAX(ChB_1*AI343,ChB_2*AJ343,ChB_3*AK343)+Rho*(ChB_1*AI343+ChB_2*AJ343+ChB_3*AK343),"")</f>
        <v>0.766809293949542</v>
      </c>
      <c r="AN343" s="12" t="n">
        <f aca="false">IF($J343=1,MAX(Cx_1*(Ref_P-E343)/Span_P,Cx_2*(Ref_S-F343)/Span_S,Cx_3*(Ref_B-G343)/Span_B),"")</f>
        <v>2.09439124487004</v>
      </c>
    </row>
    <row r="344" customFormat="false" ht="15" hidden="false" customHeight="false" outlineLevel="0" collapsed="false">
      <c r="A344" s="2" t="n">
        <v>338</v>
      </c>
      <c r="B344" s="15" t="n">
        <f aca="false">INT(A344/151)</f>
        <v>2</v>
      </c>
      <c r="C344" s="15" t="n">
        <f aca="false">MOD(A344,151)</f>
        <v>36</v>
      </c>
      <c r="D344" s="15" t="n">
        <f aca="false">INDEX(Grid!$J$6:$P$156,C344+1,B344+1)</f>
        <v>1</v>
      </c>
      <c r="E344" s="16" t="n">
        <f aca="false">IF(D344=1,INDEX(Grid!$B$6:$H$156,C344+1,B344+1),"")</f>
        <v>351.446063669272</v>
      </c>
      <c r="F344" s="13" t="n">
        <f aca="false">Val_pt*(Ceiling_e-E_zero)*(1-(1-Half_gap)^B344)</f>
        <v>105</v>
      </c>
      <c r="G344" s="15" t="n">
        <f aca="false">C344</f>
        <v>36</v>
      </c>
      <c r="H344" s="15" t="n">
        <f aca="false">IF(D344=1,INDEX(Grid!$R$6:$X$156,C344+1,B344+1),"")</f>
        <v>48</v>
      </c>
      <c r="I344" s="2" t="str">
        <f aca="false">IF(D344=1,INDEX(Sch_label,H344+1),"")</f>
        <v>1, 2</v>
      </c>
      <c r="J344" s="15" t="n">
        <f aca="false">IF(D344=1,INDEX(Grid!$Z$6:$AF$156,C344+1,B344+1),0)</f>
        <v>1</v>
      </c>
      <c r="K344" s="16" t="n">
        <f aca="false">IF(J344=1,E344,0)</f>
        <v>351.446063669272</v>
      </c>
      <c r="L344" s="17" t="n">
        <f aca="false">IF(D344=1,E344+W_board*F344,"")</f>
        <v>944.143690225739</v>
      </c>
      <c r="M344" s="24" t="n">
        <v>1</v>
      </c>
      <c r="N344" s="25" t="n">
        <v>0.725713962391753</v>
      </c>
      <c r="O344" s="25" t="n">
        <v>0.001</v>
      </c>
      <c r="P344" s="25" t="n">
        <v>0.273286037608247</v>
      </c>
      <c r="Z344" s="12" t="n">
        <f aca="false">IF(AND($J344=1,$M344=1),N344*E344/Span_P+O344*F344/Span_S+P344*G344/Span_B,"")</f>
        <v>0.771469252059506</v>
      </c>
      <c r="AA344" s="12" t="n">
        <f aca="false">IF(AND($J344=1,$M344=1),SUMPRODUCT(MAX($J$6:$J$1062*(N344*$K$6:$K$1062/Span_P+O344*$F$6:$F$1062/Span_S+P344*$G$6:$G$1062/Span_B)-(1-$J$6:$J$1062)*1000000000)),"")</f>
        <v>0.771469252059508</v>
      </c>
      <c r="AB344" s="15" t="n">
        <f aca="false">IF(AND($J344=1,$M344=1),IF(AA344-Z344&lt;=0.000000001,1,0),"")</f>
        <v>1</v>
      </c>
      <c r="AC344" s="13" t="str">
        <f aca="false">IF(AND($J344=1,$M344=0),IF(S344="",0,S344*INDEX(Grid!$B$6:$H$156,R344+1,Q344+1))+IF(V344="",0,V344*INDEX(Grid!$B$6:$H$156,U344+1,T344+1))+IF(Y344="",0,Y344*INDEX(Grid!$B$6:$H$156,X344+1,W344+1)),"")</f>
        <v/>
      </c>
      <c r="AD344" s="13" t="str">
        <f aca="false">IF(AND($J344=1,$M344=0),IF(S344="",0,S344*Val_pt*(Ceiling_e-E_zero)*(1-(1-Half_gap)^Q344))+IF(V344="",0,V344*Val_pt*(Ceiling_e-E_zero)*(1-(1-Half_gap)^T344))+IF(Y344="",0,Y344*Val_pt*(Ceiling_e-E_zero)*(1-(1-Half_gap)^W344)),"")</f>
        <v/>
      </c>
      <c r="AE344" s="13" t="str">
        <f aca="false">IF(AND($J344=1,$M344=0),IF(S344="",0,S344*R344)+IF(V344="",0,V344*U344)+IF(Y344="",0,Y344*X344),"")</f>
        <v/>
      </c>
      <c r="AF344" s="12" t="str">
        <f aca="false">IF(AND($J344=1,$M344=0),MIN((AC344-E344)/Span_P,(AD344-F344)/Span_S,(AE344-G344)/Span_B),"")</f>
        <v/>
      </c>
      <c r="AG344" s="15" t="str">
        <f aca="false">IF(AND($J344=1,$M344=0),IF(AF344&gt;0.0000001,1,0),"")</f>
        <v/>
      </c>
      <c r="AH344" s="15" t="n">
        <f aca="false">IF($J344=1,IF($M344=1,AB344,AG344),"")</f>
        <v>1</v>
      </c>
      <c r="AI344" s="13" t="n">
        <f aca="false">IF($J344=1,(Ideal_P-E344)/Span_P,"")</f>
        <v>0.0903780999470078</v>
      </c>
      <c r="AJ344" s="13" t="n">
        <f aca="false">IF($J344=1,(Ideal_S-F344)/Span_S,"")</f>
        <v>0.483870967741936</v>
      </c>
      <c r="AK344" s="13" t="n">
        <f aca="false">IF($J344=1,(Ideal_B-G344)/Span_B,"")</f>
        <v>0.76</v>
      </c>
      <c r="AL344" s="12" t="n">
        <f aca="false">IF($J344=1,MAX(ChA_1*AI344,ChA_2*AJ344,ChA_3*AK344)+Rho*(ChA_1*AI344+ChA_2*AJ344+ChA_3*AK344),"")</f>
        <v>0.760133424906769</v>
      </c>
      <c r="AM344" s="12" t="n">
        <f aca="false">IF($J344=1,MAX(ChB_1*AI344,ChB_2*AJ344,ChB_3*AK344)+Rho*(ChB_1*AI344+ChB_2*AJ344+ChB_3*AK344),"")</f>
        <v>0.760142462716764</v>
      </c>
      <c r="AN344" s="12" t="n">
        <f aca="false">IF($J344=1,MAX(Cx_1*(Ref_P-E344)/Span_P,Cx_2*(Ref_S-F344)/Span_S,Cx_3*(Ref_B-G344)/Span_B),"")</f>
        <v>2.09439124487004</v>
      </c>
    </row>
    <row r="345" customFormat="false" ht="15" hidden="false" customHeight="false" outlineLevel="0" collapsed="false">
      <c r="A345" s="2" t="n">
        <v>339</v>
      </c>
      <c r="B345" s="15" t="n">
        <f aca="false">INT(A345/151)</f>
        <v>2</v>
      </c>
      <c r="C345" s="15" t="n">
        <f aca="false">MOD(A345,151)</f>
        <v>37</v>
      </c>
      <c r="D345" s="15" t="n">
        <f aca="false">INDEX(Grid!$J$6:$P$156,C345+1,B345+1)</f>
        <v>1</v>
      </c>
      <c r="E345" s="16" t="n">
        <f aca="false">IF(D345=1,INDEX(Grid!$B$6:$H$156,C345+1,B345+1),"")</f>
        <v>350.536972760182</v>
      </c>
      <c r="F345" s="13" t="n">
        <f aca="false">Val_pt*(Ceiling_e-E_zero)*(1-(1-Half_gap)^B345)</f>
        <v>105</v>
      </c>
      <c r="G345" s="15" t="n">
        <f aca="false">C345</f>
        <v>37</v>
      </c>
      <c r="H345" s="15" t="n">
        <f aca="false">IF(D345=1,INDEX(Grid!$R$6:$X$156,C345+1,B345+1),"")</f>
        <v>48</v>
      </c>
      <c r="I345" s="2" t="str">
        <f aca="false">IF(D345=1,INDEX(Sch_label,H345+1),"")</f>
        <v>1, 2</v>
      </c>
      <c r="J345" s="15" t="n">
        <f aca="false">IF(D345=1,INDEX(Grid!$Z$6:$AF$156,C345+1,B345+1),0)</f>
        <v>1</v>
      </c>
      <c r="K345" s="16" t="n">
        <f aca="false">IF(J345=1,E345,0)</f>
        <v>350.536972760182</v>
      </c>
      <c r="L345" s="17" t="n">
        <f aca="false">IF(D345=1,E345+W_board*F345,"")</f>
        <v>943.234599316648</v>
      </c>
      <c r="M345" s="24" t="n">
        <v>1</v>
      </c>
      <c r="N345" s="25" t="n">
        <v>0.725713962391745</v>
      </c>
      <c r="O345" s="25" t="n">
        <v>0.001</v>
      </c>
      <c r="P345" s="25" t="n">
        <v>0.273286037608256</v>
      </c>
      <c r="Z345" s="12" t="n">
        <f aca="false">IF(AND($J345=1,$M345=1),N345*E345/Span_P+O345*F345/Span_S+P345*G345/Span_B,"")</f>
        <v>0.7714692520595</v>
      </c>
      <c r="AA345" s="12" t="n">
        <f aca="false">IF(AND($J345=1,$M345=1),SUMPRODUCT(MAX($J$6:$J$1062*(N345*$K$6:$K$1062/Span_P+O345*$F$6:$F$1062/Span_S+P345*$G$6:$G$1062/Span_B)-(1-$J$6:$J$1062)*1000000000)),"")</f>
        <v>0.771469252059502</v>
      </c>
      <c r="AB345" s="15" t="n">
        <f aca="false">IF(AND($J345=1,$M345=1),IF(AA345-Z345&lt;=0.000000001,1,0),"")</f>
        <v>1</v>
      </c>
      <c r="AC345" s="13" t="str">
        <f aca="false">IF(AND($J345=1,$M345=0),IF(S345="",0,S345*INDEX(Grid!$B$6:$H$156,R345+1,Q345+1))+IF(V345="",0,V345*INDEX(Grid!$B$6:$H$156,U345+1,T345+1))+IF(Y345="",0,Y345*INDEX(Grid!$B$6:$H$156,X345+1,W345+1)),"")</f>
        <v/>
      </c>
      <c r="AD345" s="13" t="str">
        <f aca="false">IF(AND($J345=1,$M345=0),IF(S345="",0,S345*Val_pt*(Ceiling_e-E_zero)*(1-(1-Half_gap)^Q345))+IF(V345="",0,V345*Val_pt*(Ceiling_e-E_zero)*(1-(1-Half_gap)^T345))+IF(Y345="",0,Y345*Val_pt*(Ceiling_e-E_zero)*(1-(1-Half_gap)^W345)),"")</f>
        <v/>
      </c>
      <c r="AE345" s="13" t="str">
        <f aca="false">IF(AND($J345=1,$M345=0),IF(S345="",0,S345*R345)+IF(V345="",0,V345*U345)+IF(Y345="",0,Y345*X345),"")</f>
        <v/>
      </c>
      <c r="AF345" s="12" t="str">
        <f aca="false">IF(AND($J345=1,$M345=0),MIN((AC345-E345)/Span_P,(AD345-F345)/Span_S,(AE345-G345)/Span_B),"")</f>
        <v/>
      </c>
      <c r="AG345" s="15" t="str">
        <f aca="false">IF(AND($J345=1,$M345=0),IF(AF345&gt;0.0000001,1,0),"")</f>
        <v/>
      </c>
      <c r="AH345" s="15" t="n">
        <f aca="false">IF($J345=1,IF($M345=1,AB345,AG345),"")</f>
        <v>1</v>
      </c>
      <c r="AI345" s="13" t="n">
        <f aca="false">IF($J345=1,(Ideal_P-E345)/Span_P,"")</f>
        <v>0.0928886027233135</v>
      </c>
      <c r="AJ345" s="13" t="n">
        <f aca="false">IF($J345=1,(Ideal_S-F345)/Span_S,"")</f>
        <v>0.483870967741936</v>
      </c>
      <c r="AK345" s="13" t="n">
        <f aca="false">IF($J345=1,(Ideal_B-G345)/Span_B,"")</f>
        <v>0.753333333333333</v>
      </c>
      <c r="AL345" s="12" t="n">
        <f aca="false">IF($J345=1,MAX(ChA_1*AI345,ChA_2*AJ345,ChA_3*AK345)+Rho*(ChA_1*AI345+ChA_2*AJ345+ChA_3*AK345),"")</f>
        <v>0.753466342623713</v>
      </c>
      <c r="AM345" s="12" t="n">
        <f aca="false">IF($J345=1,MAX(ChB_1*AI345,ChB_2*AJ345,ChB_3*AK345)+Rho*(ChB_1*AI345+ChB_2*AJ345+ChB_3*AK345),"")</f>
        <v>0.753475631483985</v>
      </c>
      <c r="AN345" s="12" t="n">
        <f aca="false">IF($J345=1,MAX(Cx_1*(Ref_P-E345)/Span_P,Cx_2*(Ref_S-F345)/Span_S,Cx_3*(Ref_B-G345)/Span_B),"")</f>
        <v>2.09439124487004</v>
      </c>
    </row>
    <row r="346" customFormat="false" ht="15" hidden="false" customHeight="false" outlineLevel="0" collapsed="false">
      <c r="A346" s="2" t="n">
        <v>340</v>
      </c>
      <c r="B346" s="15" t="n">
        <f aca="false">INT(A346/151)</f>
        <v>2</v>
      </c>
      <c r="C346" s="15" t="n">
        <f aca="false">MOD(A346,151)</f>
        <v>38</v>
      </c>
      <c r="D346" s="15" t="n">
        <f aca="false">INDEX(Grid!$J$6:$P$156,C346+1,B346+1)</f>
        <v>1</v>
      </c>
      <c r="E346" s="16" t="n">
        <f aca="false">IF(D346=1,INDEX(Grid!$B$6:$H$156,C346+1,B346+1),"")</f>
        <v>349.627881851091</v>
      </c>
      <c r="F346" s="13" t="n">
        <f aca="false">Val_pt*(Ceiling_e-E_zero)*(1-(1-Half_gap)^B346)</f>
        <v>105</v>
      </c>
      <c r="G346" s="15" t="n">
        <f aca="false">C346</f>
        <v>38</v>
      </c>
      <c r="H346" s="15" t="n">
        <f aca="false">IF(D346=1,INDEX(Grid!$R$6:$X$156,C346+1,B346+1),"")</f>
        <v>48</v>
      </c>
      <c r="I346" s="2" t="str">
        <f aca="false">IF(D346=1,INDEX(Sch_label,H346+1),"")</f>
        <v>1, 2</v>
      </c>
      <c r="J346" s="15" t="n">
        <f aca="false">IF(D346=1,INDEX(Grid!$Z$6:$AF$156,C346+1,B346+1),0)</f>
        <v>1</v>
      </c>
      <c r="K346" s="16" t="n">
        <f aca="false">IF(J346=1,E346,0)</f>
        <v>349.627881851091</v>
      </c>
      <c r="L346" s="17" t="n">
        <f aca="false">IF(D346=1,E346+W_board*F346,"")</f>
        <v>942.325508407557</v>
      </c>
      <c r="M346" s="24" t="n">
        <v>1</v>
      </c>
      <c r="N346" s="25" t="n">
        <v>0.725713962391753</v>
      </c>
      <c r="O346" s="25" t="n">
        <v>0.001</v>
      </c>
      <c r="P346" s="25" t="n">
        <v>0.273286037608248</v>
      </c>
      <c r="Z346" s="12" t="n">
        <f aca="false">IF(AND($J346=1,$M346=1),N346*E346/Span_P+O346*F346/Span_S+P346*G346/Span_B,"")</f>
        <v>0.771469252059505</v>
      </c>
      <c r="AA346" s="12" t="n">
        <f aca="false">IF(AND($J346=1,$M346=1),SUMPRODUCT(MAX($J$6:$J$1062*(N346*$K$6:$K$1062/Span_P+O346*$F$6:$F$1062/Span_S+P346*$G$6:$G$1062/Span_B)-(1-$J$6:$J$1062)*1000000000)),"")</f>
        <v>0.771469252059507</v>
      </c>
      <c r="AB346" s="15" t="n">
        <f aca="false">IF(AND($J346=1,$M346=1),IF(AA346-Z346&lt;=0.000000001,1,0),"")</f>
        <v>1</v>
      </c>
      <c r="AC346" s="13" t="str">
        <f aca="false">IF(AND($J346=1,$M346=0),IF(S346="",0,S346*INDEX(Grid!$B$6:$H$156,R346+1,Q346+1))+IF(V346="",0,V346*INDEX(Grid!$B$6:$H$156,U346+1,T346+1))+IF(Y346="",0,Y346*INDEX(Grid!$B$6:$H$156,X346+1,W346+1)),"")</f>
        <v/>
      </c>
      <c r="AD346" s="13" t="str">
        <f aca="false">IF(AND($J346=1,$M346=0),IF(S346="",0,S346*Val_pt*(Ceiling_e-E_zero)*(1-(1-Half_gap)^Q346))+IF(V346="",0,V346*Val_pt*(Ceiling_e-E_zero)*(1-(1-Half_gap)^T346))+IF(Y346="",0,Y346*Val_pt*(Ceiling_e-E_zero)*(1-(1-Half_gap)^W346)),"")</f>
        <v/>
      </c>
      <c r="AE346" s="13" t="str">
        <f aca="false">IF(AND($J346=1,$M346=0),IF(S346="",0,S346*R346)+IF(V346="",0,V346*U346)+IF(Y346="",0,Y346*X346),"")</f>
        <v/>
      </c>
      <c r="AF346" s="12" t="str">
        <f aca="false">IF(AND($J346=1,$M346=0),MIN((AC346-E346)/Span_P,(AD346-F346)/Span_S,(AE346-G346)/Span_B),"")</f>
        <v/>
      </c>
      <c r="AG346" s="15" t="str">
        <f aca="false">IF(AND($J346=1,$M346=0),IF(AF346&gt;0.0000001,1,0),"")</f>
        <v/>
      </c>
      <c r="AH346" s="15" t="n">
        <f aca="false">IF($J346=1,IF($M346=1,AB346,AG346),"")</f>
        <v>1</v>
      </c>
      <c r="AI346" s="13" t="n">
        <f aca="false">IF($J346=1,(Ideal_P-E346)/Span_P,"")</f>
        <v>0.0953991054996193</v>
      </c>
      <c r="AJ346" s="13" t="n">
        <f aca="false">IF($J346=1,(Ideal_S-F346)/Span_S,"")</f>
        <v>0.483870967741936</v>
      </c>
      <c r="AK346" s="13" t="n">
        <f aca="false">IF($J346=1,(Ideal_B-G346)/Span_B,"")</f>
        <v>0.746666666666667</v>
      </c>
      <c r="AL346" s="12" t="n">
        <f aca="false">IF($J346=1,MAX(ChA_1*AI346,ChA_2*AJ346,ChA_3*AK346)+Rho*(ChA_1*AI346+ChA_2*AJ346+ChA_3*AK346),"")</f>
        <v>0.746799260340658</v>
      </c>
      <c r="AM346" s="12" t="n">
        <f aca="false">IF($J346=1,MAX(ChB_1*AI346,ChB_2*AJ346,ChB_3*AK346)+Rho*(ChB_1*AI346+ChB_2*AJ346+ChB_3*AK346),"")</f>
        <v>0.746808800251207</v>
      </c>
      <c r="AN346" s="12" t="n">
        <f aca="false">IF($J346=1,MAX(Cx_1*(Ref_P-E346)/Span_P,Cx_2*(Ref_S-F346)/Span_S,Cx_3*(Ref_B-G346)/Span_B),"")</f>
        <v>2.09439124487004</v>
      </c>
    </row>
    <row r="347" customFormat="false" ht="15" hidden="false" customHeight="false" outlineLevel="0" collapsed="false">
      <c r="A347" s="2" t="n">
        <v>341</v>
      </c>
      <c r="B347" s="15" t="n">
        <f aca="false">INT(A347/151)</f>
        <v>2</v>
      </c>
      <c r="C347" s="15" t="n">
        <f aca="false">MOD(A347,151)</f>
        <v>39</v>
      </c>
      <c r="D347" s="15" t="n">
        <f aca="false">INDEX(Grid!$J$6:$P$156,C347+1,B347+1)</f>
        <v>1</v>
      </c>
      <c r="E347" s="16" t="n">
        <f aca="false">IF(D347=1,INDEX(Grid!$B$6:$H$156,C347+1,B347+1),"")</f>
        <v>348.718790942</v>
      </c>
      <c r="F347" s="13" t="n">
        <f aca="false">Val_pt*(Ceiling_e-E_zero)*(1-(1-Half_gap)^B347)</f>
        <v>105</v>
      </c>
      <c r="G347" s="15" t="n">
        <f aca="false">C347</f>
        <v>39</v>
      </c>
      <c r="H347" s="15" t="n">
        <f aca="false">IF(D347=1,INDEX(Grid!$R$6:$X$156,C347+1,B347+1),"")</f>
        <v>48</v>
      </c>
      <c r="I347" s="2" t="str">
        <f aca="false">IF(D347=1,INDEX(Sch_label,H347+1),"")</f>
        <v>1, 2</v>
      </c>
      <c r="J347" s="15" t="n">
        <f aca="false">IF(D347=1,INDEX(Grid!$Z$6:$AF$156,C347+1,B347+1),0)</f>
        <v>1</v>
      </c>
      <c r="K347" s="16" t="n">
        <f aca="false">IF(J347=1,E347,0)</f>
        <v>348.718790942</v>
      </c>
      <c r="L347" s="17" t="n">
        <f aca="false">IF(D347=1,E347+W_board*F347,"")</f>
        <v>941.416417498466</v>
      </c>
      <c r="M347" s="24" t="n">
        <v>1</v>
      </c>
      <c r="N347" s="25" t="n">
        <v>0.725713962391744</v>
      </c>
      <c r="O347" s="25" t="n">
        <v>0.001</v>
      </c>
      <c r="P347" s="25" t="n">
        <v>0.273286037608256</v>
      </c>
      <c r="Z347" s="12" t="n">
        <f aca="false">IF(AND($J347=1,$M347=1),N347*E347/Span_P+O347*F347/Span_S+P347*G347/Span_B,"")</f>
        <v>0.771469252059499</v>
      </c>
      <c r="AA347" s="12" t="n">
        <f aca="false">IF(AND($J347=1,$M347=1),SUMPRODUCT(MAX($J$6:$J$1062*(N347*$K$6:$K$1062/Span_P+O347*$F$6:$F$1062/Span_S+P347*$G$6:$G$1062/Span_B)-(1-$J$6:$J$1062)*1000000000)),"")</f>
        <v>0.771469252059502</v>
      </c>
      <c r="AB347" s="15" t="n">
        <f aca="false">IF(AND($J347=1,$M347=1),IF(AA347-Z347&lt;=0.000000001,1,0),"")</f>
        <v>1</v>
      </c>
      <c r="AC347" s="13" t="str">
        <f aca="false">IF(AND($J347=1,$M347=0),IF(S347="",0,S347*INDEX(Grid!$B$6:$H$156,R347+1,Q347+1))+IF(V347="",0,V347*INDEX(Grid!$B$6:$H$156,U347+1,T347+1))+IF(Y347="",0,Y347*INDEX(Grid!$B$6:$H$156,X347+1,W347+1)),"")</f>
        <v/>
      </c>
      <c r="AD347" s="13" t="str">
        <f aca="false">IF(AND($J347=1,$M347=0),IF(S347="",0,S347*Val_pt*(Ceiling_e-E_zero)*(1-(1-Half_gap)^Q347))+IF(V347="",0,V347*Val_pt*(Ceiling_e-E_zero)*(1-(1-Half_gap)^T347))+IF(Y347="",0,Y347*Val_pt*(Ceiling_e-E_zero)*(1-(1-Half_gap)^W347)),"")</f>
        <v/>
      </c>
      <c r="AE347" s="13" t="str">
        <f aca="false">IF(AND($J347=1,$M347=0),IF(S347="",0,S347*R347)+IF(V347="",0,V347*U347)+IF(Y347="",0,Y347*X347),"")</f>
        <v/>
      </c>
      <c r="AF347" s="12" t="str">
        <f aca="false">IF(AND($J347=1,$M347=0),MIN((AC347-E347)/Span_P,(AD347-F347)/Span_S,(AE347-G347)/Span_B),"")</f>
        <v/>
      </c>
      <c r="AG347" s="15" t="str">
        <f aca="false">IF(AND($J347=1,$M347=0),IF(AF347&gt;0.0000001,1,0),"")</f>
        <v/>
      </c>
      <c r="AH347" s="15" t="n">
        <f aca="false">IF($J347=1,IF($M347=1,AB347,AG347),"")</f>
        <v>1</v>
      </c>
      <c r="AI347" s="13" t="n">
        <f aca="false">IF($J347=1,(Ideal_P-E347)/Span_P,"")</f>
        <v>0.097909608275925</v>
      </c>
      <c r="AJ347" s="13" t="n">
        <f aca="false">IF($J347=1,(Ideal_S-F347)/Span_S,"")</f>
        <v>0.483870967741936</v>
      </c>
      <c r="AK347" s="13" t="n">
        <f aca="false">IF($J347=1,(Ideal_B-G347)/Span_B,"")</f>
        <v>0.74</v>
      </c>
      <c r="AL347" s="12" t="n">
        <f aca="false">IF($J347=1,MAX(ChA_1*AI347,ChA_2*AJ347,ChA_3*AK347)+Rho*(ChA_1*AI347+ChA_2*AJ347+ChA_3*AK347),"")</f>
        <v>0.740132178057602</v>
      </c>
      <c r="AM347" s="12" t="n">
        <f aca="false">IF($J347=1,MAX(ChB_1*AI347,ChB_2*AJ347,ChB_3*AK347)+Rho*(ChB_1*AI347+ChB_2*AJ347+ChB_3*AK347),"")</f>
        <v>0.740141969018429</v>
      </c>
      <c r="AN347" s="12" t="n">
        <f aca="false">IF($J347=1,MAX(Cx_1*(Ref_P-E347)/Span_P,Cx_2*(Ref_S-F347)/Span_S,Cx_3*(Ref_B-G347)/Span_B),"")</f>
        <v>2.09439124487004</v>
      </c>
    </row>
    <row r="348" customFormat="false" ht="15" hidden="false" customHeight="false" outlineLevel="0" collapsed="false">
      <c r="A348" s="2" t="n">
        <v>342</v>
      </c>
      <c r="B348" s="15" t="n">
        <f aca="false">INT(A348/151)</f>
        <v>2</v>
      </c>
      <c r="C348" s="15" t="n">
        <f aca="false">MOD(A348,151)</f>
        <v>40</v>
      </c>
      <c r="D348" s="15" t="n">
        <f aca="false">INDEX(Grid!$J$6:$P$156,C348+1,B348+1)</f>
        <v>1</v>
      </c>
      <c r="E348" s="16" t="n">
        <f aca="false">IF(D348=1,INDEX(Grid!$B$6:$H$156,C348+1,B348+1),"")</f>
        <v>347.809700032909</v>
      </c>
      <c r="F348" s="13" t="n">
        <f aca="false">Val_pt*(Ceiling_e-E_zero)*(1-(1-Half_gap)^B348)</f>
        <v>105</v>
      </c>
      <c r="G348" s="15" t="n">
        <f aca="false">C348</f>
        <v>40</v>
      </c>
      <c r="H348" s="15" t="n">
        <f aca="false">IF(D348=1,INDEX(Grid!$R$6:$X$156,C348+1,B348+1),"")</f>
        <v>48</v>
      </c>
      <c r="I348" s="2" t="str">
        <f aca="false">IF(D348=1,INDEX(Sch_label,H348+1),"")</f>
        <v>1, 2</v>
      </c>
      <c r="J348" s="15" t="n">
        <f aca="false">IF(D348=1,INDEX(Grid!$Z$6:$AF$156,C348+1,B348+1),0)</f>
        <v>1</v>
      </c>
      <c r="K348" s="16" t="n">
        <f aca="false">IF(J348=1,E348,0)</f>
        <v>347.809700032909</v>
      </c>
      <c r="L348" s="17" t="n">
        <f aca="false">IF(D348=1,E348+W_board*F348,"")</f>
        <v>940.507326589375</v>
      </c>
      <c r="M348" s="24" t="n">
        <v>1</v>
      </c>
      <c r="N348" s="25" t="n">
        <v>0.725713962391753</v>
      </c>
      <c r="O348" s="25" t="n">
        <v>0.001</v>
      </c>
      <c r="P348" s="25" t="n">
        <v>0.273286037608248</v>
      </c>
      <c r="Z348" s="12" t="n">
        <f aca="false">IF(AND($J348=1,$M348=1),N348*E348/Span_P+O348*F348/Span_S+P348*G348/Span_B,"")</f>
        <v>0.771469252059505</v>
      </c>
      <c r="AA348" s="12" t="n">
        <f aca="false">IF(AND($J348=1,$M348=1),SUMPRODUCT(MAX($J$6:$J$1062*(N348*$K$6:$K$1062/Span_P+O348*$F$6:$F$1062/Span_S+P348*$G$6:$G$1062/Span_B)-(1-$J$6:$J$1062)*1000000000)),"")</f>
        <v>0.771469252059507</v>
      </c>
      <c r="AB348" s="15" t="n">
        <f aca="false">IF(AND($J348=1,$M348=1),IF(AA348-Z348&lt;=0.000000001,1,0),"")</f>
        <v>1</v>
      </c>
      <c r="AC348" s="13" t="str">
        <f aca="false">IF(AND($J348=1,$M348=0),IF(S348="",0,S348*INDEX(Grid!$B$6:$H$156,R348+1,Q348+1))+IF(V348="",0,V348*INDEX(Grid!$B$6:$H$156,U348+1,T348+1))+IF(Y348="",0,Y348*INDEX(Grid!$B$6:$H$156,X348+1,W348+1)),"")</f>
        <v/>
      </c>
      <c r="AD348" s="13" t="str">
        <f aca="false">IF(AND($J348=1,$M348=0),IF(S348="",0,S348*Val_pt*(Ceiling_e-E_zero)*(1-(1-Half_gap)^Q348))+IF(V348="",0,V348*Val_pt*(Ceiling_e-E_zero)*(1-(1-Half_gap)^T348))+IF(Y348="",0,Y348*Val_pt*(Ceiling_e-E_zero)*(1-(1-Half_gap)^W348)),"")</f>
        <v/>
      </c>
      <c r="AE348" s="13" t="str">
        <f aca="false">IF(AND($J348=1,$M348=0),IF(S348="",0,S348*R348)+IF(V348="",0,V348*U348)+IF(Y348="",0,Y348*X348),"")</f>
        <v/>
      </c>
      <c r="AF348" s="12" t="str">
        <f aca="false">IF(AND($J348=1,$M348=0),MIN((AC348-E348)/Span_P,(AD348-F348)/Span_S,(AE348-G348)/Span_B),"")</f>
        <v/>
      </c>
      <c r="AG348" s="15" t="str">
        <f aca="false">IF(AND($J348=1,$M348=0),IF(AF348&gt;0.0000001,1,0),"")</f>
        <v/>
      </c>
      <c r="AH348" s="15" t="n">
        <f aca="false">IF($J348=1,IF($M348=1,AB348,AG348),"")</f>
        <v>1</v>
      </c>
      <c r="AI348" s="13" t="n">
        <f aca="false">IF($J348=1,(Ideal_P-E348)/Span_P,"")</f>
        <v>0.100420111052231</v>
      </c>
      <c r="AJ348" s="13" t="n">
        <f aca="false">IF($J348=1,(Ideal_S-F348)/Span_S,"")</f>
        <v>0.483870967741936</v>
      </c>
      <c r="AK348" s="13" t="n">
        <f aca="false">IF($J348=1,(Ideal_B-G348)/Span_B,"")</f>
        <v>0.733333333333333</v>
      </c>
      <c r="AL348" s="12" t="n">
        <f aca="false">IF($J348=1,MAX(ChA_1*AI348,ChA_2*AJ348,ChA_3*AK348)+Rho*(ChA_1*AI348+ChA_2*AJ348+ChA_3*AK348),"")</f>
        <v>0.733465095774546</v>
      </c>
      <c r="AM348" s="12" t="n">
        <f aca="false">IF($J348=1,MAX(ChB_1*AI348,ChB_2*AJ348,ChB_3*AK348)+Rho*(ChB_1*AI348+ChB_2*AJ348+ChB_3*AK348),"")</f>
        <v>0.733475137785651</v>
      </c>
      <c r="AN348" s="12" t="n">
        <f aca="false">IF($J348=1,MAX(Cx_1*(Ref_P-E348)/Span_P,Cx_2*(Ref_S-F348)/Span_S,Cx_3*(Ref_B-G348)/Span_B),"")</f>
        <v>2.09439124487004</v>
      </c>
    </row>
    <row r="349" customFormat="false" ht="15" hidden="false" customHeight="false" outlineLevel="0" collapsed="false">
      <c r="A349" s="2" t="n">
        <v>343</v>
      </c>
      <c r="B349" s="15" t="n">
        <f aca="false">INT(A349/151)</f>
        <v>2</v>
      </c>
      <c r="C349" s="15" t="n">
        <f aca="false">MOD(A349,151)</f>
        <v>41</v>
      </c>
      <c r="D349" s="15" t="n">
        <f aca="false">INDEX(Grid!$J$6:$P$156,C349+1,B349+1)</f>
        <v>1</v>
      </c>
      <c r="E349" s="16" t="n">
        <f aca="false">IF(D349=1,INDEX(Grid!$B$6:$H$156,C349+1,B349+1),"")</f>
        <v>346.900609123818</v>
      </c>
      <c r="F349" s="13" t="n">
        <f aca="false">Val_pt*(Ceiling_e-E_zero)*(1-(1-Half_gap)^B349)</f>
        <v>105</v>
      </c>
      <c r="G349" s="15" t="n">
        <f aca="false">C349</f>
        <v>41</v>
      </c>
      <c r="H349" s="15" t="n">
        <f aca="false">IF(D349=1,INDEX(Grid!$R$6:$X$156,C349+1,B349+1),"")</f>
        <v>48</v>
      </c>
      <c r="I349" s="2" t="str">
        <f aca="false">IF(D349=1,INDEX(Sch_label,H349+1),"")</f>
        <v>1, 2</v>
      </c>
      <c r="J349" s="15" t="n">
        <f aca="false">IF(D349=1,INDEX(Grid!$Z$6:$AF$156,C349+1,B349+1),0)</f>
        <v>1</v>
      </c>
      <c r="K349" s="16" t="n">
        <f aca="false">IF(J349=1,E349,0)</f>
        <v>346.900609123818</v>
      </c>
      <c r="L349" s="17" t="n">
        <f aca="false">IF(D349=1,E349+W_board*F349,"")</f>
        <v>939.598235680284</v>
      </c>
      <c r="M349" s="24" t="n">
        <v>1</v>
      </c>
      <c r="N349" s="25" t="n">
        <v>0.725713962391745</v>
      </c>
      <c r="O349" s="25" t="n">
        <v>0.001</v>
      </c>
      <c r="P349" s="25" t="n">
        <v>0.273286037608255</v>
      </c>
      <c r="Z349" s="12" t="n">
        <f aca="false">IF(AND($J349=1,$M349=1),N349*E349/Span_P+O349*F349/Span_S+P349*G349/Span_B,"")</f>
        <v>0.7714692520595</v>
      </c>
      <c r="AA349" s="12" t="n">
        <f aca="false">IF(AND($J349=1,$M349=1),SUMPRODUCT(MAX($J$6:$J$1062*(N349*$K$6:$K$1062/Span_P+O349*$F$6:$F$1062/Span_S+P349*$G$6:$G$1062/Span_B)-(1-$J$6:$J$1062)*1000000000)),"")</f>
        <v>0.771469252059502</v>
      </c>
      <c r="AB349" s="15" t="n">
        <f aca="false">IF(AND($J349=1,$M349=1),IF(AA349-Z349&lt;=0.000000001,1,0),"")</f>
        <v>1</v>
      </c>
      <c r="AC349" s="13" t="str">
        <f aca="false">IF(AND($J349=1,$M349=0),IF(S349="",0,S349*INDEX(Grid!$B$6:$H$156,R349+1,Q349+1))+IF(V349="",0,V349*INDEX(Grid!$B$6:$H$156,U349+1,T349+1))+IF(Y349="",0,Y349*INDEX(Grid!$B$6:$H$156,X349+1,W349+1)),"")</f>
        <v/>
      </c>
      <c r="AD349" s="13" t="str">
        <f aca="false">IF(AND($J349=1,$M349=0),IF(S349="",0,S349*Val_pt*(Ceiling_e-E_zero)*(1-(1-Half_gap)^Q349))+IF(V349="",0,V349*Val_pt*(Ceiling_e-E_zero)*(1-(1-Half_gap)^T349))+IF(Y349="",0,Y349*Val_pt*(Ceiling_e-E_zero)*(1-(1-Half_gap)^W349)),"")</f>
        <v/>
      </c>
      <c r="AE349" s="13" t="str">
        <f aca="false">IF(AND($J349=1,$M349=0),IF(S349="",0,S349*R349)+IF(V349="",0,V349*U349)+IF(Y349="",0,Y349*X349),"")</f>
        <v/>
      </c>
      <c r="AF349" s="12" t="str">
        <f aca="false">IF(AND($J349=1,$M349=0),MIN((AC349-E349)/Span_P,(AD349-F349)/Span_S,(AE349-G349)/Span_B),"")</f>
        <v/>
      </c>
      <c r="AG349" s="15" t="str">
        <f aca="false">IF(AND($J349=1,$M349=0),IF(AF349&gt;0.0000001,1,0),"")</f>
        <v/>
      </c>
      <c r="AH349" s="15" t="n">
        <f aca="false">IF($J349=1,IF($M349=1,AB349,AG349),"")</f>
        <v>1</v>
      </c>
      <c r="AI349" s="13" t="n">
        <f aca="false">IF($J349=1,(Ideal_P-E349)/Span_P,"")</f>
        <v>0.102930613828537</v>
      </c>
      <c r="AJ349" s="13" t="n">
        <f aca="false">IF($J349=1,(Ideal_S-F349)/Span_S,"")</f>
        <v>0.483870967741936</v>
      </c>
      <c r="AK349" s="13" t="n">
        <f aca="false">IF($J349=1,(Ideal_B-G349)/Span_B,"")</f>
        <v>0.726666666666667</v>
      </c>
      <c r="AL349" s="12" t="n">
        <f aca="false">IF($J349=1,MAX(ChA_1*AI349,ChA_2*AJ349,ChA_3*AK349)+Rho*(ChA_1*AI349+ChA_2*AJ349+ChA_3*AK349),"")</f>
        <v>0.72679801349149</v>
      </c>
      <c r="AM349" s="12" t="n">
        <f aca="false">IF($J349=1,MAX(ChB_1*AI349,ChB_2*AJ349,ChB_3*AK349)+Rho*(ChB_1*AI349+ChB_2*AJ349+ChB_3*AK349),"")</f>
        <v>0.726808306552873</v>
      </c>
      <c r="AN349" s="12" t="n">
        <f aca="false">IF($J349=1,MAX(Cx_1*(Ref_P-E349)/Span_P,Cx_2*(Ref_S-F349)/Span_S,Cx_3*(Ref_B-G349)/Span_B),"")</f>
        <v>2.09439124487004</v>
      </c>
    </row>
    <row r="350" customFormat="false" ht="15" hidden="false" customHeight="false" outlineLevel="0" collapsed="false">
      <c r="A350" s="2" t="n">
        <v>344</v>
      </c>
      <c r="B350" s="15" t="n">
        <f aca="false">INT(A350/151)</f>
        <v>2</v>
      </c>
      <c r="C350" s="15" t="n">
        <f aca="false">MOD(A350,151)</f>
        <v>42</v>
      </c>
      <c r="D350" s="15" t="n">
        <f aca="false">INDEX(Grid!$J$6:$P$156,C350+1,B350+1)</f>
        <v>1</v>
      </c>
      <c r="E350" s="16" t="n">
        <f aca="false">IF(D350=1,INDEX(Grid!$B$6:$H$156,C350+1,B350+1),"")</f>
        <v>345.991518214727</v>
      </c>
      <c r="F350" s="13" t="n">
        <f aca="false">Val_pt*(Ceiling_e-E_zero)*(1-(1-Half_gap)^B350)</f>
        <v>105</v>
      </c>
      <c r="G350" s="15" t="n">
        <f aca="false">C350</f>
        <v>42</v>
      </c>
      <c r="H350" s="15" t="n">
        <f aca="false">IF(D350=1,INDEX(Grid!$R$6:$X$156,C350+1,B350+1),"")</f>
        <v>48</v>
      </c>
      <c r="I350" s="2" t="str">
        <f aca="false">IF(D350=1,INDEX(Sch_label,H350+1),"")</f>
        <v>1, 2</v>
      </c>
      <c r="J350" s="15" t="n">
        <f aca="false">IF(D350=1,INDEX(Grid!$Z$6:$AF$156,C350+1,B350+1),0)</f>
        <v>1</v>
      </c>
      <c r="K350" s="16" t="n">
        <f aca="false">IF(J350=1,E350,0)</f>
        <v>345.991518214727</v>
      </c>
      <c r="L350" s="17" t="n">
        <f aca="false">IF(D350=1,E350+W_board*F350,"")</f>
        <v>938.689144771193</v>
      </c>
      <c r="M350" s="24" t="n">
        <v>1</v>
      </c>
      <c r="N350" s="25" t="n">
        <v>0.725713962391753</v>
      </c>
      <c r="O350" s="25" t="n">
        <v>0.001</v>
      </c>
      <c r="P350" s="25" t="n">
        <v>0.273286037608248</v>
      </c>
      <c r="Z350" s="12" t="n">
        <f aca="false">IF(AND($J350=1,$M350=1),N350*E350/Span_P+O350*F350/Span_S+P350*G350/Span_B,"")</f>
        <v>0.771469252059505</v>
      </c>
      <c r="AA350" s="12" t="n">
        <f aca="false">IF(AND($J350=1,$M350=1),SUMPRODUCT(MAX($J$6:$J$1062*(N350*$K$6:$K$1062/Span_P+O350*$F$6:$F$1062/Span_S+P350*$G$6:$G$1062/Span_B)-(1-$J$6:$J$1062)*1000000000)),"")</f>
        <v>0.771469252059507</v>
      </c>
      <c r="AB350" s="15" t="n">
        <f aca="false">IF(AND($J350=1,$M350=1),IF(AA350-Z350&lt;=0.000000001,1,0),"")</f>
        <v>1</v>
      </c>
      <c r="AC350" s="13" t="str">
        <f aca="false">IF(AND($J350=1,$M350=0),IF(S350="",0,S350*INDEX(Grid!$B$6:$H$156,R350+1,Q350+1))+IF(V350="",0,V350*INDEX(Grid!$B$6:$H$156,U350+1,T350+1))+IF(Y350="",0,Y350*INDEX(Grid!$B$6:$H$156,X350+1,W350+1)),"")</f>
        <v/>
      </c>
      <c r="AD350" s="13" t="str">
        <f aca="false">IF(AND($J350=1,$M350=0),IF(S350="",0,S350*Val_pt*(Ceiling_e-E_zero)*(1-(1-Half_gap)^Q350))+IF(V350="",0,V350*Val_pt*(Ceiling_e-E_zero)*(1-(1-Half_gap)^T350))+IF(Y350="",0,Y350*Val_pt*(Ceiling_e-E_zero)*(1-(1-Half_gap)^W350)),"")</f>
        <v/>
      </c>
      <c r="AE350" s="13" t="str">
        <f aca="false">IF(AND($J350=1,$M350=0),IF(S350="",0,S350*R350)+IF(V350="",0,V350*U350)+IF(Y350="",0,Y350*X350),"")</f>
        <v/>
      </c>
      <c r="AF350" s="12" t="str">
        <f aca="false">IF(AND($J350=1,$M350=0),MIN((AC350-E350)/Span_P,(AD350-F350)/Span_S,(AE350-G350)/Span_B),"")</f>
        <v/>
      </c>
      <c r="AG350" s="15" t="str">
        <f aca="false">IF(AND($J350=1,$M350=0),IF(AF350&gt;0.0000001,1,0),"")</f>
        <v/>
      </c>
      <c r="AH350" s="15" t="n">
        <f aca="false">IF($J350=1,IF($M350=1,AB350,AG350),"")</f>
        <v>1</v>
      </c>
      <c r="AI350" s="13" t="n">
        <f aca="false">IF($J350=1,(Ideal_P-E350)/Span_P,"")</f>
        <v>0.105441116604842</v>
      </c>
      <c r="AJ350" s="13" t="n">
        <f aca="false">IF($J350=1,(Ideal_S-F350)/Span_S,"")</f>
        <v>0.483870967741936</v>
      </c>
      <c r="AK350" s="13" t="n">
        <f aca="false">IF($J350=1,(Ideal_B-G350)/Span_B,"")</f>
        <v>0.72</v>
      </c>
      <c r="AL350" s="12" t="n">
        <f aca="false">IF($J350=1,MAX(ChA_1*AI350,ChA_2*AJ350,ChA_3*AK350)+Rho*(ChA_1*AI350+ChA_2*AJ350+ChA_3*AK350),"")</f>
        <v>0.720130931208435</v>
      </c>
      <c r="AM350" s="12" t="n">
        <f aca="false">IF($J350=1,MAX(ChB_1*AI350,ChB_2*AJ350,ChB_3*AK350)+Rho*(ChB_1*AI350+ChB_2*AJ350+ChB_3*AK350),"")</f>
        <v>0.720141475320095</v>
      </c>
      <c r="AN350" s="12" t="n">
        <f aca="false">IF($J350=1,MAX(Cx_1*(Ref_P-E350)/Span_P,Cx_2*(Ref_S-F350)/Span_S,Cx_3*(Ref_B-G350)/Span_B),"")</f>
        <v>2.09439124487004</v>
      </c>
    </row>
    <row r="351" customFormat="false" ht="15" hidden="false" customHeight="false" outlineLevel="0" collapsed="false">
      <c r="A351" s="2" t="n">
        <v>345</v>
      </c>
      <c r="B351" s="15" t="n">
        <f aca="false">INT(A351/151)</f>
        <v>2</v>
      </c>
      <c r="C351" s="15" t="n">
        <f aca="false">MOD(A351,151)</f>
        <v>43</v>
      </c>
      <c r="D351" s="15" t="n">
        <f aca="false">INDEX(Grid!$J$6:$P$156,C351+1,B351+1)</f>
        <v>1</v>
      </c>
      <c r="E351" s="16" t="n">
        <f aca="false">IF(D351=1,INDEX(Grid!$B$6:$H$156,C351+1,B351+1),"")</f>
        <v>345.082427305636</v>
      </c>
      <c r="F351" s="13" t="n">
        <f aca="false">Val_pt*(Ceiling_e-E_zero)*(1-(1-Half_gap)^B351)</f>
        <v>105</v>
      </c>
      <c r="G351" s="15" t="n">
        <f aca="false">C351</f>
        <v>43</v>
      </c>
      <c r="H351" s="15" t="n">
        <f aca="false">IF(D351=1,INDEX(Grid!$R$6:$X$156,C351+1,B351+1),"")</f>
        <v>48</v>
      </c>
      <c r="I351" s="2" t="str">
        <f aca="false">IF(D351=1,INDEX(Sch_label,H351+1),"")</f>
        <v>1, 2</v>
      </c>
      <c r="J351" s="15" t="n">
        <f aca="false">IF(D351=1,INDEX(Grid!$Z$6:$AF$156,C351+1,B351+1),0)</f>
        <v>1</v>
      </c>
      <c r="K351" s="16" t="n">
        <f aca="false">IF(J351=1,E351,0)</f>
        <v>345.082427305636</v>
      </c>
      <c r="L351" s="17" t="n">
        <f aca="false">IF(D351=1,E351+W_board*F351,"")</f>
        <v>937.780053862102</v>
      </c>
      <c r="M351" s="24" t="n">
        <v>1</v>
      </c>
      <c r="N351" s="25" t="n">
        <v>0.725713962391744</v>
      </c>
      <c r="O351" s="25" t="n">
        <v>0.001</v>
      </c>
      <c r="P351" s="25" t="n">
        <v>0.273286037608256</v>
      </c>
      <c r="Z351" s="12" t="n">
        <f aca="false">IF(AND($J351=1,$M351=1),N351*E351/Span_P+O351*F351/Span_S+P351*G351/Span_B,"")</f>
        <v>0.7714692520595</v>
      </c>
      <c r="AA351" s="12" t="n">
        <f aca="false">IF(AND($J351=1,$M351=1),SUMPRODUCT(MAX($J$6:$J$1062*(N351*$K$6:$K$1062/Span_P+O351*$F$6:$F$1062/Span_S+P351*$G$6:$G$1062/Span_B)-(1-$J$6:$J$1062)*1000000000)),"")</f>
        <v>0.771469252059502</v>
      </c>
      <c r="AB351" s="15" t="n">
        <f aca="false">IF(AND($J351=1,$M351=1),IF(AA351-Z351&lt;=0.000000001,1,0),"")</f>
        <v>1</v>
      </c>
      <c r="AC351" s="13" t="str">
        <f aca="false">IF(AND($J351=1,$M351=0),IF(S351="",0,S351*INDEX(Grid!$B$6:$H$156,R351+1,Q351+1))+IF(V351="",0,V351*INDEX(Grid!$B$6:$H$156,U351+1,T351+1))+IF(Y351="",0,Y351*INDEX(Grid!$B$6:$H$156,X351+1,W351+1)),"")</f>
        <v/>
      </c>
      <c r="AD351" s="13" t="str">
        <f aca="false">IF(AND($J351=1,$M351=0),IF(S351="",0,S351*Val_pt*(Ceiling_e-E_zero)*(1-(1-Half_gap)^Q351))+IF(V351="",0,V351*Val_pt*(Ceiling_e-E_zero)*(1-(1-Half_gap)^T351))+IF(Y351="",0,Y351*Val_pt*(Ceiling_e-E_zero)*(1-(1-Half_gap)^W351)),"")</f>
        <v/>
      </c>
      <c r="AE351" s="13" t="str">
        <f aca="false">IF(AND($J351=1,$M351=0),IF(S351="",0,S351*R351)+IF(V351="",0,V351*U351)+IF(Y351="",0,Y351*X351),"")</f>
        <v/>
      </c>
      <c r="AF351" s="12" t="str">
        <f aca="false">IF(AND($J351=1,$M351=0),MIN((AC351-E351)/Span_P,(AD351-F351)/Span_S,(AE351-G351)/Span_B),"")</f>
        <v/>
      </c>
      <c r="AG351" s="15" t="str">
        <f aca="false">IF(AND($J351=1,$M351=0),IF(AF351&gt;0.0000001,1,0),"")</f>
        <v/>
      </c>
      <c r="AH351" s="15" t="n">
        <f aca="false">IF($J351=1,IF($M351=1,AB351,AG351),"")</f>
        <v>1</v>
      </c>
      <c r="AI351" s="13" t="n">
        <f aca="false">IF($J351=1,(Ideal_P-E351)/Span_P,"")</f>
        <v>0.107951619381148</v>
      </c>
      <c r="AJ351" s="13" t="n">
        <f aca="false">IF($J351=1,(Ideal_S-F351)/Span_S,"")</f>
        <v>0.483870967741936</v>
      </c>
      <c r="AK351" s="13" t="n">
        <f aca="false">IF($J351=1,(Ideal_B-G351)/Span_B,"")</f>
        <v>0.713333333333333</v>
      </c>
      <c r="AL351" s="12" t="n">
        <f aca="false">IF($J351=1,MAX(ChA_1*AI351,ChA_2*AJ351,ChA_3*AK351)+Rho*(ChA_1*AI351+ChA_2*AJ351+ChA_3*AK351),"")</f>
        <v>0.713463848925379</v>
      </c>
      <c r="AM351" s="12" t="n">
        <f aca="false">IF($J351=1,MAX(ChB_1*AI351,ChB_2*AJ351,ChB_3*AK351)+Rho*(ChB_1*AI351+ChB_2*AJ351+ChB_3*AK351),"")</f>
        <v>0.713474644087317</v>
      </c>
      <c r="AN351" s="12" t="n">
        <f aca="false">IF($J351=1,MAX(Cx_1*(Ref_P-E351)/Span_P,Cx_2*(Ref_S-F351)/Span_S,Cx_3*(Ref_B-G351)/Span_B),"")</f>
        <v>2.09439124487004</v>
      </c>
    </row>
    <row r="352" customFormat="false" ht="15" hidden="false" customHeight="false" outlineLevel="0" collapsed="false">
      <c r="A352" s="2" t="n">
        <v>346</v>
      </c>
      <c r="B352" s="15" t="n">
        <f aca="false">INT(A352/151)</f>
        <v>2</v>
      </c>
      <c r="C352" s="15" t="n">
        <f aca="false">MOD(A352,151)</f>
        <v>44</v>
      </c>
      <c r="D352" s="15" t="n">
        <f aca="false">INDEX(Grid!$J$6:$P$156,C352+1,B352+1)</f>
        <v>1</v>
      </c>
      <c r="E352" s="16" t="n">
        <f aca="false">IF(D352=1,INDEX(Grid!$B$6:$H$156,C352+1,B352+1),"")</f>
        <v>344.173336396545</v>
      </c>
      <c r="F352" s="13" t="n">
        <f aca="false">Val_pt*(Ceiling_e-E_zero)*(1-(1-Half_gap)^B352)</f>
        <v>105</v>
      </c>
      <c r="G352" s="15" t="n">
        <f aca="false">C352</f>
        <v>44</v>
      </c>
      <c r="H352" s="15" t="n">
        <f aca="false">IF(D352=1,INDEX(Grid!$R$6:$X$156,C352+1,B352+1),"")</f>
        <v>48</v>
      </c>
      <c r="I352" s="2" t="str">
        <f aca="false">IF(D352=1,INDEX(Sch_label,H352+1),"")</f>
        <v>1, 2</v>
      </c>
      <c r="J352" s="15" t="n">
        <f aca="false">IF(D352=1,INDEX(Grid!$Z$6:$AF$156,C352+1,B352+1),0)</f>
        <v>1</v>
      </c>
      <c r="K352" s="16" t="n">
        <f aca="false">IF(J352=1,E352,0)</f>
        <v>344.173336396545</v>
      </c>
      <c r="L352" s="17" t="n">
        <f aca="false">IF(D352=1,E352+W_board*F352,"")</f>
        <v>936.870962953011</v>
      </c>
      <c r="M352" s="24" t="n">
        <v>1</v>
      </c>
      <c r="N352" s="25" t="n">
        <v>0.725713962391753</v>
      </c>
      <c r="O352" s="25" t="n">
        <v>0.001</v>
      </c>
      <c r="P352" s="25" t="n">
        <v>0.273286037608248</v>
      </c>
      <c r="Z352" s="12" t="n">
        <f aca="false">IF(AND($J352=1,$M352=1),N352*E352/Span_P+O352*F352/Span_S+P352*G352/Span_B,"")</f>
        <v>0.771469252059505</v>
      </c>
      <c r="AA352" s="12" t="n">
        <f aca="false">IF(AND($J352=1,$M352=1),SUMPRODUCT(MAX($J$6:$J$1062*(N352*$K$6:$K$1062/Span_P+O352*$F$6:$F$1062/Span_S+P352*$G$6:$G$1062/Span_B)-(1-$J$6:$J$1062)*1000000000)),"")</f>
        <v>0.771469252059507</v>
      </c>
      <c r="AB352" s="15" t="n">
        <f aca="false">IF(AND($J352=1,$M352=1),IF(AA352-Z352&lt;=0.000000001,1,0),"")</f>
        <v>1</v>
      </c>
      <c r="AC352" s="13" t="str">
        <f aca="false">IF(AND($J352=1,$M352=0),IF(S352="",0,S352*INDEX(Grid!$B$6:$H$156,R352+1,Q352+1))+IF(V352="",0,V352*INDEX(Grid!$B$6:$H$156,U352+1,T352+1))+IF(Y352="",0,Y352*INDEX(Grid!$B$6:$H$156,X352+1,W352+1)),"")</f>
        <v/>
      </c>
      <c r="AD352" s="13" t="str">
        <f aca="false">IF(AND($J352=1,$M352=0),IF(S352="",0,S352*Val_pt*(Ceiling_e-E_zero)*(1-(1-Half_gap)^Q352))+IF(V352="",0,V352*Val_pt*(Ceiling_e-E_zero)*(1-(1-Half_gap)^T352))+IF(Y352="",0,Y352*Val_pt*(Ceiling_e-E_zero)*(1-(1-Half_gap)^W352)),"")</f>
        <v/>
      </c>
      <c r="AE352" s="13" t="str">
        <f aca="false">IF(AND($J352=1,$M352=0),IF(S352="",0,S352*R352)+IF(V352="",0,V352*U352)+IF(Y352="",0,Y352*X352),"")</f>
        <v/>
      </c>
      <c r="AF352" s="12" t="str">
        <f aca="false">IF(AND($J352=1,$M352=0),MIN((AC352-E352)/Span_P,(AD352-F352)/Span_S,(AE352-G352)/Span_B),"")</f>
        <v/>
      </c>
      <c r="AG352" s="15" t="str">
        <f aca="false">IF(AND($J352=1,$M352=0),IF(AF352&gt;0.0000001,1,0),"")</f>
        <v/>
      </c>
      <c r="AH352" s="15" t="n">
        <f aca="false">IF($J352=1,IF($M352=1,AB352,AG352),"")</f>
        <v>1</v>
      </c>
      <c r="AI352" s="13" t="n">
        <f aca="false">IF($J352=1,(Ideal_P-E352)/Span_P,"")</f>
        <v>0.110462122157454</v>
      </c>
      <c r="AJ352" s="13" t="n">
        <f aca="false">IF($J352=1,(Ideal_S-F352)/Span_S,"")</f>
        <v>0.483870967741936</v>
      </c>
      <c r="AK352" s="13" t="n">
        <f aca="false">IF($J352=1,(Ideal_B-G352)/Span_B,"")</f>
        <v>0.706666666666667</v>
      </c>
      <c r="AL352" s="12" t="n">
        <f aca="false">IF($J352=1,MAX(ChA_1*AI352,ChA_2*AJ352,ChA_3*AK352)+Rho*(ChA_1*AI352+ChA_2*AJ352+ChA_3*AK352),"")</f>
        <v>0.706796766642323</v>
      </c>
      <c r="AM352" s="12" t="n">
        <f aca="false">IF($J352=1,MAX(ChB_1*AI352,ChB_2*AJ352,ChB_3*AK352)+Rho*(ChB_1*AI352+ChB_2*AJ352+ChB_3*AK352),"")</f>
        <v>0.706807812854539</v>
      </c>
      <c r="AN352" s="12" t="n">
        <f aca="false">IF($J352=1,MAX(Cx_1*(Ref_P-E352)/Span_P,Cx_2*(Ref_S-F352)/Span_S,Cx_3*(Ref_B-G352)/Span_B),"")</f>
        <v>2.09439124487004</v>
      </c>
    </row>
    <row r="353" customFormat="false" ht="15" hidden="false" customHeight="false" outlineLevel="0" collapsed="false">
      <c r="A353" s="2" t="n">
        <v>347</v>
      </c>
      <c r="B353" s="15" t="n">
        <f aca="false">INT(A353/151)</f>
        <v>2</v>
      </c>
      <c r="C353" s="15" t="n">
        <f aca="false">MOD(A353,151)</f>
        <v>45</v>
      </c>
      <c r="D353" s="15" t="n">
        <f aca="false">INDEX(Grid!$J$6:$P$156,C353+1,B353+1)</f>
        <v>1</v>
      </c>
      <c r="E353" s="16" t="n">
        <f aca="false">IF(D353=1,INDEX(Grid!$B$6:$H$156,C353+1,B353+1),"")</f>
        <v>343.264245487454</v>
      </c>
      <c r="F353" s="13" t="n">
        <f aca="false">Val_pt*(Ceiling_e-E_zero)*(1-(1-Half_gap)^B353)</f>
        <v>105</v>
      </c>
      <c r="G353" s="15" t="n">
        <f aca="false">C353</f>
        <v>45</v>
      </c>
      <c r="H353" s="15" t="n">
        <f aca="false">IF(D353=1,INDEX(Grid!$R$6:$X$156,C353+1,B353+1),"")</f>
        <v>48</v>
      </c>
      <c r="I353" s="2" t="str">
        <f aca="false">IF(D353=1,INDEX(Sch_label,H353+1),"")</f>
        <v>1, 2</v>
      </c>
      <c r="J353" s="15" t="n">
        <f aca="false">IF(D353=1,INDEX(Grid!$Z$6:$AF$156,C353+1,B353+1),0)</f>
        <v>1</v>
      </c>
      <c r="K353" s="16" t="n">
        <f aca="false">IF(J353=1,E353,0)</f>
        <v>343.264245487454</v>
      </c>
      <c r="L353" s="17" t="n">
        <f aca="false">IF(D353=1,E353+W_board*F353,"")</f>
        <v>935.96187204392</v>
      </c>
      <c r="M353" s="24" t="n">
        <v>1</v>
      </c>
      <c r="N353" s="25" t="n">
        <v>0.725713962391744</v>
      </c>
      <c r="O353" s="25" t="n">
        <v>0.001</v>
      </c>
      <c r="P353" s="25" t="n">
        <v>0.273286037608256</v>
      </c>
      <c r="Z353" s="12" t="n">
        <f aca="false">IF(AND($J353=1,$M353=1),N353*E353/Span_P+O353*F353/Span_S+P353*G353/Span_B,"")</f>
        <v>0.771469252059499</v>
      </c>
      <c r="AA353" s="12" t="n">
        <f aca="false">IF(AND($J353=1,$M353=1),SUMPRODUCT(MAX($J$6:$J$1062*(N353*$K$6:$K$1062/Span_P+O353*$F$6:$F$1062/Span_S+P353*$G$6:$G$1062/Span_B)-(1-$J$6:$J$1062)*1000000000)),"")</f>
        <v>0.771469252059502</v>
      </c>
      <c r="AB353" s="15" t="n">
        <f aca="false">IF(AND($J353=1,$M353=1),IF(AA353-Z353&lt;=0.000000001,1,0),"")</f>
        <v>1</v>
      </c>
      <c r="AC353" s="13" t="str">
        <f aca="false">IF(AND($J353=1,$M353=0),IF(S353="",0,S353*INDEX(Grid!$B$6:$H$156,R353+1,Q353+1))+IF(V353="",0,V353*INDEX(Grid!$B$6:$H$156,U353+1,T353+1))+IF(Y353="",0,Y353*INDEX(Grid!$B$6:$H$156,X353+1,W353+1)),"")</f>
        <v/>
      </c>
      <c r="AD353" s="13" t="str">
        <f aca="false">IF(AND($J353=1,$M353=0),IF(S353="",0,S353*Val_pt*(Ceiling_e-E_zero)*(1-(1-Half_gap)^Q353))+IF(V353="",0,V353*Val_pt*(Ceiling_e-E_zero)*(1-(1-Half_gap)^T353))+IF(Y353="",0,Y353*Val_pt*(Ceiling_e-E_zero)*(1-(1-Half_gap)^W353)),"")</f>
        <v/>
      </c>
      <c r="AE353" s="13" t="str">
        <f aca="false">IF(AND($J353=1,$M353=0),IF(S353="",0,S353*R353)+IF(V353="",0,V353*U353)+IF(Y353="",0,Y353*X353),"")</f>
        <v/>
      </c>
      <c r="AF353" s="12" t="str">
        <f aca="false">IF(AND($J353=1,$M353=0),MIN((AC353-E353)/Span_P,(AD353-F353)/Span_S,(AE353-G353)/Span_B),"")</f>
        <v/>
      </c>
      <c r="AG353" s="15" t="str">
        <f aca="false">IF(AND($J353=1,$M353=0),IF(AF353&gt;0.0000001,1,0),"")</f>
        <v/>
      </c>
      <c r="AH353" s="15" t="n">
        <f aca="false">IF($J353=1,IF($M353=1,AB353,AG353),"")</f>
        <v>1</v>
      </c>
      <c r="AI353" s="13" t="n">
        <f aca="false">IF($J353=1,(Ideal_P-E353)/Span_P,"")</f>
        <v>0.11297262493376</v>
      </c>
      <c r="AJ353" s="13" t="n">
        <f aca="false">IF($J353=1,(Ideal_S-F353)/Span_S,"")</f>
        <v>0.483870967741936</v>
      </c>
      <c r="AK353" s="13" t="n">
        <f aca="false">IF($J353=1,(Ideal_B-G353)/Span_B,"")</f>
        <v>0.7</v>
      </c>
      <c r="AL353" s="12" t="n">
        <f aca="false">IF($J353=1,MAX(ChA_1*AI353,ChA_2*AJ353,ChA_3*AK353)+Rho*(ChA_1*AI353+ChA_2*AJ353+ChA_3*AK353),"")</f>
        <v>0.700129684359268</v>
      </c>
      <c r="AM353" s="12" t="n">
        <f aca="false">IF($J353=1,MAX(ChB_1*AI353,ChB_2*AJ353,ChB_3*AK353)+Rho*(ChB_1*AI353+ChB_2*AJ353+ChB_3*AK353),"")</f>
        <v>0.700140981621761</v>
      </c>
      <c r="AN353" s="12" t="n">
        <f aca="false">IF($J353=1,MAX(Cx_1*(Ref_P-E353)/Span_P,Cx_2*(Ref_S-F353)/Span_S,Cx_3*(Ref_B-G353)/Span_B),"")</f>
        <v>2.09439124487004</v>
      </c>
    </row>
    <row r="354" customFormat="false" ht="15" hidden="false" customHeight="false" outlineLevel="0" collapsed="false">
      <c r="A354" s="2" t="n">
        <v>348</v>
      </c>
      <c r="B354" s="15" t="n">
        <f aca="false">INT(A354/151)</f>
        <v>2</v>
      </c>
      <c r="C354" s="15" t="n">
        <f aca="false">MOD(A354,151)</f>
        <v>46</v>
      </c>
      <c r="D354" s="15" t="n">
        <f aca="false">INDEX(Grid!$J$6:$P$156,C354+1,B354+1)</f>
        <v>1</v>
      </c>
      <c r="E354" s="16" t="n">
        <f aca="false">IF(D354=1,INDEX(Grid!$B$6:$H$156,C354+1,B354+1),"")</f>
        <v>342.355154578363</v>
      </c>
      <c r="F354" s="13" t="n">
        <f aca="false">Val_pt*(Ceiling_e-E_zero)*(1-(1-Half_gap)^B354)</f>
        <v>105</v>
      </c>
      <c r="G354" s="15" t="n">
        <f aca="false">C354</f>
        <v>46</v>
      </c>
      <c r="H354" s="15" t="n">
        <f aca="false">IF(D354=1,INDEX(Grid!$R$6:$X$156,C354+1,B354+1),"")</f>
        <v>48</v>
      </c>
      <c r="I354" s="2" t="str">
        <f aca="false">IF(D354=1,INDEX(Sch_label,H354+1),"")</f>
        <v>1, 2</v>
      </c>
      <c r="J354" s="15" t="n">
        <f aca="false">IF(D354=1,INDEX(Grid!$Z$6:$AF$156,C354+1,B354+1),0)</f>
        <v>1</v>
      </c>
      <c r="K354" s="16" t="n">
        <f aca="false">IF(J354=1,E354,0)</f>
        <v>342.355154578363</v>
      </c>
      <c r="L354" s="17" t="n">
        <f aca="false">IF(D354=1,E354+W_board*F354,"")</f>
        <v>935.05278113483</v>
      </c>
      <c r="M354" s="24" t="n">
        <v>1</v>
      </c>
      <c r="N354" s="25" t="n">
        <v>0.725713962391745</v>
      </c>
      <c r="O354" s="25" t="n">
        <v>0.001</v>
      </c>
      <c r="P354" s="25" t="n">
        <v>0.273286037608255</v>
      </c>
      <c r="Z354" s="12" t="n">
        <f aca="false">IF(AND($J354=1,$M354=1),N354*E354/Span_P+O354*F354/Span_S+P354*G354/Span_B,"")</f>
        <v>0.771469252059501</v>
      </c>
      <c r="AA354" s="12" t="n">
        <f aca="false">IF(AND($J354=1,$M354=1),SUMPRODUCT(MAX($J$6:$J$1062*(N354*$K$6:$K$1062/Span_P+O354*$F$6:$F$1062/Span_S+P354*$G$6:$G$1062/Span_B)-(1-$J$6:$J$1062)*1000000000)),"")</f>
        <v>0.771469252059502</v>
      </c>
      <c r="AB354" s="15" t="n">
        <f aca="false">IF(AND($J354=1,$M354=1),IF(AA354-Z354&lt;=0.000000001,1,0),"")</f>
        <v>1</v>
      </c>
      <c r="AC354" s="13" t="str">
        <f aca="false">IF(AND($J354=1,$M354=0),IF(S354="",0,S354*INDEX(Grid!$B$6:$H$156,R354+1,Q354+1))+IF(V354="",0,V354*INDEX(Grid!$B$6:$H$156,U354+1,T354+1))+IF(Y354="",0,Y354*INDEX(Grid!$B$6:$H$156,X354+1,W354+1)),"")</f>
        <v/>
      </c>
      <c r="AD354" s="13" t="str">
        <f aca="false">IF(AND($J354=1,$M354=0),IF(S354="",0,S354*Val_pt*(Ceiling_e-E_zero)*(1-(1-Half_gap)^Q354))+IF(V354="",0,V354*Val_pt*(Ceiling_e-E_zero)*(1-(1-Half_gap)^T354))+IF(Y354="",0,Y354*Val_pt*(Ceiling_e-E_zero)*(1-(1-Half_gap)^W354)),"")</f>
        <v/>
      </c>
      <c r="AE354" s="13" t="str">
        <f aca="false">IF(AND($J354=1,$M354=0),IF(S354="",0,S354*R354)+IF(V354="",0,V354*U354)+IF(Y354="",0,Y354*X354),"")</f>
        <v/>
      </c>
      <c r="AF354" s="12" t="str">
        <f aca="false">IF(AND($J354=1,$M354=0),MIN((AC354-E354)/Span_P,(AD354-F354)/Span_S,(AE354-G354)/Span_B),"")</f>
        <v/>
      </c>
      <c r="AG354" s="15" t="str">
        <f aca="false">IF(AND($J354=1,$M354=0),IF(AF354&gt;0.0000001,1,0),"")</f>
        <v/>
      </c>
      <c r="AH354" s="15" t="n">
        <f aca="false">IF($J354=1,IF($M354=1,AB354,AG354),"")</f>
        <v>1</v>
      </c>
      <c r="AI354" s="13" t="n">
        <f aca="false">IF($J354=1,(Ideal_P-E354)/Span_P,"")</f>
        <v>0.115483127710065</v>
      </c>
      <c r="AJ354" s="13" t="n">
        <f aca="false">IF($J354=1,(Ideal_S-F354)/Span_S,"")</f>
        <v>0.483870967741936</v>
      </c>
      <c r="AK354" s="13" t="n">
        <f aca="false">IF($J354=1,(Ideal_B-G354)/Span_B,"")</f>
        <v>0.693333333333333</v>
      </c>
      <c r="AL354" s="12" t="n">
        <f aca="false">IF($J354=1,MAX(ChA_1*AI354,ChA_2*AJ354,ChA_3*AK354)+Rho*(ChA_1*AI354+ChA_2*AJ354+ChA_3*AK354),"")</f>
        <v>0.693462602076212</v>
      </c>
      <c r="AM354" s="12" t="n">
        <f aca="false">IF($J354=1,MAX(ChB_1*AI354,ChB_2*AJ354,ChB_3*AK354)+Rho*(ChB_1*AI354+ChB_2*AJ354+ChB_3*AK354),"")</f>
        <v>0.693474150388983</v>
      </c>
      <c r="AN354" s="12" t="n">
        <f aca="false">IF($J354=1,MAX(Cx_1*(Ref_P-E354)/Span_P,Cx_2*(Ref_S-F354)/Span_S,Cx_3*(Ref_B-G354)/Span_B),"")</f>
        <v>2.09439124487004</v>
      </c>
    </row>
    <row r="355" customFormat="false" ht="15" hidden="false" customHeight="false" outlineLevel="0" collapsed="false">
      <c r="A355" s="2" t="n">
        <v>349</v>
      </c>
      <c r="B355" s="15" t="n">
        <f aca="false">INT(A355/151)</f>
        <v>2</v>
      </c>
      <c r="C355" s="15" t="n">
        <f aca="false">MOD(A355,151)</f>
        <v>47</v>
      </c>
      <c r="D355" s="15" t="n">
        <f aca="false">INDEX(Grid!$J$6:$P$156,C355+1,B355+1)</f>
        <v>1</v>
      </c>
      <c r="E355" s="16" t="n">
        <f aca="false">IF(D355=1,INDEX(Grid!$B$6:$H$156,C355+1,B355+1),"")</f>
        <v>341.446063669272</v>
      </c>
      <c r="F355" s="13" t="n">
        <f aca="false">Val_pt*(Ceiling_e-E_zero)*(1-(1-Half_gap)^B355)</f>
        <v>105</v>
      </c>
      <c r="G355" s="15" t="n">
        <f aca="false">C355</f>
        <v>47</v>
      </c>
      <c r="H355" s="15" t="n">
        <f aca="false">IF(D355=1,INDEX(Grid!$R$6:$X$156,C355+1,B355+1),"")</f>
        <v>48</v>
      </c>
      <c r="I355" s="2" t="str">
        <f aca="false">IF(D355=1,INDEX(Sch_label,H355+1),"")</f>
        <v>1, 2</v>
      </c>
      <c r="J355" s="15" t="n">
        <f aca="false">IF(D355=1,INDEX(Grid!$Z$6:$AF$156,C355+1,B355+1),0)</f>
        <v>1</v>
      </c>
      <c r="K355" s="16" t="n">
        <f aca="false">IF(J355=1,E355,0)</f>
        <v>341.446063669272</v>
      </c>
      <c r="L355" s="17" t="n">
        <f aca="false">IF(D355=1,E355+W_board*F355,"")</f>
        <v>934.143690225739</v>
      </c>
      <c r="M355" s="24" t="n">
        <v>1</v>
      </c>
      <c r="N355" s="25" t="n">
        <v>0.725713962391753</v>
      </c>
      <c r="O355" s="25" t="n">
        <v>0.001</v>
      </c>
      <c r="P355" s="25" t="n">
        <v>0.273286037608248</v>
      </c>
      <c r="Z355" s="12" t="n">
        <f aca="false">IF(AND($J355=1,$M355=1),N355*E355/Span_P+O355*F355/Span_S+P355*G355/Span_B,"")</f>
        <v>0.771469252059505</v>
      </c>
      <c r="AA355" s="12" t="n">
        <f aca="false">IF(AND($J355=1,$M355=1),SUMPRODUCT(MAX($J$6:$J$1062*(N355*$K$6:$K$1062/Span_P+O355*$F$6:$F$1062/Span_S+P355*$G$6:$G$1062/Span_B)-(1-$J$6:$J$1062)*1000000000)),"")</f>
        <v>0.771469252059507</v>
      </c>
      <c r="AB355" s="15" t="n">
        <f aca="false">IF(AND($J355=1,$M355=1),IF(AA355-Z355&lt;=0.000000001,1,0),"")</f>
        <v>1</v>
      </c>
      <c r="AC355" s="13" t="str">
        <f aca="false">IF(AND($J355=1,$M355=0),IF(S355="",0,S355*INDEX(Grid!$B$6:$H$156,R355+1,Q355+1))+IF(V355="",0,V355*INDEX(Grid!$B$6:$H$156,U355+1,T355+1))+IF(Y355="",0,Y355*INDEX(Grid!$B$6:$H$156,X355+1,W355+1)),"")</f>
        <v/>
      </c>
      <c r="AD355" s="13" t="str">
        <f aca="false">IF(AND($J355=1,$M355=0),IF(S355="",0,S355*Val_pt*(Ceiling_e-E_zero)*(1-(1-Half_gap)^Q355))+IF(V355="",0,V355*Val_pt*(Ceiling_e-E_zero)*(1-(1-Half_gap)^T355))+IF(Y355="",0,Y355*Val_pt*(Ceiling_e-E_zero)*(1-(1-Half_gap)^W355)),"")</f>
        <v/>
      </c>
      <c r="AE355" s="13" t="str">
        <f aca="false">IF(AND($J355=1,$M355=0),IF(S355="",0,S355*R355)+IF(V355="",0,V355*U355)+IF(Y355="",0,Y355*X355),"")</f>
        <v/>
      </c>
      <c r="AF355" s="12" t="str">
        <f aca="false">IF(AND($J355=1,$M355=0),MIN((AC355-E355)/Span_P,(AD355-F355)/Span_S,(AE355-G355)/Span_B),"")</f>
        <v/>
      </c>
      <c r="AG355" s="15" t="str">
        <f aca="false">IF(AND($J355=1,$M355=0),IF(AF355&gt;0.0000001,1,0),"")</f>
        <v/>
      </c>
      <c r="AH355" s="15" t="n">
        <f aca="false">IF($J355=1,IF($M355=1,AB355,AG355),"")</f>
        <v>1</v>
      </c>
      <c r="AI355" s="13" t="n">
        <f aca="false">IF($J355=1,(Ideal_P-E355)/Span_P,"")</f>
        <v>0.117993630486371</v>
      </c>
      <c r="AJ355" s="13" t="n">
        <f aca="false">IF($J355=1,(Ideal_S-F355)/Span_S,"")</f>
        <v>0.483870967741936</v>
      </c>
      <c r="AK355" s="13" t="n">
        <f aca="false">IF($J355=1,(Ideal_B-G355)/Span_B,"")</f>
        <v>0.686666666666667</v>
      </c>
      <c r="AL355" s="12" t="n">
        <f aca="false">IF($J355=1,MAX(ChA_1*AI355,ChA_2*AJ355,ChA_3*AK355)+Rho*(ChA_1*AI355+ChA_2*AJ355+ChA_3*AK355),"")</f>
        <v>0.686795519793156</v>
      </c>
      <c r="AM355" s="12" t="n">
        <f aca="false">IF($J355=1,MAX(ChB_1*AI355,ChB_2*AJ355,ChB_3*AK355)+Rho*(ChB_1*AI355+ChB_2*AJ355+ChB_3*AK355),"")</f>
        <v>0.686807319156205</v>
      </c>
      <c r="AN355" s="12" t="n">
        <f aca="false">IF($J355=1,MAX(Cx_1*(Ref_P-E355)/Span_P,Cx_2*(Ref_S-F355)/Span_S,Cx_3*(Ref_B-G355)/Span_B),"")</f>
        <v>2.09439124487004</v>
      </c>
    </row>
    <row r="356" customFormat="false" ht="15" hidden="false" customHeight="false" outlineLevel="0" collapsed="false">
      <c r="A356" s="2" t="n">
        <v>350</v>
      </c>
      <c r="B356" s="15" t="n">
        <f aca="false">INT(A356/151)</f>
        <v>2</v>
      </c>
      <c r="C356" s="15" t="n">
        <f aca="false">MOD(A356,151)</f>
        <v>48</v>
      </c>
      <c r="D356" s="15" t="n">
        <f aca="false">INDEX(Grid!$J$6:$P$156,C356+1,B356+1)</f>
        <v>1</v>
      </c>
      <c r="E356" s="16" t="n">
        <f aca="false">IF(D356=1,INDEX(Grid!$B$6:$H$156,C356+1,B356+1),"")</f>
        <v>340.536972760182</v>
      </c>
      <c r="F356" s="13" t="n">
        <f aca="false">Val_pt*(Ceiling_e-E_zero)*(1-(1-Half_gap)^B356)</f>
        <v>105</v>
      </c>
      <c r="G356" s="15" t="n">
        <f aca="false">C356</f>
        <v>48</v>
      </c>
      <c r="H356" s="15" t="n">
        <f aca="false">IF(D356=1,INDEX(Grid!$R$6:$X$156,C356+1,B356+1),"")</f>
        <v>48</v>
      </c>
      <c r="I356" s="2" t="str">
        <f aca="false">IF(D356=1,INDEX(Sch_label,H356+1),"")</f>
        <v>1, 2</v>
      </c>
      <c r="J356" s="15" t="n">
        <f aca="false">IF(D356=1,INDEX(Grid!$Z$6:$AF$156,C356+1,B356+1),0)</f>
        <v>1</v>
      </c>
      <c r="K356" s="16" t="n">
        <f aca="false">IF(J356=1,E356,0)</f>
        <v>340.536972760182</v>
      </c>
      <c r="L356" s="17" t="n">
        <f aca="false">IF(D356=1,E356+W_board*F356,"")</f>
        <v>933.234599316648</v>
      </c>
      <c r="M356" s="24" t="n">
        <v>1</v>
      </c>
      <c r="N356" s="25" t="n">
        <v>0.725713962391744</v>
      </c>
      <c r="O356" s="25" t="n">
        <v>0.001</v>
      </c>
      <c r="P356" s="25" t="n">
        <v>0.273286037608256</v>
      </c>
      <c r="Z356" s="12" t="n">
        <f aca="false">IF(AND($J356=1,$M356=1),N356*E356/Span_P+O356*F356/Span_S+P356*G356/Span_B,"")</f>
        <v>0.7714692520595</v>
      </c>
      <c r="AA356" s="12" t="n">
        <f aca="false">IF(AND($J356=1,$M356=1),SUMPRODUCT(MAX($J$6:$J$1062*(N356*$K$6:$K$1062/Span_P+O356*$F$6:$F$1062/Span_S+P356*$G$6:$G$1062/Span_B)-(1-$J$6:$J$1062)*1000000000)),"")</f>
        <v>0.771469252059502</v>
      </c>
      <c r="AB356" s="15" t="n">
        <f aca="false">IF(AND($J356=1,$M356=1),IF(AA356-Z356&lt;=0.000000001,1,0),"")</f>
        <v>1</v>
      </c>
      <c r="AC356" s="13" t="str">
        <f aca="false">IF(AND($J356=1,$M356=0),IF(S356="",0,S356*INDEX(Grid!$B$6:$H$156,R356+1,Q356+1))+IF(V356="",0,V356*INDEX(Grid!$B$6:$H$156,U356+1,T356+1))+IF(Y356="",0,Y356*INDEX(Grid!$B$6:$H$156,X356+1,W356+1)),"")</f>
        <v/>
      </c>
      <c r="AD356" s="13" t="str">
        <f aca="false">IF(AND($J356=1,$M356=0),IF(S356="",0,S356*Val_pt*(Ceiling_e-E_zero)*(1-(1-Half_gap)^Q356))+IF(V356="",0,V356*Val_pt*(Ceiling_e-E_zero)*(1-(1-Half_gap)^T356))+IF(Y356="",0,Y356*Val_pt*(Ceiling_e-E_zero)*(1-(1-Half_gap)^W356)),"")</f>
        <v/>
      </c>
      <c r="AE356" s="13" t="str">
        <f aca="false">IF(AND($J356=1,$M356=0),IF(S356="",0,S356*R356)+IF(V356="",0,V356*U356)+IF(Y356="",0,Y356*X356),"")</f>
        <v/>
      </c>
      <c r="AF356" s="12" t="str">
        <f aca="false">IF(AND($J356=1,$M356=0),MIN((AC356-E356)/Span_P,(AD356-F356)/Span_S,(AE356-G356)/Span_B),"")</f>
        <v/>
      </c>
      <c r="AG356" s="15" t="str">
        <f aca="false">IF(AND($J356=1,$M356=0),IF(AF356&gt;0.0000001,1,0),"")</f>
        <v/>
      </c>
      <c r="AH356" s="15" t="n">
        <f aca="false">IF($J356=1,IF($M356=1,AB356,AG356),"")</f>
        <v>1</v>
      </c>
      <c r="AI356" s="13" t="n">
        <f aca="false">IF($J356=1,(Ideal_P-E356)/Span_P,"")</f>
        <v>0.120504133262677</v>
      </c>
      <c r="AJ356" s="13" t="n">
        <f aca="false">IF($J356=1,(Ideal_S-F356)/Span_S,"")</f>
        <v>0.483870967741936</v>
      </c>
      <c r="AK356" s="13" t="n">
        <f aca="false">IF($J356=1,(Ideal_B-G356)/Span_B,"")</f>
        <v>0.68</v>
      </c>
      <c r="AL356" s="12" t="n">
        <f aca="false">IF($J356=1,MAX(ChA_1*AI356,ChA_2*AJ356,ChA_3*AK356)+Rho*(ChA_1*AI356+ChA_2*AJ356+ChA_3*AK356),"")</f>
        <v>0.680128437510101</v>
      </c>
      <c r="AM356" s="12" t="n">
        <f aca="false">IF($J356=1,MAX(ChB_1*AI356,ChB_2*AJ356,ChB_3*AK356)+Rho*(ChB_1*AI356+ChB_2*AJ356+ChB_3*AK356),"")</f>
        <v>0.680140487923427</v>
      </c>
      <c r="AN356" s="12" t="n">
        <f aca="false">IF($J356=1,MAX(Cx_1*(Ref_P-E356)/Span_P,Cx_2*(Ref_S-F356)/Span_S,Cx_3*(Ref_B-G356)/Span_B),"")</f>
        <v>2.09439124487004</v>
      </c>
    </row>
    <row r="357" customFormat="false" ht="15" hidden="false" customHeight="false" outlineLevel="0" collapsed="false">
      <c r="A357" s="2" t="n">
        <v>351</v>
      </c>
      <c r="B357" s="15" t="n">
        <f aca="false">INT(A357/151)</f>
        <v>2</v>
      </c>
      <c r="C357" s="15" t="n">
        <f aca="false">MOD(A357,151)</f>
        <v>49</v>
      </c>
      <c r="D357" s="15" t="n">
        <f aca="false">INDEX(Grid!$J$6:$P$156,C357+1,B357+1)</f>
        <v>1</v>
      </c>
      <c r="E357" s="16" t="n">
        <f aca="false">IF(D357=1,INDEX(Grid!$B$6:$H$156,C357+1,B357+1),"")</f>
        <v>339.627881851091</v>
      </c>
      <c r="F357" s="13" t="n">
        <f aca="false">Val_pt*(Ceiling_e-E_zero)*(1-(1-Half_gap)^B357)</f>
        <v>105</v>
      </c>
      <c r="G357" s="15" t="n">
        <f aca="false">C357</f>
        <v>49</v>
      </c>
      <c r="H357" s="15" t="n">
        <f aca="false">IF(D357=1,INDEX(Grid!$R$6:$X$156,C357+1,B357+1),"")</f>
        <v>48</v>
      </c>
      <c r="I357" s="2" t="str">
        <f aca="false">IF(D357=1,INDEX(Sch_label,H357+1),"")</f>
        <v>1, 2</v>
      </c>
      <c r="J357" s="15" t="n">
        <f aca="false">IF(D357=1,INDEX(Grid!$Z$6:$AF$156,C357+1,B357+1),0)</f>
        <v>1</v>
      </c>
      <c r="K357" s="16" t="n">
        <f aca="false">IF(J357=1,E357,0)</f>
        <v>339.627881851091</v>
      </c>
      <c r="L357" s="17" t="n">
        <f aca="false">IF(D357=1,E357+W_board*F357,"")</f>
        <v>932.325508407557</v>
      </c>
      <c r="M357" s="24" t="n">
        <v>1</v>
      </c>
      <c r="N357" s="25" t="n">
        <v>0.725713962391753</v>
      </c>
      <c r="O357" s="25" t="n">
        <v>0.001</v>
      </c>
      <c r="P357" s="25" t="n">
        <v>0.273286037608248</v>
      </c>
      <c r="Z357" s="12" t="n">
        <f aca="false">IF(AND($J357=1,$M357=1),N357*E357/Span_P+O357*F357/Span_S+P357*G357/Span_B,"")</f>
        <v>0.771469252059505</v>
      </c>
      <c r="AA357" s="12" t="n">
        <f aca="false">IF(AND($J357=1,$M357=1),SUMPRODUCT(MAX($J$6:$J$1062*(N357*$K$6:$K$1062/Span_P+O357*$F$6:$F$1062/Span_S+P357*$G$6:$G$1062/Span_B)-(1-$J$6:$J$1062)*1000000000)),"")</f>
        <v>0.771469252059507</v>
      </c>
      <c r="AB357" s="15" t="n">
        <f aca="false">IF(AND($J357=1,$M357=1),IF(AA357-Z357&lt;=0.000000001,1,0),"")</f>
        <v>1</v>
      </c>
      <c r="AC357" s="13" t="str">
        <f aca="false">IF(AND($J357=1,$M357=0),IF(S357="",0,S357*INDEX(Grid!$B$6:$H$156,R357+1,Q357+1))+IF(V357="",0,V357*INDEX(Grid!$B$6:$H$156,U357+1,T357+1))+IF(Y357="",0,Y357*INDEX(Grid!$B$6:$H$156,X357+1,W357+1)),"")</f>
        <v/>
      </c>
      <c r="AD357" s="13" t="str">
        <f aca="false">IF(AND($J357=1,$M357=0),IF(S357="",0,S357*Val_pt*(Ceiling_e-E_zero)*(1-(1-Half_gap)^Q357))+IF(V357="",0,V357*Val_pt*(Ceiling_e-E_zero)*(1-(1-Half_gap)^T357))+IF(Y357="",0,Y357*Val_pt*(Ceiling_e-E_zero)*(1-(1-Half_gap)^W357)),"")</f>
        <v/>
      </c>
      <c r="AE357" s="13" t="str">
        <f aca="false">IF(AND($J357=1,$M357=0),IF(S357="",0,S357*R357)+IF(V357="",0,V357*U357)+IF(Y357="",0,Y357*X357),"")</f>
        <v/>
      </c>
      <c r="AF357" s="12" t="str">
        <f aca="false">IF(AND($J357=1,$M357=0),MIN((AC357-E357)/Span_P,(AD357-F357)/Span_S,(AE357-G357)/Span_B),"")</f>
        <v/>
      </c>
      <c r="AG357" s="15" t="str">
        <f aca="false">IF(AND($J357=1,$M357=0),IF(AF357&gt;0.0000001,1,0),"")</f>
        <v/>
      </c>
      <c r="AH357" s="15" t="n">
        <f aca="false">IF($J357=1,IF($M357=1,AB357,AG357),"")</f>
        <v>1</v>
      </c>
      <c r="AI357" s="13" t="n">
        <f aca="false">IF($J357=1,(Ideal_P-E357)/Span_P,"")</f>
        <v>0.123014636038983</v>
      </c>
      <c r="AJ357" s="13" t="n">
        <f aca="false">IF($J357=1,(Ideal_S-F357)/Span_S,"")</f>
        <v>0.483870967741936</v>
      </c>
      <c r="AK357" s="13" t="n">
        <f aca="false">IF($J357=1,(Ideal_B-G357)/Span_B,"")</f>
        <v>0.673333333333333</v>
      </c>
      <c r="AL357" s="12" t="n">
        <f aca="false">IF($J357=1,MAX(ChA_1*AI357,ChA_2*AJ357,ChA_3*AK357)+Rho*(ChA_1*AI357+ChA_2*AJ357+ChA_3*AK357),"")</f>
        <v>0.673461355227045</v>
      </c>
      <c r="AM357" s="12" t="n">
        <f aca="false">IF($J357=1,MAX(ChB_1*AI357,ChB_2*AJ357,ChB_3*AK357)+Rho*(ChB_1*AI357+ChB_2*AJ357+ChB_3*AK357),"")</f>
        <v>0.673473656690649</v>
      </c>
      <c r="AN357" s="12" t="n">
        <f aca="false">IF($J357=1,MAX(Cx_1*(Ref_P-E357)/Span_P,Cx_2*(Ref_S-F357)/Span_S,Cx_3*(Ref_B-G357)/Span_B),"")</f>
        <v>2.09439124487004</v>
      </c>
    </row>
    <row r="358" customFormat="false" ht="15" hidden="false" customHeight="false" outlineLevel="0" collapsed="false">
      <c r="A358" s="2" t="n">
        <v>352</v>
      </c>
      <c r="B358" s="15" t="n">
        <f aca="false">INT(A358/151)</f>
        <v>2</v>
      </c>
      <c r="C358" s="15" t="n">
        <f aca="false">MOD(A358,151)</f>
        <v>50</v>
      </c>
      <c r="D358" s="15" t="n">
        <f aca="false">INDEX(Grid!$J$6:$P$156,C358+1,B358+1)</f>
        <v>1</v>
      </c>
      <c r="E358" s="16" t="n">
        <f aca="false">IF(D358=1,INDEX(Grid!$B$6:$H$156,C358+1,B358+1),"")</f>
        <v>338.718790942</v>
      </c>
      <c r="F358" s="13" t="n">
        <f aca="false">Val_pt*(Ceiling_e-E_zero)*(1-(1-Half_gap)^B358)</f>
        <v>105</v>
      </c>
      <c r="G358" s="15" t="n">
        <f aca="false">C358</f>
        <v>50</v>
      </c>
      <c r="H358" s="15" t="n">
        <f aca="false">IF(D358=1,INDEX(Grid!$R$6:$X$156,C358+1,B358+1),"")</f>
        <v>48</v>
      </c>
      <c r="I358" s="2" t="str">
        <f aca="false">IF(D358=1,INDEX(Sch_label,H358+1),"")</f>
        <v>1, 2</v>
      </c>
      <c r="J358" s="15" t="n">
        <f aca="false">IF(D358=1,INDEX(Grid!$Z$6:$AF$156,C358+1,B358+1),0)</f>
        <v>1</v>
      </c>
      <c r="K358" s="16" t="n">
        <f aca="false">IF(J358=1,E358,0)</f>
        <v>338.718790942</v>
      </c>
      <c r="L358" s="17" t="n">
        <f aca="false">IF(D358=1,E358+W_board*F358,"")</f>
        <v>931.416417498466</v>
      </c>
      <c r="M358" s="24" t="n">
        <v>1</v>
      </c>
      <c r="N358" s="25" t="n">
        <v>0.725713962391745</v>
      </c>
      <c r="O358" s="25" t="n">
        <v>0.001</v>
      </c>
      <c r="P358" s="25" t="n">
        <v>0.273286037608255</v>
      </c>
      <c r="Z358" s="12" t="n">
        <f aca="false">IF(AND($J358=1,$M358=1),N358*E358/Span_P+O358*F358/Span_S+P358*G358/Span_B,"")</f>
        <v>0.771469252059501</v>
      </c>
      <c r="AA358" s="12" t="n">
        <f aca="false">IF(AND($J358=1,$M358=1),SUMPRODUCT(MAX($J$6:$J$1062*(N358*$K$6:$K$1062/Span_P+O358*$F$6:$F$1062/Span_S+P358*$G$6:$G$1062/Span_B)-(1-$J$6:$J$1062)*1000000000)),"")</f>
        <v>0.771469252059502</v>
      </c>
      <c r="AB358" s="15" t="n">
        <f aca="false">IF(AND($J358=1,$M358=1),IF(AA358-Z358&lt;=0.000000001,1,0),"")</f>
        <v>1</v>
      </c>
      <c r="AC358" s="13" t="str">
        <f aca="false">IF(AND($J358=1,$M358=0),IF(S358="",0,S358*INDEX(Grid!$B$6:$H$156,R358+1,Q358+1))+IF(V358="",0,V358*INDEX(Grid!$B$6:$H$156,U358+1,T358+1))+IF(Y358="",0,Y358*INDEX(Grid!$B$6:$H$156,X358+1,W358+1)),"")</f>
        <v/>
      </c>
      <c r="AD358" s="13" t="str">
        <f aca="false">IF(AND($J358=1,$M358=0),IF(S358="",0,S358*Val_pt*(Ceiling_e-E_zero)*(1-(1-Half_gap)^Q358))+IF(V358="",0,V358*Val_pt*(Ceiling_e-E_zero)*(1-(1-Half_gap)^T358))+IF(Y358="",0,Y358*Val_pt*(Ceiling_e-E_zero)*(1-(1-Half_gap)^W358)),"")</f>
        <v/>
      </c>
      <c r="AE358" s="13" t="str">
        <f aca="false">IF(AND($J358=1,$M358=0),IF(S358="",0,S358*R358)+IF(V358="",0,V358*U358)+IF(Y358="",0,Y358*X358),"")</f>
        <v/>
      </c>
      <c r="AF358" s="12" t="str">
        <f aca="false">IF(AND($J358=1,$M358=0),MIN((AC358-E358)/Span_P,(AD358-F358)/Span_S,(AE358-G358)/Span_B),"")</f>
        <v/>
      </c>
      <c r="AG358" s="15" t="str">
        <f aca="false">IF(AND($J358=1,$M358=0),IF(AF358&gt;0.0000001,1,0),"")</f>
        <v/>
      </c>
      <c r="AH358" s="15" t="n">
        <f aca="false">IF($J358=1,IF($M358=1,AB358,AG358),"")</f>
        <v>1</v>
      </c>
      <c r="AI358" s="13" t="n">
        <f aca="false">IF($J358=1,(Ideal_P-E358)/Span_P,"")</f>
        <v>0.125525138815289</v>
      </c>
      <c r="AJ358" s="13" t="n">
        <f aca="false">IF($J358=1,(Ideal_S-F358)/Span_S,"")</f>
        <v>0.483870967741936</v>
      </c>
      <c r="AK358" s="13" t="n">
        <f aca="false">IF($J358=1,(Ideal_B-G358)/Span_B,"")</f>
        <v>0.666666666666667</v>
      </c>
      <c r="AL358" s="12" t="n">
        <f aca="false">IF($J358=1,MAX(ChA_1*AI358,ChA_2*AJ358,ChA_3*AK358)+Rho*(ChA_1*AI358+ChA_2*AJ358+ChA_3*AK358),"")</f>
        <v>0.666794272943989</v>
      </c>
      <c r="AM358" s="12" t="n">
        <f aca="false">IF($J358=1,MAX(ChB_1*AI358,ChB_2*AJ358,ChB_3*AK358)+Rho*(ChB_1*AI358+ChB_2*AJ358+ChB_3*AK358),"")</f>
        <v>0.666806825457871</v>
      </c>
      <c r="AN358" s="12" t="n">
        <f aca="false">IF($J358=1,MAX(Cx_1*(Ref_P-E358)/Span_P,Cx_2*(Ref_S-F358)/Span_S,Cx_3*(Ref_B-G358)/Span_B),"")</f>
        <v>2.09439124487004</v>
      </c>
    </row>
    <row r="359" customFormat="false" ht="15" hidden="false" customHeight="false" outlineLevel="0" collapsed="false">
      <c r="A359" s="2" t="n">
        <v>353</v>
      </c>
      <c r="B359" s="15" t="n">
        <f aca="false">INT(A359/151)</f>
        <v>2</v>
      </c>
      <c r="C359" s="15" t="n">
        <f aca="false">MOD(A359,151)</f>
        <v>51</v>
      </c>
      <c r="D359" s="15" t="n">
        <f aca="false">INDEX(Grid!$J$6:$P$156,C359+1,B359+1)</f>
        <v>1</v>
      </c>
      <c r="E359" s="16" t="n">
        <f aca="false">IF(D359=1,INDEX(Grid!$B$6:$H$156,C359+1,B359+1),"")</f>
        <v>337.809700032909</v>
      </c>
      <c r="F359" s="13" t="n">
        <f aca="false">Val_pt*(Ceiling_e-E_zero)*(1-(1-Half_gap)^B359)</f>
        <v>105</v>
      </c>
      <c r="G359" s="15" t="n">
        <f aca="false">C359</f>
        <v>51</v>
      </c>
      <c r="H359" s="15" t="n">
        <f aca="false">IF(D359=1,INDEX(Grid!$R$6:$X$156,C359+1,B359+1),"")</f>
        <v>48</v>
      </c>
      <c r="I359" s="2" t="str">
        <f aca="false">IF(D359=1,INDEX(Sch_label,H359+1),"")</f>
        <v>1, 2</v>
      </c>
      <c r="J359" s="15" t="n">
        <f aca="false">IF(D359=1,INDEX(Grid!$Z$6:$AF$156,C359+1,B359+1),0)</f>
        <v>1</v>
      </c>
      <c r="K359" s="16" t="n">
        <f aca="false">IF(J359=1,E359,0)</f>
        <v>337.809700032909</v>
      </c>
      <c r="L359" s="17" t="n">
        <f aca="false">IF(D359=1,E359+W_board*F359,"")</f>
        <v>930.507326589375</v>
      </c>
      <c r="M359" s="24" t="n">
        <v>1</v>
      </c>
      <c r="N359" s="25" t="n">
        <v>0.725713962391753</v>
      </c>
      <c r="O359" s="25" t="n">
        <v>0.001</v>
      </c>
      <c r="P359" s="25" t="n">
        <v>0.273286037608248</v>
      </c>
      <c r="Z359" s="12" t="n">
        <f aca="false">IF(AND($J359=1,$M359=1),N359*E359/Span_P+O359*F359/Span_S+P359*G359/Span_B,"")</f>
        <v>0.771469252059505</v>
      </c>
      <c r="AA359" s="12" t="n">
        <f aca="false">IF(AND($J359=1,$M359=1),SUMPRODUCT(MAX($J$6:$J$1062*(N359*$K$6:$K$1062/Span_P+O359*$F$6:$F$1062/Span_S+P359*$G$6:$G$1062/Span_B)-(1-$J$6:$J$1062)*1000000000)),"")</f>
        <v>0.771469252059507</v>
      </c>
      <c r="AB359" s="15" t="n">
        <f aca="false">IF(AND($J359=1,$M359=1),IF(AA359-Z359&lt;=0.000000001,1,0),"")</f>
        <v>1</v>
      </c>
      <c r="AC359" s="13" t="str">
        <f aca="false">IF(AND($J359=1,$M359=0),IF(S359="",0,S359*INDEX(Grid!$B$6:$H$156,R359+1,Q359+1))+IF(V359="",0,V359*INDEX(Grid!$B$6:$H$156,U359+1,T359+1))+IF(Y359="",0,Y359*INDEX(Grid!$B$6:$H$156,X359+1,W359+1)),"")</f>
        <v/>
      </c>
      <c r="AD359" s="13" t="str">
        <f aca="false">IF(AND($J359=1,$M359=0),IF(S359="",0,S359*Val_pt*(Ceiling_e-E_zero)*(1-(1-Half_gap)^Q359))+IF(V359="",0,V359*Val_pt*(Ceiling_e-E_zero)*(1-(1-Half_gap)^T359))+IF(Y359="",0,Y359*Val_pt*(Ceiling_e-E_zero)*(1-(1-Half_gap)^W359)),"")</f>
        <v/>
      </c>
      <c r="AE359" s="13" t="str">
        <f aca="false">IF(AND($J359=1,$M359=0),IF(S359="",0,S359*R359)+IF(V359="",0,V359*U359)+IF(Y359="",0,Y359*X359),"")</f>
        <v/>
      </c>
      <c r="AF359" s="12" t="str">
        <f aca="false">IF(AND($J359=1,$M359=0),MIN((AC359-E359)/Span_P,(AD359-F359)/Span_S,(AE359-G359)/Span_B),"")</f>
        <v/>
      </c>
      <c r="AG359" s="15" t="str">
        <f aca="false">IF(AND($J359=1,$M359=0),IF(AF359&gt;0.0000001,1,0),"")</f>
        <v/>
      </c>
      <c r="AH359" s="15" t="n">
        <f aca="false">IF($J359=1,IF($M359=1,AB359,AG359),"")</f>
        <v>1</v>
      </c>
      <c r="AI359" s="13" t="n">
        <f aca="false">IF($J359=1,(Ideal_P-E359)/Span_P,"")</f>
        <v>0.128035641591594</v>
      </c>
      <c r="AJ359" s="13" t="n">
        <f aca="false">IF($J359=1,(Ideal_S-F359)/Span_S,"")</f>
        <v>0.483870967741936</v>
      </c>
      <c r="AK359" s="13" t="n">
        <f aca="false">IF($J359=1,(Ideal_B-G359)/Span_B,"")</f>
        <v>0.66</v>
      </c>
      <c r="AL359" s="12" t="n">
        <f aca="false">IF($J359=1,MAX(ChA_1*AI359,ChA_2*AJ359,ChA_3*AK359)+Rho*(ChA_1*AI359+ChA_2*AJ359+ChA_3*AK359),"")</f>
        <v>0.660127190660933</v>
      </c>
      <c r="AM359" s="12" t="n">
        <f aca="false">IF($J359=1,MAX(ChB_1*AI359,ChB_2*AJ359,ChB_3*AK359)+Rho*(ChB_1*AI359+ChB_2*AJ359+ChB_3*AK359),"")</f>
        <v>0.660139994225093</v>
      </c>
      <c r="AN359" s="12" t="n">
        <f aca="false">IF($J359=1,MAX(Cx_1*(Ref_P-E359)/Span_P,Cx_2*(Ref_S-F359)/Span_S,Cx_3*(Ref_B-G359)/Span_B),"")</f>
        <v>2.09439124487004</v>
      </c>
    </row>
    <row r="360" customFormat="false" ht="15" hidden="false" customHeight="false" outlineLevel="0" collapsed="false">
      <c r="A360" s="2" t="n">
        <v>354</v>
      </c>
      <c r="B360" s="15" t="n">
        <f aca="false">INT(A360/151)</f>
        <v>2</v>
      </c>
      <c r="C360" s="15" t="n">
        <f aca="false">MOD(A360,151)</f>
        <v>52</v>
      </c>
      <c r="D360" s="15" t="n">
        <f aca="false">INDEX(Grid!$J$6:$P$156,C360+1,B360+1)</f>
        <v>1</v>
      </c>
      <c r="E360" s="16" t="n">
        <f aca="false">IF(D360=1,INDEX(Grid!$B$6:$H$156,C360+1,B360+1),"")</f>
        <v>336.900609123818</v>
      </c>
      <c r="F360" s="13" t="n">
        <f aca="false">Val_pt*(Ceiling_e-E_zero)*(1-(1-Half_gap)^B360)</f>
        <v>105</v>
      </c>
      <c r="G360" s="15" t="n">
        <f aca="false">C360</f>
        <v>52</v>
      </c>
      <c r="H360" s="15" t="n">
        <f aca="false">IF(D360=1,INDEX(Grid!$R$6:$X$156,C360+1,B360+1),"")</f>
        <v>48</v>
      </c>
      <c r="I360" s="2" t="str">
        <f aca="false">IF(D360=1,INDEX(Sch_label,H360+1),"")</f>
        <v>1, 2</v>
      </c>
      <c r="J360" s="15" t="n">
        <f aca="false">IF(D360=1,INDEX(Grid!$Z$6:$AF$156,C360+1,B360+1),0)</f>
        <v>1</v>
      </c>
      <c r="K360" s="16" t="n">
        <f aca="false">IF(J360=1,E360,0)</f>
        <v>336.900609123818</v>
      </c>
      <c r="L360" s="17" t="n">
        <f aca="false">IF(D360=1,E360+W_board*F360,"")</f>
        <v>929.598235680284</v>
      </c>
      <c r="M360" s="24" t="n">
        <v>1</v>
      </c>
      <c r="N360" s="25" t="n">
        <v>0.725713962391744</v>
      </c>
      <c r="O360" s="25" t="n">
        <v>0.001</v>
      </c>
      <c r="P360" s="25" t="n">
        <v>0.273286037608256</v>
      </c>
      <c r="Z360" s="12" t="n">
        <f aca="false">IF(AND($J360=1,$M360=1),N360*E360/Span_P+O360*F360/Span_S+P360*G360/Span_B,"")</f>
        <v>0.7714692520595</v>
      </c>
      <c r="AA360" s="12" t="n">
        <f aca="false">IF(AND($J360=1,$M360=1),SUMPRODUCT(MAX($J$6:$J$1062*(N360*$K$6:$K$1062/Span_P+O360*$F$6:$F$1062/Span_S+P360*$G$6:$G$1062/Span_B)-(1-$J$6:$J$1062)*1000000000)),"")</f>
        <v>0.771469252059502</v>
      </c>
      <c r="AB360" s="15" t="n">
        <f aca="false">IF(AND($J360=1,$M360=1),IF(AA360-Z360&lt;=0.000000001,1,0),"")</f>
        <v>1</v>
      </c>
      <c r="AC360" s="13" t="str">
        <f aca="false">IF(AND($J360=1,$M360=0),IF(S360="",0,S360*INDEX(Grid!$B$6:$H$156,R360+1,Q360+1))+IF(V360="",0,V360*INDEX(Grid!$B$6:$H$156,U360+1,T360+1))+IF(Y360="",0,Y360*INDEX(Grid!$B$6:$H$156,X360+1,W360+1)),"")</f>
        <v/>
      </c>
      <c r="AD360" s="13" t="str">
        <f aca="false">IF(AND($J360=1,$M360=0),IF(S360="",0,S360*Val_pt*(Ceiling_e-E_zero)*(1-(1-Half_gap)^Q360))+IF(V360="",0,V360*Val_pt*(Ceiling_e-E_zero)*(1-(1-Half_gap)^T360))+IF(Y360="",0,Y360*Val_pt*(Ceiling_e-E_zero)*(1-(1-Half_gap)^W360)),"")</f>
        <v/>
      </c>
      <c r="AE360" s="13" t="str">
        <f aca="false">IF(AND($J360=1,$M360=0),IF(S360="",0,S360*R360)+IF(V360="",0,V360*U360)+IF(Y360="",0,Y360*X360),"")</f>
        <v/>
      </c>
      <c r="AF360" s="12" t="str">
        <f aca="false">IF(AND($J360=1,$M360=0),MIN((AC360-E360)/Span_P,(AD360-F360)/Span_S,(AE360-G360)/Span_B),"")</f>
        <v/>
      </c>
      <c r="AG360" s="15" t="str">
        <f aca="false">IF(AND($J360=1,$M360=0),IF(AF360&gt;0.0000001,1,0),"")</f>
        <v/>
      </c>
      <c r="AH360" s="15" t="n">
        <f aca="false">IF($J360=1,IF($M360=1,AB360,AG360),"")</f>
        <v>1</v>
      </c>
      <c r="AI360" s="13" t="n">
        <f aca="false">IF($J360=1,(Ideal_P-E360)/Span_P,"")</f>
        <v>0.1305461443679</v>
      </c>
      <c r="AJ360" s="13" t="n">
        <f aca="false">IF($J360=1,(Ideal_S-F360)/Span_S,"")</f>
        <v>0.483870967741936</v>
      </c>
      <c r="AK360" s="13" t="n">
        <f aca="false">IF($J360=1,(Ideal_B-G360)/Span_B,"")</f>
        <v>0.653333333333333</v>
      </c>
      <c r="AL360" s="12" t="n">
        <f aca="false">IF($J360=1,MAX(ChA_1*AI360,ChA_2*AJ360,ChA_3*AK360)+Rho*(ChA_1*AI360+ChA_2*AJ360+ChA_3*AK360),"")</f>
        <v>0.653460108377878</v>
      </c>
      <c r="AM360" s="12" t="n">
        <f aca="false">IF($J360=1,MAX(ChB_1*AI360,ChB_2*AJ360,ChB_3*AK360)+Rho*(ChB_1*AI360+ChB_2*AJ360+ChB_3*AK360),"")</f>
        <v>0.653473162992314</v>
      </c>
      <c r="AN360" s="12" t="n">
        <f aca="false">IF($J360=1,MAX(Cx_1*(Ref_P-E360)/Span_P,Cx_2*(Ref_S-F360)/Span_S,Cx_3*(Ref_B-G360)/Span_B),"")</f>
        <v>2.09439124487004</v>
      </c>
    </row>
    <row r="361" customFormat="false" ht="15" hidden="false" customHeight="false" outlineLevel="0" collapsed="false">
      <c r="A361" s="2" t="n">
        <v>355</v>
      </c>
      <c r="B361" s="15" t="n">
        <f aca="false">INT(A361/151)</f>
        <v>2</v>
      </c>
      <c r="C361" s="15" t="n">
        <f aca="false">MOD(A361,151)</f>
        <v>53</v>
      </c>
      <c r="D361" s="15" t="n">
        <f aca="false">INDEX(Grid!$J$6:$P$156,C361+1,B361+1)</f>
        <v>1</v>
      </c>
      <c r="E361" s="16" t="n">
        <f aca="false">IF(D361=1,INDEX(Grid!$B$6:$H$156,C361+1,B361+1),"")</f>
        <v>335.991518214727</v>
      </c>
      <c r="F361" s="13" t="n">
        <f aca="false">Val_pt*(Ceiling_e-E_zero)*(1-(1-Half_gap)^B361)</f>
        <v>105</v>
      </c>
      <c r="G361" s="15" t="n">
        <f aca="false">C361</f>
        <v>53</v>
      </c>
      <c r="H361" s="15" t="n">
        <f aca="false">IF(D361=1,INDEX(Grid!$R$6:$X$156,C361+1,B361+1),"")</f>
        <v>48</v>
      </c>
      <c r="I361" s="2" t="str">
        <f aca="false">IF(D361=1,INDEX(Sch_label,H361+1),"")</f>
        <v>1, 2</v>
      </c>
      <c r="J361" s="15" t="n">
        <f aca="false">IF(D361=1,INDEX(Grid!$Z$6:$AF$156,C361+1,B361+1),0)</f>
        <v>1</v>
      </c>
      <c r="K361" s="16" t="n">
        <f aca="false">IF(J361=1,E361,0)</f>
        <v>335.991518214727</v>
      </c>
      <c r="L361" s="17" t="n">
        <f aca="false">IF(D361=1,E361+W_board*F361,"")</f>
        <v>928.689144771193</v>
      </c>
      <c r="M361" s="24" t="n">
        <v>1</v>
      </c>
      <c r="N361" s="25" t="n">
        <v>0.725713962391753</v>
      </c>
      <c r="O361" s="25" t="n">
        <v>0.001</v>
      </c>
      <c r="P361" s="25" t="n">
        <v>0.273286037608248</v>
      </c>
      <c r="Z361" s="12" t="n">
        <f aca="false">IF(AND($J361=1,$M361=1),N361*E361/Span_P+O361*F361/Span_S+P361*G361/Span_B,"")</f>
        <v>0.771469252059505</v>
      </c>
      <c r="AA361" s="12" t="n">
        <f aca="false">IF(AND($J361=1,$M361=1),SUMPRODUCT(MAX($J$6:$J$1062*(N361*$K$6:$K$1062/Span_P+O361*$F$6:$F$1062/Span_S+P361*$G$6:$G$1062/Span_B)-(1-$J$6:$J$1062)*1000000000)),"")</f>
        <v>0.771469252059507</v>
      </c>
      <c r="AB361" s="15" t="n">
        <f aca="false">IF(AND($J361=1,$M361=1),IF(AA361-Z361&lt;=0.000000001,1,0),"")</f>
        <v>1</v>
      </c>
      <c r="AC361" s="13" t="str">
        <f aca="false">IF(AND($J361=1,$M361=0),IF(S361="",0,S361*INDEX(Grid!$B$6:$H$156,R361+1,Q361+1))+IF(V361="",0,V361*INDEX(Grid!$B$6:$H$156,U361+1,T361+1))+IF(Y361="",0,Y361*INDEX(Grid!$B$6:$H$156,X361+1,W361+1)),"")</f>
        <v/>
      </c>
      <c r="AD361" s="13" t="str">
        <f aca="false">IF(AND($J361=1,$M361=0),IF(S361="",0,S361*Val_pt*(Ceiling_e-E_zero)*(1-(1-Half_gap)^Q361))+IF(V361="",0,V361*Val_pt*(Ceiling_e-E_zero)*(1-(1-Half_gap)^T361))+IF(Y361="",0,Y361*Val_pt*(Ceiling_e-E_zero)*(1-(1-Half_gap)^W361)),"")</f>
        <v/>
      </c>
      <c r="AE361" s="13" t="str">
        <f aca="false">IF(AND($J361=1,$M361=0),IF(S361="",0,S361*R361)+IF(V361="",0,V361*U361)+IF(Y361="",0,Y361*X361),"")</f>
        <v/>
      </c>
      <c r="AF361" s="12" t="str">
        <f aca="false">IF(AND($J361=1,$M361=0),MIN((AC361-E361)/Span_P,(AD361-F361)/Span_S,(AE361-G361)/Span_B),"")</f>
        <v/>
      </c>
      <c r="AG361" s="15" t="str">
        <f aca="false">IF(AND($J361=1,$M361=0),IF(AF361&gt;0.0000001,1,0),"")</f>
        <v/>
      </c>
      <c r="AH361" s="15" t="n">
        <f aca="false">IF($J361=1,IF($M361=1,AB361,AG361),"")</f>
        <v>1</v>
      </c>
      <c r="AI361" s="13" t="n">
        <f aca="false">IF($J361=1,(Ideal_P-E361)/Span_P,"")</f>
        <v>0.133056647144206</v>
      </c>
      <c r="AJ361" s="13" t="n">
        <f aca="false">IF($J361=1,(Ideal_S-F361)/Span_S,"")</f>
        <v>0.483870967741936</v>
      </c>
      <c r="AK361" s="13" t="n">
        <f aca="false">IF($J361=1,(Ideal_B-G361)/Span_B,"")</f>
        <v>0.646666666666667</v>
      </c>
      <c r="AL361" s="12" t="n">
        <f aca="false">IF($J361=1,MAX(ChA_1*AI361,ChA_2*AJ361,ChA_3*AK361)+Rho*(ChA_1*AI361+ChA_2*AJ361+ChA_3*AK361),"")</f>
        <v>0.646793026094822</v>
      </c>
      <c r="AM361" s="12" t="n">
        <f aca="false">IF($J361=1,MAX(ChB_1*AI361,ChB_2*AJ361,ChB_3*AK361)+Rho*(ChB_1*AI361+ChB_2*AJ361+ChB_3*AK361),"")</f>
        <v>0.646806331759536</v>
      </c>
      <c r="AN361" s="12" t="n">
        <f aca="false">IF($J361=1,MAX(Cx_1*(Ref_P-E361)/Span_P,Cx_2*(Ref_S-F361)/Span_S,Cx_3*(Ref_B-G361)/Span_B),"")</f>
        <v>2.09439124487004</v>
      </c>
    </row>
    <row r="362" customFormat="false" ht="15" hidden="false" customHeight="false" outlineLevel="0" collapsed="false">
      <c r="A362" s="2" t="n">
        <v>356</v>
      </c>
      <c r="B362" s="15" t="n">
        <f aca="false">INT(A362/151)</f>
        <v>2</v>
      </c>
      <c r="C362" s="15" t="n">
        <f aca="false">MOD(A362,151)</f>
        <v>54</v>
      </c>
      <c r="D362" s="15" t="n">
        <f aca="false">INDEX(Grid!$J$6:$P$156,C362+1,B362+1)</f>
        <v>1</v>
      </c>
      <c r="E362" s="16" t="n">
        <f aca="false">IF(D362=1,INDEX(Grid!$B$6:$H$156,C362+1,B362+1),"")</f>
        <v>335.082427305636</v>
      </c>
      <c r="F362" s="13" t="n">
        <f aca="false">Val_pt*(Ceiling_e-E_zero)*(1-(1-Half_gap)^B362)</f>
        <v>105</v>
      </c>
      <c r="G362" s="15" t="n">
        <f aca="false">C362</f>
        <v>54</v>
      </c>
      <c r="H362" s="15" t="n">
        <f aca="false">IF(D362=1,INDEX(Grid!$R$6:$X$156,C362+1,B362+1),"")</f>
        <v>48</v>
      </c>
      <c r="I362" s="2" t="str">
        <f aca="false">IF(D362=1,INDEX(Sch_label,H362+1),"")</f>
        <v>1, 2</v>
      </c>
      <c r="J362" s="15" t="n">
        <f aca="false">IF(D362=1,INDEX(Grid!$Z$6:$AF$156,C362+1,B362+1),0)</f>
        <v>1</v>
      </c>
      <c r="K362" s="16" t="n">
        <f aca="false">IF(J362=1,E362,0)</f>
        <v>335.082427305636</v>
      </c>
      <c r="L362" s="17" t="n">
        <f aca="false">IF(D362=1,E362+W_board*F362,"")</f>
        <v>927.780053862102</v>
      </c>
      <c r="M362" s="24" t="n">
        <v>1</v>
      </c>
      <c r="N362" s="25" t="n">
        <v>0.725713962391744</v>
      </c>
      <c r="O362" s="25" t="n">
        <v>0.001</v>
      </c>
      <c r="P362" s="25" t="n">
        <v>0.273286037608256</v>
      </c>
      <c r="Z362" s="12" t="n">
        <f aca="false">IF(AND($J362=1,$M362=1),N362*E362/Span_P+O362*F362/Span_S+P362*G362/Span_B,"")</f>
        <v>0.7714692520595</v>
      </c>
      <c r="AA362" s="12" t="n">
        <f aca="false">IF(AND($J362=1,$M362=1),SUMPRODUCT(MAX($J$6:$J$1062*(N362*$K$6:$K$1062/Span_P+O362*$F$6:$F$1062/Span_S+P362*$G$6:$G$1062/Span_B)-(1-$J$6:$J$1062)*1000000000)),"")</f>
        <v>0.771469252059502</v>
      </c>
      <c r="AB362" s="15" t="n">
        <f aca="false">IF(AND($J362=1,$M362=1),IF(AA362-Z362&lt;=0.000000001,1,0),"")</f>
        <v>1</v>
      </c>
      <c r="AC362" s="13" t="str">
        <f aca="false">IF(AND($J362=1,$M362=0),IF(S362="",0,S362*INDEX(Grid!$B$6:$H$156,R362+1,Q362+1))+IF(V362="",0,V362*INDEX(Grid!$B$6:$H$156,U362+1,T362+1))+IF(Y362="",0,Y362*INDEX(Grid!$B$6:$H$156,X362+1,W362+1)),"")</f>
        <v/>
      </c>
      <c r="AD362" s="13" t="str">
        <f aca="false">IF(AND($J362=1,$M362=0),IF(S362="",0,S362*Val_pt*(Ceiling_e-E_zero)*(1-(1-Half_gap)^Q362))+IF(V362="",0,V362*Val_pt*(Ceiling_e-E_zero)*(1-(1-Half_gap)^T362))+IF(Y362="",0,Y362*Val_pt*(Ceiling_e-E_zero)*(1-(1-Half_gap)^W362)),"")</f>
        <v/>
      </c>
      <c r="AE362" s="13" t="str">
        <f aca="false">IF(AND($J362=1,$M362=0),IF(S362="",0,S362*R362)+IF(V362="",0,V362*U362)+IF(Y362="",0,Y362*X362),"")</f>
        <v/>
      </c>
      <c r="AF362" s="12" t="str">
        <f aca="false">IF(AND($J362=1,$M362=0),MIN((AC362-E362)/Span_P,(AD362-F362)/Span_S,(AE362-G362)/Span_B),"")</f>
        <v/>
      </c>
      <c r="AG362" s="15" t="str">
        <f aca="false">IF(AND($J362=1,$M362=0),IF(AF362&gt;0.0000001,1,0),"")</f>
        <v/>
      </c>
      <c r="AH362" s="15" t="n">
        <f aca="false">IF($J362=1,IF($M362=1,AB362,AG362),"")</f>
        <v>1</v>
      </c>
      <c r="AI362" s="13" t="n">
        <f aca="false">IF($J362=1,(Ideal_P-E362)/Span_P,"")</f>
        <v>0.135567149920512</v>
      </c>
      <c r="AJ362" s="13" t="n">
        <f aca="false">IF($J362=1,(Ideal_S-F362)/Span_S,"")</f>
        <v>0.483870967741936</v>
      </c>
      <c r="AK362" s="13" t="n">
        <f aca="false">IF($J362=1,(Ideal_B-G362)/Span_B,"")</f>
        <v>0.64</v>
      </c>
      <c r="AL362" s="12" t="n">
        <f aca="false">IF($J362=1,MAX(ChA_1*AI362,ChA_2*AJ362,ChA_3*AK362)+Rho*(ChA_1*AI362+ChA_2*AJ362+ChA_3*AK362),"")</f>
        <v>0.640125943811766</v>
      </c>
      <c r="AM362" s="12" t="n">
        <f aca="false">IF($J362=1,MAX(ChB_1*AI362,ChB_2*AJ362,ChB_3*AK362)+Rho*(ChB_1*AI362+ChB_2*AJ362+ChB_3*AK362),"")</f>
        <v>0.640139500526758</v>
      </c>
      <c r="AN362" s="12" t="n">
        <f aca="false">IF($J362=1,MAX(Cx_1*(Ref_P-E362)/Span_P,Cx_2*(Ref_S-F362)/Span_S,Cx_3*(Ref_B-G362)/Span_B),"")</f>
        <v>2.09439124487004</v>
      </c>
    </row>
    <row r="363" customFormat="false" ht="15" hidden="false" customHeight="false" outlineLevel="0" collapsed="false">
      <c r="A363" s="2" t="n">
        <v>357</v>
      </c>
      <c r="B363" s="15" t="n">
        <f aca="false">INT(A363/151)</f>
        <v>2</v>
      </c>
      <c r="C363" s="15" t="n">
        <f aca="false">MOD(A363,151)</f>
        <v>55</v>
      </c>
      <c r="D363" s="15" t="n">
        <f aca="false">INDEX(Grid!$J$6:$P$156,C363+1,B363+1)</f>
        <v>1</v>
      </c>
      <c r="E363" s="16" t="n">
        <f aca="false">IF(D363=1,INDEX(Grid!$B$6:$H$156,C363+1,B363+1),"")</f>
        <v>334.173336396545</v>
      </c>
      <c r="F363" s="13" t="n">
        <f aca="false">Val_pt*(Ceiling_e-E_zero)*(1-(1-Half_gap)^B363)</f>
        <v>105</v>
      </c>
      <c r="G363" s="15" t="n">
        <f aca="false">C363</f>
        <v>55</v>
      </c>
      <c r="H363" s="15" t="n">
        <f aca="false">IF(D363=1,INDEX(Grid!$R$6:$X$156,C363+1,B363+1),"")</f>
        <v>48</v>
      </c>
      <c r="I363" s="2" t="str">
        <f aca="false">IF(D363=1,INDEX(Sch_label,H363+1),"")</f>
        <v>1, 2</v>
      </c>
      <c r="J363" s="15" t="n">
        <f aca="false">IF(D363=1,INDEX(Grid!$Z$6:$AF$156,C363+1,B363+1),0)</f>
        <v>1</v>
      </c>
      <c r="K363" s="16" t="n">
        <f aca="false">IF(J363=1,E363,0)</f>
        <v>334.173336396545</v>
      </c>
      <c r="L363" s="17" t="n">
        <f aca="false">IF(D363=1,E363+W_board*F363,"")</f>
        <v>926.870962953011</v>
      </c>
      <c r="M363" s="24" t="n">
        <v>1</v>
      </c>
      <c r="N363" s="25" t="n">
        <v>0.725713962391745</v>
      </c>
      <c r="O363" s="25" t="n">
        <v>0.001</v>
      </c>
      <c r="P363" s="25" t="n">
        <v>0.273286037608255</v>
      </c>
      <c r="Z363" s="12" t="n">
        <f aca="false">IF(AND($J363=1,$M363=1),N363*E363/Span_P+O363*F363/Span_S+P363*G363/Span_B,"")</f>
        <v>0.771469252059501</v>
      </c>
      <c r="AA363" s="12" t="n">
        <f aca="false">IF(AND($J363=1,$M363=1),SUMPRODUCT(MAX($J$6:$J$1062*(N363*$K$6:$K$1062/Span_P+O363*$F$6:$F$1062/Span_S+P363*$G$6:$G$1062/Span_B)-(1-$J$6:$J$1062)*1000000000)),"")</f>
        <v>0.771469252059502</v>
      </c>
      <c r="AB363" s="15" t="n">
        <f aca="false">IF(AND($J363=1,$M363=1),IF(AA363-Z363&lt;=0.000000001,1,0),"")</f>
        <v>1</v>
      </c>
      <c r="AC363" s="13" t="str">
        <f aca="false">IF(AND($J363=1,$M363=0),IF(S363="",0,S363*INDEX(Grid!$B$6:$H$156,R363+1,Q363+1))+IF(V363="",0,V363*INDEX(Grid!$B$6:$H$156,U363+1,T363+1))+IF(Y363="",0,Y363*INDEX(Grid!$B$6:$H$156,X363+1,W363+1)),"")</f>
        <v/>
      </c>
      <c r="AD363" s="13" t="str">
        <f aca="false">IF(AND($J363=1,$M363=0),IF(S363="",0,S363*Val_pt*(Ceiling_e-E_zero)*(1-(1-Half_gap)^Q363))+IF(V363="",0,V363*Val_pt*(Ceiling_e-E_zero)*(1-(1-Half_gap)^T363))+IF(Y363="",0,Y363*Val_pt*(Ceiling_e-E_zero)*(1-(1-Half_gap)^W363)),"")</f>
        <v/>
      </c>
      <c r="AE363" s="13" t="str">
        <f aca="false">IF(AND($J363=1,$M363=0),IF(S363="",0,S363*R363)+IF(V363="",0,V363*U363)+IF(Y363="",0,Y363*X363),"")</f>
        <v/>
      </c>
      <c r="AF363" s="12" t="str">
        <f aca="false">IF(AND($J363=1,$M363=0),MIN((AC363-E363)/Span_P,(AD363-F363)/Span_S,(AE363-G363)/Span_B),"")</f>
        <v/>
      </c>
      <c r="AG363" s="15" t="str">
        <f aca="false">IF(AND($J363=1,$M363=0),IF(AF363&gt;0.0000001,1,0),"")</f>
        <v/>
      </c>
      <c r="AH363" s="15" t="n">
        <f aca="false">IF($J363=1,IF($M363=1,AB363,AG363),"")</f>
        <v>1</v>
      </c>
      <c r="AI363" s="13" t="n">
        <f aca="false">IF($J363=1,(Ideal_P-E363)/Span_P,"")</f>
        <v>0.138077652696817</v>
      </c>
      <c r="AJ363" s="13" t="n">
        <f aca="false">IF($J363=1,(Ideal_S-F363)/Span_S,"")</f>
        <v>0.483870967741936</v>
      </c>
      <c r="AK363" s="13" t="n">
        <f aca="false">IF($J363=1,(Ideal_B-G363)/Span_B,"")</f>
        <v>0.633333333333333</v>
      </c>
      <c r="AL363" s="12" t="n">
        <f aca="false">IF($J363=1,MAX(ChA_1*AI363,ChA_2*AJ363,ChA_3*AK363)+Rho*(ChA_1*AI363+ChA_2*AJ363+ChA_3*AK363),"")</f>
        <v>0.633458861528711</v>
      </c>
      <c r="AM363" s="12" t="n">
        <f aca="false">IF($J363=1,MAX(ChB_1*AI363,ChB_2*AJ363,ChB_3*AK363)+Rho*(ChB_1*AI363+ChB_2*AJ363+ChB_3*AK363),"")</f>
        <v>0.63347266929398</v>
      </c>
      <c r="AN363" s="12" t="n">
        <f aca="false">IF($J363=1,MAX(Cx_1*(Ref_P-E363)/Span_P,Cx_2*(Ref_S-F363)/Span_S,Cx_3*(Ref_B-G363)/Span_B),"")</f>
        <v>2.09439124487004</v>
      </c>
    </row>
    <row r="364" customFormat="false" ht="15" hidden="false" customHeight="false" outlineLevel="0" collapsed="false">
      <c r="A364" s="2" t="n">
        <v>358</v>
      </c>
      <c r="B364" s="15" t="n">
        <f aca="false">INT(A364/151)</f>
        <v>2</v>
      </c>
      <c r="C364" s="15" t="n">
        <f aca="false">MOD(A364,151)</f>
        <v>56</v>
      </c>
      <c r="D364" s="15" t="n">
        <f aca="false">INDEX(Grid!$J$6:$P$156,C364+1,B364+1)</f>
        <v>1</v>
      </c>
      <c r="E364" s="16" t="n">
        <f aca="false">IF(D364=1,INDEX(Grid!$B$6:$H$156,C364+1,B364+1),"")</f>
        <v>333.264245487454</v>
      </c>
      <c r="F364" s="13" t="n">
        <f aca="false">Val_pt*(Ceiling_e-E_zero)*(1-(1-Half_gap)^B364)</f>
        <v>105</v>
      </c>
      <c r="G364" s="15" t="n">
        <f aca="false">C364</f>
        <v>56</v>
      </c>
      <c r="H364" s="15" t="n">
        <f aca="false">IF(D364=1,INDEX(Grid!$R$6:$X$156,C364+1,B364+1),"")</f>
        <v>48</v>
      </c>
      <c r="I364" s="2" t="str">
        <f aca="false">IF(D364=1,INDEX(Sch_label,H364+1),"")</f>
        <v>1, 2</v>
      </c>
      <c r="J364" s="15" t="n">
        <f aca="false">IF(D364=1,INDEX(Grid!$Z$6:$AF$156,C364+1,B364+1),0)</f>
        <v>1</v>
      </c>
      <c r="K364" s="16" t="n">
        <f aca="false">IF(J364=1,E364,0)</f>
        <v>333.264245487454</v>
      </c>
      <c r="L364" s="17" t="n">
        <f aca="false">IF(D364=1,E364+W_board*F364,"")</f>
        <v>925.96187204392</v>
      </c>
      <c r="M364" s="24" t="n">
        <v>1</v>
      </c>
      <c r="N364" s="25" t="n">
        <v>0.725713962391753</v>
      </c>
      <c r="O364" s="25" t="n">
        <v>0.001</v>
      </c>
      <c r="P364" s="25" t="n">
        <v>0.273286037608248</v>
      </c>
      <c r="Z364" s="12" t="n">
        <f aca="false">IF(AND($J364=1,$M364=1),N364*E364/Span_P+O364*F364/Span_S+P364*G364/Span_B,"")</f>
        <v>0.771469252059505</v>
      </c>
      <c r="AA364" s="12" t="n">
        <f aca="false">IF(AND($J364=1,$M364=1),SUMPRODUCT(MAX($J$6:$J$1062*(N364*$K$6:$K$1062/Span_P+O364*$F$6:$F$1062/Span_S+P364*$G$6:$G$1062/Span_B)-(1-$J$6:$J$1062)*1000000000)),"")</f>
        <v>0.771469252059507</v>
      </c>
      <c r="AB364" s="15" t="n">
        <f aca="false">IF(AND($J364=1,$M364=1),IF(AA364-Z364&lt;=0.000000001,1,0),"")</f>
        <v>1</v>
      </c>
      <c r="AC364" s="13" t="str">
        <f aca="false">IF(AND($J364=1,$M364=0),IF(S364="",0,S364*INDEX(Grid!$B$6:$H$156,R364+1,Q364+1))+IF(V364="",0,V364*INDEX(Grid!$B$6:$H$156,U364+1,T364+1))+IF(Y364="",0,Y364*INDEX(Grid!$B$6:$H$156,X364+1,W364+1)),"")</f>
        <v/>
      </c>
      <c r="AD364" s="13" t="str">
        <f aca="false">IF(AND($J364=1,$M364=0),IF(S364="",0,S364*Val_pt*(Ceiling_e-E_zero)*(1-(1-Half_gap)^Q364))+IF(V364="",0,V364*Val_pt*(Ceiling_e-E_zero)*(1-(1-Half_gap)^T364))+IF(Y364="",0,Y364*Val_pt*(Ceiling_e-E_zero)*(1-(1-Half_gap)^W364)),"")</f>
        <v/>
      </c>
      <c r="AE364" s="13" t="str">
        <f aca="false">IF(AND($J364=1,$M364=0),IF(S364="",0,S364*R364)+IF(V364="",0,V364*U364)+IF(Y364="",0,Y364*X364),"")</f>
        <v/>
      </c>
      <c r="AF364" s="12" t="str">
        <f aca="false">IF(AND($J364=1,$M364=0),MIN((AC364-E364)/Span_P,(AD364-F364)/Span_S,(AE364-G364)/Span_B),"")</f>
        <v/>
      </c>
      <c r="AG364" s="15" t="str">
        <f aca="false">IF(AND($J364=1,$M364=0),IF(AF364&gt;0.0000001,1,0),"")</f>
        <v/>
      </c>
      <c r="AH364" s="15" t="n">
        <f aca="false">IF($J364=1,IF($M364=1,AB364,AG364),"")</f>
        <v>1</v>
      </c>
      <c r="AI364" s="13" t="n">
        <f aca="false">IF($J364=1,(Ideal_P-E364)/Span_P,"")</f>
        <v>0.140588155473123</v>
      </c>
      <c r="AJ364" s="13" t="n">
        <f aca="false">IF($J364=1,(Ideal_S-F364)/Span_S,"")</f>
        <v>0.483870967741936</v>
      </c>
      <c r="AK364" s="13" t="n">
        <f aca="false">IF($J364=1,(Ideal_B-G364)/Span_B,"")</f>
        <v>0.626666666666667</v>
      </c>
      <c r="AL364" s="12" t="n">
        <f aca="false">IF($J364=1,MAX(ChA_1*AI364,ChA_2*AJ364,ChA_3*AK364)+Rho*(ChA_1*AI364+ChA_2*AJ364+ChA_3*AK364),"")</f>
        <v>0.626791779245655</v>
      </c>
      <c r="AM364" s="12" t="n">
        <f aca="false">IF($J364=1,MAX(ChB_1*AI364,ChB_2*AJ364,ChB_3*AK364)+Rho*(ChB_1*AI364+ChB_2*AJ364+ChB_3*AK364),"")</f>
        <v>0.626805838061202</v>
      </c>
      <c r="AN364" s="12" t="n">
        <f aca="false">IF($J364=1,MAX(Cx_1*(Ref_P-E364)/Span_P,Cx_2*(Ref_S-F364)/Span_S,Cx_3*(Ref_B-G364)/Span_B),"")</f>
        <v>2.09439124487004</v>
      </c>
    </row>
    <row r="365" customFormat="false" ht="15" hidden="false" customHeight="false" outlineLevel="0" collapsed="false">
      <c r="A365" s="2" t="n">
        <v>359</v>
      </c>
      <c r="B365" s="15" t="n">
        <f aca="false">INT(A365/151)</f>
        <v>2</v>
      </c>
      <c r="C365" s="15" t="n">
        <f aca="false">MOD(A365,151)</f>
        <v>57</v>
      </c>
      <c r="D365" s="15" t="n">
        <f aca="false">INDEX(Grid!$J$6:$P$156,C365+1,B365+1)</f>
        <v>1</v>
      </c>
      <c r="E365" s="16" t="n">
        <f aca="false">IF(D365=1,INDEX(Grid!$B$6:$H$156,C365+1,B365+1),"")</f>
        <v>332.355154578363</v>
      </c>
      <c r="F365" s="13" t="n">
        <f aca="false">Val_pt*(Ceiling_e-E_zero)*(1-(1-Half_gap)^B365)</f>
        <v>105</v>
      </c>
      <c r="G365" s="15" t="n">
        <f aca="false">C365</f>
        <v>57</v>
      </c>
      <c r="H365" s="15" t="n">
        <f aca="false">IF(D365=1,INDEX(Grid!$R$6:$X$156,C365+1,B365+1),"")</f>
        <v>48</v>
      </c>
      <c r="I365" s="2" t="str">
        <f aca="false">IF(D365=1,INDEX(Sch_label,H365+1),"")</f>
        <v>1, 2</v>
      </c>
      <c r="J365" s="15" t="n">
        <f aca="false">IF(D365=1,INDEX(Grid!$Z$6:$AF$156,C365+1,B365+1),0)</f>
        <v>1</v>
      </c>
      <c r="K365" s="16" t="n">
        <f aca="false">IF(J365=1,E365,0)</f>
        <v>332.355154578363</v>
      </c>
      <c r="L365" s="17" t="n">
        <f aca="false">IF(D365=1,E365+W_board*F365,"")</f>
        <v>925.05278113483</v>
      </c>
      <c r="M365" s="24" t="n">
        <v>1</v>
      </c>
      <c r="N365" s="25" t="n">
        <v>0.725713962391744</v>
      </c>
      <c r="O365" s="25" t="n">
        <v>0.001</v>
      </c>
      <c r="P365" s="25" t="n">
        <v>0.273286037608256</v>
      </c>
      <c r="Z365" s="12" t="n">
        <f aca="false">IF(AND($J365=1,$M365=1),N365*E365/Span_P+O365*F365/Span_S+P365*G365/Span_B,"")</f>
        <v>0.7714692520595</v>
      </c>
      <c r="AA365" s="12" t="n">
        <f aca="false">IF(AND($J365=1,$M365=1),SUMPRODUCT(MAX($J$6:$J$1062*(N365*$K$6:$K$1062/Span_P+O365*$F$6:$F$1062/Span_S+P365*$G$6:$G$1062/Span_B)-(1-$J$6:$J$1062)*1000000000)),"")</f>
        <v>0.771469252059502</v>
      </c>
      <c r="AB365" s="15" t="n">
        <f aca="false">IF(AND($J365=1,$M365=1),IF(AA365-Z365&lt;=0.000000001,1,0),"")</f>
        <v>1</v>
      </c>
      <c r="AC365" s="13" t="str">
        <f aca="false">IF(AND($J365=1,$M365=0),IF(S365="",0,S365*INDEX(Grid!$B$6:$H$156,R365+1,Q365+1))+IF(V365="",0,V365*INDEX(Grid!$B$6:$H$156,U365+1,T365+1))+IF(Y365="",0,Y365*INDEX(Grid!$B$6:$H$156,X365+1,W365+1)),"")</f>
        <v/>
      </c>
      <c r="AD365" s="13" t="str">
        <f aca="false">IF(AND($J365=1,$M365=0),IF(S365="",0,S365*Val_pt*(Ceiling_e-E_zero)*(1-(1-Half_gap)^Q365))+IF(V365="",0,V365*Val_pt*(Ceiling_e-E_zero)*(1-(1-Half_gap)^T365))+IF(Y365="",0,Y365*Val_pt*(Ceiling_e-E_zero)*(1-(1-Half_gap)^W365)),"")</f>
        <v/>
      </c>
      <c r="AE365" s="13" t="str">
        <f aca="false">IF(AND($J365=1,$M365=0),IF(S365="",0,S365*R365)+IF(V365="",0,V365*U365)+IF(Y365="",0,Y365*X365),"")</f>
        <v/>
      </c>
      <c r="AF365" s="12" t="str">
        <f aca="false">IF(AND($J365=1,$M365=0),MIN((AC365-E365)/Span_P,(AD365-F365)/Span_S,(AE365-G365)/Span_B),"")</f>
        <v/>
      </c>
      <c r="AG365" s="15" t="str">
        <f aca="false">IF(AND($J365=1,$M365=0),IF(AF365&gt;0.0000001,1,0),"")</f>
        <v/>
      </c>
      <c r="AH365" s="15" t="n">
        <f aca="false">IF($J365=1,IF($M365=1,AB365,AG365),"")</f>
        <v>1</v>
      </c>
      <c r="AI365" s="13" t="n">
        <f aca="false">IF($J365=1,(Ideal_P-E365)/Span_P,"")</f>
        <v>0.143098658249429</v>
      </c>
      <c r="AJ365" s="13" t="n">
        <f aca="false">IF($J365=1,(Ideal_S-F365)/Span_S,"")</f>
        <v>0.483870967741936</v>
      </c>
      <c r="AK365" s="13" t="n">
        <f aca="false">IF($J365=1,(Ideal_B-G365)/Span_B,"")</f>
        <v>0.62</v>
      </c>
      <c r="AL365" s="12" t="n">
        <f aca="false">IF($J365=1,MAX(ChA_1*AI365,ChA_2*AJ365,ChA_3*AK365)+Rho*(ChA_1*AI365+ChA_2*AJ365+ChA_3*AK365),"")</f>
        <v>0.620124696962599</v>
      </c>
      <c r="AM365" s="12" t="n">
        <f aca="false">IF($J365=1,MAX(ChB_1*AI365,ChB_2*AJ365,ChB_3*AK365)+Rho*(ChB_1*AI365+ChB_2*AJ365+ChB_3*AK365),"")</f>
        <v>0.620139006828424</v>
      </c>
      <c r="AN365" s="12" t="n">
        <f aca="false">IF($J365=1,MAX(Cx_1*(Ref_P-E365)/Span_P,Cx_2*(Ref_S-F365)/Span_S,Cx_3*(Ref_B-G365)/Span_B),"")</f>
        <v>2.09439124487004</v>
      </c>
    </row>
    <row r="366" customFormat="false" ht="15" hidden="false" customHeight="false" outlineLevel="0" collapsed="false">
      <c r="A366" s="2" t="n">
        <v>360</v>
      </c>
      <c r="B366" s="15" t="n">
        <f aca="false">INT(A366/151)</f>
        <v>2</v>
      </c>
      <c r="C366" s="15" t="n">
        <f aca="false">MOD(A366,151)</f>
        <v>58</v>
      </c>
      <c r="D366" s="15" t="n">
        <f aca="false">INDEX(Grid!$J$6:$P$156,C366+1,B366+1)</f>
        <v>1</v>
      </c>
      <c r="E366" s="16" t="n">
        <f aca="false">IF(D366=1,INDEX(Grid!$B$6:$H$156,C366+1,B366+1),"")</f>
        <v>331.446063669272</v>
      </c>
      <c r="F366" s="13" t="n">
        <f aca="false">Val_pt*(Ceiling_e-E_zero)*(1-(1-Half_gap)^B366)</f>
        <v>105</v>
      </c>
      <c r="G366" s="15" t="n">
        <f aca="false">C366</f>
        <v>58</v>
      </c>
      <c r="H366" s="15" t="n">
        <f aca="false">IF(D366=1,INDEX(Grid!$R$6:$X$156,C366+1,B366+1),"")</f>
        <v>48</v>
      </c>
      <c r="I366" s="2" t="str">
        <f aca="false">IF(D366=1,INDEX(Sch_label,H366+1),"")</f>
        <v>1, 2</v>
      </c>
      <c r="J366" s="15" t="n">
        <f aca="false">IF(D366=1,INDEX(Grid!$Z$6:$AF$156,C366+1,B366+1),0)</f>
        <v>1</v>
      </c>
      <c r="K366" s="16" t="n">
        <f aca="false">IF(J366=1,E366,0)</f>
        <v>331.446063669272</v>
      </c>
      <c r="L366" s="17" t="n">
        <f aca="false">IF(D366=1,E366+W_board*F366,"")</f>
        <v>924.143690225739</v>
      </c>
      <c r="M366" s="24" t="n">
        <v>1</v>
      </c>
      <c r="N366" s="25" t="n">
        <v>0.725713962391753</v>
      </c>
      <c r="O366" s="25" t="n">
        <v>0.001</v>
      </c>
      <c r="P366" s="25" t="n">
        <v>0.273286037608248</v>
      </c>
      <c r="Z366" s="12" t="n">
        <f aca="false">IF(AND($J366=1,$M366=1),N366*E366/Span_P+O366*F366/Span_S+P366*G366/Span_B,"")</f>
        <v>0.771469252059505</v>
      </c>
      <c r="AA366" s="12" t="n">
        <f aca="false">IF(AND($J366=1,$M366=1),SUMPRODUCT(MAX($J$6:$J$1062*(N366*$K$6:$K$1062/Span_P+O366*$F$6:$F$1062/Span_S+P366*$G$6:$G$1062/Span_B)-(1-$J$6:$J$1062)*1000000000)),"")</f>
        <v>0.771469252059507</v>
      </c>
      <c r="AB366" s="15" t="n">
        <f aca="false">IF(AND($J366=1,$M366=1),IF(AA366-Z366&lt;=0.000000001,1,0),"")</f>
        <v>1</v>
      </c>
      <c r="AC366" s="13" t="str">
        <f aca="false">IF(AND($J366=1,$M366=0),IF(S366="",0,S366*INDEX(Grid!$B$6:$H$156,R366+1,Q366+1))+IF(V366="",0,V366*INDEX(Grid!$B$6:$H$156,U366+1,T366+1))+IF(Y366="",0,Y366*INDEX(Grid!$B$6:$H$156,X366+1,W366+1)),"")</f>
        <v/>
      </c>
      <c r="AD366" s="13" t="str">
        <f aca="false">IF(AND($J366=1,$M366=0),IF(S366="",0,S366*Val_pt*(Ceiling_e-E_zero)*(1-(1-Half_gap)^Q366))+IF(V366="",0,V366*Val_pt*(Ceiling_e-E_zero)*(1-(1-Half_gap)^T366))+IF(Y366="",0,Y366*Val_pt*(Ceiling_e-E_zero)*(1-(1-Half_gap)^W366)),"")</f>
        <v/>
      </c>
      <c r="AE366" s="13" t="str">
        <f aca="false">IF(AND($J366=1,$M366=0),IF(S366="",0,S366*R366)+IF(V366="",0,V366*U366)+IF(Y366="",0,Y366*X366),"")</f>
        <v/>
      </c>
      <c r="AF366" s="12" t="str">
        <f aca="false">IF(AND($J366=1,$M366=0),MIN((AC366-E366)/Span_P,(AD366-F366)/Span_S,(AE366-G366)/Span_B),"")</f>
        <v/>
      </c>
      <c r="AG366" s="15" t="str">
        <f aca="false">IF(AND($J366=1,$M366=0),IF(AF366&gt;0.0000001,1,0),"")</f>
        <v/>
      </c>
      <c r="AH366" s="15" t="n">
        <f aca="false">IF($J366=1,IF($M366=1,AB366,AG366),"")</f>
        <v>1</v>
      </c>
      <c r="AI366" s="13" t="n">
        <f aca="false">IF($J366=1,(Ideal_P-E366)/Span_P,"")</f>
        <v>0.145609161025735</v>
      </c>
      <c r="AJ366" s="13" t="n">
        <f aca="false">IF($J366=1,(Ideal_S-F366)/Span_S,"")</f>
        <v>0.483870967741936</v>
      </c>
      <c r="AK366" s="13" t="n">
        <f aca="false">IF($J366=1,(Ideal_B-G366)/Span_B,"")</f>
        <v>0.613333333333333</v>
      </c>
      <c r="AL366" s="12" t="n">
        <f aca="false">IF($J366=1,MAX(ChA_1*AI366,ChA_2*AJ366,ChA_3*AK366)+Rho*(ChA_1*AI366+ChA_2*AJ366+ChA_3*AK366),"")</f>
        <v>0.613457614679543</v>
      </c>
      <c r="AM366" s="12" t="n">
        <f aca="false">IF($J366=1,MAX(ChB_1*AI366,ChB_2*AJ366,ChB_3*AK366)+Rho*(ChB_1*AI366+ChB_2*AJ366+ChB_3*AK366),"")</f>
        <v>0.613472175595646</v>
      </c>
      <c r="AN366" s="12" t="n">
        <f aca="false">IF($J366=1,MAX(Cx_1*(Ref_P-E366)/Span_P,Cx_2*(Ref_S-F366)/Span_S,Cx_3*(Ref_B-G366)/Span_B),"")</f>
        <v>2.09439124487004</v>
      </c>
    </row>
    <row r="367" customFormat="false" ht="15" hidden="false" customHeight="false" outlineLevel="0" collapsed="false">
      <c r="A367" s="2" t="n">
        <v>361</v>
      </c>
      <c r="B367" s="15" t="n">
        <f aca="false">INT(A367/151)</f>
        <v>2</v>
      </c>
      <c r="C367" s="15" t="n">
        <f aca="false">MOD(A367,151)</f>
        <v>59</v>
      </c>
      <c r="D367" s="15" t="n">
        <f aca="false">INDEX(Grid!$J$6:$P$156,C367+1,B367+1)</f>
        <v>1</v>
      </c>
      <c r="E367" s="16" t="n">
        <f aca="false">IF(D367=1,INDEX(Grid!$B$6:$H$156,C367+1,B367+1),"")</f>
        <v>330.536972760182</v>
      </c>
      <c r="F367" s="13" t="n">
        <f aca="false">Val_pt*(Ceiling_e-E_zero)*(1-(1-Half_gap)^B367)</f>
        <v>105</v>
      </c>
      <c r="G367" s="15" t="n">
        <f aca="false">C367</f>
        <v>59</v>
      </c>
      <c r="H367" s="15" t="n">
        <f aca="false">IF(D367=1,INDEX(Grid!$R$6:$X$156,C367+1,B367+1),"")</f>
        <v>48</v>
      </c>
      <c r="I367" s="2" t="str">
        <f aca="false">IF(D367=1,INDEX(Sch_label,H367+1),"")</f>
        <v>1, 2</v>
      </c>
      <c r="J367" s="15" t="n">
        <f aca="false">IF(D367=1,INDEX(Grid!$Z$6:$AF$156,C367+1,B367+1),0)</f>
        <v>1</v>
      </c>
      <c r="K367" s="16" t="n">
        <f aca="false">IF(J367=1,E367,0)</f>
        <v>330.536972760182</v>
      </c>
      <c r="L367" s="17" t="n">
        <f aca="false">IF(D367=1,E367+W_board*F367,"")</f>
        <v>923.234599316648</v>
      </c>
      <c r="M367" s="24" t="n">
        <v>1</v>
      </c>
      <c r="N367" s="25" t="n">
        <v>0.725713962391745</v>
      </c>
      <c r="O367" s="25" t="n">
        <v>0.001</v>
      </c>
      <c r="P367" s="25" t="n">
        <v>0.273286037608255</v>
      </c>
      <c r="Z367" s="12" t="n">
        <f aca="false">IF(AND($J367=1,$M367=1),N367*E367/Span_P+O367*F367/Span_S+P367*G367/Span_B,"")</f>
        <v>0.771469252059501</v>
      </c>
      <c r="AA367" s="12" t="n">
        <f aca="false">IF(AND($J367=1,$M367=1),SUMPRODUCT(MAX($J$6:$J$1062*(N367*$K$6:$K$1062/Span_P+O367*$F$6:$F$1062/Span_S+P367*$G$6:$G$1062/Span_B)-(1-$J$6:$J$1062)*1000000000)),"")</f>
        <v>0.771469252059502</v>
      </c>
      <c r="AB367" s="15" t="n">
        <f aca="false">IF(AND($J367=1,$M367=1),IF(AA367-Z367&lt;=0.000000001,1,0),"")</f>
        <v>1</v>
      </c>
      <c r="AC367" s="13" t="str">
        <f aca="false">IF(AND($J367=1,$M367=0),IF(S367="",0,S367*INDEX(Grid!$B$6:$H$156,R367+1,Q367+1))+IF(V367="",0,V367*INDEX(Grid!$B$6:$H$156,U367+1,T367+1))+IF(Y367="",0,Y367*INDEX(Grid!$B$6:$H$156,X367+1,W367+1)),"")</f>
        <v/>
      </c>
      <c r="AD367" s="13" t="str">
        <f aca="false">IF(AND($J367=1,$M367=0),IF(S367="",0,S367*Val_pt*(Ceiling_e-E_zero)*(1-(1-Half_gap)^Q367))+IF(V367="",0,V367*Val_pt*(Ceiling_e-E_zero)*(1-(1-Half_gap)^T367))+IF(Y367="",0,Y367*Val_pt*(Ceiling_e-E_zero)*(1-(1-Half_gap)^W367)),"")</f>
        <v/>
      </c>
      <c r="AE367" s="13" t="str">
        <f aca="false">IF(AND($J367=1,$M367=0),IF(S367="",0,S367*R367)+IF(V367="",0,V367*U367)+IF(Y367="",0,Y367*X367),"")</f>
        <v/>
      </c>
      <c r="AF367" s="12" t="str">
        <f aca="false">IF(AND($J367=1,$M367=0),MIN((AC367-E367)/Span_P,(AD367-F367)/Span_S,(AE367-G367)/Span_B),"")</f>
        <v/>
      </c>
      <c r="AG367" s="15" t="str">
        <f aca="false">IF(AND($J367=1,$M367=0),IF(AF367&gt;0.0000001,1,0),"")</f>
        <v/>
      </c>
      <c r="AH367" s="15" t="n">
        <f aca="false">IF($J367=1,IF($M367=1,AB367,AG367),"")</f>
        <v>1</v>
      </c>
      <c r="AI367" s="13" t="n">
        <f aca="false">IF($J367=1,(Ideal_P-E367)/Span_P,"")</f>
        <v>0.14811966380204</v>
      </c>
      <c r="AJ367" s="13" t="n">
        <f aca="false">IF($J367=1,(Ideal_S-F367)/Span_S,"")</f>
        <v>0.483870967741936</v>
      </c>
      <c r="AK367" s="13" t="n">
        <f aca="false">IF($J367=1,(Ideal_B-G367)/Span_B,"")</f>
        <v>0.606666666666667</v>
      </c>
      <c r="AL367" s="12" t="n">
        <f aca="false">IF($J367=1,MAX(ChA_1*AI367,ChA_2*AJ367,ChA_3*AK367)+Rho*(ChA_1*AI367+ChA_2*AJ367+ChA_3*AK367),"")</f>
        <v>0.606790532396488</v>
      </c>
      <c r="AM367" s="12" t="n">
        <f aca="false">IF($J367=1,MAX(ChB_1*AI367,ChB_2*AJ367,ChB_3*AK367)+Rho*(ChB_1*AI367+ChB_2*AJ367+ChB_3*AK367),"")</f>
        <v>0.606805344362868</v>
      </c>
      <c r="AN367" s="12" t="n">
        <f aca="false">IF($J367=1,MAX(Cx_1*(Ref_P-E367)/Span_P,Cx_2*(Ref_S-F367)/Span_S,Cx_3*(Ref_B-G367)/Span_B),"")</f>
        <v>2.09439124487004</v>
      </c>
    </row>
    <row r="368" customFormat="false" ht="15" hidden="false" customHeight="false" outlineLevel="0" collapsed="false">
      <c r="A368" s="2" t="n">
        <v>362</v>
      </c>
      <c r="B368" s="15" t="n">
        <f aca="false">INT(A368/151)</f>
        <v>2</v>
      </c>
      <c r="C368" s="15" t="n">
        <f aca="false">MOD(A368,151)</f>
        <v>60</v>
      </c>
      <c r="D368" s="15" t="n">
        <f aca="false">INDEX(Grid!$J$6:$P$156,C368+1,B368+1)</f>
        <v>1</v>
      </c>
      <c r="E368" s="16" t="n">
        <f aca="false">IF(D368=1,INDEX(Grid!$B$6:$H$156,C368+1,B368+1),"")</f>
        <v>329.627881851091</v>
      </c>
      <c r="F368" s="13" t="n">
        <f aca="false">Val_pt*(Ceiling_e-E_zero)*(1-(1-Half_gap)^B368)</f>
        <v>105</v>
      </c>
      <c r="G368" s="15" t="n">
        <f aca="false">C368</f>
        <v>60</v>
      </c>
      <c r="H368" s="15" t="n">
        <f aca="false">IF(D368=1,INDEX(Grid!$R$6:$X$156,C368+1,B368+1),"")</f>
        <v>48</v>
      </c>
      <c r="I368" s="2" t="str">
        <f aca="false">IF(D368=1,INDEX(Sch_label,H368+1),"")</f>
        <v>1, 2</v>
      </c>
      <c r="J368" s="15" t="n">
        <f aca="false">IF(D368=1,INDEX(Grid!$Z$6:$AF$156,C368+1,B368+1),0)</f>
        <v>1</v>
      </c>
      <c r="K368" s="16" t="n">
        <f aca="false">IF(J368=1,E368,0)</f>
        <v>329.627881851091</v>
      </c>
      <c r="L368" s="17" t="n">
        <f aca="false">IF(D368=1,E368+W_board*F368,"")</f>
        <v>922.325508407557</v>
      </c>
      <c r="M368" s="24" t="n">
        <v>1</v>
      </c>
      <c r="N368" s="25" t="n">
        <v>0.725713962391753</v>
      </c>
      <c r="O368" s="25" t="n">
        <v>0.001</v>
      </c>
      <c r="P368" s="25" t="n">
        <v>0.273286037608248</v>
      </c>
      <c r="Z368" s="12" t="n">
        <f aca="false">IF(AND($J368=1,$M368=1),N368*E368/Span_P+O368*F368/Span_S+P368*G368/Span_B,"")</f>
        <v>0.771469252059504</v>
      </c>
      <c r="AA368" s="12" t="n">
        <f aca="false">IF(AND($J368=1,$M368=1),SUMPRODUCT(MAX($J$6:$J$1062*(N368*$K$6:$K$1062/Span_P+O368*$F$6:$F$1062/Span_S+P368*$G$6:$G$1062/Span_B)-(1-$J$6:$J$1062)*1000000000)),"")</f>
        <v>0.771469252059507</v>
      </c>
      <c r="AB368" s="15" t="n">
        <f aca="false">IF(AND($J368=1,$M368=1),IF(AA368-Z368&lt;=0.000000001,1,0),"")</f>
        <v>1</v>
      </c>
      <c r="AC368" s="13" t="str">
        <f aca="false">IF(AND($J368=1,$M368=0),IF(S368="",0,S368*INDEX(Grid!$B$6:$H$156,R368+1,Q368+1))+IF(V368="",0,V368*INDEX(Grid!$B$6:$H$156,U368+1,T368+1))+IF(Y368="",0,Y368*INDEX(Grid!$B$6:$H$156,X368+1,W368+1)),"")</f>
        <v/>
      </c>
      <c r="AD368" s="13" t="str">
        <f aca="false">IF(AND($J368=1,$M368=0),IF(S368="",0,S368*Val_pt*(Ceiling_e-E_zero)*(1-(1-Half_gap)^Q368))+IF(V368="",0,V368*Val_pt*(Ceiling_e-E_zero)*(1-(1-Half_gap)^T368))+IF(Y368="",0,Y368*Val_pt*(Ceiling_e-E_zero)*(1-(1-Half_gap)^W368)),"")</f>
        <v/>
      </c>
      <c r="AE368" s="13" t="str">
        <f aca="false">IF(AND($J368=1,$M368=0),IF(S368="",0,S368*R368)+IF(V368="",0,V368*U368)+IF(Y368="",0,Y368*X368),"")</f>
        <v/>
      </c>
      <c r="AF368" s="12" t="str">
        <f aca="false">IF(AND($J368=1,$M368=0),MIN((AC368-E368)/Span_P,(AD368-F368)/Span_S,(AE368-G368)/Span_B),"")</f>
        <v/>
      </c>
      <c r="AG368" s="15" t="str">
        <f aca="false">IF(AND($J368=1,$M368=0),IF(AF368&gt;0.0000001,1,0),"")</f>
        <v/>
      </c>
      <c r="AH368" s="15" t="n">
        <f aca="false">IF($J368=1,IF($M368=1,AB368,AG368),"")</f>
        <v>1</v>
      </c>
      <c r="AI368" s="13" t="n">
        <f aca="false">IF($J368=1,(Ideal_P-E368)/Span_P,"")</f>
        <v>0.150630166578346</v>
      </c>
      <c r="AJ368" s="13" t="n">
        <f aca="false">IF($J368=1,(Ideal_S-F368)/Span_S,"")</f>
        <v>0.483870967741936</v>
      </c>
      <c r="AK368" s="13" t="n">
        <f aca="false">IF($J368=1,(Ideal_B-G368)/Span_B,"")</f>
        <v>0.6</v>
      </c>
      <c r="AL368" s="12" t="n">
        <f aca="false">IF($J368=1,MAX(ChA_1*AI368,ChA_2*AJ368,ChA_3*AK368)+Rho*(ChA_1*AI368+ChA_2*AJ368+ChA_3*AK368),"")</f>
        <v>0.600123450113432</v>
      </c>
      <c r="AM368" s="12" t="n">
        <f aca="false">IF($J368=1,MAX(ChB_1*AI368,ChB_2*AJ368,ChB_3*AK368)+Rho*(ChB_1*AI368+ChB_2*AJ368+ChB_3*AK368),"")</f>
        <v>0.60013851313009</v>
      </c>
      <c r="AN368" s="12" t="n">
        <f aca="false">IF($J368=1,MAX(Cx_1*(Ref_P-E368)/Span_P,Cx_2*(Ref_S-F368)/Span_S,Cx_3*(Ref_B-G368)/Span_B),"")</f>
        <v>2.09439124487004</v>
      </c>
    </row>
    <row r="369" customFormat="false" ht="15" hidden="false" customHeight="false" outlineLevel="0" collapsed="false">
      <c r="A369" s="2" t="n">
        <v>363</v>
      </c>
      <c r="B369" s="15" t="n">
        <f aca="false">INT(A369/151)</f>
        <v>2</v>
      </c>
      <c r="C369" s="15" t="n">
        <f aca="false">MOD(A369,151)</f>
        <v>61</v>
      </c>
      <c r="D369" s="15" t="n">
        <f aca="false">INDEX(Grid!$J$6:$P$156,C369+1,B369+1)</f>
        <v>1</v>
      </c>
      <c r="E369" s="16" t="n">
        <f aca="false">IF(D369=1,INDEX(Grid!$B$6:$H$156,C369+1,B369+1),"")</f>
        <v>328.718790942</v>
      </c>
      <c r="F369" s="13" t="n">
        <f aca="false">Val_pt*(Ceiling_e-E_zero)*(1-(1-Half_gap)^B369)</f>
        <v>105</v>
      </c>
      <c r="G369" s="15" t="n">
        <f aca="false">C369</f>
        <v>61</v>
      </c>
      <c r="H369" s="15" t="n">
        <f aca="false">IF(D369=1,INDEX(Grid!$R$6:$X$156,C369+1,B369+1),"")</f>
        <v>48</v>
      </c>
      <c r="I369" s="2" t="str">
        <f aca="false">IF(D369=1,INDEX(Sch_label,H369+1),"")</f>
        <v>1, 2</v>
      </c>
      <c r="J369" s="15" t="n">
        <f aca="false">IF(D369=1,INDEX(Grid!$Z$6:$AF$156,C369+1,B369+1),0)</f>
        <v>1</v>
      </c>
      <c r="K369" s="16" t="n">
        <f aca="false">IF(J369=1,E369,0)</f>
        <v>328.718790942</v>
      </c>
      <c r="L369" s="17" t="n">
        <f aca="false">IF(D369=1,E369+W_board*F369,"")</f>
        <v>921.416417498466</v>
      </c>
      <c r="M369" s="24" t="n">
        <v>1</v>
      </c>
      <c r="N369" s="25" t="n">
        <v>0.725713962391744</v>
      </c>
      <c r="O369" s="25" t="n">
        <v>0.001</v>
      </c>
      <c r="P369" s="25" t="n">
        <v>0.273286037608256</v>
      </c>
      <c r="Z369" s="12" t="n">
        <f aca="false">IF(AND($J369=1,$M369=1),N369*E369/Span_P+O369*F369/Span_S+P369*G369/Span_B,"")</f>
        <v>0.7714692520595</v>
      </c>
      <c r="AA369" s="12" t="n">
        <f aca="false">IF(AND($J369=1,$M369=1),SUMPRODUCT(MAX($J$6:$J$1062*(N369*$K$6:$K$1062/Span_P+O369*$F$6:$F$1062/Span_S+P369*$G$6:$G$1062/Span_B)-(1-$J$6:$J$1062)*1000000000)),"")</f>
        <v>0.771469252059502</v>
      </c>
      <c r="AB369" s="15" t="n">
        <f aca="false">IF(AND($J369=1,$M369=1),IF(AA369-Z369&lt;=0.000000001,1,0),"")</f>
        <v>1</v>
      </c>
      <c r="AC369" s="13" t="str">
        <f aca="false">IF(AND($J369=1,$M369=0),IF(S369="",0,S369*INDEX(Grid!$B$6:$H$156,R369+1,Q369+1))+IF(V369="",0,V369*INDEX(Grid!$B$6:$H$156,U369+1,T369+1))+IF(Y369="",0,Y369*INDEX(Grid!$B$6:$H$156,X369+1,W369+1)),"")</f>
        <v/>
      </c>
      <c r="AD369" s="13" t="str">
        <f aca="false">IF(AND($J369=1,$M369=0),IF(S369="",0,S369*Val_pt*(Ceiling_e-E_zero)*(1-(1-Half_gap)^Q369))+IF(V369="",0,V369*Val_pt*(Ceiling_e-E_zero)*(1-(1-Half_gap)^T369))+IF(Y369="",0,Y369*Val_pt*(Ceiling_e-E_zero)*(1-(1-Half_gap)^W369)),"")</f>
        <v/>
      </c>
      <c r="AE369" s="13" t="str">
        <f aca="false">IF(AND($J369=1,$M369=0),IF(S369="",0,S369*R369)+IF(V369="",0,V369*U369)+IF(Y369="",0,Y369*X369),"")</f>
        <v/>
      </c>
      <c r="AF369" s="12" t="str">
        <f aca="false">IF(AND($J369=1,$M369=0),MIN((AC369-E369)/Span_P,(AD369-F369)/Span_S,(AE369-G369)/Span_B),"")</f>
        <v/>
      </c>
      <c r="AG369" s="15" t="str">
        <f aca="false">IF(AND($J369=1,$M369=0),IF(AF369&gt;0.0000001,1,0),"")</f>
        <v/>
      </c>
      <c r="AH369" s="15" t="n">
        <f aca="false">IF($J369=1,IF($M369=1,AB369,AG369),"")</f>
        <v>1</v>
      </c>
      <c r="AI369" s="13" t="n">
        <f aca="false">IF($J369=1,(Ideal_P-E369)/Span_P,"")</f>
        <v>0.153140669354652</v>
      </c>
      <c r="AJ369" s="13" t="n">
        <f aca="false">IF($J369=1,(Ideal_S-F369)/Span_S,"")</f>
        <v>0.483870967741936</v>
      </c>
      <c r="AK369" s="13" t="n">
        <f aca="false">IF($J369=1,(Ideal_B-G369)/Span_B,"")</f>
        <v>0.593333333333333</v>
      </c>
      <c r="AL369" s="12" t="n">
        <f aca="false">IF($J369=1,MAX(ChA_1*AI369,ChA_2*AJ369,ChA_3*AK369)+Rho*(ChA_1*AI369+ChA_2*AJ369+ChA_3*AK369),"")</f>
        <v>0.593456367830376</v>
      </c>
      <c r="AM369" s="12" t="n">
        <f aca="false">IF($J369=1,MAX(ChB_1*AI369,ChB_2*AJ369,ChB_3*AK369)+Rho*(ChB_1*AI369+ChB_2*AJ369+ChB_3*AK369),"")</f>
        <v>0.593471681897312</v>
      </c>
      <c r="AN369" s="12" t="n">
        <f aca="false">IF($J369=1,MAX(Cx_1*(Ref_P-E369)/Span_P,Cx_2*(Ref_S-F369)/Span_S,Cx_3*(Ref_B-G369)/Span_B),"")</f>
        <v>2.09439124487004</v>
      </c>
    </row>
    <row r="370" customFormat="false" ht="15" hidden="false" customHeight="false" outlineLevel="0" collapsed="false">
      <c r="A370" s="2" t="n">
        <v>364</v>
      </c>
      <c r="B370" s="15" t="n">
        <f aca="false">INT(A370/151)</f>
        <v>2</v>
      </c>
      <c r="C370" s="15" t="n">
        <f aca="false">MOD(A370,151)</f>
        <v>62</v>
      </c>
      <c r="D370" s="15" t="n">
        <f aca="false">INDEX(Grid!$J$6:$P$156,C370+1,B370+1)</f>
        <v>1</v>
      </c>
      <c r="E370" s="16" t="n">
        <f aca="false">IF(D370=1,INDEX(Grid!$B$6:$H$156,C370+1,B370+1),"")</f>
        <v>327.809700032909</v>
      </c>
      <c r="F370" s="13" t="n">
        <f aca="false">Val_pt*(Ceiling_e-E_zero)*(1-(1-Half_gap)^B370)</f>
        <v>105</v>
      </c>
      <c r="G370" s="15" t="n">
        <f aca="false">C370</f>
        <v>62</v>
      </c>
      <c r="H370" s="15" t="n">
        <f aca="false">IF(D370=1,INDEX(Grid!$R$6:$X$156,C370+1,B370+1),"")</f>
        <v>48</v>
      </c>
      <c r="I370" s="2" t="str">
        <f aca="false">IF(D370=1,INDEX(Sch_label,H370+1),"")</f>
        <v>1, 2</v>
      </c>
      <c r="J370" s="15" t="n">
        <f aca="false">IF(D370=1,INDEX(Grid!$Z$6:$AF$156,C370+1,B370+1),0)</f>
        <v>1</v>
      </c>
      <c r="K370" s="16" t="n">
        <f aca="false">IF(J370=1,E370,0)</f>
        <v>327.809700032909</v>
      </c>
      <c r="L370" s="17" t="n">
        <f aca="false">IF(D370=1,E370+W_board*F370,"")</f>
        <v>920.507326589375</v>
      </c>
      <c r="M370" s="24" t="n">
        <v>1</v>
      </c>
      <c r="N370" s="25" t="n">
        <v>0.725713962391753</v>
      </c>
      <c r="O370" s="25" t="n">
        <v>0.001</v>
      </c>
      <c r="P370" s="25" t="n">
        <v>0.273286037608248</v>
      </c>
      <c r="Z370" s="12" t="n">
        <f aca="false">IF(AND($J370=1,$M370=1),N370*E370/Span_P+O370*F370/Span_S+P370*G370/Span_B,"")</f>
        <v>0.771469252059504</v>
      </c>
      <c r="AA370" s="12" t="n">
        <f aca="false">IF(AND($J370=1,$M370=1),SUMPRODUCT(MAX($J$6:$J$1062*(N370*$K$6:$K$1062/Span_P+O370*$F$6:$F$1062/Span_S+P370*$G$6:$G$1062/Span_B)-(1-$J$6:$J$1062)*1000000000)),"")</f>
        <v>0.771469252059507</v>
      </c>
      <c r="AB370" s="15" t="n">
        <f aca="false">IF(AND($J370=1,$M370=1),IF(AA370-Z370&lt;=0.000000001,1,0),"")</f>
        <v>1</v>
      </c>
      <c r="AC370" s="13" t="str">
        <f aca="false">IF(AND($J370=1,$M370=0),IF(S370="",0,S370*INDEX(Grid!$B$6:$H$156,R370+1,Q370+1))+IF(V370="",0,V370*INDEX(Grid!$B$6:$H$156,U370+1,T370+1))+IF(Y370="",0,Y370*INDEX(Grid!$B$6:$H$156,X370+1,W370+1)),"")</f>
        <v/>
      </c>
      <c r="AD370" s="13" t="str">
        <f aca="false">IF(AND($J370=1,$M370=0),IF(S370="",0,S370*Val_pt*(Ceiling_e-E_zero)*(1-(1-Half_gap)^Q370))+IF(V370="",0,V370*Val_pt*(Ceiling_e-E_zero)*(1-(1-Half_gap)^T370))+IF(Y370="",0,Y370*Val_pt*(Ceiling_e-E_zero)*(1-(1-Half_gap)^W370)),"")</f>
        <v/>
      </c>
      <c r="AE370" s="13" t="str">
        <f aca="false">IF(AND($J370=1,$M370=0),IF(S370="",0,S370*R370)+IF(V370="",0,V370*U370)+IF(Y370="",0,Y370*X370),"")</f>
        <v/>
      </c>
      <c r="AF370" s="12" t="str">
        <f aca="false">IF(AND($J370=1,$M370=0),MIN((AC370-E370)/Span_P,(AD370-F370)/Span_S,(AE370-G370)/Span_B),"")</f>
        <v/>
      </c>
      <c r="AG370" s="15" t="str">
        <f aca="false">IF(AND($J370=1,$M370=0),IF(AF370&gt;0.0000001,1,0),"")</f>
        <v/>
      </c>
      <c r="AH370" s="15" t="n">
        <f aca="false">IF($J370=1,IF($M370=1,AB370,AG370),"")</f>
        <v>1</v>
      </c>
      <c r="AI370" s="13" t="n">
        <f aca="false">IF($J370=1,(Ideal_P-E370)/Span_P,"")</f>
        <v>0.155651172130958</v>
      </c>
      <c r="AJ370" s="13" t="n">
        <f aca="false">IF($J370=1,(Ideal_S-F370)/Span_S,"")</f>
        <v>0.483870967741936</v>
      </c>
      <c r="AK370" s="13" t="n">
        <f aca="false">IF($J370=1,(Ideal_B-G370)/Span_B,"")</f>
        <v>0.586666666666667</v>
      </c>
      <c r="AL370" s="12" t="n">
        <f aca="false">IF($J370=1,MAX(ChA_1*AI370,ChA_2*AJ370,ChA_3*AK370)+Rho*(ChA_1*AI370+ChA_2*AJ370+ChA_3*AK370),"")</f>
        <v>0.586789285547321</v>
      </c>
      <c r="AM370" s="12" t="n">
        <f aca="false">IF($J370=1,MAX(ChB_1*AI370,ChB_2*AJ370,ChB_3*AK370)+Rho*(ChB_1*AI370+ChB_2*AJ370+ChB_3*AK370),"")</f>
        <v>0.586804850664534</v>
      </c>
      <c r="AN370" s="12" t="n">
        <f aca="false">IF($J370=1,MAX(Cx_1*(Ref_P-E370)/Span_P,Cx_2*(Ref_S-F370)/Span_S,Cx_3*(Ref_B-G370)/Span_B),"")</f>
        <v>2.09439124487004</v>
      </c>
    </row>
    <row r="371" customFormat="false" ht="15" hidden="false" customHeight="false" outlineLevel="0" collapsed="false">
      <c r="A371" s="2" t="n">
        <v>365</v>
      </c>
      <c r="B371" s="15" t="n">
        <f aca="false">INT(A371/151)</f>
        <v>2</v>
      </c>
      <c r="C371" s="15" t="n">
        <f aca="false">MOD(A371,151)</f>
        <v>63</v>
      </c>
      <c r="D371" s="15" t="n">
        <f aca="false">INDEX(Grid!$J$6:$P$156,C371+1,B371+1)</f>
        <v>1</v>
      </c>
      <c r="E371" s="16" t="n">
        <f aca="false">IF(D371=1,INDEX(Grid!$B$6:$H$156,C371+1,B371+1),"")</f>
        <v>326.900609123818</v>
      </c>
      <c r="F371" s="13" t="n">
        <f aca="false">Val_pt*(Ceiling_e-E_zero)*(1-(1-Half_gap)^B371)</f>
        <v>105</v>
      </c>
      <c r="G371" s="15" t="n">
        <f aca="false">C371</f>
        <v>63</v>
      </c>
      <c r="H371" s="15" t="n">
        <f aca="false">IF(D371=1,INDEX(Grid!$R$6:$X$156,C371+1,B371+1),"")</f>
        <v>48</v>
      </c>
      <c r="I371" s="2" t="str">
        <f aca="false">IF(D371=1,INDEX(Sch_label,H371+1),"")</f>
        <v>1, 2</v>
      </c>
      <c r="J371" s="15" t="n">
        <f aca="false">IF(D371=1,INDEX(Grid!$Z$6:$AF$156,C371+1,B371+1),0)</f>
        <v>1</v>
      </c>
      <c r="K371" s="16" t="n">
        <f aca="false">IF(J371=1,E371,0)</f>
        <v>326.900609123818</v>
      </c>
      <c r="L371" s="17" t="n">
        <f aca="false">IF(D371=1,E371+W_board*F371,"")</f>
        <v>919.598235680284</v>
      </c>
      <c r="M371" s="24" t="n">
        <v>1</v>
      </c>
      <c r="N371" s="25" t="n">
        <v>0.725713962391745</v>
      </c>
      <c r="O371" s="25" t="n">
        <v>0.001</v>
      </c>
      <c r="P371" s="25" t="n">
        <v>0.273286037608255</v>
      </c>
      <c r="Z371" s="12" t="n">
        <f aca="false">IF(AND($J371=1,$M371=1),N371*E371/Span_P+O371*F371/Span_S+P371*G371/Span_B,"")</f>
        <v>0.771469252059501</v>
      </c>
      <c r="AA371" s="12" t="n">
        <f aca="false">IF(AND($J371=1,$M371=1),SUMPRODUCT(MAX($J$6:$J$1062*(N371*$K$6:$K$1062/Span_P+O371*$F$6:$F$1062/Span_S+P371*$G$6:$G$1062/Span_B)-(1-$J$6:$J$1062)*1000000000)),"")</f>
        <v>0.771469252059502</v>
      </c>
      <c r="AB371" s="15" t="n">
        <f aca="false">IF(AND($J371=1,$M371=1),IF(AA371-Z371&lt;=0.000000001,1,0),"")</f>
        <v>1</v>
      </c>
      <c r="AC371" s="13" t="str">
        <f aca="false">IF(AND($J371=1,$M371=0),IF(S371="",0,S371*INDEX(Grid!$B$6:$H$156,R371+1,Q371+1))+IF(V371="",0,V371*INDEX(Grid!$B$6:$H$156,U371+1,T371+1))+IF(Y371="",0,Y371*INDEX(Grid!$B$6:$H$156,X371+1,W371+1)),"")</f>
        <v/>
      </c>
      <c r="AD371" s="13" t="str">
        <f aca="false">IF(AND($J371=1,$M371=0),IF(S371="",0,S371*Val_pt*(Ceiling_e-E_zero)*(1-(1-Half_gap)^Q371))+IF(V371="",0,V371*Val_pt*(Ceiling_e-E_zero)*(1-(1-Half_gap)^T371))+IF(Y371="",0,Y371*Val_pt*(Ceiling_e-E_zero)*(1-(1-Half_gap)^W371)),"")</f>
        <v/>
      </c>
      <c r="AE371" s="13" t="str">
        <f aca="false">IF(AND($J371=1,$M371=0),IF(S371="",0,S371*R371)+IF(V371="",0,V371*U371)+IF(Y371="",0,Y371*X371),"")</f>
        <v/>
      </c>
      <c r="AF371" s="12" t="str">
        <f aca="false">IF(AND($J371=1,$M371=0),MIN((AC371-E371)/Span_P,(AD371-F371)/Span_S,(AE371-G371)/Span_B),"")</f>
        <v/>
      </c>
      <c r="AG371" s="15" t="str">
        <f aca="false">IF(AND($J371=1,$M371=0),IF(AF371&gt;0.0000001,1,0),"")</f>
        <v/>
      </c>
      <c r="AH371" s="15" t="n">
        <f aca="false">IF($J371=1,IF($M371=1,AB371,AG371),"")</f>
        <v>1</v>
      </c>
      <c r="AI371" s="13" t="n">
        <f aca="false">IF($J371=1,(Ideal_P-E371)/Span_P,"")</f>
        <v>0.158161674907264</v>
      </c>
      <c r="AJ371" s="13" t="n">
        <f aca="false">IF($J371=1,(Ideal_S-F371)/Span_S,"")</f>
        <v>0.483870967741936</v>
      </c>
      <c r="AK371" s="13" t="n">
        <f aca="false">IF($J371=1,(Ideal_B-G371)/Span_B,"")</f>
        <v>0.58</v>
      </c>
      <c r="AL371" s="12" t="n">
        <f aca="false">IF($J371=1,MAX(ChA_1*AI371,ChA_2*AJ371,ChA_3*AK371)+Rho*(ChA_1*AI371+ChA_2*AJ371+ChA_3*AK371),"")</f>
        <v>0.580122203264265</v>
      </c>
      <c r="AM371" s="12" t="n">
        <f aca="false">IF($J371=1,MAX(ChB_1*AI371,ChB_2*AJ371,ChB_3*AK371)+Rho*(ChB_1*AI371+ChB_2*AJ371+ChB_3*AK371),"")</f>
        <v>0.580138019431756</v>
      </c>
      <c r="AN371" s="12" t="n">
        <f aca="false">IF($J371=1,MAX(Cx_1*(Ref_P-E371)/Span_P,Cx_2*(Ref_S-F371)/Span_S,Cx_3*(Ref_B-G371)/Span_B),"")</f>
        <v>2.09439124487004</v>
      </c>
    </row>
    <row r="372" customFormat="false" ht="15" hidden="false" customHeight="false" outlineLevel="0" collapsed="false">
      <c r="A372" s="2" t="n">
        <v>366</v>
      </c>
      <c r="B372" s="15" t="n">
        <f aca="false">INT(A372/151)</f>
        <v>2</v>
      </c>
      <c r="C372" s="15" t="n">
        <f aca="false">MOD(A372,151)</f>
        <v>64</v>
      </c>
      <c r="D372" s="15" t="n">
        <f aca="false">INDEX(Grid!$J$6:$P$156,C372+1,B372+1)</f>
        <v>1</v>
      </c>
      <c r="E372" s="16" t="n">
        <f aca="false">IF(D372=1,INDEX(Grid!$B$6:$H$156,C372+1,B372+1),"")</f>
        <v>325.991518214727</v>
      </c>
      <c r="F372" s="13" t="n">
        <f aca="false">Val_pt*(Ceiling_e-E_zero)*(1-(1-Half_gap)^B372)</f>
        <v>105</v>
      </c>
      <c r="G372" s="15" t="n">
        <f aca="false">C372</f>
        <v>64</v>
      </c>
      <c r="H372" s="15" t="n">
        <f aca="false">IF(D372=1,INDEX(Grid!$R$6:$X$156,C372+1,B372+1),"")</f>
        <v>48</v>
      </c>
      <c r="I372" s="2" t="str">
        <f aca="false">IF(D372=1,INDEX(Sch_label,H372+1),"")</f>
        <v>1, 2</v>
      </c>
      <c r="J372" s="15" t="n">
        <f aca="false">IF(D372=1,INDEX(Grid!$Z$6:$AF$156,C372+1,B372+1),0)</f>
        <v>1</v>
      </c>
      <c r="K372" s="16" t="n">
        <f aca="false">IF(J372=1,E372,0)</f>
        <v>325.991518214727</v>
      </c>
      <c r="L372" s="17" t="n">
        <f aca="false">IF(D372=1,E372+W_board*F372,"")</f>
        <v>918.689144771193</v>
      </c>
      <c r="M372" s="24" t="n">
        <v>1</v>
      </c>
      <c r="N372" s="25" t="n">
        <v>0.725713962391744</v>
      </c>
      <c r="O372" s="25" t="n">
        <v>0.001</v>
      </c>
      <c r="P372" s="25" t="n">
        <v>0.273286037608256</v>
      </c>
      <c r="Z372" s="12" t="n">
        <f aca="false">IF(AND($J372=1,$M372=1),N372*E372/Span_P+O372*F372/Span_S+P372*G372/Span_B,"")</f>
        <v>0.7714692520595</v>
      </c>
      <c r="AA372" s="12" t="n">
        <f aca="false">IF(AND($J372=1,$M372=1),SUMPRODUCT(MAX($J$6:$J$1062*(N372*$K$6:$K$1062/Span_P+O372*$F$6:$F$1062/Span_S+P372*$G$6:$G$1062/Span_B)-(1-$J$6:$J$1062)*1000000000)),"")</f>
        <v>0.771469252059502</v>
      </c>
      <c r="AB372" s="15" t="n">
        <f aca="false">IF(AND($J372=1,$M372=1),IF(AA372-Z372&lt;=0.000000001,1,0),"")</f>
        <v>1</v>
      </c>
      <c r="AC372" s="13" t="str">
        <f aca="false">IF(AND($J372=1,$M372=0),IF(S372="",0,S372*INDEX(Grid!$B$6:$H$156,R372+1,Q372+1))+IF(V372="",0,V372*INDEX(Grid!$B$6:$H$156,U372+1,T372+1))+IF(Y372="",0,Y372*INDEX(Grid!$B$6:$H$156,X372+1,W372+1)),"")</f>
        <v/>
      </c>
      <c r="AD372" s="13" t="str">
        <f aca="false">IF(AND($J372=1,$M372=0),IF(S372="",0,S372*Val_pt*(Ceiling_e-E_zero)*(1-(1-Half_gap)^Q372))+IF(V372="",0,V372*Val_pt*(Ceiling_e-E_zero)*(1-(1-Half_gap)^T372))+IF(Y372="",0,Y372*Val_pt*(Ceiling_e-E_zero)*(1-(1-Half_gap)^W372)),"")</f>
        <v/>
      </c>
      <c r="AE372" s="13" t="str">
        <f aca="false">IF(AND($J372=1,$M372=0),IF(S372="",0,S372*R372)+IF(V372="",0,V372*U372)+IF(Y372="",0,Y372*X372),"")</f>
        <v/>
      </c>
      <c r="AF372" s="12" t="str">
        <f aca="false">IF(AND($J372=1,$M372=0),MIN((AC372-E372)/Span_P,(AD372-F372)/Span_S,(AE372-G372)/Span_B),"")</f>
        <v/>
      </c>
      <c r="AG372" s="15" t="str">
        <f aca="false">IF(AND($J372=1,$M372=0),IF(AF372&gt;0.0000001,1,0),"")</f>
        <v/>
      </c>
      <c r="AH372" s="15" t="n">
        <f aca="false">IF($J372=1,IF($M372=1,AB372,AG372),"")</f>
        <v>1</v>
      </c>
      <c r="AI372" s="13" t="n">
        <f aca="false">IF($J372=1,(Ideal_P-E372)/Span_P,"")</f>
        <v>0.160672177683569</v>
      </c>
      <c r="AJ372" s="13" t="n">
        <f aca="false">IF($J372=1,(Ideal_S-F372)/Span_S,"")</f>
        <v>0.483870967741936</v>
      </c>
      <c r="AK372" s="13" t="n">
        <f aca="false">IF($J372=1,(Ideal_B-G372)/Span_B,"")</f>
        <v>0.573333333333333</v>
      </c>
      <c r="AL372" s="12" t="n">
        <f aca="false">IF($J372=1,MAX(ChA_1*AI372,ChA_2*AJ372,ChA_3*AK372)+Rho*(ChA_1*AI372+ChA_2*AJ372+ChA_3*AK372),"")</f>
        <v>0.573455120981209</v>
      </c>
      <c r="AM372" s="12" t="n">
        <f aca="false">IF($J372=1,MAX(ChB_1*AI372,ChB_2*AJ372,ChB_3*AK372)+Rho*(ChB_1*AI372+ChB_2*AJ372+ChB_3*AK372),"")</f>
        <v>0.573471188198978</v>
      </c>
      <c r="AN372" s="12" t="n">
        <f aca="false">IF($J372=1,MAX(Cx_1*(Ref_P-E372)/Span_P,Cx_2*(Ref_S-F372)/Span_S,Cx_3*(Ref_B-G372)/Span_B),"")</f>
        <v>2.09439124487004</v>
      </c>
    </row>
    <row r="373" customFormat="false" ht="15" hidden="false" customHeight="false" outlineLevel="0" collapsed="false">
      <c r="A373" s="2" t="n">
        <v>367</v>
      </c>
      <c r="B373" s="15" t="n">
        <f aca="false">INT(A373/151)</f>
        <v>2</v>
      </c>
      <c r="C373" s="15" t="n">
        <f aca="false">MOD(A373,151)</f>
        <v>65</v>
      </c>
      <c r="D373" s="15" t="n">
        <f aca="false">INDEX(Grid!$J$6:$P$156,C373+1,B373+1)</f>
        <v>1</v>
      </c>
      <c r="E373" s="16" t="n">
        <f aca="false">IF(D373=1,INDEX(Grid!$B$6:$H$156,C373+1,B373+1),"")</f>
        <v>325.082427305636</v>
      </c>
      <c r="F373" s="13" t="n">
        <f aca="false">Val_pt*(Ceiling_e-E_zero)*(1-(1-Half_gap)^B373)</f>
        <v>105</v>
      </c>
      <c r="G373" s="15" t="n">
        <f aca="false">C373</f>
        <v>65</v>
      </c>
      <c r="H373" s="15" t="n">
        <f aca="false">IF(D373=1,INDEX(Grid!$R$6:$X$156,C373+1,B373+1),"")</f>
        <v>48</v>
      </c>
      <c r="I373" s="2" t="str">
        <f aca="false">IF(D373=1,INDEX(Sch_label,H373+1),"")</f>
        <v>1, 2</v>
      </c>
      <c r="J373" s="15" t="n">
        <f aca="false">IF(D373=1,INDEX(Grid!$Z$6:$AF$156,C373+1,B373+1),0)</f>
        <v>1</v>
      </c>
      <c r="K373" s="16" t="n">
        <f aca="false">IF(J373=1,E373,0)</f>
        <v>325.082427305636</v>
      </c>
      <c r="L373" s="17" t="n">
        <f aca="false">IF(D373=1,E373+W_board*F373,"")</f>
        <v>917.780053862102</v>
      </c>
      <c r="M373" s="24" t="n">
        <v>1</v>
      </c>
      <c r="N373" s="25" t="n">
        <v>0.725713962391753</v>
      </c>
      <c r="O373" s="25" t="n">
        <v>0.001</v>
      </c>
      <c r="P373" s="25" t="n">
        <v>0.273286037608248</v>
      </c>
      <c r="Z373" s="12" t="n">
        <f aca="false">IF(AND($J373=1,$M373=1),N373*E373/Span_P+O373*F373/Span_S+P373*G373/Span_B,"")</f>
        <v>0.771469252059504</v>
      </c>
      <c r="AA373" s="12" t="n">
        <f aca="false">IF(AND($J373=1,$M373=1),SUMPRODUCT(MAX($J$6:$J$1062*(N373*$K$6:$K$1062/Span_P+O373*$F$6:$F$1062/Span_S+P373*$G$6:$G$1062/Span_B)-(1-$J$6:$J$1062)*1000000000)),"")</f>
        <v>0.771469252059507</v>
      </c>
      <c r="AB373" s="15" t="n">
        <f aca="false">IF(AND($J373=1,$M373=1),IF(AA373-Z373&lt;=0.000000001,1,0),"")</f>
        <v>1</v>
      </c>
      <c r="AC373" s="13" t="str">
        <f aca="false">IF(AND($J373=1,$M373=0),IF(S373="",0,S373*INDEX(Grid!$B$6:$H$156,R373+1,Q373+1))+IF(V373="",0,V373*INDEX(Grid!$B$6:$H$156,U373+1,T373+1))+IF(Y373="",0,Y373*INDEX(Grid!$B$6:$H$156,X373+1,W373+1)),"")</f>
        <v/>
      </c>
      <c r="AD373" s="13" t="str">
        <f aca="false">IF(AND($J373=1,$M373=0),IF(S373="",0,S373*Val_pt*(Ceiling_e-E_zero)*(1-(1-Half_gap)^Q373))+IF(V373="",0,V373*Val_pt*(Ceiling_e-E_zero)*(1-(1-Half_gap)^T373))+IF(Y373="",0,Y373*Val_pt*(Ceiling_e-E_zero)*(1-(1-Half_gap)^W373)),"")</f>
        <v/>
      </c>
      <c r="AE373" s="13" t="str">
        <f aca="false">IF(AND($J373=1,$M373=0),IF(S373="",0,S373*R373)+IF(V373="",0,V373*U373)+IF(Y373="",0,Y373*X373),"")</f>
        <v/>
      </c>
      <c r="AF373" s="12" t="str">
        <f aca="false">IF(AND($J373=1,$M373=0),MIN((AC373-E373)/Span_P,(AD373-F373)/Span_S,(AE373-G373)/Span_B),"")</f>
        <v/>
      </c>
      <c r="AG373" s="15" t="str">
        <f aca="false">IF(AND($J373=1,$M373=0),IF(AF373&gt;0.0000001,1,0),"")</f>
        <v/>
      </c>
      <c r="AH373" s="15" t="n">
        <f aca="false">IF($J373=1,IF($M373=1,AB373,AG373),"")</f>
        <v>1</v>
      </c>
      <c r="AI373" s="13" t="n">
        <f aca="false">IF($J373=1,(Ideal_P-E373)/Span_P,"")</f>
        <v>0.163182680459875</v>
      </c>
      <c r="AJ373" s="13" t="n">
        <f aca="false">IF($J373=1,(Ideal_S-F373)/Span_S,"")</f>
        <v>0.483870967741936</v>
      </c>
      <c r="AK373" s="13" t="n">
        <f aca="false">IF($J373=1,(Ideal_B-G373)/Span_B,"")</f>
        <v>0.566666666666667</v>
      </c>
      <c r="AL373" s="12" t="n">
        <f aca="false">IF($J373=1,MAX(ChA_1*AI373,ChA_2*AJ373,ChA_3*AK373)+Rho*(ChA_1*AI373+ChA_2*AJ373+ChA_3*AK373),"")</f>
        <v>0.566788038698154</v>
      </c>
      <c r="AM373" s="12" t="n">
        <f aca="false">IF($J373=1,MAX(ChB_1*AI373,ChB_2*AJ373,ChB_3*AK373)+Rho*(ChB_1*AI373+ChB_2*AJ373+ChB_3*AK373),"")</f>
        <v>0.5668043569662</v>
      </c>
      <c r="AN373" s="12" t="n">
        <f aca="false">IF($J373=1,MAX(Cx_1*(Ref_P-E373)/Span_P,Cx_2*(Ref_S-F373)/Span_S,Cx_3*(Ref_B-G373)/Span_B),"")</f>
        <v>2.09439124487004</v>
      </c>
    </row>
    <row r="374" customFormat="false" ht="15" hidden="false" customHeight="false" outlineLevel="0" collapsed="false">
      <c r="A374" s="2" t="n">
        <v>368</v>
      </c>
      <c r="B374" s="15" t="n">
        <f aca="false">INT(A374/151)</f>
        <v>2</v>
      </c>
      <c r="C374" s="15" t="n">
        <f aca="false">MOD(A374,151)</f>
        <v>66</v>
      </c>
      <c r="D374" s="15" t="n">
        <f aca="false">INDEX(Grid!$J$6:$P$156,C374+1,B374+1)</f>
        <v>1</v>
      </c>
      <c r="E374" s="16" t="n">
        <f aca="false">IF(D374=1,INDEX(Grid!$B$6:$H$156,C374+1,B374+1),"")</f>
        <v>324.173336396545</v>
      </c>
      <c r="F374" s="13" t="n">
        <f aca="false">Val_pt*(Ceiling_e-E_zero)*(1-(1-Half_gap)^B374)</f>
        <v>105</v>
      </c>
      <c r="G374" s="15" t="n">
        <f aca="false">C374</f>
        <v>66</v>
      </c>
      <c r="H374" s="15" t="n">
        <f aca="false">IF(D374=1,INDEX(Grid!$R$6:$X$156,C374+1,B374+1),"")</f>
        <v>48</v>
      </c>
      <c r="I374" s="2" t="str">
        <f aca="false">IF(D374=1,INDEX(Sch_label,H374+1),"")</f>
        <v>1, 2</v>
      </c>
      <c r="J374" s="15" t="n">
        <f aca="false">IF(D374=1,INDEX(Grid!$Z$6:$AF$156,C374+1,B374+1),0)</f>
        <v>1</v>
      </c>
      <c r="K374" s="16" t="n">
        <f aca="false">IF(J374=1,E374,0)</f>
        <v>324.173336396545</v>
      </c>
      <c r="L374" s="17" t="n">
        <f aca="false">IF(D374=1,E374+W_board*F374,"")</f>
        <v>916.870962953011</v>
      </c>
      <c r="M374" s="24" t="n">
        <v>1</v>
      </c>
      <c r="N374" s="25" t="n">
        <v>0.725713962391744</v>
      </c>
      <c r="O374" s="25" t="n">
        <v>0.001</v>
      </c>
      <c r="P374" s="25" t="n">
        <v>0.273286037608256</v>
      </c>
      <c r="Z374" s="12" t="n">
        <f aca="false">IF(AND($J374=1,$M374=1),N374*E374/Span_P+O374*F374/Span_S+P374*G374/Span_B,"")</f>
        <v>0.7714692520595</v>
      </c>
      <c r="AA374" s="12" t="n">
        <f aca="false">IF(AND($J374=1,$M374=1),SUMPRODUCT(MAX($J$6:$J$1062*(N374*$K$6:$K$1062/Span_P+O374*$F$6:$F$1062/Span_S+P374*$G$6:$G$1062/Span_B)-(1-$J$6:$J$1062)*1000000000)),"")</f>
        <v>0.771469252059502</v>
      </c>
      <c r="AB374" s="15" t="n">
        <f aca="false">IF(AND($J374=1,$M374=1),IF(AA374-Z374&lt;=0.000000001,1,0),"")</f>
        <v>1</v>
      </c>
      <c r="AC374" s="13" t="str">
        <f aca="false">IF(AND($J374=1,$M374=0),IF(S374="",0,S374*INDEX(Grid!$B$6:$H$156,R374+1,Q374+1))+IF(V374="",0,V374*INDEX(Grid!$B$6:$H$156,U374+1,T374+1))+IF(Y374="",0,Y374*INDEX(Grid!$B$6:$H$156,X374+1,W374+1)),"")</f>
        <v/>
      </c>
      <c r="AD374" s="13" t="str">
        <f aca="false">IF(AND($J374=1,$M374=0),IF(S374="",0,S374*Val_pt*(Ceiling_e-E_zero)*(1-(1-Half_gap)^Q374))+IF(V374="",0,V374*Val_pt*(Ceiling_e-E_zero)*(1-(1-Half_gap)^T374))+IF(Y374="",0,Y374*Val_pt*(Ceiling_e-E_zero)*(1-(1-Half_gap)^W374)),"")</f>
        <v/>
      </c>
      <c r="AE374" s="13" t="str">
        <f aca="false">IF(AND($J374=1,$M374=0),IF(S374="",0,S374*R374)+IF(V374="",0,V374*U374)+IF(Y374="",0,Y374*X374),"")</f>
        <v/>
      </c>
      <c r="AF374" s="12" t="str">
        <f aca="false">IF(AND($J374=1,$M374=0),MIN((AC374-E374)/Span_P,(AD374-F374)/Span_S,(AE374-G374)/Span_B),"")</f>
        <v/>
      </c>
      <c r="AG374" s="15" t="str">
        <f aca="false">IF(AND($J374=1,$M374=0),IF(AF374&gt;0.0000001,1,0),"")</f>
        <v/>
      </c>
      <c r="AH374" s="15" t="n">
        <f aca="false">IF($J374=1,IF($M374=1,AB374,AG374),"")</f>
        <v>1</v>
      </c>
      <c r="AI374" s="13" t="n">
        <f aca="false">IF($J374=1,(Ideal_P-E374)/Span_P,"")</f>
        <v>0.165693183236181</v>
      </c>
      <c r="AJ374" s="13" t="n">
        <f aca="false">IF($J374=1,(Ideal_S-F374)/Span_S,"")</f>
        <v>0.483870967741936</v>
      </c>
      <c r="AK374" s="13" t="n">
        <f aca="false">IF($J374=1,(Ideal_B-G374)/Span_B,"")</f>
        <v>0.56</v>
      </c>
      <c r="AL374" s="12" t="n">
        <f aca="false">IF($J374=1,MAX(ChA_1*AI374,ChA_2*AJ374,ChA_3*AK374)+Rho*(ChA_1*AI374+ChA_2*AJ374+ChA_3*AK374),"")</f>
        <v>0.560120956415098</v>
      </c>
      <c r="AM374" s="12" t="n">
        <f aca="false">IF($J374=1,MAX(ChB_1*AI374,ChB_2*AJ374,ChB_3*AK374)+Rho*(ChB_1*AI374+ChB_2*AJ374+ChB_3*AK374),"")</f>
        <v>0.560137525733422</v>
      </c>
      <c r="AN374" s="12" t="n">
        <f aca="false">IF($J374=1,MAX(Cx_1*(Ref_P-E374)/Span_P,Cx_2*(Ref_S-F374)/Span_S,Cx_3*(Ref_B-G374)/Span_B),"")</f>
        <v>2.09439124487004</v>
      </c>
    </row>
    <row r="375" customFormat="false" ht="15" hidden="false" customHeight="false" outlineLevel="0" collapsed="false">
      <c r="A375" s="2" t="n">
        <v>369</v>
      </c>
      <c r="B375" s="15" t="n">
        <f aca="false">INT(A375/151)</f>
        <v>2</v>
      </c>
      <c r="C375" s="15" t="n">
        <f aca="false">MOD(A375,151)</f>
        <v>67</v>
      </c>
      <c r="D375" s="15" t="n">
        <f aca="false">INDEX(Grid!$J$6:$P$156,C375+1,B375+1)</f>
        <v>1</v>
      </c>
      <c r="E375" s="16" t="n">
        <f aca="false">IF(D375=1,INDEX(Grid!$B$6:$H$156,C375+1,B375+1),"")</f>
        <v>323.264245487454</v>
      </c>
      <c r="F375" s="13" t="n">
        <f aca="false">Val_pt*(Ceiling_e-E_zero)*(1-(1-Half_gap)^B375)</f>
        <v>105</v>
      </c>
      <c r="G375" s="15" t="n">
        <f aca="false">C375</f>
        <v>67</v>
      </c>
      <c r="H375" s="15" t="n">
        <f aca="false">IF(D375=1,INDEX(Grid!$R$6:$X$156,C375+1,B375+1),"")</f>
        <v>48</v>
      </c>
      <c r="I375" s="2" t="str">
        <f aca="false">IF(D375=1,INDEX(Sch_label,H375+1),"")</f>
        <v>1, 2</v>
      </c>
      <c r="J375" s="15" t="n">
        <f aca="false">IF(D375=1,INDEX(Grid!$Z$6:$AF$156,C375+1,B375+1),0)</f>
        <v>1</v>
      </c>
      <c r="K375" s="16" t="n">
        <f aca="false">IF(J375=1,E375,0)</f>
        <v>323.264245487454</v>
      </c>
      <c r="L375" s="17" t="n">
        <f aca="false">IF(D375=1,E375+W_board*F375,"")</f>
        <v>915.96187204392</v>
      </c>
      <c r="M375" s="24" t="n">
        <v>1</v>
      </c>
      <c r="N375" s="25" t="n">
        <v>0.725713962391753</v>
      </c>
      <c r="O375" s="25" t="n">
        <v>0.001</v>
      </c>
      <c r="P375" s="25" t="n">
        <v>0.273286037608248</v>
      </c>
      <c r="Z375" s="12" t="n">
        <f aca="false">IF(AND($J375=1,$M375=1),N375*E375/Span_P+O375*F375/Span_S+P375*G375/Span_B,"")</f>
        <v>0.771469252059504</v>
      </c>
      <c r="AA375" s="12" t="n">
        <f aca="false">IF(AND($J375=1,$M375=1),SUMPRODUCT(MAX($J$6:$J$1062*(N375*$K$6:$K$1062/Span_P+O375*$F$6:$F$1062/Span_S+P375*$G$6:$G$1062/Span_B)-(1-$J$6:$J$1062)*1000000000)),"")</f>
        <v>0.771469252059507</v>
      </c>
      <c r="AB375" s="15" t="n">
        <f aca="false">IF(AND($J375=1,$M375=1),IF(AA375-Z375&lt;=0.000000001,1,0),"")</f>
        <v>1</v>
      </c>
      <c r="AC375" s="13" t="str">
        <f aca="false">IF(AND($J375=1,$M375=0),IF(S375="",0,S375*INDEX(Grid!$B$6:$H$156,R375+1,Q375+1))+IF(V375="",0,V375*INDEX(Grid!$B$6:$H$156,U375+1,T375+1))+IF(Y375="",0,Y375*INDEX(Grid!$B$6:$H$156,X375+1,W375+1)),"")</f>
        <v/>
      </c>
      <c r="AD375" s="13" t="str">
        <f aca="false">IF(AND($J375=1,$M375=0),IF(S375="",0,S375*Val_pt*(Ceiling_e-E_zero)*(1-(1-Half_gap)^Q375))+IF(V375="",0,V375*Val_pt*(Ceiling_e-E_zero)*(1-(1-Half_gap)^T375))+IF(Y375="",0,Y375*Val_pt*(Ceiling_e-E_zero)*(1-(1-Half_gap)^W375)),"")</f>
        <v/>
      </c>
      <c r="AE375" s="13" t="str">
        <f aca="false">IF(AND($J375=1,$M375=0),IF(S375="",0,S375*R375)+IF(V375="",0,V375*U375)+IF(Y375="",0,Y375*X375),"")</f>
        <v/>
      </c>
      <c r="AF375" s="12" t="str">
        <f aca="false">IF(AND($J375=1,$M375=0),MIN((AC375-E375)/Span_P,(AD375-F375)/Span_S,(AE375-G375)/Span_B),"")</f>
        <v/>
      </c>
      <c r="AG375" s="15" t="str">
        <f aca="false">IF(AND($J375=1,$M375=0),IF(AF375&gt;0.0000001,1,0),"")</f>
        <v/>
      </c>
      <c r="AH375" s="15" t="n">
        <f aca="false">IF($J375=1,IF($M375=1,AB375,AG375),"")</f>
        <v>1</v>
      </c>
      <c r="AI375" s="13" t="n">
        <f aca="false">IF($J375=1,(Ideal_P-E375)/Span_P,"")</f>
        <v>0.168203686012487</v>
      </c>
      <c r="AJ375" s="13" t="n">
        <f aca="false">IF($J375=1,(Ideal_S-F375)/Span_S,"")</f>
        <v>0.483870967741936</v>
      </c>
      <c r="AK375" s="13" t="n">
        <f aca="false">IF($J375=1,(Ideal_B-G375)/Span_B,"")</f>
        <v>0.553333333333333</v>
      </c>
      <c r="AL375" s="12" t="n">
        <f aca="false">IF($J375=1,MAX(ChA_1*AI375,ChA_2*AJ375,ChA_3*AK375)+Rho*(ChA_1*AI375+ChA_2*AJ375+ChA_3*AK375),"")</f>
        <v>0.553453874132042</v>
      </c>
      <c r="AM375" s="12" t="n">
        <f aca="false">IF($J375=1,MAX(ChB_1*AI375,ChB_2*AJ375,ChB_3*AK375)+Rho*(ChB_1*AI375+ChB_2*AJ375+ChB_3*AK375),"")</f>
        <v>0.553470694500643</v>
      </c>
      <c r="AN375" s="12" t="n">
        <f aca="false">IF($J375=1,MAX(Cx_1*(Ref_P-E375)/Span_P,Cx_2*(Ref_S-F375)/Span_S,Cx_3*(Ref_B-G375)/Span_B),"")</f>
        <v>2.09439124487004</v>
      </c>
    </row>
    <row r="376" customFormat="false" ht="15" hidden="false" customHeight="false" outlineLevel="0" collapsed="false">
      <c r="A376" s="2" t="n">
        <v>370</v>
      </c>
      <c r="B376" s="15" t="n">
        <f aca="false">INT(A376/151)</f>
        <v>2</v>
      </c>
      <c r="C376" s="15" t="n">
        <f aca="false">MOD(A376,151)</f>
        <v>68</v>
      </c>
      <c r="D376" s="15" t="n">
        <f aca="false">INDEX(Grid!$J$6:$P$156,C376+1,B376+1)</f>
        <v>1</v>
      </c>
      <c r="E376" s="16" t="n">
        <f aca="false">IF(D376=1,INDEX(Grid!$B$6:$H$156,C376+1,B376+1),"")</f>
        <v>322.355154578363</v>
      </c>
      <c r="F376" s="13" t="n">
        <f aca="false">Val_pt*(Ceiling_e-E_zero)*(1-(1-Half_gap)^B376)</f>
        <v>105</v>
      </c>
      <c r="G376" s="15" t="n">
        <f aca="false">C376</f>
        <v>68</v>
      </c>
      <c r="H376" s="15" t="n">
        <f aca="false">IF(D376=1,INDEX(Grid!$R$6:$X$156,C376+1,B376+1),"")</f>
        <v>48</v>
      </c>
      <c r="I376" s="2" t="str">
        <f aca="false">IF(D376=1,INDEX(Sch_label,H376+1),"")</f>
        <v>1, 2</v>
      </c>
      <c r="J376" s="15" t="n">
        <f aca="false">IF(D376=1,INDEX(Grid!$Z$6:$AF$156,C376+1,B376+1),0)</f>
        <v>1</v>
      </c>
      <c r="K376" s="16" t="n">
        <f aca="false">IF(J376=1,E376,0)</f>
        <v>322.355154578363</v>
      </c>
      <c r="L376" s="17" t="n">
        <f aca="false">IF(D376=1,E376+W_board*F376,"")</f>
        <v>915.05278113483</v>
      </c>
      <c r="M376" s="24" t="n">
        <v>1</v>
      </c>
      <c r="N376" s="25" t="n">
        <v>0.725713962391745</v>
      </c>
      <c r="O376" s="25" t="n">
        <v>0.001</v>
      </c>
      <c r="P376" s="25" t="n">
        <v>0.273286037608255</v>
      </c>
      <c r="Z376" s="12" t="n">
        <f aca="false">IF(AND($J376=1,$M376=1),N376*E376/Span_P+O376*F376/Span_S+P376*G376/Span_B,"")</f>
        <v>0.771469252059501</v>
      </c>
      <c r="AA376" s="12" t="n">
        <f aca="false">IF(AND($J376=1,$M376=1),SUMPRODUCT(MAX($J$6:$J$1062*(N376*$K$6:$K$1062/Span_P+O376*$F$6:$F$1062/Span_S+P376*$G$6:$G$1062/Span_B)-(1-$J$6:$J$1062)*1000000000)),"")</f>
        <v>0.771469252059502</v>
      </c>
      <c r="AB376" s="15" t="n">
        <f aca="false">IF(AND($J376=1,$M376=1),IF(AA376-Z376&lt;=0.000000001,1,0),"")</f>
        <v>1</v>
      </c>
      <c r="AC376" s="13" t="str">
        <f aca="false">IF(AND($J376=1,$M376=0),IF(S376="",0,S376*INDEX(Grid!$B$6:$H$156,R376+1,Q376+1))+IF(V376="",0,V376*INDEX(Grid!$B$6:$H$156,U376+1,T376+1))+IF(Y376="",0,Y376*INDEX(Grid!$B$6:$H$156,X376+1,W376+1)),"")</f>
        <v/>
      </c>
      <c r="AD376" s="13" t="str">
        <f aca="false">IF(AND($J376=1,$M376=0),IF(S376="",0,S376*Val_pt*(Ceiling_e-E_zero)*(1-(1-Half_gap)^Q376))+IF(V376="",0,V376*Val_pt*(Ceiling_e-E_zero)*(1-(1-Half_gap)^T376))+IF(Y376="",0,Y376*Val_pt*(Ceiling_e-E_zero)*(1-(1-Half_gap)^W376)),"")</f>
        <v/>
      </c>
      <c r="AE376" s="13" t="str">
        <f aca="false">IF(AND($J376=1,$M376=0),IF(S376="",0,S376*R376)+IF(V376="",0,V376*U376)+IF(Y376="",0,Y376*X376),"")</f>
        <v/>
      </c>
      <c r="AF376" s="12" t="str">
        <f aca="false">IF(AND($J376=1,$M376=0),MIN((AC376-E376)/Span_P,(AD376-F376)/Span_S,(AE376-G376)/Span_B),"")</f>
        <v/>
      </c>
      <c r="AG376" s="15" t="str">
        <f aca="false">IF(AND($J376=1,$M376=0),IF(AF376&gt;0.0000001,1,0),"")</f>
        <v/>
      </c>
      <c r="AH376" s="15" t="n">
        <f aca="false">IF($J376=1,IF($M376=1,AB376,AG376),"")</f>
        <v>1</v>
      </c>
      <c r="AI376" s="13" t="n">
        <f aca="false">IF($J376=1,(Ideal_P-E376)/Span_P,"")</f>
        <v>0.170714188788792</v>
      </c>
      <c r="AJ376" s="13" t="n">
        <f aca="false">IF($J376=1,(Ideal_S-F376)/Span_S,"")</f>
        <v>0.483870967741936</v>
      </c>
      <c r="AK376" s="13" t="n">
        <f aca="false">IF($J376=1,(Ideal_B-G376)/Span_B,"")</f>
        <v>0.546666666666667</v>
      </c>
      <c r="AL376" s="12" t="n">
        <f aca="false">IF($J376=1,MAX(ChA_1*AI376,ChA_2*AJ376,ChA_3*AK376)+Rho*(ChA_1*AI376+ChA_2*AJ376+ChA_3*AK376),"")</f>
        <v>0.546786791848986</v>
      </c>
      <c r="AM376" s="12" t="n">
        <f aca="false">IF($J376=1,MAX(ChB_1*AI376,ChB_2*AJ376,ChB_3*AK376)+Rho*(ChB_1*AI376+ChB_2*AJ376+ChB_3*AK376),"")</f>
        <v>0.546803863267865</v>
      </c>
      <c r="AN376" s="12" t="n">
        <f aca="false">IF($J376=1,MAX(Cx_1*(Ref_P-E376)/Span_P,Cx_2*(Ref_S-F376)/Span_S,Cx_3*(Ref_B-G376)/Span_B),"")</f>
        <v>2.09439124487004</v>
      </c>
    </row>
    <row r="377" customFormat="false" ht="15" hidden="false" customHeight="false" outlineLevel="0" collapsed="false">
      <c r="A377" s="2" t="n">
        <v>371</v>
      </c>
      <c r="B377" s="15" t="n">
        <f aca="false">INT(A377/151)</f>
        <v>2</v>
      </c>
      <c r="C377" s="15" t="n">
        <f aca="false">MOD(A377,151)</f>
        <v>69</v>
      </c>
      <c r="D377" s="15" t="n">
        <f aca="false">INDEX(Grid!$J$6:$P$156,C377+1,B377+1)</f>
        <v>1</v>
      </c>
      <c r="E377" s="16" t="n">
        <f aca="false">IF(D377=1,INDEX(Grid!$B$6:$H$156,C377+1,B377+1),"")</f>
        <v>321.446063669272</v>
      </c>
      <c r="F377" s="13" t="n">
        <f aca="false">Val_pt*(Ceiling_e-E_zero)*(1-(1-Half_gap)^B377)</f>
        <v>105</v>
      </c>
      <c r="G377" s="15" t="n">
        <f aca="false">C377</f>
        <v>69</v>
      </c>
      <c r="H377" s="15" t="n">
        <f aca="false">IF(D377=1,INDEX(Grid!$R$6:$X$156,C377+1,B377+1),"")</f>
        <v>48</v>
      </c>
      <c r="I377" s="2" t="str">
        <f aca="false">IF(D377=1,INDEX(Sch_label,H377+1),"")</f>
        <v>1, 2</v>
      </c>
      <c r="J377" s="15" t="n">
        <f aca="false">IF(D377=1,INDEX(Grid!$Z$6:$AF$156,C377+1,B377+1),0)</f>
        <v>1</v>
      </c>
      <c r="K377" s="16" t="n">
        <f aca="false">IF(J377=1,E377,0)</f>
        <v>321.446063669272</v>
      </c>
      <c r="L377" s="17" t="n">
        <f aca="false">IF(D377=1,E377+W_board*F377,"")</f>
        <v>914.143690225739</v>
      </c>
      <c r="M377" s="24" t="n">
        <v>1</v>
      </c>
      <c r="N377" s="25" t="n">
        <v>0.725713962391753</v>
      </c>
      <c r="O377" s="25" t="n">
        <v>0.001</v>
      </c>
      <c r="P377" s="25" t="n">
        <v>0.273286037608248</v>
      </c>
      <c r="Z377" s="12" t="n">
        <f aca="false">IF(AND($J377=1,$M377=1),N377*E377/Span_P+O377*F377/Span_S+P377*G377/Span_B,"")</f>
        <v>0.771469252059504</v>
      </c>
      <c r="AA377" s="12" t="n">
        <f aca="false">IF(AND($J377=1,$M377=1),SUMPRODUCT(MAX($J$6:$J$1062*(N377*$K$6:$K$1062/Span_P+O377*$F$6:$F$1062/Span_S+P377*$G$6:$G$1062/Span_B)-(1-$J$6:$J$1062)*1000000000)),"")</f>
        <v>0.771469252059507</v>
      </c>
      <c r="AB377" s="15" t="n">
        <f aca="false">IF(AND($J377=1,$M377=1),IF(AA377-Z377&lt;=0.000000001,1,0),"")</f>
        <v>1</v>
      </c>
      <c r="AC377" s="13" t="str">
        <f aca="false">IF(AND($J377=1,$M377=0),IF(S377="",0,S377*INDEX(Grid!$B$6:$H$156,R377+1,Q377+1))+IF(V377="",0,V377*INDEX(Grid!$B$6:$H$156,U377+1,T377+1))+IF(Y377="",0,Y377*INDEX(Grid!$B$6:$H$156,X377+1,W377+1)),"")</f>
        <v/>
      </c>
      <c r="AD377" s="13" t="str">
        <f aca="false">IF(AND($J377=1,$M377=0),IF(S377="",0,S377*Val_pt*(Ceiling_e-E_zero)*(1-(1-Half_gap)^Q377))+IF(V377="",0,V377*Val_pt*(Ceiling_e-E_zero)*(1-(1-Half_gap)^T377))+IF(Y377="",0,Y377*Val_pt*(Ceiling_e-E_zero)*(1-(1-Half_gap)^W377)),"")</f>
        <v/>
      </c>
      <c r="AE377" s="13" t="str">
        <f aca="false">IF(AND($J377=1,$M377=0),IF(S377="",0,S377*R377)+IF(V377="",0,V377*U377)+IF(Y377="",0,Y377*X377),"")</f>
        <v/>
      </c>
      <c r="AF377" s="12" t="str">
        <f aca="false">IF(AND($J377=1,$M377=0),MIN((AC377-E377)/Span_P,(AD377-F377)/Span_S,(AE377-G377)/Span_B),"")</f>
        <v/>
      </c>
      <c r="AG377" s="15" t="str">
        <f aca="false">IF(AND($J377=1,$M377=0),IF(AF377&gt;0.0000001,1,0),"")</f>
        <v/>
      </c>
      <c r="AH377" s="15" t="n">
        <f aca="false">IF($J377=1,IF($M377=1,AB377,AG377),"")</f>
        <v>1</v>
      </c>
      <c r="AI377" s="13" t="n">
        <f aca="false">IF($J377=1,(Ideal_P-E377)/Span_P,"")</f>
        <v>0.173224691565098</v>
      </c>
      <c r="AJ377" s="13" t="n">
        <f aca="false">IF($J377=1,(Ideal_S-F377)/Span_S,"")</f>
        <v>0.483870967741936</v>
      </c>
      <c r="AK377" s="13" t="n">
        <f aca="false">IF($J377=1,(Ideal_B-G377)/Span_B,"")</f>
        <v>0.54</v>
      </c>
      <c r="AL377" s="12" t="n">
        <f aca="false">IF($J377=1,MAX(ChA_1*AI377,ChA_2*AJ377,ChA_3*AK377)+Rho*(ChA_1*AI377+ChA_2*AJ377+ChA_3*AK377),"")</f>
        <v>0.540119709565931</v>
      </c>
      <c r="AM377" s="12" t="n">
        <f aca="false">IF($J377=1,MAX(ChB_1*AI377,ChB_2*AJ377,ChB_3*AK377)+Rho*(ChB_1*AI377+ChB_2*AJ377+ChB_3*AK377),"")</f>
        <v>0.540137032035087</v>
      </c>
      <c r="AN377" s="12" t="n">
        <f aca="false">IF($J377=1,MAX(Cx_1*(Ref_P-E377)/Span_P,Cx_2*(Ref_S-F377)/Span_S,Cx_3*(Ref_B-G377)/Span_B),"")</f>
        <v>2.09439124487004</v>
      </c>
    </row>
    <row r="378" customFormat="false" ht="15" hidden="false" customHeight="false" outlineLevel="0" collapsed="false">
      <c r="A378" s="2" t="n">
        <v>372</v>
      </c>
      <c r="B378" s="15" t="n">
        <f aca="false">INT(A378/151)</f>
        <v>2</v>
      </c>
      <c r="C378" s="15" t="n">
        <f aca="false">MOD(A378,151)</f>
        <v>70</v>
      </c>
      <c r="D378" s="15" t="n">
        <f aca="false">INDEX(Grid!$J$6:$P$156,C378+1,B378+1)</f>
        <v>1</v>
      </c>
      <c r="E378" s="16" t="n">
        <f aca="false">IF(D378=1,INDEX(Grid!$B$6:$H$156,C378+1,B378+1),"")</f>
        <v>320.536972760182</v>
      </c>
      <c r="F378" s="13" t="n">
        <f aca="false">Val_pt*(Ceiling_e-E_zero)*(1-(1-Half_gap)^B378)</f>
        <v>105</v>
      </c>
      <c r="G378" s="15" t="n">
        <f aca="false">C378</f>
        <v>70</v>
      </c>
      <c r="H378" s="15" t="n">
        <f aca="false">IF(D378=1,INDEX(Grid!$R$6:$X$156,C378+1,B378+1),"")</f>
        <v>48</v>
      </c>
      <c r="I378" s="2" t="str">
        <f aca="false">IF(D378=1,INDEX(Sch_label,H378+1),"")</f>
        <v>1, 2</v>
      </c>
      <c r="J378" s="15" t="n">
        <f aca="false">IF(D378=1,INDEX(Grid!$Z$6:$AF$156,C378+1,B378+1),0)</f>
        <v>1</v>
      </c>
      <c r="K378" s="16" t="n">
        <f aca="false">IF(J378=1,E378,0)</f>
        <v>320.536972760182</v>
      </c>
      <c r="L378" s="17" t="n">
        <f aca="false">IF(D378=1,E378+W_board*F378,"")</f>
        <v>913.234599316648</v>
      </c>
      <c r="M378" s="24" t="n">
        <v>1</v>
      </c>
      <c r="N378" s="25" t="n">
        <v>0.725713962391744</v>
      </c>
      <c r="O378" s="25" t="n">
        <v>0.001</v>
      </c>
      <c r="P378" s="25" t="n">
        <v>0.273286037608256</v>
      </c>
      <c r="Z378" s="12" t="n">
        <f aca="false">IF(AND($J378=1,$M378=1),N378*E378/Span_P+O378*F378/Span_S+P378*G378/Span_B,"")</f>
        <v>0.7714692520595</v>
      </c>
      <c r="AA378" s="12" t="n">
        <f aca="false">IF(AND($J378=1,$M378=1),SUMPRODUCT(MAX($J$6:$J$1062*(N378*$K$6:$K$1062/Span_P+O378*$F$6:$F$1062/Span_S+P378*$G$6:$G$1062/Span_B)-(1-$J$6:$J$1062)*1000000000)),"")</f>
        <v>0.771469252059502</v>
      </c>
      <c r="AB378" s="15" t="n">
        <f aca="false">IF(AND($J378=1,$M378=1),IF(AA378-Z378&lt;=0.000000001,1,0),"")</f>
        <v>1</v>
      </c>
      <c r="AC378" s="13" t="str">
        <f aca="false">IF(AND($J378=1,$M378=0),IF(S378="",0,S378*INDEX(Grid!$B$6:$H$156,R378+1,Q378+1))+IF(V378="",0,V378*INDEX(Grid!$B$6:$H$156,U378+1,T378+1))+IF(Y378="",0,Y378*INDEX(Grid!$B$6:$H$156,X378+1,W378+1)),"")</f>
        <v/>
      </c>
      <c r="AD378" s="13" t="str">
        <f aca="false">IF(AND($J378=1,$M378=0),IF(S378="",0,S378*Val_pt*(Ceiling_e-E_zero)*(1-(1-Half_gap)^Q378))+IF(V378="",0,V378*Val_pt*(Ceiling_e-E_zero)*(1-(1-Half_gap)^T378))+IF(Y378="",0,Y378*Val_pt*(Ceiling_e-E_zero)*(1-(1-Half_gap)^W378)),"")</f>
        <v/>
      </c>
      <c r="AE378" s="13" t="str">
        <f aca="false">IF(AND($J378=1,$M378=0),IF(S378="",0,S378*R378)+IF(V378="",0,V378*U378)+IF(Y378="",0,Y378*X378),"")</f>
        <v/>
      </c>
      <c r="AF378" s="12" t="str">
        <f aca="false">IF(AND($J378=1,$M378=0),MIN((AC378-E378)/Span_P,(AD378-F378)/Span_S,(AE378-G378)/Span_B),"")</f>
        <v/>
      </c>
      <c r="AG378" s="15" t="str">
        <f aca="false">IF(AND($J378=1,$M378=0),IF(AF378&gt;0.0000001,1,0),"")</f>
        <v/>
      </c>
      <c r="AH378" s="15" t="n">
        <f aca="false">IF($J378=1,IF($M378=1,AB378,AG378),"")</f>
        <v>1</v>
      </c>
      <c r="AI378" s="13" t="n">
        <f aca="false">IF($J378=1,(Ideal_P-E378)/Span_P,"")</f>
        <v>0.175735194341404</v>
      </c>
      <c r="AJ378" s="13" t="n">
        <f aca="false">IF($J378=1,(Ideal_S-F378)/Span_S,"")</f>
        <v>0.483870967741936</v>
      </c>
      <c r="AK378" s="13" t="n">
        <f aca="false">IF($J378=1,(Ideal_B-G378)/Span_B,"")</f>
        <v>0.533333333333333</v>
      </c>
      <c r="AL378" s="12" t="n">
        <f aca="false">IF($J378=1,MAX(ChA_1*AI378,ChA_2*AJ378,ChA_3*AK378)+Rho*(ChA_1*AI378+ChA_2*AJ378+ChA_3*AK378),"")</f>
        <v>0.533452627282875</v>
      </c>
      <c r="AM378" s="12" t="n">
        <f aca="false">IF($J378=1,MAX(ChB_1*AI378,ChB_2*AJ378,ChB_3*AK378)+Rho*(ChB_1*AI378+ChB_2*AJ378+ChB_3*AK378),"")</f>
        <v>0.533470200802309</v>
      </c>
      <c r="AN378" s="12" t="n">
        <f aca="false">IF($J378=1,MAX(Cx_1*(Ref_P-E378)/Span_P,Cx_2*(Ref_S-F378)/Span_S,Cx_3*(Ref_B-G378)/Span_B),"")</f>
        <v>2.09439124487004</v>
      </c>
    </row>
    <row r="379" customFormat="false" ht="15" hidden="false" customHeight="false" outlineLevel="0" collapsed="false">
      <c r="A379" s="2" t="n">
        <v>373</v>
      </c>
      <c r="B379" s="15" t="n">
        <f aca="false">INT(A379/151)</f>
        <v>2</v>
      </c>
      <c r="C379" s="15" t="n">
        <f aca="false">MOD(A379,151)</f>
        <v>71</v>
      </c>
      <c r="D379" s="15" t="n">
        <f aca="false">INDEX(Grid!$J$6:$P$156,C379+1,B379+1)</f>
        <v>1</v>
      </c>
      <c r="E379" s="16" t="n">
        <f aca="false">IF(D379=1,INDEX(Grid!$B$6:$H$156,C379+1,B379+1),"")</f>
        <v>319.627881851091</v>
      </c>
      <c r="F379" s="13" t="n">
        <f aca="false">Val_pt*(Ceiling_e-E_zero)*(1-(1-Half_gap)^B379)</f>
        <v>105</v>
      </c>
      <c r="G379" s="15" t="n">
        <f aca="false">C379</f>
        <v>71</v>
      </c>
      <c r="H379" s="15" t="n">
        <f aca="false">IF(D379=1,INDEX(Grid!$R$6:$X$156,C379+1,B379+1),"")</f>
        <v>48</v>
      </c>
      <c r="I379" s="2" t="str">
        <f aca="false">IF(D379=1,INDEX(Sch_label,H379+1),"")</f>
        <v>1, 2</v>
      </c>
      <c r="J379" s="15" t="n">
        <f aca="false">IF(D379=1,INDEX(Grid!$Z$6:$AF$156,C379+1,B379+1),0)</f>
        <v>1</v>
      </c>
      <c r="K379" s="16" t="n">
        <f aca="false">IF(J379=1,E379,0)</f>
        <v>319.627881851091</v>
      </c>
      <c r="L379" s="17" t="n">
        <f aca="false">IF(D379=1,E379+W_board*F379,"")</f>
        <v>912.325508407557</v>
      </c>
      <c r="M379" s="24" t="n">
        <v>1</v>
      </c>
      <c r="N379" s="25" t="n">
        <v>0.725713962391753</v>
      </c>
      <c r="O379" s="25" t="n">
        <v>0.001</v>
      </c>
      <c r="P379" s="25" t="n">
        <v>0.273286037608248</v>
      </c>
      <c r="Z379" s="12" t="n">
        <f aca="false">IF(AND($J379=1,$M379=1),N379*E379/Span_P+O379*F379/Span_S+P379*G379/Span_B,"")</f>
        <v>0.771469252059504</v>
      </c>
      <c r="AA379" s="12" t="n">
        <f aca="false">IF(AND($J379=1,$M379=1),SUMPRODUCT(MAX($J$6:$J$1062*(N379*$K$6:$K$1062/Span_P+O379*$F$6:$F$1062/Span_S+P379*$G$6:$G$1062/Span_B)-(1-$J$6:$J$1062)*1000000000)),"")</f>
        <v>0.771469252059507</v>
      </c>
      <c r="AB379" s="15" t="n">
        <f aca="false">IF(AND($J379=1,$M379=1),IF(AA379-Z379&lt;=0.000000001,1,0),"")</f>
        <v>1</v>
      </c>
      <c r="AC379" s="13" t="str">
        <f aca="false">IF(AND($J379=1,$M379=0),IF(S379="",0,S379*INDEX(Grid!$B$6:$H$156,R379+1,Q379+1))+IF(V379="",0,V379*INDEX(Grid!$B$6:$H$156,U379+1,T379+1))+IF(Y379="",0,Y379*INDEX(Grid!$B$6:$H$156,X379+1,W379+1)),"")</f>
        <v/>
      </c>
      <c r="AD379" s="13" t="str">
        <f aca="false">IF(AND($J379=1,$M379=0),IF(S379="",0,S379*Val_pt*(Ceiling_e-E_zero)*(1-(1-Half_gap)^Q379))+IF(V379="",0,V379*Val_pt*(Ceiling_e-E_zero)*(1-(1-Half_gap)^T379))+IF(Y379="",0,Y379*Val_pt*(Ceiling_e-E_zero)*(1-(1-Half_gap)^W379)),"")</f>
        <v/>
      </c>
      <c r="AE379" s="13" t="str">
        <f aca="false">IF(AND($J379=1,$M379=0),IF(S379="",0,S379*R379)+IF(V379="",0,V379*U379)+IF(Y379="",0,Y379*X379),"")</f>
        <v/>
      </c>
      <c r="AF379" s="12" t="str">
        <f aca="false">IF(AND($J379=1,$M379=0),MIN((AC379-E379)/Span_P,(AD379-F379)/Span_S,(AE379-G379)/Span_B),"")</f>
        <v/>
      </c>
      <c r="AG379" s="15" t="str">
        <f aca="false">IF(AND($J379=1,$M379=0),IF(AF379&gt;0.0000001,1,0),"")</f>
        <v/>
      </c>
      <c r="AH379" s="15" t="n">
        <f aca="false">IF($J379=1,IF($M379=1,AB379,AG379),"")</f>
        <v>1</v>
      </c>
      <c r="AI379" s="13" t="n">
        <f aca="false">IF($J379=1,(Ideal_P-E379)/Span_P,"")</f>
        <v>0.17824569711771</v>
      </c>
      <c r="AJ379" s="13" t="n">
        <f aca="false">IF($J379=1,(Ideal_S-F379)/Span_S,"")</f>
        <v>0.483870967741936</v>
      </c>
      <c r="AK379" s="13" t="n">
        <f aca="false">IF($J379=1,(Ideal_B-G379)/Span_B,"")</f>
        <v>0.526666666666667</v>
      </c>
      <c r="AL379" s="12" t="n">
        <f aca="false">IF($J379=1,MAX(ChA_1*AI379,ChA_2*AJ379,ChA_3*AK379)+Rho*(ChA_1*AI379+ChA_2*AJ379+ChA_3*AK379),"")</f>
        <v>0.526785544999819</v>
      </c>
      <c r="AM379" s="12" t="n">
        <f aca="false">IF($J379=1,MAX(ChB_1*AI379,ChB_2*AJ379,ChB_3*AK379)+Rho*(ChB_1*AI379+ChB_2*AJ379+ChB_3*AK379),"")</f>
        <v>0.526803369569531</v>
      </c>
      <c r="AN379" s="12" t="n">
        <f aca="false">IF($J379=1,MAX(Cx_1*(Ref_P-E379)/Span_P,Cx_2*(Ref_S-F379)/Span_S,Cx_3*(Ref_B-G379)/Span_B),"")</f>
        <v>2.09439124487004</v>
      </c>
    </row>
    <row r="380" customFormat="false" ht="15" hidden="false" customHeight="false" outlineLevel="0" collapsed="false">
      <c r="A380" s="2" t="n">
        <v>374</v>
      </c>
      <c r="B380" s="15" t="n">
        <f aca="false">INT(A380/151)</f>
        <v>2</v>
      </c>
      <c r="C380" s="15" t="n">
        <f aca="false">MOD(A380,151)</f>
        <v>72</v>
      </c>
      <c r="D380" s="15" t="n">
        <f aca="false">INDEX(Grid!$J$6:$P$156,C380+1,B380+1)</f>
        <v>1</v>
      </c>
      <c r="E380" s="16" t="n">
        <f aca="false">IF(D380=1,INDEX(Grid!$B$6:$H$156,C380+1,B380+1),"")</f>
        <v>318.718790942</v>
      </c>
      <c r="F380" s="13" t="n">
        <f aca="false">Val_pt*(Ceiling_e-E_zero)*(1-(1-Half_gap)^B380)</f>
        <v>105</v>
      </c>
      <c r="G380" s="15" t="n">
        <f aca="false">C380</f>
        <v>72</v>
      </c>
      <c r="H380" s="15" t="n">
        <f aca="false">IF(D380=1,INDEX(Grid!$R$6:$X$156,C380+1,B380+1),"")</f>
        <v>48</v>
      </c>
      <c r="I380" s="2" t="str">
        <f aca="false">IF(D380=1,INDEX(Sch_label,H380+1),"")</f>
        <v>1, 2</v>
      </c>
      <c r="J380" s="15" t="n">
        <f aca="false">IF(D380=1,INDEX(Grid!$Z$6:$AF$156,C380+1,B380+1),0)</f>
        <v>1</v>
      </c>
      <c r="K380" s="16" t="n">
        <f aca="false">IF(J380=1,E380,0)</f>
        <v>318.718790942</v>
      </c>
      <c r="L380" s="17" t="n">
        <f aca="false">IF(D380=1,E380+W_board*F380,"")</f>
        <v>911.416417498466</v>
      </c>
      <c r="M380" s="24" t="n">
        <v>1</v>
      </c>
      <c r="N380" s="25" t="n">
        <v>0.725713962391745</v>
      </c>
      <c r="O380" s="25" t="n">
        <v>0.001</v>
      </c>
      <c r="P380" s="25" t="n">
        <v>0.273286037608255</v>
      </c>
      <c r="Z380" s="12" t="n">
        <f aca="false">IF(AND($J380=1,$M380=1),N380*E380/Span_P+O380*F380/Span_S+P380*G380/Span_B,"")</f>
        <v>0.771469252059501</v>
      </c>
      <c r="AA380" s="12" t="n">
        <f aca="false">IF(AND($J380=1,$M380=1),SUMPRODUCT(MAX($J$6:$J$1062*(N380*$K$6:$K$1062/Span_P+O380*$F$6:$F$1062/Span_S+P380*$G$6:$G$1062/Span_B)-(1-$J$6:$J$1062)*1000000000)),"")</f>
        <v>0.771469252059502</v>
      </c>
      <c r="AB380" s="15" t="n">
        <f aca="false">IF(AND($J380=1,$M380=1),IF(AA380-Z380&lt;=0.000000001,1,0),"")</f>
        <v>1</v>
      </c>
      <c r="AC380" s="13" t="str">
        <f aca="false">IF(AND($J380=1,$M380=0),IF(S380="",0,S380*INDEX(Grid!$B$6:$H$156,R380+1,Q380+1))+IF(V380="",0,V380*INDEX(Grid!$B$6:$H$156,U380+1,T380+1))+IF(Y380="",0,Y380*INDEX(Grid!$B$6:$H$156,X380+1,W380+1)),"")</f>
        <v/>
      </c>
      <c r="AD380" s="13" t="str">
        <f aca="false">IF(AND($J380=1,$M380=0),IF(S380="",0,S380*Val_pt*(Ceiling_e-E_zero)*(1-(1-Half_gap)^Q380))+IF(V380="",0,V380*Val_pt*(Ceiling_e-E_zero)*(1-(1-Half_gap)^T380))+IF(Y380="",0,Y380*Val_pt*(Ceiling_e-E_zero)*(1-(1-Half_gap)^W380)),"")</f>
        <v/>
      </c>
      <c r="AE380" s="13" t="str">
        <f aca="false">IF(AND($J380=1,$M380=0),IF(S380="",0,S380*R380)+IF(V380="",0,V380*U380)+IF(Y380="",0,Y380*X380),"")</f>
        <v/>
      </c>
      <c r="AF380" s="12" t="str">
        <f aca="false">IF(AND($J380=1,$M380=0),MIN((AC380-E380)/Span_P,(AD380-F380)/Span_S,(AE380-G380)/Span_B),"")</f>
        <v/>
      </c>
      <c r="AG380" s="15" t="str">
        <f aca="false">IF(AND($J380=1,$M380=0),IF(AF380&gt;0.0000001,1,0),"")</f>
        <v/>
      </c>
      <c r="AH380" s="15" t="n">
        <f aca="false">IF($J380=1,IF($M380=1,AB380,AG380),"")</f>
        <v>1</v>
      </c>
      <c r="AI380" s="13" t="n">
        <f aca="false">IF($J380=1,(Ideal_P-E380)/Span_P,"")</f>
        <v>0.180756199894015</v>
      </c>
      <c r="AJ380" s="13" t="n">
        <f aca="false">IF($J380=1,(Ideal_S-F380)/Span_S,"")</f>
        <v>0.483870967741936</v>
      </c>
      <c r="AK380" s="13" t="n">
        <f aca="false">IF($J380=1,(Ideal_B-G380)/Span_B,"")</f>
        <v>0.52</v>
      </c>
      <c r="AL380" s="12" t="n">
        <f aca="false">IF($J380=1,MAX(ChA_1*AI380,ChA_2*AJ380,ChA_3*AK380)+Rho*(ChA_1*AI380+ChA_2*AJ380+ChA_3*AK380),"")</f>
        <v>0.520118462716764</v>
      </c>
      <c r="AM380" s="12" t="n">
        <f aca="false">IF($J380=1,MAX(ChB_1*AI380,ChB_2*AJ380,ChB_3*AK380)+Rho*(ChB_1*AI380+ChB_2*AJ380+ChB_3*AK380),"")</f>
        <v>0.520136538336753</v>
      </c>
      <c r="AN380" s="12" t="n">
        <f aca="false">IF($J380=1,MAX(Cx_1*(Ref_P-E380)/Span_P,Cx_2*(Ref_S-F380)/Span_S,Cx_3*(Ref_B-G380)/Span_B),"")</f>
        <v>2.09439124487004</v>
      </c>
    </row>
    <row r="381" customFormat="false" ht="15" hidden="false" customHeight="false" outlineLevel="0" collapsed="false">
      <c r="A381" s="2" t="n">
        <v>375</v>
      </c>
      <c r="B381" s="15" t="n">
        <f aca="false">INT(A381/151)</f>
        <v>2</v>
      </c>
      <c r="C381" s="15" t="n">
        <f aca="false">MOD(A381,151)</f>
        <v>73</v>
      </c>
      <c r="D381" s="15" t="n">
        <f aca="false">INDEX(Grid!$J$6:$P$156,C381+1,B381+1)</f>
        <v>1</v>
      </c>
      <c r="E381" s="16" t="n">
        <f aca="false">IF(D381=1,INDEX(Grid!$B$6:$H$156,C381+1,B381+1),"")</f>
        <v>317.809700032909</v>
      </c>
      <c r="F381" s="13" t="n">
        <f aca="false">Val_pt*(Ceiling_e-E_zero)*(1-(1-Half_gap)^B381)</f>
        <v>105</v>
      </c>
      <c r="G381" s="15" t="n">
        <f aca="false">C381</f>
        <v>73</v>
      </c>
      <c r="H381" s="15" t="n">
        <f aca="false">IF(D381=1,INDEX(Grid!$R$6:$X$156,C381+1,B381+1),"")</f>
        <v>48</v>
      </c>
      <c r="I381" s="2" t="str">
        <f aca="false">IF(D381=1,INDEX(Sch_label,H381+1),"")</f>
        <v>1, 2</v>
      </c>
      <c r="J381" s="15" t="n">
        <f aca="false">IF(D381=1,INDEX(Grid!$Z$6:$AF$156,C381+1,B381+1),0)</f>
        <v>1</v>
      </c>
      <c r="K381" s="16" t="n">
        <f aca="false">IF(J381=1,E381,0)</f>
        <v>317.809700032909</v>
      </c>
      <c r="L381" s="17" t="n">
        <f aca="false">IF(D381=1,E381+W_board*F381,"")</f>
        <v>910.507326589375</v>
      </c>
      <c r="M381" s="24" t="n">
        <v>1</v>
      </c>
      <c r="N381" s="25" t="n">
        <v>0.725713962391753</v>
      </c>
      <c r="O381" s="25" t="n">
        <v>0.001</v>
      </c>
      <c r="P381" s="25" t="n">
        <v>0.273286037608248</v>
      </c>
      <c r="Z381" s="12" t="n">
        <f aca="false">IF(AND($J381=1,$M381=1),N381*E381/Span_P+O381*F381/Span_S+P381*G381/Span_B,"")</f>
        <v>0.771469252059504</v>
      </c>
      <c r="AA381" s="12" t="n">
        <f aca="false">IF(AND($J381=1,$M381=1),SUMPRODUCT(MAX($J$6:$J$1062*(N381*$K$6:$K$1062/Span_P+O381*$F$6:$F$1062/Span_S+P381*$G$6:$G$1062/Span_B)-(1-$J$6:$J$1062)*1000000000)),"")</f>
        <v>0.771469252059507</v>
      </c>
      <c r="AB381" s="15" t="n">
        <f aca="false">IF(AND($J381=1,$M381=1),IF(AA381-Z381&lt;=0.000000001,1,0),"")</f>
        <v>1</v>
      </c>
      <c r="AC381" s="13" t="str">
        <f aca="false">IF(AND($J381=1,$M381=0),IF(S381="",0,S381*INDEX(Grid!$B$6:$H$156,R381+1,Q381+1))+IF(V381="",0,V381*INDEX(Grid!$B$6:$H$156,U381+1,T381+1))+IF(Y381="",0,Y381*INDEX(Grid!$B$6:$H$156,X381+1,W381+1)),"")</f>
        <v/>
      </c>
      <c r="AD381" s="13" t="str">
        <f aca="false">IF(AND($J381=1,$M381=0),IF(S381="",0,S381*Val_pt*(Ceiling_e-E_zero)*(1-(1-Half_gap)^Q381))+IF(V381="",0,V381*Val_pt*(Ceiling_e-E_zero)*(1-(1-Half_gap)^T381))+IF(Y381="",0,Y381*Val_pt*(Ceiling_e-E_zero)*(1-(1-Half_gap)^W381)),"")</f>
        <v/>
      </c>
      <c r="AE381" s="13" t="str">
        <f aca="false">IF(AND($J381=1,$M381=0),IF(S381="",0,S381*R381)+IF(V381="",0,V381*U381)+IF(Y381="",0,Y381*X381),"")</f>
        <v/>
      </c>
      <c r="AF381" s="12" t="str">
        <f aca="false">IF(AND($J381=1,$M381=0),MIN((AC381-E381)/Span_P,(AD381-F381)/Span_S,(AE381-G381)/Span_B),"")</f>
        <v/>
      </c>
      <c r="AG381" s="15" t="str">
        <f aca="false">IF(AND($J381=1,$M381=0),IF(AF381&gt;0.0000001,1,0),"")</f>
        <v/>
      </c>
      <c r="AH381" s="15" t="n">
        <f aca="false">IF($J381=1,IF($M381=1,AB381,AG381),"")</f>
        <v>1</v>
      </c>
      <c r="AI381" s="13" t="n">
        <f aca="false">IF($J381=1,(Ideal_P-E381)/Span_P,"")</f>
        <v>0.183266702670321</v>
      </c>
      <c r="AJ381" s="13" t="n">
        <f aca="false">IF($J381=1,(Ideal_S-F381)/Span_S,"")</f>
        <v>0.483870967741936</v>
      </c>
      <c r="AK381" s="13" t="n">
        <f aca="false">IF($J381=1,(Ideal_B-G381)/Span_B,"")</f>
        <v>0.513333333333333</v>
      </c>
      <c r="AL381" s="12" t="n">
        <f aca="false">IF($J381=1,MAX(ChA_1*AI381,ChA_2*AJ381,ChA_3*AK381)+Rho*(ChA_1*AI381+ChA_2*AJ381+ChA_3*AK381),"")</f>
        <v>0.513451380433708</v>
      </c>
      <c r="AM381" s="12" t="n">
        <f aca="false">IF($J381=1,MAX(ChB_1*AI381,ChB_2*AJ381,ChB_3*AK381)+Rho*(ChB_1*AI381+ChB_2*AJ381+ChB_3*AK381),"")</f>
        <v>0.513469707103975</v>
      </c>
      <c r="AN381" s="12" t="n">
        <f aca="false">IF($J381=1,MAX(Cx_1*(Ref_P-E381)/Span_P,Cx_2*(Ref_S-F381)/Span_S,Cx_3*(Ref_B-G381)/Span_B),"")</f>
        <v>2.09439124487004</v>
      </c>
    </row>
    <row r="382" customFormat="false" ht="15" hidden="false" customHeight="false" outlineLevel="0" collapsed="false">
      <c r="A382" s="2" t="n">
        <v>376</v>
      </c>
      <c r="B382" s="15" t="n">
        <f aca="false">INT(A382/151)</f>
        <v>2</v>
      </c>
      <c r="C382" s="15" t="n">
        <f aca="false">MOD(A382,151)</f>
        <v>74</v>
      </c>
      <c r="D382" s="15" t="n">
        <f aca="false">INDEX(Grid!$J$6:$P$156,C382+1,B382+1)</f>
        <v>1</v>
      </c>
      <c r="E382" s="16" t="n">
        <f aca="false">IF(D382=1,INDEX(Grid!$B$6:$H$156,C382+1,B382+1),"")</f>
        <v>316.900609123818</v>
      </c>
      <c r="F382" s="13" t="n">
        <f aca="false">Val_pt*(Ceiling_e-E_zero)*(1-(1-Half_gap)^B382)</f>
        <v>105</v>
      </c>
      <c r="G382" s="15" t="n">
        <f aca="false">C382</f>
        <v>74</v>
      </c>
      <c r="H382" s="15" t="n">
        <f aca="false">IF(D382=1,INDEX(Grid!$R$6:$X$156,C382+1,B382+1),"")</f>
        <v>48</v>
      </c>
      <c r="I382" s="2" t="str">
        <f aca="false">IF(D382=1,INDEX(Sch_label,H382+1),"")</f>
        <v>1, 2</v>
      </c>
      <c r="J382" s="15" t="n">
        <f aca="false">IF(D382=1,INDEX(Grid!$Z$6:$AF$156,C382+1,B382+1),0)</f>
        <v>1</v>
      </c>
      <c r="K382" s="16" t="n">
        <f aca="false">IF(J382=1,E382,0)</f>
        <v>316.900609123818</v>
      </c>
      <c r="L382" s="17" t="n">
        <f aca="false">IF(D382=1,E382+W_board*F382,"")</f>
        <v>909.598235680284</v>
      </c>
      <c r="M382" s="24" t="n">
        <v>1</v>
      </c>
      <c r="N382" s="25" t="n">
        <v>0.725713962391744</v>
      </c>
      <c r="O382" s="25" t="n">
        <v>0.001</v>
      </c>
      <c r="P382" s="25" t="n">
        <v>0.273286037608256</v>
      </c>
      <c r="Z382" s="12" t="n">
        <f aca="false">IF(AND($J382=1,$M382=1),N382*E382/Span_P+O382*F382/Span_S+P382*G382/Span_B,"")</f>
        <v>0.771469252059501</v>
      </c>
      <c r="AA382" s="12" t="n">
        <f aca="false">IF(AND($J382=1,$M382=1),SUMPRODUCT(MAX($J$6:$J$1062*(N382*$K$6:$K$1062/Span_P+O382*$F$6:$F$1062/Span_S+P382*$G$6:$G$1062/Span_B)-(1-$J$6:$J$1062)*1000000000)),"")</f>
        <v>0.771469252059502</v>
      </c>
      <c r="AB382" s="15" t="n">
        <f aca="false">IF(AND($J382=1,$M382=1),IF(AA382-Z382&lt;=0.000000001,1,0),"")</f>
        <v>1</v>
      </c>
      <c r="AC382" s="13" t="str">
        <f aca="false">IF(AND($J382=1,$M382=0),IF(S382="",0,S382*INDEX(Grid!$B$6:$H$156,R382+1,Q382+1))+IF(V382="",0,V382*INDEX(Grid!$B$6:$H$156,U382+1,T382+1))+IF(Y382="",0,Y382*INDEX(Grid!$B$6:$H$156,X382+1,W382+1)),"")</f>
        <v/>
      </c>
      <c r="AD382" s="13" t="str">
        <f aca="false">IF(AND($J382=1,$M382=0),IF(S382="",0,S382*Val_pt*(Ceiling_e-E_zero)*(1-(1-Half_gap)^Q382))+IF(V382="",0,V382*Val_pt*(Ceiling_e-E_zero)*(1-(1-Half_gap)^T382))+IF(Y382="",0,Y382*Val_pt*(Ceiling_e-E_zero)*(1-(1-Half_gap)^W382)),"")</f>
        <v/>
      </c>
      <c r="AE382" s="13" t="str">
        <f aca="false">IF(AND($J382=1,$M382=0),IF(S382="",0,S382*R382)+IF(V382="",0,V382*U382)+IF(Y382="",0,Y382*X382),"")</f>
        <v/>
      </c>
      <c r="AF382" s="12" t="str">
        <f aca="false">IF(AND($J382=1,$M382=0),MIN((AC382-E382)/Span_P,(AD382-F382)/Span_S,(AE382-G382)/Span_B),"")</f>
        <v/>
      </c>
      <c r="AG382" s="15" t="str">
        <f aca="false">IF(AND($J382=1,$M382=0),IF(AF382&gt;0.0000001,1,0),"")</f>
        <v/>
      </c>
      <c r="AH382" s="15" t="n">
        <f aca="false">IF($J382=1,IF($M382=1,AB382,AG382),"")</f>
        <v>1</v>
      </c>
      <c r="AI382" s="13" t="n">
        <f aca="false">IF($J382=1,(Ideal_P-E382)/Span_P,"")</f>
        <v>0.185777205446627</v>
      </c>
      <c r="AJ382" s="13" t="n">
        <f aca="false">IF($J382=1,(Ideal_S-F382)/Span_S,"")</f>
        <v>0.483870967741936</v>
      </c>
      <c r="AK382" s="13" t="n">
        <f aca="false">IF($J382=1,(Ideal_B-G382)/Span_B,"")</f>
        <v>0.506666666666667</v>
      </c>
      <c r="AL382" s="12" t="n">
        <f aca="false">IF($J382=1,MAX(ChA_1*AI382,ChA_2*AJ382,ChA_3*AK382)+Rho*(ChA_1*AI382+ChA_2*AJ382+ChA_3*AK382),"")</f>
        <v>0.506784298150652</v>
      </c>
      <c r="AM382" s="12" t="n">
        <f aca="false">IF($J382=1,MAX(ChB_1*AI382,ChB_2*AJ382,ChB_3*AK382)+Rho*(ChB_1*AI382+ChB_2*AJ382+ChB_3*AK382),"")</f>
        <v>0.506802875871197</v>
      </c>
      <c r="AN382" s="12" t="n">
        <f aca="false">IF($J382=1,MAX(Cx_1*(Ref_P-E382)/Span_P,Cx_2*(Ref_S-F382)/Span_S,Cx_3*(Ref_B-G382)/Span_B),"")</f>
        <v>2.09439124487004</v>
      </c>
    </row>
    <row r="383" customFormat="false" ht="15" hidden="false" customHeight="false" outlineLevel="0" collapsed="false">
      <c r="A383" s="2" t="n">
        <v>377</v>
      </c>
      <c r="B383" s="15" t="n">
        <f aca="false">INT(A383/151)</f>
        <v>2</v>
      </c>
      <c r="C383" s="15" t="n">
        <f aca="false">MOD(A383,151)</f>
        <v>75</v>
      </c>
      <c r="D383" s="15" t="n">
        <f aca="false">INDEX(Grid!$J$6:$P$156,C383+1,B383+1)</f>
        <v>1</v>
      </c>
      <c r="E383" s="16" t="n">
        <f aca="false">IF(D383=1,INDEX(Grid!$B$6:$H$156,C383+1,B383+1),"")</f>
        <v>315.991518214727</v>
      </c>
      <c r="F383" s="13" t="n">
        <f aca="false">Val_pt*(Ceiling_e-E_zero)*(1-(1-Half_gap)^B383)</f>
        <v>105</v>
      </c>
      <c r="G383" s="15" t="n">
        <f aca="false">C383</f>
        <v>75</v>
      </c>
      <c r="H383" s="15" t="n">
        <f aca="false">IF(D383=1,INDEX(Grid!$R$6:$X$156,C383+1,B383+1),"")</f>
        <v>48</v>
      </c>
      <c r="I383" s="2" t="str">
        <f aca="false">IF(D383=1,INDEX(Sch_label,H383+1),"")</f>
        <v>1, 2</v>
      </c>
      <c r="J383" s="15" t="n">
        <f aca="false">IF(D383=1,INDEX(Grid!$Z$6:$AF$156,C383+1,B383+1),0)</f>
        <v>1</v>
      </c>
      <c r="K383" s="16" t="n">
        <f aca="false">IF(J383=1,E383,0)</f>
        <v>315.991518214727</v>
      </c>
      <c r="L383" s="17" t="n">
        <f aca="false">IF(D383=1,E383+W_board*F383,"")</f>
        <v>908.689144771193</v>
      </c>
      <c r="M383" s="24" t="n">
        <v>1</v>
      </c>
      <c r="N383" s="25" t="n">
        <v>0.725713962391745</v>
      </c>
      <c r="O383" s="25" t="n">
        <v>0.001</v>
      </c>
      <c r="P383" s="25" t="n">
        <v>0.273286037608255</v>
      </c>
      <c r="Z383" s="12" t="n">
        <f aca="false">IF(AND($J383=1,$M383=1),N383*E383/Span_P+O383*F383/Span_S+P383*G383/Span_B,"")</f>
        <v>0.771469252059501</v>
      </c>
      <c r="AA383" s="12" t="n">
        <f aca="false">IF(AND($J383=1,$M383=1),SUMPRODUCT(MAX($J$6:$J$1062*(N383*$K$6:$K$1062/Span_P+O383*$F$6:$F$1062/Span_S+P383*$G$6:$G$1062/Span_B)-(1-$J$6:$J$1062)*1000000000)),"")</f>
        <v>0.771469252059502</v>
      </c>
      <c r="AB383" s="15" t="n">
        <f aca="false">IF(AND($J383=1,$M383=1),IF(AA383-Z383&lt;=0.000000001,1,0),"")</f>
        <v>1</v>
      </c>
      <c r="AC383" s="13" t="str">
        <f aca="false">IF(AND($J383=1,$M383=0),IF(S383="",0,S383*INDEX(Grid!$B$6:$H$156,R383+1,Q383+1))+IF(V383="",0,V383*INDEX(Grid!$B$6:$H$156,U383+1,T383+1))+IF(Y383="",0,Y383*INDEX(Grid!$B$6:$H$156,X383+1,W383+1)),"")</f>
        <v/>
      </c>
      <c r="AD383" s="13" t="str">
        <f aca="false">IF(AND($J383=1,$M383=0),IF(S383="",0,S383*Val_pt*(Ceiling_e-E_zero)*(1-(1-Half_gap)^Q383))+IF(V383="",0,V383*Val_pt*(Ceiling_e-E_zero)*(1-(1-Half_gap)^T383))+IF(Y383="",0,Y383*Val_pt*(Ceiling_e-E_zero)*(1-(1-Half_gap)^W383)),"")</f>
        <v/>
      </c>
      <c r="AE383" s="13" t="str">
        <f aca="false">IF(AND($J383=1,$M383=0),IF(S383="",0,S383*R383)+IF(V383="",0,V383*U383)+IF(Y383="",0,Y383*X383),"")</f>
        <v/>
      </c>
      <c r="AF383" s="12" t="str">
        <f aca="false">IF(AND($J383=1,$M383=0),MIN((AC383-E383)/Span_P,(AD383-F383)/Span_S,(AE383-G383)/Span_B),"")</f>
        <v/>
      </c>
      <c r="AG383" s="15" t="str">
        <f aca="false">IF(AND($J383=1,$M383=0),IF(AF383&gt;0.0000001,1,0),"")</f>
        <v/>
      </c>
      <c r="AH383" s="15" t="n">
        <f aca="false">IF($J383=1,IF($M383=1,AB383,AG383),"")</f>
        <v>1</v>
      </c>
      <c r="AI383" s="13" t="n">
        <f aca="false">IF($J383=1,(Ideal_P-E383)/Span_P,"")</f>
        <v>0.188287708222933</v>
      </c>
      <c r="AJ383" s="13" t="n">
        <f aca="false">IF($J383=1,(Ideal_S-F383)/Span_S,"")</f>
        <v>0.483870967741936</v>
      </c>
      <c r="AK383" s="13" t="n">
        <f aca="false">IF($J383=1,(Ideal_B-G383)/Span_B,"")</f>
        <v>0.5</v>
      </c>
      <c r="AL383" s="12" t="n">
        <f aca="false">IF($J383=1,MAX(ChA_1*AI383,ChA_2*AJ383,ChA_3*AK383)+Rho*(ChA_1*AI383+ChA_2*AJ383+ChA_3*AK383),"")</f>
        <v>0.500117215867597</v>
      </c>
      <c r="AM383" s="12" t="n">
        <f aca="false">IF($J383=1,MAX(ChB_1*AI383,ChB_2*AJ383,ChB_3*AK383)+Rho*(ChB_1*AI383+ChB_2*AJ383+ChB_3*AK383),"")</f>
        <v>0.500136044638419</v>
      </c>
      <c r="AN383" s="12" t="n">
        <f aca="false">IF($J383=1,MAX(Cx_1*(Ref_P-E383)/Span_P,Cx_2*(Ref_S-F383)/Span_S,Cx_3*(Ref_B-G383)/Span_B),"")</f>
        <v>2.09439124487004</v>
      </c>
    </row>
    <row r="384" customFormat="false" ht="15" hidden="false" customHeight="false" outlineLevel="0" collapsed="false">
      <c r="A384" s="2" t="n">
        <v>378</v>
      </c>
      <c r="B384" s="15" t="n">
        <f aca="false">INT(A384/151)</f>
        <v>2</v>
      </c>
      <c r="C384" s="15" t="n">
        <f aca="false">MOD(A384,151)</f>
        <v>76</v>
      </c>
      <c r="D384" s="15" t="n">
        <f aca="false">INDEX(Grid!$J$6:$P$156,C384+1,B384+1)</f>
        <v>1</v>
      </c>
      <c r="E384" s="16" t="n">
        <f aca="false">IF(D384=1,INDEX(Grid!$B$6:$H$156,C384+1,B384+1),"")</f>
        <v>315.082427305636</v>
      </c>
      <c r="F384" s="13" t="n">
        <f aca="false">Val_pt*(Ceiling_e-E_zero)*(1-(1-Half_gap)^B384)</f>
        <v>105</v>
      </c>
      <c r="G384" s="15" t="n">
        <f aca="false">C384</f>
        <v>76</v>
      </c>
      <c r="H384" s="15" t="n">
        <f aca="false">IF(D384=1,INDEX(Grid!$R$6:$X$156,C384+1,B384+1),"")</f>
        <v>48</v>
      </c>
      <c r="I384" s="2" t="str">
        <f aca="false">IF(D384=1,INDEX(Sch_label,H384+1),"")</f>
        <v>1, 2</v>
      </c>
      <c r="J384" s="15" t="n">
        <f aca="false">IF(D384=1,INDEX(Grid!$Z$6:$AF$156,C384+1,B384+1),0)</f>
        <v>1</v>
      </c>
      <c r="K384" s="16" t="n">
        <f aca="false">IF(J384=1,E384,0)</f>
        <v>315.082427305636</v>
      </c>
      <c r="L384" s="17" t="n">
        <f aca="false">IF(D384=1,E384+W_board*F384,"")</f>
        <v>907.780053862102</v>
      </c>
      <c r="M384" s="24" t="n">
        <v>1</v>
      </c>
      <c r="N384" s="25" t="n">
        <v>0.725713962391751</v>
      </c>
      <c r="O384" s="25" t="n">
        <v>0.001</v>
      </c>
      <c r="P384" s="25" t="n">
        <v>0.273286037608249</v>
      </c>
      <c r="Z384" s="12" t="n">
        <f aca="false">IF(AND($J384=1,$M384=1),N384*E384/Span_P+O384*F384/Span_S+P384*G384/Span_B,"")</f>
        <v>0.771469252059503</v>
      </c>
      <c r="AA384" s="12" t="n">
        <f aca="false">IF(AND($J384=1,$M384=1),SUMPRODUCT(MAX($J$6:$J$1062*(N384*$K$6:$K$1062/Span_P+O384*$F$6:$F$1062/Span_S+P384*$G$6:$G$1062/Span_B)-(1-$J$6:$J$1062)*1000000000)),"")</f>
        <v>0.771469252059505</v>
      </c>
      <c r="AB384" s="15" t="n">
        <f aca="false">IF(AND($J384=1,$M384=1),IF(AA384-Z384&lt;=0.000000001,1,0),"")</f>
        <v>1</v>
      </c>
      <c r="AC384" s="13" t="str">
        <f aca="false">IF(AND($J384=1,$M384=0),IF(S384="",0,S384*INDEX(Grid!$B$6:$H$156,R384+1,Q384+1))+IF(V384="",0,V384*INDEX(Grid!$B$6:$H$156,U384+1,T384+1))+IF(Y384="",0,Y384*INDEX(Grid!$B$6:$H$156,X384+1,W384+1)),"")</f>
        <v/>
      </c>
      <c r="AD384" s="13" t="str">
        <f aca="false">IF(AND($J384=1,$M384=0),IF(S384="",0,S384*Val_pt*(Ceiling_e-E_zero)*(1-(1-Half_gap)^Q384))+IF(V384="",0,V384*Val_pt*(Ceiling_e-E_zero)*(1-(1-Half_gap)^T384))+IF(Y384="",0,Y384*Val_pt*(Ceiling_e-E_zero)*(1-(1-Half_gap)^W384)),"")</f>
        <v/>
      </c>
      <c r="AE384" s="13" t="str">
        <f aca="false">IF(AND($J384=1,$M384=0),IF(S384="",0,S384*R384)+IF(V384="",0,V384*U384)+IF(Y384="",0,Y384*X384),"")</f>
        <v/>
      </c>
      <c r="AF384" s="12" t="str">
        <f aca="false">IF(AND($J384=1,$M384=0),MIN((AC384-E384)/Span_P,(AD384-F384)/Span_S,(AE384-G384)/Span_B),"")</f>
        <v/>
      </c>
      <c r="AG384" s="15" t="str">
        <f aca="false">IF(AND($J384=1,$M384=0),IF(AF384&gt;0.0000001,1,0),"")</f>
        <v/>
      </c>
      <c r="AH384" s="15" t="n">
        <f aca="false">IF($J384=1,IF($M384=1,AB384,AG384),"")</f>
        <v>1</v>
      </c>
      <c r="AI384" s="13" t="n">
        <f aca="false">IF($J384=1,(Ideal_P-E384)/Span_P,"")</f>
        <v>0.190798210999239</v>
      </c>
      <c r="AJ384" s="13" t="n">
        <f aca="false">IF($J384=1,(Ideal_S-F384)/Span_S,"")</f>
        <v>0.483870967741936</v>
      </c>
      <c r="AK384" s="13" t="n">
        <f aca="false">IF($J384=1,(Ideal_B-G384)/Span_B,"")</f>
        <v>0.493333333333333</v>
      </c>
      <c r="AL384" s="12" t="n">
        <f aca="false">IF($J384=1,MAX(ChA_1*AI384,ChA_2*AJ384,ChA_3*AK384)+Rho*(ChA_1*AI384+ChA_2*AJ384+ChA_3*AK384),"")</f>
        <v>0.493450133584541</v>
      </c>
      <c r="AM384" s="12" t="n">
        <f aca="false">IF($J384=1,MAX(ChB_1*AI384,ChB_2*AJ384,ChB_3*AK384)+Rho*(ChB_1*AI384+ChB_2*AJ384+ChB_3*AK384),"")</f>
        <v>0.493469213405641</v>
      </c>
      <c r="AN384" s="12" t="n">
        <f aca="false">IF($J384=1,MAX(Cx_1*(Ref_P-E384)/Span_P,Cx_2*(Ref_S-F384)/Span_S,Cx_3*(Ref_B-G384)/Span_B),"")</f>
        <v>2.09439124487004</v>
      </c>
    </row>
    <row r="385" customFormat="false" ht="15" hidden="false" customHeight="false" outlineLevel="0" collapsed="false">
      <c r="A385" s="2" t="n">
        <v>379</v>
      </c>
      <c r="B385" s="15" t="n">
        <f aca="false">INT(A385/151)</f>
        <v>2</v>
      </c>
      <c r="C385" s="15" t="n">
        <f aca="false">MOD(A385,151)</f>
        <v>77</v>
      </c>
      <c r="D385" s="15" t="n">
        <f aca="false">INDEX(Grid!$J$6:$P$156,C385+1,B385+1)</f>
        <v>1</v>
      </c>
      <c r="E385" s="16" t="n">
        <f aca="false">IF(D385=1,INDEX(Grid!$B$6:$H$156,C385+1,B385+1),"")</f>
        <v>314.173336396545</v>
      </c>
      <c r="F385" s="13" t="n">
        <f aca="false">Val_pt*(Ceiling_e-E_zero)*(1-(1-Half_gap)^B385)</f>
        <v>105</v>
      </c>
      <c r="G385" s="15" t="n">
        <f aca="false">C385</f>
        <v>77</v>
      </c>
      <c r="H385" s="15" t="n">
        <f aca="false">IF(D385=1,INDEX(Grid!$R$6:$X$156,C385+1,B385+1),"")</f>
        <v>48</v>
      </c>
      <c r="I385" s="2" t="str">
        <f aca="false">IF(D385=1,INDEX(Sch_label,H385+1),"")</f>
        <v>1, 2</v>
      </c>
      <c r="J385" s="15" t="n">
        <f aca="false">IF(D385=1,INDEX(Grid!$Z$6:$AF$156,C385+1,B385+1),0)</f>
        <v>1</v>
      </c>
      <c r="K385" s="16" t="n">
        <f aca="false">IF(J385=1,E385,0)</f>
        <v>314.173336396545</v>
      </c>
      <c r="L385" s="17" t="n">
        <f aca="false">IF(D385=1,E385+W_board*F385,"")</f>
        <v>906.870962953011</v>
      </c>
      <c r="M385" s="24" t="n">
        <v>1</v>
      </c>
      <c r="N385" s="25" t="n">
        <v>0.725713962391745</v>
      </c>
      <c r="O385" s="25" t="n">
        <v>0.001</v>
      </c>
      <c r="P385" s="25" t="n">
        <v>0.273286037608255</v>
      </c>
      <c r="Z385" s="12" t="n">
        <f aca="false">IF(AND($J385=1,$M385=1),N385*E385/Span_P+O385*F385/Span_S+P385*G385/Span_B,"")</f>
        <v>0.771469252059501</v>
      </c>
      <c r="AA385" s="12" t="n">
        <f aca="false">IF(AND($J385=1,$M385=1),SUMPRODUCT(MAX($J$6:$J$1062*(N385*$K$6:$K$1062/Span_P+O385*$F$6:$F$1062/Span_S+P385*$G$6:$G$1062/Span_B)-(1-$J$6:$J$1062)*1000000000)),"")</f>
        <v>0.771469252059502</v>
      </c>
      <c r="AB385" s="15" t="n">
        <f aca="false">IF(AND($J385=1,$M385=1),IF(AA385-Z385&lt;=0.000000001,1,0),"")</f>
        <v>1</v>
      </c>
      <c r="AC385" s="13" t="str">
        <f aca="false">IF(AND($J385=1,$M385=0),IF(S385="",0,S385*INDEX(Grid!$B$6:$H$156,R385+1,Q385+1))+IF(V385="",0,V385*INDEX(Grid!$B$6:$H$156,U385+1,T385+1))+IF(Y385="",0,Y385*INDEX(Grid!$B$6:$H$156,X385+1,W385+1)),"")</f>
        <v/>
      </c>
      <c r="AD385" s="13" t="str">
        <f aca="false">IF(AND($J385=1,$M385=0),IF(S385="",0,S385*Val_pt*(Ceiling_e-E_zero)*(1-(1-Half_gap)^Q385))+IF(V385="",0,V385*Val_pt*(Ceiling_e-E_zero)*(1-(1-Half_gap)^T385))+IF(Y385="",0,Y385*Val_pt*(Ceiling_e-E_zero)*(1-(1-Half_gap)^W385)),"")</f>
        <v/>
      </c>
      <c r="AE385" s="13" t="str">
        <f aca="false">IF(AND($J385=1,$M385=0),IF(S385="",0,S385*R385)+IF(V385="",0,V385*U385)+IF(Y385="",0,Y385*X385),"")</f>
        <v/>
      </c>
      <c r="AF385" s="12" t="str">
        <f aca="false">IF(AND($J385=1,$M385=0),MIN((AC385-E385)/Span_P,(AD385-F385)/Span_S,(AE385-G385)/Span_B),"")</f>
        <v/>
      </c>
      <c r="AG385" s="15" t="str">
        <f aca="false">IF(AND($J385=1,$M385=0),IF(AF385&gt;0.0000001,1,0),"")</f>
        <v/>
      </c>
      <c r="AH385" s="15" t="n">
        <f aca="false">IF($J385=1,IF($M385=1,AB385,AG385),"")</f>
        <v>1</v>
      </c>
      <c r="AI385" s="13" t="n">
        <f aca="false">IF($J385=1,(Ideal_P-E385)/Span_P,"")</f>
        <v>0.193308713775544</v>
      </c>
      <c r="AJ385" s="13" t="n">
        <f aca="false">IF($J385=1,(Ideal_S-F385)/Span_S,"")</f>
        <v>0.483870967741936</v>
      </c>
      <c r="AK385" s="13" t="n">
        <f aca="false">IF($J385=1,(Ideal_B-G385)/Span_B,"")</f>
        <v>0.486666666666667</v>
      </c>
      <c r="AL385" s="12" t="n">
        <f aca="false">IF($J385=1,MAX(ChA_1*AI385,ChA_2*AJ385,ChA_3*AK385)+Rho*(ChA_1*AI385+ChA_2*AJ385+ChA_3*AK385),"")</f>
        <v>0.486783051301485</v>
      </c>
      <c r="AM385" s="12" t="n">
        <f aca="false">IF($J385=1,MAX(ChB_1*AI385,ChB_2*AJ385,ChB_3*AK385)+Rho*(ChB_1*AI385+ChB_2*AJ385+ChB_3*AK385),"")</f>
        <v>0.486802382172863</v>
      </c>
      <c r="AN385" s="12" t="n">
        <f aca="false">IF($J385=1,MAX(Cx_1*(Ref_P-E385)/Span_P,Cx_2*(Ref_S-F385)/Span_S,Cx_3*(Ref_B-G385)/Span_B),"")</f>
        <v>2.09439124487004</v>
      </c>
    </row>
    <row r="386" customFormat="false" ht="15" hidden="false" customHeight="false" outlineLevel="0" collapsed="false">
      <c r="A386" s="2" t="n">
        <v>380</v>
      </c>
      <c r="B386" s="15" t="n">
        <f aca="false">INT(A386/151)</f>
        <v>2</v>
      </c>
      <c r="C386" s="15" t="n">
        <f aca="false">MOD(A386,151)</f>
        <v>78</v>
      </c>
      <c r="D386" s="15" t="n">
        <f aca="false">INDEX(Grid!$J$6:$P$156,C386+1,B386+1)</f>
        <v>1</v>
      </c>
      <c r="E386" s="16" t="n">
        <f aca="false">IF(D386=1,INDEX(Grid!$B$6:$H$156,C386+1,B386+1),"")</f>
        <v>313.264245487454</v>
      </c>
      <c r="F386" s="13" t="n">
        <f aca="false">Val_pt*(Ceiling_e-E_zero)*(1-(1-Half_gap)^B386)</f>
        <v>105</v>
      </c>
      <c r="G386" s="15" t="n">
        <f aca="false">C386</f>
        <v>78</v>
      </c>
      <c r="H386" s="15" t="n">
        <f aca="false">IF(D386=1,INDEX(Grid!$R$6:$X$156,C386+1,B386+1),"")</f>
        <v>48</v>
      </c>
      <c r="I386" s="2" t="str">
        <f aca="false">IF(D386=1,INDEX(Sch_label,H386+1),"")</f>
        <v>1, 2</v>
      </c>
      <c r="J386" s="15" t="n">
        <f aca="false">IF(D386=1,INDEX(Grid!$Z$6:$AF$156,C386+1,B386+1),0)</f>
        <v>1</v>
      </c>
      <c r="K386" s="16" t="n">
        <f aca="false">IF(J386=1,E386,0)</f>
        <v>313.264245487454</v>
      </c>
      <c r="L386" s="17" t="n">
        <f aca="false">IF(D386=1,E386+W_board*F386,"")</f>
        <v>905.96187204392</v>
      </c>
      <c r="M386" s="24" t="n">
        <v>1</v>
      </c>
      <c r="N386" s="25" t="n">
        <v>0.725713962391751</v>
      </c>
      <c r="O386" s="25" t="n">
        <v>0.001</v>
      </c>
      <c r="P386" s="25" t="n">
        <v>0.273286037608249</v>
      </c>
      <c r="Z386" s="12" t="n">
        <f aca="false">IF(AND($J386=1,$M386=1),N386*E386/Span_P+O386*F386/Span_S+P386*G386/Span_B,"")</f>
        <v>0.771469252059503</v>
      </c>
      <c r="AA386" s="12" t="n">
        <f aca="false">IF(AND($J386=1,$M386=1),SUMPRODUCT(MAX($J$6:$J$1062*(N386*$K$6:$K$1062/Span_P+O386*$F$6:$F$1062/Span_S+P386*$G$6:$G$1062/Span_B)-(1-$J$6:$J$1062)*1000000000)),"")</f>
        <v>0.771469252059505</v>
      </c>
      <c r="AB386" s="15" t="n">
        <f aca="false">IF(AND($J386=1,$M386=1),IF(AA386-Z386&lt;=0.000000001,1,0),"")</f>
        <v>1</v>
      </c>
      <c r="AC386" s="13" t="str">
        <f aca="false">IF(AND($J386=1,$M386=0),IF(S386="",0,S386*INDEX(Grid!$B$6:$H$156,R386+1,Q386+1))+IF(V386="",0,V386*INDEX(Grid!$B$6:$H$156,U386+1,T386+1))+IF(Y386="",0,Y386*INDEX(Grid!$B$6:$H$156,X386+1,W386+1)),"")</f>
        <v/>
      </c>
      <c r="AD386" s="13" t="str">
        <f aca="false">IF(AND($J386=1,$M386=0),IF(S386="",0,S386*Val_pt*(Ceiling_e-E_zero)*(1-(1-Half_gap)^Q386))+IF(V386="",0,V386*Val_pt*(Ceiling_e-E_zero)*(1-(1-Half_gap)^T386))+IF(Y386="",0,Y386*Val_pt*(Ceiling_e-E_zero)*(1-(1-Half_gap)^W386)),"")</f>
        <v/>
      </c>
      <c r="AE386" s="13" t="str">
        <f aca="false">IF(AND($J386=1,$M386=0),IF(S386="",0,S386*R386)+IF(V386="",0,V386*U386)+IF(Y386="",0,Y386*X386),"")</f>
        <v/>
      </c>
      <c r="AF386" s="12" t="str">
        <f aca="false">IF(AND($J386=1,$M386=0),MIN((AC386-E386)/Span_P,(AD386-F386)/Span_S,(AE386-G386)/Span_B),"")</f>
        <v/>
      </c>
      <c r="AG386" s="15" t="str">
        <f aca="false">IF(AND($J386=1,$M386=0),IF(AF386&gt;0.0000001,1,0),"")</f>
        <v/>
      </c>
      <c r="AH386" s="15" t="n">
        <f aca="false">IF($J386=1,IF($M386=1,AB386,AG386),"")</f>
        <v>1</v>
      </c>
      <c r="AI386" s="13" t="n">
        <f aca="false">IF($J386=1,(Ideal_P-E386)/Span_P,"")</f>
        <v>0.19581921655185</v>
      </c>
      <c r="AJ386" s="13" t="n">
        <f aca="false">IF($J386=1,(Ideal_S-F386)/Span_S,"")</f>
        <v>0.483870967741936</v>
      </c>
      <c r="AK386" s="13" t="n">
        <f aca="false">IF($J386=1,(Ideal_B-G386)/Span_B,"")</f>
        <v>0.48</v>
      </c>
      <c r="AL386" s="12" t="n">
        <f aca="false">IF($J386=1,MAX(ChA_1*AI386,ChA_2*AJ386,ChA_3*AK386)+Rho*(ChA_1*AI386+ChA_2*AJ386+ChA_3*AK386),"")</f>
        <v>0.483986936760365</v>
      </c>
      <c r="AM386" s="12" t="n">
        <f aca="false">IF($J386=1,MAX(ChB_1*AI386,ChB_2*AJ386,ChB_3*AK386)+Rho*(ChB_1*AI386+ChB_2*AJ386+ChB_3*AK386),"")</f>
        <v>0.48400651868202</v>
      </c>
      <c r="AN386" s="12" t="n">
        <f aca="false">IF($J386=1,MAX(Cx_1*(Ref_P-E386)/Span_P,Cx_2*(Ref_S-F386)/Span_S,Cx_3*(Ref_B-G386)/Span_B),"")</f>
        <v>2.09439124487004</v>
      </c>
    </row>
    <row r="387" customFormat="false" ht="15" hidden="false" customHeight="false" outlineLevel="0" collapsed="false">
      <c r="A387" s="2" t="n">
        <v>381</v>
      </c>
      <c r="B387" s="15" t="n">
        <f aca="false">INT(A387/151)</f>
        <v>2</v>
      </c>
      <c r="C387" s="15" t="n">
        <f aca="false">MOD(A387,151)</f>
        <v>79</v>
      </c>
      <c r="D387" s="15" t="n">
        <f aca="false">INDEX(Grid!$J$6:$P$156,C387+1,B387+1)</f>
        <v>1</v>
      </c>
      <c r="E387" s="16" t="n">
        <f aca="false">IF(D387=1,INDEX(Grid!$B$6:$H$156,C387+1,B387+1),"")</f>
        <v>312.355154578363</v>
      </c>
      <c r="F387" s="13" t="n">
        <f aca="false">Val_pt*(Ceiling_e-E_zero)*(1-(1-Half_gap)^B387)</f>
        <v>105</v>
      </c>
      <c r="G387" s="15" t="n">
        <f aca="false">C387</f>
        <v>79</v>
      </c>
      <c r="H387" s="15" t="n">
        <f aca="false">IF(D387=1,INDEX(Grid!$R$6:$X$156,C387+1,B387+1),"")</f>
        <v>48</v>
      </c>
      <c r="I387" s="2" t="str">
        <f aca="false">IF(D387=1,INDEX(Sch_label,H387+1),"")</f>
        <v>1, 2</v>
      </c>
      <c r="J387" s="15" t="n">
        <f aca="false">IF(D387=1,INDEX(Grid!$Z$6:$AF$156,C387+1,B387+1),0)</f>
        <v>1</v>
      </c>
      <c r="K387" s="16" t="n">
        <f aca="false">IF(J387=1,E387,0)</f>
        <v>312.355154578363</v>
      </c>
      <c r="L387" s="17" t="n">
        <f aca="false">IF(D387=1,E387+W_board*F387,"")</f>
        <v>905.05278113483</v>
      </c>
      <c r="M387" s="24" t="n">
        <v>1</v>
      </c>
      <c r="N387" s="25" t="n">
        <v>0.725713962391745</v>
      </c>
      <c r="O387" s="25" t="n">
        <v>0.001</v>
      </c>
      <c r="P387" s="25" t="n">
        <v>0.273286037608255</v>
      </c>
      <c r="Z387" s="12" t="n">
        <f aca="false">IF(AND($J387=1,$M387=1),N387*E387/Span_P+O387*F387/Span_S+P387*G387/Span_B,"")</f>
        <v>0.771469252059501</v>
      </c>
      <c r="AA387" s="12" t="n">
        <f aca="false">IF(AND($J387=1,$M387=1),SUMPRODUCT(MAX($J$6:$J$1062*(N387*$K$6:$K$1062/Span_P+O387*$F$6:$F$1062/Span_S+P387*$G$6:$G$1062/Span_B)-(1-$J$6:$J$1062)*1000000000)),"")</f>
        <v>0.771469252059502</v>
      </c>
      <c r="AB387" s="15" t="n">
        <f aca="false">IF(AND($J387=1,$M387=1),IF(AA387-Z387&lt;=0.000000001,1,0),"")</f>
        <v>1</v>
      </c>
      <c r="AC387" s="13" t="str">
        <f aca="false">IF(AND($J387=1,$M387=0),IF(S387="",0,S387*INDEX(Grid!$B$6:$H$156,R387+1,Q387+1))+IF(V387="",0,V387*INDEX(Grid!$B$6:$H$156,U387+1,T387+1))+IF(Y387="",0,Y387*INDEX(Grid!$B$6:$H$156,X387+1,W387+1)),"")</f>
        <v/>
      </c>
      <c r="AD387" s="13" t="str">
        <f aca="false">IF(AND($J387=1,$M387=0),IF(S387="",0,S387*Val_pt*(Ceiling_e-E_zero)*(1-(1-Half_gap)^Q387))+IF(V387="",0,V387*Val_pt*(Ceiling_e-E_zero)*(1-(1-Half_gap)^T387))+IF(Y387="",0,Y387*Val_pt*(Ceiling_e-E_zero)*(1-(1-Half_gap)^W387)),"")</f>
        <v/>
      </c>
      <c r="AE387" s="13" t="str">
        <f aca="false">IF(AND($J387=1,$M387=0),IF(S387="",0,S387*R387)+IF(V387="",0,V387*U387)+IF(Y387="",0,Y387*X387),"")</f>
        <v/>
      </c>
      <c r="AF387" s="12" t="str">
        <f aca="false">IF(AND($J387=1,$M387=0),MIN((AC387-E387)/Span_P,(AD387-F387)/Span_S,(AE387-G387)/Span_B),"")</f>
        <v/>
      </c>
      <c r="AG387" s="15" t="str">
        <f aca="false">IF(AND($J387=1,$M387=0),IF(AF387&gt;0.0000001,1,0),"")</f>
        <v/>
      </c>
      <c r="AH387" s="15" t="n">
        <f aca="false">IF($J387=1,IF($M387=1,AB387,AG387),"")</f>
        <v>1</v>
      </c>
      <c r="AI387" s="13" t="n">
        <f aca="false">IF($J387=1,(Ideal_P-E387)/Span_P,"")</f>
        <v>0.198329719328156</v>
      </c>
      <c r="AJ387" s="13" t="n">
        <f aca="false">IF($J387=1,(Ideal_S-F387)/Span_S,"")</f>
        <v>0.483870967741936</v>
      </c>
      <c r="AK387" s="13" t="n">
        <f aca="false">IF($J387=1,(Ideal_B-G387)/Span_B,"")</f>
        <v>0.473333333333333</v>
      </c>
      <c r="AL387" s="12" t="n">
        <f aca="false">IF($J387=1,MAX(ChA_1*AI387,ChA_2*AJ387,ChA_3*AK387)+Rho*(ChA_1*AI387+ChA_2*AJ387+ChA_3*AK387),"")</f>
        <v>0.483986521143976</v>
      </c>
      <c r="AM387" s="12" t="n">
        <f aca="false">IF($J387=1,MAX(ChB_1*AI387,ChB_2*AJ387,ChB_3*AK387)+Rho*(ChB_1*AI387+ChB_2*AJ387+ChB_3*AK387),"")</f>
        <v>0.484006354115909</v>
      </c>
      <c r="AN387" s="12" t="n">
        <f aca="false">IF($J387=1,MAX(Cx_1*(Ref_P-E387)/Span_P,Cx_2*(Ref_S-F387)/Span_S,Cx_3*(Ref_B-G387)/Span_B),"")</f>
        <v>2.09439124487004</v>
      </c>
    </row>
    <row r="388" customFormat="false" ht="15" hidden="false" customHeight="false" outlineLevel="0" collapsed="false">
      <c r="A388" s="2" t="n">
        <v>382</v>
      </c>
      <c r="B388" s="15" t="n">
        <f aca="false">INT(A388/151)</f>
        <v>2</v>
      </c>
      <c r="C388" s="15" t="n">
        <f aca="false">MOD(A388,151)</f>
        <v>80</v>
      </c>
      <c r="D388" s="15" t="n">
        <f aca="false">INDEX(Grid!$J$6:$P$156,C388+1,B388+1)</f>
        <v>1</v>
      </c>
      <c r="E388" s="16" t="n">
        <f aca="false">IF(D388=1,INDEX(Grid!$B$6:$H$156,C388+1,B388+1),"")</f>
        <v>311.446063669272</v>
      </c>
      <c r="F388" s="13" t="n">
        <f aca="false">Val_pt*(Ceiling_e-E_zero)*(1-(1-Half_gap)^B388)</f>
        <v>105</v>
      </c>
      <c r="G388" s="15" t="n">
        <f aca="false">C388</f>
        <v>80</v>
      </c>
      <c r="H388" s="15" t="n">
        <f aca="false">IF(D388=1,INDEX(Grid!$R$6:$X$156,C388+1,B388+1),"")</f>
        <v>48</v>
      </c>
      <c r="I388" s="2" t="str">
        <f aca="false">IF(D388=1,INDEX(Sch_label,H388+1),"")</f>
        <v>1, 2</v>
      </c>
      <c r="J388" s="15" t="n">
        <f aca="false">IF(D388=1,INDEX(Grid!$Z$6:$AF$156,C388+1,B388+1),0)</f>
        <v>1</v>
      </c>
      <c r="K388" s="16" t="n">
        <f aca="false">IF(J388=1,E388,0)</f>
        <v>311.446063669272</v>
      </c>
      <c r="L388" s="17" t="n">
        <f aca="false">IF(D388=1,E388+W_board*F388,"")</f>
        <v>904.143690225739</v>
      </c>
      <c r="M388" s="24" t="n">
        <v>1</v>
      </c>
      <c r="N388" s="25" t="n">
        <v>0.725713962391754</v>
      </c>
      <c r="O388" s="25" t="n">
        <v>0.001</v>
      </c>
      <c r="P388" s="25" t="n">
        <v>0.273286037608246</v>
      </c>
      <c r="Z388" s="12" t="n">
        <f aca="false">IF(AND($J388=1,$M388=1),N388*E388/Span_P+O388*F388/Span_S+P388*G388/Span_B,"")</f>
        <v>0.771469252059504</v>
      </c>
      <c r="AA388" s="12" t="n">
        <f aca="false">IF(AND($J388=1,$M388=1),SUMPRODUCT(MAX($J$6:$J$1062*(N388*$K$6:$K$1062/Span_P+O388*$F$6:$F$1062/Span_S+P388*$G$6:$G$1062/Span_B)-(1-$J$6:$J$1062)*1000000000)),"")</f>
        <v>0.771469252059509</v>
      </c>
      <c r="AB388" s="15" t="n">
        <f aca="false">IF(AND($J388=1,$M388=1),IF(AA388-Z388&lt;=0.000000001,1,0),"")</f>
        <v>1</v>
      </c>
      <c r="AC388" s="13" t="str">
        <f aca="false">IF(AND($J388=1,$M388=0),IF(S388="",0,S388*INDEX(Grid!$B$6:$H$156,R388+1,Q388+1))+IF(V388="",0,V388*INDEX(Grid!$B$6:$H$156,U388+1,T388+1))+IF(Y388="",0,Y388*INDEX(Grid!$B$6:$H$156,X388+1,W388+1)),"")</f>
        <v/>
      </c>
      <c r="AD388" s="13" t="str">
        <f aca="false">IF(AND($J388=1,$M388=0),IF(S388="",0,S388*Val_pt*(Ceiling_e-E_zero)*(1-(1-Half_gap)^Q388))+IF(V388="",0,V388*Val_pt*(Ceiling_e-E_zero)*(1-(1-Half_gap)^T388))+IF(Y388="",0,Y388*Val_pt*(Ceiling_e-E_zero)*(1-(1-Half_gap)^W388)),"")</f>
        <v/>
      </c>
      <c r="AE388" s="13" t="str">
        <f aca="false">IF(AND($J388=1,$M388=0),IF(S388="",0,S388*R388)+IF(V388="",0,V388*U388)+IF(Y388="",0,Y388*X388),"")</f>
        <v/>
      </c>
      <c r="AF388" s="12" t="str">
        <f aca="false">IF(AND($J388=1,$M388=0),MIN((AC388-E388)/Span_P,(AD388-F388)/Span_S,(AE388-G388)/Span_B),"")</f>
        <v/>
      </c>
      <c r="AG388" s="15" t="str">
        <f aca="false">IF(AND($J388=1,$M388=0),IF(AF388&gt;0.0000001,1,0),"")</f>
        <v/>
      </c>
      <c r="AH388" s="15" t="n">
        <f aca="false">IF($J388=1,IF($M388=1,AB388,AG388),"")</f>
        <v>1</v>
      </c>
      <c r="AI388" s="13" t="n">
        <f aca="false">IF($J388=1,(Ideal_P-E388)/Span_P,"")</f>
        <v>0.200840222104462</v>
      </c>
      <c r="AJ388" s="13" t="n">
        <f aca="false">IF($J388=1,(Ideal_S-F388)/Span_S,"")</f>
        <v>0.483870967741936</v>
      </c>
      <c r="AK388" s="13" t="n">
        <f aca="false">IF($J388=1,(Ideal_B-G388)/Span_B,"")</f>
        <v>0.466666666666667</v>
      </c>
      <c r="AL388" s="12" t="n">
        <f aca="false">IF($J388=1,MAX(ChA_1*AI388,ChA_2*AJ388,ChA_3*AK388)+Rho*(ChA_1*AI388+ChA_2*AJ388+ChA_3*AK388),"")</f>
        <v>0.483986105527587</v>
      </c>
      <c r="AM388" s="12" t="n">
        <f aca="false">IF($J388=1,MAX(ChB_1*AI388,ChB_2*AJ388,ChB_3*AK388)+Rho*(ChB_1*AI388+ChB_2*AJ388+ChB_3*AK388),"")</f>
        <v>0.484006189549797</v>
      </c>
      <c r="AN388" s="12" t="n">
        <f aca="false">IF($J388=1,MAX(Cx_1*(Ref_P-E388)/Span_P,Cx_2*(Ref_S-F388)/Span_S,Cx_3*(Ref_B-G388)/Span_B),"")</f>
        <v>2.09439124487004</v>
      </c>
    </row>
    <row r="389" customFormat="false" ht="15" hidden="false" customHeight="false" outlineLevel="0" collapsed="false">
      <c r="A389" s="2" t="n">
        <v>383</v>
      </c>
      <c r="B389" s="15" t="n">
        <f aca="false">INT(A389/151)</f>
        <v>2</v>
      </c>
      <c r="C389" s="15" t="n">
        <f aca="false">MOD(A389,151)</f>
        <v>81</v>
      </c>
      <c r="D389" s="15" t="n">
        <f aca="false">INDEX(Grid!$J$6:$P$156,C389+1,B389+1)</f>
        <v>1</v>
      </c>
      <c r="E389" s="16" t="n">
        <f aca="false">IF(D389=1,INDEX(Grid!$B$6:$H$156,C389+1,B389+1),"")</f>
        <v>310.536972760182</v>
      </c>
      <c r="F389" s="13" t="n">
        <f aca="false">Val_pt*(Ceiling_e-E_zero)*(1-(1-Half_gap)^B389)</f>
        <v>105</v>
      </c>
      <c r="G389" s="15" t="n">
        <f aca="false">C389</f>
        <v>81</v>
      </c>
      <c r="H389" s="15" t="n">
        <f aca="false">IF(D389=1,INDEX(Grid!$R$6:$X$156,C389+1,B389+1),"")</f>
        <v>48</v>
      </c>
      <c r="I389" s="2" t="str">
        <f aca="false">IF(D389=1,INDEX(Sch_label,H389+1),"")</f>
        <v>1, 2</v>
      </c>
      <c r="J389" s="15" t="n">
        <f aca="false">IF(D389=1,INDEX(Grid!$Z$6:$AF$156,C389+1,B389+1),0)</f>
        <v>1</v>
      </c>
      <c r="K389" s="16" t="n">
        <f aca="false">IF(J389=1,E389,0)</f>
        <v>310.536972760182</v>
      </c>
      <c r="L389" s="17" t="n">
        <f aca="false">IF(D389=1,E389+W_board*F389,"")</f>
        <v>903.234599316648</v>
      </c>
      <c r="M389" s="24" t="n">
        <v>1</v>
      </c>
      <c r="N389" s="25" t="n">
        <v>0.725713962391742</v>
      </c>
      <c r="O389" s="25" t="n">
        <v>0.001</v>
      </c>
      <c r="P389" s="25" t="n">
        <v>0.273286037608258</v>
      </c>
      <c r="Z389" s="12" t="n">
        <f aca="false">IF(AND($J389=1,$M389=1),N389*E389/Span_P+O389*F389/Span_S+P389*G389/Span_B,"")</f>
        <v>0.7714692520595</v>
      </c>
      <c r="AA389" s="12" t="n">
        <f aca="false">IF(AND($J389=1,$M389=1),SUMPRODUCT(MAX($J$6:$J$1062*(N389*$K$6:$K$1062/Span_P+O389*$F$6:$F$1062/Span_S+P389*$G$6:$G$1062/Span_B)-(1-$J$6:$J$1062)*1000000000)),"")</f>
        <v>0.771469252059502</v>
      </c>
      <c r="AB389" s="15" t="n">
        <f aca="false">IF(AND($J389=1,$M389=1),IF(AA389-Z389&lt;=0.000000001,1,0),"")</f>
        <v>1</v>
      </c>
      <c r="AC389" s="13" t="str">
        <f aca="false">IF(AND($J389=1,$M389=0),IF(S389="",0,S389*INDEX(Grid!$B$6:$H$156,R389+1,Q389+1))+IF(V389="",0,V389*INDEX(Grid!$B$6:$H$156,U389+1,T389+1))+IF(Y389="",0,Y389*INDEX(Grid!$B$6:$H$156,X389+1,W389+1)),"")</f>
        <v/>
      </c>
      <c r="AD389" s="13" t="str">
        <f aca="false">IF(AND($J389=1,$M389=0),IF(S389="",0,S389*Val_pt*(Ceiling_e-E_zero)*(1-(1-Half_gap)^Q389))+IF(V389="",0,V389*Val_pt*(Ceiling_e-E_zero)*(1-(1-Half_gap)^T389))+IF(Y389="",0,Y389*Val_pt*(Ceiling_e-E_zero)*(1-(1-Half_gap)^W389)),"")</f>
        <v/>
      </c>
      <c r="AE389" s="13" t="str">
        <f aca="false">IF(AND($J389=1,$M389=0),IF(S389="",0,S389*R389)+IF(V389="",0,V389*U389)+IF(Y389="",0,Y389*X389),"")</f>
        <v/>
      </c>
      <c r="AF389" s="12" t="str">
        <f aca="false">IF(AND($J389=1,$M389=0),MIN((AC389-E389)/Span_P,(AD389-F389)/Span_S,(AE389-G389)/Span_B),"")</f>
        <v/>
      </c>
      <c r="AG389" s="15" t="str">
        <f aca="false">IF(AND($J389=1,$M389=0),IF(AF389&gt;0.0000001,1,0),"")</f>
        <v/>
      </c>
      <c r="AH389" s="15" t="n">
        <f aca="false">IF($J389=1,IF($M389=1,AB389,AG389),"")</f>
        <v>1</v>
      </c>
      <c r="AI389" s="13" t="n">
        <f aca="false">IF($J389=1,(Ideal_P-E389)/Span_P,"")</f>
        <v>0.203350724880767</v>
      </c>
      <c r="AJ389" s="13" t="n">
        <f aca="false">IF($J389=1,(Ideal_S-F389)/Span_S,"")</f>
        <v>0.483870967741936</v>
      </c>
      <c r="AK389" s="13" t="n">
        <f aca="false">IF($J389=1,(Ideal_B-G389)/Span_B,"")</f>
        <v>0.46</v>
      </c>
      <c r="AL389" s="12" t="n">
        <f aca="false">IF($J389=1,MAX(ChA_1*AI389,ChA_2*AJ389,ChA_3*AK389)+Rho*(ChA_1*AI389+ChA_2*AJ389+ChA_3*AK389),"")</f>
        <v>0.483985689911198</v>
      </c>
      <c r="AM389" s="12" t="n">
        <f aca="false">IF($J389=1,MAX(ChB_1*AI389,ChB_2*AJ389,ChB_3*AK389)+Rho*(ChB_1*AI389+ChB_2*AJ389+ChB_3*AK389),"")</f>
        <v>0.484006024983686</v>
      </c>
      <c r="AN389" s="12" t="n">
        <f aca="false">IF($J389=1,MAX(Cx_1*(Ref_P-E389)/Span_P,Cx_2*(Ref_S-F389)/Span_S,Cx_3*(Ref_B-G389)/Span_B),"")</f>
        <v>2.09439124487004</v>
      </c>
    </row>
    <row r="390" customFormat="false" ht="15" hidden="false" customHeight="false" outlineLevel="0" collapsed="false">
      <c r="A390" s="2" t="n">
        <v>384</v>
      </c>
      <c r="B390" s="15" t="n">
        <f aca="false">INT(A390/151)</f>
        <v>2</v>
      </c>
      <c r="C390" s="15" t="n">
        <f aca="false">MOD(A390,151)</f>
        <v>82</v>
      </c>
      <c r="D390" s="15" t="n">
        <f aca="false">INDEX(Grid!$J$6:$P$156,C390+1,B390+1)</f>
        <v>1</v>
      </c>
      <c r="E390" s="16" t="n">
        <f aca="false">IF(D390=1,INDEX(Grid!$B$6:$H$156,C390+1,B390+1),"")</f>
        <v>309.627881851091</v>
      </c>
      <c r="F390" s="13" t="n">
        <f aca="false">Val_pt*(Ceiling_e-E_zero)*(1-(1-Half_gap)^B390)</f>
        <v>105</v>
      </c>
      <c r="G390" s="15" t="n">
        <f aca="false">C390</f>
        <v>82</v>
      </c>
      <c r="H390" s="15" t="n">
        <f aca="false">IF(D390=1,INDEX(Grid!$R$6:$X$156,C390+1,B390+1),"")</f>
        <v>48</v>
      </c>
      <c r="I390" s="2" t="str">
        <f aca="false">IF(D390=1,INDEX(Sch_label,H390+1),"")</f>
        <v>1, 2</v>
      </c>
      <c r="J390" s="15" t="n">
        <f aca="false">IF(D390=1,INDEX(Grid!$Z$6:$AF$156,C390+1,B390+1),0)</f>
        <v>1</v>
      </c>
      <c r="K390" s="16" t="n">
        <f aca="false">IF(J390=1,E390,0)</f>
        <v>309.627881851091</v>
      </c>
      <c r="L390" s="17" t="n">
        <f aca="false">IF(D390=1,E390+W_board*F390,"")</f>
        <v>902.325508407557</v>
      </c>
      <c r="M390" s="24" t="n">
        <v>1</v>
      </c>
      <c r="N390" s="25" t="n">
        <v>0.725713962391754</v>
      </c>
      <c r="O390" s="25" t="n">
        <v>0.001</v>
      </c>
      <c r="P390" s="25" t="n">
        <v>0.273286037608246</v>
      </c>
      <c r="Z390" s="12" t="n">
        <f aca="false">IF(AND($J390=1,$M390=1),N390*E390/Span_P+O390*F390/Span_S+P390*G390/Span_B,"")</f>
        <v>0.771469252059504</v>
      </c>
      <c r="AA390" s="12" t="n">
        <f aca="false">IF(AND($J390=1,$M390=1),SUMPRODUCT(MAX($J$6:$J$1062*(N390*$K$6:$K$1062/Span_P+O390*$F$6:$F$1062/Span_S+P390*$G$6:$G$1062/Span_B)-(1-$J$6:$J$1062)*1000000000)),"")</f>
        <v>0.771469252059509</v>
      </c>
      <c r="AB390" s="15" t="n">
        <f aca="false">IF(AND($J390=1,$M390=1),IF(AA390-Z390&lt;=0.000000001,1,0),"")</f>
        <v>1</v>
      </c>
      <c r="AC390" s="13" t="str">
        <f aca="false">IF(AND($J390=1,$M390=0),IF(S390="",0,S390*INDEX(Grid!$B$6:$H$156,R390+1,Q390+1))+IF(V390="",0,V390*INDEX(Grid!$B$6:$H$156,U390+1,T390+1))+IF(Y390="",0,Y390*INDEX(Grid!$B$6:$H$156,X390+1,W390+1)),"")</f>
        <v/>
      </c>
      <c r="AD390" s="13" t="str">
        <f aca="false">IF(AND($J390=1,$M390=0),IF(S390="",0,S390*Val_pt*(Ceiling_e-E_zero)*(1-(1-Half_gap)^Q390))+IF(V390="",0,V390*Val_pt*(Ceiling_e-E_zero)*(1-(1-Half_gap)^T390))+IF(Y390="",0,Y390*Val_pt*(Ceiling_e-E_zero)*(1-(1-Half_gap)^W390)),"")</f>
        <v/>
      </c>
      <c r="AE390" s="13" t="str">
        <f aca="false">IF(AND($J390=1,$M390=0),IF(S390="",0,S390*R390)+IF(V390="",0,V390*U390)+IF(Y390="",0,Y390*X390),"")</f>
        <v/>
      </c>
      <c r="AF390" s="12" t="str">
        <f aca="false">IF(AND($J390=1,$M390=0),MIN((AC390-E390)/Span_P,(AD390-F390)/Span_S,(AE390-G390)/Span_B),"")</f>
        <v/>
      </c>
      <c r="AG390" s="15" t="str">
        <f aca="false">IF(AND($J390=1,$M390=0),IF(AF390&gt;0.0000001,1,0),"")</f>
        <v/>
      </c>
      <c r="AH390" s="15" t="n">
        <f aca="false">IF($J390=1,IF($M390=1,AB390,AG390),"")</f>
        <v>1</v>
      </c>
      <c r="AI390" s="13" t="n">
        <f aca="false">IF($J390=1,(Ideal_P-E390)/Span_P,"")</f>
        <v>0.205861227657073</v>
      </c>
      <c r="AJ390" s="13" t="n">
        <f aca="false">IF($J390=1,(Ideal_S-F390)/Span_S,"")</f>
        <v>0.483870967741936</v>
      </c>
      <c r="AK390" s="13" t="n">
        <f aca="false">IF($J390=1,(Ideal_B-G390)/Span_B,"")</f>
        <v>0.453333333333333</v>
      </c>
      <c r="AL390" s="12" t="n">
        <f aca="false">IF($J390=1,MAX(ChA_1*AI390,ChA_2*AJ390,ChA_3*AK390)+Rho*(ChA_1*AI390+ChA_2*AJ390+ChA_3*AK390),"")</f>
        <v>0.483985274294809</v>
      </c>
      <c r="AM390" s="12" t="n">
        <f aca="false">IF($J390=1,MAX(ChB_1*AI390,ChB_2*AJ390,ChB_3*AK390)+Rho*(ChB_1*AI390+ChB_2*AJ390+ChB_3*AK390),"")</f>
        <v>0.484005860417574</v>
      </c>
      <c r="AN390" s="12" t="n">
        <f aca="false">IF($J390=1,MAX(Cx_1*(Ref_P-E390)/Span_P,Cx_2*(Ref_S-F390)/Span_S,Cx_3*(Ref_B-G390)/Span_B),"")</f>
        <v>2.09439124487004</v>
      </c>
    </row>
    <row r="391" customFormat="false" ht="15" hidden="false" customHeight="false" outlineLevel="0" collapsed="false">
      <c r="A391" s="2" t="n">
        <v>385</v>
      </c>
      <c r="B391" s="15" t="n">
        <f aca="false">INT(A391/151)</f>
        <v>2</v>
      </c>
      <c r="C391" s="15" t="n">
        <f aca="false">MOD(A391,151)</f>
        <v>83</v>
      </c>
      <c r="D391" s="15" t="n">
        <f aca="false">INDEX(Grid!$J$6:$P$156,C391+1,B391+1)</f>
        <v>1</v>
      </c>
      <c r="E391" s="16" t="n">
        <f aca="false">IF(D391=1,INDEX(Grid!$B$6:$H$156,C391+1,B391+1),"")</f>
        <v>308.718790942</v>
      </c>
      <c r="F391" s="13" t="n">
        <f aca="false">Val_pt*(Ceiling_e-E_zero)*(1-(1-Half_gap)^B391)</f>
        <v>105</v>
      </c>
      <c r="G391" s="15" t="n">
        <f aca="false">C391</f>
        <v>83</v>
      </c>
      <c r="H391" s="15" t="n">
        <f aca="false">IF(D391=1,INDEX(Grid!$R$6:$X$156,C391+1,B391+1),"")</f>
        <v>48</v>
      </c>
      <c r="I391" s="2" t="str">
        <f aca="false">IF(D391=1,INDEX(Sch_label,H391+1),"")</f>
        <v>1, 2</v>
      </c>
      <c r="J391" s="15" t="n">
        <f aca="false">IF(D391=1,INDEX(Grid!$Z$6:$AF$156,C391+1,B391+1),0)</f>
        <v>1</v>
      </c>
      <c r="K391" s="16" t="n">
        <f aca="false">IF(J391=1,E391,0)</f>
        <v>308.718790942</v>
      </c>
      <c r="L391" s="17" t="n">
        <f aca="false">IF(D391=1,E391+W_board*F391,"")</f>
        <v>901.416417498466</v>
      </c>
      <c r="M391" s="24" t="n">
        <v>1</v>
      </c>
      <c r="N391" s="25" t="n">
        <v>0.725713962391745</v>
      </c>
      <c r="O391" s="25" t="n">
        <v>0.001</v>
      </c>
      <c r="P391" s="25" t="n">
        <v>0.273286037608255</v>
      </c>
      <c r="Z391" s="12" t="n">
        <f aca="false">IF(AND($J391=1,$M391=1),N391*E391/Span_P+O391*F391/Span_S+P391*G391/Span_B,"")</f>
        <v>0.771469252059502</v>
      </c>
      <c r="AA391" s="12" t="n">
        <f aca="false">IF(AND($J391=1,$M391=1),SUMPRODUCT(MAX($J$6:$J$1062*(N391*$K$6:$K$1062/Span_P+O391*$F$6:$F$1062/Span_S+P391*$G$6:$G$1062/Span_B)-(1-$J$6:$J$1062)*1000000000)),"")</f>
        <v>0.771469252059502</v>
      </c>
      <c r="AB391" s="15" t="n">
        <f aca="false">IF(AND($J391=1,$M391=1),IF(AA391-Z391&lt;=0.000000001,1,0),"")</f>
        <v>1</v>
      </c>
      <c r="AC391" s="13" t="str">
        <f aca="false">IF(AND($J391=1,$M391=0),IF(S391="",0,S391*INDEX(Grid!$B$6:$H$156,R391+1,Q391+1))+IF(V391="",0,V391*INDEX(Grid!$B$6:$H$156,U391+1,T391+1))+IF(Y391="",0,Y391*INDEX(Grid!$B$6:$H$156,X391+1,W391+1)),"")</f>
        <v/>
      </c>
      <c r="AD391" s="13" t="str">
        <f aca="false">IF(AND($J391=1,$M391=0),IF(S391="",0,S391*Val_pt*(Ceiling_e-E_zero)*(1-(1-Half_gap)^Q391))+IF(V391="",0,V391*Val_pt*(Ceiling_e-E_zero)*(1-(1-Half_gap)^T391))+IF(Y391="",0,Y391*Val_pt*(Ceiling_e-E_zero)*(1-(1-Half_gap)^W391)),"")</f>
        <v/>
      </c>
      <c r="AE391" s="13" t="str">
        <f aca="false">IF(AND($J391=1,$M391=0),IF(S391="",0,S391*R391)+IF(V391="",0,V391*U391)+IF(Y391="",0,Y391*X391),"")</f>
        <v/>
      </c>
      <c r="AF391" s="12" t="str">
        <f aca="false">IF(AND($J391=1,$M391=0),MIN((AC391-E391)/Span_P,(AD391-F391)/Span_S,(AE391-G391)/Span_B),"")</f>
        <v/>
      </c>
      <c r="AG391" s="15" t="str">
        <f aca="false">IF(AND($J391=1,$M391=0),IF(AF391&gt;0.0000001,1,0),"")</f>
        <v/>
      </c>
      <c r="AH391" s="15" t="n">
        <f aca="false">IF($J391=1,IF($M391=1,AB391,AG391),"")</f>
        <v>1</v>
      </c>
      <c r="AI391" s="13" t="n">
        <f aca="false">IF($J391=1,(Ideal_P-E391)/Span_P,"")</f>
        <v>0.208371730433379</v>
      </c>
      <c r="AJ391" s="13" t="n">
        <f aca="false">IF($J391=1,(Ideal_S-F391)/Span_S,"")</f>
        <v>0.483870967741936</v>
      </c>
      <c r="AK391" s="13" t="n">
        <f aca="false">IF($J391=1,(Ideal_B-G391)/Span_B,"")</f>
        <v>0.446666666666667</v>
      </c>
      <c r="AL391" s="12" t="n">
        <f aca="false">IF($J391=1,MAX(ChA_1*AI391,ChA_2*AJ391,ChA_3*AK391)+Rho*(ChA_1*AI391+ChA_2*AJ391+ChA_3*AK391),"")</f>
        <v>0.48398485867842</v>
      </c>
      <c r="AM391" s="12" t="n">
        <f aca="false">IF($J391=1,MAX(ChB_1*AI391,ChB_2*AJ391,ChB_3*AK391)+Rho*(ChB_1*AI391+ChB_2*AJ391+ChB_3*AK391),"")</f>
        <v>0.484005695851463</v>
      </c>
      <c r="AN391" s="12" t="n">
        <f aca="false">IF($J391=1,MAX(Cx_1*(Ref_P-E391)/Span_P,Cx_2*(Ref_S-F391)/Span_S,Cx_3*(Ref_B-G391)/Span_B),"")</f>
        <v>2.09439124487004</v>
      </c>
    </row>
    <row r="392" customFormat="false" ht="15" hidden="false" customHeight="false" outlineLevel="0" collapsed="false">
      <c r="A392" s="2" t="n">
        <v>386</v>
      </c>
      <c r="B392" s="15" t="n">
        <f aca="false">INT(A392/151)</f>
        <v>2</v>
      </c>
      <c r="C392" s="15" t="n">
        <f aca="false">MOD(A392,151)</f>
        <v>84</v>
      </c>
      <c r="D392" s="15" t="n">
        <f aca="false">INDEX(Grid!$J$6:$P$156,C392+1,B392+1)</f>
        <v>1</v>
      </c>
      <c r="E392" s="16" t="n">
        <f aca="false">IF(D392=1,INDEX(Grid!$B$6:$H$156,C392+1,B392+1),"")</f>
        <v>307.809700032909</v>
      </c>
      <c r="F392" s="13" t="n">
        <f aca="false">Val_pt*(Ceiling_e-E_zero)*(1-(1-Half_gap)^B392)</f>
        <v>105</v>
      </c>
      <c r="G392" s="15" t="n">
        <f aca="false">C392</f>
        <v>84</v>
      </c>
      <c r="H392" s="15" t="n">
        <f aca="false">IF(D392=1,INDEX(Grid!$R$6:$X$156,C392+1,B392+1),"")</f>
        <v>48</v>
      </c>
      <c r="I392" s="2" t="str">
        <f aca="false">IF(D392=1,INDEX(Sch_label,H392+1),"")</f>
        <v>1, 2</v>
      </c>
      <c r="J392" s="15" t="n">
        <f aca="false">IF(D392=1,INDEX(Grid!$Z$6:$AF$156,C392+1,B392+1),0)</f>
        <v>1</v>
      </c>
      <c r="K392" s="16" t="n">
        <f aca="false">IF(J392=1,E392,0)</f>
        <v>307.809700032909</v>
      </c>
      <c r="L392" s="17" t="n">
        <f aca="false">IF(D392=1,E392+W_board*F392,"")</f>
        <v>900.507326589375</v>
      </c>
      <c r="M392" s="24" t="n">
        <v>1</v>
      </c>
      <c r="N392" s="25" t="n">
        <v>0.725713962391751</v>
      </c>
      <c r="O392" s="25" t="n">
        <v>0.001</v>
      </c>
      <c r="P392" s="25" t="n">
        <v>0.273286037608249</v>
      </c>
      <c r="Z392" s="12" t="n">
        <f aca="false">IF(AND($J392=1,$M392=1),N392*E392/Span_P+O392*F392/Span_S+P392*G392/Span_B,"")</f>
        <v>0.771469252059503</v>
      </c>
      <c r="AA392" s="12" t="n">
        <f aca="false">IF(AND($J392=1,$M392=1),SUMPRODUCT(MAX($J$6:$J$1062*(N392*$K$6:$K$1062/Span_P+O392*$F$6:$F$1062/Span_S+P392*$G$6:$G$1062/Span_B)-(1-$J$6:$J$1062)*1000000000)),"")</f>
        <v>0.771469252059505</v>
      </c>
      <c r="AB392" s="15" t="n">
        <f aca="false">IF(AND($J392=1,$M392=1),IF(AA392-Z392&lt;=0.000000001,1,0),"")</f>
        <v>1</v>
      </c>
      <c r="AC392" s="13" t="str">
        <f aca="false">IF(AND($J392=1,$M392=0),IF(S392="",0,S392*INDEX(Grid!$B$6:$H$156,R392+1,Q392+1))+IF(V392="",0,V392*INDEX(Grid!$B$6:$H$156,U392+1,T392+1))+IF(Y392="",0,Y392*INDEX(Grid!$B$6:$H$156,X392+1,W392+1)),"")</f>
        <v/>
      </c>
      <c r="AD392" s="13" t="str">
        <f aca="false">IF(AND($J392=1,$M392=0),IF(S392="",0,S392*Val_pt*(Ceiling_e-E_zero)*(1-(1-Half_gap)^Q392))+IF(V392="",0,V392*Val_pt*(Ceiling_e-E_zero)*(1-(1-Half_gap)^T392))+IF(Y392="",0,Y392*Val_pt*(Ceiling_e-E_zero)*(1-(1-Half_gap)^W392)),"")</f>
        <v/>
      </c>
      <c r="AE392" s="13" t="str">
        <f aca="false">IF(AND($J392=1,$M392=0),IF(S392="",0,S392*R392)+IF(V392="",0,V392*U392)+IF(Y392="",0,Y392*X392),"")</f>
        <v/>
      </c>
      <c r="AF392" s="12" t="str">
        <f aca="false">IF(AND($J392=1,$M392=0),MIN((AC392-E392)/Span_P,(AD392-F392)/Span_S,(AE392-G392)/Span_B),"")</f>
        <v/>
      </c>
      <c r="AG392" s="15" t="str">
        <f aca="false">IF(AND($J392=1,$M392=0),IF(AF392&gt;0.0000001,1,0),"")</f>
        <v/>
      </c>
      <c r="AH392" s="15" t="n">
        <f aca="false">IF($J392=1,IF($M392=1,AB392,AG392),"")</f>
        <v>1</v>
      </c>
      <c r="AI392" s="13" t="n">
        <f aca="false">IF($J392=1,(Ideal_P-E392)/Span_P,"")</f>
        <v>0.210882233209685</v>
      </c>
      <c r="AJ392" s="13" t="n">
        <f aca="false">IF($J392=1,(Ideal_S-F392)/Span_S,"")</f>
        <v>0.483870967741936</v>
      </c>
      <c r="AK392" s="13" t="n">
        <f aca="false">IF($J392=1,(Ideal_B-G392)/Span_B,"")</f>
        <v>0.44</v>
      </c>
      <c r="AL392" s="12" t="n">
        <f aca="false">IF($J392=1,MAX(ChA_1*AI392,ChA_2*AJ392,ChA_3*AK392)+Rho*(ChA_1*AI392+ChA_2*AJ392+ChA_3*AK392),"")</f>
        <v>0.483984443062031</v>
      </c>
      <c r="AM392" s="12" t="n">
        <f aca="false">IF($J392=1,MAX(ChB_1*AI392,ChB_2*AJ392,ChB_3*AK392)+Rho*(ChB_1*AI392+ChB_2*AJ392+ChB_3*AK392),"")</f>
        <v>0.484005531285352</v>
      </c>
      <c r="AN392" s="12" t="n">
        <f aca="false">IF($J392=1,MAX(Cx_1*(Ref_P-E392)/Span_P,Cx_2*(Ref_S-F392)/Span_S,Cx_3*(Ref_B-G392)/Span_B),"")</f>
        <v>2.09439124487004</v>
      </c>
    </row>
    <row r="393" customFormat="false" ht="15" hidden="false" customHeight="false" outlineLevel="0" collapsed="false">
      <c r="A393" s="2" t="n">
        <v>387</v>
      </c>
      <c r="B393" s="15" t="n">
        <f aca="false">INT(A393/151)</f>
        <v>2</v>
      </c>
      <c r="C393" s="15" t="n">
        <f aca="false">MOD(A393,151)</f>
        <v>85</v>
      </c>
      <c r="D393" s="15" t="n">
        <f aca="false">INDEX(Grid!$J$6:$P$156,C393+1,B393+1)</f>
        <v>1</v>
      </c>
      <c r="E393" s="16" t="n">
        <f aca="false">IF(D393=1,INDEX(Grid!$B$6:$H$156,C393+1,B393+1),"")</f>
        <v>306.900609123818</v>
      </c>
      <c r="F393" s="13" t="n">
        <f aca="false">Val_pt*(Ceiling_e-E_zero)*(1-(1-Half_gap)^B393)</f>
        <v>105</v>
      </c>
      <c r="G393" s="15" t="n">
        <f aca="false">C393</f>
        <v>85</v>
      </c>
      <c r="H393" s="15" t="n">
        <f aca="false">IF(D393=1,INDEX(Grid!$R$6:$X$156,C393+1,B393+1),"")</f>
        <v>48</v>
      </c>
      <c r="I393" s="2" t="str">
        <f aca="false">IF(D393=1,INDEX(Sch_label,H393+1),"")</f>
        <v>1, 2</v>
      </c>
      <c r="J393" s="15" t="n">
        <f aca="false">IF(D393=1,INDEX(Grid!$Z$6:$AF$156,C393+1,B393+1),0)</f>
        <v>1</v>
      </c>
      <c r="K393" s="16" t="n">
        <f aca="false">IF(J393=1,E393,0)</f>
        <v>306.900609123818</v>
      </c>
      <c r="L393" s="17" t="n">
        <f aca="false">IF(D393=1,E393+W_board*F393,"")</f>
        <v>899.598235680284</v>
      </c>
      <c r="M393" s="24" t="n">
        <v>1</v>
      </c>
      <c r="N393" s="25" t="n">
        <v>0.725713962391745</v>
      </c>
      <c r="O393" s="25" t="n">
        <v>0.001</v>
      </c>
      <c r="P393" s="25" t="n">
        <v>0.273286037608255</v>
      </c>
      <c r="Z393" s="12" t="n">
        <f aca="false">IF(AND($J393=1,$M393=1),N393*E393/Span_P+O393*F393/Span_S+P393*G393/Span_B,"")</f>
        <v>0.771469252059502</v>
      </c>
      <c r="AA393" s="12" t="n">
        <f aca="false">IF(AND($J393=1,$M393=1),SUMPRODUCT(MAX($J$6:$J$1062*(N393*$K$6:$K$1062/Span_P+O393*$F$6:$F$1062/Span_S+P393*$G$6:$G$1062/Span_B)-(1-$J$6:$J$1062)*1000000000)),"")</f>
        <v>0.771469252059502</v>
      </c>
      <c r="AB393" s="15" t="n">
        <f aca="false">IF(AND($J393=1,$M393=1),IF(AA393-Z393&lt;=0.000000001,1,0),"")</f>
        <v>1</v>
      </c>
      <c r="AC393" s="13" t="str">
        <f aca="false">IF(AND($J393=1,$M393=0),IF(S393="",0,S393*INDEX(Grid!$B$6:$H$156,R393+1,Q393+1))+IF(V393="",0,V393*INDEX(Grid!$B$6:$H$156,U393+1,T393+1))+IF(Y393="",0,Y393*INDEX(Grid!$B$6:$H$156,X393+1,W393+1)),"")</f>
        <v/>
      </c>
      <c r="AD393" s="13" t="str">
        <f aca="false">IF(AND($J393=1,$M393=0),IF(S393="",0,S393*Val_pt*(Ceiling_e-E_zero)*(1-(1-Half_gap)^Q393))+IF(V393="",0,V393*Val_pt*(Ceiling_e-E_zero)*(1-(1-Half_gap)^T393))+IF(Y393="",0,Y393*Val_pt*(Ceiling_e-E_zero)*(1-(1-Half_gap)^W393)),"")</f>
        <v/>
      </c>
      <c r="AE393" s="13" t="str">
        <f aca="false">IF(AND($J393=1,$M393=0),IF(S393="",0,S393*R393)+IF(V393="",0,V393*U393)+IF(Y393="",0,Y393*X393),"")</f>
        <v/>
      </c>
      <c r="AF393" s="12" t="str">
        <f aca="false">IF(AND($J393=1,$M393=0),MIN((AC393-E393)/Span_P,(AD393-F393)/Span_S,(AE393-G393)/Span_B),"")</f>
        <v/>
      </c>
      <c r="AG393" s="15" t="str">
        <f aca="false">IF(AND($J393=1,$M393=0),IF(AF393&gt;0.0000001,1,0),"")</f>
        <v/>
      </c>
      <c r="AH393" s="15" t="n">
        <f aca="false">IF($J393=1,IF($M393=1,AB393,AG393),"")</f>
        <v>1</v>
      </c>
      <c r="AI393" s="13" t="n">
        <f aca="false">IF($J393=1,(Ideal_P-E393)/Span_P,"")</f>
        <v>0.21339273598599</v>
      </c>
      <c r="AJ393" s="13" t="n">
        <f aca="false">IF($J393=1,(Ideal_S-F393)/Span_S,"")</f>
        <v>0.483870967741936</v>
      </c>
      <c r="AK393" s="13" t="n">
        <f aca="false">IF($J393=1,(Ideal_B-G393)/Span_B,"")</f>
        <v>0.433333333333333</v>
      </c>
      <c r="AL393" s="12" t="n">
        <f aca="false">IF($J393=1,MAX(ChA_1*AI393,ChA_2*AJ393,ChA_3*AK393)+Rho*(ChA_1*AI393+ChA_2*AJ393+ChA_3*AK393),"")</f>
        <v>0.483984027445642</v>
      </c>
      <c r="AM393" s="12" t="n">
        <f aca="false">IF($J393=1,MAX(ChB_1*AI393,ChB_2*AJ393,ChB_3*AK393)+Rho*(ChB_1*AI393+ChB_2*AJ393+ChB_3*AK393),"")</f>
        <v>0.48400536671924</v>
      </c>
      <c r="AN393" s="12" t="n">
        <f aca="false">IF($J393=1,MAX(Cx_1*(Ref_P-E393)/Span_P,Cx_2*(Ref_S-F393)/Span_S,Cx_3*(Ref_B-G393)/Span_B),"")</f>
        <v>2.09439124487004</v>
      </c>
    </row>
    <row r="394" customFormat="false" ht="15" hidden="false" customHeight="false" outlineLevel="0" collapsed="false">
      <c r="A394" s="2" t="n">
        <v>388</v>
      </c>
      <c r="B394" s="15" t="n">
        <f aca="false">INT(A394/151)</f>
        <v>2</v>
      </c>
      <c r="C394" s="15" t="n">
        <f aca="false">MOD(A394,151)</f>
        <v>86</v>
      </c>
      <c r="D394" s="15" t="n">
        <f aca="false">INDEX(Grid!$J$6:$P$156,C394+1,B394+1)</f>
        <v>1</v>
      </c>
      <c r="E394" s="16" t="n">
        <f aca="false">IF(D394=1,INDEX(Grid!$B$6:$H$156,C394+1,B394+1),"")</f>
        <v>305.991518214727</v>
      </c>
      <c r="F394" s="13" t="n">
        <f aca="false">Val_pt*(Ceiling_e-E_zero)*(1-(1-Half_gap)^B394)</f>
        <v>105</v>
      </c>
      <c r="G394" s="15" t="n">
        <f aca="false">C394</f>
        <v>86</v>
      </c>
      <c r="H394" s="15" t="n">
        <f aca="false">IF(D394=1,INDEX(Grid!$R$6:$X$156,C394+1,B394+1),"")</f>
        <v>48</v>
      </c>
      <c r="I394" s="2" t="str">
        <f aca="false">IF(D394=1,INDEX(Sch_label,H394+1),"")</f>
        <v>1, 2</v>
      </c>
      <c r="J394" s="15" t="n">
        <f aca="false">IF(D394=1,INDEX(Grid!$Z$6:$AF$156,C394+1,B394+1),0)</f>
        <v>1</v>
      </c>
      <c r="K394" s="16" t="n">
        <f aca="false">IF(J394=1,E394,0)</f>
        <v>305.991518214727</v>
      </c>
      <c r="L394" s="17" t="n">
        <f aca="false">IF(D394=1,E394+W_board*F394,"")</f>
        <v>898.689144771193</v>
      </c>
      <c r="M394" s="24" t="n">
        <v>1</v>
      </c>
      <c r="N394" s="25" t="n">
        <v>0.725713962391742</v>
      </c>
      <c r="O394" s="25" t="n">
        <v>0.001</v>
      </c>
      <c r="P394" s="25" t="n">
        <v>0.273286037608258</v>
      </c>
      <c r="Z394" s="12" t="n">
        <f aca="false">IF(AND($J394=1,$M394=1),N394*E394/Span_P+O394*F394/Span_S+P394*G394/Span_B,"")</f>
        <v>0.771469252059501</v>
      </c>
      <c r="AA394" s="12" t="n">
        <f aca="false">IF(AND($J394=1,$M394=1),SUMPRODUCT(MAX($J$6:$J$1062*(N394*$K$6:$K$1062/Span_P+O394*$F$6:$F$1062/Span_S+P394*$G$6:$G$1062/Span_B)-(1-$J$6:$J$1062)*1000000000)),"")</f>
        <v>0.771469252059502</v>
      </c>
      <c r="AB394" s="15" t="n">
        <f aca="false">IF(AND($J394=1,$M394=1),IF(AA394-Z394&lt;=0.000000001,1,0),"")</f>
        <v>1</v>
      </c>
      <c r="AC394" s="13" t="str">
        <f aca="false">IF(AND($J394=1,$M394=0),IF(S394="",0,S394*INDEX(Grid!$B$6:$H$156,R394+1,Q394+1))+IF(V394="",0,V394*INDEX(Grid!$B$6:$H$156,U394+1,T394+1))+IF(Y394="",0,Y394*INDEX(Grid!$B$6:$H$156,X394+1,W394+1)),"")</f>
        <v/>
      </c>
      <c r="AD394" s="13" t="str">
        <f aca="false">IF(AND($J394=1,$M394=0),IF(S394="",0,S394*Val_pt*(Ceiling_e-E_zero)*(1-(1-Half_gap)^Q394))+IF(V394="",0,V394*Val_pt*(Ceiling_e-E_zero)*(1-(1-Half_gap)^T394))+IF(Y394="",0,Y394*Val_pt*(Ceiling_e-E_zero)*(1-(1-Half_gap)^W394)),"")</f>
        <v/>
      </c>
      <c r="AE394" s="13" t="str">
        <f aca="false">IF(AND($J394=1,$M394=0),IF(S394="",0,S394*R394)+IF(V394="",0,V394*U394)+IF(Y394="",0,Y394*X394),"")</f>
        <v/>
      </c>
      <c r="AF394" s="12" t="str">
        <f aca="false">IF(AND($J394=1,$M394=0),MIN((AC394-E394)/Span_P,(AD394-F394)/Span_S,(AE394-G394)/Span_B),"")</f>
        <v/>
      </c>
      <c r="AG394" s="15" t="str">
        <f aca="false">IF(AND($J394=1,$M394=0),IF(AF394&gt;0.0000001,1,0),"")</f>
        <v/>
      </c>
      <c r="AH394" s="15" t="n">
        <f aca="false">IF($J394=1,IF($M394=1,AB394,AG394),"")</f>
        <v>1</v>
      </c>
      <c r="AI394" s="13" t="n">
        <f aca="false">IF($J394=1,(Ideal_P-E394)/Span_P,"")</f>
        <v>0.215903238762296</v>
      </c>
      <c r="AJ394" s="13" t="n">
        <f aca="false">IF($J394=1,(Ideal_S-F394)/Span_S,"")</f>
        <v>0.483870967741936</v>
      </c>
      <c r="AK394" s="13" t="n">
        <f aca="false">IF($J394=1,(Ideal_B-G394)/Span_B,"")</f>
        <v>0.426666666666667</v>
      </c>
      <c r="AL394" s="12" t="n">
        <f aca="false">IF($J394=1,MAX(ChA_1*AI394,ChA_2*AJ394,ChA_3*AK394)+Rho*(ChA_1*AI394+ChA_2*AJ394+ChA_3*AK394),"")</f>
        <v>0.483983611829253</v>
      </c>
      <c r="AM394" s="12" t="n">
        <f aca="false">IF($J394=1,MAX(ChB_1*AI394,ChB_2*AJ394,ChB_3*AK394)+Rho*(ChB_1*AI394+ChB_2*AJ394+ChB_3*AK394),"")</f>
        <v>0.484005202153129</v>
      </c>
      <c r="AN394" s="12" t="n">
        <f aca="false">IF($J394=1,MAX(Cx_1*(Ref_P-E394)/Span_P,Cx_2*(Ref_S-F394)/Span_S,Cx_3*(Ref_B-G394)/Span_B),"")</f>
        <v>2.09439124487004</v>
      </c>
    </row>
    <row r="395" customFormat="false" ht="15" hidden="false" customHeight="false" outlineLevel="0" collapsed="false">
      <c r="A395" s="2" t="n">
        <v>389</v>
      </c>
      <c r="B395" s="15" t="n">
        <f aca="false">INT(A395/151)</f>
        <v>2</v>
      </c>
      <c r="C395" s="15" t="n">
        <f aca="false">MOD(A395,151)</f>
        <v>87</v>
      </c>
      <c r="D395" s="15" t="n">
        <f aca="false">INDEX(Grid!$J$6:$P$156,C395+1,B395+1)</f>
        <v>1</v>
      </c>
      <c r="E395" s="16" t="n">
        <f aca="false">IF(D395=1,INDEX(Grid!$B$6:$H$156,C395+1,B395+1),"")</f>
        <v>305.082427305636</v>
      </c>
      <c r="F395" s="13" t="n">
        <f aca="false">Val_pt*(Ceiling_e-E_zero)*(1-(1-Half_gap)^B395)</f>
        <v>105</v>
      </c>
      <c r="G395" s="15" t="n">
        <f aca="false">C395</f>
        <v>87</v>
      </c>
      <c r="H395" s="15" t="n">
        <f aca="false">IF(D395=1,INDEX(Grid!$R$6:$X$156,C395+1,B395+1),"")</f>
        <v>48</v>
      </c>
      <c r="I395" s="2" t="str">
        <f aca="false">IF(D395=1,INDEX(Sch_label,H395+1),"")</f>
        <v>1, 2</v>
      </c>
      <c r="J395" s="15" t="n">
        <f aca="false">IF(D395=1,INDEX(Grid!$Z$6:$AF$156,C395+1,B395+1),0)</f>
        <v>1</v>
      </c>
      <c r="K395" s="16" t="n">
        <f aca="false">IF(J395=1,E395,0)</f>
        <v>305.082427305636</v>
      </c>
      <c r="L395" s="17" t="n">
        <f aca="false">IF(D395=1,E395+W_board*F395,"")</f>
        <v>897.780053862102</v>
      </c>
      <c r="M395" s="24" t="n">
        <v>1</v>
      </c>
      <c r="N395" s="25" t="n">
        <v>0.725713962391754</v>
      </c>
      <c r="O395" s="25" t="n">
        <v>0.001</v>
      </c>
      <c r="P395" s="25" t="n">
        <v>0.273286037608246</v>
      </c>
      <c r="Z395" s="12" t="n">
        <f aca="false">IF(AND($J395=1,$M395=1),N395*E395/Span_P+O395*F395/Span_S+P395*G395/Span_B,"")</f>
        <v>0.771469252059504</v>
      </c>
      <c r="AA395" s="12" t="n">
        <f aca="false">IF(AND($J395=1,$M395=1),SUMPRODUCT(MAX($J$6:$J$1062*(N395*$K$6:$K$1062/Span_P+O395*$F$6:$F$1062/Span_S+P395*$G$6:$G$1062/Span_B)-(1-$J$6:$J$1062)*1000000000)),"")</f>
        <v>0.771469252059509</v>
      </c>
      <c r="AB395" s="15" t="n">
        <f aca="false">IF(AND($J395=1,$M395=1),IF(AA395-Z395&lt;=0.000000001,1,0),"")</f>
        <v>1</v>
      </c>
      <c r="AC395" s="13" t="str">
        <f aca="false">IF(AND($J395=1,$M395=0),IF(S395="",0,S395*INDEX(Grid!$B$6:$H$156,R395+1,Q395+1))+IF(V395="",0,V395*INDEX(Grid!$B$6:$H$156,U395+1,T395+1))+IF(Y395="",0,Y395*INDEX(Grid!$B$6:$H$156,X395+1,W395+1)),"")</f>
        <v/>
      </c>
      <c r="AD395" s="13" t="str">
        <f aca="false">IF(AND($J395=1,$M395=0),IF(S395="",0,S395*Val_pt*(Ceiling_e-E_zero)*(1-(1-Half_gap)^Q395))+IF(V395="",0,V395*Val_pt*(Ceiling_e-E_zero)*(1-(1-Half_gap)^T395))+IF(Y395="",0,Y395*Val_pt*(Ceiling_e-E_zero)*(1-(1-Half_gap)^W395)),"")</f>
        <v/>
      </c>
      <c r="AE395" s="13" t="str">
        <f aca="false">IF(AND($J395=1,$M395=0),IF(S395="",0,S395*R395)+IF(V395="",0,V395*U395)+IF(Y395="",0,Y395*X395),"")</f>
        <v/>
      </c>
      <c r="AF395" s="12" t="str">
        <f aca="false">IF(AND($J395=1,$M395=0),MIN((AC395-E395)/Span_P,(AD395-F395)/Span_S,(AE395-G395)/Span_B),"")</f>
        <v/>
      </c>
      <c r="AG395" s="15" t="str">
        <f aca="false">IF(AND($J395=1,$M395=0),IF(AF395&gt;0.0000001,1,0),"")</f>
        <v/>
      </c>
      <c r="AH395" s="15" t="n">
        <f aca="false">IF($J395=1,IF($M395=1,AB395,AG395),"")</f>
        <v>1</v>
      </c>
      <c r="AI395" s="13" t="n">
        <f aca="false">IF($J395=1,(Ideal_P-E395)/Span_P,"")</f>
        <v>0.218413741538602</v>
      </c>
      <c r="AJ395" s="13" t="n">
        <f aca="false">IF($J395=1,(Ideal_S-F395)/Span_S,"")</f>
        <v>0.483870967741936</v>
      </c>
      <c r="AK395" s="13" t="n">
        <f aca="false">IF($J395=1,(Ideal_B-G395)/Span_B,"")</f>
        <v>0.42</v>
      </c>
      <c r="AL395" s="12" t="n">
        <f aca="false">IF($J395=1,MAX(ChA_1*AI395,ChA_2*AJ395,ChA_3*AK395)+Rho*(ChA_1*AI395+ChA_2*AJ395+ChA_3*AK395),"")</f>
        <v>0.483983196212864</v>
      </c>
      <c r="AM395" s="12" t="n">
        <f aca="false">IF($J395=1,MAX(ChB_1*AI395,ChB_2*AJ395,ChB_3*AK395)+Rho*(ChB_1*AI395+ChB_2*AJ395+ChB_3*AK395),"")</f>
        <v>0.484005037587017</v>
      </c>
      <c r="AN395" s="12" t="n">
        <f aca="false">IF($J395=1,MAX(Cx_1*(Ref_P-E395)/Span_P,Cx_2*(Ref_S-F395)/Span_S,Cx_3*(Ref_B-G395)/Span_B),"")</f>
        <v>2.09439124487004</v>
      </c>
    </row>
    <row r="396" customFormat="false" ht="15" hidden="false" customHeight="false" outlineLevel="0" collapsed="false">
      <c r="A396" s="2" t="n">
        <v>390</v>
      </c>
      <c r="B396" s="15" t="n">
        <f aca="false">INT(A396/151)</f>
        <v>2</v>
      </c>
      <c r="C396" s="15" t="n">
        <f aca="false">MOD(A396,151)</f>
        <v>88</v>
      </c>
      <c r="D396" s="15" t="n">
        <f aca="false">INDEX(Grid!$J$6:$P$156,C396+1,B396+1)</f>
        <v>1</v>
      </c>
      <c r="E396" s="16" t="n">
        <f aca="false">IF(D396=1,INDEX(Grid!$B$6:$H$156,C396+1,B396+1),"")</f>
        <v>304.173336396545</v>
      </c>
      <c r="F396" s="13" t="n">
        <f aca="false">Val_pt*(Ceiling_e-E_zero)*(1-(1-Half_gap)^B396)</f>
        <v>105</v>
      </c>
      <c r="G396" s="15" t="n">
        <f aca="false">C396</f>
        <v>88</v>
      </c>
      <c r="H396" s="15" t="n">
        <f aca="false">IF(D396=1,INDEX(Grid!$R$6:$X$156,C396+1,B396+1),"")</f>
        <v>48</v>
      </c>
      <c r="I396" s="2" t="str">
        <f aca="false">IF(D396=1,INDEX(Sch_label,H396+1),"")</f>
        <v>1, 2</v>
      </c>
      <c r="J396" s="15" t="n">
        <f aca="false">IF(D396=1,INDEX(Grid!$Z$6:$AF$156,C396+1,B396+1),0)</f>
        <v>1</v>
      </c>
      <c r="K396" s="16" t="n">
        <f aca="false">IF(J396=1,E396,0)</f>
        <v>304.173336396545</v>
      </c>
      <c r="L396" s="17" t="n">
        <f aca="false">IF(D396=1,E396+W_board*F396,"")</f>
        <v>896.870962953011</v>
      </c>
      <c r="M396" s="24" t="n">
        <v>1</v>
      </c>
      <c r="N396" s="25" t="n">
        <v>0.725713962391745</v>
      </c>
      <c r="O396" s="25" t="n">
        <v>0.001</v>
      </c>
      <c r="P396" s="25" t="n">
        <v>0.273286037608255</v>
      </c>
      <c r="Z396" s="12" t="n">
        <f aca="false">IF(AND($J396=1,$M396=1),N396*E396/Span_P+O396*F396/Span_S+P396*G396/Span_B,"")</f>
        <v>0.771469252059502</v>
      </c>
      <c r="AA396" s="12" t="n">
        <f aca="false">IF(AND($J396=1,$M396=1),SUMPRODUCT(MAX($J$6:$J$1062*(N396*$K$6:$K$1062/Span_P+O396*$F$6:$F$1062/Span_S+P396*$G$6:$G$1062/Span_B)-(1-$J$6:$J$1062)*1000000000)),"")</f>
        <v>0.771469252059502</v>
      </c>
      <c r="AB396" s="15" t="n">
        <f aca="false">IF(AND($J396=1,$M396=1),IF(AA396-Z396&lt;=0.000000001,1,0),"")</f>
        <v>1</v>
      </c>
      <c r="AC396" s="13" t="str">
        <f aca="false">IF(AND($J396=1,$M396=0),IF(S396="",0,S396*INDEX(Grid!$B$6:$H$156,R396+1,Q396+1))+IF(V396="",0,V396*INDEX(Grid!$B$6:$H$156,U396+1,T396+1))+IF(Y396="",0,Y396*INDEX(Grid!$B$6:$H$156,X396+1,W396+1)),"")</f>
        <v/>
      </c>
      <c r="AD396" s="13" t="str">
        <f aca="false">IF(AND($J396=1,$M396=0),IF(S396="",0,S396*Val_pt*(Ceiling_e-E_zero)*(1-(1-Half_gap)^Q396))+IF(V396="",0,V396*Val_pt*(Ceiling_e-E_zero)*(1-(1-Half_gap)^T396))+IF(Y396="",0,Y396*Val_pt*(Ceiling_e-E_zero)*(1-(1-Half_gap)^W396)),"")</f>
        <v/>
      </c>
      <c r="AE396" s="13" t="str">
        <f aca="false">IF(AND($J396=1,$M396=0),IF(S396="",0,S396*R396)+IF(V396="",0,V396*U396)+IF(Y396="",0,Y396*X396),"")</f>
        <v/>
      </c>
      <c r="AF396" s="12" t="str">
        <f aca="false">IF(AND($J396=1,$M396=0),MIN((AC396-E396)/Span_P,(AD396-F396)/Span_S,(AE396-G396)/Span_B),"")</f>
        <v/>
      </c>
      <c r="AG396" s="15" t="str">
        <f aca="false">IF(AND($J396=1,$M396=0),IF(AF396&gt;0.0000001,1,0),"")</f>
        <v/>
      </c>
      <c r="AH396" s="15" t="n">
        <f aca="false">IF($J396=1,IF($M396=1,AB396,AG396),"")</f>
        <v>1</v>
      </c>
      <c r="AI396" s="13" t="n">
        <f aca="false">IF($J396=1,(Ideal_P-E396)/Span_P,"")</f>
        <v>0.220924244314908</v>
      </c>
      <c r="AJ396" s="13" t="n">
        <f aca="false">IF($J396=1,(Ideal_S-F396)/Span_S,"")</f>
        <v>0.483870967741936</v>
      </c>
      <c r="AK396" s="13" t="n">
        <f aca="false">IF($J396=1,(Ideal_B-G396)/Span_B,"")</f>
        <v>0.413333333333333</v>
      </c>
      <c r="AL396" s="12" t="n">
        <f aca="false">IF($J396=1,MAX(ChA_1*AI396,ChA_2*AJ396,ChA_3*AK396)+Rho*(ChA_1*AI396+ChA_2*AJ396+ChA_3*AK396),"")</f>
        <v>0.483982780596475</v>
      </c>
      <c r="AM396" s="12" t="n">
        <f aca="false">IF($J396=1,MAX(ChB_1*AI396,ChB_2*AJ396,ChB_3*AK396)+Rho*(ChB_1*AI396+ChB_2*AJ396+ChB_3*AK396),"")</f>
        <v>0.484004873020906</v>
      </c>
      <c r="AN396" s="12" t="n">
        <f aca="false">IF($J396=1,MAX(Cx_1*(Ref_P-E396)/Span_P,Cx_2*(Ref_S-F396)/Span_S,Cx_3*(Ref_B-G396)/Span_B),"")</f>
        <v>2.09439124487004</v>
      </c>
    </row>
    <row r="397" customFormat="false" ht="15" hidden="false" customHeight="false" outlineLevel="0" collapsed="false">
      <c r="A397" s="2" t="n">
        <v>391</v>
      </c>
      <c r="B397" s="15" t="n">
        <f aca="false">INT(A397/151)</f>
        <v>2</v>
      </c>
      <c r="C397" s="15" t="n">
        <f aca="false">MOD(A397,151)</f>
        <v>89</v>
      </c>
      <c r="D397" s="15" t="n">
        <f aca="false">INDEX(Grid!$J$6:$P$156,C397+1,B397+1)</f>
        <v>1</v>
      </c>
      <c r="E397" s="16" t="n">
        <f aca="false">IF(D397=1,INDEX(Grid!$B$6:$H$156,C397+1,B397+1),"")</f>
        <v>303.264245487454</v>
      </c>
      <c r="F397" s="13" t="n">
        <f aca="false">Val_pt*(Ceiling_e-E_zero)*(1-(1-Half_gap)^B397)</f>
        <v>105</v>
      </c>
      <c r="G397" s="15" t="n">
        <f aca="false">C397</f>
        <v>89</v>
      </c>
      <c r="H397" s="15" t="n">
        <f aca="false">IF(D397=1,INDEX(Grid!$R$6:$X$156,C397+1,B397+1),"")</f>
        <v>48</v>
      </c>
      <c r="I397" s="2" t="str">
        <f aca="false">IF(D397=1,INDEX(Sch_label,H397+1),"")</f>
        <v>1, 2</v>
      </c>
      <c r="J397" s="15" t="n">
        <f aca="false">IF(D397=1,INDEX(Grid!$Z$6:$AF$156,C397+1,B397+1),0)</f>
        <v>1</v>
      </c>
      <c r="K397" s="16" t="n">
        <f aca="false">IF(J397=1,E397,0)</f>
        <v>303.264245487454</v>
      </c>
      <c r="L397" s="17" t="n">
        <f aca="false">IF(D397=1,E397+W_board*F397,"")</f>
        <v>895.96187204392</v>
      </c>
      <c r="M397" s="24" t="n">
        <v>1</v>
      </c>
      <c r="N397" s="25" t="n">
        <v>0.725713962391751</v>
      </c>
      <c r="O397" s="25" t="n">
        <v>0.001</v>
      </c>
      <c r="P397" s="25" t="n">
        <v>0.273286037608249</v>
      </c>
      <c r="Z397" s="12" t="n">
        <f aca="false">IF(AND($J397=1,$M397=1),N397*E397/Span_P+O397*F397/Span_S+P397*G397/Span_B,"")</f>
        <v>0.771469252059503</v>
      </c>
      <c r="AA397" s="12" t="n">
        <f aca="false">IF(AND($J397=1,$M397=1),SUMPRODUCT(MAX($J$6:$J$1062*(N397*$K$6:$K$1062/Span_P+O397*$F$6:$F$1062/Span_S+P397*$G$6:$G$1062/Span_B)-(1-$J$6:$J$1062)*1000000000)),"")</f>
        <v>0.771469252059505</v>
      </c>
      <c r="AB397" s="15" t="n">
        <f aca="false">IF(AND($J397=1,$M397=1),IF(AA397-Z397&lt;=0.000000001,1,0),"")</f>
        <v>1</v>
      </c>
      <c r="AC397" s="13" t="str">
        <f aca="false">IF(AND($J397=1,$M397=0),IF(S397="",0,S397*INDEX(Grid!$B$6:$H$156,R397+1,Q397+1))+IF(V397="",0,V397*INDEX(Grid!$B$6:$H$156,U397+1,T397+1))+IF(Y397="",0,Y397*INDEX(Grid!$B$6:$H$156,X397+1,W397+1)),"")</f>
        <v/>
      </c>
      <c r="AD397" s="13" t="str">
        <f aca="false">IF(AND($J397=1,$M397=0),IF(S397="",0,S397*Val_pt*(Ceiling_e-E_zero)*(1-(1-Half_gap)^Q397))+IF(V397="",0,V397*Val_pt*(Ceiling_e-E_zero)*(1-(1-Half_gap)^T397))+IF(Y397="",0,Y397*Val_pt*(Ceiling_e-E_zero)*(1-(1-Half_gap)^W397)),"")</f>
        <v/>
      </c>
      <c r="AE397" s="13" t="str">
        <f aca="false">IF(AND($J397=1,$M397=0),IF(S397="",0,S397*R397)+IF(V397="",0,V397*U397)+IF(Y397="",0,Y397*X397),"")</f>
        <v/>
      </c>
      <c r="AF397" s="12" t="str">
        <f aca="false">IF(AND($J397=1,$M397=0),MIN((AC397-E397)/Span_P,(AD397-F397)/Span_S,(AE397-G397)/Span_B),"")</f>
        <v/>
      </c>
      <c r="AG397" s="15" t="str">
        <f aca="false">IF(AND($J397=1,$M397=0),IF(AF397&gt;0.0000001,1,0),"")</f>
        <v/>
      </c>
      <c r="AH397" s="15" t="n">
        <f aca="false">IF($J397=1,IF($M397=1,AB397,AG397),"")</f>
        <v>1</v>
      </c>
      <c r="AI397" s="13" t="n">
        <f aca="false">IF($J397=1,(Ideal_P-E397)/Span_P,"")</f>
        <v>0.223434747091214</v>
      </c>
      <c r="AJ397" s="13" t="n">
        <f aca="false">IF($J397=1,(Ideal_S-F397)/Span_S,"")</f>
        <v>0.483870967741936</v>
      </c>
      <c r="AK397" s="13" t="n">
        <f aca="false">IF($J397=1,(Ideal_B-G397)/Span_B,"")</f>
        <v>0.406666666666667</v>
      </c>
      <c r="AL397" s="12" t="n">
        <f aca="false">IF($J397=1,MAX(ChA_1*AI397,ChA_2*AJ397,ChA_3*AK397)+Rho*(ChA_1*AI397+ChA_2*AJ397+ChA_3*AK397),"")</f>
        <v>0.483982364980085</v>
      </c>
      <c r="AM397" s="12" t="n">
        <f aca="false">IF($J397=1,MAX(ChB_1*AI397,ChB_2*AJ397,ChB_3*AK397)+Rho*(ChB_1*AI397+ChB_2*AJ397+ChB_3*AK397),"")</f>
        <v>0.484004708454795</v>
      </c>
      <c r="AN397" s="12" t="n">
        <f aca="false">IF($J397=1,MAX(Cx_1*(Ref_P-E397)/Span_P,Cx_2*(Ref_S-F397)/Span_S,Cx_3*(Ref_B-G397)/Span_B),"")</f>
        <v>2.09439124487004</v>
      </c>
    </row>
    <row r="398" customFormat="false" ht="15" hidden="false" customHeight="false" outlineLevel="0" collapsed="false">
      <c r="A398" s="2" t="n">
        <v>392</v>
      </c>
      <c r="B398" s="15" t="n">
        <f aca="false">INT(A398/151)</f>
        <v>2</v>
      </c>
      <c r="C398" s="15" t="n">
        <f aca="false">MOD(A398,151)</f>
        <v>90</v>
      </c>
      <c r="D398" s="15" t="n">
        <f aca="false">INDEX(Grid!$J$6:$P$156,C398+1,B398+1)</f>
        <v>1</v>
      </c>
      <c r="E398" s="16" t="n">
        <f aca="false">IF(D398=1,INDEX(Grid!$B$6:$H$156,C398+1,B398+1),"")</f>
        <v>302.355154578363</v>
      </c>
      <c r="F398" s="13" t="n">
        <f aca="false">Val_pt*(Ceiling_e-E_zero)*(1-(1-Half_gap)^B398)</f>
        <v>105</v>
      </c>
      <c r="G398" s="15" t="n">
        <f aca="false">C398</f>
        <v>90</v>
      </c>
      <c r="H398" s="15" t="n">
        <f aca="false">IF(D398=1,INDEX(Grid!$R$6:$X$156,C398+1,B398+1),"")</f>
        <v>48</v>
      </c>
      <c r="I398" s="2" t="str">
        <f aca="false">IF(D398=1,INDEX(Sch_label,H398+1),"")</f>
        <v>1, 2</v>
      </c>
      <c r="J398" s="15" t="n">
        <f aca="false">IF(D398=1,INDEX(Grid!$Z$6:$AF$156,C398+1,B398+1),0)</f>
        <v>1</v>
      </c>
      <c r="K398" s="16" t="n">
        <f aca="false">IF(J398=1,E398,0)</f>
        <v>302.355154578363</v>
      </c>
      <c r="L398" s="17" t="n">
        <f aca="false">IF(D398=1,E398+W_board*F398,"")</f>
        <v>895.05278113483</v>
      </c>
      <c r="M398" s="24" t="n">
        <v>1</v>
      </c>
      <c r="N398" s="25" t="n">
        <v>0.725713962391745</v>
      </c>
      <c r="O398" s="25" t="n">
        <v>0.001</v>
      </c>
      <c r="P398" s="25" t="n">
        <v>0.273286037608255</v>
      </c>
      <c r="Z398" s="12" t="n">
        <f aca="false">IF(AND($J398=1,$M398=1),N398*E398/Span_P+O398*F398/Span_S+P398*G398/Span_B,"")</f>
        <v>0.771469252059502</v>
      </c>
      <c r="AA398" s="12" t="n">
        <f aca="false">IF(AND($J398=1,$M398=1),SUMPRODUCT(MAX($J$6:$J$1062*(N398*$K$6:$K$1062/Span_P+O398*$F$6:$F$1062/Span_S+P398*$G$6:$G$1062/Span_B)-(1-$J$6:$J$1062)*1000000000)),"")</f>
        <v>0.771469252059502</v>
      </c>
      <c r="AB398" s="15" t="n">
        <f aca="false">IF(AND($J398=1,$M398=1),IF(AA398-Z398&lt;=0.000000001,1,0),"")</f>
        <v>1</v>
      </c>
      <c r="AC398" s="13" t="str">
        <f aca="false">IF(AND($J398=1,$M398=0),IF(S398="",0,S398*INDEX(Grid!$B$6:$H$156,R398+1,Q398+1))+IF(V398="",0,V398*INDEX(Grid!$B$6:$H$156,U398+1,T398+1))+IF(Y398="",0,Y398*INDEX(Grid!$B$6:$H$156,X398+1,W398+1)),"")</f>
        <v/>
      </c>
      <c r="AD398" s="13" t="str">
        <f aca="false">IF(AND($J398=1,$M398=0),IF(S398="",0,S398*Val_pt*(Ceiling_e-E_zero)*(1-(1-Half_gap)^Q398))+IF(V398="",0,V398*Val_pt*(Ceiling_e-E_zero)*(1-(1-Half_gap)^T398))+IF(Y398="",0,Y398*Val_pt*(Ceiling_e-E_zero)*(1-(1-Half_gap)^W398)),"")</f>
        <v/>
      </c>
      <c r="AE398" s="13" t="str">
        <f aca="false">IF(AND($J398=1,$M398=0),IF(S398="",0,S398*R398)+IF(V398="",0,V398*U398)+IF(Y398="",0,Y398*X398),"")</f>
        <v/>
      </c>
      <c r="AF398" s="12" t="str">
        <f aca="false">IF(AND($J398=1,$M398=0),MIN((AC398-E398)/Span_P,(AD398-F398)/Span_S,(AE398-G398)/Span_B),"")</f>
        <v/>
      </c>
      <c r="AG398" s="15" t="str">
        <f aca="false">IF(AND($J398=1,$M398=0),IF(AF398&gt;0.0000001,1,0),"")</f>
        <v/>
      </c>
      <c r="AH398" s="15" t="n">
        <f aca="false">IF($J398=1,IF($M398=1,AB398,AG398),"")</f>
        <v>1</v>
      </c>
      <c r="AI398" s="13" t="n">
        <f aca="false">IF($J398=1,(Ideal_P-E398)/Span_P,"")</f>
        <v>0.225945249867519</v>
      </c>
      <c r="AJ398" s="13" t="n">
        <f aca="false">IF($J398=1,(Ideal_S-F398)/Span_S,"")</f>
        <v>0.483870967741936</v>
      </c>
      <c r="AK398" s="13" t="n">
        <f aca="false">IF($J398=1,(Ideal_B-G398)/Span_B,"")</f>
        <v>0.4</v>
      </c>
      <c r="AL398" s="12" t="n">
        <f aca="false">IF($J398=1,MAX(ChA_1*AI398,ChA_2*AJ398,ChA_3*AK398)+Rho*(ChA_1*AI398+ChA_2*AJ398+ChA_3*AK398),"")</f>
        <v>0.483981949363696</v>
      </c>
      <c r="AM398" s="12" t="n">
        <f aca="false">IF($J398=1,MAX(ChB_1*AI398,ChB_2*AJ398,ChB_3*AK398)+Rho*(ChB_1*AI398+ChB_2*AJ398+ChB_3*AK398),"")</f>
        <v>0.484004543888683</v>
      </c>
      <c r="AN398" s="12" t="n">
        <f aca="false">IF($J398=1,MAX(Cx_1*(Ref_P-E398)/Span_P,Cx_2*(Ref_S-F398)/Span_S,Cx_3*(Ref_B-G398)/Span_B),"")</f>
        <v>2.09439124487004</v>
      </c>
    </row>
    <row r="399" customFormat="false" ht="15" hidden="false" customHeight="false" outlineLevel="0" collapsed="false">
      <c r="A399" s="2" t="n">
        <v>393</v>
      </c>
      <c r="B399" s="15" t="n">
        <f aca="false">INT(A399/151)</f>
        <v>2</v>
      </c>
      <c r="C399" s="15" t="n">
        <f aca="false">MOD(A399,151)</f>
        <v>91</v>
      </c>
      <c r="D399" s="15" t="n">
        <f aca="false">INDEX(Grid!$J$6:$P$156,C399+1,B399+1)</f>
        <v>1</v>
      </c>
      <c r="E399" s="16" t="n">
        <f aca="false">IF(D399=1,INDEX(Grid!$B$6:$H$156,C399+1,B399+1),"")</f>
        <v>301.446063669272</v>
      </c>
      <c r="F399" s="13" t="n">
        <f aca="false">Val_pt*(Ceiling_e-E_zero)*(1-(1-Half_gap)^B399)</f>
        <v>105</v>
      </c>
      <c r="G399" s="15" t="n">
        <f aca="false">C399</f>
        <v>91</v>
      </c>
      <c r="H399" s="15" t="n">
        <f aca="false">IF(D399=1,INDEX(Grid!$R$6:$X$156,C399+1,B399+1),"")</f>
        <v>48</v>
      </c>
      <c r="I399" s="2" t="str">
        <f aca="false">IF(D399=1,INDEX(Sch_label,H399+1),"")</f>
        <v>1, 2</v>
      </c>
      <c r="J399" s="15" t="n">
        <f aca="false">IF(D399=1,INDEX(Grid!$Z$6:$AF$156,C399+1,B399+1),0)</f>
        <v>1</v>
      </c>
      <c r="K399" s="16" t="n">
        <f aca="false">IF(J399=1,E399,0)</f>
        <v>301.446063669272</v>
      </c>
      <c r="L399" s="17" t="n">
        <f aca="false">IF(D399=1,E399+W_board*F399,"")</f>
        <v>894.143690225739</v>
      </c>
      <c r="M399" s="24" t="n">
        <v>1</v>
      </c>
      <c r="N399" s="25" t="n">
        <v>0.725713962391751</v>
      </c>
      <c r="O399" s="25" t="n">
        <v>0.001</v>
      </c>
      <c r="P399" s="25" t="n">
        <v>0.273286037608249</v>
      </c>
      <c r="Z399" s="12" t="n">
        <f aca="false">IF(AND($J399=1,$M399=1),N399*E399/Span_P+O399*F399/Span_S+P399*G399/Span_B,"")</f>
        <v>0.771469252059503</v>
      </c>
      <c r="AA399" s="12" t="n">
        <f aca="false">IF(AND($J399=1,$M399=1),SUMPRODUCT(MAX($J$6:$J$1062*(N399*$K$6:$K$1062/Span_P+O399*$F$6:$F$1062/Span_S+P399*$G$6:$G$1062/Span_B)-(1-$J$6:$J$1062)*1000000000)),"")</f>
        <v>0.771469252059505</v>
      </c>
      <c r="AB399" s="15" t="n">
        <f aca="false">IF(AND($J399=1,$M399=1),IF(AA399-Z399&lt;=0.000000001,1,0),"")</f>
        <v>1</v>
      </c>
      <c r="AC399" s="13" t="str">
        <f aca="false">IF(AND($J399=1,$M399=0),IF(S399="",0,S399*INDEX(Grid!$B$6:$H$156,R399+1,Q399+1))+IF(V399="",0,V399*INDEX(Grid!$B$6:$H$156,U399+1,T399+1))+IF(Y399="",0,Y399*INDEX(Grid!$B$6:$H$156,X399+1,W399+1)),"")</f>
        <v/>
      </c>
      <c r="AD399" s="13" t="str">
        <f aca="false">IF(AND($J399=1,$M399=0),IF(S399="",0,S399*Val_pt*(Ceiling_e-E_zero)*(1-(1-Half_gap)^Q399))+IF(V399="",0,V399*Val_pt*(Ceiling_e-E_zero)*(1-(1-Half_gap)^T399))+IF(Y399="",0,Y399*Val_pt*(Ceiling_e-E_zero)*(1-(1-Half_gap)^W399)),"")</f>
        <v/>
      </c>
      <c r="AE399" s="13" t="str">
        <f aca="false">IF(AND($J399=1,$M399=0),IF(S399="",0,S399*R399)+IF(V399="",0,V399*U399)+IF(Y399="",0,Y399*X399),"")</f>
        <v/>
      </c>
      <c r="AF399" s="12" t="str">
        <f aca="false">IF(AND($J399=1,$M399=0),MIN((AC399-E399)/Span_P,(AD399-F399)/Span_S,(AE399-G399)/Span_B),"")</f>
        <v/>
      </c>
      <c r="AG399" s="15" t="str">
        <f aca="false">IF(AND($J399=1,$M399=0),IF(AF399&gt;0.0000001,1,0),"")</f>
        <v/>
      </c>
      <c r="AH399" s="15" t="n">
        <f aca="false">IF($J399=1,IF($M399=1,AB399,AG399),"")</f>
        <v>1</v>
      </c>
      <c r="AI399" s="13" t="n">
        <f aca="false">IF($J399=1,(Ideal_P-E399)/Span_P,"")</f>
        <v>0.228455752643825</v>
      </c>
      <c r="AJ399" s="13" t="n">
        <f aca="false">IF($J399=1,(Ideal_S-F399)/Span_S,"")</f>
        <v>0.483870967741936</v>
      </c>
      <c r="AK399" s="13" t="n">
        <f aca="false">IF($J399=1,(Ideal_B-G399)/Span_B,"")</f>
        <v>0.393333333333333</v>
      </c>
      <c r="AL399" s="12" t="n">
        <f aca="false">IF($J399=1,MAX(ChA_1*AI399,ChA_2*AJ399,ChA_3*AK399)+Rho*(ChA_1*AI399+ChA_2*AJ399+ChA_3*AK399),"")</f>
        <v>0.483981533747307</v>
      </c>
      <c r="AM399" s="12" t="n">
        <f aca="false">IF($J399=1,MAX(ChB_1*AI399,ChB_2*AJ399,ChB_3*AK399)+Rho*(ChB_1*AI399+ChB_2*AJ399+ChB_3*AK399),"")</f>
        <v>0.484004379322572</v>
      </c>
      <c r="AN399" s="12" t="n">
        <f aca="false">IF($J399=1,MAX(Cx_1*(Ref_P-E399)/Span_P,Cx_2*(Ref_S-F399)/Span_S,Cx_3*(Ref_B-G399)/Span_B),"")</f>
        <v>2.09439124487004</v>
      </c>
    </row>
    <row r="400" customFormat="false" ht="15" hidden="false" customHeight="false" outlineLevel="0" collapsed="false">
      <c r="A400" s="2" t="n">
        <v>394</v>
      </c>
      <c r="B400" s="15" t="n">
        <f aca="false">INT(A400/151)</f>
        <v>2</v>
      </c>
      <c r="C400" s="15" t="n">
        <f aca="false">MOD(A400,151)</f>
        <v>92</v>
      </c>
      <c r="D400" s="15" t="n">
        <f aca="false">INDEX(Grid!$J$6:$P$156,C400+1,B400+1)</f>
        <v>1</v>
      </c>
      <c r="E400" s="16" t="n">
        <f aca="false">IF(D400=1,INDEX(Grid!$B$6:$H$156,C400+1,B400+1),"")</f>
        <v>300.536972760182</v>
      </c>
      <c r="F400" s="13" t="n">
        <f aca="false">Val_pt*(Ceiling_e-E_zero)*(1-(1-Half_gap)^B400)</f>
        <v>105</v>
      </c>
      <c r="G400" s="15" t="n">
        <f aca="false">C400</f>
        <v>92</v>
      </c>
      <c r="H400" s="15" t="n">
        <f aca="false">IF(D400=1,INDEX(Grid!$R$6:$X$156,C400+1,B400+1),"")</f>
        <v>48</v>
      </c>
      <c r="I400" s="2" t="str">
        <f aca="false">IF(D400=1,INDEX(Sch_label,H400+1),"")</f>
        <v>1, 2</v>
      </c>
      <c r="J400" s="15" t="n">
        <f aca="false">IF(D400=1,INDEX(Grid!$Z$6:$AF$156,C400+1,B400+1),0)</f>
        <v>1</v>
      </c>
      <c r="K400" s="16" t="n">
        <f aca="false">IF(J400=1,E400,0)</f>
        <v>300.536972760182</v>
      </c>
      <c r="L400" s="17" t="n">
        <f aca="false">IF(D400=1,E400+W_board*F400,"")</f>
        <v>893.234599316648</v>
      </c>
      <c r="M400" s="24" t="n">
        <v>1</v>
      </c>
      <c r="N400" s="25" t="n">
        <v>0.725713962391745</v>
      </c>
      <c r="O400" s="25" t="n">
        <v>0.001</v>
      </c>
      <c r="P400" s="25" t="n">
        <v>0.273286037608255</v>
      </c>
      <c r="Z400" s="12" t="n">
        <f aca="false">IF(AND($J400=1,$M400=1),N400*E400/Span_P+O400*F400/Span_S+P400*G400/Span_B,"")</f>
        <v>0.771469252059502</v>
      </c>
      <c r="AA400" s="12" t="n">
        <f aca="false">IF(AND($J400=1,$M400=1),SUMPRODUCT(MAX($J$6:$J$1062*(N400*$K$6:$K$1062/Span_P+O400*$F$6:$F$1062/Span_S+P400*$G$6:$G$1062/Span_B)-(1-$J$6:$J$1062)*1000000000)),"")</f>
        <v>0.771469252059502</v>
      </c>
      <c r="AB400" s="15" t="n">
        <f aca="false">IF(AND($J400=1,$M400=1),IF(AA400-Z400&lt;=0.000000001,1,0),"")</f>
        <v>1</v>
      </c>
      <c r="AC400" s="13" t="str">
        <f aca="false">IF(AND($J400=1,$M400=0),IF(S400="",0,S400*INDEX(Grid!$B$6:$H$156,R400+1,Q400+1))+IF(V400="",0,V400*INDEX(Grid!$B$6:$H$156,U400+1,T400+1))+IF(Y400="",0,Y400*INDEX(Grid!$B$6:$H$156,X400+1,W400+1)),"")</f>
        <v/>
      </c>
      <c r="AD400" s="13" t="str">
        <f aca="false">IF(AND($J400=1,$M400=0),IF(S400="",0,S400*Val_pt*(Ceiling_e-E_zero)*(1-(1-Half_gap)^Q400))+IF(V400="",0,V400*Val_pt*(Ceiling_e-E_zero)*(1-(1-Half_gap)^T400))+IF(Y400="",0,Y400*Val_pt*(Ceiling_e-E_zero)*(1-(1-Half_gap)^W400)),"")</f>
        <v/>
      </c>
      <c r="AE400" s="13" t="str">
        <f aca="false">IF(AND($J400=1,$M400=0),IF(S400="",0,S400*R400)+IF(V400="",0,V400*U400)+IF(Y400="",0,Y400*X400),"")</f>
        <v/>
      </c>
      <c r="AF400" s="12" t="str">
        <f aca="false">IF(AND($J400=1,$M400=0),MIN((AC400-E400)/Span_P,(AD400-F400)/Span_S,(AE400-G400)/Span_B),"")</f>
        <v/>
      </c>
      <c r="AG400" s="15" t="str">
        <f aca="false">IF(AND($J400=1,$M400=0),IF(AF400&gt;0.0000001,1,0),"")</f>
        <v/>
      </c>
      <c r="AH400" s="15" t="n">
        <f aca="false">IF($J400=1,IF($M400=1,AB400,AG400),"")</f>
        <v>1</v>
      </c>
      <c r="AI400" s="13" t="n">
        <f aca="false">IF($J400=1,(Ideal_P-E400)/Span_P,"")</f>
        <v>0.230966255420131</v>
      </c>
      <c r="AJ400" s="13" t="n">
        <f aca="false">IF($J400=1,(Ideal_S-F400)/Span_S,"")</f>
        <v>0.483870967741936</v>
      </c>
      <c r="AK400" s="13" t="n">
        <f aca="false">IF($J400=1,(Ideal_B-G400)/Span_B,"")</f>
        <v>0.386666666666667</v>
      </c>
      <c r="AL400" s="12" t="n">
        <f aca="false">IF($J400=1,MAX(ChA_1*AI400,ChA_2*AJ400,ChA_3*AK400)+Rho*(ChA_1*AI400+ChA_2*AJ400+ChA_3*AK400),"")</f>
        <v>0.483981118130918</v>
      </c>
      <c r="AM400" s="12" t="n">
        <f aca="false">IF($J400=1,MAX(ChB_1*AI400,ChB_2*AJ400,ChB_3*AK400)+Rho*(ChB_1*AI400+ChB_2*AJ400+ChB_3*AK400),"")</f>
        <v>0.48400421475646</v>
      </c>
      <c r="AN400" s="12" t="n">
        <f aca="false">IF($J400=1,MAX(Cx_1*(Ref_P-E400)/Span_P,Cx_2*(Ref_S-F400)/Span_S,Cx_3*(Ref_B-G400)/Span_B),"")</f>
        <v>2.09439124487004</v>
      </c>
    </row>
    <row r="401" customFormat="false" ht="15" hidden="false" customHeight="false" outlineLevel="0" collapsed="false">
      <c r="A401" s="2" t="n">
        <v>395</v>
      </c>
      <c r="B401" s="15" t="n">
        <f aca="false">INT(A401/151)</f>
        <v>2</v>
      </c>
      <c r="C401" s="15" t="n">
        <f aca="false">MOD(A401,151)</f>
        <v>93</v>
      </c>
      <c r="D401" s="15" t="n">
        <f aca="false">INDEX(Grid!$J$6:$P$156,C401+1,B401+1)</f>
        <v>1</v>
      </c>
      <c r="E401" s="16" t="n">
        <f aca="false">IF(D401=1,INDEX(Grid!$B$6:$H$156,C401+1,B401+1),"")</f>
        <v>299.627881851091</v>
      </c>
      <c r="F401" s="13" t="n">
        <f aca="false">Val_pt*(Ceiling_e-E_zero)*(1-(1-Half_gap)^B401)</f>
        <v>105</v>
      </c>
      <c r="G401" s="15" t="n">
        <f aca="false">C401</f>
        <v>93</v>
      </c>
      <c r="H401" s="15" t="n">
        <f aca="false">IF(D401=1,INDEX(Grid!$R$6:$X$156,C401+1,B401+1),"")</f>
        <v>48</v>
      </c>
      <c r="I401" s="2" t="str">
        <f aca="false">IF(D401=1,INDEX(Sch_label,H401+1),"")</f>
        <v>1, 2</v>
      </c>
      <c r="J401" s="15" t="n">
        <f aca="false">IF(D401=1,INDEX(Grid!$Z$6:$AF$156,C401+1,B401+1),0)</f>
        <v>1</v>
      </c>
      <c r="K401" s="16" t="n">
        <f aca="false">IF(J401=1,E401,0)</f>
        <v>299.627881851091</v>
      </c>
      <c r="L401" s="17" t="n">
        <f aca="false">IF(D401=1,E401+W_board*F401,"")</f>
        <v>892.325508407557</v>
      </c>
      <c r="M401" s="24" t="n">
        <v>1</v>
      </c>
      <c r="N401" s="25" t="n">
        <v>0.725713962391754</v>
      </c>
      <c r="O401" s="25" t="n">
        <v>0.001</v>
      </c>
      <c r="P401" s="25" t="n">
        <v>0.273286037608246</v>
      </c>
      <c r="Z401" s="12" t="n">
        <f aca="false">IF(AND($J401=1,$M401=1),N401*E401/Span_P+O401*F401/Span_S+P401*G401/Span_B,"")</f>
        <v>0.771469252059504</v>
      </c>
      <c r="AA401" s="12" t="n">
        <f aca="false">IF(AND($J401=1,$M401=1),SUMPRODUCT(MAX($J$6:$J$1062*(N401*$K$6:$K$1062/Span_P+O401*$F$6:$F$1062/Span_S+P401*$G$6:$G$1062/Span_B)-(1-$J$6:$J$1062)*1000000000)),"")</f>
        <v>0.771469252059509</v>
      </c>
      <c r="AB401" s="15" t="n">
        <f aca="false">IF(AND($J401=1,$M401=1),IF(AA401-Z401&lt;=0.000000001,1,0),"")</f>
        <v>1</v>
      </c>
      <c r="AC401" s="13" t="str">
        <f aca="false">IF(AND($J401=1,$M401=0),IF(S401="",0,S401*INDEX(Grid!$B$6:$H$156,R401+1,Q401+1))+IF(V401="",0,V401*INDEX(Grid!$B$6:$H$156,U401+1,T401+1))+IF(Y401="",0,Y401*INDEX(Grid!$B$6:$H$156,X401+1,W401+1)),"")</f>
        <v/>
      </c>
      <c r="AD401" s="13" t="str">
        <f aca="false">IF(AND($J401=1,$M401=0),IF(S401="",0,S401*Val_pt*(Ceiling_e-E_zero)*(1-(1-Half_gap)^Q401))+IF(V401="",0,V401*Val_pt*(Ceiling_e-E_zero)*(1-(1-Half_gap)^T401))+IF(Y401="",0,Y401*Val_pt*(Ceiling_e-E_zero)*(1-(1-Half_gap)^W401)),"")</f>
        <v/>
      </c>
      <c r="AE401" s="13" t="str">
        <f aca="false">IF(AND($J401=1,$M401=0),IF(S401="",0,S401*R401)+IF(V401="",0,V401*U401)+IF(Y401="",0,Y401*X401),"")</f>
        <v/>
      </c>
      <c r="AF401" s="12" t="str">
        <f aca="false">IF(AND($J401=1,$M401=0),MIN((AC401-E401)/Span_P,(AD401-F401)/Span_S,(AE401-G401)/Span_B),"")</f>
        <v/>
      </c>
      <c r="AG401" s="15" t="str">
        <f aca="false">IF(AND($J401=1,$M401=0),IF(AF401&gt;0.0000001,1,0),"")</f>
        <v/>
      </c>
      <c r="AH401" s="15" t="n">
        <f aca="false">IF($J401=1,IF($M401=1,AB401,AG401),"")</f>
        <v>1</v>
      </c>
      <c r="AI401" s="13" t="n">
        <f aca="false">IF($J401=1,(Ideal_P-E401)/Span_P,"")</f>
        <v>0.233476758196437</v>
      </c>
      <c r="AJ401" s="13" t="n">
        <f aca="false">IF($J401=1,(Ideal_S-F401)/Span_S,"")</f>
        <v>0.483870967741936</v>
      </c>
      <c r="AK401" s="13" t="n">
        <f aca="false">IF($J401=1,(Ideal_B-G401)/Span_B,"")</f>
        <v>0.38</v>
      </c>
      <c r="AL401" s="12" t="n">
        <f aca="false">IF($J401=1,MAX(ChA_1*AI401,ChA_2*AJ401,ChA_3*AK401)+Rho*(ChA_1*AI401+ChA_2*AJ401+ChA_3*AK401),"")</f>
        <v>0.483980702514529</v>
      </c>
      <c r="AM401" s="12" t="n">
        <f aca="false">IF($J401=1,MAX(ChB_1*AI401,ChB_2*AJ401,ChB_3*AK401)+Rho*(ChB_1*AI401+ChB_2*AJ401+ChB_3*AK401),"")</f>
        <v>0.484004050190349</v>
      </c>
      <c r="AN401" s="12" t="n">
        <f aca="false">IF($J401=1,MAX(Cx_1*(Ref_P-E401)/Span_P,Cx_2*(Ref_S-F401)/Span_S,Cx_3*(Ref_B-G401)/Span_B),"")</f>
        <v>2.09439124487004</v>
      </c>
    </row>
    <row r="402" customFormat="false" ht="15" hidden="false" customHeight="false" outlineLevel="0" collapsed="false">
      <c r="A402" s="2" t="n">
        <v>396</v>
      </c>
      <c r="B402" s="15" t="n">
        <f aca="false">INT(A402/151)</f>
        <v>2</v>
      </c>
      <c r="C402" s="15" t="n">
        <f aca="false">MOD(A402,151)</f>
        <v>94</v>
      </c>
      <c r="D402" s="15" t="n">
        <f aca="false">INDEX(Grid!$J$6:$P$156,C402+1,B402+1)</f>
        <v>1</v>
      </c>
      <c r="E402" s="16" t="n">
        <f aca="false">IF(D402=1,INDEX(Grid!$B$6:$H$156,C402+1,B402+1),"")</f>
        <v>298.718790942</v>
      </c>
      <c r="F402" s="13" t="n">
        <f aca="false">Val_pt*(Ceiling_e-E_zero)*(1-(1-Half_gap)^B402)</f>
        <v>105</v>
      </c>
      <c r="G402" s="15" t="n">
        <f aca="false">C402</f>
        <v>94</v>
      </c>
      <c r="H402" s="15" t="n">
        <f aca="false">IF(D402=1,INDEX(Grid!$R$6:$X$156,C402+1,B402+1),"")</f>
        <v>48</v>
      </c>
      <c r="I402" s="2" t="str">
        <f aca="false">IF(D402=1,INDEX(Sch_label,H402+1),"")</f>
        <v>1, 2</v>
      </c>
      <c r="J402" s="15" t="n">
        <f aca="false">IF(D402=1,INDEX(Grid!$Z$6:$AF$156,C402+1,B402+1),0)</f>
        <v>1</v>
      </c>
      <c r="K402" s="16" t="n">
        <f aca="false">IF(J402=1,E402,0)</f>
        <v>298.718790942</v>
      </c>
      <c r="L402" s="17" t="n">
        <f aca="false">IF(D402=1,E402+W_board*F402,"")</f>
        <v>891.416417498466</v>
      </c>
      <c r="M402" s="24" t="n">
        <v>1</v>
      </c>
      <c r="N402" s="25" t="n">
        <v>0.725713962391742</v>
      </c>
      <c r="O402" s="25" t="n">
        <v>0.001</v>
      </c>
      <c r="P402" s="25" t="n">
        <v>0.273286037608258</v>
      </c>
      <c r="Z402" s="12" t="n">
        <f aca="false">IF(AND($J402=1,$M402=1),N402*E402/Span_P+O402*F402/Span_S+P402*G402/Span_B,"")</f>
        <v>0.771469252059501</v>
      </c>
      <c r="AA402" s="12" t="n">
        <f aca="false">IF(AND($J402=1,$M402=1),SUMPRODUCT(MAX($J$6:$J$1062*(N402*$K$6:$K$1062/Span_P+O402*$F$6:$F$1062/Span_S+P402*$G$6:$G$1062/Span_B)-(1-$J$6:$J$1062)*1000000000)),"")</f>
        <v>0.771469252059502</v>
      </c>
      <c r="AB402" s="15" t="n">
        <f aca="false">IF(AND($J402=1,$M402=1),IF(AA402-Z402&lt;=0.000000001,1,0),"")</f>
        <v>1</v>
      </c>
      <c r="AC402" s="13" t="str">
        <f aca="false">IF(AND($J402=1,$M402=0),IF(S402="",0,S402*INDEX(Grid!$B$6:$H$156,R402+1,Q402+1))+IF(V402="",0,V402*INDEX(Grid!$B$6:$H$156,U402+1,T402+1))+IF(Y402="",0,Y402*INDEX(Grid!$B$6:$H$156,X402+1,W402+1)),"")</f>
        <v/>
      </c>
      <c r="AD402" s="13" t="str">
        <f aca="false">IF(AND($J402=1,$M402=0),IF(S402="",0,S402*Val_pt*(Ceiling_e-E_zero)*(1-(1-Half_gap)^Q402))+IF(V402="",0,V402*Val_pt*(Ceiling_e-E_zero)*(1-(1-Half_gap)^T402))+IF(Y402="",0,Y402*Val_pt*(Ceiling_e-E_zero)*(1-(1-Half_gap)^W402)),"")</f>
        <v/>
      </c>
      <c r="AE402" s="13" t="str">
        <f aca="false">IF(AND($J402=1,$M402=0),IF(S402="",0,S402*R402)+IF(V402="",0,V402*U402)+IF(Y402="",0,Y402*X402),"")</f>
        <v/>
      </c>
      <c r="AF402" s="12" t="str">
        <f aca="false">IF(AND($J402=1,$M402=0),MIN((AC402-E402)/Span_P,(AD402-F402)/Span_S,(AE402-G402)/Span_B),"")</f>
        <v/>
      </c>
      <c r="AG402" s="15" t="str">
        <f aca="false">IF(AND($J402=1,$M402=0),IF(AF402&gt;0.0000001,1,0),"")</f>
        <v/>
      </c>
      <c r="AH402" s="15" t="n">
        <f aca="false">IF($J402=1,IF($M402=1,AB402,AG402),"")</f>
        <v>1</v>
      </c>
      <c r="AI402" s="13" t="n">
        <f aca="false">IF($J402=1,(Ideal_P-E402)/Span_P,"")</f>
        <v>0.235987260972742</v>
      </c>
      <c r="AJ402" s="13" t="n">
        <f aca="false">IF($J402=1,(Ideal_S-F402)/Span_S,"")</f>
        <v>0.483870967741936</v>
      </c>
      <c r="AK402" s="13" t="n">
        <f aca="false">IF($J402=1,(Ideal_B-G402)/Span_B,"")</f>
        <v>0.373333333333333</v>
      </c>
      <c r="AL402" s="12" t="n">
        <f aca="false">IF($J402=1,MAX(ChA_1*AI402,ChA_2*AJ402,ChA_3*AK402)+Rho*(ChA_1*AI402+ChA_2*AJ402+ChA_3*AK402),"")</f>
        <v>0.48398028689814</v>
      </c>
      <c r="AM402" s="12" t="n">
        <f aca="false">IF($J402=1,MAX(ChB_1*AI402,ChB_2*AJ402,ChB_3*AK402)+Rho*(ChB_1*AI402+ChB_2*AJ402+ChB_3*AK402),"")</f>
        <v>0.484003885624238</v>
      </c>
      <c r="AN402" s="12" t="n">
        <f aca="false">IF($J402=1,MAX(Cx_1*(Ref_P-E402)/Span_P,Cx_2*(Ref_S-F402)/Span_S,Cx_3*(Ref_B-G402)/Span_B),"")</f>
        <v>2.09439124487004</v>
      </c>
    </row>
    <row r="403" customFormat="false" ht="15" hidden="false" customHeight="false" outlineLevel="0" collapsed="false">
      <c r="A403" s="2" t="n">
        <v>397</v>
      </c>
      <c r="B403" s="15" t="n">
        <f aca="false">INT(A403/151)</f>
        <v>2</v>
      </c>
      <c r="C403" s="15" t="n">
        <f aca="false">MOD(A403,151)</f>
        <v>95</v>
      </c>
      <c r="D403" s="15" t="n">
        <f aca="false">INDEX(Grid!$J$6:$P$156,C403+1,B403+1)</f>
        <v>1</v>
      </c>
      <c r="E403" s="16" t="n">
        <f aca="false">IF(D403=1,INDEX(Grid!$B$6:$H$156,C403+1,B403+1),"")</f>
        <v>297.809700032909</v>
      </c>
      <c r="F403" s="13" t="n">
        <f aca="false">Val_pt*(Ceiling_e-E_zero)*(1-(1-Half_gap)^B403)</f>
        <v>105</v>
      </c>
      <c r="G403" s="15" t="n">
        <f aca="false">C403</f>
        <v>95</v>
      </c>
      <c r="H403" s="15" t="n">
        <f aca="false">IF(D403=1,INDEX(Grid!$R$6:$X$156,C403+1,B403+1),"")</f>
        <v>48</v>
      </c>
      <c r="I403" s="2" t="str">
        <f aca="false">IF(D403=1,INDEX(Sch_label,H403+1),"")</f>
        <v>1, 2</v>
      </c>
      <c r="J403" s="15" t="n">
        <f aca="false">IF(D403=1,INDEX(Grid!$Z$6:$AF$156,C403+1,B403+1),0)</f>
        <v>1</v>
      </c>
      <c r="K403" s="16" t="n">
        <f aca="false">IF(J403=1,E403,0)</f>
        <v>297.809700032909</v>
      </c>
      <c r="L403" s="17" t="n">
        <f aca="false">IF(D403=1,E403+W_board*F403,"")</f>
        <v>890.507326589375</v>
      </c>
      <c r="M403" s="24" t="n">
        <v>1</v>
      </c>
      <c r="N403" s="25" t="n">
        <v>0.725713962391754</v>
      </c>
      <c r="O403" s="25" t="n">
        <v>0.001</v>
      </c>
      <c r="P403" s="25" t="n">
        <v>0.273286037608246</v>
      </c>
      <c r="Z403" s="12" t="n">
        <f aca="false">IF(AND($J403=1,$M403=1),N403*E403/Span_P+O403*F403/Span_S+P403*G403/Span_B,"")</f>
        <v>0.771469252059504</v>
      </c>
      <c r="AA403" s="12" t="n">
        <f aca="false">IF(AND($J403=1,$M403=1),SUMPRODUCT(MAX($J$6:$J$1062*(N403*$K$6:$K$1062/Span_P+O403*$F$6:$F$1062/Span_S+P403*$G$6:$G$1062/Span_B)-(1-$J$6:$J$1062)*1000000000)),"")</f>
        <v>0.771469252059509</v>
      </c>
      <c r="AB403" s="15" t="n">
        <f aca="false">IF(AND($J403=1,$M403=1),IF(AA403-Z403&lt;=0.000000001,1,0),"")</f>
        <v>1</v>
      </c>
      <c r="AC403" s="13" t="str">
        <f aca="false">IF(AND($J403=1,$M403=0),IF(S403="",0,S403*INDEX(Grid!$B$6:$H$156,R403+1,Q403+1))+IF(V403="",0,V403*INDEX(Grid!$B$6:$H$156,U403+1,T403+1))+IF(Y403="",0,Y403*INDEX(Grid!$B$6:$H$156,X403+1,W403+1)),"")</f>
        <v/>
      </c>
      <c r="AD403" s="13" t="str">
        <f aca="false">IF(AND($J403=1,$M403=0),IF(S403="",0,S403*Val_pt*(Ceiling_e-E_zero)*(1-(1-Half_gap)^Q403))+IF(V403="",0,V403*Val_pt*(Ceiling_e-E_zero)*(1-(1-Half_gap)^T403))+IF(Y403="",0,Y403*Val_pt*(Ceiling_e-E_zero)*(1-(1-Half_gap)^W403)),"")</f>
        <v/>
      </c>
      <c r="AE403" s="13" t="str">
        <f aca="false">IF(AND($J403=1,$M403=0),IF(S403="",0,S403*R403)+IF(V403="",0,V403*U403)+IF(Y403="",0,Y403*X403),"")</f>
        <v/>
      </c>
      <c r="AF403" s="12" t="str">
        <f aca="false">IF(AND($J403=1,$M403=0),MIN((AC403-E403)/Span_P,(AD403-F403)/Span_S,(AE403-G403)/Span_B),"")</f>
        <v/>
      </c>
      <c r="AG403" s="15" t="str">
        <f aca="false">IF(AND($J403=1,$M403=0),IF(AF403&gt;0.0000001,1,0),"")</f>
        <v/>
      </c>
      <c r="AH403" s="15" t="n">
        <f aca="false">IF($J403=1,IF($M403=1,AB403,AG403),"")</f>
        <v>1</v>
      </c>
      <c r="AI403" s="13" t="n">
        <f aca="false">IF($J403=1,(Ideal_P-E403)/Span_P,"")</f>
        <v>0.238497763749048</v>
      </c>
      <c r="AJ403" s="13" t="n">
        <f aca="false">IF($J403=1,(Ideal_S-F403)/Span_S,"")</f>
        <v>0.483870967741936</v>
      </c>
      <c r="AK403" s="13" t="n">
        <f aca="false">IF($J403=1,(Ideal_B-G403)/Span_B,"")</f>
        <v>0.366666666666667</v>
      </c>
      <c r="AL403" s="12" t="n">
        <f aca="false">IF($J403=1,MAX(ChA_1*AI403,ChA_2*AJ403,ChA_3*AK403)+Rho*(ChA_1*AI403+ChA_2*AJ403+ChA_3*AK403),"")</f>
        <v>0.483979871281751</v>
      </c>
      <c r="AM403" s="12" t="n">
        <f aca="false">IF($J403=1,MAX(ChB_1*AI403,ChB_2*AJ403,ChB_3*AK403)+Rho*(ChB_1*AI403+ChB_2*AJ403+ChB_3*AK403),"")</f>
        <v>0.484003721058126</v>
      </c>
      <c r="AN403" s="12" t="n">
        <f aca="false">IF($J403=1,MAX(Cx_1*(Ref_P-E403)/Span_P,Cx_2*(Ref_S-F403)/Span_S,Cx_3*(Ref_B-G403)/Span_B),"")</f>
        <v>2.09439124487004</v>
      </c>
    </row>
    <row r="404" customFormat="false" ht="15" hidden="false" customHeight="false" outlineLevel="0" collapsed="false">
      <c r="A404" s="2" t="n">
        <v>398</v>
      </c>
      <c r="B404" s="15" t="n">
        <f aca="false">INT(A404/151)</f>
        <v>2</v>
      </c>
      <c r="C404" s="15" t="n">
        <f aca="false">MOD(A404,151)</f>
        <v>96</v>
      </c>
      <c r="D404" s="15" t="n">
        <f aca="false">INDEX(Grid!$J$6:$P$156,C404+1,B404+1)</f>
        <v>1</v>
      </c>
      <c r="E404" s="16" t="n">
        <f aca="false">IF(D404=1,INDEX(Grid!$B$6:$H$156,C404+1,B404+1),"")</f>
        <v>296.900609123818</v>
      </c>
      <c r="F404" s="13" t="n">
        <f aca="false">Val_pt*(Ceiling_e-E_zero)*(1-(1-Half_gap)^B404)</f>
        <v>105</v>
      </c>
      <c r="G404" s="15" t="n">
        <f aca="false">C404</f>
        <v>96</v>
      </c>
      <c r="H404" s="15" t="n">
        <f aca="false">IF(D404=1,INDEX(Grid!$R$6:$X$156,C404+1,B404+1),"")</f>
        <v>48</v>
      </c>
      <c r="I404" s="2" t="str">
        <f aca="false">IF(D404=1,INDEX(Sch_label,H404+1),"")</f>
        <v>1, 2</v>
      </c>
      <c r="J404" s="15" t="n">
        <f aca="false">IF(D404=1,INDEX(Grid!$Z$6:$AF$156,C404+1,B404+1),0)</f>
        <v>1</v>
      </c>
      <c r="K404" s="16" t="n">
        <f aca="false">IF(J404=1,E404,0)</f>
        <v>296.900609123818</v>
      </c>
      <c r="L404" s="17" t="n">
        <f aca="false">IF(D404=1,E404+W_board*F404,"")</f>
        <v>889.598235680284</v>
      </c>
      <c r="M404" s="24" t="n">
        <v>1</v>
      </c>
      <c r="N404" s="25" t="n">
        <v>0.725713962391742</v>
      </c>
      <c r="O404" s="25" t="n">
        <v>0.001</v>
      </c>
      <c r="P404" s="25" t="n">
        <v>0.273286037608258</v>
      </c>
      <c r="Z404" s="12" t="n">
        <f aca="false">IF(AND($J404=1,$M404=1),N404*E404/Span_P+O404*F404/Span_S+P404*G404/Span_B,"")</f>
        <v>0.771469252059501</v>
      </c>
      <c r="AA404" s="12" t="n">
        <f aca="false">IF(AND($J404=1,$M404=1),SUMPRODUCT(MAX($J$6:$J$1062*(N404*$K$6:$K$1062/Span_P+O404*$F$6:$F$1062/Span_S+P404*$G$6:$G$1062/Span_B)-(1-$J$6:$J$1062)*1000000000)),"")</f>
        <v>0.771469252059502</v>
      </c>
      <c r="AB404" s="15" t="n">
        <f aca="false">IF(AND($J404=1,$M404=1),IF(AA404-Z404&lt;=0.000000001,1,0),"")</f>
        <v>1</v>
      </c>
      <c r="AC404" s="13" t="str">
        <f aca="false">IF(AND($J404=1,$M404=0),IF(S404="",0,S404*INDEX(Grid!$B$6:$H$156,R404+1,Q404+1))+IF(V404="",0,V404*INDEX(Grid!$B$6:$H$156,U404+1,T404+1))+IF(Y404="",0,Y404*INDEX(Grid!$B$6:$H$156,X404+1,W404+1)),"")</f>
        <v/>
      </c>
      <c r="AD404" s="13" t="str">
        <f aca="false">IF(AND($J404=1,$M404=0),IF(S404="",0,S404*Val_pt*(Ceiling_e-E_zero)*(1-(1-Half_gap)^Q404))+IF(V404="",0,V404*Val_pt*(Ceiling_e-E_zero)*(1-(1-Half_gap)^T404))+IF(Y404="",0,Y404*Val_pt*(Ceiling_e-E_zero)*(1-(1-Half_gap)^W404)),"")</f>
        <v/>
      </c>
      <c r="AE404" s="13" t="str">
        <f aca="false">IF(AND($J404=1,$M404=0),IF(S404="",0,S404*R404)+IF(V404="",0,V404*U404)+IF(Y404="",0,Y404*X404),"")</f>
        <v/>
      </c>
      <c r="AF404" s="12" t="str">
        <f aca="false">IF(AND($J404=1,$M404=0),MIN((AC404-E404)/Span_P,(AD404-F404)/Span_S,(AE404-G404)/Span_B),"")</f>
        <v/>
      </c>
      <c r="AG404" s="15" t="str">
        <f aca="false">IF(AND($J404=1,$M404=0),IF(AF404&gt;0.0000001,1,0),"")</f>
        <v/>
      </c>
      <c r="AH404" s="15" t="n">
        <f aca="false">IF($J404=1,IF($M404=1,AB404,AG404),"")</f>
        <v>1</v>
      </c>
      <c r="AI404" s="13" t="n">
        <f aca="false">IF($J404=1,(Ideal_P-E404)/Span_P,"")</f>
        <v>0.241008266525354</v>
      </c>
      <c r="AJ404" s="13" t="n">
        <f aca="false">IF($J404=1,(Ideal_S-F404)/Span_S,"")</f>
        <v>0.483870967741936</v>
      </c>
      <c r="AK404" s="13" t="n">
        <f aca="false">IF($J404=1,(Ideal_B-G404)/Span_B,"")</f>
        <v>0.36</v>
      </c>
      <c r="AL404" s="12" t="n">
        <f aca="false">IF($J404=1,MAX(ChA_1*AI404,ChA_2*AJ404,ChA_3*AK404)+Rho*(ChA_1*AI404+ChA_2*AJ404+ChA_3*AK404),"")</f>
        <v>0.483979455665362</v>
      </c>
      <c r="AM404" s="12" t="n">
        <f aca="false">IF($J404=1,MAX(ChB_1*AI404,ChB_2*AJ404,ChB_3*AK404)+Rho*(ChB_1*AI404+ChB_2*AJ404+ChB_3*AK404),"")</f>
        <v>0.484003556492015</v>
      </c>
      <c r="AN404" s="12" t="n">
        <f aca="false">IF($J404=1,MAX(Cx_1*(Ref_P-E404)/Span_P,Cx_2*(Ref_S-F404)/Span_S,Cx_3*(Ref_B-G404)/Span_B),"")</f>
        <v>2.09439124487004</v>
      </c>
    </row>
    <row r="405" customFormat="false" ht="15" hidden="false" customHeight="false" outlineLevel="0" collapsed="false">
      <c r="A405" s="2" t="n">
        <v>399</v>
      </c>
      <c r="B405" s="15" t="n">
        <f aca="false">INT(A405/151)</f>
        <v>2</v>
      </c>
      <c r="C405" s="15" t="n">
        <f aca="false">MOD(A405,151)</f>
        <v>97</v>
      </c>
      <c r="D405" s="15" t="n">
        <f aca="false">INDEX(Grid!$J$6:$P$156,C405+1,B405+1)</f>
        <v>1</v>
      </c>
      <c r="E405" s="16" t="n">
        <f aca="false">IF(D405=1,INDEX(Grid!$B$6:$H$156,C405+1,B405+1),"")</f>
        <v>295.991518214727</v>
      </c>
      <c r="F405" s="13" t="n">
        <f aca="false">Val_pt*(Ceiling_e-E_zero)*(1-(1-Half_gap)^B405)</f>
        <v>105</v>
      </c>
      <c r="G405" s="15" t="n">
        <f aca="false">C405</f>
        <v>97</v>
      </c>
      <c r="H405" s="15" t="n">
        <f aca="false">IF(D405=1,INDEX(Grid!$R$6:$X$156,C405+1,B405+1),"")</f>
        <v>48</v>
      </c>
      <c r="I405" s="2" t="str">
        <f aca="false">IF(D405=1,INDEX(Sch_label,H405+1),"")</f>
        <v>1, 2</v>
      </c>
      <c r="J405" s="15" t="n">
        <f aca="false">IF(D405=1,INDEX(Grid!$Z$6:$AF$156,C405+1,B405+1),0)</f>
        <v>1</v>
      </c>
      <c r="K405" s="16" t="n">
        <f aca="false">IF(J405=1,E405,0)</f>
        <v>295.991518214727</v>
      </c>
      <c r="L405" s="17" t="n">
        <f aca="false">IF(D405=1,E405+W_board*F405,"")</f>
        <v>888.689144771193</v>
      </c>
      <c r="M405" s="24" t="n">
        <v>1</v>
      </c>
      <c r="N405" s="25" t="n">
        <v>0.725713962391745</v>
      </c>
      <c r="O405" s="25" t="n">
        <v>0.001</v>
      </c>
      <c r="P405" s="25" t="n">
        <v>0.273286037608255</v>
      </c>
      <c r="Z405" s="12" t="n">
        <f aca="false">IF(AND($J405=1,$M405=1),N405*E405/Span_P+O405*F405/Span_S+P405*G405/Span_B,"")</f>
        <v>0.771469252059502</v>
      </c>
      <c r="AA405" s="12" t="n">
        <f aca="false">IF(AND($J405=1,$M405=1),SUMPRODUCT(MAX($J$6:$J$1062*(N405*$K$6:$K$1062/Span_P+O405*$F$6:$F$1062/Span_S+P405*$G$6:$G$1062/Span_B)-(1-$J$6:$J$1062)*1000000000)),"")</f>
        <v>0.771469252059502</v>
      </c>
      <c r="AB405" s="15" t="n">
        <f aca="false">IF(AND($J405=1,$M405=1),IF(AA405-Z405&lt;=0.000000001,1,0),"")</f>
        <v>1</v>
      </c>
      <c r="AC405" s="13" t="str">
        <f aca="false">IF(AND($J405=1,$M405=0),IF(S405="",0,S405*INDEX(Grid!$B$6:$H$156,R405+1,Q405+1))+IF(V405="",0,V405*INDEX(Grid!$B$6:$H$156,U405+1,T405+1))+IF(Y405="",0,Y405*INDEX(Grid!$B$6:$H$156,X405+1,W405+1)),"")</f>
        <v/>
      </c>
      <c r="AD405" s="13" t="str">
        <f aca="false">IF(AND($J405=1,$M405=0),IF(S405="",0,S405*Val_pt*(Ceiling_e-E_zero)*(1-(1-Half_gap)^Q405))+IF(V405="",0,V405*Val_pt*(Ceiling_e-E_zero)*(1-(1-Half_gap)^T405))+IF(Y405="",0,Y405*Val_pt*(Ceiling_e-E_zero)*(1-(1-Half_gap)^W405)),"")</f>
        <v/>
      </c>
      <c r="AE405" s="13" t="str">
        <f aca="false">IF(AND($J405=1,$M405=0),IF(S405="",0,S405*R405)+IF(V405="",0,V405*U405)+IF(Y405="",0,Y405*X405),"")</f>
        <v/>
      </c>
      <c r="AF405" s="12" t="str">
        <f aca="false">IF(AND($J405=1,$M405=0),MIN((AC405-E405)/Span_P,(AD405-F405)/Span_S,(AE405-G405)/Span_B),"")</f>
        <v/>
      </c>
      <c r="AG405" s="15" t="str">
        <f aca="false">IF(AND($J405=1,$M405=0),IF(AF405&gt;0.0000001,1,0),"")</f>
        <v/>
      </c>
      <c r="AH405" s="15" t="n">
        <f aca="false">IF($J405=1,IF($M405=1,AB405,AG405),"")</f>
        <v>1</v>
      </c>
      <c r="AI405" s="13" t="n">
        <f aca="false">IF($J405=1,(Ideal_P-E405)/Span_P,"")</f>
        <v>0.24351876930166</v>
      </c>
      <c r="AJ405" s="13" t="n">
        <f aca="false">IF($J405=1,(Ideal_S-F405)/Span_S,"")</f>
        <v>0.483870967741936</v>
      </c>
      <c r="AK405" s="13" t="n">
        <f aca="false">IF($J405=1,(Ideal_B-G405)/Span_B,"")</f>
        <v>0.353333333333333</v>
      </c>
      <c r="AL405" s="12" t="n">
        <f aca="false">IF($J405=1,MAX(ChA_1*AI405,ChA_2*AJ405,ChA_3*AK405)+Rho*(ChA_1*AI405+ChA_2*AJ405+ChA_3*AK405),"")</f>
        <v>0.483979040048973</v>
      </c>
      <c r="AM405" s="12" t="n">
        <f aca="false">IF($J405=1,MAX(ChB_1*AI405,ChB_2*AJ405,ChB_3*AK405)+Rho*(ChB_1*AI405+ChB_2*AJ405+ChB_3*AK405),"")</f>
        <v>0.487169962787287</v>
      </c>
      <c r="AN405" s="12" t="n">
        <f aca="false">IF($J405=1,MAX(Cx_1*(Ref_P-E405)/Span_P,Cx_2*(Ref_S-F405)/Span_S,Cx_3*(Ref_B-G405)/Span_B),"")</f>
        <v>2.09439124487004</v>
      </c>
    </row>
    <row r="406" customFormat="false" ht="15" hidden="false" customHeight="false" outlineLevel="0" collapsed="false">
      <c r="A406" s="2" t="n">
        <v>400</v>
      </c>
      <c r="B406" s="15" t="n">
        <f aca="false">INT(A406/151)</f>
        <v>2</v>
      </c>
      <c r="C406" s="15" t="n">
        <f aca="false">MOD(A406,151)</f>
        <v>98</v>
      </c>
      <c r="D406" s="15" t="n">
        <f aca="false">INDEX(Grid!$J$6:$P$156,C406+1,B406+1)</f>
        <v>1</v>
      </c>
      <c r="E406" s="16" t="n">
        <f aca="false">IF(D406=1,INDEX(Grid!$B$6:$H$156,C406+1,B406+1),"")</f>
        <v>295.082427305636</v>
      </c>
      <c r="F406" s="13" t="n">
        <f aca="false">Val_pt*(Ceiling_e-E_zero)*(1-(1-Half_gap)^B406)</f>
        <v>105</v>
      </c>
      <c r="G406" s="15" t="n">
        <f aca="false">C406</f>
        <v>98</v>
      </c>
      <c r="H406" s="15" t="n">
        <f aca="false">IF(D406=1,INDEX(Grid!$R$6:$X$156,C406+1,B406+1),"")</f>
        <v>48</v>
      </c>
      <c r="I406" s="2" t="str">
        <f aca="false">IF(D406=1,INDEX(Sch_label,H406+1),"")</f>
        <v>1, 2</v>
      </c>
      <c r="J406" s="15" t="n">
        <f aca="false">IF(D406=1,INDEX(Grid!$Z$6:$AF$156,C406+1,B406+1),0)</f>
        <v>1</v>
      </c>
      <c r="K406" s="16" t="n">
        <f aca="false">IF(J406=1,E406,0)</f>
        <v>295.082427305636</v>
      </c>
      <c r="L406" s="17" t="n">
        <f aca="false">IF(D406=1,E406+W_board*F406,"")</f>
        <v>887.780053862102</v>
      </c>
      <c r="M406" s="24" t="n">
        <v>1</v>
      </c>
      <c r="N406" s="25" t="n">
        <v>0.725713962391754</v>
      </c>
      <c r="O406" s="25" t="n">
        <v>0.001</v>
      </c>
      <c r="P406" s="25" t="n">
        <v>0.273286037608246</v>
      </c>
      <c r="Z406" s="12" t="n">
        <f aca="false">IF(AND($J406=1,$M406=1),N406*E406/Span_P+O406*F406/Span_S+P406*G406/Span_B,"")</f>
        <v>0.771469252059503</v>
      </c>
      <c r="AA406" s="12" t="n">
        <f aca="false">IF(AND($J406=1,$M406=1),SUMPRODUCT(MAX($J$6:$J$1062*(N406*$K$6:$K$1062/Span_P+O406*$F$6:$F$1062/Span_S+P406*$G$6:$G$1062/Span_B)-(1-$J$6:$J$1062)*1000000000)),"")</f>
        <v>0.771469252059509</v>
      </c>
      <c r="AB406" s="15" t="n">
        <f aca="false">IF(AND($J406=1,$M406=1),IF(AA406-Z406&lt;=0.000000001,1,0),"")</f>
        <v>1</v>
      </c>
      <c r="AC406" s="13" t="str">
        <f aca="false">IF(AND($J406=1,$M406=0),IF(S406="",0,S406*INDEX(Grid!$B$6:$H$156,R406+1,Q406+1))+IF(V406="",0,V406*INDEX(Grid!$B$6:$H$156,U406+1,T406+1))+IF(Y406="",0,Y406*INDEX(Grid!$B$6:$H$156,X406+1,W406+1)),"")</f>
        <v/>
      </c>
      <c r="AD406" s="13" t="str">
        <f aca="false">IF(AND($J406=1,$M406=0),IF(S406="",0,S406*Val_pt*(Ceiling_e-E_zero)*(1-(1-Half_gap)^Q406))+IF(V406="",0,V406*Val_pt*(Ceiling_e-E_zero)*(1-(1-Half_gap)^T406))+IF(Y406="",0,Y406*Val_pt*(Ceiling_e-E_zero)*(1-(1-Half_gap)^W406)),"")</f>
        <v/>
      </c>
      <c r="AE406" s="13" t="str">
        <f aca="false">IF(AND($J406=1,$M406=0),IF(S406="",0,S406*R406)+IF(V406="",0,V406*U406)+IF(Y406="",0,Y406*X406),"")</f>
        <v/>
      </c>
      <c r="AF406" s="12" t="str">
        <f aca="false">IF(AND($J406=1,$M406=0),MIN((AC406-E406)/Span_P,(AD406-F406)/Span_S,(AE406-G406)/Span_B),"")</f>
        <v/>
      </c>
      <c r="AG406" s="15" t="str">
        <f aca="false">IF(AND($J406=1,$M406=0),IF(AF406&gt;0.0000001,1,0),"")</f>
        <v/>
      </c>
      <c r="AH406" s="15" t="n">
        <f aca="false">IF($J406=1,IF($M406=1,AB406,AG406),"")</f>
        <v>1</v>
      </c>
      <c r="AI406" s="13" t="n">
        <f aca="false">IF($J406=1,(Ideal_P-E406)/Span_P,"")</f>
        <v>0.246029272077966</v>
      </c>
      <c r="AJ406" s="13" t="n">
        <f aca="false">IF($J406=1,(Ideal_S-F406)/Span_S,"")</f>
        <v>0.483870967741936</v>
      </c>
      <c r="AK406" s="13" t="n">
        <f aca="false">IF($J406=1,(Ideal_B-G406)/Span_B,"")</f>
        <v>0.346666666666667</v>
      </c>
      <c r="AL406" s="12" t="n">
        <f aca="false">IF($J406=1,MAX(ChA_1*AI406,ChA_2*AJ406,ChA_3*AK406)+Rho*(ChA_1*AI406+ChA_2*AJ406+ChA_3*AK406),"")</f>
        <v>0.483978624432584</v>
      </c>
      <c r="AM406" s="12" t="n">
        <f aca="false">IF($J406=1,MAX(ChB_1*AI406,ChB_2*AJ406,ChB_3*AK406)+Rho*(ChB_1*AI406+ChB_2*AJ406+ChB_3*AK406),"")</f>
        <v>0.492190803773788</v>
      </c>
      <c r="AN406" s="12" t="n">
        <f aca="false">IF($J406=1,MAX(Cx_1*(Ref_P-E406)/Span_P,Cx_2*(Ref_S-F406)/Span_S,Cx_3*(Ref_B-G406)/Span_B),"")</f>
        <v>2.09439124487004</v>
      </c>
    </row>
    <row r="407" customFormat="false" ht="15" hidden="false" customHeight="false" outlineLevel="0" collapsed="false">
      <c r="A407" s="2" t="n">
        <v>401</v>
      </c>
      <c r="B407" s="15" t="n">
        <f aca="false">INT(A407/151)</f>
        <v>2</v>
      </c>
      <c r="C407" s="15" t="n">
        <f aca="false">MOD(A407,151)</f>
        <v>99</v>
      </c>
      <c r="D407" s="15" t="n">
        <f aca="false">INDEX(Grid!$J$6:$P$156,C407+1,B407+1)</f>
        <v>1</v>
      </c>
      <c r="E407" s="16" t="n">
        <f aca="false">IF(D407=1,INDEX(Grid!$B$6:$H$156,C407+1,B407+1),"")</f>
        <v>294.173336396545</v>
      </c>
      <c r="F407" s="13" t="n">
        <f aca="false">Val_pt*(Ceiling_e-E_zero)*(1-(1-Half_gap)^B407)</f>
        <v>105</v>
      </c>
      <c r="G407" s="15" t="n">
        <f aca="false">C407</f>
        <v>99</v>
      </c>
      <c r="H407" s="15" t="n">
        <f aca="false">IF(D407=1,INDEX(Grid!$R$6:$X$156,C407+1,B407+1),"")</f>
        <v>48</v>
      </c>
      <c r="I407" s="2" t="str">
        <f aca="false">IF(D407=1,INDEX(Sch_label,H407+1),"")</f>
        <v>1, 2</v>
      </c>
      <c r="J407" s="15" t="n">
        <f aca="false">IF(D407=1,INDEX(Grid!$Z$6:$AF$156,C407+1,B407+1),0)</f>
        <v>1</v>
      </c>
      <c r="K407" s="16" t="n">
        <f aca="false">IF(J407=1,E407,0)</f>
        <v>294.173336396545</v>
      </c>
      <c r="L407" s="17" t="n">
        <f aca="false">IF(D407=1,E407+W_board*F407,"")</f>
        <v>886.870962953011</v>
      </c>
      <c r="M407" s="24" t="n">
        <v>1</v>
      </c>
      <c r="N407" s="25" t="n">
        <v>0.725713962391742</v>
      </c>
      <c r="O407" s="25" t="n">
        <v>0.001</v>
      </c>
      <c r="P407" s="25" t="n">
        <v>0.273286037608258</v>
      </c>
      <c r="Z407" s="12" t="n">
        <f aca="false">IF(AND($J407=1,$M407=1),N407*E407/Span_P+O407*F407/Span_S+P407*G407/Span_B,"")</f>
        <v>0.771469252059501</v>
      </c>
      <c r="AA407" s="12" t="n">
        <f aca="false">IF(AND($J407=1,$M407=1),SUMPRODUCT(MAX($J$6:$J$1062*(N407*$K$6:$K$1062/Span_P+O407*$F$6:$F$1062/Span_S+P407*$G$6:$G$1062/Span_B)-(1-$J$6:$J$1062)*1000000000)),"")</f>
        <v>0.771469252059502</v>
      </c>
      <c r="AB407" s="15" t="n">
        <f aca="false">IF(AND($J407=1,$M407=1),IF(AA407-Z407&lt;=0.000000001,1,0),"")</f>
        <v>1</v>
      </c>
      <c r="AC407" s="13" t="str">
        <f aca="false">IF(AND($J407=1,$M407=0),IF(S407="",0,S407*INDEX(Grid!$B$6:$H$156,R407+1,Q407+1))+IF(V407="",0,V407*INDEX(Grid!$B$6:$H$156,U407+1,T407+1))+IF(Y407="",0,Y407*INDEX(Grid!$B$6:$H$156,X407+1,W407+1)),"")</f>
        <v/>
      </c>
      <c r="AD407" s="13" t="str">
        <f aca="false">IF(AND($J407=1,$M407=0),IF(S407="",0,S407*Val_pt*(Ceiling_e-E_zero)*(1-(1-Half_gap)^Q407))+IF(V407="",0,V407*Val_pt*(Ceiling_e-E_zero)*(1-(1-Half_gap)^T407))+IF(Y407="",0,Y407*Val_pt*(Ceiling_e-E_zero)*(1-(1-Half_gap)^W407)),"")</f>
        <v/>
      </c>
      <c r="AE407" s="13" t="str">
        <f aca="false">IF(AND($J407=1,$M407=0),IF(S407="",0,S407*R407)+IF(V407="",0,V407*U407)+IF(Y407="",0,Y407*X407),"")</f>
        <v/>
      </c>
      <c r="AF407" s="12" t="str">
        <f aca="false">IF(AND($J407=1,$M407=0),MIN((AC407-E407)/Span_P,(AD407-F407)/Span_S,(AE407-G407)/Span_B),"")</f>
        <v/>
      </c>
      <c r="AG407" s="15" t="str">
        <f aca="false">IF(AND($J407=1,$M407=0),IF(AF407&gt;0.0000001,1,0),"")</f>
        <v/>
      </c>
      <c r="AH407" s="15" t="n">
        <f aca="false">IF($J407=1,IF($M407=1,AB407,AG407),"")</f>
        <v>1</v>
      </c>
      <c r="AI407" s="13" t="n">
        <f aca="false">IF($J407=1,(Ideal_P-E407)/Span_P,"")</f>
        <v>0.248539774854271</v>
      </c>
      <c r="AJ407" s="13" t="n">
        <f aca="false">IF($J407=1,(Ideal_S-F407)/Span_S,"")</f>
        <v>0.483870967741936</v>
      </c>
      <c r="AK407" s="13" t="n">
        <f aca="false">IF($J407=1,(Ideal_B-G407)/Span_B,"")</f>
        <v>0.34</v>
      </c>
      <c r="AL407" s="12" t="n">
        <f aca="false">IF($J407=1,MAX(ChA_1*AI407,ChA_2*AJ407,ChA_3*AK407)+Rho*(ChA_1*AI407+ChA_2*AJ407+ChA_3*AK407),"")</f>
        <v>0.483978208816195</v>
      </c>
      <c r="AM407" s="12" t="n">
        <f aca="false">IF($J407=1,MAX(ChB_1*AI407,ChB_2*AJ407,ChB_3*AK407)+Rho*(ChB_1*AI407+ChB_2*AJ407+ChB_3*AK407),"")</f>
        <v>0.497211644760288</v>
      </c>
      <c r="AN407" s="12" t="n">
        <f aca="false">IF($J407=1,MAX(Cx_1*(Ref_P-E407)/Span_P,Cx_2*(Ref_S-F407)/Span_S,Cx_3*(Ref_B-G407)/Span_B),"")</f>
        <v>2.09439124487004</v>
      </c>
    </row>
    <row r="408" customFormat="false" ht="15" hidden="false" customHeight="false" outlineLevel="0" collapsed="false">
      <c r="A408" s="2" t="n">
        <v>402</v>
      </c>
      <c r="B408" s="15" t="n">
        <f aca="false">INT(A408/151)</f>
        <v>2</v>
      </c>
      <c r="C408" s="15" t="n">
        <f aca="false">MOD(A408,151)</f>
        <v>100</v>
      </c>
      <c r="D408" s="15" t="n">
        <f aca="false">INDEX(Grid!$J$6:$P$156,C408+1,B408+1)</f>
        <v>1</v>
      </c>
      <c r="E408" s="16" t="n">
        <f aca="false">IF(D408=1,INDEX(Grid!$B$6:$H$156,C408+1,B408+1),"")</f>
        <v>293.264245487454</v>
      </c>
      <c r="F408" s="13" t="n">
        <f aca="false">Val_pt*(Ceiling_e-E_zero)*(1-(1-Half_gap)^B408)</f>
        <v>105</v>
      </c>
      <c r="G408" s="15" t="n">
        <f aca="false">C408</f>
        <v>100</v>
      </c>
      <c r="H408" s="15" t="n">
        <f aca="false">IF(D408=1,INDEX(Grid!$R$6:$X$156,C408+1,B408+1),"")</f>
        <v>48</v>
      </c>
      <c r="I408" s="2" t="str">
        <f aca="false">IF(D408=1,INDEX(Sch_label,H408+1),"")</f>
        <v>1, 2</v>
      </c>
      <c r="J408" s="15" t="n">
        <f aca="false">IF(D408=1,INDEX(Grid!$Z$6:$AF$156,C408+1,B408+1),0)</f>
        <v>1</v>
      </c>
      <c r="K408" s="16" t="n">
        <f aca="false">IF(J408=1,E408,0)</f>
        <v>293.264245487454</v>
      </c>
      <c r="L408" s="17" t="n">
        <f aca="false">IF(D408=1,E408+W_board*F408,"")</f>
        <v>885.96187204392</v>
      </c>
      <c r="M408" s="24" t="n">
        <v>1</v>
      </c>
      <c r="N408" s="25" t="n">
        <v>0.725713962391742</v>
      </c>
      <c r="O408" s="25" t="n">
        <v>0.001</v>
      </c>
      <c r="P408" s="25" t="n">
        <v>0.273286037608258</v>
      </c>
      <c r="Z408" s="12" t="n">
        <f aca="false">IF(AND($J408=1,$M408=1),N408*E408/Span_P+O408*F408/Span_S+P408*G408/Span_B,"")</f>
        <v>0.771469252059502</v>
      </c>
      <c r="AA408" s="12" t="n">
        <f aca="false">IF(AND($J408=1,$M408=1),SUMPRODUCT(MAX($J$6:$J$1062*(N408*$K$6:$K$1062/Span_P+O408*$F$6:$F$1062/Span_S+P408*$G$6:$G$1062/Span_B)-(1-$J$6:$J$1062)*1000000000)),"")</f>
        <v>0.771469252059502</v>
      </c>
      <c r="AB408" s="15" t="n">
        <f aca="false">IF(AND($J408=1,$M408=1),IF(AA408-Z408&lt;=0.000000001,1,0),"")</f>
        <v>1</v>
      </c>
      <c r="AC408" s="13" t="str">
        <f aca="false">IF(AND($J408=1,$M408=0),IF(S408="",0,S408*INDEX(Grid!$B$6:$H$156,R408+1,Q408+1))+IF(V408="",0,V408*INDEX(Grid!$B$6:$H$156,U408+1,T408+1))+IF(Y408="",0,Y408*INDEX(Grid!$B$6:$H$156,X408+1,W408+1)),"")</f>
        <v/>
      </c>
      <c r="AD408" s="13" t="str">
        <f aca="false">IF(AND($J408=1,$M408=0),IF(S408="",0,S408*Val_pt*(Ceiling_e-E_zero)*(1-(1-Half_gap)^Q408))+IF(V408="",0,V408*Val_pt*(Ceiling_e-E_zero)*(1-(1-Half_gap)^T408))+IF(Y408="",0,Y408*Val_pt*(Ceiling_e-E_zero)*(1-(1-Half_gap)^W408)),"")</f>
        <v/>
      </c>
      <c r="AE408" s="13" t="str">
        <f aca="false">IF(AND($J408=1,$M408=0),IF(S408="",0,S408*R408)+IF(V408="",0,V408*U408)+IF(Y408="",0,Y408*X408),"")</f>
        <v/>
      </c>
      <c r="AF408" s="12" t="str">
        <f aca="false">IF(AND($J408=1,$M408=0),MIN((AC408-E408)/Span_P,(AD408-F408)/Span_S,(AE408-G408)/Span_B),"")</f>
        <v/>
      </c>
      <c r="AG408" s="15" t="str">
        <f aca="false">IF(AND($J408=1,$M408=0),IF(AF408&gt;0.0000001,1,0),"")</f>
        <v/>
      </c>
      <c r="AH408" s="15" t="n">
        <f aca="false">IF($J408=1,IF($M408=1,AB408,AG408),"")</f>
        <v>1</v>
      </c>
      <c r="AI408" s="13" t="n">
        <f aca="false">IF($J408=1,(Ideal_P-E408)/Span_P,"")</f>
        <v>0.251050277630577</v>
      </c>
      <c r="AJ408" s="13" t="n">
        <f aca="false">IF($J408=1,(Ideal_S-F408)/Span_S,"")</f>
        <v>0.483870967741936</v>
      </c>
      <c r="AK408" s="13" t="n">
        <f aca="false">IF($J408=1,(Ideal_B-G408)/Span_B,"")</f>
        <v>0.333333333333333</v>
      </c>
      <c r="AL408" s="12" t="n">
        <f aca="false">IF($J408=1,MAX(ChA_1*AI408,ChA_2*AJ408,ChA_3*AK408)+Rho*(ChA_1*AI408+ChA_2*AJ408+ChA_3*AK408),"")</f>
        <v>0.483977793199806</v>
      </c>
      <c r="AM408" s="12" t="n">
        <f aca="false">IF($J408=1,MAX(ChB_1*AI408,ChB_2*AJ408,ChB_3*AK408)+Rho*(ChB_1*AI408+ChB_2*AJ408+ChB_3*AK408),"")</f>
        <v>0.502232485746788</v>
      </c>
      <c r="AN408" s="12" t="n">
        <f aca="false">IF($J408=1,MAX(Cx_1*(Ref_P-E408)/Span_P,Cx_2*(Ref_S-F408)/Span_S,Cx_3*(Ref_B-G408)/Span_B),"")</f>
        <v>2.09439124487004</v>
      </c>
    </row>
    <row r="409" customFormat="false" ht="15" hidden="false" customHeight="false" outlineLevel="0" collapsed="false">
      <c r="A409" s="2" t="n">
        <v>403</v>
      </c>
      <c r="B409" s="15" t="n">
        <f aca="false">INT(A409/151)</f>
        <v>2</v>
      </c>
      <c r="C409" s="15" t="n">
        <f aca="false">MOD(A409,151)</f>
        <v>101</v>
      </c>
      <c r="D409" s="15" t="n">
        <f aca="false">INDEX(Grid!$J$6:$P$156,C409+1,B409+1)</f>
        <v>1</v>
      </c>
      <c r="E409" s="16" t="n">
        <f aca="false">IF(D409=1,INDEX(Grid!$B$6:$H$156,C409+1,B409+1),"")</f>
        <v>269.214658710595</v>
      </c>
      <c r="F409" s="13" t="n">
        <f aca="false">Val_pt*(Ceiling_e-E_zero)*(1-(1-Half_gap)^B409)</f>
        <v>105</v>
      </c>
      <c r="G409" s="15" t="n">
        <f aca="false">C409</f>
        <v>101</v>
      </c>
      <c r="H409" s="15" t="n">
        <f aca="false">IF(D409=1,INDEX(Grid!$R$6:$X$156,C409+1,B409+1),"")</f>
        <v>40</v>
      </c>
      <c r="I409" s="2" t="str">
        <f aca="false">IF(D409=1,INDEX(Sch_label,H409+1),"")</f>
        <v>1, 3</v>
      </c>
      <c r="J409" s="15" t="n">
        <f aca="false">IF(D409=1,INDEX(Grid!$Z$6:$AF$156,C409+1,B409+1),0)</f>
        <v>1</v>
      </c>
      <c r="K409" s="16" t="n">
        <f aca="false">IF(J409=1,E409,0)</f>
        <v>269.214658710595</v>
      </c>
      <c r="L409" s="17" t="n">
        <f aca="false">IF(D409=1,E409+W_board*F409,"")</f>
        <v>861.912285267061</v>
      </c>
      <c r="M409" s="24" t="n">
        <v>0</v>
      </c>
      <c r="Q409" s="24" t="n">
        <v>2</v>
      </c>
      <c r="R409" s="24" t="n">
        <v>100</v>
      </c>
      <c r="S409" s="25" t="n">
        <v>0.783057092442541</v>
      </c>
      <c r="T409" s="24" t="n">
        <v>2</v>
      </c>
      <c r="U409" s="24" t="n">
        <v>150</v>
      </c>
      <c r="V409" s="25" t="n">
        <v>0.1059387232978</v>
      </c>
      <c r="W409" s="24" t="n">
        <v>3</v>
      </c>
      <c r="X409" s="24" t="n">
        <v>100</v>
      </c>
      <c r="Y409" s="25" t="n">
        <v>0.111004184259658</v>
      </c>
      <c r="Z409" s="12" t="str">
        <f aca="false">IF(AND($J409=1,$M409=1),N409*E409/Span_P+O409*F409/Span_S+P409*G409/Span_B,"")</f>
        <v/>
      </c>
      <c r="AA409" s="12" t="str">
        <f aca="false">IF(AND($J409=1,$M409=1),SUMPRODUCT(MAX($J$6:$J$1062*(N409*$K$6:$K$1062/Span_P+O409*$F$6:$F$1062/Span_S+P409*$G$6:$G$1062/Span_B)-(1-$J$6:$J$1062)*1000000000)),"")</f>
        <v/>
      </c>
      <c r="AB409" s="15" t="str">
        <f aca="false">IF(AND($J409=1,$M409=1),IF(AA409-Z409&lt;=0.000000001,1,0),"")</f>
        <v/>
      </c>
      <c r="AC409" s="13" t="n">
        <f aca="false">IF(AND($J409=1,$M409=0),IF(S409="",0,S409*INDEX(Grid!$B$6:$H$156,R409+1,Q409+1))+IF(V409="",0,V409*INDEX(Grid!$B$6:$H$156,U409+1,T409+1))+IF(Y409="",0,Y409*INDEX(Grid!$B$6:$H$156,X409+1,W409+1)),"")</f>
        <v>279.587894545566</v>
      </c>
      <c r="AD409" s="13" t="n">
        <f aca="false">IF(AND($J409=1,$M409=0),IF(S409="",0,S409*Val_pt*(Ceiling_e-E_zero)*(1-(1-Half_gap)^Q409))+IF(V409="",0,V409*Val_pt*(Ceiling_e-E_zero)*(1-(1-Half_gap)^T409))+IF(Y409="",0,Y409*Val_pt*(Ceiling_e-E_zero)*(1-(1-Half_gap)^W409)),"")</f>
        <v>106.942573224544</v>
      </c>
      <c r="AE409" s="13" t="n">
        <f aca="false">IF(AND($J409=1,$M409=0),IF(S409="",0,S409*R409)+IF(V409="",0,V409*U409)+IF(Y409="",0,Y409*X409),"")</f>
        <v>105.29693616489</v>
      </c>
      <c r="AF409" s="12" t="n">
        <f aca="false">IF(AND($J409=1,$M409=0),MIN((AC409-E409)/Span_P,(AD409-F409)/Span_S,(AE409-G409)/Span_B),"")</f>
        <v>0.0286462410992665</v>
      </c>
      <c r="AG409" s="15" t="n">
        <f aca="false">IF(AND($J409=1,$M409=0),IF(AF409&gt;0.0000001,1,0),"")</f>
        <v>1</v>
      </c>
      <c r="AH409" s="15" t="n">
        <f aca="false">IF($J409=1,IF($M409=1,AB409,AG409),"")</f>
        <v>1</v>
      </c>
      <c r="AI409" s="13" t="n">
        <f aca="false">IF($J409=1,(Ideal_P-E409)/Span_P,"")</f>
        <v>0.317464487440121</v>
      </c>
      <c r="AJ409" s="13" t="n">
        <f aca="false">IF($J409=1,(Ideal_S-F409)/Span_S,"")</f>
        <v>0.483870967741936</v>
      </c>
      <c r="AK409" s="13" t="n">
        <f aca="false">IF($J409=1,(Ideal_B-G409)/Span_B,"")</f>
        <v>0.326666666666667</v>
      </c>
      <c r="AL409" s="12" t="n">
        <f aca="false">IF($J409=1,MAX(ChA_1*AI409,ChA_2*AJ409,ChA_3*AK409)+Rho*(ChA_1*AI409+ChA_2*AJ409+ChA_3*AK409),"")</f>
        <v>0.48398376795412</v>
      </c>
      <c r="AM409" s="12" t="n">
        <f aca="false">IF($J409=1,MAX(ChB_1*AI409,ChB_2*AJ409,ChB_3*AK409)+Rho*(ChB_1*AI409+ChB_2*AJ409+ChB_3*AK409),"")</f>
        <v>0.63507352154117</v>
      </c>
      <c r="AN409" s="12" t="n">
        <f aca="false">IF($J409=1,MAX(Cx_1*(Ref_P-E409)/Span_P,Cx_2*(Ref_S-F409)/Span_S,Cx_3*(Ref_B-G409)/Span_B),"")</f>
        <v>2.09439124487004</v>
      </c>
    </row>
    <row r="410" customFormat="false" ht="15" hidden="false" customHeight="false" outlineLevel="0" collapsed="false">
      <c r="A410" s="2" t="n">
        <v>404</v>
      </c>
      <c r="B410" s="15" t="n">
        <f aca="false">INT(A410/151)</f>
        <v>2</v>
      </c>
      <c r="C410" s="15" t="n">
        <f aca="false">MOD(A410,151)</f>
        <v>102</v>
      </c>
      <c r="D410" s="15" t="n">
        <f aca="false">INDEX(Grid!$J$6:$P$156,C410+1,B410+1)</f>
        <v>1</v>
      </c>
      <c r="E410" s="16" t="n">
        <f aca="false">IF(D410=1,INDEX(Grid!$B$6:$H$156,C410+1,B410+1),"")</f>
        <v>268.305567801504</v>
      </c>
      <c r="F410" s="13" t="n">
        <f aca="false">Val_pt*(Ceiling_e-E_zero)*(1-(1-Half_gap)^B410)</f>
        <v>105</v>
      </c>
      <c r="G410" s="15" t="n">
        <f aca="false">C410</f>
        <v>102</v>
      </c>
      <c r="H410" s="15" t="n">
        <f aca="false">IF(D410=1,INDEX(Grid!$R$6:$X$156,C410+1,B410+1),"")</f>
        <v>40</v>
      </c>
      <c r="I410" s="2" t="str">
        <f aca="false">IF(D410=1,INDEX(Sch_label,H410+1),"")</f>
        <v>1, 3</v>
      </c>
      <c r="J410" s="15" t="n">
        <f aca="false">IF(D410=1,INDEX(Grid!$Z$6:$AF$156,C410+1,B410+1),0)</f>
        <v>1</v>
      </c>
      <c r="K410" s="16" t="n">
        <f aca="false">IF(J410=1,E410,0)</f>
        <v>268.305567801504</v>
      </c>
      <c r="L410" s="17" t="n">
        <f aca="false">IF(D410=1,E410+W_board*F410,"")</f>
        <v>861.00319435797</v>
      </c>
      <c r="M410" s="24" t="n">
        <v>0</v>
      </c>
      <c r="Q410" s="24" t="n">
        <v>2</v>
      </c>
      <c r="R410" s="24" t="n">
        <v>100</v>
      </c>
      <c r="S410" s="25" t="n">
        <v>0.767076335453921</v>
      </c>
      <c r="T410" s="24" t="n">
        <v>2</v>
      </c>
      <c r="U410" s="24" t="n">
        <v>150</v>
      </c>
      <c r="V410" s="25" t="n">
        <v>0.124184871801927</v>
      </c>
      <c r="W410" s="24" t="n">
        <v>3</v>
      </c>
      <c r="X410" s="24" t="n">
        <v>100</v>
      </c>
      <c r="Y410" s="25" t="n">
        <v>0.108738792744155</v>
      </c>
      <c r="Z410" s="12" t="str">
        <f aca="false">IF(AND($J410=1,$M410=1),N410*E410/Span_P+O410*F410/Span_S+P410*G410/Span_B,"")</f>
        <v/>
      </c>
      <c r="AA410" s="12" t="str">
        <f aca="false">IF(AND($J410=1,$M410=1),SUMPRODUCT(MAX($J$6:$J$1062*(N410*$K$6:$K$1062/Span_P+O410*$F$6:$F$1062/Span_S+P410*$G$6:$G$1062/Span_B)-(1-$J$6:$J$1062)*1000000000)),"")</f>
        <v/>
      </c>
      <c r="AB410" s="15" t="str">
        <f aca="false">IF(AND($J410=1,$M410=1),IF(AA410-Z410&lt;=0.000000001,1,0),"")</f>
        <v/>
      </c>
      <c r="AC410" s="13" t="n">
        <f aca="false">IF(AND($J410=1,$M410=0),IF(S410="",0,S410*INDEX(Grid!$B$6:$H$156,R410+1,Q410+1))+IF(V410="",0,V410*INDEX(Grid!$B$6:$H$156,U410+1,T410+1))+IF(Y410="",0,Y410*INDEX(Grid!$B$6:$H$156,X410+1,W410+1)),"")</f>
        <v>278.467104945966</v>
      </c>
      <c r="AD410" s="13" t="n">
        <f aca="false">IF(AND($J410=1,$M410=0),IF(S410="",0,S410*Val_pt*(Ceiling_e-E_zero)*(1-(1-Half_gap)^Q410))+IF(V410="",0,V410*Val_pt*(Ceiling_e-E_zero)*(1-(1-Half_gap)^T410))+IF(Y410="",0,Y410*Val_pt*(Ceiling_e-E_zero)*(1-(1-Half_gap)^W410)),"")</f>
        <v>106.902928873023</v>
      </c>
      <c r="AE410" s="13" t="n">
        <f aca="false">IF(AND($J410=1,$M410=0),IF(S410="",0,S410*R410)+IF(V410="",0,V410*U410)+IF(Y410="",0,Y410*X410),"")</f>
        <v>106.209243590097</v>
      </c>
      <c r="AF410" s="12" t="n">
        <f aca="false">IF(AND($J410=1,$M410=0),MIN((AC410-E410)/Span_P,(AD410-F410)/Span_S,(AE410-G410)/Span_B),"")</f>
        <v>0.0280616239339772</v>
      </c>
      <c r="AG410" s="15" t="n">
        <f aca="false">IF(AND($J410=1,$M410=0),IF(AF410&gt;0.0000001,1,0),"")</f>
        <v>1</v>
      </c>
      <c r="AH410" s="15" t="n">
        <f aca="false">IF($J410=1,IF($M410=1,AB410,AG410),"")</f>
        <v>1</v>
      </c>
      <c r="AI410" s="13" t="n">
        <f aca="false">IF($J410=1,(Ideal_P-E410)/Span_P,"")</f>
        <v>0.319974990216427</v>
      </c>
      <c r="AJ410" s="13" t="n">
        <f aca="false">IF($J410=1,(Ideal_S-F410)/Span_S,"")</f>
        <v>0.483870967741936</v>
      </c>
      <c r="AK410" s="13" t="n">
        <f aca="false">IF($J410=1,(Ideal_B-G410)/Span_B,"")</f>
        <v>0.32</v>
      </c>
      <c r="AL410" s="12" t="n">
        <f aca="false">IF($J410=1,MAX(ChA_1*AI410,ChA_2*AJ410,ChA_3*AK410)+Rho*(ChA_1*AI410+ChA_2*AJ410+ChA_3*AK410),"")</f>
        <v>0.483983352337731</v>
      </c>
      <c r="AM410" s="12" t="n">
        <f aca="false">IF($J410=1,MAX(ChB_1*AI410,ChB_2*AJ410,ChB_3*AK410)+Rho*(ChB_1*AI410+ChB_2*AJ410+ChB_3*AK410),"")</f>
        <v>0.640094362527671</v>
      </c>
      <c r="AN410" s="12" t="n">
        <f aca="false">IF($J410=1,MAX(Cx_1*(Ref_P-E410)/Span_P,Cx_2*(Ref_S-F410)/Span_S,Cx_3*(Ref_B-G410)/Span_B),"")</f>
        <v>2.09439124487004</v>
      </c>
    </row>
    <row r="411" customFormat="false" ht="15" hidden="false" customHeight="false" outlineLevel="0" collapsed="false">
      <c r="A411" s="2" t="n">
        <v>405</v>
      </c>
      <c r="B411" s="15" t="n">
        <f aca="false">INT(A411/151)</f>
        <v>2</v>
      </c>
      <c r="C411" s="15" t="n">
        <f aca="false">MOD(A411,151)</f>
        <v>103</v>
      </c>
      <c r="D411" s="15" t="n">
        <f aca="false">INDEX(Grid!$J$6:$P$156,C411+1,B411+1)</f>
        <v>1</v>
      </c>
      <c r="E411" s="16" t="n">
        <f aca="false">IF(D411=1,INDEX(Grid!$B$6:$H$156,C411+1,B411+1),"")</f>
        <v>267.396476892413</v>
      </c>
      <c r="F411" s="13" t="n">
        <f aca="false">Val_pt*(Ceiling_e-E_zero)*(1-(1-Half_gap)^B411)</f>
        <v>105</v>
      </c>
      <c r="G411" s="15" t="n">
        <f aca="false">C411</f>
        <v>103</v>
      </c>
      <c r="H411" s="15" t="n">
        <f aca="false">IF(D411=1,INDEX(Grid!$R$6:$X$156,C411+1,B411+1),"")</f>
        <v>40</v>
      </c>
      <c r="I411" s="2" t="str">
        <f aca="false">IF(D411=1,INDEX(Sch_label,H411+1),"")</f>
        <v>1, 3</v>
      </c>
      <c r="J411" s="15" t="n">
        <f aca="false">IF(D411=1,INDEX(Grid!$Z$6:$AF$156,C411+1,B411+1),0)</f>
        <v>1</v>
      </c>
      <c r="K411" s="16" t="n">
        <f aca="false">IF(J411=1,E411,0)</f>
        <v>267.396476892413</v>
      </c>
      <c r="L411" s="17" t="n">
        <f aca="false">IF(D411=1,E411+W_board*F411,"")</f>
        <v>860.094103448879</v>
      </c>
      <c r="M411" s="24" t="n">
        <v>0</v>
      </c>
      <c r="Q411" s="24" t="n">
        <v>2</v>
      </c>
      <c r="R411" s="24" t="n">
        <v>100</v>
      </c>
      <c r="S411" s="25" t="n">
        <v>0.751095578465291</v>
      </c>
      <c r="T411" s="24" t="n">
        <v>2</v>
      </c>
      <c r="U411" s="24" t="n">
        <v>150</v>
      </c>
      <c r="V411" s="25" t="n">
        <v>0.142431020306056</v>
      </c>
      <c r="W411" s="24" t="n">
        <v>3</v>
      </c>
      <c r="X411" s="24" t="n">
        <v>100</v>
      </c>
      <c r="Y411" s="25" t="n">
        <v>0.106473401228653</v>
      </c>
      <c r="Z411" s="12" t="str">
        <f aca="false">IF(AND($J411=1,$M411=1),N411*E411/Span_P+O411*F411/Span_S+P411*G411/Span_B,"")</f>
        <v/>
      </c>
      <c r="AA411" s="12" t="str">
        <f aca="false">IF(AND($J411=1,$M411=1),SUMPRODUCT(MAX($J$6:$J$1062*(N411*$K$6:$K$1062/Span_P+O411*$F$6:$F$1062/Span_S+P411*$G$6:$G$1062/Span_B)-(1-$J$6:$J$1062)*1000000000)),"")</f>
        <v/>
      </c>
      <c r="AB411" s="15" t="str">
        <f aca="false">IF(AND($J411=1,$M411=1),IF(AA411-Z411&lt;=0.000000001,1,0),"")</f>
        <v/>
      </c>
      <c r="AC411" s="13" t="n">
        <f aca="false">IF(AND($J411=1,$M411=0),IF(S411="",0,S411*INDEX(Grid!$B$6:$H$156,R411+1,Q411+1))+IF(V411="",0,V411*INDEX(Grid!$B$6:$H$156,U411+1,T411+1))+IF(Y411="",0,Y411*INDEX(Grid!$B$6:$H$156,X411+1,W411+1)),"")</f>
        <v>277.346315346365</v>
      </c>
      <c r="AD411" s="13" t="n">
        <f aca="false">IF(AND($J411=1,$M411=0),IF(S411="",0,S411*Val_pt*(Ceiling_e-E_zero)*(1-(1-Half_gap)^Q411))+IF(V411="",0,V411*Val_pt*(Ceiling_e-E_zero)*(1-(1-Half_gap)^T411))+IF(Y411="",0,Y411*Val_pt*(Ceiling_e-E_zero)*(1-(1-Half_gap)^W411)),"")</f>
        <v>106.863284521501</v>
      </c>
      <c r="AE411" s="13" t="n">
        <f aca="false">IF(AND($J411=1,$M411=0),IF(S411="",0,S411*R411)+IF(V411="",0,V411*U411)+IF(Y411="",0,Y411*X411),"")</f>
        <v>107.121551015303</v>
      </c>
      <c r="AF411" s="12" t="n">
        <f aca="false">IF(AND($J411=1,$M411=0),MIN((AC411-E411)/Span_P,(AD411-F411)/Span_S,(AE411-G411)/Span_B),"")</f>
        <v>0.0274770067686838</v>
      </c>
      <c r="AG411" s="15" t="n">
        <f aca="false">IF(AND($J411=1,$M411=0),IF(AF411&gt;0.0000001,1,0),"")</f>
        <v>1</v>
      </c>
      <c r="AH411" s="15" t="n">
        <f aca="false">IF($J411=1,IF($M411=1,AB411,AG411),"")</f>
        <v>1</v>
      </c>
      <c r="AI411" s="13" t="n">
        <f aca="false">IF($J411=1,(Ideal_P-E411)/Span_P,"")</f>
        <v>0.322485492992732</v>
      </c>
      <c r="AJ411" s="13" t="n">
        <f aca="false">IF($J411=1,(Ideal_S-F411)/Span_S,"")</f>
        <v>0.483870967741936</v>
      </c>
      <c r="AK411" s="13" t="n">
        <f aca="false">IF($J411=1,(Ideal_B-G411)/Span_B,"")</f>
        <v>0.313333333333333</v>
      </c>
      <c r="AL411" s="12" t="n">
        <f aca="false">IF($J411=1,MAX(ChA_1*AI411,ChA_2*AJ411,ChA_3*AK411)+Rho*(ChA_1*AI411+ChA_2*AJ411+ChA_3*AK411),"")</f>
        <v>0.483982936721342</v>
      </c>
      <c r="AM411" s="12" t="n">
        <f aca="false">IF($J411=1,MAX(ChB_1*AI411,ChB_2*AJ411,ChB_3*AK411)+Rho*(ChB_1*AI411+ChB_2*AJ411+ChB_3*AK411),"")</f>
        <v>0.645115203514171</v>
      </c>
      <c r="AN411" s="12" t="n">
        <f aca="false">IF($J411=1,MAX(Cx_1*(Ref_P-E411)/Span_P,Cx_2*(Ref_S-F411)/Span_S,Cx_3*(Ref_B-G411)/Span_B),"")</f>
        <v>2.09439124487004</v>
      </c>
    </row>
    <row r="412" customFormat="false" ht="15" hidden="false" customHeight="false" outlineLevel="0" collapsed="false">
      <c r="A412" s="2" t="n">
        <v>406</v>
      </c>
      <c r="B412" s="15" t="n">
        <f aca="false">INT(A412/151)</f>
        <v>2</v>
      </c>
      <c r="C412" s="15" t="n">
        <f aca="false">MOD(A412,151)</f>
        <v>104</v>
      </c>
      <c r="D412" s="15" t="n">
        <f aca="false">INDEX(Grid!$J$6:$P$156,C412+1,B412+1)</f>
        <v>1</v>
      </c>
      <c r="E412" s="16" t="n">
        <f aca="false">IF(D412=1,INDEX(Grid!$B$6:$H$156,C412+1,B412+1),"")</f>
        <v>266.487385983322</v>
      </c>
      <c r="F412" s="13" t="n">
        <f aca="false">Val_pt*(Ceiling_e-E_zero)*(1-(1-Half_gap)^B412)</f>
        <v>105</v>
      </c>
      <c r="G412" s="15" t="n">
        <f aca="false">C412</f>
        <v>104</v>
      </c>
      <c r="H412" s="15" t="n">
        <f aca="false">IF(D412=1,INDEX(Grid!$R$6:$X$156,C412+1,B412+1),"")</f>
        <v>40</v>
      </c>
      <c r="I412" s="2" t="str">
        <f aca="false">IF(D412=1,INDEX(Sch_label,H412+1),"")</f>
        <v>1, 3</v>
      </c>
      <c r="J412" s="15" t="n">
        <f aca="false">IF(D412=1,INDEX(Grid!$Z$6:$AF$156,C412+1,B412+1),0)</f>
        <v>1</v>
      </c>
      <c r="K412" s="16" t="n">
        <f aca="false">IF(J412=1,E412,0)</f>
        <v>266.487385983322</v>
      </c>
      <c r="L412" s="17" t="n">
        <f aca="false">IF(D412=1,E412+W_board*F412,"")</f>
        <v>859.185012539788</v>
      </c>
      <c r="M412" s="24" t="n">
        <v>0</v>
      </c>
      <c r="Q412" s="24" t="n">
        <v>2</v>
      </c>
      <c r="R412" s="24" t="n">
        <v>100</v>
      </c>
      <c r="S412" s="25" t="n">
        <v>0.735114821476666</v>
      </c>
      <c r="T412" s="24" t="n">
        <v>2</v>
      </c>
      <c r="U412" s="24" t="n">
        <v>150</v>
      </c>
      <c r="V412" s="25" t="n">
        <v>0.160677168810187</v>
      </c>
      <c r="W412" s="24" t="n">
        <v>3</v>
      </c>
      <c r="X412" s="24" t="n">
        <v>100</v>
      </c>
      <c r="Y412" s="25" t="n">
        <v>0.104208009713148</v>
      </c>
      <c r="Z412" s="12" t="str">
        <f aca="false">IF(AND($J412=1,$M412=1),N412*E412/Span_P+O412*F412/Span_S+P412*G412/Span_B,"")</f>
        <v/>
      </c>
      <c r="AA412" s="12" t="str">
        <f aca="false">IF(AND($J412=1,$M412=1),SUMPRODUCT(MAX($J$6:$J$1062*(N412*$K$6:$K$1062/Span_P+O412*$F$6:$F$1062/Span_S+P412*$G$6:$G$1062/Span_B)-(1-$J$6:$J$1062)*1000000000)),"")</f>
        <v/>
      </c>
      <c r="AB412" s="15" t="str">
        <f aca="false">IF(AND($J412=1,$M412=1),IF(AA412-Z412&lt;=0.000000001,1,0),"")</f>
        <v/>
      </c>
      <c r="AC412" s="13" t="n">
        <f aca="false">IF(AND($J412=1,$M412=0),IF(S412="",0,S412*INDEX(Grid!$B$6:$H$156,R412+1,Q412+1))+IF(V412="",0,V412*INDEX(Grid!$B$6:$H$156,U412+1,T412+1))+IF(Y412="",0,Y412*INDEX(Grid!$B$6:$H$156,X412+1,W412+1)),"")</f>
        <v>276.225525746764</v>
      </c>
      <c r="AD412" s="13" t="n">
        <f aca="false">IF(AND($J412=1,$M412=0),IF(S412="",0,S412*Val_pt*(Ceiling_e-E_zero)*(1-(1-Half_gap)^Q412))+IF(V412="",0,V412*Val_pt*(Ceiling_e-E_zero)*(1-(1-Half_gap)^T412))+IF(Y412="",0,Y412*Val_pt*(Ceiling_e-E_zero)*(1-(1-Half_gap)^W412)),"")</f>
        <v>106.82364016998</v>
      </c>
      <c r="AE412" s="13" t="n">
        <f aca="false">IF(AND($J412=1,$M412=0),IF(S412="",0,S412*R412)+IF(V412="",0,V412*U412)+IF(Y412="",0,Y412*X412),"")</f>
        <v>108.033858440509</v>
      </c>
      <c r="AF412" s="12" t="n">
        <f aca="false">IF(AND($J412=1,$M412=0),MIN((AC412-E412)/Span_P,(AD412-F412)/Span_S,(AE412-G412)/Span_B),"")</f>
        <v>0.0268923896033926</v>
      </c>
      <c r="AG412" s="15" t="n">
        <f aca="false">IF(AND($J412=1,$M412=0),IF(AF412&gt;0.0000001,1,0),"")</f>
        <v>1</v>
      </c>
      <c r="AH412" s="15" t="n">
        <f aca="false">IF($J412=1,IF($M412=1,AB412,AG412),"")</f>
        <v>1</v>
      </c>
      <c r="AI412" s="13" t="n">
        <f aca="false">IF($J412=1,(Ideal_P-E412)/Span_P,"")</f>
        <v>0.324995995769038</v>
      </c>
      <c r="AJ412" s="13" t="n">
        <f aca="false">IF($J412=1,(Ideal_S-F412)/Span_S,"")</f>
        <v>0.483870967741936</v>
      </c>
      <c r="AK412" s="13" t="n">
        <f aca="false">IF($J412=1,(Ideal_B-G412)/Span_B,"")</f>
        <v>0.306666666666667</v>
      </c>
      <c r="AL412" s="12" t="n">
        <f aca="false">IF($J412=1,MAX(ChA_1*AI412,ChA_2*AJ412,ChA_3*AK412)+Rho*(ChA_1*AI412+ChA_2*AJ412+ChA_3*AK412),"")</f>
        <v>0.483982521104953</v>
      </c>
      <c r="AM412" s="12" t="n">
        <f aca="false">IF($J412=1,MAX(ChB_1*AI412,ChB_2*AJ412,ChB_3*AK412)+Rho*(ChB_1*AI412+ChB_2*AJ412+ChB_3*AK412),"")</f>
        <v>0.650136044500671</v>
      </c>
      <c r="AN412" s="12" t="n">
        <f aca="false">IF($J412=1,MAX(Cx_1*(Ref_P-E412)/Span_P,Cx_2*(Ref_S-F412)/Span_S,Cx_3*(Ref_B-G412)/Span_B),"")</f>
        <v>2.09439124487004</v>
      </c>
    </row>
    <row r="413" customFormat="false" ht="15" hidden="false" customHeight="false" outlineLevel="0" collapsed="false">
      <c r="A413" s="2" t="n">
        <v>407</v>
      </c>
      <c r="B413" s="15" t="n">
        <f aca="false">INT(A413/151)</f>
        <v>2</v>
      </c>
      <c r="C413" s="15" t="n">
        <f aca="false">MOD(A413,151)</f>
        <v>105</v>
      </c>
      <c r="D413" s="15" t="n">
        <f aca="false">INDEX(Grid!$J$6:$P$156,C413+1,B413+1)</f>
        <v>1</v>
      </c>
      <c r="E413" s="16" t="n">
        <f aca="false">IF(D413=1,INDEX(Grid!$B$6:$H$156,C413+1,B413+1),"")</f>
        <v>265.578295074231</v>
      </c>
      <c r="F413" s="13" t="n">
        <f aca="false">Val_pt*(Ceiling_e-E_zero)*(1-(1-Half_gap)^B413)</f>
        <v>105</v>
      </c>
      <c r="G413" s="15" t="n">
        <f aca="false">C413</f>
        <v>105</v>
      </c>
      <c r="H413" s="15" t="n">
        <f aca="false">IF(D413=1,INDEX(Grid!$R$6:$X$156,C413+1,B413+1),"")</f>
        <v>40</v>
      </c>
      <c r="I413" s="2" t="str">
        <f aca="false">IF(D413=1,INDEX(Sch_label,H413+1),"")</f>
        <v>1, 3</v>
      </c>
      <c r="J413" s="15" t="n">
        <f aca="false">IF(D413=1,INDEX(Grid!$Z$6:$AF$156,C413+1,B413+1),0)</f>
        <v>1</v>
      </c>
      <c r="K413" s="16" t="n">
        <f aca="false">IF(J413=1,E413,0)</f>
        <v>265.578295074231</v>
      </c>
      <c r="L413" s="17" t="n">
        <f aca="false">IF(D413=1,E413+W_board*F413,"")</f>
        <v>858.275921630697</v>
      </c>
      <c r="M413" s="24" t="n">
        <v>0</v>
      </c>
      <c r="Q413" s="24" t="n">
        <v>2</v>
      </c>
      <c r="R413" s="24" t="n">
        <v>100</v>
      </c>
      <c r="S413" s="25" t="n">
        <v>0.719134064488056</v>
      </c>
      <c r="T413" s="24" t="n">
        <v>2</v>
      </c>
      <c r="U413" s="24" t="n">
        <v>150</v>
      </c>
      <c r="V413" s="25" t="n">
        <v>0.178923317314299</v>
      </c>
      <c r="W413" s="24" t="n">
        <v>3</v>
      </c>
      <c r="X413" s="24" t="n">
        <v>100</v>
      </c>
      <c r="Y413" s="25" t="n">
        <v>0.101942618197645</v>
      </c>
      <c r="Z413" s="12" t="str">
        <f aca="false">IF(AND($J413=1,$M413=1),N413*E413/Span_P+O413*F413/Span_S+P413*G413/Span_B,"")</f>
        <v/>
      </c>
      <c r="AA413" s="12" t="str">
        <f aca="false">IF(AND($J413=1,$M413=1),SUMPRODUCT(MAX($J$6:$J$1062*(N413*$K$6:$K$1062/Span_P+O413*$F$6:$F$1062/Span_S+P413*$G$6:$G$1062/Span_B)-(1-$J$6:$J$1062)*1000000000)),"")</f>
        <v/>
      </c>
      <c r="AB413" s="15" t="str">
        <f aca="false">IF(AND($J413=1,$M413=1),IF(AA413-Z413&lt;=0.000000001,1,0),"")</f>
        <v/>
      </c>
      <c r="AC413" s="13" t="n">
        <f aca="false">IF(AND($J413=1,$M413=0),IF(S413="",0,S413*INDEX(Grid!$B$6:$H$156,R413+1,Q413+1))+IF(V413="",0,V413*INDEX(Grid!$B$6:$H$156,U413+1,T413+1))+IF(Y413="",0,Y413*INDEX(Grid!$B$6:$H$156,X413+1,W413+1)),"")</f>
        <v>275.104736147164</v>
      </c>
      <c r="AD413" s="13" t="n">
        <f aca="false">IF(AND($J413=1,$M413=0),IF(S413="",0,S413*Val_pt*(Ceiling_e-E_zero)*(1-(1-Half_gap)^Q413))+IF(V413="",0,V413*Val_pt*(Ceiling_e-E_zero)*(1-(1-Half_gap)^T413))+IF(Y413="",0,Y413*Val_pt*(Ceiling_e-E_zero)*(1-(1-Half_gap)^W413)),"")</f>
        <v>106.783995818459</v>
      </c>
      <c r="AE413" s="13" t="n">
        <f aca="false">IF(AND($J413=1,$M413=0),IF(S413="",0,S413*R413)+IF(V413="",0,V413*U413)+IF(Y413="",0,Y413*X413),"")</f>
        <v>108.946165865715</v>
      </c>
      <c r="AF413" s="12" t="n">
        <f aca="false">IF(AND($J413=1,$M413=0),MIN((AC413-E413)/Span_P,(AD413-F413)/Span_S,(AE413-G413)/Span_B),"")</f>
        <v>0.0263077724380989</v>
      </c>
      <c r="AG413" s="15" t="n">
        <f aca="false">IF(AND($J413=1,$M413=0),IF(AF413&gt;0.0000001,1,0),"")</f>
        <v>1</v>
      </c>
      <c r="AH413" s="15" t="n">
        <f aca="false">IF($J413=1,IF($M413=1,AB413,AG413),"")</f>
        <v>1</v>
      </c>
      <c r="AI413" s="13" t="n">
        <f aca="false">IF($J413=1,(Ideal_P-E413)/Span_P,"")</f>
        <v>0.327506498545344</v>
      </c>
      <c r="AJ413" s="13" t="n">
        <f aca="false">IF($J413=1,(Ideal_S-F413)/Span_S,"")</f>
        <v>0.483870967741936</v>
      </c>
      <c r="AK413" s="13" t="n">
        <f aca="false">IF($J413=1,(Ideal_B-G413)/Span_B,"")</f>
        <v>0.3</v>
      </c>
      <c r="AL413" s="12" t="n">
        <f aca="false">IF($J413=1,MAX(ChA_1*AI413,ChA_2*AJ413,ChA_3*AK413)+Rho*(ChA_1*AI413+ChA_2*AJ413+ChA_3*AK413),"")</f>
        <v>0.483982105488564</v>
      </c>
      <c r="AM413" s="12" t="n">
        <f aca="false">IF($J413=1,MAX(ChB_1*AI413,ChB_2*AJ413,ChB_3*AK413)+Rho*(ChB_1*AI413+ChB_2*AJ413+ChB_3*AK413),"")</f>
        <v>0.655156885487171</v>
      </c>
      <c r="AN413" s="12" t="n">
        <f aca="false">IF($J413=1,MAX(Cx_1*(Ref_P-E413)/Span_P,Cx_2*(Ref_S-F413)/Span_S,Cx_3*(Ref_B-G413)/Span_B),"")</f>
        <v>2.09439124487004</v>
      </c>
    </row>
    <row r="414" customFormat="false" ht="15" hidden="false" customHeight="false" outlineLevel="0" collapsed="false">
      <c r="A414" s="2" t="n">
        <v>408</v>
      </c>
      <c r="B414" s="15" t="n">
        <f aca="false">INT(A414/151)</f>
        <v>2</v>
      </c>
      <c r="C414" s="15" t="n">
        <f aca="false">MOD(A414,151)</f>
        <v>106</v>
      </c>
      <c r="D414" s="15" t="n">
        <f aca="false">INDEX(Grid!$J$6:$P$156,C414+1,B414+1)</f>
        <v>1</v>
      </c>
      <c r="E414" s="16" t="n">
        <f aca="false">IF(D414=1,INDEX(Grid!$B$6:$H$156,C414+1,B414+1),"")</f>
        <v>264.66920416514</v>
      </c>
      <c r="F414" s="13" t="n">
        <f aca="false">Val_pt*(Ceiling_e-E_zero)*(1-(1-Half_gap)^B414)</f>
        <v>105</v>
      </c>
      <c r="G414" s="15" t="n">
        <f aca="false">C414</f>
        <v>106</v>
      </c>
      <c r="H414" s="15" t="n">
        <f aca="false">IF(D414=1,INDEX(Grid!$R$6:$X$156,C414+1,B414+1),"")</f>
        <v>40</v>
      </c>
      <c r="I414" s="2" t="str">
        <f aca="false">IF(D414=1,INDEX(Sch_label,H414+1),"")</f>
        <v>1, 3</v>
      </c>
      <c r="J414" s="15" t="n">
        <f aca="false">IF(D414=1,INDEX(Grid!$Z$6:$AF$156,C414+1,B414+1),0)</f>
        <v>1</v>
      </c>
      <c r="K414" s="16" t="n">
        <f aca="false">IF(J414=1,E414,0)</f>
        <v>264.66920416514</v>
      </c>
      <c r="L414" s="17" t="n">
        <f aca="false">IF(D414=1,E414+W_board*F414,"")</f>
        <v>857.366830721606</v>
      </c>
      <c r="M414" s="24" t="n">
        <v>0</v>
      </c>
      <c r="Q414" s="24" t="n">
        <v>2</v>
      </c>
      <c r="R414" s="24" t="n">
        <v>100</v>
      </c>
      <c r="S414" s="25" t="n">
        <v>0.703153307499426</v>
      </c>
      <c r="T414" s="24" t="n">
        <v>2</v>
      </c>
      <c r="U414" s="24" t="n">
        <v>150</v>
      </c>
      <c r="V414" s="25" t="n">
        <v>0.19716946581843</v>
      </c>
      <c r="W414" s="24" t="n">
        <v>3</v>
      </c>
      <c r="X414" s="24" t="n">
        <v>100</v>
      </c>
      <c r="Y414" s="25" t="n">
        <v>0.09967722668214</v>
      </c>
      <c r="Z414" s="12" t="str">
        <f aca="false">IF(AND($J414=1,$M414=1),N414*E414/Span_P+O414*F414/Span_S+P414*G414/Span_B,"")</f>
        <v/>
      </c>
      <c r="AA414" s="12" t="str">
        <f aca="false">IF(AND($J414=1,$M414=1),SUMPRODUCT(MAX($J$6:$J$1062*(N414*$K$6:$K$1062/Span_P+O414*$F$6:$F$1062/Span_S+P414*$G$6:$G$1062/Span_B)-(1-$J$6:$J$1062)*1000000000)),"")</f>
        <v/>
      </c>
      <c r="AB414" s="15" t="str">
        <f aca="false">IF(AND($J414=1,$M414=1),IF(AA414-Z414&lt;=0.000000001,1,0),"")</f>
        <v/>
      </c>
      <c r="AC414" s="13" t="n">
        <f aca="false">IF(AND($J414=1,$M414=0),IF(S414="",0,S414*INDEX(Grid!$B$6:$H$156,R414+1,Q414+1))+IF(V414="",0,V414*INDEX(Grid!$B$6:$H$156,U414+1,T414+1))+IF(Y414="",0,Y414*INDEX(Grid!$B$6:$H$156,X414+1,W414+1)),"")</f>
        <v>273.983946547562</v>
      </c>
      <c r="AD414" s="13" t="n">
        <f aca="false">IF(AND($J414=1,$M414=0),IF(S414="",0,S414*Val_pt*(Ceiling_e-E_zero)*(1-(1-Half_gap)^Q414))+IF(V414="",0,V414*Val_pt*(Ceiling_e-E_zero)*(1-(1-Half_gap)^T414))+IF(Y414="",0,Y414*Val_pt*(Ceiling_e-E_zero)*(1-(1-Half_gap)^W414)),"")</f>
        <v>106.744351466937</v>
      </c>
      <c r="AE414" s="13" t="n">
        <f aca="false">IF(AND($J414=1,$M414=0),IF(S414="",0,S414*R414)+IF(V414="",0,V414*U414)+IF(Y414="",0,Y414*X414),"")</f>
        <v>109.858473290921</v>
      </c>
      <c r="AF414" s="12" t="n">
        <f aca="false">IF(AND($J414=1,$M414=0),MIN((AC414-E414)/Span_P,(AD414-F414)/Span_S,(AE414-G414)/Span_B),"")</f>
        <v>0.0257231552728035</v>
      </c>
      <c r="AG414" s="15" t="n">
        <f aca="false">IF(AND($J414=1,$M414=0),IF(AF414&gt;0.0000001,1,0),"")</f>
        <v>1</v>
      </c>
      <c r="AH414" s="15" t="n">
        <f aca="false">IF($J414=1,IF($M414=1,AB414,AG414),"")</f>
        <v>1</v>
      </c>
      <c r="AI414" s="13" t="n">
        <f aca="false">IF($J414=1,(Ideal_P-E414)/Span_P,"")</f>
        <v>0.33001700132165</v>
      </c>
      <c r="AJ414" s="13" t="n">
        <f aca="false">IF($J414=1,(Ideal_S-F414)/Span_S,"")</f>
        <v>0.483870967741936</v>
      </c>
      <c r="AK414" s="13" t="n">
        <f aca="false">IF($J414=1,(Ideal_B-G414)/Span_B,"")</f>
        <v>0.293333333333333</v>
      </c>
      <c r="AL414" s="12" t="n">
        <f aca="false">IF($J414=1,MAX(ChA_1*AI414,ChA_2*AJ414,ChA_3*AK414)+Rho*(ChA_1*AI414+ChA_2*AJ414+ChA_3*AK414),"")</f>
        <v>0.483981689872175</v>
      </c>
      <c r="AM414" s="12" t="n">
        <f aca="false">IF($J414=1,MAX(ChB_1*AI414,ChB_2*AJ414,ChB_3*AK414)+Rho*(ChB_1*AI414+ChB_2*AJ414+ChB_3*AK414),"")</f>
        <v>0.660177726473671</v>
      </c>
      <c r="AN414" s="12" t="n">
        <f aca="false">IF($J414=1,MAX(Cx_1*(Ref_P-E414)/Span_P,Cx_2*(Ref_S-F414)/Span_S,Cx_3*(Ref_B-G414)/Span_B),"")</f>
        <v>2.09439124487004</v>
      </c>
    </row>
    <row r="415" customFormat="false" ht="15" hidden="false" customHeight="false" outlineLevel="0" collapsed="false">
      <c r="A415" s="2" t="n">
        <v>409</v>
      </c>
      <c r="B415" s="15" t="n">
        <f aca="false">INT(A415/151)</f>
        <v>2</v>
      </c>
      <c r="C415" s="15" t="n">
        <f aca="false">MOD(A415,151)</f>
        <v>107</v>
      </c>
      <c r="D415" s="15" t="n">
        <f aca="false">INDEX(Grid!$J$6:$P$156,C415+1,B415+1)</f>
        <v>1</v>
      </c>
      <c r="E415" s="16" t="n">
        <f aca="false">IF(D415=1,INDEX(Grid!$B$6:$H$156,C415+1,B415+1),"")</f>
        <v>263.760113256049</v>
      </c>
      <c r="F415" s="13" t="n">
        <f aca="false">Val_pt*(Ceiling_e-E_zero)*(1-(1-Half_gap)^B415)</f>
        <v>105</v>
      </c>
      <c r="G415" s="15" t="n">
        <f aca="false">C415</f>
        <v>107</v>
      </c>
      <c r="H415" s="15" t="n">
        <f aca="false">IF(D415=1,INDEX(Grid!$R$6:$X$156,C415+1,B415+1),"")</f>
        <v>40</v>
      </c>
      <c r="I415" s="2" t="str">
        <f aca="false">IF(D415=1,INDEX(Sch_label,H415+1),"")</f>
        <v>1, 3</v>
      </c>
      <c r="J415" s="15" t="n">
        <f aca="false">IF(D415=1,INDEX(Grid!$Z$6:$AF$156,C415+1,B415+1),0)</f>
        <v>1</v>
      </c>
      <c r="K415" s="16" t="n">
        <f aca="false">IF(J415=1,E415,0)</f>
        <v>263.760113256049</v>
      </c>
      <c r="L415" s="17" t="n">
        <f aca="false">IF(D415=1,E415+W_board*F415,"")</f>
        <v>856.457739812516</v>
      </c>
      <c r="M415" s="24" t="n">
        <v>0</v>
      </c>
      <c r="Q415" s="24" t="n">
        <v>2</v>
      </c>
      <c r="R415" s="24" t="n">
        <v>100</v>
      </c>
      <c r="S415" s="25" t="n">
        <v>0.687172550510801</v>
      </c>
      <c r="T415" s="24" t="n">
        <v>2</v>
      </c>
      <c r="U415" s="24" t="n">
        <v>150</v>
      </c>
      <c r="V415" s="25" t="n">
        <v>0.215415614322567</v>
      </c>
      <c r="W415" s="24" t="n">
        <v>3</v>
      </c>
      <c r="X415" s="24" t="n">
        <v>100</v>
      </c>
      <c r="Y415" s="25" t="n">
        <v>0.0974118351666391</v>
      </c>
      <c r="Z415" s="12" t="str">
        <f aca="false">IF(AND($J415=1,$M415=1),N415*E415/Span_P+O415*F415/Span_S+P415*G415/Span_B,"")</f>
        <v/>
      </c>
      <c r="AA415" s="12" t="str">
        <f aca="false">IF(AND($J415=1,$M415=1),SUMPRODUCT(MAX($J$6:$J$1062*(N415*$K$6:$K$1062/Span_P+O415*$F$6:$F$1062/Span_S+P415*$G$6:$G$1062/Span_B)-(1-$J$6:$J$1062)*1000000000)),"")</f>
        <v/>
      </c>
      <c r="AB415" s="15" t="str">
        <f aca="false">IF(AND($J415=1,$M415=1),IF(AA415-Z415&lt;=0.000000001,1,0),"")</f>
        <v/>
      </c>
      <c r="AC415" s="13" t="n">
        <f aca="false">IF(AND($J415=1,$M415=0),IF(S415="",0,S415*INDEX(Grid!$B$6:$H$156,R415+1,Q415+1))+IF(V415="",0,V415*INDEX(Grid!$B$6:$H$156,U415+1,T415+1))+IF(Y415="",0,Y415*INDEX(Grid!$B$6:$H$156,X415+1,W415+1)),"")</f>
        <v>272.863156947964</v>
      </c>
      <c r="AD415" s="13" t="n">
        <f aca="false">IF(AND($J415=1,$M415=0),IF(S415="",0,S415*Val_pt*(Ceiling_e-E_zero)*(1-(1-Half_gap)^Q415))+IF(V415="",0,V415*Val_pt*(Ceiling_e-E_zero)*(1-(1-Half_gap)^T415))+IF(Y415="",0,Y415*Val_pt*(Ceiling_e-E_zero)*(1-(1-Half_gap)^W415)),"")</f>
        <v>106.704707115417</v>
      </c>
      <c r="AE415" s="13" t="n">
        <f aca="false">IF(AND($J415=1,$M415=0),IF(S415="",0,S415*R415)+IF(V415="",0,V415*U415)+IF(Y415="",0,Y415*X415),"")</f>
        <v>110.770780716129</v>
      </c>
      <c r="AF415" s="12" t="n">
        <f aca="false">IF(AND($J415=1,$M415=0),MIN((AC415-E415)/Span_P,(AD415-F415)/Span_S,(AE415-G415)/Span_B),"")</f>
        <v>0.025138538107524</v>
      </c>
      <c r="AG415" s="15" t="n">
        <f aca="false">IF(AND($J415=1,$M415=0),IF(AF415&gt;0.0000001,1,0),"")</f>
        <v>1</v>
      </c>
      <c r="AH415" s="15" t="n">
        <f aca="false">IF($J415=1,IF($M415=1,AB415,AG415),"")</f>
        <v>1</v>
      </c>
      <c r="AI415" s="13" t="n">
        <f aca="false">IF($J415=1,(Ideal_P-E415)/Span_P,"")</f>
        <v>0.332527504097955</v>
      </c>
      <c r="AJ415" s="13" t="n">
        <f aca="false">IF($J415=1,(Ideal_S-F415)/Span_S,"")</f>
        <v>0.483870967741936</v>
      </c>
      <c r="AK415" s="13" t="n">
        <f aca="false">IF($J415=1,(Ideal_B-G415)/Span_B,"")</f>
        <v>0.286666666666667</v>
      </c>
      <c r="AL415" s="12" t="n">
        <f aca="false">IF($J415=1,MAX(ChA_1*AI415,ChA_2*AJ415,ChA_3*AK415)+Rho*(ChA_1*AI415+ChA_2*AJ415+ChA_3*AK415),"")</f>
        <v>0.483981274255786</v>
      </c>
      <c r="AM415" s="12" t="n">
        <f aca="false">IF($J415=1,MAX(ChB_1*AI415,ChB_2*AJ415,ChB_3*AK415)+Rho*(ChB_1*AI415+ChB_2*AJ415+ChB_3*AK415),"")</f>
        <v>0.665198567460171</v>
      </c>
      <c r="AN415" s="12" t="n">
        <f aca="false">IF($J415=1,MAX(Cx_1*(Ref_P-E415)/Span_P,Cx_2*(Ref_S-F415)/Span_S,Cx_3*(Ref_B-G415)/Span_B),"")</f>
        <v>2.09439124487004</v>
      </c>
    </row>
    <row r="416" customFormat="false" ht="15" hidden="false" customHeight="false" outlineLevel="0" collapsed="false">
      <c r="A416" s="2" t="n">
        <v>410</v>
      </c>
      <c r="B416" s="15" t="n">
        <f aca="false">INT(A416/151)</f>
        <v>2</v>
      </c>
      <c r="C416" s="15" t="n">
        <f aca="false">MOD(A416,151)</f>
        <v>108</v>
      </c>
      <c r="D416" s="15" t="n">
        <f aca="false">INDEX(Grid!$J$6:$P$156,C416+1,B416+1)</f>
        <v>1</v>
      </c>
      <c r="E416" s="16" t="n">
        <f aca="false">IF(D416=1,INDEX(Grid!$B$6:$H$156,C416+1,B416+1),"")</f>
        <v>262.851022346958</v>
      </c>
      <c r="F416" s="13" t="n">
        <f aca="false">Val_pt*(Ceiling_e-E_zero)*(1-(1-Half_gap)^B416)</f>
        <v>105</v>
      </c>
      <c r="G416" s="15" t="n">
        <f aca="false">C416</f>
        <v>108</v>
      </c>
      <c r="H416" s="15" t="n">
        <f aca="false">IF(D416=1,INDEX(Grid!$R$6:$X$156,C416+1,B416+1),"")</f>
        <v>40</v>
      </c>
      <c r="I416" s="2" t="str">
        <f aca="false">IF(D416=1,INDEX(Sch_label,H416+1),"")</f>
        <v>1, 3</v>
      </c>
      <c r="J416" s="15" t="n">
        <f aca="false">IF(D416=1,INDEX(Grid!$Z$6:$AF$156,C416+1,B416+1),0)</f>
        <v>1</v>
      </c>
      <c r="K416" s="16" t="n">
        <f aca="false">IF(J416=1,E416,0)</f>
        <v>262.851022346958</v>
      </c>
      <c r="L416" s="17" t="n">
        <f aca="false">IF(D416=1,E416+W_board*F416,"")</f>
        <v>855.548648903425</v>
      </c>
      <c r="M416" s="24" t="n">
        <v>0</v>
      </c>
      <c r="Q416" s="24" t="n">
        <v>2</v>
      </c>
      <c r="R416" s="24" t="n">
        <v>100</v>
      </c>
      <c r="S416" s="25" t="n">
        <v>0.671191793522177</v>
      </c>
      <c r="T416" s="24" t="n">
        <v>2</v>
      </c>
      <c r="U416" s="24" t="n">
        <v>150</v>
      </c>
      <c r="V416" s="25" t="n">
        <v>0.233661762826682</v>
      </c>
      <c r="W416" s="24" t="n">
        <v>3</v>
      </c>
      <c r="X416" s="24" t="n">
        <v>100</v>
      </c>
      <c r="Y416" s="25" t="n">
        <v>0.0951464436511357</v>
      </c>
      <c r="Z416" s="12" t="str">
        <f aca="false">IF(AND($J416=1,$M416=1),N416*E416/Span_P+O416*F416/Span_S+P416*G416/Span_B,"")</f>
        <v/>
      </c>
      <c r="AA416" s="12" t="str">
        <f aca="false">IF(AND($J416=1,$M416=1),SUMPRODUCT(MAX($J$6:$J$1062*(N416*$K$6:$K$1062/Span_P+O416*$F$6:$F$1062/Span_S+P416*$G$6:$G$1062/Span_B)-(1-$J$6:$J$1062)*1000000000)),"")</f>
        <v/>
      </c>
      <c r="AB416" s="15" t="str">
        <f aca="false">IF(AND($J416=1,$M416=1),IF(AA416-Z416&lt;=0.000000001,1,0),"")</f>
        <v/>
      </c>
      <c r="AC416" s="13" t="n">
        <f aca="false">IF(AND($J416=1,$M416=0),IF(S416="",0,S416*INDEX(Grid!$B$6:$H$156,R416+1,Q416+1))+IF(V416="",0,V416*INDEX(Grid!$B$6:$H$156,U416+1,T416+1))+IF(Y416="",0,Y416*INDEX(Grid!$B$6:$H$156,X416+1,W416+1)),"")</f>
        <v>271.742367348361</v>
      </c>
      <c r="AD416" s="13" t="n">
        <f aca="false">IF(AND($J416=1,$M416=0),IF(S416="",0,S416*Val_pt*(Ceiling_e-E_zero)*(1-(1-Half_gap)^Q416))+IF(V416="",0,V416*Val_pt*(Ceiling_e-E_zero)*(1-(1-Half_gap)^T416))+IF(Y416="",0,Y416*Val_pt*(Ceiling_e-E_zero)*(1-(1-Half_gap)^W416)),"")</f>
        <v>106.665062763894</v>
      </c>
      <c r="AE416" s="13" t="n">
        <f aca="false">IF(AND($J416=1,$M416=0),IF(S416="",0,S416*R416)+IF(V416="",0,V416*U416)+IF(Y416="",0,Y416*X416),"")</f>
        <v>111.683088141334</v>
      </c>
      <c r="AF416" s="12" t="n">
        <f aca="false">IF(AND($J416=1,$M416=0),MIN((AC416-E416)/Span_P,(AD416-F416)/Span_S,(AE416-G416)/Span_B),"")</f>
        <v>0.0245539209422207</v>
      </c>
      <c r="AG416" s="15" t="n">
        <f aca="false">IF(AND($J416=1,$M416=0),IF(AF416&gt;0.0000001,1,0),"")</f>
        <v>1</v>
      </c>
      <c r="AH416" s="15" t="n">
        <f aca="false">IF($J416=1,IF($M416=1,AB416,AG416),"")</f>
        <v>1</v>
      </c>
      <c r="AI416" s="13" t="n">
        <f aca="false">IF($J416=1,(Ideal_P-E416)/Span_P,"")</f>
        <v>0.335038006874261</v>
      </c>
      <c r="AJ416" s="13" t="n">
        <f aca="false">IF($J416=1,(Ideal_S-F416)/Span_S,"")</f>
        <v>0.483870967741936</v>
      </c>
      <c r="AK416" s="13" t="n">
        <f aca="false">IF($J416=1,(Ideal_B-G416)/Span_B,"")</f>
        <v>0.28</v>
      </c>
      <c r="AL416" s="12" t="n">
        <f aca="false">IF($J416=1,MAX(ChA_1*AI416,ChA_2*AJ416,ChA_3*AK416)+Rho*(ChA_1*AI416+ChA_2*AJ416+ChA_3*AK416),"")</f>
        <v>0.483980858639397</v>
      </c>
      <c r="AM416" s="12" t="n">
        <f aca="false">IF($J416=1,MAX(ChB_1*AI416,ChB_2*AJ416,ChB_3*AK416)+Rho*(ChB_1*AI416+ChB_2*AJ416+ChB_3*AK416),"")</f>
        <v>0.670219408446671</v>
      </c>
      <c r="AN416" s="12" t="n">
        <f aca="false">IF($J416=1,MAX(Cx_1*(Ref_P-E416)/Span_P,Cx_2*(Ref_S-F416)/Span_S,Cx_3*(Ref_B-G416)/Span_B),"")</f>
        <v>2.09439124487004</v>
      </c>
    </row>
    <row r="417" customFormat="false" ht="15" hidden="false" customHeight="false" outlineLevel="0" collapsed="false">
      <c r="A417" s="2" t="n">
        <v>411</v>
      </c>
      <c r="B417" s="15" t="n">
        <f aca="false">INT(A417/151)</f>
        <v>2</v>
      </c>
      <c r="C417" s="15" t="n">
        <f aca="false">MOD(A417,151)</f>
        <v>109</v>
      </c>
      <c r="D417" s="15" t="n">
        <f aca="false">INDEX(Grid!$J$6:$P$156,C417+1,B417+1)</f>
        <v>1</v>
      </c>
      <c r="E417" s="16" t="n">
        <f aca="false">IF(D417=1,INDEX(Grid!$B$6:$H$156,C417+1,B417+1),"")</f>
        <v>261.941931437867</v>
      </c>
      <c r="F417" s="13" t="n">
        <f aca="false">Val_pt*(Ceiling_e-E_zero)*(1-(1-Half_gap)^B417)</f>
        <v>105</v>
      </c>
      <c r="G417" s="15" t="n">
        <f aca="false">C417</f>
        <v>109</v>
      </c>
      <c r="H417" s="15" t="n">
        <f aca="false">IF(D417=1,INDEX(Grid!$R$6:$X$156,C417+1,B417+1),"")</f>
        <v>40</v>
      </c>
      <c r="I417" s="2" t="str">
        <f aca="false">IF(D417=1,INDEX(Sch_label,H417+1),"")</f>
        <v>1, 3</v>
      </c>
      <c r="J417" s="15" t="n">
        <f aca="false">IF(D417=1,INDEX(Grid!$Z$6:$AF$156,C417+1,B417+1),0)</f>
        <v>1</v>
      </c>
      <c r="K417" s="16" t="n">
        <f aca="false">IF(J417=1,E417,0)</f>
        <v>261.941931437867</v>
      </c>
      <c r="L417" s="17" t="n">
        <f aca="false">IF(D417=1,E417+W_board*F417,"")</f>
        <v>854.639557994334</v>
      </c>
      <c r="M417" s="24" t="n">
        <v>0</v>
      </c>
      <c r="Q417" s="24" t="n">
        <v>2</v>
      </c>
      <c r="R417" s="24" t="n">
        <v>100</v>
      </c>
      <c r="S417" s="25" t="n">
        <v>0.655211036533553</v>
      </c>
      <c r="T417" s="24" t="n">
        <v>2</v>
      </c>
      <c r="U417" s="24" t="n">
        <v>150</v>
      </c>
      <c r="V417" s="25" t="n">
        <v>0.251907911330806</v>
      </c>
      <c r="W417" s="24" t="n">
        <v>3</v>
      </c>
      <c r="X417" s="24" t="n">
        <v>100</v>
      </c>
      <c r="Y417" s="25" t="n">
        <v>0.0928810521356328</v>
      </c>
      <c r="Z417" s="12" t="str">
        <f aca="false">IF(AND($J417=1,$M417=1),N417*E417/Span_P+O417*F417/Span_S+P417*G417/Span_B,"")</f>
        <v/>
      </c>
      <c r="AA417" s="12" t="str">
        <f aca="false">IF(AND($J417=1,$M417=1),SUMPRODUCT(MAX($J$6:$J$1062*(N417*$K$6:$K$1062/Span_P+O417*$F$6:$F$1062/Span_S+P417*$G$6:$G$1062/Span_B)-(1-$J$6:$J$1062)*1000000000)),"")</f>
        <v/>
      </c>
      <c r="AB417" s="15" t="str">
        <f aca="false">IF(AND($J417=1,$M417=1),IF(AA417-Z417&lt;=0.000000001,1,0),"")</f>
        <v/>
      </c>
      <c r="AC417" s="13" t="n">
        <f aca="false">IF(AND($J417=1,$M417=0),IF(S417="",0,S417*INDEX(Grid!$B$6:$H$156,R417+1,Q417+1))+IF(V417="",0,V417*INDEX(Grid!$B$6:$H$156,U417+1,T417+1))+IF(Y417="",0,Y417*INDEX(Grid!$B$6:$H$156,X417+1,W417+1)),"")</f>
        <v>270.62157774876</v>
      </c>
      <c r="AD417" s="13" t="n">
        <f aca="false">IF(AND($J417=1,$M417=0),IF(S417="",0,S417*Val_pt*(Ceiling_e-E_zero)*(1-(1-Half_gap)^Q417))+IF(V417="",0,V417*Val_pt*(Ceiling_e-E_zero)*(1-(1-Half_gap)^T417))+IF(Y417="",0,Y417*Val_pt*(Ceiling_e-E_zero)*(1-(1-Half_gap)^W417)),"")</f>
        <v>106.625418412373</v>
      </c>
      <c r="AE417" s="13" t="n">
        <f aca="false">IF(AND($J417=1,$M417=0),IF(S417="",0,S417*R417)+IF(V417="",0,V417*U417)+IF(Y417="",0,Y417*X417),"")</f>
        <v>112.595395566539</v>
      </c>
      <c r="AF417" s="12" t="n">
        <f aca="false">IF(AND($J417=1,$M417=0),MIN((AC417-E417)/Span_P,(AD417-F417)/Span_S,(AE417-G417)/Span_B),"")</f>
        <v>0.0239693037769248</v>
      </c>
      <c r="AG417" s="15" t="n">
        <f aca="false">IF(AND($J417=1,$M417=0),IF(AF417&gt;0.0000001,1,0),"")</f>
        <v>1</v>
      </c>
      <c r="AH417" s="15" t="n">
        <f aca="false">IF($J417=1,IF($M417=1,AB417,AG417),"")</f>
        <v>1</v>
      </c>
      <c r="AI417" s="13" t="n">
        <f aca="false">IF($J417=1,(Ideal_P-E417)/Span_P,"")</f>
        <v>0.337548509650567</v>
      </c>
      <c r="AJ417" s="13" t="n">
        <f aca="false">IF($J417=1,(Ideal_S-F417)/Span_S,"")</f>
        <v>0.483870967741936</v>
      </c>
      <c r="AK417" s="13" t="n">
        <f aca="false">IF($J417=1,(Ideal_B-G417)/Span_B,"")</f>
        <v>0.273333333333333</v>
      </c>
      <c r="AL417" s="12" t="n">
        <f aca="false">IF($J417=1,MAX(ChA_1*AI417,ChA_2*AJ417,ChA_3*AK417)+Rho*(ChA_1*AI417+ChA_2*AJ417+ChA_3*AK417),"")</f>
        <v>0.483980443023008</v>
      </c>
      <c r="AM417" s="12" t="n">
        <f aca="false">IF($J417=1,MAX(ChB_1*AI417,ChB_2*AJ417,ChB_3*AK417)+Rho*(ChB_1*AI417+ChB_2*AJ417+ChB_3*AK417),"")</f>
        <v>0.675240249433172</v>
      </c>
      <c r="AN417" s="12" t="n">
        <f aca="false">IF($J417=1,MAX(Cx_1*(Ref_P-E417)/Span_P,Cx_2*(Ref_S-F417)/Span_S,Cx_3*(Ref_B-G417)/Span_B),"")</f>
        <v>2.09439124487004</v>
      </c>
    </row>
    <row r="418" customFormat="false" ht="15" hidden="false" customHeight="false" outlineLevel="0" collapsed="false">
      <c r="A418" s="2" t="n">
        <v>412</v>
      </c>
      <c r="B418" s="15" t="n">
        <f aca="false">INT(A418/151)</f>
        <v>2</v>
      </c>
      <c r="C418" s="15" t="n">
        <f aca="false">MOD(A418,151)</f>
        <v>110</v>
      </c>
      <c r="D418" s="15" t="n">
        <f aca="false">INDEX(Grid!$J$6:$P$156,C418+1,B418+1)</f>
        <v>1</v>
      </c>
      <c r="E418" s="16" t="n">
        <f aca="false">IF(D418=1,INDEX(Grid!$B$6:$H$156,C418+1,B418+1),"")</f>
        <v>261.032840528777</v>
      </c>
      <c r="F418" s="13" t="n">
        <f aca="false">Val_pt*(Ceiling_e-E_zero)*(1-(1-Half_gap)^B418)</f>
        <v>105</v>
      </c>
      <c r="G418" s="15" t="n">
        <f aca="false">C418</f>
        <v>110</v>
      </c>
      <c r="H418" s="15" t="n">
        <f aca="false">IF(D418=1,INDEX(Grid!$R$6:$X$156,C418+1,B418+1),"")</f>
        <v>40</v>
      </c>
      <c r="I418" s="2" t="str">
        <f aca="false">IF(D418=1,INDEX(Sch_label,H418+1),"")</f>
        <v>1, 3</v>
      </c>
      <c r="J418" s="15" t="n">
        <f aca="false">IF(D418=1,INDEX(Grid!$Z$6:$AF$156,C418+1,B418+1),0)</f>
        <v>1</v>
      </c>
      <c r="K418" s="16" t="n">
        <f aca="false">IF(J418=1,E418,0)</f>
        <v>261.032840528777</v>
      </c>
      <c r="L418" s="17" t="n">
        <f aca="false">IF(D418=1,E418+W_board*F418,"")</f>
        <v>853.730467085243</v>
      </c>
      <c r="M418" s="24" t="n">
        <v>0</v>
      </c>
      <c r="Q418" s="24" t="n">
        <v>2</v>
      </c>
      <c r="R418" s="24" t="n">
        <v>100</v>
      </c>
      <c r="S418" s="25" t="n">
        <v>0.639230279544931</v>
      </c>
      <c r="T418" s="24" t="n">
        <v>2</v>
      </c>
      <c r="U418" s="24" t="n">
        <v>150</v>
      </c>
      <c r="V418" s="25" t="n">
        <v>0.270154059834934</v>
      </c>
      <c r="W418" s="24" t="n">
        <v>3</v>
      </c>
      <c r="X418" s="24" t="n">
        <v>100</v>
      </c>
      <c r="Y418" s="25" t="n">
        <v>0.090615660620128</v>
      </c>
      <c r="Z418" s="12" t="str">
        <f aca="false">IF(AND($J418=1,$M418=1),N418*E418/Span_P+O418*F418/Span_S+P418*G418/Span_B,"")</f>
        <v/>
      </c>
      <c r="AA418" s="12" t="str">
        <f aca="false">IF(AND($J418=1,$M418=1),SUMPRODUCT(MAX($J$6:$J$1062*(N418*$K$6:$K$1062/Span_P+O418*$F$6:$F$1062/Span_S+P418*$G$6:$G$1062/Span_B)-(1-$J$6:$J$1062)*1000000000)),"")</f>
        <v/>
      </c>
      <c r="AB418" s="15" t="str">
        <f aca="false">IF(AND($J418=1,$M418=1),IF(AA418-Z418&lt;=0.000000001,1,0),"")</f>
        <v/>
      </c>
      <c r="AC418" s="13" t="n">
        <f aca="false">IF(AND($J418=1,$M418=0),IF(S418="",0,S418*INDEX(Grid!$B$6:$H$156,R418+1,Q418+1))+IF(V418="",0,V418*INDEX(Grid!$B$6:$H$156,U418+1,T418+1))+IF(Y418="",0,Y418*INDEX(Grid!$B$6:$H$156,X418+1,W418+1)),"")</f>
        <v>269.50078814916</v>
      </c>
      <c r="AD418" s="13" t="n">
        <f aca="false">IF(AND($J418=1,$M418=0),IF(S418="",0,S418*Val_pt*(Ceiling_e-E_zero)*(1-(1-Half_gap)^Q418))+IF(V418="",0,V418*Val_pt*(Ceiling_e-E_zero)*(1-(1-Half_gap)^T418))+IF(Y418="",0,Y418*Val_pt*(Ceiling_e-E_zero)*(1-(1-Half_gap)^W418)),"")</f>
        <v>106.585774060852</v>
      </c>
      <c r="AE418" s="13" t="n">
        <f aca="false">IF(AND($J418=1,$M418=0),IF(S418="",0,S418*R418)+IF(V418="",0,V418*U418)+IF(Y418="",0,Y418*X418),"")</f>
        <v>113.507702991746</v>
      </c>
      <c r="AF418" s="12" t="n">
        <f aca="false">IF(AND($J418=1,$M418=0),MIN((AC418-E418)/Span_P,(AD418-F418)/Span_S,(AE418-G418)/Span_B),"")</f>
        <v>0.023384686611636</v>
      </c>
      <c r="AG418" s="15" t="n">
        <f aca="false">IF(AND($J418=1,$M418=0),IF(AF418&gt;0.0000001,1,0),"")</f>
        <v>1</v>
      </c>
      <c r="AH418" s="15" t="n">
        <f aca="false">IF($J418=1,IF($M418=1,AB418,AG418),"")</f>
        <v>1</v>
      </c>
      <c r="AI418" s="13" t="n">
        <f aca="false">IF($J418=1,(Ideal_P-E418)/Span_P,"")</f>
        <v>0.340059012426873</v>
      </c>
      <c r="AJ418" s="13" t="n">
        <f aca="false">IF($J418=1,(Ideal_S-F418)/Span_S,"")</f>
        <v>0.483870967741936</v>
      </c>
      <c r="AK418" s="13" t="n">
        <f aca="false">IF($J418=1,(Ideal_B-G418)/Span_B,"")</f>
        <v>0.266666666666667</v>
      </c>
      <c r="AL418" s="12" t="n">
        <f aca="false">IF($J418=1,MAX(ChA_1*AI418,ChA_2*AJ418,ChA_3*AK418)+Rho*(ChA_1*AI418+ChA_2*AJ418+ChA_3*AK418),"")</f>
        <v>0.483980027406619</v>
      </c>
      <c r="AM418" s="12" t="n">
        <f aca="false">IF($J418=1,MAX(ChB_1*AI418,ChB_2*AJ418,ChB_3*AK418)+Rho*(ChB_1*AI418+ChB_2*AJ418+ChB_3*AK418),"")</f>
        <v>0.680261090419672</v>
      </c>
      <c r="AN418" s="12" t="n">
        <f aca="false">IF($J418=1,MAX(Cx_1*(Ref_P-E418)/Span_P,Cx_2*(Ref_S-F418)/Span_S,Cx_3*(Ref_B-G418)/Span_B),"")</f>
        <v>2.09439124487004</v>
      </c>
    </row>
    <row r="419" customFormat="false" ht="15" hidden="false" customHeight="false" outlineLevel="0" collapsed="false">
      <c r="A419" s="2" t="n">
        <v>413</v>
      </c>
      <c r="B419" s="15" t="n">
        <f aca="false">INT(A419/151)</f>
        <v>2</v>
      </c>
      <c r="C419" s="15" t="n">
        <f aca="false">MOD(A419,151)</f>
        <v>111</v>
      </c>
      <c r="D419" s="15" t="n">
        <f aca="false">INDEX(Grid!$J$6:$P$156,C419+1,B419+1)</f>
        <v>1</v>
      </c>
      <c r="E419" s="16" t="n">
        <f aca="false">IF(D419=1,INDEX(Grid!$B$6:$H$156,C419+1,B419+1),"")</f>
        <v>260.123749619686</v>
      </c>
      <c r="F419" s="13" t="n">
        <f aca="false">Val_pt*(Ceiling_e-E_zero)*(1-(1-Half_gap)^B419)</f>
        <v>105</v>
      </c>
      <c r="G419" s="15" t="n">
        <f aca="false">C419</f>
        <v>111</v>
      </c>
      <c r="H419" s="15" t="n">
        <f aca="false">IF(D419=1,INDEX(Grid!$R$6:$X$156,C419+1,B419+1),"")</f>
        <v>40</v>
      </c>
      <c r="I419" s="2" t="str">
        <f aca="false">IF(D419=1,INDEX(Sch_label,H419+1),"")</f>
        <v>1, 3</v>
      </c>
      <c r="J419" s="15" t="n">
        <f aca="false">IF(D419=1,INDEX(Grid!$Z$6:$AF$156,C419+1,B419+1),0)</f>
        <v>1</v>
      </c>
      <c r="K419" s="16" t="n">
        <f aca="false">IF(J419=1,E419,0)</f>
        <v>260.123749619686</v>
      </c>
      <c r="L419" s="17" t="n">
        <f aca="false">IF(D419=1,E419+W_board*F419,"")</f>
        <v>852.821376176152</v>
      </c>
      <c r="M419" s="24" t="n">
        <v>0</v>
      </c>
      <c r="Q419" s="24" t="n">
        <v>2</v>
      </c>
      <c r="R419" s="24" t="n">
        <v>100</v>
      </c>
      <c r="S419" s="25" t="n">
        <v>0.623249522556313</v>
      </c>
      <c r="T419" s="24" t="n">
        <v>2</v>
      </c>
      <c r="U419" s="24" t="n">
        <v>150</v>
      </c>
      <c r="V419" s="25" t="n">
        <v>0.288400208339063</v>
      </c>
      <c r="W419" s="24" t="n">
        <v>3</v>
      </c>
      <c r="X419" s="24" t="n">
        <v>100</v>
      </c>
      <c r="Y419" s="25" t="n">
        <v>0.0883502691046216</v>
      </c>
      <c r="Z419" s="12" t="str">
        <f aca="false">IF(AND($J419=1,$M419=1),N419*E419/Span_P+O419*F419/Span_S+P419*G419/Span_B,"")</f>
        <v/>
      </c>
      <c r="AA419" s="12" t="str">
        <f aca="false">IF(AND($J419=1,$M419=1),SUMPRODUCT(MAX($J$6:$J$1062*(N419*$K$6:$K$1062/Span_P+O419*$F$6:$F$1062/Span_S+P419*$G$6:$G$1062/Span_B)-(1-$J$6:$J$1062)*1000000000)),"")</f>
        <v/>
      </c>
      <c r="AB419" s="15" t="str">
        <f aca="false">IF(AND($J419=1,$M419=1),IF(AA419-Z419&lt;=0.000000001,1,0),"")</f>
        <v/>
      </c>
      <c r="AC419" s="13" t="n">
        <f aca="false">IF(AND($J419=1,$M419=0),IF(S419="",0,S419*INDEX(Grid!$B$6:$H$156,R419+1,Q419+1))+IF(V419="",0,V419*INDEX(Grid!$B$6:$H$156,U419+1,T419+1))+IF(Y419="",0,Y419*INDEX(Grid!$B$6:$H$156,X419+1,W419+1)),"")</f>
        <v>268.379998549561</v>
      </c>
      <c r="AD419" s="13" t="n">
        <f aca="false">IF(AND($J419=1,$M419=0),IF(S419="",0,S419*Val_pt*(Ceiling_e-E_zero)*(1-(1-Half_gap)^Q419))+IF(V419="",0,V419*Val_pt*(Ceiling_e-E_zero)*(1-(1-Half_gap)^T419))+IF(Y419="",0,Y419*Val_pt*(Ceiling_e-E_zero)*(1-(1-Half_gap)^W419)),"")</f>
        <v>106.546129709331</v>
      </c>
      <c r="AE419" s="13" t="n">
        <f aca="false">IF(AND($J419=1,$M419=0),IF(S419="",0,S419*R419)+IF(V419="",0,V419*U419)+IF(Y419="",0,Y419*X419),"")</f>
        <v>114.420010416953</v>
      </c>
      <c r="AF419" s="12" t="n">
        <f aca="false">IF(AND($J419=1,$M419=0),MIN((AC419-E419)/Span_P,(AD419-F419)/Span_S,(AE419-G419)/Span_B),"")</f>
        <v>0.0228000694463509</v>
      </c>
      <c r="AG419" s="15" t="n">
        <f aca="false">IF(AND($J419=1,$M419=0),IF(AF419&gt;0.0000001,1,0),"")</f>
        <v>1</v>
      </c>
      <c r="AH419" s="15" t="n">
        <f aca="false">IF($J419=1,IF($M419=1,AB419,AG419),"")</f>
        <v>1</v>
      </c>
      <c r="AI419" s="13" t="n">
        <f aca="false">IF($J419=1,(Ideal_P-E419)/Span_P,"")</f>
        <v>0.342569515203178</v>
      </c>
      <c r="AJ419" s="13" t="n">
        <f aca="false">IF($J419=1,(Ideal_S-F419)/Span_S,"")</f>
        <v>0.483870967741936</v>
      </c>
      <c r="AK419" s="13" t="n">
        <f aca="false">IF($J419=1,(Ideal_B-G419)/Span_B,"")</f>
        <v>0.26</v>
      </c>
      <c r="AL419" s="12" t="n">
        <f aca="false">IF($J419=1,MAX(ChA_1*AI419,ChA_2*AJ419,ChA_3*AK419)+Rho*(ChA_1*AI419+ChA_2*AJ419+ChA_3*AK419),"")</f>
        <v>0.48397961179023</v>
      </c>
      <c r="AM419" s="12" t="n">
        <f aca="false">IF($J419=1,MAX(ChB_1*AI419,ChB_2*AJ419,ChB_3*AK419)+Rho*(ChB_1*AI419+ChB_2*AJ419+ChB_3*AK419),"")</f>
        <v>0.685281931406172</v>
      </c>
      <c r="AN419" s="12" t="n">
        <f aca="false">IF($J419=1,MAX(Cx_1*(Ref_P-E419)/Span_P,Cx_2*(Ref_S-F419)/Span_S,Cx_3*(Ref_B-G419)/Span_B),"")</f>
        <v>2.09439124487004</v>
      </c>
    </row>
    <row r="420" customFormat="false" ht="15" hidden="false" customHeight="false" outlineLevel="0" collapsed="false">
      <c r="A420" s="2" t="n">
        <v>414</v>
      </c>
      <c r="B420" s="15" t="n">
        <f aca="false">INT(A420/151)</f>
        <v>2</v>
      </c>
      <c r="C420" s="15" t="n">
        <f aca="false">MOD(A420,151)</f>
        <v>112</v>
      </c>
      <c r="D420" s="15" t="n">
        <f aca="false">INDEX(Grid!$J$6:$P$156,C420+1,B420+1)</f>
        <v>1</v>
      </c>
      <c r="E420" s="16" t="n">
        <f aca="false">IF(D420=1,INDEX(Grid!$B$6:$H$156,C420+1,B420+1),"")</f>
        <v>259.214658710595</v>
      </c>
      <c r="F420" s="13" t="n">
        <f aca="false">Val_pt*(Ceiling_e-E_zero)*(1-(1-Half_gap)^B420)</f>
        <v>105</v>
      </c>
      <c r="G420" s="15" t="n">
        <f aca="false">C420</f>
        <v>112</v>
      </c>
      <c r="H420" s="15" t="n">
        <f aca="false">IF(D420=1,INDEX(Grid!$R$6:$X$156,C420+1,B420+1),"")</f>
        <v>40</v>
      </c>
      <c r="I420" s="2" t="str">
        <f aca="false">IF(D420=1,INDEX(Sch_label,H420+1),"")</f>
        <v>1, 3</v>
      </c>
      <c r="J420" s="15" t="n">
        <f aca="false">IF(D420=1,INDEX(Grid!$Z$6:$AF$156,C420+1,B420+1),0)</f>
        <v>1</v>
      </c>
      <c r="K420" s="16" t="n">
        <f aca="false">IF(J420=1,E420,0)</f>
        <v>259.214658710595</v>
      </c>
      <c r="L420" s="17" t="n">
        <f aca="false">IF(D420=1,E420+W_board*F420,"")</f>
        <v>851.912285267061</v>
      </c>
      <c r="M420" s="24" t="n">
        <v>0</v>
      </c>
      <c r="Q420" s="24" t="n">
        <v>2</v>
      </c>
      <c r="R420" s="24" t="n">
        <v>100</v>
      </c>
      <c r="S420" s="25" t="n">
        <v>0.607268765567685</v>
      </c>
      <c r="T420" s="24" t="n">
        <v>2</v>
      </c>
      <c r="U420" s="24" t="n">
        <v>150</v>
      </c>
      <c r="V420" s="25" t="n">
        <v>0.306646356843192</v>
      </c>
      <c r="W420" s="24" t="n">
        <v>3</v>
      </c>
      <c r="X420" s="24" t="n">
        <v>100</v>
      </c>
      <c r="Y420" s="25" t="n">
        <v>0.0860848775891234</v>
      </c>
      <c r="Z420" s="12" t="str">
        <f aca="false">IF(AND($J420=1,$M420=1),N420*E420/Span_P+O420*F420/Span_S+P420*G420/Span_B,"")</f>
        <v/>
      </c>
      <c r="AA420" s="12" t="str">
        <f aca="false">IF(AND($J420=1,$M420=1),SUMPRODUCT(MAX($J$6:$J$1062*(N420*$K$6:$K$1062/Span_P+O420*$F$6:$F$1062/Span_S+P420*$G$6:$G$1062/Span_B)-(1-$J$6:$J$1062)*1000000000)),"")</f>
        <v/>
      </c>
      <c r="AB420" s="15" t="str">
        <f aca="false">IF(AND($J420=1,$M420=1),IF(AA420-Z420&lt;=0.000000001,1,0),"")</f>
        <v/>
      </c>
      <c r="AC420" s="13" t="n">
        <f aca="false">IF(AND($J420=1,$M420=0),IF(S420="",0,S420*INDEX(Grid!$B$6:$H$156,R420+1,Q420+1))+IF(V420="",0,V420*INDEX(Grid!$B$6:$H$156,U420+1,T420+1))+IF(Y420="",0,Y420*INDEX(Grid!$B$6:$H$156,X420+1,W420+1)),"")</f>
        <v>267.25920894996</v>
      </c>
      <c r="AD420" s="13" t="n">
        <f aca="false">IF(AND($J420=1,$M420=0),IF(S420="",0,S420*Val_pt*(Ceiling_e-E_zero)*(1-(1-Half_gap)^Q420))+IF(V420="",0,V420*Val_pt*(Ceiling_e-E_zero)*(1-(1-Half_gap)^T420))+IF(Y420="",0,Y420*Val_pt*(Ceiling_e-E_zero)*(1-(1-Half_gap)^W420)),"")</f>
        <v>106.50648535781</v>
      </c>
      <c r="AE420" s="13" t="n">
        <f aca="false">IF(AND($J420=1,$M420=0),IF(S420="",0,S420*R420)+IF(V420="",0,V420*U420)+IF(Y420="",0,Y420*X420),"")</f>
        <v>115.33231784216</v>
      </c>
      <c r="AF420" s="12" t="n">
        <f aca="false">IF(AND($J420=1,$M420=0),MIN((AC420-E420)/Span_P,(AD420-F420)/Span_S,(AE420-G420)/Span_B),"")</f>
        <v>0.0222154522810642</v>
      </c>
      <c r="AG420" s="15" t="n">
        <f aca="false">IF(AND($J420=1,$M420=0),IF(AF420&gt;0.0000001,1,0),"")</f>
        <v>1</v>
      </c>
      <c r="AH420" s="15" t="n">
        <f aca="false">IF($J420=1,IF($M420=1,AB420,AG420),"")</f>
        <v>1</v>
      </c>
      <c r="AI420" s="13" t="n">
        <f aca="false">IF($J420=1,(Ideal_P-E420)/Span_P,"")</f>
        <v>0.345080017979484</v>
      </c>
      <c r="AJ420" s="13" t="n">
        <f aca="false">IF($J420=1,(Ideal_S-F420)/Span_S,"")</f>
        <v>0.483870967741936</v>
      </c>
      <c r="AK420" s="13" t="n">
        <f aca="false">IF($J420=1,(Ideal_B-G420)/Span_B,"")</f>
        <v>0.253333333333333</v>
      </c>
      <c r="AL420" s="12" t="n">
        <f aca="false">IF($J420=1,MAX(ChA_1*AI420,ChA_2*AJ420,ChA_3*AK420)+Rho*(ChA_1*AI420+ChA_2*AJ420+ChA_3*AK420),"")</f>
        <v>0.483979196173841</v>
      </c>
      <c r="AM420" s="12" t="n">
        <f aca="false">IF($J420=1,MAX(ChB_1*AI420,ChB_2*AJ420,ChB_3*AK420)+Rho*(ChB_1*AI420+ChB_2*AJ420+ChB_3*AK420),"")</f>
        <v>0.690302772392672</v>
      </c>
      <c r="AN420" s="12" t="n">
        <f aca="false">IF($J420=1,MAX(Cx_1*(Ref_P-E420)/Span_P,Cx_2*(Ref_S-F420)/Span_S,Cx_3*(Ref_B-G420)/Span_B),"")</f>
        <v>2.09439124487004</v>
      </c>
    </row>
    <row r="421" customFormat="false" ht="15" hidden="false" customHeight="false" outlineLevel="0" collapsed="false">
      <c r="A421" s="2" t="n">
        <v>415</v>
      </c>
      <c r="B421" s="15" t="n">
        <f aca="false">INT(A421/151)</f>
        <v>2</v>
      </c>
      <c r="C421" s="15" t="n">
        <f aca="false">MOD(A421,151)</f>
        <v>113</v>
      </c>
      <c r="D421" s="15" t="n">
        <f aca="false">INDEX(Grid!$J$6:$P$156,C421+1,B421+1)</f>
        <v>1</v>
      </c>
      <c r="E421" s="16" t="n">
        <f aca="false">IF(D421=1,INDEX(Grid!$B$6:$H$156,C421+1,B421+1),"")</f>
        <v>258.305567801504</v>
      </c>
      <c r="F421" s="13" t="n">
        <f aca="false">Val_pt*(Ceiling_e-E_zero)*(1-(1-Half_gap)^B421)</f>
        <v>105</v>
      </c>
      <c r="G421" s="15" t="n">
        <f aca="false">C421</f>
        <v>113</v>
      </c>
      <c r="H421" s="15" t="n">
        <f aca="false">IF(D421=1,INDEX(Grid!$R$6:$X$156,C421+1,B421+1),"")</f>
        <v>40</v>
      </c>
      <c r="I421" s="2" t="str">
        <f aca="false">IF(D421=1,INDEX(Sch_label,H421+1),"")</f>
        <v>1, 3</v>
      </c>
      <c r="J421" s="15" t="n">
        <f aca="false">IF(D421=1,INDEX(Grid!$Z$6:$AF$156,C421+1,B421+1),0)</f>
        <v>1</v>
      </c>
      <c r="K421" s="16" t="n">
        <f aca="false">IF(J421=1,E421,0)</f>
        <v>258.305567801504</v>
      </c>
      <c r="L421" s="17" t="n">
        <f aca="false">IF(D421=1,E421+W_board*F421,"")</f>
        <v>851.00319435797</v>
      </c>
      <c r="M421" s="24" t="n">
        <v>0</v>
      </c>
      <c r="Q421" s="24" t="n">
        <v>2</v>
      </c>
      <c r="R421" s="24" t="n">
        <v>100</v>
      </c>
      <c r="S421" s="25" t="n">
        <v>0.591288008579062</v>
      </c>
      <c r="T421" s="24" t="n">
        <v>2</v>
      </c>
      <c r="U421" s="24" t="n">
        <v>150</v>
      </c>
      <c r="V421" s="25" t="n">
        <v>0.324892505347327</v>
      </c>
      <c r="W421" s="24" t="n">
        <v>3</v>
      </c>
      <c r="X421" s="24" t="n">
        <v>100</v>
      </c>
      <c r="Y421" s="25" t="n">
        <v>0.0838194860736207</v>
      </c>
      <c r="Z421" s="12" t="str">
        <f aca="false">IF(AND($J421=1,$M421=1),N421*E421/Span_P+O421*F421/Span_S+P421*G421/Span_B,"")</f>
        <v/>
      </c>
      <c r="AA421" s="12" t="str">
        <f aca="false">IF(AND($J421=1,$M421=1),SUMPRODUCT(MAX($J$6:$J$1062*(N421*$K$6:$K$1062/Span_P+O421*$F$6:$F$1062/Span_S+P421*$G$6:$G$1062/Span_B)-(1-$J$6:$J$1062)*1000000000)),"")</f>
        <v/>
      </c>
      <c r="AB421" s="15" t="str">
        <f aca="false">IF(AND($J421=1,$M421=1),IF(AA421-Z421&lt;=0.000000001,1,0),"")</f>
        <v/>
      </c>
      <c r="AC421" s="13" t="n">
        <f aca="false">IF(AND($J421=1,$M421=0),IF(S421="",0,S421*INDEX(Grid!$B$6:$H$156,R421+1,Q421+1))+IF(V421="",0,V421*INDEX(Grid!$B$6:$H$156,U421+1,T421+1))+IF(Y421="",0,Y421*INDEX(Grid!$B$6:$H$156,X421+1,W421+1)),"")</f>
        <v>266.138419350362</v>
      </c>
      <c r="AD421" s="13" t="n">
        <f aca="false">IF(AND($J421=1,$M421=0),IF(S421="",0,S421*Val_pt*(Ceiling_e-E_zero)*(1-(1-Half_gap)^Q421))+IF(V421="",0,V421*Val_pt*(Ceiling_e-E_zero)*(1-(1-Half_gap)^T421))+IF(Y421="",0,Y421*Val_pt*(Ceiling_e-E_zero)*(1-(1-Half_gap)^W421)),"")</f>
        <v>106.466841006289</v>
      </c>
      <c r="AE421" s="13" t="n">
        <f aca="false">IF(AND($J421=1,$M421=0),IF(S421="",0,S421*R421)+IF(V421="",0,V421*U421)+IF(Y421="",0,Y421*X421),"")</f>
        <v>116.244625267367</v>
      </c>
      <c r="AF421" s="12" t="n">
        <f aca="false">IF(AND($J421=1,$M421=0),MIN((AC421-E421)/Span_P,(AD421-F421)/Span_S,(AE421-G421)/Span_B),"")</f>
        <v>0.0216308351157787</v>
      </c>
      <c r="AG421" s="15" t="n">
        <f aca="false">IF(AND($J421=1,$M421=0),IF(AF421&gt;0.0000001,1,0),"")</f>
        <v>1</v>
      </c>
      <c r="AH421" s="15" t="n">
        <f aca="false">IF($J421=1,IF($M421=1,AB421,AG421),"")</f>
        <v>1</v>
      </c>
      <c r="AI421" s="13" t="n">
        <f aca="false">IF($J421=1,(Ideal_P-E421)/Span_P,"")</f>
        <v>0.34759052075579</v>
      </c>
      <c r="AJ421" s="13" t="n">
        <f aca="false">IF($J421=1,(Ideal_S-F421)/Span_S,"")</f>
        <v>0.483870967741936</v>
      </c>
      <c r="AK421" s="13" t="n">
        <f aca="false">IF($J421=1,(Ideal_B-G421)/Span_B,"")</f>
        <v>0.246666666666667</v>
      </c>
      <c r="AL421" s="12" t="n">
        <f aca="false">IF($J421=1,MAX(ChA_1*AI421,ChA_2*AJ421,ChA_3*AK421)+Rho*(ChA_1*AI421+ChA_2*AJ421+ChA_3*AK421),"")</f>
        <v>0.483978780557452</v>
      </c>
      <c r="AM421" s="12" t="n">
        <f aca="false">IF($J421=1,MAX(ChB_1*AI421,ChB_2*AJ421,ChB_3*AK421)+Rho*(ChB_1*AI421+ChB_2*AJ421+ChB_3*AK421),"")</f>
        <v>0.695323613379172</v>
      </c>
      <c r="AN421" s="12" t="n">
        <f aca="false">IF($J421=1,MAX(Cx_1*(Ref_P-E421)/Span_P,Cx_2*(Ref_S-F421)/Span_S,Cx_3*(Ref_B-G421)/Span_B),"")</f>
        <v>2.09439124487004</v>
      </c>
    </row>
    <row r="422" customFormat="false" ht="15" hidden="false" customHeight="false" outlineLevel="0" collapsed="false">
      <c r="A422" s="2" t="n">
        <v>416</v>
      </c>
      <c r="B422" s="15" t="n">
        <f aca="false">INT(A422/151)</f>
        <v>2</v>
      </c>
      <c r="C422" s="15" t="n">
        <f aca="false">MOD(A422,151)</f>
        <v>114</v>
      </c>
      <c r="D422" s="15" t="n">
        <f aca="false">INDEX(Grid!$J$6:$P$156,C422+1,B422+1)</f>
        <v>1</v>
      </c>
      <c r="E422" s="16" t="n">
        <f aca="false">IF(D422=1,INDEX(Grid!$B$6:$H$156,C422+1,B422+1),"")</f>
        <v>257.396476892413</v>
      </c>
      <c r="F422" s="13" t="n">
        <f aca="false">Val_pt*(Ceiling_e-E_zero)*(1-(1-Half_gap)^B422)</f>
        <v>105</v>
      </c>
      <c r="G422" s="15" t="n">
        <f aca="false">C422</f>
        <v>114</v>
      </c>
      <c r="H422" s="15" t="n">
        <f aca="false">IF(D422=1,INDEX(Grid!$R$6:$X$156,C422+1,B422+1),"")</f>
        <v>40</v>
      </c>
      <c r="I422" s="2" t="str">
        <f aca="false">IF(D422=1,INDEX(Sch_label,H422+1),"")</f>
        <v>1, 3</v>
      </c>
      <c r="J422" s="15" t="n">
        <f aca="false">IF(D422=1,INDEX(Grid!$Z$6:$AF$156,C422+1,B422+1),0)</f>
        <v>1</v>
      </c>
      <c r="K422" s="16" t="n">
        <f aca="false">IF(J422=1,E422,0)</f>
        <v>257.396476892413</v>
      </c>
      <c r="L422" s="17" t="n">
        <f aca="false">IF(D422=1,E422+W_board*F422,"")</f>
        <v>850.094103448879</v>
      </c>
      <c r="M422" s="24" t="n">
        <v>0</v>
      </c>
      <c r="Q422" s="24" t="n">
        <v>2</v>
      </c>
      <c r="R422" s="24" t="n">
        <v>100</v>
      </c>
      <c r="S422" s="25" t="n">
        <v>0.575307251590436</v>
      </c>
      <c r="T422" s="24" t="n">
        <v>2</v>
      </c>
      <c r="U422" s="24" t="n">
        <v>150</v>
      </c>
      <c r="V422" s="25" t="n">
        <v>0.343138653851437</v>
      </c>
      <c r="W422" s="24" t="n">
        <v>3</v>
      </c>
      <c r="X422" s="24" t="n">
        <v>100</v>
      </c>
      <c r="Y422" s="25" t="n">
        <v>0.0815540945581206</v>
      </c>
      <c r="Z422" s="12" t="str">
        <f aca="false">IF(AND($J422=1,$M422=1),N422*E422/Span_P+O422*F422/Span_S+P422*G422/Span_B,"")</f>
        <v/>
      </c>
      <c r="AA422" s="12" t="str">
        <f aca="false">IF(AND($J422=1,$M422=1),SUMPRODUCT(MAX($J$6:$J$1062*(N422*$K$6:$K$1062/Span_P+O422*$F$6:$F$1062/Span_S+P422*$G$6:$G$1062/Span_B)-(1-$J$6:$J$1062)*1000000000)),"")</f>
        <v/>
      </c>
      <c r="AB422" s="15" t="str">
        <f aca="false">IF(AND($J422=1,$M422=1),IF(AA422-Z422&lt;=0.000000001,1,0),"")</f>
        <v/>
      </c>
      <c r="AC422" s="13" t="n">
        <f aca="false">IF(AND($J422=1,$M422=0),IF(S422="",0,S422*INDEX(Grid!$B$6:$H$156,R422+1,Q422+1))+IF(V422="",0,V422*INDEX(Grid!$B$6:$H$156,U422+1,T422+1))+IF(Y422="",0,Y422*INDEX(Grid!$B$6:$H$156,X422+1,W422+1)),"")</f>
        <v>265.017629750757</v>
      </c>
      <c r="AD422" s="13" t="n">
        <f aca="false">IF(AND($J422=1,$M422=0),IF(S422="",0,S422*Val_pt*(Ceiling_e-E_zero)*(1-(1-Half_gap)^Q422))+IF(V422="",0,V422*Val_pt*(Ceiling_e-E_zero)*(1-(1-Half_gap)^T422))+IF(Y422="",0,Y422*Val_pt*(Ceiling_e-E_zero)*(1-(1-Half_gap)^W422)),"")</f>
        <v>106.427196654766</v>
      </c>
      <c r="AE422" s="13" t="n">
        <f aca="false">IF(AND($J422=1,$M422=0),IF(S422="",0,S422*R422)+IF(V422="",0,V422*U422)+IF(Y422="",0,Y422*X422),"")</f>
        <v>117.156932692571</v>
      </c>
      <c r="AF422" s="12" t="n">
        <f aca="false">IF(AND($J422=1,$M422=0),MIN((AC422-E422)/Span_P,(AD422-F422)/Span_S,(AE422-G422)/Span_B),"")</f>
        <v>0.0210462179504723</v>
      </c>
      <c r="AG422" s="15" t="n">
        <f aca="false">IF(AND($J422=1,$M422=0),IF(AF422&gt;0.0000001,1,0),"")</f>
        <v>1</v>
      </c>
      <c r="AH422" s="15" t="n">
        <f aca="false">IF($J422=1,IF($M422=1,AB422,AG422),"")</f>
        <v>1</v>
      </c>
      <c r="AI422" s="13" t="n">
        <f aca="false">IF($J422=1,(Ideal_P-E422)/Span_P,"")</f>
        <v>0.350101023532096</v>
      </c>
      <c r="AJ422" s="13" t="n">
        <f aca="false">IF($J422=1,(Ideal_S-F422)/Span_S,"")</f>
        <v>0.483870967741936</v>
      </c>
      <c r="AK422" s="13" t="n">
        <f aca="false">IF($J422=1,(Ideal_B-G422)/Span_B,"")</f>
        <v>0.24</v>
      </c>
      <c r="AL422" s="12" t="n">
        <f aca="false">IF($J422=1,MAX(ChA_1*AI422,ChA_2*AJ422,ChA_3*AK422)+Rho*(ChA_1*AI422+ChA_2*AJ422+ChA_3*AK422),"")</f>
        <v>0.483978364941063</v>
      </c>
      <c r="AM422" s="12" t="n">
        <f aca="false">IF($J422=1,MAX(ChB_1*AI422,ChB_2*AJ422,ChB_3*AK422)+Rho*(ChB_1*AI422+ChB_2*AJ422+ChB_3*AK422),"")</f>
        <v>0.700344454365672</v>
      </c>
      <c r="AN422" s="12" t="n">
        <f aca="false">IF($J422=1,MAX(Cx_1*(Ref_P-E422)/Span_P,Cx_2*(Ref_S-F422)/Span_S,Cx_3*(Ref_B-G422)/Span_B),"")</f>
        <v>2.09439124487004</v>
      </c>
    </row>
    <row r="423" customFormat="false" ht="15" hidden="false" customHeight="false" outlineLevel="0" collapsed="false">
      <c r="A423" s="2" t="n">
        <v>417</v>
      </c>
      <c r="B423" s="15" t="n">
        <f aca="false">INT(A423/151)</f>
        <v>2</v>
      </c>
      <c r="C423" s="15" t="n">
        <f aca="false">MOD(A423,151)</f>
        <v>115</v>
      </c>
      <c r="D423" s="15" t="n">
        <f aca="false">INDEX(Grid!$J$6:$P$156,C423+1,B423+1)</f>
        <v>1</v>
      </c>
      <c r="E423" s="16" t="n">
        <f aca="false">IF(D423=1,INDEX(Grid!$B$6:$H$156,C423+1,B423+1),"")</f>
        <v>256.487385983322</v>
      </c>
      <c r="F423" s="13" t="n">
        <f aca="false">Val_pt*(Ceiling_e-E_zero)*(1-(1-Half_gap)^B423)</f>
        <v>105</v>
      </c>
      <c r="G423" s="15" t="n">
        <f aca="false">C423</f>
        <v>115</v>
      </c>
      <c r="H423" s="15" t="n">
        <f aca="false">IF(D423=1,INDEX(Grid!$R$6:$X$156,C423+1,B423+1),"")</f>
        <v>40</v>
      </c>
      <c r="I423" s="2" t="str">
        <f aca="false">IF(D423=1,INDEX(Sch_label,H423+1),"")</f>
        <v>1, 3</v>
      </c>
      <c r="J423" s="15" t="n">
        <f aca="false">IF(D423=1,INDEX(Grid!$Z$6:$AF$156,C423+1,B423+1),0)</f>
        <v>1</v>
      </c>
      <c r="K423" s="16" t="n">
        <f aca="false">IF(J423=1,E423,0)</f>
        <v>256.487385983322</v>
      </c>
      <c r="L423" s="17" t="n">
        <f aca="false">IF(D423=1,E423+W_board*F423,"")</f>
        <v>849.185012539788</v>
      </c>
      <c r="M423" s="24" t="n">
        <v>0</v>
      </c>
      <c r="Q423" s="24" t="n">
        <v>2</v>
      </c>
      <c r="R423" s="24" t="n">
        <v>100</v>
      </c>
      <c r="S423" s="25" t="n">
        <v>0.559326494601815</v>
      </c>
      <c r="T423" s="24" t="n">
        <v>2</v>
      </c>
      <c r="U423" s="24" t="n">
        <v>150</v>
      </c>
      <c r="V423" s="25" t="n">
        <v>0.361384802355569</v>
      </c>
      <c r="W423" s="24" t="n">
        <v>3</v>
      </c>
      <c r="X423" s="24" t="n">
        <v>100</v>
      </c>
      <c r="Y423" s="25" t="n">
        <v>0.079288703042613</v>
      </c>
      <c r="Z423" s="12" t="str">
        <f aca="false">IF(AND($J423=1,$M423=1),N423*E423/Span_P+O423*F423/Span_S+P423*G423/Span_B,"")</f>
        <v/>
      </c>
      <c r="AA423" s="12" t="str">
        <f aca="false">IF(AND($J423=1,$M423=1),SUMPRODUCT(MAX($J$6:$J$1062*(N423*$K$6:$K$1062/Span_P+O423*$F$6:$F$1062/Span_S+P423*$G$6:$G$1062/Span_B)-(1-$J$6:$J$1062)*1000000000)),"")</f>
        <v/>
      </c>
      <c r="AB423" s="15" t="str">
        <f aca="false">IF(AND($J423=1,$M423=1),IF(AA423-Z423&lt;=0.000000001,1,0),"")</f>
        <v/>
      </c>
      <c r="AC423" s="13" t="n">
        <f aca="false">IF(AND($J423=1,$M423=0),IF(S423="",0,S423*INDEX(Grid!$B$6:$H$156,R423+1,Q423+1))+IF(V423="",0,V423*INDEX(Grid!$B$6:$H$156,U423+1,T423+1))+IF(Y423="",0,Y423*INDEX(Grid!$B$6:$H$156,X423+1,W423+1)),"")</f>
        <v>263.896840151158</v>
      </c>
      <c r="AD423" s="13" t="n">
        <f aca="false">IF(AND($J423=1,$M423=0),IF(S423="",0,S423*Val_pt*(Ceiling_e-E_zero)*(1-(1-Half_gap)^Q423))+IF(V423="",0,V423*Val_pt*(Ceiling_e-E_zero)*(1-(1-Half_gap)^T423))+IF(Y423="",0,Y423*Val_pt*(Ceiling_e-E_zero)*(1-(1-Half_gap)^W423)),"")</f>
        <v>106.387552303245</v>
      </c>
      <c r="AE423" s="13" t="n">
        <f aca="false">IF(AND($J423=1,$M423=0),IF(S423="",0,S423*R423)+IF(V423="",0,V423*U423)+IF(Y423="",0,Y423*X423),"")</f>
        <v>118.069240117778</v>
      </c>
      <c r="AF423" s="12" t="n">
        <f aca="false">IF(AND($J423=1,$M423=0),MIN((AC423-E423)/Span_P,(AD423-F423)/Span_S,(AE423-G423)/Span_B),"")</f>
        <v>0.0204616007851858</v>
      </c>
      <c r="AG423" s="15" t="n">
        <f aca="false">IF(AND($J423=1,$M423=0),IF(AF423&gt;0.0000001,1,0),"")</f>
        <v>1</v>
      </c>
      <c r="AH423" s="15" t="n">
        <f aca="false">IF($J423=1,IF($M423=1,AB423,AG423),"")</f>
        <v>1</v>
      </c>
      <c r="AI423" s="13" t="n">
        <f aca="false">IF($J423=1,(Ideal_P-E423)/Span_P,"")</f>
        <v>0.352611526308402</v>
      </c>
      <c r="AJ423" s="13" t="n">
        <f aca="false">IF($J423=1,(Ideal_S-F423)/Span_S,"")</f>
        <v>0.483870967741936</v>
      </c>
      <c r="AK423" s="13" t="n">
        <f aca="false">IF($J423=1,(Ideal_B-G423)/Span_B,"")</f>
        <v>0.233333333333333</v>
      </c>
      <c r="AL423" s="12" t="n">
        <f aca="false">IF($J423=1,MAX(ChA_1*AI423,ChA_2*AJ423,ChA_3*AK423)+Rho*(ChA_1*AI423+ChA_2*AJ423+ChA_3*AK423),"")</f>
        <v>0.483977949324674</v>
      </c>
      <c r="AM423" s="12" t="n">
        <f aca="false">IF($J423=1,MAX(ChB_1*AI423,ChB_2*AJ423,ChB_3*AK423)+Rho*(ChB_1*AI423+ChB_2*AJ423+ChB_3*AK423),"")</f>
        <v>0.705365295352172</v>
      </c>
      <c r="AN423" s="12" t="n">
        <f aca="false">IF($J423=1,MAX(Cx_1*(Ref_P-E423)/Span_P,Cx_2*(Ref_S-F423)/Span_S,Cx_3*(Ref_B-G423)/Span_B),"")</f>
        <v>2.09439124487004</v>
      </c>
    </row>
    <row r="424" customFormat="false" ht="15" hidden="false" customHeight="false" outlineLevel="0" collapsed="false">
      <c r="A424" s="2" t="n">
        <v>418</v>
      </c>
      <c r="B424" s="15" t="n">
        <f aca="false">INT(A424/151)</f>
        <v>2</v>
      </c>
      <c r="C424" s="15" t="n">
        <f aca="false">MOD(A424,151)</f>
        <v>116</v>
      </c>
      <c r="D424" s="15" t="n">
        <f aca="false">INDEX(Grid!$J$6:$P$156,C424+1,B424+1)</f>
        <v>1</v>
      </c>
      <c r="E424" s="16" t="n">
        <f aca="false">IF(D424=1,INDEX(Grid!$B$6:$H$156,C424+1,B424+1),"")</f>
        <v>255.578295074231</v>
      </c>
      <c r="F424" s="13" t="n">
        <f aca="false">Val_pt*(Ceiling_e-E_zero)*(1-(1-Half_gap)^B424)</f>
        <v>105</v>
      </c>
      <c r="G424" s="15" t="n">
        <f aca="false">C424</f>
        <v>116</v>
      </c>
      <c r="H424" s="15" t="n">
        <f aca="false">IF(D424=1,INDEX(Grid!$R$6:$X$156,C424+1,B424+1),"")</f>
        <v>40</v>
      </c>
      <c r="I424" s="2" t="str">
        <f aca="false">IF(D424=1,INDEX(Sch_label,H424+1),"")</f>
        <v>1, 3</v>
      </c>
      <c r="J424" s="15" t="n">
        <f aca="false">IF(D424=1,INDEX(Grid!$Z$6:$AF$156,C424+1,B424+1),0)</f>
        <v>1</v>
      </c>
      <c r="K424" s="16" t="n">
        <f aca="false">IF(J424=1,E424,0)</f>
        <v>255.578295074231</v>
      </c>
      <c r="L424" s="17" t="n">
        <f aca="false">IF(D424=1,E424+W_board*F424,"")</f>
        <v>848.275921630697</v>
      </c>
      <c r="M424" s="24" t="n">
        <v>0</v>
      </c>
      <c r="Q424" s="24" t="n">
        <v>2</v>
      </c>
      <c r="R424" s="24" t="n">
        <v>100</v>
      </c>
      <c r="S424" s="25" t="n">
        <v>0.543345737613191</v>
      </c>
      <c r="T424" s="24" t="n">
        <v>2</v>
      </c>
      <c r="U424" s="24" t="n">
        <v>150</v>
      </c>
      <c r="V424" s="25" t="n">
        <v>0.379630950859703</v>
      </c>
      <c r="W424" s="24" t="n">
        <v>3</v>
      </c>
      <c r="X424" s="24" t="n">
        <v>100</v>
      </c>
      <c r="Y424" s="25" t="n">
        <v>0.0770233115271119</v>
      </c>
      <c r="Z424" s="12" t="str">
        <f aca="false">IF(AND($J424=1,$M424=1),N424*E424/Span_P+O424*F424/Span_S+P424*G424/Span_B,"")</f>
        <v/>
      </c>
      <c r="AA424" s="12" t="str">
        <f aca="false">IF(AND($J424=1,$M424=1),SUMPRODUCT(MAX($J$6:$J$1062*(N424*$K$6:$K$1062/Span_P+O424*$F$6:$F$1062/Span_S+P424*$G$6:$G$1062/Span_B)-(1-$J$6:$J$1062)*1000000000)),"")</f>
        <v/>
      </c>
      <c r="AB424" s="15" t="str">
        <f aca="false">IF(AND($J424=1,$M424=1),IF(AA424-Z424&lt;=0.000000001,1,0),"")</f>
        <v/>
      </c>
      <c r="AC424" s="13" t="n">
        <f aca="false">IF(AND($J424=1,$M424=0),IF(S424="",0,S424*INDEX(Grid!$B$6:$H$156,R424+1,Q424+1))+IF(V424="",0,V424*INDEX(Grid!$B$6:$H$156,U424+1,T424+1))+IF(Y424="",0,Y424*INDEX(Grid!$B$6:$H$156,X424+1,W424+1)),"")</f>
        <v>262.776050551559</v>
      </c>
      <c r="AD424" s="13" t="n">
        <f aca="false">IF(AND($J424=1,$M424=0),IF(S424="",0,S424*Val_pt*(Ceiling_e-E_zero)*(1-(1-Half_gap)^Q424))+IF(V424="",0,V424*Val_pt*(Ceiling_e-E_zero)*(1-(1-Half_gap)^T424))+IF(Y424="",0,Y424*Val_pt*(Ceiling_e-E_zero)*(1-(1-Half_gap)^W424)),"")</f>
        <v>106.347907951725</v>
      </c>
      <c r="AE424" s="13" t="n">
        <f aca="false">IF(AND($J424=1,$M424=0),IF(S424="",0,S424*R424)+IF(V424="",0,V424*U424)+IF(Y424="",0,Y424*X424),"")</f>
        <v>118.981547542986</v>
      </c>
      <c r="AF424" s="12" t="n">
        <f aca="false">IF(AND($J424=1,$M424=0),MIN((AC424-E424)/Span_P,(AD424-F424)/Span_S,(AE424-G424)/Span_B),"")</f>
        <v>0.0198769836199028</v>
      </c>
      <c r="AG424" s="15" t="n">
        <f aca="false">IF(AND($J424=1,$M424=0),IF(AF424&gt;0.0000001,1,0),"")</f>
        <v>1</v>
      </c>
      <c r="AH424" s="15" t="n">
        <f aca="false">IF($J424=1,IF($M424=1,AB424,AG424),"")</f>
        <v>1</v>
      </c>
      <c r="AI424" s="13" t="n">
        <f aca="false">IF($J424=1,(Ideal_P-E424)/Span_P,"")</f>
        <v>0.355122029084707</v>
      </c>
      <c r="AJ424" s="13" t="n">
        <f aca="false">IF($J424=1,(Ideal_S-F424)/Span_S,"")</f>
        <v>0.483870967741936</v>
      </c>
      <c r="AK424" s="13" t="n">
        <f aca="false">IF($J424=1,(Ideal_B-G424)/Span_B,"")</f>
        <v>0.226666666666667</v>
      </c>
      <c r="AL424" s="12" t="n">
        <f aca="false">IF($J424=1,MAX(ChA_1*AI424,ChA_2*AJ424,ChA_3*AK424)+Rho*(ChA_1*AI424+ChA_2*AJ424+ChA_3*AK424),"")</f>
        <v>0.483977533708285</v>
      </c>
      <c r="AM424" s="12" t="n">
        <f aca="false">IF($J424=1,MAX(ChB_1*AI424,ChB_2*AJ424,ChB_3*AK424)+Rho*(ChB_1*AI424+ChB_2*AJ424+ChB_3*AK424),"")</f>
        <v>0.710386136338672</v>
      </c>
      <c r="AN424" s="12" t="n">
        <f aca="false">IF($J424=1,MAX(Cx_1*(Ref_P-E424)/Span_P,Cx_2*(Ref_S-F424)/Span_S,Cx_3*(Ref_B-G424)/Span_B),"")</f>
        <v>2.09439124487004</v>
      </c>
    </row>
    <row r="425" customFormat="false" ht="15" hidden="false" customHeight="false" outlineLevel="0" collapsed="false">
      <c r="A425" s="2" t="n">
        <v>419</v>
      </c>
      <c r="B425" s="15" t="n">
        <f aca="false">INT(A425/151)</f>
        <v>2</v>
      </c>
      <c r="C425" s="15" t="n">
        <f aca="false">MOD(A425,151)</f>
        <v>117</v>
      </c>
      <c r="D425" s="15" t="n">
        <f aca="false">INDEX(Grid!$J$6:$P$156,C425+1,B425+1)</f>
        <v>1</v>
      </c>
      <c r="E425" s="16" t="n">
        <f aca="false">IF(D425=1,INDEX(Grid!$B$6:$H$156,C425+1,B425+1),"")</f>
        <v>254.66920416514</v>
      </c>
      <c r="F425" s="13" t="n">
        <f aca="false">Val_pt*(Ceiling_e-E_zero)*(1-(1-Half_gap)^B425)</f>
        <v>105</v>
      </c>
      <c r="G425" s="15" t="n">
        <f aca="false">C425</f>
        <v>117</v>
      </c>
      <c r="H425" s="15" t="n">
        <f aca="false">IF(D425=1,INDEX(Grid!$R$6:$X$156,C425+1,B425+1),"")</f>
        <v>40</v>
      </c>
      <c r="I425" s="2" t="str">
        <f aca="false">IF(D425=1,INDEX(Sch_label,H425+1),"")</f>
        <v>1, 3</v>
      </c>
      <c r="J425" s="15" t="n">
        <f aca="false">IF(D425=1,INDEX(Grid!$Z$6:$AF$156,C425+1,B425+1),0)</f>
        <v>1</v>
      </c>
      <c r="K425" s="16" t="n">
        <f aca="false">IF(J425=1,E425,0)</f>
        <v>254.66920416514</v>
      </c>
      <c r="L425" s="17" t="n">
        <f aca="false">IF(D425=1,E425+W_board*F425,"")</f>
        <v>847.366830721606</v>
      </c>
      <c r="M425" s="24" t="n">
        <v>0</v>
      </c>
      <c r="Q425" s="24" t="n">
        <v>2</v>
      </c>
      <c r="R425" s="24" t="n">
        <v>100</v>
      </c>
      <c r="S425" s="25" t="n">
        <v>0.527364980624568</v>
      </c>
      <c r="T425" s="24" t="n">
        <v>2</v>
      </c>
      <c r="U425" s="24" t="n">
        <v>150</v>
      </c>
      <c r="V425" s="25" t="n">
        <v>0.397877099363823</v>
      </c>
      <c r="W425" s="24" t="n">
        <v>3</v>
      </c>
      <c r="X425" s="24" t="n">
        <v>100</v>
      </c>
      <c r="Y425" s="25" t="n">
        <v>0.0747579200116143</v>
      </c>
      <c r="Z425" s="12" t="str">
        <f aca="false">IF(AND($J425=1,$M425=1),N425*E425/Span_P+O425*F425/Span_S+P425*G425/Span_B,"")</f>
        <v/>
      </c>
      <c r="AA425" s="12" t="str">
        <f aca="false">IF(AND($J425=1,$M425=1),SUMPRODUCT(MAX($J$6:$J$1062*(N425*$K$6:$K$1062/Span_P+O425*$F$6:$F$1062/Span_S+P425*$G$6:$G$1062/Span_B)-(1-$J$6:$J$1062)*1000000000)),"")</f>
        <v/>
      </c>
      <c r="AB425" s="15" t="str">
        <f aca="false">IF(AND($J425=1,$M425=1),IF(AA425-Z425&lt;=0.000000001,1,0),"")</f>
        <v/>
      </c>
      <c r="AC425" s="13" t="n">
        <f aca="false">IF(AND($J425=1,$M425=0),IF(S425="",0,S425*INDEX(Grid!$B$6:$H$156,R425+1,Q425+1))+IF(V425="",0,V425*INDEX(Grid!$B$6:$H$156,U425+1,T425+1))+IF(Y425="",0,Y425*INDEX(Grid!$B$6:$H$156,X425+1,W425+1)),"")</f>
        <v>261.655260951959</v>
      </c>
      <c r="AD425" s="13" t="n">
        <f aca="false">IF(AND($J425=1,$M425=0),IF(S425="",0,S425*Val_pt*(Ceiling_e-E_zero)*(1-(1-Half_gap)^Q425))+IF(V425="",0,V425*Val_pt*(Ceiling_e-E_zero)*(1-(1-Half_gap)^T425))+IF(Y425="",0,Y425*Val_pt*(Ceiling_e-E_zero)*(1-(1-Half_gap)^W425)),"")</f>
        <v>106.308263600204</v>
      </c>
      <c r="AE425" s="13" t="n">
        <f aca="false">IF(AND($J425=1,$M425=0),IF(S425="",0,S425*R425)+IF(V425="",0,V425*U425)+IF(Y425="",0,Y425*X425),"")</f>
        <v>119.893854968192</v>
      </c>
      <c r="AF425" s="12" t="n">
        <f aca="false">IF(AND($J425=1,$M425=0),MIN((AC425-E425)/Span_P,(AD425-F425)/Span_S,(AE425-G425)/Span_B),"")</f>
        <v>0.0192923664546114</v>
      </c>
      <c r="AG425" s="15" t="n">
        <f aca="false">IF(AND($J425=1,$M425=0),IF(AF425&gt;0.0000001,1,0),"")</f>
        <v>1</v>
      </c>
      <c r="AH425" s="15" t="n">
        <f aca="false">IF($J425=1,IF($M425=1,AB425,AG425),"")</f>
        <v>1</v>
      </c>
      <c r="AI425" s="13" t="n">
        <f aca="false">IF($J425=1,(Ideal_P-E425)/Span_P,"")</f>
        <v>0.357632531861013</v>
      </c>
      <c r="AJ425" s="13" t="n">
        <f aca="false">IF($J425=1,(Ideal_S-F425)/Span_S,"")</f>
        <v>0.483870967741936</v>
      </c>
      <c r="AK425" s="13" t="n">
        <f aca="false">IF($J425=1,(Ideal_B-G425)/Span_B,"")</f>
        <v>0.22</v>
      </c>
      <c r="AL425" s="12" t="n">
        <f aca="false">IF($J425=1,MAX(ChA_1*AI425,ChA_2*AJ425,ChA_3*AK425)+Rho*(ChA_1*AI425+ChA_2*AJ425+ChA_3*AK425),"")</f>
        <v>0.483977118091896</v>
      </c>
      <c r="AM425" s="12" t="n">
        <f aca="false">IF($J425=1,MAX(ChB_1*AI425,ChB_2*AJ425,ChB_3*AK425)+Rho*(ChB_1*AI425+ChB_2*AJ425+ChB_3*AK425),"")</f>
        <v>0.715406977325173</v>
      </c>
      <c r="AN425" s="12" t="n">
        <f aca="false">IF($J425=1,MAX(Cx_1*(Ref_P-E425)/Span_P,Cx_2*(Ref_S-F425)/Span_S,Cx_3*(Ref_B-G425)/Span_B),"")</f>
        <v>2.09439124487004</v>
      </c>
    </row>
    <row r="426" customFormat="false" ht="15" hidden="false" customHeight="false" outlineLevel="0" collapsed="false">
      <c r="A426" s="2" t="n">
        <v>420</v>
      </c>
      <c r="B426" s="15" t="n">
        <f aca="false">INT(A426/151)</f>
        <v>2</v>
      </c>
      <c r="C426" s="15" t="n">
        <f aca="false">MOD(A426,151)</f>
        <v>118</v>
      </c>
      <c r="D426" s="15" t="n">
        <f aca="false">INDEX(Grid!$J$6:$P$156,C426+1,B426+1)</f>
        <v>1</v>
      </c>
      <c r="E426" s="16" t="n">
        <f aca="false">IF(D426=1,INDEX(Grid!$B$6:$H$156,C426+1,B426+1),"")</f>
        <v>253.760113256049</v>
      </c>
      <c r="F426" s="13" t="n">
        <f aca="false">Val_pt*(Ceiling_e-E_zero)*(1-(1-Half_gap)^B426)</f>
        <v>105</v>
      </c>
      <c r="G426" s="15" t="n">
        <f aca="false">C426</f>
        <v>118</v>
      </c>
      <c r="H426" s="15" t="n">
        <f aca="false">IF(D426=1,INDEX(Grid!$R$6:$X$156,C426+1,B426+1),"")</f>
        <v>40</v>
      </c>
      <c r="I426" s="2" t="str">
        <f aca="false">IF(D426=1,INDEX(Sch_label,H426+1),"")</f>
        <v>1, 3</v>
      </c>
      <c r="J426" s="15" t="n">
        <f aca="false">IF(D426=1,INDEX(Grid!$Z$6:$AF$156,C426+1,B426+1),0)</f>
        <v>1</v>
      </c>
      <c r="K426" s="16" t="n">
        <f aca="false">IF(J426=1,E426,0)</f>
        <v>253.760113256049</v>
      </c>
      <c r="L426" s="17" t="n">
        <f aca="false">IF(D426=1,E426+W_board*F426,"")</f>
        <v>846.457739812516</v>
      </c>
      <c r="M426" s="24" t="n">
        <v>0</v>
      </c>
      <c r="Q426" s="24" t="n">
        <v>2</v>
      </c>
      <c r="R426" s="24" t="n">
        <v>100</v>
      </c>
      <c r="S426" s="25" t="n">
        <v>0.511384223635944</v>
      </c>
      <c r="T426" s="24" t="n">
        <v>2</v>
      </c>
      <c r="U426" s="24" t="n">
        <v>150</v>
      </c>
      <c r="V426" s="25" t="n">
        <v>0.416123247867946</v>
      </c>
      <c r="W426" s="24" t="n">
        <v>3</v>
      </c>
      <c r="X426" s="24" t="n">
        <v>100</v>
      </c>
      <c r="Y426" s="25" t="n">
        <v>0.072492528496108</v>
      </c>
      <c r="Z426" s="12" t="str">
        <f aca="false">IF(AND($J426=1,$M426=1),N426*E426/Span_P+O426*F426/Span_S+P426*G426/Span_B,"")</f>
        <v/>
      </c>
      <c r="AA426" s="12" t="str">
        <f aca="false">IF(AND($J426=1,$M426=1),SUMPRODUCT(MAX($J$6:$J$1062*(N426*$K$6:$K$1062/Span_P+O426*$F$6:$F$1062/Span_S+P426*$G$6:$G$1062/Span_B)-(1-$J$6:$J$1062)*1000000000)),"")</f>
        <v/>
      </c>
      <c r="AB426" s="15" t="str">
        <f aca="false">IF(AND($J426=1,$M426=1),IF(AA426-Z426&lt;=0.000000001,1,0),"")</f>
        <v/>
      </c>
      <c r="AC426" s="13" t="n">
        <f aca="false">IF(AND($J426=1,$M426=0),IF(S426="",0,S426*INDEX(Grid!$B$6:$H$156,R426+1,Q426+1))+IF(V426="",0,V426*INDEX(Grid!$B$6:$H$156,U426+1,T426+1))+IF(Y426="",0,Y426*INDEX(Grid!$B$6:$H$156,X426+1,W426+1)),"")</f>
        <v>260.534471352356</v>
      </c>
      <c r="AD426" s="13" t="n">
        <f aca="false">IF(AND($J426=1,$M426=0),IF(S426="",0,S426*Val_pt*(Ceiling_e-E_zero)*(1-(1-Half_gap)^Q426))+IF(V426="",0,V426*Val_pt*(Ceiling_e-E_zero)*(1-(1-Half_gap)^T426))+IF(Y426="",0,Y426*Val_pt*(Ceiling_e-E_zero)*(1-(1-Half_gap)^W426)),"")</f>
        <v>106.268619248682</v>
      </c>
      <c r="AE426" s="13" t="n">
        <f aca="false">IF(AND($J426=1,$M426=0),IF(S426="",0,S426*R426)+IF(V426="",0,V426*U426)+IF(Y426="",0,Y426*X426),"")</f>
        <v>120.806162393397</v>
      </c>
      <c r="AF426" s="12" t="n">
        <f aca="false">IF(AND($J426=1,$M426=0),MIN((AC426-E426)/Span_P,(AD426-F426)/Span_S,(AE426-G426)/Span_B),"")</f>
        <v>0.0187077492893134</v>
      </c>
      <c r="AG426" s="15" t="n">
        <f aca="false">IF(AND($J426=1,$M426=0),IF(AF426&gt;0.0000001,1,0),"")</f>
        <v>1</v>
      </c>
      <c r="AH426" s="15" t="n">
        <f aca="false">IF($J426=1,IF($M426=1,AB426,AG426),"")</f>
        <v>1</v>
      </c>
      <c r="AI426" s="13" t="n">
        <f aca="false">IF($J426=1,(Ideal_P-E426)/Span_P,"")</f>
        <v>0.360143034637319</v>
      </c>
      <c r="AJ426" s="13" t="n">
        <f aca="false">IF($J426=1,(Ideal_S-F426)/Span_S,"")</f>
        <v>0.483870967741936</v>
      </c>
      <c r="AK426" s="13" t="n">
        <f aca="false">IF($J426=1,(Ideal_B-G426)/Span_B,"")</f>
        <v>0.213333333333333</v>
      </c>
      <c r="AL426" s="12" t="n">
        <f aca="false">IF($J426=1,MAX(ChA_1*AI426,ChA_2*AJ426,ChA_3*AK426)+Rho*(ChA_1*AI426+ChA_2*AJ426+ChA_3*AK426),"")</f>
        <v>0.483976702475507</v>
      </c>
      <c r="AM426" s="12" t="n">
        <f aca="false">IF($J426=1,MAX(ChB_1*AI426,ChB_2*AJ426,ChB_3*AK426)+Rho*(ChB_1*AI426+ChB_2*AJ426+ChB_3*AK426),"")</f>
        <v>0.720427818311673</v>
      </c>
      <c r="AN426" s="12" t="n">
        <f aca="false">IF($J426=1,MAX(Cx_1*(Ref_P-E426)/Span_P,Cx_2*(Ref_S-F426)/Span_S,Cx_3*(Ref_B-G426)/Span_B),"")</f>
        <v>2.09439124487004</v>
      </c>
    </row>
    <row r="427" customFormat="false" ht="15" hidden="false" customHeight="false" outlineLevel="0" collapsed="false">
      <c r="A427" s="2" t="n">
        <v>421</v>
      </c>
      <c r="B427" s="15" t="n">
        <f aca="false">INT(A427/151)</f>
        <v>2</v>
      </c>
      <c r="C427" s="15" t="n">
        <f aca="false">MOD(A427,151)</f>
        <v>119</v>
      </c>
      <c r="D427" s="15" t="n">
        <f aca="false">INDEX(Grid!$J$6:$P$156,C427+1,B427+1)</f>
        <v>1</v>
      </c>
      <c r="E427" s="16" t="n">
        <f aca="false">IF(D427=1,INDEX(Grid!$B$6:$H$156,C427+1,B427+1),"")</f>
        <v>252.851022346958</v>
      </c>
      <c r="F427" s="13" t="n">
        <f aca="false">Val_pt*(Ceiling_e-E_zero)*(1-(1-Half_gap)^B427)</f>
        <v>105</v>
      </c>
      <c r="G427" s="15" t="n">
        <f aca="false">C427</f>
        <v>119</v>
      </c>
      <c r="H427" s="15" t="n">
        <f aca="false">IF(D427=1,INDEX(Grid!$R$6:$X$156,C427+1,B427+1),"")</f>
        <v>40</v>
      </c>
      <c r="I427" s="2" t="str">
        <f aca="false">IF(D427=1,INDEX(Sch_label,H427+1),"")</f>
        <v>1, 3</v>
      </c>
      <c r="J427" s="15" t="n">
        <f aca="false">IF(D427=1,INDEX(Grid!$Z$6:$AF$156,C427+1,B427+1),0)</f>
        <v>1</v>
      </c>
      <c r="K427" s="16" t="n">
        <f aca="false">IF(J427=1,E427,0)</f>
        <v>252.851022346958</v>
      </c>
      <c r="L427" s="17" t="n">
        <f aca="false">IF(D427=1,E427+W_board*F427,"")</f>
        <v>845.548648903425</v>
      </c>
      <c r="M427" s="24" t="n">
        <v>0</v>
      </c>
      <c r="Q427" s="24" t="n">
        <v>2</v>
      </c>
      <c r="R427" s="24" t="n">
        <v>100</v>
      </c>
      <c r="S427" s="25" t="n">
        <v>0.495403466647323</v>
      </c>
      <c r="T427" s="24" t="n">
        <v>2</v>
      </c>
      <c r="U427" s="24" t="n">
        <v>150</v>
      </c>
      <c r="V427" s="25" t="n">
        <v>0.434369396372082</v>
      </c>
      <c r="W427" s="24" t="n">
        <v>3</v>
      </c>
      <c r="X427" s="24" t="n">
        <v>100</v>
      </c>
      <c r="Y427" s="25" t="n">
        <v>0.0702271369805996</v>
      </c>
      <c r="Z427" s="12" t="str">
        <f aca="false">IF(AND($J427=1,$M427=1),N427*E427/Span_P+O427*F427/Span_S+P427*G427/Span_B,"")</f>
        <v/>
      </c>
      <c r="AA427" s="12" t="str">
        <f aca="false">IF(AND($J427=1,$M427=1),SUMPRODUCT(MAX($J$6:$J$1062*(N427*$K$6:$K$1062/Span_P+O427*$F$6:$F$1062/Span_S+P427*$G$6:$G$1062/Span_B)-(1-$J$6:$J$1062)*1000000000)),"")</f>
        <v/>
      </c>
      <c r="AB427" s="15" t="str">
        <f aca="false">IF(AND($J427=1,$M427=1),IF(AA427-Z427&lt;=0.000000001,1,0),"")</f>
        <v/>
      </c>
      <c r="AC427" s="13" t="n">
        <f aca="false">IF(AND($J427=1,$M427=0),IF(S427="",0,S427*INDEX(Grid!$B$6:$H$156,R427+1,Q427+1))+IF(V427="",0,V427*INDEX(Grid!$B$6:$H$156,U427+1,T427+1))+IF(Y427="",0,Y427*INDEX(Grid!$B$6:$H$156,X427+1,W427+1)),"")</f>
        <v>259.413681752757</v>
      </c>
      <c r="AD427" s="13" t="n">
        <f aca="false">IF(AND($J427=1,$M427=0),IF(S427="",0,S427*Val_pt*(Ceiling_e-E_zero)*(1-(1-Half_gap)^Q427))+IF(V427="",0,V427*Val_pt*(Ceiling_e-E_zero)*(1-(1-Half_gap)^T427))+IF(Y427="",0,Y427*Val_pt*(Ceiling_e-E_zero)*(1-(1-Half_gap)^W427)),"")</f>
        <v>106.228974897161</v>
      </c>
      <c r="AE427" s="13" t="n">
        <f aca="false">IF(AND($J427=1,$M427=0),IF(S427="",0,S427*R427)+IF(V427="",0,V427*U427)+IF(Y427="",0,Y427*X427),"")</f>
        <v>121.718469818605</v>
      </c>
      <c r="AF427" s="12" t="n">
        <f aca="false">IF(AND($J427=1,$M427=0),MIN((AC427-E427)/Span_P,(AD427-F427)/Span_S,(AE427-G427)/Span_B),"")</f>
        <v>0.0181231321240286</v>
      </c>
      <c r="AG427" s="15" t="n">
        <f aca="false">IF(AND($J427=1,$M427=0),IF(AF427&gt;0.0000001,1,0),"")</f>
        <v>1</v>
      </c>
      <c r="AH427" s="15" t="n">
        <f aca="false">IF($J427=1,IF($M427=1,AB427,AG427),"")</f>
        <v>1</v>
      </c>
      <c r="AI427" s="13" t="n">
        <f aca="false">IF($J427=1,(Ideal_P-E427)/Span_P,"")</f>
        <v>0.362653537413625</v>
      </c>
      <c r="AJ427" s="13" t="n">
        <f aca="false">IF($J427=1,(Ideal_S-F427)/Span_S,"")</f>
        <v>0.483870967741936</v>
      </c>
      <c r="AK427" s="13" t="n">
        <f aca="false">IF($J427=1,(Ideal_B-G427)/Span_B,"")</f>
        <v>0.206666666666667</v>
      </c>
      <c r="AL427" s="12" t="n">
        <f aca="false">IF($J427=1,MAX(ChA_1*AI427,ChA_2*AJ427,ChA_3*AK427)+Rho*(ChA_1*AI427+ChA_2*AJ427+ChA_3*AK427),"")</f>
        <v>0.483976286859118</v>
      </c>
      <c r="AM427" s="12" t="n">
        <f aca="false">IF($J427=1,MAX(ChB_1*AI427,ChB_2*AJ427,ChB_3*AK427)+Rho*(ChB_1*AI427+ChB_2*AJ427+ChB_3*AK427),"")</f>
        <v>0.725448659298173</v>
      </c>
      <c r="AN427" s="12" t="n">
        <f aca="false">IF($J427=1,MAX(Cx_1*(Ref_P-E427)/Span_P,Cx_2*(Ref_S-F427)/Span_S,Cx_3*(Ref_B-G427)/Span_B),"")</f>
        <v>2.09439124487004</v>
      </c>
    </row>
    <row r="428" customFormat="false" ht="15" hidden="false" customHeight="false" outlineLevel="0" collapsed="false">
      <c r="A428" s="2" t="n">
        <v>422</v>
      </c>
      <c r="B428" s="15" t="n">
        <f aca="false">INT(A428/151)</f>
        <v>2</v>
      </c>
      <c r="C428" s="15" t="n">
        <f aca="false">MOD(A428,151)</f>
        <v>120</v>
      </c>
      <c r="D428" s="15" t="n">
        <f aca="false">INDEX(Grid!$J$6:$P$156,C428+1,B428+1)</f>
        <v>1</v>
      </c>
      <c r="E428" s="16" t="n">
        <f aca="false">IF(D428=1,INDEX(Grid!$B$6:$H$156,C428+1,B428+1),"")</f>
        <v>251.941931437867</v>
      </c>
      <c r="F428" s="13" t="n">
        <f aca="false">Val_pt*(Ceiling_e-E_zero)*(1-(1-Half_gap)^B428)</f>
        <v>105</v>
      </c>
      <c r="G428" s="15" t="n">
        <f aca="false">C428</f>
        <v>120</v>
      </c>
      <c r="H428" s="15" t="n">
        <f aca="false">IF(D428=1,INDEX(Grid!$R$6:$X$156,C428+1,B428+1),"")</f>
        <v>40</v>
      </c>
      <c r="I428" s="2" t="str">
        <f aca="false">IF(D428=1,INDEX(Sch_label,H428+1),"")</f>
        <v>1, 3</v>
      </c>
      <c r="J428" s="15" t="n">
        <f aca="false">IF(D428=1,INDEX(Grid!$Z$6:$AF$156,C428+1,B428+1),0)</f>
        <v>1</v>
      </c>
      <c r="K428" s="16" t="n">
        <f aca="false">IF(J428=1,E428,0)</f>
        <v>251.941931437867</v>
      </c>
      <c r="L428" s="17" t="n">
        <f aca="false">IF(D428=1,E428+W_board*F428,"")</f>
        <v>844.639557994334</v>
      </c>
      <c r="M428" s="24" t="n">
        <v>0</v>
      </c>
      <c r="Q428" s="24" t="n">
        <v>2</v>
      </c>
      <c r="R428" s="24" t="n">
        <v>100</v>
      </c>
      <c r="S428" s="25" t="n">
        <v>0.4794227096587</v>
      </c>
      <c r="T428" s="24" t="n">
        <v>2</v>
      </c>
      <c r="U428" s="24" t="n">
        <v>150</v>
      </c>
      <c r="V428" s="25" t="n">
        <v>0.452615544876209</v>
      </c>
      <c r="W428" s="24" t="n">
        <v>3</v>
      </c>
      <c r="X428" s="24" t="n">
        <v>100</v>
      </c>
      <c r="Y428" s="25" t="n">
        <v>0.067961745465095</v>
      </c>
      <c r="Z428" s="12" t="str">
        <f aca="false">IF(AND($J428=1,$M428=1),N428*E428/Span_P+O428*F428/Span_S+P428*G428/Span_B,"")</f>
        <v/>
      </c>
      <c r="AA428" s="12" t="str">
        <f aca="false">IF(AND($J428=1,$M428=1),SUMPRODUCT(MAX($J$6:$J$1062*(N428*$K$6:$K$1062/Span_P+O428*$F$6:$F$1062/Span_S+P428*$G$6:$G$1062/Span_B)-(1-$J$6:$J$1062)*1000000000)),"")</f>
        <v/>
      </c>
      <c r="AB428" s="15" t="str">
        <f aca="false">IF(AND($J428=1,$M428=1),IF(AA428-Z428&lt;=0.000000001,1,0),"")</f>
        <v/>
      </c>
      <c r="AC428" s="13" t="n">
        <f aca="false">IF(AND($J428=1,$M428=0),IF(S428="",0,S428*INDEX(Grid!$B$6:$H$156,R428+1,Q428+1))+IF(V428="",0,V428*INDEX(Grid!$B$6:$H$156,U428+1,T428+1))+IF(Y428="",0,Y428*INDEX(Grid!$B$6:$H$156,X428+1,W428+1)),"")</f>
        <v>258.292892153157</v>
      </c>
      <c r="AD428" s="13" t="n">
        <f aca="false">IF(AND($J428=1,$M428=0),IF(S428="",0,S428*Val_pt*(Ceiling_e-E_zero)*(1-(1-Half_gap)^Q428))+IF(V428="",0,V428*Val_pt*(Ceiling_e-E_zero)*(1-(1-Half_gap)^T428))+IF(Y428="",0,Y428*Val_pt*(Ceiling_e-E_zero)*(1-(1-Half_gap)^W428)),"")</f>
        <v>106.18933054564</v>
      </c>
      <c r="AE428" s="13" t="n">
        <f aca="false">IF(AND($J428=1,$M428=0),IF(S428="",0,S428*R428)+IF(V428="",0,V428*U428)+IF(Y428="",0,Y428*X428),"")</f>
        <v>122.630777243811</v>
      </c>
      <c r="AF428" s="12" t="n">
        <f aca="false">IF(AND($J428=1,$M428=0),MIN((AC428-E428)/Span_P,(AD428-F428)/Span_S,(AE428-G428)/Span_B),"")</f>
        <v>0.0175385149587372</v>
      </c>
      <c r="AG428" s="15" t="n">
        <f aca="false">IF(AND($J428=1,$M428=0),IF(AF428&gt;0.0000001,1,0),"")</f>
        <v>1</v>
      </c>
      <c r="AH428" s="15" t="n">
        <f aca="false">IF($J428=1,IF($M428=1,AB428,AG428),"")</f>
        <v>1</v>
      </c>
      <c r="AI428" s="13" t="n">
        <f aca="false">IF($J428=1,(Ideal_P-E428)/Span_P,"")</f>
        <v>0.36516404018993</v>
      </c>
      <c r="AJ428" s="13" t="n">
        <f aca="false">IF($J428=1,(Ideal_S-F428)/Span_S,"")</f>
        <v>0.483870967741936</v>
      </c>
      <c r="AK428" s="13" t="n">
        <f aca="false">IF($J428=1,(Ideal_B-G428)/Span_B,"")</f>
        <v>0.2</v>
      </c>
      <c r="AL428" s="12" t="n">
        <f aca="false">IF($J428=1,MAX(ChA_1*AI428,ChA_2*AJ428,ChA_3*AK428)+Rho*(ChA_1*AI428+ChA_2*AJ428+ChA_3*AK428),"")</f>
        <v>0.483975871242729</v>
      </c>
      <c r="AM428" s="12" t="n">
        <f aca="false">IF($J428=1,MAX(ChB_1*AI428,ChB_2*AJ428,ChB_3*AK428)+Rho*(ChB_1*AI428+ChB_2*AJ428+ChB_3*AK428),"")</f>
        <v>0.730469500284673</v>
      </c>
      <c r="AN428" s="12" t="n">
        <f aca="false">IF($J428=1,MAX(Cx_1*(Ref_P-E428)/Span_P,Cx_2*(Ref_S-F428)/Span_S,Cx_3*(Ref_B-G428)/Span_B),"")</f>
        <v>2.09439124487004</v>
      </c>
    </row>
    <row r="429" customFormat="false" ht="15" hidden="false" customHeight="false" outlineLevel="0" collapsed="false">
      <c r="A429" s="2" t="n">
        <v>423</v>
      </c>
      <c r="B429" s="15" t="n">
        <f aca="false">INT(A429/151)</f>
        <v>2</v>
      </c>
      <c r="C429" s="15" t="n">
        <f aca="false">MOD(A429,151)</f>
        <v>121</v>
      </c>
      <c r="D429" s="15" t="n">
        <f aca="false">INDEX(Grid!$J$6:$P$156,C429+1,B429+1)</f>
        <v>1</v>
      </c>
      <c r="E429" s="16" t="n">
        <f aca="false">IF(D429=1,INDEX(Grid!$B$6:$H$156,C429+1,B429+1),"")</f>
        <v>251.032840528777</v>
      </c>
      <c r="F429" s="13" t="n">
        <f aca="false">Val_pt*(Ceiling_e-E_zero)*(1-(1-Half_gap)^B429)</f>
        <v>105</v>
      </c>
      <c r="G429" s="15" t="n">
        <f aca="false">C429</f>
        <v>121</v>
      </c>
      <c r="H429" s="15" t="n">
        <f aca="false">IF(D429=1,INDEX(Grid!$R$6:$X$156,C429+1,B429+1),"")</f>
        <v>40</v>
      </c>
      <c r="I429" s="2" t="str">
        <f aca="false">IF(D429=1,INDEX(Sch_label,H429+1),"")</f>
        <v>1, 3</v>
      </c>
      <c r="J429" s="15" t="n">
        <f aca="false">IF(D429=1,INDEX(Grid!$Z$6:$AF$156,C429+1,B429+1),0)</f>
        <v>1</v>
      </c>
      <c r="K429" s="16" t="n">
        <f aca="false">IF(J429=1,E429,0)</f>
        <v>251.032840528777</v>
      </c>
      <c r="L429" s="17" t="n">
        <f aca="false">IF(D429=1,E429+W_board*F429,"")</f>
        <v>843.730467085243</v>
      </c>
      <c r="M429" s="24" t="n">
        <v>0</v>
      </c>
      <c r="Q429" s="24" t="n">
        <v>2</v>
      </c>
      <c r="R429" s="24" t="n">
        <v>100</v>
      </c>
      <c r="S429" s="25" t="n">
        <v>0.463441952670078</v>
      </c>
      <c r="T429" s="24" t="n">
        <v>2</v>
      </c>
      <c r="U429" s="24" t="n">
        <v>150</v>
      </c>
      <c r="V429" s="25" t="n">
        <v>0.470861693380332</v>
      </c>
      <c r="W429" s="24" t="n">
        <v>3</v>
      </c>
      <c r="X429" s="24" t="n">
        <v>100</v>
      </c>
      <c r="Y429" s="25" t="n">
        <v>0.065696353949591</v>
      </c>
      <c r="Z429" s="12" t="str">
        <f aca="false">IF(AND($J429=1,$M429=1),N429*E429/Span_P+O429*F429/Span_S+P429*G429/Span_B,"")</f>
        <v/>
      </c>
      <c r="AA429" s="12" t="str">
        <f aca="false">IF(AND($J429=1,$M429=1),SUMPRODUCT(MAX($J$6:$J$1062*(N429*$K$6:$K$1062/Span_P+O429*$F$6:$F$1062/Span_S+P429*$G$6:$G$1062/Span_B)-(1-$J$6:$J$1062)*1000000000)),"")</f>
        <v/>
      </c>
      <c r="AB429" s="15" t="str">
        <f aca="false">IF(AND($J429=1,$M429=1),IF(AA429-Z429&lt;=0.000000001,1,0),"")</f>
        <v/>
      </c>
      <c r="AC429" s="13" t="n">
        <f aca="false">IF(AND($J429=1,$M429=0),IF(S429="",0,S429*INDEX(Grid!$B$6:$H$156,R429+1,Q429+1))+IF(V429="",0,V429*INDEX(Grid!$B$6:$H$156,U429+1,T429+1))+IF(Y429="",0,Y429*INDEX(Grid!$B$6:$H$156,X429+1,W429+1)),"")</f>
        <v>257.172102553556</v>
      </c>
      <c r="AD429" s="13" t="n">
        <f aca="false">IF(AND($J429=1,$M429=0),IF(S429="",0,S429*Val_pt*(Ceiling_e-E_zero)*(1-(1-Half_gap)^Q429))+IF(V429="",0,V429*Val_pt*(Ceiling_e-E_zero)*(1-(1-Half_gap)^T429))+IF(Y429="",0,Y429*Val_pt*(Ceiling_e-E_zero)*(1-(1-Half_gap)^W429)),"")</f>
        <v>106.149686194118</v>
      </c>
      <c r="AE429" s="13" t="n">
        <f aca="false">IF(AND($J429=1,$M429=0),IF(S429="",0,S429*R429)+IF(V429="",0,V429*U429)+IF(Y429="",0,Y429*X429),"")</f>
        <v>123.543084669017</v>
      </c>
      <c r="AF429" s="12" t="n">
        <f aca="false">IF(AND($J429=1,$M429=0),MIN((AC429-E429)/Span_P,(AD429-F429)/Span_S,(AE429-G429)/Span_B),"")</f>
        <v>0.0169538977934448</v>
      </c>
      <c r="AG429" s="15" t="n">
        <f aca="false">IF(AND($J429=1,$M429=0),IF(AF429&gt;0.0000001,1,0),"")</f>
        <v>1</v>
      </c>
      <c r="AH429" s="15" t="n">
        <f aca="false">IF($J429=1,IF($M429=1,AB429,AG429),"")</f>
        <v>1</v>
      </c>
      <c r="AI429" s="13" t="n">
        <f aca="false">IF($J429=1,(Ideal_P-E429)/Span_P,"")</f>
        <v>0.367674542966236</v>
      </c>
      <c r="AJ429" s="13" t="n">
        <f aca="false">IF($J429=1,(Ideal_S-F429)/Span_S,"")</f>
        <v>0.483870967741936</v>
      </c>
      <c r="AK429" s="13" t="n">
        <f aca="false">IF($J429=1,(Ideal_B-G429)/Span_B,"")</f>
        <v>0.193333333333333</v>
      </c>
      <c r="AL429" s="12" t="n">
        <f aca="false">IF($J429=1,MAX(ChA_1*AI429,ChA_2*AJ429,ChA_3*AK429)+Rho*(ChA_1*AI429+ChA_2*AJ429+ChA_3*AK429),"")</f>
        <v>0.48397545562634</v>
      </c>
      <c r="AM429" s="12" t="n">
        <f aca="false">IF($J429=1,MAX(ChB_1*AI429,ChB_2*AJ429,ChB_3*AK429)+Rho*(ChB_1*AI429+ChB_2*AJ429+ChB_3*AK429),"")</f>
        <v>0.735490341271173</v>
      </c>
      <c r="AN429" s="12" t="n">
        <f aca="false">IF($J429=1,MAX(Cx_1*(Ref_P-E429)/Span_P,Cx_2*(Ref_S-F429)/Span_S,Cx_3*(Ref_B-G429)/Span_B),"")</f>
        <v>2.09439124487004</v>
      </c>
    </row>
    <row r="430" customFormat="false" ht="15" hidden="false" customHeight="false" outlineLevel="0" collapsed="false">
      <c r="A430" s="2" t="n">
        <v>424</v>
      </c>
      <c r="B430" s="15" t="n">
        <f aca="false">INT(A430/151)</f>
        <v>2</v>
      </c>
      <c r="C430" s="15" t="n">
        <f aca="false">MOD(A430,151)</f>
        <v>122</v>
      </c>
      <c r="D430" s="15" t="n">
        <f aca="false">INDEX(Grid!$J$6:$P$156,C430+1,B430+1)</f>
        <v>1</v>
      </c>
      <c r="E430" s="16" t="n">
        <f aca="false">IF(D430=1,INDEX(Grid!$B$6:$H$156,C430+1,B430+1),"")</f>
        <v>250.123749619686</v>
      </c>
      <c r="F430" s="13" t="n">
        <f aca="false">Val_pt*(Ceiling_e-E_zero)*(1-(1-Half_gap)^B430)</f>
        <v>105</v>
      </c>
      <c r="G430" s="15" t="n">
        <f aca="false">C430</f>
        <v>122</v>
      </c>
      <c r="H430" s="15" t="n">
        <f aca="false">IF(D430=1,INDEX(Grid!$R$6:$X$156,C430+1,B430+1),"")</f>
        <v>40</v>
      </c>
      <c r="I430" s="2" t="str">
        <f aca="false">IF(D430=1,INDEX(Sch_label,H430+1),"")</f>
        <v>1, 3</v>
      </c>
      <c r="J430" s="15" t="n">
        <f aca="false">IF(D430=1,INDEX(Grid!$Z$6:$AF$156,C430+1,B430+1),0)</f>
        <v>1</v>
      </c>
      <c r="K430" s="16" t="n">
        <f aca="false">IF(J430=1,E430,0)</f>
        <v>250.123749619686</v>
      </c>
      <c r="L430" s="17" t="n">
        <f aca="false">IF(D430=1,E430+W_board*F430,"")</f>
        <v>842.821376176152</v>
      </c>
      <c r="M430" s="24" t="n">
        <v>0</v>
      </c>
      <c r="Q430" s="24" t="n">
        <v>2</v>
      </c>
      <c r="R430" s="24" t="n">
        <v>100</v>
      </c>
      <c r="S430" s="25" t="n">
        <v>0.447461195681451</v>
      </c>
      <c r="T430" s="24" t="n">
        <v>2</v>
      </c>
      <c r="U430" s="24" t="n">
        <v>150</v>
      </c>
      <c r="V430" s="25" t="n">
        <v>0.489107841884454</v>
      </c>
      <c r="W430" s="24" t="n">
        <v>3</v>
      </c>
      <c r="X430" s="24" t="n">
        <v>100</v>
      </c>
      <c r="Y430" s="25" t="n">
        <v>0.0634309624340928</v>
      </c>
      <c r="Z430" s="12" t="str">
        <f aca="false">IF(AND($J430=1,$M430=1),N430*E430/Span_P+O430*F430/Span_S+P430*G430/Span_B,"")</f>
        <v/>
      </c>
      <c r="AA430" s="12" t="str">
        <f aca="false">IF(AND($J430=1,$M430=1),SUMPRODUCT(MAX($J$6:$J$1062*(N430*$K$6:$K$1062/Span_P+O430*$F$6:$F$1062/Span_S+P430*$G$6:$G$1062/Span_B)-(1-$J$6:$J$1062)*1000000000)),"")</f>
        <v/>
      </c>
      <c r="AB430" s="15" t="str">
        <f aca="false">IF(AND($J430=1,$M430=1),IF(AA430-Z430&lt;=0.000000001,1,0),"")</f>
        <v/>
      </c>
      <c r="AC430" s="13" t="n">
        <f aca="false">IF(AND($J430=1,$M430=0),IF(S430="",0,S430*INDEX(Grid!$B$6:$H$156,R430+1,Q430+1))+IF(V430="",0,V430*INDEX(Grid!$B$6:$H$156,U430+1,T430+1))+IF(Y430="",0,Y430*INDEX(Grid!$B$6:$H$156,X430+1,W430+1)),"")</f>
        <v>256.051312953954</v>
      </c>
      <c r="AD430" s="13" t="n">
        <f aca="false">IF(AND($J430=1,$M430=0),IF(S430="",0,S430*Val_pt*(Ceiling_e-E_zero)*(1-(1-Half_gap)^Q430))+IF(V430="",0,V430*Val_pt*(Ceiling_e-E_zero)*(1-(1-Half_gap)^T430))+IF(Y430="",0,Y430*Val_pt*(Ceiling_e-E_zero)*(1-(1-Half_gap)^W430)),"")</f>
        <v>106.110041842596</v>
      </c>
      <c r="AE430" s="13" t="n">
        <f aca="false">IF(AND($J430=1,$M430=0),IF(S430="",0,S430*R430)+IF(V430="",0,V430*U430)+IF(Y430="",0,Y430*X430),"")</f>
        <v>124.455392094222</v>
      </c>
      <c r="AF430" s="12" t="n">
        <f aca="false">IF(AND($J430=1,$M430=0),MIN((AC430-E430)/Span_P,(AD430-F430)/Span_S,(AE430-G430)/Span_B),"")</f>
        <v>0.0163692806281489</v>
      </c>
      <c r="AG430" s="15" t="n">
        <f aca="false">IF(AND($J430=1,$M430=0),IF(AF430&gt;0.0000001,1,0),"")</f>
        <v>1</v>
      </c>
      <c r="AH430" s="15" t="n">
        <f aca="false">IF($J430=1,IF($M430=1,AB430,AG430),"")</f>
        <v>1</v>
      </c>
      <c r="AI430" s="13" t="n">
        <f aca="false">IF($J430=1,(Ideal_P-E430)/Span_P,"")</f>
        <v>0.370185045742542</v>
      </c>
      <c r="AJ430" s="13" t="n">
        <f aca="false">IF($J430=1,(Ideal_S-F430)/Span_S,"")</f>
        <v>0.483870967741936</v>
      </c>
      <c r="AK430" s="13" t="n">
        <f aca="false">IF($J430=1,(Ideal_B-G430)/Span_B,"")</f>
        <v>0.186666666666667</v>
      </c>
      <c r="AL430" s="12" t="n">
        <f aca="false">IF($J430=1,MAX(ChA_1*AI430,ChA_2*AJ430,ChA_3*AK430)+Rho*(ChA_1*AI430+ChA_2*AJ430+ChA_3*AK430),"")</f>
        <v>0.483975040009951</v>
      </c>
      <c r="AM430" s="12" t="n">
        <f aca="false">IF($J430=1,MAX(ChB_1*AI430,ChB_2*AJ430,ChB_3*AK430)+Rho*(ChB_1*AI430+ChB_2*AJ430+ChB_3*AK430),"")</f>
        <v>0.740511182257673</v>
      </c>
      <c r="AN430" s="12" t="n">
        <f aca="false">IF($J430=1,MAX(Cx_1*(Ref_P-E430)/Span_P,Cx_2*(Ref_S-F430)/Span_S,Cx_3*(Ref_B-G430)/Span_B),"")</f>
        <v>2.09439124487004</v>
      </c>
    </row>
    <row r="431" customFormat="false" ht="15" hidden="false" customHeight="false" outlineLevel="0" collapsed="false">
      <c r="A431" s="2" t="n">
        <v>425</v>
      </c>
      <c r="B431" s="15" t="n">
        <f aca="false">INT(A431/151)</f>
        <v>2</v>
      </c>
      <c r="C431" s="15" t="n">
        <f aca="false">MOD(A431,151)</f>
        <v>123</v>
      </c>
      <c r="D431" s="15" t="n">
        <f aca="false">INDEX(Grid!$J$6:$P$156,C431+1,B431+1)</f>
        <v>1</v>
      </c>
      <c r="E431" s="16" t="n">
        <f aca="false">IF(D431=1,INDEX(Grid!$B$6:$H$156,C431+1,B431+1),"")</f>
        <v>249.214658710595</v>
      </c>
      <c r="F431" s="13" t="n">
        <f aca="false">Val_pt*(Ceiling_e-E_zero)*(1-(1-Half_gap)^B431)</f>
        <v>105</v>
      </c>
      <c r="G431" s="15" t="n">
        <f aca="false">C431</f>
        <v>123</v>
      </c>
      <c r="H431" s="15" t="n">
        <f aca="false">IF(D431=1,INDEX(Grid!$R$6:$X$156,C431+1,B431+1),"")</f>
        <v>40</v>
      </c>
      <c r="I431" s="2" t="str">
        <f aca="false">IF(D431=1,INDEX(Sch_label,H431+1),"")</f>
        <v>1, 3</v>
      </c>
      <c r="J431" s="15" t="n">
        <f aca="false">IF(D431=1,INDEX(Grid!$Z$6:$AF$156,C431+1,B431+1),0)</f>
        <v>1</v>
      </c>
      <c r="K431" s="16" t="n">
        <f aca="false">IF(J431=1,E431,0)</f>
        <v>249.214658710595</v>
      </c>
      <c r="L431" s="17" t="n">
        <f aca="false">IF(D431=1,E431+W_board*F431,"")</f>
        <v>841.912285267061</v>
      </c>
      <c r="M431" s="24" t="n">
        <v>0</v>
      </c>
      <c r="Q431" s="24" t="n">
        <v>2</v>
      </c>
      <c r="R431" s="24" t="n">
        <v>100</v>
      </c>
      <c r="S431" s="25" t="n">
        <v>0.431480438692814</v>
      </c>
      <c r="T431" s="24" t="n">
        <v>2</v>
      </c>
      <c r="U431" s="24" t="n">
        <v>150</v>
      </c>
      <c r="V431" s="25" t="n">
        <v>0.507353990388568</v>
      </c>
      <c r="W431" s="24" t="n">
        <v>3</v>
      </c>
      <c r="X431" s="24" t="n">
        <v>100</v>
      </c>
      <c r="Y431" s="25" t="n">
        <v>0.0611655709186075</v>
      </c>
      <c r="Z431" s="12" t="str">
        <f aca="false">IF(AND($J431=1,$M431=1),N431*E431/Span_P+O431*F431/Span_S+P431*G431/Span_B,"")</f>
        <v/>
      </c>
      <c r="AA431" s="12" t="str">
        <f aca="false">IF(AND($J431=1,$M431=1),SUMPRODUCT(MAX($J$6:$J$1062*(N431*$K$6:$K$1062/Span_P+O431*$F$6:$F$1062/Span_S+P431*$G$6:$G$1062/Span_B)-(1-$J$6:$J$1062)*1000000000)),"")</f>
        <v/>
      </c>
      <c r="AB431" s="15" t="str">
        <f aca="false">IF(AND($J431=1,$M431=1),IF(AA431-Z431&lt;=0.000000001,1,0),"")</f>
        <v/>
      </c>
      <c r="AC431" s="13" t="n">
        <f aca="false">IF(AND($J431=1,$M431=0),IF(S431="",0,S431*INDEX(Grid!$B$6:$H$156,R431+1,Q431+1))+IF(V431="",0,V431*INDEX(Grid!$B$6:$H$156,U431+1,T431+1))+IF(Y431="",0,Y431*INDEX(Grid!$B$6:$H$156,X431+1,W431+1)),"")</f>
        <v>254.930523354351</v>
      </c>
      <c r="AD431" s="13" t="n">
        <f aca="false">IF(AND($J431=1,$M431=0),IF(S431="",0,S431*Val_pt*(Ceiling_e-E_zero)*(1-(1-Half_gap)^Q431))+IF(V431="",0,V431*Val_pt*(Ceiling_e-E_zero)*(1-(1-Half_gap)^T431))+IF(Y431="",0,Y431*Val_pt*(Ceiling_e-E_zero)*(1-(1-Half_gap)^W431)),"")</f>
        <v>106.070397491074</v>
      </c>
      <c r="AE431" s="13" t="n">
        <f aca="false">IF(AND($J431=1,$M431=0),IF(S431="",0,S431*R431)+IF(V431="",0,V431*U431)+IF(Y431="",0,Y431*X431),"")</f>
        <v>125.367699519427</v>
      </c>
      <c r="AF431" s="12" t="n">
        <f aca="false">IF(AND($J431=1,$M431=0),MIN((AC431-E431)/Span_P,(AD431-F431)/Span_S,(AE431-G431)/Span_B),"")</f>
        <v>0.0157846634628486</v>
      </c>
      <c r="AG431" s="15" t="n">
        <f aca="false">IF(AND($J431=1,$M431=0),IF(AF431&gt;0.0000001,1,0),"")</f>
        <v>1</v>
      </c>
      <c r="AH431" s="15" t="n">
        <f aca="false">IF($J431=1,IF($M431=1,AB431,AG431),"")</f>
        <v>1</v>
      </c>
      <c r="AI431" s="13" t="n">
        <f aca="false">IF($J431=1,(Ideal_P-E431)/Span_P,"")</f>
        <v>0.372695548518848</v>
      </c>
      <c r="AJ431" s="13" t="n">
        <f aca="false">IF($J431=1,(Ideal_S-F431)/Span_S,"")</f>
        <v>0.483870967741936</v>
      </c>
      <c r="AK431" s="13" t="n">
        <f aca="false">IF($J431=1,(Ideal_B-G431)/Span_B,"")</f>
        <v>0.18</v>
      </c>
      <c r="AL431" s="12" t="n">
        <f aca="false">IF($J431=1,MAX(ChA_1*AI431,ChA_2*AJ431,ChA_3*AK431)+Rho*(ChA_1*AI431+ChA_2*AJ431+ChA_3*AK431),"")</f>
        <v>0.483974624393562</v>
      </c>
      <c r="AM431" s="12" t="n">
        <f aca="false">IF($J431=1,MAX(ChB_1*AI431,ChB_2*AJ431,ChB_3*AK431)+Rho*(ChB_1*AI431+ChB_2*AJ431+ChB_3*AK431),"")</f>
        <v>0.745532023244173</v>
      </c>
      <c r="AN431" s="12" t="n">
        <f aca="false">IF($J431=1,MAX(Cx_1*(Ref_P-E431)/Span_P,Cx_2*(Ref_S-F431)/Span_S,Cx_3*(Ref_B-G431)/Span_B),"")</f>
        <v>2.09439124487004</v>
      </c>
    </row>
    <row r="432" customFormat="false" ht="15" hidden="false" customHeight="false" outlineLevel="0" collapsed="false">
      <c r="A432" s="2" t="n">
        <v>426</v>
      </c>
      <c r="B432" s="15" t="n">
        <f aca="false">INT(A432/151)</f>
        <v>2</v>
      </c>
      <c r="C432" s="15" t="n">
        <f aca="false">MOD(A432,151)</f>
        <v>124</v>
      </c>
      <c r="D432" s="15" t="n">
        <f aca="false">INDEX(Grid!$J$6:$P$156,C432+1,B432+1)</f>
        <v>1</v>
      </c>
      <c r="E432" s="16" t="n">
        <f aca="false">IF(D432=1,INDEX(Grid!$B$6:$H$156,C432+1,B432+1),"")</f>
        <v>248.305567801504</v>
      </c>
      <c r="F432" s="13" t="n">
        <f aca="false">Val_pt*(Ceiling_e-E_zero)*(1-(1-Half_gap)^B432)</f>
        <v>105</v>
      </c>
      <c r="G432" s="15" t="n">
        <f aca="false">C432</f>
        <v>124</v>
      </c>
      <c r="H432" s="15" t="n">
        <f aca="false">IF(D432=1,INDEX(Grid!$R$6:$X$156,C432+1,B432+1),"")</f>
        <v>40</v>
      </c>
      <c r="I432" s="2" t="str">
        <f aca="false">IF(D432=1,INDEX(Sch_label,H432+1),"")</f>
        <v>1, 3</v>
      </c>
      <c r="J432" s="15" t="n">
        <f aca="false">IF(D432=1,INDEX(Grid!$Z$6:$AF$156,C432+1,B432+1),0)</f>
        <v>1</v>
      </c>
      <c r="K432" s="16" t="n">
        <f aca="false">IF(J432=1,E432,0)</f>
        <v>248.305567801504</v>
      </c>
      <c r="L432" s="17" t="n">
        <f aca="false">IF(D432=1,E432+W_board*F432,"")</f>
        <v>841.00319435797</v>
      </c>
      <c r="M432" s="24" t="n">
        <v>0</v>
      </c>
      <c r="Q432" s="24" t="n">
        <v>2</v>
      </c>
      <c r="R432" s="24" t="n">
        <v>100</v>
      </c>
      <c r="S432" s="25" t="n">
        <v>0.415499681704204</v>
      </c>
      <c r="T432" s="24" t="n">
        <v>2</v>
      </c>
      <c r="U432" s="24" t="n">
        <v>150</v>
      </c>
      <c r="V432" s="25" t="n">
        <v>0.525600138892711</v>
      </c>
      <c r="W432" s="24" t="n">
        <v>3</v>
      </c>
      <c r="X432" s="24" t="n">
        <v>100</v>
      </c>
      <c r="Y432" s="25" t="n">
        <v>0.0589001794030858</v>
      </c>
      <c r="Z432" s="12" t="str">
        <f aca="false">IF(AND($J432=1,$M432=1),N432*E432/Span_P+O432*F432/Span_S+P432*G432/Span_B,"")</f>
        <v/>
      </c>
      <c r="AA432" s="12" t="str">
        <f aca="false">IF(AND($J432=1,$M432=1),SUMPRODUCT(MAX($J$6:$J$1062*(N432*$K$6:$K$1062/Span_P+O432*$F$6:$F$1062/Span_S+P432*$G$6:$G$1062/Span_B)-(1-$J$6:$J$1062)*1000000000)),"")</f>
        <v/>
      </c>
      <c r="AB432" s="15" t="str">
        <f aca="false">IF(AND($J432=1,$M432=1),IF(AA432-Z432&lt;=0.000000001,1,0),"")</f>
        <v/>
      </c>
      <c r="AC432" s="13" t="n">
        <f aca="false">IF(AND($J432=1,$M432=0),IF(S432="",0,S432*INDEX(Grid!$B$6:$H$156,R432+1,Q432+1))+IF(V432="",0,V432*INDEX(Grid!$B$6:$H$156,U432+1,T432+1))+IF(Y432="",0,Y432*INDEX(Grid!$B$6:$H$156,X432+1,W432+1)),"")</f>
        <v>253.809733754754</v>
      </c>
      <c r="AD432" s="13" t="n">
        <f aca="false">IF(AND($J432=1,$M432=0),IF(S432="",0,S432*Val_pt*(Ceiling_e-E_zero)*(1-(1-Half_gap)^Q432))+IF(V432="",0,V432*Val_pt*(Ceiling_e-E_zero)*(1-(1-Half_gap)^T432))+IF(Y432="",0,Y432*Val_pt*(Ceiling_e-E_zero)*(1-(1-Half_gap)^W432)),"")</f>
        <v>106.030753139554</v>
      </c>
      <c r="AE432" s="13" t="n">
        <f aca="false">IF(AND($J432=1,$M432=0),IF(S432="",0,S432*R432)+IF(V432="",0,V432*U432)+IF(Y432="",0,Y432*X432),"")</f>
        <v>126.280006944636</v>
      </c>
      <c r="AF432" s="12" t="n">
        <f aca="false">IF(AND($J432=1,$M432=0),MIN((AC432-E432)/Span_P,(AD432-F432)/Span_S,(AE432-G432)/Span_B),"")</f>
        <v>0.01520004629757</v>
      </c>
      <c r="AG432" s="15" t="n">
        <f aca="false">IF(AND($J432=1,$M432=0),IF(AF432&gt;0.0000001,1,0),"")</f>
        <v>1</v>
      </c>
      <c r="AH432" s="15" t="n">
        <f aca="false">IF($J432=1,IF($M432=1,AB432,AG432),"")</f>
        <v>1</v>
      </c>
      <c r="AI432" s="13" t="n">
        <f aca="false">IF($J432=1,(Ideal_P-E432)/Span_P,"")</f>
        <v>0.375206051295153</v>
      </c>
      <c r="AJ432" s="13" t="n">
        <f aca="false">IF($J432=1,(Ideal_S-F432)/Span_S,"")</f>
        <v>0.483870967741936</v>
      </c>
      <c r="AK432" s="13" t="n">
        <f aca="false">IF($J432=1,(Ideal_B-G432)/Span_B,"")</f>
        <v>0.173333333333333</v>
      </c>
      <c r="AL432" s="12" t="n">
        <f aca="false">IF($J432=1,MAX(ChA_1*AI432,ChA_2*AJ432,ChA_3*AK432)+Rho*(ChA_1*AI432+ChA_2*AJ432+ChA_3*AK432),"")</f>
        <v>0.483974208777173</v>
      </c>
      <c r="AM432" s="12" t="n">
        <f aca="false">IF($J432=1,MAX(ChB_1*AI432,ChB_2*AJ432,ChB_3*AK432)+Rho*(ChB_1*AI432+ChB_2*AJ432+ChB_3*AK432),"")</f>
        <v>0.750552864230674</v>
      </c>
      <c r="AN432" s="12" t="n">
        <f aca="false">IF($J432=1,MAX(Cx_1*(Ref_P-E432)/Span_P,Cx_2*(Ref_S-F432)/Span_S,Cx_3*(Ref_B-G432)/Span_B),"")</f>
        <v>2.09439124487004</v>
      </c>
    </row>
    <row r="433" customFormat="false" ht="15" hidden="false" customHeight="false" outlineLevel="0" collapsed="false">
      <c r="A433" s="2" t="n">
        <v>427</v>
      </c>
      <c r="B433" s="15" t="n">
        <f aca="false">INT(A433/151)</f>
        <v>2</v>
      </c>
      <c r="C433" s="15" t="n">
        <f aca="false">MOD(A433,151)</f>
        <v>125</v>
      </c>
      <c r="D433" s="15" t="n">
        <f aca="false">INDEX(Grid!$J$6:$P$156,C433+1,B433+1)</f>
        <v>1</v>
      </c>
      <c r="E433" s="16" t="n">
        <f aca="false">IF(D433=1,INDEX(Grid!$B$6:$H$156,C433+1,B433+1),"")</f>
        <v>247.396476892413</v>
      </c>
      <c r="F433" s="13" t="n">
        <f aca="false">Val_pt*(Ceiling_e-E_zero)*(1-(1-Half_gap)^B433)</f>
        <v>105</v>
      </c>
      <c r="G433" s="15" t="n">
        <f aca="false">C433</f>
        <v>125</v>
      </c>
      <c r="H433" s="15" t="n">
        <f aca="false">IF(D433=1,INDEX(Grid!$R$6:$X$156,C433+1,B433+1),"")</f>
        <v>40</v>
      </c>
      <c r="I433" s="2" t="str">
        <f aca="false">IF(D433=1,INDEX(Sch_label,H433+1),"")</f>
        <v>1, 3</v>
      </c>
      <c r="J433" s="15" t="n">
        <f aca="false">IF(D433=1,INDEX(Grid!$Z$6:$AF$156,C433+1,B433+1),0)</f>
        <v>1</v>
      </c>
      <c r="K433" s="16" t="n">
        <f aca="false">IF(J433=1,E433,0)</f>
        <v>247.396476892413</v>
      </c>
      <c r="L433" s="17" t="n">
        <f aca="false">IF(D433=1,E433+W_board*F433,"")</f>
        <v>840.094103448879</v>
      </c>
      <c r="M433" s="24" t="n">
        <v>0</v>
      </c>
      <c r="Q433" s="24" t="n">
        <v>2</v>
      </c>
      <c r="R433" s="24" t="n">
        <v>100</v>
      </c>
      <c r="S433" s="25" t="n">
        <v>0.399518924715585</v>
      </c>
      <c r="T433" s="24" t="n">
        <v>2</v>
      </c>
      <c r="U433" s="24" t="n">
        <v>150</v>
      </c>
      <c r="V433" s="25" t="n">
        <v>0.543846287396836</v>
      </c>
      <c r="W433" s="24" t="n">
        <v>3</v>
      </c>
      <c r="X433" s="24" t="n">
        <v>100</v>
      </c>
      <c r="Y433" s="25" t="n">
        <v>0.0566347878875797</v>
      </c>
      <c r="Z433" s="12" t="str">
        <f aca="false">IF(AND($J433=1,$M433=1),N433*E433/Span_P+O433*F433/Span_S+P433*G433/Span_B,"")</f>
        <v/>
      </c>
      <c r="AA433" s="12" t="str">
        <f aca="false">IF(AND($J433=1,$M433=1),SUMPRODUCT(MAX($J$6:$J$1062*(N433*$K$6:$K$1062/Span_P+O433*$F$6:$F$1062/Span_S+P433*$G$6:$G$1062/Span_B)-(1-$J$6:$J$1062)*1000000000)),"")</f>
        <v/>
      </c>
      <c r="AB433" s="15" t="str">
        <f aca="false">IF(AND($J433=1,$M433=1),IF(AA433-Z433&lt;=0.000000001,1,0),"")</f>
        <v/>
      </c>
      <c r="AC433" s="13" t="n">
        <f aca="false">IF(AND($J433=1,$M433=0),IF(S433="",0,S433*INDEX(Grid!$B$6:$H$156,R433+1,Q433+1))+IF(V433="",0,V433*INDEX(Grid!$B$6:$H$156,U433+1,T433+1))+IF(Y433="",0,Y433*INDEX(Grid!$B$6:$H$156,X433+1,W433+1)),"")</f>
        <v>252.688944155154</v>
      </c>
      <c r="AD433" s="13" t="n">
        <f aca="false">IF(AND($J433=1,$M433=0),IF(S433="",0,S433*Val_pt*(Ceiling_e-E_zero)*(1-(1-Half_gap)^Q433))+IF(V433="",0,V433*Val_pt*(Ceiling_e-E_zero)*(1-(1-Half_gap)^T433))+IF(Y433="",0,Y433*Val_pt*(Ceiling_e-E_zero)*(1-(1-Half_gap)^W433)),"")</f>
        <v>105.991108788033</v>
      </c>
      <c r="AE433" s="13" t="n">
        <f aca="false">IF(AND($J433=1,$M433=0),IF(S433="",0,S433*R433)+IF(V433="",0,V433*U433)+IF(Y433="",0,Y433*X433),"")</f>
        <v>127.192314369842</v>
      </c>
      <c r="AF433" s="12" t="n">
        <f aca="false">IF(AND($J433=1,$M433=0),MIN((AC433-E433)/Span_P,(AD433-F433)/Span_S,(AE433-G433)/Span_B),"")</f>
        <v>0.0146154291322793</v>
      </c>
      <c r="AG433" s="15" t="n">
        <f aca="false">IF(AND($J433=1,$M433=0),IF(AF433&gt;0.0000001,1,0),"")</f>
        <v>1</v>
      </c>
      <c r="AH433" s="15" t="n">
        <f aca="false">IF($J433=1,IF($M433=1,AB433,AG433),"")</f>
        <v>1</v>
      </c>
      <c r="AI433" s="13" t="n">
        <f aca="false">IF($J433=1,(Ideal_P-E433)/Span_P,"")</f>
        <v>0.377716554071459</v>
      </c>
      <c r="AJ433" s="13" t="n">
        <f aca="false">IF($J433=1,(Ideal_S-F433)/Span_S,"")</f>
        <v>0.483870967741936</v>
      </c>
      <c r="AK433" s="13" t="n">
        <f aca="false">IF($J433=1,(Ideal_B-G433)/Span_B,"")</f>
        <v>0.166666666666667</v>
      </c>
      <c r="AL433" s="12" t="n">
        <f aca="false">IF($J433=1,MAX(ChA_1*AI433,ChA_2*AJ433,ChA_3*AK433)+Rho*(ChA_1*AI433+ChA_2*AJ433+ChA_3*AK433),"")</f>
        <v>0.483973793160784</v>
      </c>
      <c r="AM433" s="12" t="n">
        <f aca="false">IF($J433=1,MAX(ChB_1*AI433,ChB_2*AJ433,ChB_3*AK433)+Rho*(ChB_1*AI433+ChB_2*AJ433+ChB_3*AK433),"")</f>
        <v>0.755573705217174</v>
      </c>
      <c r="AN433" s="12" t="n">
        <f aca="false">IF($J433=1,MAX(Cx_1*(Ref_P-E433)/Span_P,Cx_2*(Ref_S-F433)/Span_S,Cx_3*(Ref_B-G433)/Span_B),"")</f>
        <v>2.09439124487004</v>
      </c>
    </row>
    <row r="434" customFormat="false" ht="15" hidden="false" customHeight="false" outlineLevel="0" collapsed="false">
      <c r="A434" s="2" t="n">
        <v>428</v>
      </c>
      <c r="B434" s="15" t="n">
        <f aca="false">INT(A434/151)</f>
        <v>2</v>
      </c>
      <c r="C434" s="15" t="n">
        <f aca="false">MOD(A434,151)</f>
        <v>126</v>
      </c>
      <c r="D434" s="15" t="n">
        <f aca="false">INDEX(Grid!$J$6:$P$156,C434+1,B434+1)</f>
        <v>1</v>
      </c>
      <c r="E434" s="16" t="n">
        <f aca="false">IF(D434=1,INDEX(Grid!$B$6:$H$156,C434+1,B434+1),"")</f>
        <v>246.487385983322</v>
      </c>
      <c r="F434" s="13" t="n">
        <f aca="false">Val_pt*(Ceiling_e-E_zero)*(1-(1-Half_gap)^B434)</f>
        <v>105</v>
      </c>
      <c r="G434" s="15" t="n">
        <f aca="false">C434</f>
        <v>126</v>
      </c>
      <c r="H434" s="15" t="n">
        <f aca="false">IF(D434=1,INDEX(Grid!$R$6:$X$156,C434+1,B434+1),"")</f>
        <v>40</v>
      </c>
      <c r="I434" s="2" t="str">
        <f aca="false">IF(D434=1,INDEX(Sch_label,H434+1),"")</f>
        <v>1, 3</v>
      </c>
      <c r="J434" s="15" t="n">
        <f aca="false">IF(D434=1,INDEX(Grid!$Z$6:$AF$156,C434+1,B434+1),0)</f>
        <v>1</v>
      </c>
      <c r="K434" s="16" t="n">
        <f aca="false">IF(J434=1,E434,0)</f>
        <v>246.487385983322</v>
      </c>
      <c r="L434" s="17" t="n">
        <f aca="false">IF(D434=1,E434+W_board*F434,"")</f>
        <v>839.185012539788</v>
      </c>
      <c r="M434" s="24" t="n">
        <v>0</v>
      </c>
      <c r="Q434" s="24" t="n">
        <v>2</v>
      </c>
      <c r="R434" s="24" t="n">
        <v>100</v>
      </c>
      <c r="S434" s="25" t="n">
        <v>0.383538167726952</v>
      </c>
      <c r="T434" s="24" t="n">
        <v>2</v>
      </c>
      <c r="U434" s="24" t="n">
        <v>150</v>
      </c>
      <c r="V434" s="25" t="n">
        <v>0.56209243590097</v>
      </c>
      <c r="W434" s="24" t="n">
        <v>3</v>
      </c>
      <c r="X434" s="24" t="n">
        <v>100</v>
      </c>
      <c r="Y434" s="25" t="n">
        <v>0.0543693963720776</v>
      </c>
      <c r="Z434" s="12" t="str">
        <f aca="false">IF(AND($J434=1,$M434=1),N434*E434/Span_P+O434*F434/Span_S+P434*G434/Span_B,"")</f>
        <v/>
      </c>
      <c r="AA434" s="12" t="str">
        <f aca="false">IF(AND($J434=1,$M434=1),SUMPRODUCT(MAX($J$6:$J$1062*(N434*$K$6:$K$1062/Span_P+O434*$F$6:$F$1062/Span_S+P434*$G$6:$G$1062/Span_B)-(1-$J$6:$J$1062)*1000000000)),"")</f>
        <v/>
      </c>
      <c r="AB434" s="15" t="str">
        <f aca="false">IF(AND($J434=1,$M434=1),IF(AA434-Z434&lt;=0.000000001,1,0),"")</f>
        <v/>
      </c>
      <c r="AC434" s="13" t="n">
        <f aca="false">IF(AND($J434=1,$M434=0),IF(S434="",0,S434*INDEX(Grid!$B$6:$H$156,R434+1,Q434+1))+IF(V434="",0,V434*INDEX(Grid!$B$6:$H$156,U434+1,T434+1))+IF(Y434="",0,Y434*INDEX(Grid!$B$6:$H$156,X434+1,W434+1)),"")</f>
        <v>251.568154555552</v>
      </c>
      <c r="AD434" s="13" t="n">
        <f aca="false">IF(AND($J434=1,$M434=0),IF(S434="",0,S434*Val_pt*(Ceiling_e-E_zero)*(1-(1-Half_gap)^Q434))+IF(V434="",0,V434*Val_pt*(Ceiling_e-E_zero)*(1-(1-Half_gap)^T434))+IF(Y434="",0,Y434*Val_pt*(Ceiling_e-E_zero)*(1-(1-Half_gap)^W434)),"")</f>
        <v>105.951464436511</v>
      </c>
      <c r="AE434" s="13" t="n">
        <f aca="false">IF(AND($J434=1,$M434=0),IF(S434="",0,S434*R434)+IF(V434="",0,V434*U434)+IF(Y434="",0,Y434*X434),"")</f>
        <v>128.104621795048</v>
      </c>
      <c r="AF434" s="12" t="n">
        <f aca="false">IF(AND($J434=1,$M434=0),MIN((AC434-E434)/Span_P,(AD434-F434)/Span_S,(AE434-G434)/Span_B),"")</f>
        <v>0.0140308119669861</v>
      </c>
      <c r="AG434" s="15" t="n">
        <f aca="false">IF(AND($J434=1,$M434=0),IF(AF434&gt;0.0000001,1,0),"")</f>
        <v>1</v>
      </c>
      <c r="AH434" s="15" t="n">
        <f aca="false">IF($J434=1,IF($M434=1,AB434,AG434),"")</f>
        <v>1</v>
      </c>
      <c r="AI434" s="13" t="n">
        <f aca="false">IF($J434=1,(Ideal_P-E434)/Span_P,"")</f>
        <v>0.380227056847765</v>
      </c>
      <c r="AJ434" s="13" t="n">
        <f aca="false">IF($J434=1,(Ideal_S-F434)/Span_S,"")</f>
        <v>0.483870967741936</v>
      </c>
      <c r="AK434" s="13" t="n">
        <f aca="false">IF($J434=1,(Ideal_B-G434)/Span_B,"")</f>
        <v>0.16</v>
      </c>
      <c r="AL434" s="12" t="n">
        <f aca="false">IF($J434=1,MAX(ChA_1*AI434,ChA_2*AJ434,ChA_3*AK434)+Rho*(ChA_1*AI434+ChA_2*AJ434+ChA_3*AK434),"")</f>
        <v>0.483973377544394</v>
      </c>
      <c r="AM434" s="12" t="n">
        <f aca="false">IF($J434=1,MAX(ChB_1*AI434,ChB_2*AJ434,ChB_3*AK434)+Rho*(ChB_1*AI434+ChB_2*AJ434+ChB_3*AK434),"")</f>
        <v>0.760594546203674</v>
      </c>
      <c r="AN434" s="12" t="n">
        <f aca="false">IF($J434=1,MAX(Cx_1*(Ref_P-E434)/Span_P,Cx_2*(Ref_S-F434)/Span_S,Cx_3*(Ref_B-G434)/Span_B),"")</f>
        <v>2.09439124487004</v>
      </c>
    </row>
    <row r="435" customFormat="false" ht="15" hidden="false" customHeight="false" outlineLevel="0" collapsed="false">
      <c r="A435" s="2" t="n">
        <v>429</v>
      </c>
      <c r="B435" s="15" t="n">
        <f aca="false">INT(A435/151)</f>
        <v>2</v>
      </c>
      <c r="C435" s="15" t="n">
        <f aca="false">MOD(A435,151)</f>
        <v>127</v>
      </c>
      <c r="D435" s="15" t="n">
        <f aca="false">INDEX(Grid!$J$6:$P$156,C435+1,B435+1)</f>
        <v>1</v>
      </c>
      <c r="E435" s="16" t="n">
        <f aca="false">IF(D435=1,INDEX(Grid!$B$6:$H$156,C435+1,B435+1),"")</f>
        <v>245.578295074231</v>
      </c>
      <c r="F435" s="13" t="n">
        <f aca="false">Val_pt*(Ceiling_e-E_zero)*(1-(1-Half_gap)^B435)</f>
        <v>105</v>
      </c>
      <c r="G435" s="15" t="n">
        <f aca="false">C435</f>
        <v>127</v>
      </c>
      <c r="H435" s="15" t="n">
        <f aca="false">IF(D435=1,INDEX(Grid!$R$6:$X$156,C435+1,B435+1),"")</f>
        <v>40</v>
      </c>
      <c r="I435" s="2" t="str">
        <f aca="false">IF(D435=1,INDEX(Sch_label,H435+1),"")</f>
        <v>1, 3</v>
      </c>
      <c r="J435" s="15" t="n">
        <f aca="false">IF(D435=1,INDEX(Grid!$Z$6:$AF$156,C435+1,B435+1),0)</f>
        <v>1</v>
      </c>
      <c r="K435" s="16" t="n">
        <f aca="false">IF(J435=1,E435,0)</f>
        <v>245.578295074231</v>
      </c>
      <c r="L435" s="17" t="n">
        <f aca="false">IF(D435=1,E435+W_board*F435,"")</f>
        <v>838.275921630697</v>
      </c>
      <c r="M435" s="24" t="n">
        <v>0</v>
      </c>
      <c r="Q435" s="24" t="n">
        <v>2</v>
      </c>
      <c r="R435" s="24" t="n">
        <v>100</v>
      </c>
      <c r="S435" s="25" t="n">
        <v>0.367557410738335</v>
      </c>
      <c r="T435" s="24" t="n">
        <v>2</v>
      </c>
      <c r="U435" s="24" t="n">
        <v>150</v>
      </c>
      <c r="V435" s="25" t="n">
        <v>0.580338584405089</v>
      </c>
      <c r="W435" s="24" t="n">
        <v>3</v>
      </c>
      <c r="X435" s="24" t="n">
        <v>100</v>
      </c>
      <c r="Y435" s="25" t="n">
        <v>0.0521040048565751</v>
      </c>
      <c r="Z435" s="12" t="str">
        <f aca="false">IF(AND($J435=1,$M435=1),N435*E435/Span_P+O435*F435/Span_S+P435*G435/Span_B,"")</f>
        <v/>
      </c>
      <c r="AA435" s="12" t="str">
        <f aca="false">IF(AND($J435=1,$M435=1),SUMPRODUCT(MAX($J$6:$J$1062*(N435*$K$6:$K$1062/Span_P+O435*$F$6:$F$1062/Span_S+P435*$G$6:$G$1062/Span_B)-(1-$J$6:$J$1062)*1000000000)),"")</f>
        <v/>
      </c>
      <c r="AB435" s="15" t="str">
        <f aca="false">IF(AND($J435=1,$M435=1),IF(AA435-Z435&lt;=0.000000001,1,0),"")</f>
        <v/>
      </c>
      <c r="AC435" s="13" t="n">
        <f aca="false">IF(AND($J435=1,$M435=0),IF(S435="",0,S435*INDEX(Grid!$B$6:$H$156,R435+1,Q435+1))+IF(V435="",0,V435*INDEX(Grid!$B$6:$H$156,U435+1,T435+1))+IF(Y435="",0,Y435*INDEX(Grid!$B$6:$H$156,X435+1,W435+1)),"")</f>
        <v>250.447364955952</v>
      </c>
      <c r="AD435" s="13" t="n">
        <f aca="false">IF(AND($J435=1,$M435=0),IF(S435="",0,S435*Val_pt*(Ceiling_e-E_zero)*(1-(1-Half_gap)^Q435))+IF(V435="",0,V435*Val_pt*(Ceiling_e-E_zero)*(1-(1-Half_gap)^T435))+IF(Y435="",0,Y435*Val_pt*(Ceiling_e-E_zero)*(1-(1-Half_gap)^W435)),"")</f>
        <v>105.91182008499</v>
      </c>
      <c r="AE435" s="13" t="n">
        <f aca="false">IF(AND($J435=1,$M435=0),IF(S435="",0,S435*R435)+IF(V435="",0,V435*U435)+IF(Y435="",0,Y435*X435),"")</f>
        <v>129.016929220254</v>
      </c>
      <c r="AF435" s="12" t="n">
        <f aca="false">IF(AND($J435=1,$M435=0),MIN((AC435-E435)/Span_P,(AD435-F435)/Span_S,(AE435-G435)/Span_B),"")</f>
        <v>0.0134461948016952</v>
      </c>
      <c r="AG435" s="15" t="n">
        <f aca="false">IF(AND($J435=1,$M435=0),IF(AF435&gt;0.0000001,1,0),"")</f>
        <v>1</v>
      </c>
      <c r="AH435" s="15" t="n">
        <f aca="false">IF($J435=1,IF($M435=1,AB435,AG435),"")</f>
        <v>1</v>
      </c>
      <c r="AI435" s="13" t="n">
        <f aca="false">IF($J435=1,(Ideal_P-E435)/Span_P,"")</f>
        <v>0.382737559624071</v>
      </c>
      <c r="AJ435" s="13" t="n">
        <f aca="false">IF($J435=1,(Ideal_S-F435)/Span_S,"")</f>
        <v>0.483870967741936</v>
      </c>
      <c r="AK435" s="13" t="n">
        <f aca="false">IF($J435=1,(Ideal_B-G435)/Span_B,"")</f>
        <v>0.153333333333333</v>
      </c>
      <c r="AL435" s="12" t="n">
        <f aca="false">IF($J435=1,MAX(ChA_1*AI435,ChA_2*AJ435,ChA_3*AK435)+Rho*(ChA_1*AI435+ChA_2*AJ435+ChA_3*AK435),"")</f>
        <v>0.483972961928005</v>
      </c>
      <c r="AM435" s="12" t="n">
        <f aca="false">IF($J435=1,MAX(ChB_1*AI435,ChB_2*AJ435,ChB_3*AK435)+Rho*(ChB_1*AI435+ChB_2*AJ435+ChB_3*AK435),"")</f>
        <v>0.765615387190174</v>
      </c>
      <c r="AN435" s="12" t="n">
        <f aca="false">IF($J435=1,MAX(Cx_1*(Ref_P-E435)/Span_P,Cx_2*(Ref_S-F435)/Span_S,Cx_3*(Ref_B-G435)/Span_B),"")</f>
        <v>2.09439124487004</v>
      </c>
    </row>
    <row r="436" customFormat="false" ht="15" hidden="false" customHeight="false" outlineLevel="0" collapsed="false">
      <c r="A436" s="2" t="n">
        <v>430</v>
      </c>
      <c r="B436" s="15" t="n">
        <f aca="false">INT(A436/151)</f>
        <v>2</v>
      </c>
      <c r="C436" s="15" t="n">
        <f aca="false">MOD(A436,151)</f>
        <v>128</v>
      </c>
      <c r="D436" s="15" t="n">
        <f aca="false">INDEX(Grid!$J$6:$P$156,C436+1,B436+1)</f>
        <v>1</v>
      </c>
      <c r="E436" s="16" t="n">
        <f aca="false">IF(D436=1,INDEX(Grid!$B$6:$H$156,C436+1,B436+1),"")</f>
        <v>244.66920416514</v>
      </c>
      <c r="F436" s="13" t="n">
        <f aca="false">Val_pt*(Ceiling_e-E_zero)*(1-(1-Half_gap)^B436)</f>
        <v>105</v>
      </c>
      <c r="G436" s="15" t="n">
        <f aca="false">C436</f>
        <v>128</v>
      </c>
      <c r="H436" s="15" t="n">
        <f aca="false">IF(D436=1,INDEX(Grid!$R$6:$X$156,C436+1,B436+1),"")</f>
        <v>40</v>
      </c>
      <c r="I436" s="2" t="str">
        <f aca="false">IF(D436=1,INDEX(Sch_label,H436+1),"")</f>
        <v>1, 3</v>
      </c>
      <c r="J436" s="15" t="n">
        <f aca="false">IF(D436=1,INDEX(Grid!$Z$6:$AF$156,C436+1,B436+1),0)</f>
        <v>1</v>
      </c>
      <c r="K436" s="16" t="n">
        <f aca="false">IF(J436=1,E436,0)</f>
        <v>244.66920416514</v>
      </c>
      <c r="L436" s="17" t="n">
        <f aca="false">IF(D436=1,E436+W_board*F436,"")</f>
        <v>837.366830721606</v>
      </c>
      <c r="M436" s="24" t="n">
        <v>0</v>
      </c>
      <c r="Q436" s="24" t="n">
        <v>2</v>
      </c>
      <c r="R436" s="24" t="n">
        <v>100</v>
      </c>
      <c r="S436" s="25" t="n">
        <v>0.351576653749714</v>
      </c>
      <c r="T436" s="24" t="n">
        <v>2</v>
      </c>
      <c r="U436" s="24" t="n">
        <v>150</v>
      </c>
      <c r="V436" s="25" t="n">
        <v>0.598584732909217</v>
      </c>
      <c r="W436" s="24" t="n">
        <v>3</v>
      </c>
      <c r="X436" s="24" t="n">
        <v>100</v>
      </c>
      <c r="Y436" s="25" t="n">
        <v>0.0498386133410698</v>
      </c>
      <c r="Z436" s="12" t="str">
        <f aca="false">IF(AND($J436=1,$M436=1),N436*E436/Span_P+O436*F436/Span_S+P436*G436/Span_B,"")</f>
        <v/>
      </c>
      <c r="AA436" s="12" t="str">
        <f aca="false">IF(AND($J436=1,$M436=1),SUMPRODUCT(MAX($J$6:$J$1062*(N436*$K$6:$K$1062/Span_P+O436*$F$6:$F$1062/Span_S+P436*$G$6:$G$1062/Span_B)-(1-$J$6:$J$1062)*1000000000)),"")</f>
        <v/>
      </c>
      <c r="AB436" s="15" t="str">
        <f aca="false">IF(AND($J436=1,$M436=1),IF(AA436-Z436&lt;=0.000000001,1,0),"")</f>
        <v/>
      </c>
      <c r="AC436" s="13" t="n">
        <f aca="false">IF(AND($J436=1,$M436=0),IF(S436="",0,S436*INDEX(Grid!$B$6:$H$156,R436+1,Q436+1))+IF(V436="",0,V436*INDEX(Grid!$B$6:$H$156,U436+1,T436+1))+IF(Y436="",0,Y436*INDEX(Grid!$B$6:$H$156,X436+1,W436+1)),"")</f>
        <v>249.326575356352</v>
      </c>
      <c r="AD436" s="13" t="n">
        <f aca="false">IF(AND($J436=1,$M436=0),IF(S436="",0,S436*Val_pt*(Ceiling_e-E_zero)*(1-(1-Half_gap)^Q436))+IF(V436="",0,V436*Val_pt*(Ceiling_e-E_zero)*(1-(1-Half_gap)^T436))+IF(Y436="",0,Y436*Val_pt*(Ceiling_e-E_zero)*(1-(1-Half_gap)^W436)),"")</f>
        <v>105.872175733469</v>
      </c>
      <c r="AE436" s="13" t="n">
        <f aca="false">IF(AND($J436=1,$M436=0),IF(S436="",0,S436*R436)+IF(V436="",0,V436*U436)+IF(Y436="",0,Y436*X436),"")</f>
        <v>129.929236645461</v>
      </c>
      <c r="AF436" s="12" t="n">
        <f aca="false">IF(AND($J436=1,$M436=0),MIN((AC436-E436)/Span_P,(AD436-F436)/Span_S,(AE436-G436)/Span_B),"")</f>
        <v>0.0128615776364055</v>
      </c>
      <c r="AG436" s="15" t="n">
        <f aca="false">IF(AND($J436=1,$M436=0),IF(AF436&gt;0.0000001,1,0),"")</f>
        <v>1</v>
      </c>
      <c r="AH436" s="15" t="n">
        <f aca="false">IF($J436=1,IF($M436=1,AB436,AG436),"")</f>
        <v>1</v>
      </c>
      <c r="AI436" s="13" t="n">
        <f aca="false">IF($J436=1,(Ideal_P-E436)/Span_P,"")</f>
        <v>0.385248062400377</v>
      </c>
      <c r="AJ436" s="13" t="n">
        <f aca="false">IF($J436=1,(Ideal_S-F436)/Span_S,"")</f>
        <v>0.483870967741936</v>
      </c>
      <c r="AK436" s="13" t="n">
        <f aca="false">IF($J436=1,(Ideal_B-G436)/Span_B,"")</f>
        <v>0.146666666666667</v>
      </c>
      <c r="AL436" s="12" t="n">
        <f aca="false">IF($J436=1,MAX(ChA_1*AI436,ChA_2*AJ436,ChA_3*AK436)+Rho*(ChA_1*AI436+ChA_2*AJ436+ChA_3*AK436),"")</f>
        <v>0.483972546311616</v>
      </c>
      <c r="AM436" s="12" t="n">
        <f aca="false">IF($J436=1,MAX(ChB_1*AI436,ChB_2*AJ436,ChB_3*AK436)+Rho*(ChB_1*AI436+ChB_2*AJ436+ChB_3*AK436),"")</f>
        <v>0.770636228176674</v>
      </c>
      <c r="AN436" s="12" t="n">
        <f aca="false">IF($J436=1,MAX(Cx_1*(Ref_P-E436)/Span_P,Cx_2*(Ref_S-F436)/Span_S,Cx_3*(Ref_B-G436)/Span_B),"")</f>
        <v>2.09439124487004</v>
      </c>
    </row>
    <row r="437" customFormat="false" ht="15" hidden="false" customHeight="false" outlineLevel="0" collapsed="false">
      <c r="A437" s="2" t="n">
        <v>431</v>
      </c>
      <c r="B437" s="15" t="n">
        <f aca="false">INT(A437/151)</f>
        <v>2</v>
      </c>
      <c r="C437" s="15" t="n">
        <f aca="false">MOD(A437,151)</f>
        <v>129</v>
      </c>
      <c r="D437" s="15" t="n">
        <f aca="false">INDEX(Grid!$J$6:$P$156,C437+1,B437+1)</f>
        <v>1</v>
      </c>
      <c r="E437" s="16" t="n">
        <f aca="false">IF(D437=1,INDEX(Grid!$B$6:$H$156,C437+1,B437+1),"")</f>
        <v>243.760113256049</v>
      </c>
      <c r="F437" s="13" t="n">
        <f aca="false">Val_pt*(Ceiling_e-E_zero)*(1-(1-Half_gap)^B437)</f>
        <v>105</v>
      </c>
      <c r="G437" s="15" t="n">
        <f aca="false">C437</f>
        <v>129</v>
      </c>
      <c r="H437" s="15" t="n">
        <f aca="false">IF(D437=1,INDEX(Grid!$R$6:$X$156,C437+1,B437+1),"")</f>
        <v>40</v>
      </c>
      <c r="I437" s="2" t="str">
        <f aca="false">IF(D437=1,INDEX(Sch_label,H437+1),"")</f>
        <v>1, 3</v>
      </c>
      <c r="J437" s="15" t="n">
        <f aca="false">IF(D437=1,INDEX(Grid!$Z$6:$AF$156,C437+1,B437+1),0)</f>
        <v>1</v>
      </c>
      <c r="K437" s="16" t="n">
        <f aca="false">IF(J437=1,E437,0)</f>
        <v>243.760113256049</v>
      </c>
      <c r="L437" s="17" t="n">
        <f aca="false">IF(D437=1,E437+W_board*F437,"")</f>
        <v>836.457739812516</v>
      </c>
      <c r="M437" s="24" t="n">
        <v>0</v>
      </c>
      <c r="Q437" s="24" t="n">
        <v>2</v>
      </c>
      <c r="R437" s="24" t="n">
        <v>100</v>
      </c>
      <c r="S437" s="25" t="n">
        <v>0.33559589676109</v>
      </c>
      <c r="T437" s="24" t="n">
        <v>2</v>
      </c>
      <c r="U437" s="24" t="n">
        <v>150</v>
      </c>
      <c r="V437" s="25" t="n">
        <v>0.616830881413344</v>
      </c>
      <c r="W437" s="24" t="n">
        <v>3</v>
      </c>
      <c r="X437" s="24" t="n">
        <v>100</v>
      </c>
      <c r="Y437" s="25" t="n">
        <v>0.047573221825567</v>
      </c>
      <c r="Z437" s="12" t="str">
        <f aca="false">IF(AND($J437=1,$M437=1),N437*E437/Span_P+O437*F437/Span_S+P437*G437/Span_B,"")</f>
        <v/>
      </c>
      <c r="AA437" s="12" t="str">
        <f aca="false">IF(AND($J437=1,$M437=1),SUMPRODUCT(MAX($J$6:$J$1062*(N437*$K$6:$K$1062/Span_P+O437*$F$6:$F$1062/Span_S+P437*$G$6:$G$1062/Span_B)-(1-$J$6:$J$1062)*1000000000)),"")</f>
        <v/>
      </c>
      <c r="AB437" s="15" t="str">
        <f aca="false">IF(AND($J437=1,$M437=1),IF(AA437-Z437&lt;=0.000000001,1,0),"")</f>
        <v/>
      </c>
      <c r="AC437" s="13" t="n">
        <f aca="false">IF(AND($J437=1,$M437=0),IF(S437="",0,S437*INDEX(Grid!$B$6:$H$156,R437+1,Q437+1))+IF(V437="",0,V437*INDEX(Grid!$B$6:$H$156,U437+1,T437+1))+IF(Y437="",0,Y437*INDEX(Grid!$B$6:$H$156,X437+1,W437+1)),"")</f>
        <v>248.205785756752</v>
      </c>
      <c r="AD437" s="13" t="n">
        <f aca="false">IF(AND($J437=1,$M437=0),IF(S437="",0,S437*Val_pt*(Ceiling_e-E_zero)*(1-(1-Half_gap)^Q437))+IF(V437="",0,V437*Val_pt*(Ceiling_e-E_zero)*(1-(1-Half_gap)^T437))+IF(Y437="",0,Y437*Val_pt*(Ceiling_e-E_zero)*(1-(1-Half_gap)^W437)),"")</f>
        <v>105.832531381948</v>
      </c>
      <c r="AE437" s="13" t="n">
        <f aca="false">IF(AND($J437=1,$M437=0),IF(S437="",0,S437*R437)+IF(V437="",0,V437*U437)+IF(Y437="",0,Y437*X437),"")</f>
        <v>130.841544070667</v>
      </c>
      <c r="AF437" s="12" t="n">
        <f aca="false">IF(AND($J437=1,$M437=0),MIN((AC437-E437)/Span_P,(AD437-F437)/Span_S,(AE437-G437)/Span_B),"")</f>
        <v>0.012276960471115</v>
      </c>
      <c r="AG437" s="15" t="n">
        <f aca="false">IF(AND($J437=1,$M437=0),IF(AF437&gt;0.0000001,1,0),"")</f>
        <v>1</v>
      </c>
      <c r="AH437" s="15" t="n">
        <f aca="false">IF($J437=1,IF($M437=1,AB437,AG437),"")</f>
        <v>1</v>
      </c>
      <c r="AI437" s="13" t="n">
        <f aca="false">IF($J437=1,(Ideal_P-E437)/Span_P,"")</f>
        <v>0.387758565176682</v>
      </c>
      <c r="AJ437" s="13" t="n">
        <f aca="false">IF($J437=1,(Ideal_S-F437)/Span_S,"")</f>
        <v>0.483870967741936</v>
      </c>
      <c r="AK437" s="13" t="n">
        <f aca="false">IF($J437=1,(Ideal_B-G437)/Span_B,"")</f>
        <v>0.14</v>
      </c>
      <c r="AL437" s="12" t="n">
        <f aca="false">IF($J437=1,MAX(ChA_1*AI437,ChA_2*AJ437,ChA_3*AK437)+Rho*(ChA_1*AI437+ChA_2*AJ437+ChA_3*AK437),"")</f>
        <v>0.483972130695227</v>
      </c>
      <c r="AM437" s="12" t="n">
        <f aca="false">IF($J437=1,MAX(ChB_1*AI437,ChB_2*AJ437,ChB_3*AK437)+Rho*(ChB_1*AI437+ChB_2*AJ437+ChB_3*AK437),"")</f>
        <v>0.775657069163174</v>
      </c>
      <c r="AN437" s="12" t="n">
        <f aca="false">IF($J437=1,MAX(Cx_1*(Ref_P-E437)/Span_P,Cx_2*(Ref_S-F437)/Span_S,Cx_3*(Ref_B-G437)/Span_B),"")</f>
        <v>2.09439124487004</v>
      </c>
    </row>
    <row r="438" customFormat="false" ht="15" hidden="false" customHeight="false" outlineLevel="0" collapsed="false">
      <c r="A438" s="2" t="n">
        <v>432</v>
      </c>
      <c r="B438" s="15" t="n">
        <f aca="false">INT(A438/151)</f>
        <v>2</v>
      </c>
      <c r="C438" s="15" t="n">
        <f aca="false">MOD(A438,151)</f>
        <v>130</v>
      </c>
      <c r="D438" s="15" t="n">
        <f aca="false">INDEX(Grid!$J$6:$P$156,C438+1,B438+1)</f>
        <v>1</v>
      </c>
      <c r="E438" s="16" t="n">
        <f aca="false">IF(D438=1,INDEX(Grid!$B$6:$H$156,C438+1,B438+1),"")</f>
        <v>242.851022346958</v>
      </c>
      <c r="F438" s="13" t="n">
        <f aca="false">Val_pt*(Ceiling_e-E_zero)*(1-(1-Half_gap)^B438)</f>
        <v>105</v>
      </c>
      <c r="G438" s="15" t="n">
        <f aca="false">C438</f>
        <v>130</v>
      </c>
      <c r="H438" s="15" t="n">
        <f aca="false">IF(D438=1,INDEX(Grid!$R$6:$X$156,C438+1,B438+1),"")</f>
        <v>40</v>
      </c>
      <c r="I438" s="2" t="str">
        <f aca="false">IF(D438=1,INDEX(Sch_label,H438+1),"")</f>
        <v>1, 3</v>
      </c>
      <c r="J438" s="15" t="n">
        <f aca="false">IF(D438=1,INDEX(Grid!$Z$6:$AF$156,C438+1,B438+1),0)</f>
        <v>1</v>
      </c>
      <c r="K438" s="16" t="n">
        <f aca="false">IF(J438=1,E438,0)</f>
        <v>242.851022346958</v>
      </c>
      <c r="L438" s="17" t="n">
        <f aca="false">IF(D438=1,E438+W_board*F438,"")</f>
        <v>835.548648903425</v>
      </c>
      <c r="M438" s="24" t="n">
        <v>0</v>
      </c>
      <c r="Q438" s="24" t="n">
        <v>2</v>
      </c>
      <c r="R438" s="24" t="n">
        <v>100</v>
      </c>
      <c r="S438" s="25" t="n">
        <v>0.319615139772467</v>
      </c>
      <c r="T438" s="24" t="n">
        <v>2</v>
      </c>
      <c r="U438" s="24" t="n">
        <v>150</v>
      </c>
      <c r="V438" s="25" t="n">
        <v>0.635077029917472</v>
      </c>
      <c r="W438" s="24" t="n">
        <v>3</v>
      </c>
      <c r="X438" s="24" t="n">
        <v>100</v>
      </c>
      <c r="Y438" s="25" t="n">
        <v>0.0453078303100631</v>
      </c>
      <c r="Z438" s="12" t="str">
        <f aca="false">IF(AND($J438=1,$M438=1),N438*E438/Span_P+O438*F438/Span_S+P438*G438/Span_B,"")</f>
        <v/>
      </c>
      <c r="AA438" s="12" t="str">
        <f aca="false">IF(AND($J438=1,$M438=1),SUMPRODUCT(MAX($J$6:$J$1062*(N438*$K$6:$K$1062/Span_P+O438*$F$6:$F$1062/Span_S+P438*$G$6:$G$1062/Span_B)-(1-$J$6:$J$1062)*1000000000)),"")</f>
        <v/>
      </c>
      <c r="AB438" s="15" t="str">
        <f aca="false">IF(AND($J438=1,$M438=1),IF(AA438-Z438&lt;=0.000000001,1,0),"")</f>
        <v/>
      </c>
      <c r="AC438" s="13" t="n">
        <f aca="false">IF(AND($J438=1,$M438=0),IF(S438="",0,S438*INDEX(Grid!$B$6:$H$156,R438+1,Q438+1))+IF(V438="",0,V438*INDEX(Grid!$B$6:$H$156,U438+1,T438+1))+IF(Y438="",0,Y438*INDEX(Grid!$B$6:$H$156,X438+1,W438+1)),"")</f>
        <v>247.084996157151</v>
      </c>
      <c r="AD438" s="13" t="n">
        <f aca="false">IF(AND($J438=1,$M438=0),IF(S438="",0,S438*Val_pt*(Ceiling_e-E_zero)*(1-(1-Half_gap)^Q438))+IF(V438="",0,V438*Val_pt*(Ceiling_e-E_zero)*(1-(1-Half_gap)^T438))+IF(Y438="",0,Y438*Val_pt*(Ceiling_e-E_zero)*(1-(1-Half_gap)^W438)),"")</f>
        <v>105.792887030426</v>
      </c>
      <c r="AE438" s="13" t="n">
        <f aca="false">IF(AND($J438=1,$M438=0),IF(S438="",0,S438*R438)+IF(V438="",0,V438*U438)+IF(Y438="",0,Y438*X438),"")</f>
        <v>131.753851495874</v>
      </c>
      <c r="AF438" s="12" t="n">
        <f aca="false">IF(AND($J438=1,$M438=0),MIN((AC438-E438)/Span_P,(AD438-F438)/Span_S,(AE438-G438)/Span_B),"")</f>
        <v>0.011692343305825</v>
      </c>
      <c r="AG438" s="15" t="n">
        <f aca="false">IF(AND($J438=1,$M438=0),IF(AF438&gt;0.0000001,1,0),"")</f>
        <v>1</v>
      </c>
      <c r="AH438" s="15" t="n">
        <f aca="false">IF($J438=1,IF($M438=1,AB438,AG438),"")</f>
        <v>1</v>
      </c>
      <c r="AI438" s="13" t="n">
        <f aca="false">IF($J438=1,(Ideal_P-E438)/Span_P,"")</f>
        <v>0.390269067952988</v>
      </c>
      <c r="AJ438" s="13" t="n">
        <f aca="false">IF($J438=1,(Ideal_S-F438)/Span_S,"")</f>
        <v>0.483870967741936</v>
      </c>
      <c r="AK438" s="13" t="n">
        <f aca="false">IF($J438=1,(Ideal_B-G438)/Span_B,"")</f>
        <v>0.133333333333333</v>
      </c>
      <c r="AL438" s="12" t="n">
        <f aca="false">IF($J438=1,MAX(ChA_1*AI438,ChA_2*AJ438,ChA_3*AK438)+Rho*(ChA_1*AI438+ChA_2*AJ438+ChA_3*AK438),"")</f>
        <v>0.483971715078838</v>
      </c>
      <c r="AM438" s="12" t="n">
        <f aca="false">IF($J438=1,MAX(ChB_1*AI438,ChB_2*AJ438,ChB_3*AK438)+Rho*(ChB_1*AI438+ChB_2*AJ438+ChB_3*AK438),"")</f>
        <v>0.780677910149674</v>
      </c>
      <c r="AN438" s="12" t="n">
        <f aca="false">IF($J438=1,MAX(Cx_1*(Ref_P-E438)/Span_P,Cx_2*(Ref_S-F438)/Span_S,Cx_3*(Ref_B-G438)/Span_B),"")</f>
        <v>2.09439124487004</v>
      </c>
    </row>
    <row r="439" customFormat="false" ht="15" hidden="false" customHeight="false" outlineLevel="0" collapsed="false">
      <c r="A439" s="2" t="n">
        <v>433</v>
      </c>
      <c r="B439" s="15" t="n">
        <f aca="false">INT(A439/151)</f>
        <v>2</v>
      </c>
      <c r="C439" s="15" t="n">
        <f aca="false">MOD(A439,151)</f>
        <v>131</v>
      </c>
      <c r="D439" s="15" t="n">
        <f aca="false">INDEX(Grid!$J$6:$P$156,C439+1,B439+1)</f>
        <v>1</v>
      </c>
      <c r="E439" s="16" t="n">
        <f aca="false">IF(D439=1,INDEX(Grid!$B$6:$H$156,C439+1,B439+1),"")</f>
        <v>241.941931437867</v>
      </c>
      <c r="F439" s="13" t="n">
        <f aca="false">Val_pt*(Ceiling_e-E_zero)*(1-(1-Half_gap)^B439)</f>
        <v>105</v>
      </c>
      <c r="G439" s="15" t="n">
        <f aca="false">C439</f>
        <v>131</v>
      </c>
      <c r="H439" s="15" t="n">
        <f aca="false">IF(D439=1,INDEX(Grid!$R$6:$X$156,C439+1,B439+1),"")</f>
        <v>40</v>
      </c>
      <c r="I439" s="2" t="str">
        <f aca="false">IF(D439=1,INDEX(Sch_label,H439+1),"")</f>
        <v>1, 3</v>
      </c>
      <c r="J439" s="15" t="n">
        <f aca="false">IF(D439=1,INDEX(Grid!$Z$6:$AF$156,C439+1,B439+1),0)</f>
        <v>1</v>
      </c>
      <c r="K439" s="16" t="n">
        <f aca="false">IF(J439=1,E439,0)</f>
        <v>241.941931437867</v>
      </c>
      <c r="L439" s="17" t="n">
        <f aca="false">IF(D439=1,E439+W_board*F439,"")</f>
        <v>834.639557994334</v>
      </c>
      <c r="M439" s="24" t="n">
        <v>0</v>
      </c>
      <c r="Q439" s="24" t="n">
        <v>2</v>
      </c>
      <c r="R439" s="24" t="n">
        <v>100</v>
      </c>
      <c r="S439" s="25" t="n">
        <v>0.303634382783839</v>
      </c>
      <c r="T439" s="24" t="n">
        <v>2</v>
      </c>
      <c r="U439" s="24" t="n">
        <v>150</v>
      </c>
      <c r="V439" s="25" t="n">
        <v>0.65332317842159</v>
      </c>
      <c r="W439" s="24" t="n">
        <v>3</v>
      </c>
      <c r="X439" s="24" t="n">
        <v>100</v>
      </c>
      <c r="Y439" s="25" t="n">
        <v>0.0430424387945676</v>
      </c>
      <c r="Z439" s="12" t="str">
        <f aca="false">IF(AND($J439=1,$M439=1),N439*E439/Span_P+O439*F439/Span_S+P439*G439/Span_B,"")</f>
        <v/>
      </c>
      <c r="AA439" s="12" t="str">
        <f aca="false">IF(AND($J439=1,$M439=1),SUMPRODUCT(MAX($J$6:$J$1062*(N439*$K$6:$K$1062/Span_P+O439*$F$6:$F$1062/Span_S+P439*$G$6:$G$1062/Span_B)-(1-$J$6:$J$1062)*1000000000)),"")</f>
        <v/>
      </c>
      <c r="AB439" s="15" t="str">
        <f aca="false">IF(AND($J439=1,$M439=1),IF(AA439-Z439&lt;=0.000000001,1,0),"")</f>
        <v/>
      </c>
      <c r="AC439" s="13" t="n">
        <f aca="false">IF(AND($J439=1,$M439=0),IF(S439="",0,S439*INDEX(Grid!$B$6:$H$156,R439+1,Q439+1))+IF(V439="",0,V439*INDEX(Grid!$B$6:$H$156,U439+1,T439+1))+IF(Y439="",0,Y439*INDEX(Grid!$B$6:$H$156,X439+1,W439+1)),"")</f>
        <v>245.964206557549</v>
      </c>
      <c r="AD439" s="13" t="n">
        <f aca="false">IF(AND($J439=1,$M439=0),IF(S439="",0,S439*Val_pt*(Ceiling_e-E_zero)*(1-(1-Half_gap)^Q439))+IF(V439="",0,V439*Val_pt*(Ceiling_e-E_zero)*(1-(1-Half_gap)^T439))+IF(Y439="",0,Y439*Val_pt*(Ceiling_e-E_zero)*(1-(1-Half_gap)^W439)),"")</f>
        <v>105.753242678905</v>
      </c>
      <c r="AE439" s="13" t="n">
        <f aca="false">IF(AND($J439=1,$M439=0),IF(S439="",0,S439*R439)+IF(V439="",0,V439*U439)+IF(Y439="",0,Y439*X439),"")</f>
        <v>132.666158921079</v>
      </c>
      <c r="AF439" s="12" t="n">
        <f aca="false">IF(AND($J439=1,$M439=0),MIN((AC439-E439)/Span_P,(AD439-F439)/Span_S,(AE439-G439)/Span_B),"")</f>
        <v>0.0111077261405272</v>
      </c>
      <c r="AG439" s="15" t="n">
        <f aca="false">IF(AND($J439=1,$M439=0),IF(AF439&gt;0.0000001,1,0),"")</f>
        <v>1</v>
      </c>
      <c r="AH439" s="15" t="n">
        <f aca="false">IF($J439=1,IF($M439=1,AB439,AG439),"")</f>
        <v>1</v>
      </c>
      <c r="AI439" s="13" t="n">
        <f aca="false">IF($J439=1,(Ideal_P-E439)/Span_P,"")</f>
        <v>0.392779570729294</v>
      </c>
      <c r="AJ439" s="13" t="n">
        <f aca="false">IF($J439=1,(Ideal_S-F439)/Span_S,"")</f>
        <v>0.483870967741936</v>
      </c>
      <c r="AK439" s="13" t="n">
        <f aca="false">IF($J439=1,(Ideal_B-G439)/Span_B,"")</f>
        <v>0.126666666666667</v>
      </c>
      <c r="AL439" s="12" t="n">
        <f aca="false">IF($J439=1,MAX(ChA_1*AI439,ChA_2*AJ439,ChA_3*AK439)+Rho*(ChA_1*AI439+ChA_2*AJ439+ChA_3*AK439),"")</f>
        <v>0.483971299462449</v>
      </c>
      <c r="AM439" s="12" t="n">
        <f aca="false">IF($J439=1,MAX(ChB_1*AI439,ChB_2*AJ439,ChB_3*AK439)+Rho*(ChB_1*AI439+ChB_2*AJ439+ChB_3*AK439),"")</f>
        <v>0.785698751136175</v>
      </c>
      <c r="AN439" s="12" t="n">
        <f aca="false">IF($J439=1,MAX(Cx_1*(Ref_P-E439)/Span_P,Cx_2*(Ref_S-F439)/Span_S,Cx_3*(Ref_B-G439)/Span_B),"")</f>
        <v>2.09439124487004</v>
      </c>
    </row>
    <row r="440" customFormat="false" ht="15" hidden="false" customHeight="false" outlineLevel="0" collapsed="false">
      <c r="A440" s="2" t="n">
        <v>434</v>
      </c>
      <c r="B440" s="15" t="n">
        <f aca="false">INT(A440/151)</f>
        <v>2</v>
      </c>
      <c r="C440" s="15" t="n">
        <f aca="false">MOD(A440,151)</f>
        <v>132</v>
      </c>
      <c r="D440" s="15" t="n">
        <f aca="false">INDEX(Grid!$J$6:$P$156,C440+1,B440+1)</f>
        <v>1</v>
      </c>
      <c r="E440" s="16" t="n">
        <f aca="false">IF(D440=1,INDEX(Grid!$B$6:$H$156,C440+1,B440+1),"")</f>
        <v>241.032840528777</v>
      </c>
      <c r="F440" s="13" t="n">
        <f aca="false">Val_pt*(Ceiling_e-E_zero)*(1-(1-Half_gap)^B440)</f>
        <v>105</v>
      </c>
      <c r="G440" s="15" t="n">
        <f aca="false">C440</f>
        <v>132</v>
      </c>
      <c r="H440" s="15" t="n">
        <f aca="false">IF(D440=1,INDEX(Grid!$R$6:$X$156,C440+1,B440+1),"")</f>
        <v>40</v>
      </c>
      <c r="I440" s="2" t="str">
        <f aca="false">IF(D440=1,INDEX(Sch_label,H440+1),"")</f>
        <v>1, 3</v>
      </c>
      <c r="J440" s="15" t="n">
        <f aca="false">IF(D440=1,INDEX(Grid!$Z$6:$AF$156,C440+1,B440+1),0)</f>
        <v>1</v>
      </c>
      <c r="K440" s="16" t="n">
        <f aca="false">IF(J440=1,E440,0)</f>
        <v>241.032840528777</v>
      </c>
      <c r="L440" s="17" t="n">
        <f aca="false">IF(D440=1,E440+W_board*F440,"")</f>
        <v>833.730467085243</v>
      </c>
      <c r="M440" s="24" t="n">
        <v>0</v>
      </c>
      <c r="Q440" s="24" t="n">
        <v>2</v>
      </c>
      <c r="R440" s="24" t="n">
        <v>100</v>
      </c>
      <c r="S440" s="25" t="n">
        <v>0.287653625795215</v>
      </c>
      <c r="T440" s="24" t="n">
        <v>2</v>
      </c>
      <c r="U440" s="24" t="n">
        <v>150</v>
      </c>
      <c r="V440" s="25" t="n">
        <v>0.671569326925714</v>
      </c>
      <c r="W440" s="24" t="n">
        <v>3</v>
      </c>
      <c r="X440" s="24" t="n">
        <v>100</v>
      </c>
      <c r="Y440" s="25" t="n">
        <v>0.0407770472790644</v>
      </c>
      <c r="Z440" s="12" t="str">
        <f aca="false">IF(AND($J440=1,$M440=1),N440*E440/Span_P+O440*F440/Span_S+P440*G440/Span_B,"")</f>
        <v/>
      </c>
      <c r="AA440" s="12" t="str">
        <f aca="false">IF(AND($J440=1,$M440=1),SUMPRODUCT(MAX($J$6:$J$1062*(N440*$K$6:$K$1062/Span_P+O440*$F$6:$F$1062/Span_S+P440*$G$6:$G$1062/Span_B)-(1-$J$6:$J$1062)*1000000000)),"")</f>
        <v/>
      </c>
      <c r="AB440" s="15" t="str">
        <f aca="false">IF(AND($J440=1,$M440=1),IF(AA440-Z440&lt;=0.000000001,1,0),"")</f>
        <v/>
      </c>
      <c r="AC440" s="13" t="n">
        <f aca="false">IF(AND($J440=1,$M440=0),IF(S440="",0,S440*INDEX(Grid!$B$6:$H$156,R440+1,Q440+1))+IF(V440="",0,V440*INDEX(Grid!$B$6:$H$156,U440+1,T440+1))+IF(Y440="",0,Y440*INDEX(Grid!$B$6:$H$156,X440+1,W440+1)),"")</f>
        <v>244.843416957948</v>
      </c>
      <c r="AD440" s="13" t="n">
        <f aca="false">IF(AND($J440=1,$M440=0),IF(S440="",0,S440*Val_pt*(Ceiling_e-E_zero)*(1-(1-Half_gap)^Q440))+IF(V440="",0,V440*Val_pt*(Ceiling_e-E_zero)*(1-(1-Half_gap)^T440))+IF(Y440="",0,Y440*Val_pt*(Ceiling_e-E_zero)*(1-(1-Half_gap)^W440)),"")</f>
        <v>105.713598327383</v>
      </c>
      <c r="AE440" s="13" t="n">
        <f aca="false">IF(AND($J440=1,$M440=0),IF(S440="",0,S440*R440)+IF(V440="",0,V440*U440)+IF(Y440="",0,Y440*X440),"")</f>
        <v>133.578466346285</v>
      </c>
      <c r="AF440" s="12" t="n">
        <f aca="false">IF(AND($J440=1,$M440=0),MIN((AC440-E440)/Span_P,(AD440-F440)/Span_S,(AE440-G440)/Span_B),"")</f>
        <v>0.0105231089752321</v>
      </c>
      <c r="AG440" s="15" t="n">
        <f aca="false">IF(AND($J440=1,$M440=0),IF(AF440&gt;0.0000001,1,0),"")</f>
        <v>1</v>
      </c>
      <c r="AH440" s="15" t="n">
        <f aca="false">IF($J440=1,IF($M440=1,AB440,AG440),"")</f>
        <v>1</v>
      </c>
      <c r="AI440" s="13" t="n">
        <f aca="false">IF($J440=1,(Ideal_P-E440)/Span_P,"")</f>
        <v>0.3952900735056</v>
      </c>
      <c r="AJ440" s="13" t="n">
        <f aca="false">IF($J440=1,(Ideal_S-F440)/Span_S,"")</f>
        <v>0.483870967741936</v>
      </c>
      <c r="AK440" s="13" t="n">
        <f aca="false">IF($J440=1,(Ideal_B-G440)/Span_B,"")</f>
        <v>0.12</v>
      </c>
      <c r="AL440" s="12" t="n">
        <f aca="false">IF($J440=1,MAX(ChA_1*AI440,ChA_2*AJ440,ChA_3*AK440)+Rho*(ChA_1*AI440+ChA_2*AJ440+ChA_3*AK440),"")</f>
        <v>0.48397088384606</v>
      </c>
      <c r="AM440" s="12" t="n">
        <f aca="false">IF($J440=1,MAX(ChB_1*AI440,ChB_2*AJ440,ChB_3*AK440)+Rho*(ChB_1*AI440+ChB_2*AJ440+ChB_3*AK440),"")</f>
        <v>0.790719592122675</v>
      </c>
      <c r="AN440" s="12" t="n">
        <f aca="false">IF($J440=1,MAX(Cx_1*(Ref_P-E440)/Span_P,Cx_2*(Ref_S-F440)/Span_S,Cx_3*(Ref_B-G440)/Span_B),"")</f>
        <v>2.09439124487004</v>
      </c>
    </row>
    <row r="441" customFormat="false" ht="15" hidden="false" customHeight="false" outlineLevel="0" collapsed="false">
      <c r="A441" s="2" t="n">
        <v>435</v>
      </c>
      <c r="B441" s="15" t="n">
        <f aca="false">INT(A441/151)</f>
        <v>2</v>
      </c>
      <c r="C441" s="15" t="n">
        <f aca="false">MOD(A441,151)</f>
        <v>133</v>
      </c>
      <c r="D441" s="15" t="n">
        <f aca="false">INDEX(Grid!$J$6:$P$156,C441+1,B441+1)</f>
        <v>1</v>
      </c>
      <c r="E441" s="16" t="n">
        <f aca="false">IF(D441=1,INDEX(Grid!$B$6:$H$156,C441+1,B441+1),"")</f>
        <v>240.123749619686</v>
      </c>
      <c r="F441" s="13" t="n">
        <f aca="false">Val_pt*(Ceiling_e-E_zero)*(1-(1-Half_gap)^B441)</f>
        <v>105</v>
      </c>
      <c r="G441" s="15" t="n">
        <f aca="false">C441</f>
        <v>133</v>
      </c>
      <c r="H441" s="15" t="n">
        <f aca="false">IF(D441=1,INDEX(Grid!$R$6:$X$156,C441+1,B441+1),"")</f>
        <v>40</v>
      </c>
      <c r="I441" s="2" t="str">
        <f aca="false">IF(D441=1,INDEX(Sch_label,H441+1),"")</f>
        <v>1, 3</v>
      </c>
      <c r="J441" s="15" t="n">
        <f aca="false">IF(D441=1,INDEX(Grid!$Z$6:$AF$156,C441+1,B441+1),0)</f>
        <v>1</v>
      </c>
      <c r="K441" s="16" t="n">
        <f aca="false">IF(J441=1,E441,0)</f>
        <v>240.123749619686</v>
      </c>
      <c r="L441" s="17" t="n">
        <f aca="false">IF(D441=1,E441+W_board*F441,"")</f>
        <v>832.821376176152</v>
      </c>
      <c r="M441" s="24" t="n">
        <v>0</v>
      </c>
      <c r="Q441" s="24" t="n">
        <v>2</v>
      </c>
      <c r="R441" s="24" t="n">
        <v>100</v>
      </c>
      <c r="S441" s="25" t="n">
        <v>0.271672868806595</v>
      </c>
      <c r="T441" s="24" t="n">
        <v>2</v>
      </c>
      <c r="U441" s="24" t="n">
        <v>150</v>
      </c>
      <c r="V441" s="25" t="n">
        <v>0.689815475429846</v>
      </c>
      <c r="W441" s="24" t="n">
        <v>3</v>
      </c>
      <c r="X441" s="24" t="n">
        <v>100</v>
      </c>
      <c r="Y441" s="25" t="n">
        <v>0.038511655763556</v>
      </c>
      <c r="Z441" s="12" t="str">
        <f aca="false">IF(AND($J441=1,$M441=1),N441*E441/Span_P+O441*F441/Span_S+P441*G441/Span_B,"")</f>
        <v/>
      </c>
      <c r="AA441" s="12" t="str">
        <f aca="false">IF(AND($J441=1,$M441=1),SUMPRODUCT(MAX($J$6:$J$1062*(N441*$K$6:$K$1062/Span_P+O441*$F$6:$F$1062/Span_S+P441*$G$6:$G$1062/Span_B)-(1-$J$6:$J$1062)*1000000000)),"")</f>
        <v/>
      </c>
      <c r="AB441" s="15" t="str">
        <f aca="false">IF(AND($J441=1,$M441=1),IF(AA441-Z441&lt;=0.000000001,1,0),"")</f>
        <v/>
      </c>
      <c r="AC441" s="13" t="n">
        <f aca="false">IF(AND($J441=1,$M441=0),IF(S441="",0,S441*INDEX(Grid!$B$6:$H$156,R441+1,Q441+1))+IF(V441="",0,V441*INDEX(Grid!$B$6:$H$156,U441+1,T441+1))+IF(Y441="",0,Y441*INDEX(Grid!$B$6:$H$156,X441+1,W441+1)),"")</f>
        <v>243.722627358348</v>
      </c>
      <c r="AD441" s="13" t="n">
        <f aca="false">IF(AND($J441=1,$M441=0),IF(S441="",0,S441*Val_pt*(Ceiling_e-E_zero)*(1-(1-Half_gap)^Q441))+IF(V441="",0,V441*Val_pt*(Ceiling_e-E_zero)*(1-(1-Half_gap)^T441))+IF(Y441="",0,Y441*Val_pt*(Ceiling_e-E_zero)*(1-(1-Half_gap)^W441)),"")</f>
        <v>105.673953975862</v>
      </c>
      <c r="AE441" s="13" t="n">
        <f aca="false">IF(AND($J441=1,$M441=0),IF(S441="",0,S441*R441)+IF(V441="",0,V441*U441)+IF(Y441="",0,Y441*X441),"")</f>
        <v>134.490773771492</v>
      </c>
      <c r="AF441" s="12" t="n">
        <f aca="false">IF(AND($J441=1,$M441=0),MIN((AC441-E441)/Span_P,(AD441-F441)/Span_S,(AE441-G441)/Span_B),"")</f>
        <v>0.00993849180994558</v>
      </c>
      <c r="AG441" s="15" t="n">
        <f aca="false">IF(AND($J441=1,$M441=0),IF(AF441&gt;0.0000001,1,0),"")</f>
        <v>1</v>
      </c>
      <c r="AH441" s="15" t="n">
        <f aca="false">IF($J441=1,IF($M441=1,AB441,AG441),"")</f>
        <v>1</v>
      </c>
      <c r="AI441" s="13" t="n">
        <f aca="false">IF($J441=1,(Ideal_P-E441)/Span_P,"")</f>
        <v>0.397800576281905</v>
      </c>
      <c r="AJ441" s="13" t="n">
        <f aca="false">IF($J441=1,(Ideal_S-F441)/Span_S,"")</f>
        <v>0.483870967741936</v>
      </c>
      <c r="AK441" s="13" t="n">
        <f aca="false">IF($J441=1,(Ideal_B-G441)/Span_B,"")</f>
        <v>0.113333333333333</v>
      </c>
      <c r="AL441" s="12" t="n">
        <f aca="false">IF($J441=1,MAX(ChA_1*AI441,ChA_2*AJ441,ChA_3*AK441)+Rho*(ChA_1*AI441+ChA_2*AJ441+ChA_3*AK441),"")</f>
        <v>0.483970468229671</v>
      </c>
      <c r="AM441" s="12" t="n">
        <f aca="false">IF($J441=1,MAX(ChB_1*AI441,ChB_2*AJ441,ChB_3*AK441)+Rho*(ChB_1*AI441+ChB_2*AJ441+ChB_3*AK441),"")</f>
        <v>0.795740433109175</v>
      </c>
      <c r="AN441" s="12" t="n">
        <f aca="false">IF($J441=1,MAX(Cx_1*(Ref_P-E441)/Span_P,Cx_2*(Ref_S-F441)/Span_S,Cx_3*(Ref_B-G441)/Span_B),"")</f>
        <v>2.09439124487004</v>
      </c>
    </row>
    <row r="442" customFormat="false" ht="15" hidden="false" customHeight="false" outlineLevel="0" collapsed="false">
      <c r="A442" s="2" t="n">
        <v>436</v>
      </c>
      <c r="B442" s="15" t="n">
        <f aca="false">INT(A442/151)</f>
        <v>2</v>
      </c>
      <c r="C442" s="15" t="n">
        <f aca="false">MOD(A442,151)</f>
        <v>134</v>
      </c>
      <c r="D442" s="15" t="n">
        <f aca="false">INDEX(Grid!$J$6:$P$156,C442+1,B442+1)</f>
        <v>1</v>
      </c>
      <c r="E442" s="16" t="n">
        <f aca="false">IF(D442=1,INDEX(Grid!$B$6:$H$156,C442+1,B442+1),"")</f>
        <v>239.214658710595</v>
      </c>
      <c r="F442" s="13" t="n">
        <f aca="false">Val_pt*(Ceiling_e-E_zero)*(1-(1-Half_gap)^B442)</f>
        <v>105</v>
      </c>
      <c r="G442" s="15" t="n">
        <f aca="false">C442</f>
        <v>134</v>
      </c>
      <c r="H442" s="15" t="n">
        <f aca="false">IF(D442=1,INDEX(Grid!$R$6:$X$156,C442+1,B442+1),"")</f>
        <v>40</v>
      </c>
      <c r="I442" s="2" t="str">
        <f aca="false">IF(D442=1,INDEX(Sch_label,H442+1),"")</f>
        <v>1, 3</v>
      </c>
      <c r="J442" s="15" t="n">
        <f aca="false">IF(D442=1,INDEX(Grid!$Z$6:$AF$156,C442+1,B442+1),0)</f>
        <v>1</v>
      </c>
      <c r="K442" s="16" t="n">
        <f aca="false">IF(J442=1,E442,0)</f>
        <v>239.214658710595</v>
      </c>
      <c r="L442" s="17" t="n">
        <f aca="false">IF(D442=1,E442+W_board*F442,"")</f>
        <v>831.912285267061</v>
      </c>
      <c r="M442" s="24" t="n">
        <v>0</v>
      </c>
      <c r="Q442" s="24" t="n">
        <v>2</v>
      </c>
      <c r="R442" s="24" t="n">
        <v>100</v>
      </c>
      <c r="S442" s="25" t="n">
        <v>0.255692111817972</v>
      </c>
      <c r="T442" s="24" t="n">
        <v>2</v>
      </c>
      <c r="U442" s="24" t="n">
        <v>150</v>
      </c>
      <c r="V442" s="25" t="n">
        <v>0.708061623933975</v>
      </c>
      <c r="W442" s="24" t="n">
        <v>3</v>
      </c>
      <c r="X442" s="24" t="n">
        <v>100</v>
      </c>
      <c r="Y442" s="25" t="n">
        <v>0.0362462642480515</v>
      </c>
      <c r="Z442" s="12" t="str">
        <f aca="false">IF(AND($J442=1,$M442=1),N442*E442/Span_P+O442*F442/Span_S+P442*G442/Span_B,"")</f>
        <v/>
      </c>
      <c r="AA442" s="12" t="str">
        <f aca="false">IF(AND($J442=1,$M442=1),SUMPRODUCT(MAX($J$6:$J$1062*(N442*$K$6:$K$1062/Span_P+O442*$F$6:$F$1062/Span_S+P442*$G$6:$G$1062/Span_B)-(1-$J$6:$J$1062)*1000000000)),"")</f>
        <v/>
      </c>
      <c r="AB442" s="15" t="str">
        <f aca="false">IF(AND($J442=1,$M442=1),IF(AA442-Z442&lt;=0.000000001,1,0),"")</f>
        <v/>
      </c>
      <c r="AC442" s="13" t="n">
        <f aca="false">IF(AND($J442=1,$M442=0),IF(S442="",0,S442*INDEX(Grid!$B$6:$H$156,R442+1,Q442+1))+IF(V442="",0,V442*INDEX(Grid!$B$6:$H$156,U442+1,T442+1))+IF(Y442="",0,Y442*INDEX(Grid!$B$6:$H$156,X442+1,W442+1)),"")</f>
        <v>242.601837758748</v>
      </c>
      <c r="AD442" s="13" t="n">
        <f aca="false">IF(AND($J442=1,$M442=0),IF(S442="",0,S442*Val_pt*(Ceiling_e-E_zero)*(1-(1-Half_gap)^Q442))+IF(V442="",0,V442*Val_pt*(Ceiling_e-E_zero)*(1-(1-Half_gap)^T442))+IF(Y442="",0,Y442*Val_pt*(Ceiling_e-E_zero)*(1-(1-Half_gap)^W442)),"")</f>
        <v>105.634309624341</v>
      </c>
      <c r="AE442" s="13" t="n">
        <f aca="false">IF(AND($J442=1,$M442=0),IF(S442="",0,S442*R442)+IF(V442="",0,V442*U442)+IF(Y442="",0,Y442*X442),"")</f>
        <v>135.403081196699</v>
      </c>
      <c r="AF442" s="12" t="n">
        <f aca="false">IF(AND($J442=1,$M442=0),MIN((AC442-E442)/Span_P,(AD442-F442)/Span_S,(AE442-G442)/Span_B),"")</f>
        <v>0.00935387464465572</v>
      </c>
      <c r="AG442" s="15" t="n">
        <f aca="false">IF(AND($J442=1,$M442=0),IF(AF442&gt;0.0000001,1,0),"")</f>
        <v>1</v>
      </c>
      <c r="AH442" s="15" t="n">
        <f aca="false">IF($J442=1,IF($M442=1,AB442,AG442),"")</f>
        <v>1</v>
      </c>
      <c r="AI442" s="13" t="n">
        <f aca="false">IF($J442=1,(Ideal_P-E442)/Span_P,"")</f>
        <v>0.400311079058211</v>
      </c>
      <c r="AJ442" s="13" t="n">
        <f aca="false">IF($J442=1,(Ideal_S-F442)/Span_S,"")</f>
        <v>0.483870967741936</v>
      </c>
      <c r="AK442" s="13" t="n">
        <f aca="false">IF($J442=1,(Ideal_B-G442)/Span_B,"")</f>
        <v>0.106666666666667</v>
      </c>
      <c r="AL442" s="12" t="n">
        <f aca="false">IF($J442=1,MAX(ChA_1*AI442,ChA_2*AJ442,ChA_3*AK442)+Rho*(ChA_1*AI442+ChA_2*AJ442+ChA_3*AK442),"")</f>
        <v>0.483970052613282</v>
      </c>
      <c r="AM442" s="12" t="n">
        <f aca="false">IF($J442=1,MAX(ChB_1*AI442,ChB_2*AJ442,ChB_3*AK442)+Rho*(ChB_1*AI442+ChB_2*AJ442+ChB_3*AK442),"")</f>
        <v>0.800761274095675</v>
      </c>
      <c r="AN442" s="12" t="n">
        <f aca="false">IF($J442=1,MAX(Cx_1*(Ref_P-E442)/Span_P,Cx_2*(Ref_S-F442)/Span_S,Cx_3*(Ref_B-G442)/Span_B),"")</f>
        <v>2.09439124487004</v>
      </c>
    </row>
    <row r="443" customFormat="false" ht="15" hidden="false" customHeight="false" outlineLevel="0" collapsed="false">
      <c r="A443" s="2" t="n">
        <v>437</v>
      </c>
      <c r="B443" s="15" t="n">
        <f aca="false">INT(A443/151)</f>
        <v>2</v>
      </c>
      <c r="C443" s="15" t="n">
        <f aca="false">MOD(A443,151)</f>
        <v>135</v>
      </c>
      <c r="D443" s="15" t="n">
        <f aca="false">INDEX(Grid!$J$6:$P$156,C443+1,B443+1)</f>
        <v>1</v>
      </c>
      <c r="E443" s="16" t="n">
        <f aca="false">IF(D443=1,INDEX(Grid!$B$6:$H$156,C443+1,B443+1),"")</f>
        <v>238.305567801504</v>
      </c>
      <c r="F443" s="13" t="n">
        <f aca="false">Val_pt*(Ceiling_e-E_zero)*(1-(1-Half_gap)^B443)</f>
        <v>105</v>
      </c>
      <c r="G443" s="15" t="n">
        <f aca="false">C443</f>
        <v>135</v>
      </c>
      <c r="H443" s="15" t="n">
        <f aca="false">IF(D443=1,INDEX(Grid!$R$6:$X$156,C443+1,B443+1),"")</f>
        <v>40</v>
      </c>
      <c r="I443" s="2" t="str">
        <f aca="false">IF(D443=1,INDEX(Sch_label,H443+1),"")</f>
        <v>1, 3</v>
      </c>
      <c r="J443" s="15" t="n">
        <f aca="false">IF(D443=1,INDEX(Grid!$Z$6:$AF$156,C443+1,B443+1),0)</f>
        <v>1</v>
      </c>
      <c r="K443" s="16" t="n">
        <f aca="false">IF(J443=1,E443,0)</f>
        <v>238.305567801504</v>
      </c>
      <c r="L443" s="17" t="n">
        <f aca="false">IF(D443=1,E443+W_board*F443,"")</f>
        <v>831.00319435797</v>
      </c>
      <c r="M443" s="24" t="n">
        <v>0</v>
      </c>
      <c r="Q443" s="24" t="n">
        <v>2</v>
      </c>
      <c r="R443" s="24" t="n">
        <v>100</v>
      </c>
      <c r="S443" s="25" t="n">
        <v>0.239711354829348</v>
      </c>
      <c r="T443" s="24" t="n">
        <v>2</v>
      </c>
      <c r="U443" s="24" t="n">
        <v>150</v>
      </c>
      <c r="V443" s="25" t="n">
        <v>0.726307772438103</v>
      </c>
      <c r="W443" s="24" t="n">
        <v>3</v>
      </c>
      <c r="X443" s="24" t="n">
        <v>100</v>
      </c>
      <c r="Y443" s="25" t="n">
        <v>0.0339808727325498</v>
      </c>
      <c r="Z443" s="12" t="str">
        <f aca="false">IF(AND($J443=1,$M443=1),N443*E443/Span_P+O443*F443/Span_S+P443*G443/Span_B,"")</f>
        <v/>
      </c>
      <c r="AA443" s="12" t="str">
        <f aca="false">IF(AND($J443=1,$M443=1),SUMPRODUCT(MAX($J$6:$J$1062*(N443*$K$6:$K$1062/Span_P+O443*$F$6:$F$1062/Span_S+P443*$G$6:$G$1062/Span_B)-(1-$J$6:$J$1062)*1000000000)),"")</f>
        <v/>
      </c>
      <c r="AB443" s="15" t="str">
        <f aca="false">IF(AND($J443=1,$M443=1),IF(AA443-Z443&lt;=0.000000001,1,0),"")</f>
        <v/>
      </c>
      <c r="AC443" s="13" t="n">
        <f aca="false">IF(AND($J443=1,$M443=0),IF(S443="",0,S443*INDEX(Grid!$B$6:$H$156,R443+1,Q443+1))+IF(V443="",0,V443*INDEX(Grid!$B$6:$H$156,U443+1,T443+1))+IF(Y443="",0,Y443*INDEX(Grid!$B$6:$H$156,X443+1,W443+1)),"")</f>
        <v>241.481048159148</v>
      </c>
      <c r="AD443" s="13" t="n">
        <f aca="false">IF(AND($J443=1,$M443=0),IF(S443="",0,S443*Val_pt*(Ceiling_e-E_zero)*(1-(1-Half_gap)^Q443))+IF(V443="",0,V443*Val_pt*(Ceiling_e-E_zero)*(1-(1-Half_gap)^T443))+IF(Y443="",0,Y443*Val_pt*(Ceiling_e-E_zero)*(1-(1-Half_gap)^W443)),"")</f>
        <v>105.59466527282</v>
      </c>
      <c r="AE443" s="13" t="n">
        <f aca="false">IF(AND($J443=1,$M443=0),IF(S443="",0,S443*R443)+IF(V443="",0,V443*U443)+IF(Y443="",0,Y443*X443),"")</f>
        <v>136.315388621905</v>
      </c>
      <c r="AF443" s="12" t="n">
        <f aca="false">IF(AND($J443=1,$M443=0),MIN((AC443-E443)/Span_P,(AD443-F443)/Span_S,(AE443-G443)/Span_B),"")</f>
        <v>0.00876925747936763</v>
      </c>
      <c r="AG443" s="15" t="n">
        <f aca="false">IF(AND($J443=1,$M443=0),IF(AF443&gt;0.0000001,1,0),"")</f>
        <v>1</v>
      </c>
      <c r="AH443" s="15" t="n">
        <f aca="false">IF($J443=1,IF($M443=1,AB443,AG443),"")</f>
        <v>1</v>
      </c>
      <c r="AI443" s="13" t="n">
        <f aca="false">IF($J443=1,(Ideal_P-E443)/Span_P,"")</f>
        <v>0.402821581834517</v>
      </c>
      <c r="AJ443" s="13" t="n">
        <f aca="false">IF($J443=1,(Ideal_S-F443)/Span_S,"")</f>
        <v>0.483870967741936</v>
      </c>
      <c r="AK443" s="13" t="n">
        <f aca="false">IF($J443=1,(Ideal_B-G443)/Span_B,"")</f>
        <v>0.1</v>
      </c>
      <c r="AL443" s="12" t="n">
        <f aca="false">IF($J443=1,MAX(ChA_1*AI443,ChA_2*AJ443,ChA_3*AK443)+Rho*(ChA_1*AI443+ChA_2*AJ443+ChA_3*AK443),"")</f>
        <v>0.483969636996893</v>
      </c>
      <c r="AM443" s="12" t="n">
        <f aca="false">IF($J443=1,MAX(ChB_1*AI443,ChB_2*AJ443,ChB_3*AK443)+Rho*(ChB_1*AI443+ChB_2*AJ443+ChB_3*AK443),"")</f>
        <v>0.805782115082175</v>
      </c>
      <c r="AN443" s="12" t="n">
        <f aca="false">IF($J443=1,MAX(Cx_1*(Ref_P-E443)/Span_P,Cx_2*(Ref_S-F443)/Span_S,Cx_3*(Ref_B-G443)/Span_B),"")</f>
        <v>2.09439124487004</v>
      </c>
    </row>
    <row r="444" customFormat="false" ht="15" hidden="false" customHeight="false" outlineLevel="0" collapsed="false">
      <c r="A444" s="2" t="n">
        <v>438</v>
      </c>
      <c r="B444" s="15" t="n">
        <f aca="false">INT(A444/151)</f>
        <v>2</v>
      </c>
      <c r="C444" s="15" t="n">
        <f aca="false">MOD(A444,151)</f>
        <v>136</v>
      </c>
      <c r="D444" s="15" t="n">
        <f aca="false">INDEX(Grid!$J$6:$P$156,C444+1,B444+1)</f>
        <v>1</v>
      </c>
      <c r="E444" s="16" t="n">
        <f aca="false">IF(D444=1,INDEX(Grid!$B$6:$H$156,C444+1,B444+1),"")</f>
        <v>237.396476892413</v>
      </c>
      <c r="F444" s="13" t="n">
        <f aca="false">Val_pt*(Ceiling_e-E_zero)*(1-(1-Half_gap)^B444)</f>
        <v>105</v>
      </c>
      <c r="G444" s="15" t="n">
        <f aca="false">C444</f>
        <v>136</v>
      </c>
      <c r="H444" s="15" t="n">
        <f aca="false">IF(D444=1,INDEX(Grid!$R$6:$X$156,C444+1,B444+1),"")</f>
        <v>40</v>
      </c>
      <c r="I444" s="2" t="str">
        <f aca="false">IF(D444=1,INDEX(Sch_label,H444+1),"")</f>
        <v>1, 3</v>
      </c>
      <c r="J444" s="15" t="n">
        <f aca="false">IF(D444=1,INDEX(Grid!$Z$6:$AF$156,C444+1,B444+1),0)</f>
        <v>1</v>
      </c>
      <c r="K444" s="16" t="n">
        <f aca="false">IF(J444=1,E444,0)</f>
        <v>237.396476892413</v>
      </c>
      <c r="L444" s="17" t="n">
        <f aca="false">IF(D444=1,E444+W_board*F444,"")</f>
        <v>830.094103448879</v>
      </c>
      <c r="M444" s="24" t="n">
        <v>0</v>
      </c>
      <c r="Q444" s="24" t="n">
        <v>2</v>
      </c>
      <c r="R444" s="24" t="n">
        <v>100</v>
      </c>
      <c r="S444" s="25" t="n">
        <v>0.223730597840726</v>
      </c>
      <c r="T444" s="24" t="n">
        <v>2</v>
      </c>
      <c r="U444" s="24" t="n">
        <v>150</v>
      </c>
      <c r="V444" s="25" t="n">
        <v>0.74455392094223</v>
      </c>
      <c r="W444" s="24" t="n">
        <v>3</v>
      </c>
      <c r="X444" s="24" t="n">
        <v>100</v>
      </c>
      <c r="Y444" s="25" t="n">
        <v>0.0317154812170462</v>
      </c>
      <c r="Z444" s="12" t="str">
        <f aca="false">IF(AND($J444=1,$M444=1),N444*E444/Span_P+O444*F444/Span_S+P444*G444/Span_B,"")</f>
        <v/>
      </c>
      <c r="AA444" s="12" t="str">
        <f aca="false">IF(AND($J444=1,$M444=1),SUMPRODUCT(MAX($J$6:$J$1062*(N444*$K$6:$K$1062/Span_P+O444*$F$6:$F$1062/Span_S+P444*$G$6:$G$1062/Span_B)-(1-$J$6:$J$1062)*1000000000)),"")</f>
        <v/>
      </c>
      <c r="AB444" s="15" t="str">
        <f aca="false">IF(AND($J444=1,$M444=1),IF(AA444-Z444&lt;=0.000000001,1,0),"")</f>
        <v/>
      </c>
      <c r="AC444" s="13" t="n">
        <f aca="false">IF(AND($J444=1,$M444=0),IF(S444="",0,S444*INDEX(Grid!$B$6:$H$156,R444+1,Q444+1))+IF(V444="",0,V444*INDEX(Grid!$B$6:$H$156,U444+1,T444+1))+IF(Y444="",0,Y444*INDEX(Grid!$B$6:$H$156,X444+1,W444+1)),"")</f>
        <v>240.360258559548</v>
      </c>
      <c r="AD444" s="13" t="n">
        <f aca="false">IF(AND($J444=1,$M444=0),IF(S444="",0,S444*Val_pt*(Ceiling_e-E_zero)*(1-(1-Half_gap)^Q444))+IF(V444="",0,V444*Val_pt*(Ceiling_e-E_zero)*(1-(1-Half_gap)^T444))+IF(Y444="",0,Y444*Val_pt*(Ceiling_e-E_zero)*(1-(1-Half_gap)^W444)),"")</f>
        <v>105.555020921298</v>
      </c>
      <c r="AE444" s="13" t="n">
        <f aca="false">IF(AND($J444=1,$M444=0),IF(S444="",0,S444*R444)+IF(V444="",0,V444*U444)+IF(Y444="",0,Y444*X444),"")</f>
        <v>137.227696047112</v>
      </c>
      <c r="AF444" s="12" t="n">
        <f aca="false">IF(AND($J444=1,$M444=0),MIN((AC444-E444)/Span_P,(AD444-F444)/Span_S,(AE444-G444)/Span_B),"")</f>
        <v>0.00818464031407725</v>
      </c>
      <c r="AG444" s="15" t="n">
        <f aca="false">IF(AND($J444=1,$M444=0),IF(AF444&gt;0.0000001,1,0),"")</f>
        <v>1</v>
      </c>
      <c r="AH444" s="15" t="n">
        <f aca="false">IF($J444=1,IF($M444=1,AB444,AG444),"")</f>
        <v>1</v>
      </c>
      <c r="AI444" s="13" t="n">
        <f aca="false">IF($J444=1,(Ideal_P-E444)/Span_P,"")</f>
        <v>0.405332084610823</v>
      </c>
      <c r="AJ444" s="13" t="n">
        <f aca="false">IF($J444=1,(Ideal_S-F444)/Span_S,"")</f>
        <v>0.483870967741936</v>
      </c>
      <c r="AK444" s="13" t="n">
        <f aca="false">IF($J444=1,(Ideal_B-G444)/Span_B,"")</f>
        <v>0.0933333333333333</v>
      </c>
      <c r="AL444" s="12" t="n">
        <f aca="false">IF($J444=1,MAX(ChA_1*AI444,ChA_2*AJ444,ChA_3*AK444)+Rho*(ChA_1*AI444+ChA_2*AJ444+ChA_3*AK444),"")</f>
        <v>0.483969221380504</v>
      </c>
      <c r="AM444" s="12" t="n">
        <f aca="false">IF($J444=1,MAX(ChB_1*AI444,ChB_2*AJ444,ChB_3*AK444)+Rho*(ChB_1*AI444+ChB_2*AJ444+ChB_3*AK444),"")</f>
        <v>0.810802956068675</v>
      </c>
      <c r="AN444" s="12" t="n">
        <f aca="false">IF($J444=1,MAX(Cx_1*(Ref_P-E444)/Span_P,Cx_2*(Ref_S-F444)/Span_S,Cx_3*(Ref_B-G444)/Span_B),"")</f>
        <v>2.09439124487004</v>
      </c>
    </row>
    <row r="445" customFormat="false" ht="15" hidden="false" customHeight="false" outlineLevel="0" collapsed="false">
      <c r="A445" s="2" t="n">
        <v>439</v>
      </c>
      <c r="B445" s="15" t="n">
        <f aca="false">INT(A445/151)</f>
        <v>2</v>
      </c>
      <c r="C445" s="15" t="n">
        <f aca="false">MOD(A445,151)</f>
        <v>137</v>
      </c>
      <c r="D445" s="15" t="n">
        <f aca="false">INDEX(Grid!$J$6:$P$156,C445+1,B445+1)</f>
        <v>1</v>
      </c>
      <c r="E445" s="16" t="n">
        <f aca="false">IF(D445=1,INDEX(Grid!$B$6:$H$156,C445+1,B445+1),"")</f>
        <v>236.487385983322</v>
      </c>
      <c r="F445" s="13" t="n">
        <f aca="false">Val_pt*(Ceiling_e-E_zero)*(1-(1-Half_gap)^B445)</f>
        <v>105</v>
      </c>
      <c r="G445" s="15" t="n">
        <f aca="false">C445</f>
        <v>137</v>
      </c>
      <c r="H445" s="15" t="n">
        <f aca="false">IF(D445=1,INDEX(Grid!$R$6:$X$156,C445+1,B445+1),"")</f>
        <v>40</v>
      </c>
      <c r="I445" s="2" t="str">
        <f aca="false">IF(D445=1,INDEX(Sch_label,H445+1),"")</f>
        <v>1, 3</v>
      </c>
      <c r="J445" s="15" t="n">
        <f aca="false">IF(D445=1,INDEX(Grid!$Z$6:$AF$156,C445+1,B445+1),0)</f>
        <v>1</v>
      </c>
      <c r="K445" s="16" t="n">
        <f aca="false">IF(J445=1,E445,0)</f>
        <v>236.487385983322</v>
      </c>
      <c r="L445" s="17" t="n">
        <f aca="false">IF(D445=1,E445+W_board*F445,"")</f>
        <v>829.185012539788</v>
      </c>
      <c r="M445" s="24" t="n">
        <v>0</v>
      </c>
      <c r="Q445" s="24" t="n">
        <v>2</v>
      </c>
      <c r="R445" s="24" t="n">
        <v>100</v>
      </c>
      <c r="S445" s="25" t="n">
        <v>0.207749840852107</v>
      </c>
      <c r="T445" s="24" t="n">
        <v>2</v>
      </c>
      <c r="U445" s="24" t="n">
        <v>150</v>
      </c>
      <c r="V445" s="25" t="n">
        <v>0.762800069446358</v>
      </c>
      <c r="W445" s="24" t="n">
        <v>3</v>
      </c>
      <c r="X445" s="24" t="n">
        <v>100</v>
      </c>
      <c r="Y445" s="25" t="n">
        <v>0.0294500897015362</v>
      </c>
      <c r="Z445" s="12" t="str">
        <f aca="false">IF(AND($J445=1,$M445=1),N445*E445/Span_P+O445*F445/Span_S+P445*G445/Span_B,"")</f>
        <v/>
      </c>
      <c r="AA445" s="12" t="str">
        <f aca="false">IF(AND($J445=1,$M445=1),SUMPRODUCT(MAX($J$6:$J$1062*(N445*$K$6:$K$1062/Span_P+O445*$F$6:$F$1062/Span_S+P445*$G$6:$G$1062/Span_B)-(1-$J$6:$J$1062)*1000000000)),"")</f>
        <v/>
      </c>
      <c r="AB445" s="15" t="str">
        <f aca="false">IF(AND($J445=1,$M445=1),IF(AA445-Z445&lt;=0.000000001,1,0),"")</f>
        <v/>
      </c>
      <c r="AC445" s="13" t="n">
        <f aca="false">IF(AND($J445=1,$M445=0),IF(S445="",0,S445*INDEX(Grid!$B$6:$H$156,R445+1,Q445+1))+IF(V445="",0,V445*INDEX(Grid!$B$6:$H$156,U445+1,T445+1))+IF(Y445="",0,Y445*INDEX(Grid!$B$6:$H$156,X445+1,W445+1)),"")</f>
        <v>239.239468959948</v>
      </c>
      <c r="AD445" s="13" t="n">
        <f aca="false">IF(AND($J445=1,$M445=0),IF(S445="",0,S445*Val_pt*(Ceiling_e-E_zero)*(1-(1-Half_gap)^Q445))+IF(V445="",0,V445*Val_pt*(Ceiling_e-E_zero)*(1-(1-Half_gap)^T445))+IF(Y445="",0,Y445*Val_pt*(Ceiling_e-E_zero)*(1-(1-Half_gap)^W445)),"")</f>
        <v>105.515376569777</v>
      </c>
      <c r="AE445" s="13" t="n">
        <f aca="false">IF(AND($J445=1,$M445=0),IF(S445="",0,S445*R445)+IF(V445="",0,V445*U445)+IF(Y445="",0,Y445*X445),"")</f>
        <v>138.140003472318</v>
      </c>
      <c r="AF445" s="12" t="n">
        <f aca="false">IF(AND($J445=1,$M445=0),MIN((AC445-E445)/Span_P,(AD445-F445)/Span_S,(AE445-G445)/Span_B),"")</f>
        <v>0.00760002314878531</v>
      </c>
      <c r="AG445" s="15" t="n">
        <f aca="false">IF(AND($J445=1,$M445=0),IF(AF445&gt;0.0000001,1,0),"")</f>
        <v>1</v>
      </c>
      <c r="AH445" s="15" t="n">
        <f aca="false">IF($J445=1,IF($M445=1,AB445,AG445),"")</f>
        <v>1</v>
      </c>
      <c r="AI445" s="13" t="n">
        <f aca="false">IF($J445=1,(Ideal_P-E445)/Span_P,"")</f>
        <v>0.407842587387129</v>
      </c>
      <c r="AJ445" s="13" t="n">
        <f aca="false">IF($J445=1,(Ideal_S-F445)/Span_S,"")</f>
        <v>0.483870967741936</v>
      </c>
      <c r="AK445" s="13" t="n">
        <f aca="false">IF($J445=1,(Ideal_B-G445)/Span_B,"")</f>
        <v>0.0866666666666667</v>
      </c>
      <c r="AL445" s="12" t="n">
        <f aca="false">IF($J445=1,MAX(ChA_1*AI445,ChA_2*AJ445,ChA_3*AK445)+Rho*(ChA_1*AI445+ChA_2*AJ445+ChA_3*AK445),"")</f>
        <v>0.483968805764115</v>
      </c>
      <c r="AM445" s="12" t="n">
        <f aca="false">IF($J445=1,MAX(ChB_1*AI445,ChB_2*AJ445,ChB_3*AK445)+Rho*(ChB_1*AI445+ChB_2*AJ445+ChB_3*AK445),"")</f>
        <v>0.815823797055175</v>
      </c>
      <c r="AN445" s="12" t="n">
        <f aca="false">IF($J445=1,MAX(Cx_1*(Ref_P-E445)/Span_P,Cx_2*(Ref_S-F445)/Span_S,Cx_3*(Ref_B-G445)/Span_B),"")</f>
        <v>2.09439124487004</v>
      </c>
    </row>
    <row r="446" customFormat="false" ht="15" hidden="false" customHeight="false" outlineLevel="0" collapsed="false">
      <c r="A446" s="2" t="n">
        <v>440</v>
      </c>
      <c r="B446" s="15" t="n">
        <f aca="false">INT(A446/151)</f>
        <v>2</v>
      </c>
      <c r="C446" s="15" t="n">
        <f aca="false">MOD(A446,151)</f>
        <v>138</v>
      </c>
      <c r="D446" s="15" t="n">
        <f aca="false">INDEX(Grid!$J$6:$P$156,C446+1,B446+1)</f>
        <v>1</v>
      </c>
      <c r="E446" s="16" t="n">
        <f aca="false">IF(D446=1,INDEX(Grid!$B$6:$H$156,C446+1,B446+1),"")</f>
        <v>235.578295074231</v>
      </c>
      <c r="F446" s="13" t="n">
        <f aca="false">Val_pt*(Ceiling_e-E_zero)*(1-(1-Half_gap)^B446)</f>
        <v>105</v>
      </c>
      <c r="G446" s="15" t="n">
        <f aca="false">C446</f>
        <v>138</v>
      </c>
      <c r="H446" s="15" t="n">
        <f aca="false">IF(D446=1,INDEX(Grid!$R$6:$X$156,C446+1,B446+1),"")</f>
        <v>40</v>
      </c>
      <c r="I446" s="2" t="str">
        <f aca="false">IF(D446=1,INDEX(Sch_label,H446+1),"")</f>
        <v>1, 3</v>
      </c>
      <c r="J446" s="15" t="n">
        <f aca="false">IF(D446=1,INDEX(Grid!$Z$6:$AF$156,C446+1,B446+1),0)</f>
        <v>1</v>
      </c>
      <c r="K446" s="16" t="n">
        <f aca="false">IF(J446=1,E446,0)</f>
        <v>235.578295074231</v>
      </c>
      <c r="L446" s="17" t="n">
        <f aca="false">IF(D446=1,E446+W_board*F446,"")</f>
        <v>828.275921630697</v>
      </c>
      <c r="M446" s="24" t="n">
        <v>0</v>
      </c>
      <c r="Q446" s="24" t="n">
        <v>2</v>
      </c>
      <c r="R446" s="24" t="n">
        <v>100</v>
      </c>
      <c r="S446" s="25" t="n">
        <v>0.191769083863479</v>
      </c>
      <c r="T446" s="24" t="n">
        <v>2</v>
      </c>
      <c r="U446" s="24" t="n">
        <v>150</v>
      </c>
      <c r="V446" s="25" t="n">
        <v>0.781046217950483</v>
      </c>
      <c r="W446" s="24" t="n">
        <v>3</v>
      </c>
      <c r="X446" s="24" t="n">
        <v>100</v>
      </c>
      <c r="Y446" s="25" t="n">
        <v>0.0271846981860388</v>
      </c>
      <c r="Z446" s="12" t="str">
        <f aca="false">IF(AND($J446=1,$M446=1),N446*E446/Span_P+O446*F446/Span_S+P446*G446/Span_B,"")</f>
        <v/>
      </c>
      <c r="AA446" s="12" t="str">
        <f aca="false">IF(AND($J446=1,$M446=1),SUMPRODUCT(MAX($J$6:$J$1062*(N446*$K$6:$K$1062/Span_P+O446*$F$6:$F$1062/Span_S+P446*$G$6:$G$1062/Span_B)-(1-$J$6:$J$1062)*1000000000)),"")</f>
        <v/>
      </c>
      <c r="AB446" s="15" t="str">
        <f aca="false">IF(AND($J446=1,$M446=1),IF(AA446-Z446&lt;=0.000000001,1,0),"")</f>
        <v/>
      </c>
      <c r="AC446" s="13" t="n">
        <f aca="false">IF(AND($J446=1,$M446=0),IF(S446="",0,S446*INDEX(Grid!$B$6:$H$156,R446+1,Q446+1))+IF(V446="",0,V446*INDEX(Grid!$B$6:$H$156,U446+1,T446+1))+IF(Y446="",0,Y446*INDEX(Grid!$B$6:$H$156,X446+1,W446+1)),"")</f>
        <v>238.118679360347</v>
      </c>
      <c r="AD446" s="13" t="n">
        <f aca="false">IF(AND($J446=1,$M446=0),IF(S446="",0,S446*Val_pt*(Ceiling_e-E_zero)*(1-(1-Half_gap)^Q446))+IF(V446="",0,V446*Val_pt*(Ceiling_e-E_zero)*(1-(1-Half_gap)^T446))+IF(Y446="",0,Y446*Val_pt*(Ceiling_e-E_zero)*(1-(1-Half_gap)^W446)),"")</f>
        <v>105.475732218256</v>
      </c>
      <c r="AE446" s="13" t="n">
        <f aca="false">IF(AND($J446=1,$M446=0),IF(S446="",0,S446*R446)+IF(V446="",0,V446*U446)+IF(Y446="",0,Y446*X446),"")</f>
        <v>139.052310897524</v>
      </c>
      <c r="AF446" s="12" t="n">
        <f aca="false">IF(AND($J446=1,$M446=0),MIN((AC446-E446)/Span_P,(AD446-F446)/Span_S,(AE446-G446)/Span_B),"")</f>
        <v>0.00701540598349428</v>
      </c>
      <c r="AG446" s="15" t="n">
        <f aca="false">IF(AND($J446=1,$M446=0),IF(AF446&gt;0.0000001,1,0),"")</f>
        <v>1</v>
      </c>
      <c r="AH446" s="15" t="n">
        <f aca="false">IF($J446=1,IF($M446=1,AB446,AG446),"")</f>
        <v>1</v>
      </c>
      <c r="AI446" s="13" t="n">
        <f aca="false">IF($J446=1,(Ideal_P-E446)/Span_P,"")</f>
        <v>0.410353090163434</v>
      </c>
      <c r="AJ446" s="13" t="n">
        <f aca="false">IF($J446=1,(Ideal_S-F446)/Span_S,"")</f>
        <v>0.483870967741936</v>
      </c>
      <c r="AK446" s="13" t="n">
        <f aca="false">IF($J446=1,(Ideal_B-G446)/Span_B,"")</f>
        <v>0.08</v>
      </c>
      <c r="AL446" s="12" t="n">
        <f aca="false">IF($J446=1,MAX(ChA_1*AI446,ChA_2*AJ446,ChA_3*AK446)+Rho*(ChA_1*AI446+ChA_2*AJ446+ChA_3*AK446),"")</f>
        <v>0.483968390147726</v>
      </c>
      <c r="AM446" s="12" t="n">
        <f aca="false">IF($J446=1,MAX(ChB_1*AI446,ChB_2*AJ446,ChB_3*AK446)+Rho*(ChB_1*AI446+ChB_2*AJ446+ChB_3*AK446),"")</f>
        <v>0.820844638041675</v>
      </c>
      <c r="AN446" s="12" t="n">
        <f aca="false">IF($J446=1,MAX(Cx_1*(Ref_P-E446)/Span_P,Cx_2*(Ref_S-F446)/Span_S,Cx_3*(Ref_B-G446)/Span_B),"")</f>
        <v>2.09439124487004</v>
      </c>
    </row>
    <row r="447" customFormat="false" ht="15" hidden="false" customHeight="false" outlineLevel="0" collapsed="false">
      <c r="A447" s="2" t="n">
        <v>441</v>
      </c>
      <c r="B447" s="15" t="n">
        <f aca="false">INT(A447/151)</f>
        <v>2</v>
      </c>
      <c r="C447" s="15" t="n">
        <f aca="false">MOD(A447,151)</f>
        <v>139</v>
      </c>
      <c r="D447" s="15" t="n">
        <f aca="false">INDEX(Grid!$J$6:$P$156,C447+1,B447+1)</f>
        <v>1</v>
      </c>
      <c r="E447" s="16" t="n">
        <f aca="false">IF(D447=1,INDEX(Grid!$B$6:$H$156,C447+1,B447+1),"")</f>
        <v>234.66920416514</v>
      </c>
      <c r="F447" s="13" t="n">
        <f aca="false">Val_pt*(Ceiling_e-E_zero)*(1-(1-Half_gap)^B447)</f>
        <v>105</v>
      </c>
      <c r="G447" s="15" t="n">
        <f aca="false">C447</f>
        <v>139</v>
      </c>
      <c r="H447" s="15" t="n">
        <f aca="false">IF(D447=1,INDEX(Grid!$R$6:$X$156,C447+1,B447+1),"")</f>
        <v>40</v>
      </c>
      <c r="I447" s="2" t="str">
        <f aca="false">IF(D447=1,INDEX(Sch_label,H447+1),"")</f>
        <v>1, 3</v>
      </c>
      <c r="J447" s="15" t="n">
        <f aca="false">IF(D447=1,INDEX(Grid!$Z$6:$AF$156,C447+1,B447+1),0)</f>
        <v>1</v>
      </c>
      <c r="K447" s="16" t="n">
        <f aca="false">IF(J447=1,E447,0)</f>
        <v>234.66920416514</v>
      </c>
      <c r="L447" s="17" t="n">
        <f aca="false">IF(D447=1,E447+W_board*F447,"")</f>
        <v>827.366830721606</v>
      </c>
      <c r="M447" s="24" t="n">
        <v>0</v>
      </c>
      <c r="Q447" s="24" t="n">
        <v>2</v>
      </c>
      <c r="R447" s="24" t="n">
        <v>100</v>
      </c>
      <c r="S447" s="25" t="n">
        <v>0.175788326874856</v>
      </c>
      <c r="T447" s="24" t="n">
        <v>2</v>
      </c>
      <c r="U447" s="24" t="n">
        <v>150</v>
      </c>
      <c r="V447" s="25" t="n">
        <v>0.799292366454607</v>
      </c>
      <c r="W447" s="24" t="n">
        <v>3</v>
      </c>
      <c r="X447" s="24" t="n">
        <v>100</v>
      </c>
      <c r="Y447" s="25" t="n">
        <v>0.024919306670536</v>
      </c>
      <c r="Z447" s="12" t="str">
        <f aca="false">IF(AND($J447=1,$M447=1),N447*E447/Span_P+O447*F447/Span_S+P447*G447/Span_B,"")</f>
        <v/>
      </c>
      <c r="AA447" s="12" t="str">
        <f aca="false">IF(AND($J447=1,$M447=1),SUMPRODUCT(MAX($J$6:$J$1062*(N447*$K$6:$K$1062/Span_P+O447*$F$6:$F$1062/Span_S+P447*$G$6:$G$1062/Span_B)-(1-$J$6:$J$1062)*1000000000)),"")</f>
        <v/>
      </c>
      <c r="AB447" s="15" t="str">
        <f aca="false">IF(AND($J447=1,$M447=1),IF(AA447-Z447&lt;=0.000000001,1,0),"")</f>
        <v/>
      </c>
      <c r="AC447" s="13" t="n">
        <f aca="false">IF(AND($J447=1,$M447=0),IF(S447="",0,S447*INDEX(Grid!$B$6:$H$156,R447+1,Q447+1))+IF(V447="",0,V447*INDEX(Grid!$B$6:$H$156,U447+1,T447+1))+IF(Y447="",0,Y447*INDEX(Grid!$B$6:$H$156,X447+1,W447+1)),"")</f>
        <v>236.997889760746</v>
      </c>
      <c r="AD447" s="13" t="n">
        <f aca="false">IF(AND($J447=1,$M447=0),IF(S447="",0,S447*Val_pt*(Ceiling_e-E_zero)*(1-(1-Half_gap)^Q447))+IF(V447="",0,V447*Val_pt*(Ceiling_e-E_zero)*(1-(1-Half_gap)^T447))+IF(Y447="",0,Y447*Val_pt*(Ceiling_e-E_zero)*(1-(1-Half_gap)^W447)),"")</f>
        <v>105.436087866734</v>
      </c>
      <c r="AE447" s="13" t="n">
        <f aca="false">IF(AND($J447=1,$M447=0),IF(S447="",0,S447*R447)+IF(V447="",0,V447*U447)+IF(Y447="",0,Y447*X447),"")</f>
        <v>139.96461832273</v>
      </c>
      <c r="AF447" s="12" t="n">
        <f aca="false">IF(AND($J447=1,$M447=0),MIN((AC447-E447)/Span_P,(AD447-F447)/Span_S,(AE447-G447)/Span_B),"")</f>
        <v>0.00643078881819952</v>
      </c>
      <c r="AG447" s="15" t="n">
        <f aca="false">IF(AND($J447=1,$M447=0),IF(AF447&gt;0.0000001,1,0),"")</f>
        <v>1</v>
      </c>
      <c r="AH447" s="15" t="n">
        <f aca="false">IF($J447=1,IF($M447=1,AB447,AG447),"")</f>
        <v>1</v>
      </c>
      <c r="AI447" s="13" t="n">
        <f aca="false">IF($J447=1,(Ideal_P-E447)/Span_P,"")</f>
        <v>0.41286359293974</v>
      </c>
      <c r="AJ447" s="13" t="n">
        <f aca="false">IF($J447=1,(Ideal_S-F447)/Span_S,"")</f>
        <v>0.483870967741936</v>
      </c>
      <c r="AK447" s="13" t="n">
        <f aca="false">IF($J447=1,(Ideal_B-G447)/Span_B,"")</f>
        <v>0.0733333333333333</v>
      </c>
      <c r="AL447" s="12" t="n">
        <f aca="false">IF($J447=1,MAX(ChA_1*AI447,ChA_2*AJ447,ChA_3*AK447)+Rho*(ChA_1*AI447+ChA_2*AJ447+ChA_3*AK447),"")</f>
        <v>0.483967974531337</v>
      </c>
      <c r="AM447" s="12" t="n">
        <f aca="false">IF($J447=1,MAX(ChB_1*AI447,ChB_2*AJ447,ChB_3*AK447)+Rho*(ChB_1*AI447+ChB_2*AJ447+ChB_3*AK447),"")</f>
        <v>0.825865479028176</v>
      </c>
      <c r="AN447" s="12" t="n">
        <f aca="false">IF($J447=1,MAX(Cx_1*(Ref_P-E447)/Span_P,Cx_2*(Ref_S-F447)/Span_S,Cx_3*(Ref_B-G447)/Span_B),"")</f>
        <v>2.09439124487004</v>
      </c>
    </row>
    <row r="448" customFormat="false" ht="15" hidden="false" customHeight="false" outlineLevel="0" collapsed="false">
      <c r="A448" s="2" t="n">
        <v>442</v>
      </c>
      <c r="B448" s="15" t="n">
        <f aca="false">INT(A448/151)</f>
        <v>2</v>
      </c>
      <c r="C448" s="15" t="n">
        <f aca="false">MOD(A448,151)</f>
        <v>140</v>
      </c>
      <c r="D448" s="15" t="n">
        <f aca="false">INDEX(Grid!$J$6:$P$156,C448+1,B448+1)</f>
        <v>1</v>
      </c>
      <c r="E448" s="16" t="n">
        <f aca="false">IF(D448=1,INDEX(Grid!$B$6:$H$156,C448+1,B448+1),"")</f>
        <v>233.760113256049</v>
      </c>
      <c r="F448" s="13" t="n">
        <f aca="false">Val_pt*(Ceiling_e-E_zero)*(1-(1-Half_gap)^B448)</f>
        <v>105</v>
      </c>
      <c r="G448" s="15" t="n">
        <f aca="false">C448</f>
        <v>140</v>
      </c>
      <c r="H448" s="15" t="n">
        <f aca="false">IF(D448=1,INDEX(Grid!$R$6:$X$156,C448+1,B448+1),"")</f>
        <v>40</v>
      </c>
      <c r="I448" s="2" t="str">
        <f aca="false">IF(D448=1,INDEX(Sch_label,H448+1),"")</f>
        <v>1, 3</v>
      </c>
      <c r="J448" s="15" t="n">
        <f aca="false">IF(D448=1,INDEX(Grid!$Z$6:$AF$156,C448+1,B448+1),0)</f>
        <v>1</v>
      </c>
      <c r="K448" s="16" t="n">
        <f aca="false">IF(J448=1,E448,0)</f>
        <v>233.760113256049</v>
      </c>
      <c r="L448" s="17" t="n">
        <f aca="false">IF(D448=1,E448+W_board*F448,"")</f>
        <v>826.457739812516</v>
      </c>
      <c r="M448" s="24" t="n">
        <v>0</v>
      </c>
      <c r="Q448" s="24" t="n">
        <v>2</v>
      </c>
      <c r="R448" s="24" t="n">
        <v>100</v>
      </c>
      <c r="S448" s="25" t="n">
        <v>0.159807569886232</v>
      </c>
      <c r="T448" s="24" t="n">
        <v>2</v>
      </c>
      <c r="U448" s="24" t="n">
        <v>150</v>
      </c>
      <c r="V448" s="25" t="n">
        <v>0.817538514958734</v>
      </c>
      <c r="W448" s="24" t="n">
        <v>3</v>
      </c>
      <c r="X448" s="24" t="n">
        <v>100</v>
      </c>
      <c r="Y448" s="25" t="n">
        <v>0.0226539151550338</v>
      </c>
      <c r="Z448" s="12" t="str">
        <f aca="false">IF(AND($J448=1,$M448=1),N448*E448/Span_P+O448*F448/Span_S+P448*G448/Span_B,"")</f>
        <v/>
      </c>
      <c r="AA448" s="12" t="str">
        <f aca="false">IF(AND($J448=1,$M448=1),SUMPRODUCT(MAX($J$6:$J$1062*(N448*$K$6:$K$1062/Span_P+O448*$F$6:$F$1062/Span_S+P448*$G$6:$G$1062/Span_B)-(1-$J$6:$J$1062)*1000000000)),"")</f>
        <v/>
      </c>
      <c r="AB448" s="15" t="str">
        <f aca="false">IF(AND($J448=1,$M448=1),IF(AA448-Z448&lt;=0.000000001,1,0),"")</f>
        <v/>
      </c>
      <c r="AC448" s="13" t="n">
        <f aca="false">IF(AND($J448=1,$M448=0),IF(S448="",0,S448*INDEX(Grid!$B$6:$H$156,R448+1,Q448+1))+IF(V448="",0,V448*INDEX(Grid!$B$6:$H$156,U448+1,T448+1))+IF(Y448="",0,Y448*INDEX(Grid!$B$6:$H$156,X448+1,W448+1)),"")</f>
        <v>235.877100161145</v>
      </c>
      <c r="AD448" s="13" t="n">
        <f aca="false">IF(AND($J448=1,$M448=0),IF(S448="",0,S448*Val_pt*(Ceiling_e-E_zero)*(1-(1-Half_gap)^Q448))+IF(V448="",0,V448*Val_pt*(Ceiling_e-E_zero)*(1-(1-Half_gap)^T448))+IF(Y448="",0,Y448*Val_pt*(Ceiling_e-E_zero)*(1-(1-Half_gap)^W448)),"")</f>
        <v>105.396443515213</v>
      </c>
      <c r="AE448" s="13" t="n">
        <f aca="false">IF(AND($J448=1,$M448=0),IF(S448="",0,S448*R448)+IF(V448="",0,V448*U448)+IF(Y448="",0,Y448*X448),"")</f>
        <v>140.876925747937</v>
      </c>
      <c r="AF448" s="12" t="n">
        <f aca="false">IF(AND($J448=1,$M448=0),MIN((AC448-E448)/Span_P,(AD448-F448)/Span_S,(AE448-G448)/Span_B),"")</f>
        <v>0.00584617165291149</v>
      </c>
      <c r="AG448" s="15" t="n">
        <f aca="false">IF(AND($J448=1,$M448=0),IF(AF448&gt;0.0000001,1,0),"")</f>
        <v>1</v>
      </c>
      <c r="AH448" s="15" t="n">
        <f aca="false">IF($J448=1,IF($M448=1,AB448,AG448),"")</f>
        <v>1</v>
      </c>
      <c r="AI448" s="13" t="n">
        <f aca="false">IF($J448=1,(Ideal_P-E448)/Span_P,"")</f>
        <v>0.415374095716046</v>
      </c>
      <c r="AJ448" s="13" t="n">
        <f aca="false">IF($J448=1,(Ideal_S-F448)/Span_S,"")</f>
        <v>0.483870967741936</v>
      </c>
      <c r="AK448" s="13" t="n">
        <f aca="false">IF($J448=1,(Ideal_B-G448)/Span_B,"")</f>
        <v>0.0666666666666667</v>
      </c>
      <c r="AL448" s="12" t="n">
        <f aca="false">IF($J448=1,MAX(ChA_1*AI448,ChA_2*AJ448,ChA_3*AK448)+Rho*(ChA_1*AI448+ChA_2*AJ448+ChA_3*AK448),"")</f>
        <v>0.483967558914948</v>
      </c>
      <c r="AM448" s="12" t="n">
        <f aca="false">IF($J448=1,MAX(ChB_1*AI448,ChB_2*AJ448,ChB_3*AK448)+Rho*(ChB_1*AI448+ChB_2*AJ448+ChB_3*AK448),"")</f>
        <v>0.830886320014676</v>
      </c>
      <c r="AN448" s="12" t="n">
        <f aca="false">IF($J448=1,MAX(Cx_1*(Ref_P-E448)/Span_P,Cx_2*(Ref_S-F448)/Span_S,Cx_3*(Ref_B-G448)/Span_B),"")</f>
        <v>2.09439124487004</v>
      </c>
    </row>
    <row r="449" customFormat="false" ht="15" hidden="false" customHeight="false" outlineLevel="0" collapsed="false">
      <c r="A449" s="2" t="n">
        <v>443</v>
      </c>
      <c r="B449" s="15" t="n">
        <f aca="false">INT(A449/151)</f>
        <v>2</v>
      </c>
      <c r="C449" s="15" t="n">
        <f aca="false">MOD(A449,151)</f>
        <v>141</v>
      </c>
      <c r="D449" s="15" t="n">
        <f aca="false">INDEX(Grid!$J$6:$P$156,C449+1,B449+1)</f>
        <v>1</v>
      </c>
      <c r="E449" s="16" t="n">
        <f aca="false">IF(D449=1,INDEX(Grid!$B$6:$H$156,C449+1,B449+1),"")</f>
        <v>232.851022346958</v>
      </c>
      <c r="F449" s="13" t="n">
        <f aca="false">Val_pt*(Ceiling_e-E_zero)*(1-(1-Half_gap)^B449)</f>
        <v>105</v>
      </c>
      <c r="G449" s="15" t="n">
        <f aca="false">C449</f>
        <v>141</v>
      </c>
      <c r="H449" s="15" t="n">
        <f aca="false">IF(D449=1,INDEX(Grid!$R$6:$X$156,C449+1,B449+1),"")</f>
        <v>40</v>
      </c>
      <c r="I449" s="2" t="str">
        <f aca="false">IF(D449=1,INDEX(Sch_label,H449+1),"")</f>
        <v>1, 3</v>
      </c>
      <c r="J449" s="15" t="n">
        <f aca="false">IF(D449=1,INDEX(Grid!$Z$6:$AF$156,C449+1,B449+1),0)</f>
        <v>1</v>
      </c>
      <c r="K449" s="16" t="n">
        <f aca="false">IF(J449=1,E449,0)</f>
        <v>232.851022346958</v>
      </c>
      <c r="L449" s="17" t="n">
        <f aca="false">IF(D449=1,E449+W_board*F449,"")</f>
        <v>825.548648903425</v>
      </c>
      <c r="M449" s="24" t="n">
        <v>0</v>
      </c>
      <c r="Q449" s="24" t="n">
        <v>2</v>
      </c>
      <c r="R449" s="24" t="n">
        <v>100</v>
      </c>
      <c r="S449" s="25" t="n">
        <v>0.143826812897611</v>
      </c>
      <c r="T449" s="24" t="n">
        <v>2</v>
      </c>
      <c r="U449" s="24" t="n">
        <v>150</v>
      </c>
      <c r="V449" s="25" t="n">
        <v>0.835784663462861</v>
      </c>
      <c r="W449" s="24" t="n">
        <v>3</v>
      </c>
      <c r="X449" s="24" t="n">
        <v>100</v>
      </c>
      <c r="Y449" s="25" t="n">
        <v>0.02038852363953</v>
      </c>
      <c r="Z449" s="12" t="str">
        <f aca="false">IF(AND($J449=1,$M449=1),N449*E449/Span_P+O449*F449/Span_S+P449*G449/Span_B,"")</f>
        <v/>
      </c>
      <c r="AA449" s="12" t="str">
        <f aca="false">IF(AND($J449=1,$M449=1),SUMPRODUCT(MAX($J$6:$J$1062*(N449*$K$6:$K$1062/Span_P+O449*$F$6:$F$1062/Span_S+P449*$G$6:$G$1062/Span_B)-(1-$J$6:$J$1062)*1000000000)),"")</f>
        <v/>
      </c>
      <c r="AB449" s="15" t="str">
        <f aca="false">IF(AND($J449=1,$M449=1),IF(AA449-Z449&lt;=0.000000001,1,0),"")</f>
        <v/>
      </c>
      <c r="AC449" s="13" t="n">
        <f aca="false">IF(AND($J449=1,$M449=0),IF(S449="",0,S449*INDEX(Grid!$B$6:$H$156,R449+1,Q449+1))+IF(V449="",0,V449*INDEX(Grid!$B$6:$H$156,U449+1,T449+1))+IF(Y449="",0,Y449*INDEX(Grid!$B$6:$H$156,X449+1,W449+1)),"")</f>
        <v>234.756310561545</v>
      </c>
      <c r="AD449" s="13" t="n">
        <f aca="false">IF(AND($J449=1,$M449=0),IF(S449="",0,S449*Val_pt*(Ceiling_e-E_zero)*(1-(1-Half_gap)^Q449))+IF(V449="",0,V449*Val_pt*(Ceiling_e-E_zero)*(1-(1-Half_gap)^T449))+IF(Y449="",0,Y449*Val_pt*(Ceiling_e-E_zero)*(1-(1-Half_gap)^W449)),"")</f>
        <v>105.356799163692</v>
      </c>
      <c r="AE449" s="13" t="n">
        <f aca="false">IF(AND($J449=1,$M449=0),IF(S449="",0,S449*R449)+IF(V449="",0,V449*U449)+IF(Y449="",0,Y449*X449),"")</f>
        <v>141.789233173143</v>
      </c>
      <c r="AF449" s="12" t="n">
        <f aca="false">IF(AND($J449=1,$M449=0),MIN((AC449-E449)/Span_P,(AD449-F449)/Span_S,(AE449-G449)/Span_B),"")</f>
        <v>0.00526155448762135</v>
      </c>
      <c r="AG449" s="15" t="n">
        <f aca="false">IF(AND($J449=1,$M449=0),IF(AF449&gt;0.0000001,1,0),"")</f>
        <v>1</v>
      </c>
      <c r="AH449" s="15" t="n">
        <f aca="false">IF($J449=1,IF($M449=1,AB449,AG449),"")</f>
        <v>1</v>
      </c>
      <c r="AI449" s="13" t="n">
        <f aca="false">IF($J449=1,(Ideal_P-E449)/Span_P,"")</f>
        <v>0.417884598492352</v>
      </c>
      <c r="AJ449" s="13" t="n">
        <f aca="false">IF($J449=1,(Ideal_S-F449)/Span_S,"")</f>
        <v>0.483870967741936</v>
      </c>
      <c r="AK449" s="13" t="n">
        <f aca="false">IF($J449=1,(Ideal_B-G449)/Span_B,"")</f>
        <v>0.06</v>
      </c>
      <c r="AL449" s="12" t="n">
        <f aca="false">IF($J449=1,MAX(ChA_1*AI449,ChA_2*AJ449,ChA_3*AK449)+Rho*(ChA_1*AI449+ChA_2*AJ449+ChA_3*AK449),"")</f>
        <v>0.483967143298559</v>
      </c>
      <c r="AM449" s="12" t="n">
        <f aca="false">IF($J449=1,MAX(ChB_1*AI449,ChB_2*AJ449,ChB_3*AK449)+Rho*(ChB_1*AI449+ChB_2*AJ449+ChB_3*AK449),"")</f>
        <v>0.835907161001176</v>
      </c>
      <c r="AN449" s="12" t="n">
        <f aca="false">IF($J449=1,MAX(Cx_1*(Ref_P-E449)/Span_P,Cx_2*(Ref_S-F449)/Span_S,Cx_3*(Ref_B-G449)/Span_B),"")</f>
        <v>2.09439124487004</v>
      </c>
    </row>
    <row r="450" customFormat="false" ht="15" hidden="false" customHeight="false" outlineLevel="0" collapsed="false">
      <c r="A450" s="2" t="n">
        <v>444</v>
      </c>
      <c r="B450" s="15" t="n">
        <f aca="false">INT(A450/151)</f>
        <v>2</v>
      </c>
      <c r="C450" s="15" t="n">
        <f aca="false">MOD(A450,151)</f>
        <v>142</v>
      </c>
      <c r="D450" s="15" t="n">
        <f aca="false">INDEX(Grid!$J$6:$P$156,C450+1,B450+1)</f>
        <v>1</v>
      </c>
      <c r="E450" s="16" t="n">
        <f aca="false">IF(D450=1,INDEX(Grid!$B$6:$H$156,C450+1,B450+1),"")</f>
        <v>231.941931437867</v>
      </c>
      <c r="F450" s="13" t="n">
        <f aca="false">Val_pt*(Ceiling_e-E_zero)*(1-(1-Half_gap)^B450)</f>
        <v>105</v>
      </c>
      <c r="G450" s="15" t="n">
        <f aca="false">C450</f>
        <v>142</v>
      </c>
      <c r="H450" s="15" t="n">
        <f aca="false">IF(D450=1,INDEX(Grid!$R$6:$X$156,C450+1,B450+1),"")</f>
        <v>40</v>
      </c>
      <c r="I450" s="2" t="str">
        <f aca="false">IF(D450=1,INDEX(Sch_label,H450+1),"")</f>
        <v>1, 3</v>
      </c>
      <c r="J450" s="15" t="n">
        <f aca="false">IF(D450=1,INDEX(Grid!$Z$6:$AF$156,C450+1,B450+1),0)</f>
        <v>1</v>
      </c>
      <c r="K450" s="16" t="n">
        <f aca="false">IF(J450=1,E450,0)</f>
        <v>231.941931437867</v>
      </c>
      <c r="L450" s="17" t="n">
        <f aca="false">IF(D450=1,E450+W_board*F450,"")</f>
        <v>824.639557994334</v>
      </c>
      <c r="M450" s="24" t="n">
        <v>0</v>
      </c>
      <c r="Q450" s="24" t="n">
        <v>2</v>
      </c>
      <c r="R450" s="24" t="n">
        <v>100</v>
      </c>
      <c r="S450" s="25" t="n">
        <v>0.127846055908987</v>
      </c>
      <c r="T450" s="24" t="n">
        <v>2</v>
      </c>
      <c r="U450" s="24" t="n">
        <v>150</v>
      </c>
      <c r="V450" s="25" t="n">
        <v>0.85403081196699</v>
      </c>
      <c r="W450" s="24" t="n">
        <v>3</v>
      </c>
      <c r="X450" s="24" t="n">
        <v>100</v>
      </c>
      <c r="Y450" s="25" t="n">
        <v>0.0181231321240263</v>
      </c>
      <c r="Z450" s="12" t="str">
        <f aca="false">IF(AND($J450=1,$M450=1),N450*E450/Span_P+O450*F450/Span_S+P450*G450/Span_B,"")</f>
        <v/>
      </c>
      <c r="AA450" s="12" t="str">
        <f aca="false">IF(AND($J450=1,$M450=1),SUMPRODUCT(MAX($J$6:$J$1062*(N450*$K$6:$K$1062/Span_P+O450*$F$6:$F$1062/Span_S+P450*$G$6:$G$1062/Span_B)-(1-$J$6:$J$1062)*1000000000)),"")</f>
        <v/>
      </c>
      <c r="AB450" s="15" t="str">
        <f aca="false">IF(AND($J450=1,$M450=1),IF(AA450-Z450&lt;=0.000000001,1,0),"")</f>
        <v/>
      </c>
      <c r="AC450" s="13" t="n">
        <f aca="false">IF(AND($J450=1,$M450=0),IF(S450="",0,S450*INDEX(Grid!$B$6:$H$156,R450+1,Q450+1))+IF(V450="",0,V450*INDEX(Grid!$B$6:$H$156,U450+1,T450+1))+IF(Y450="",0,Y450*INDEX(Grid!$B$6:$H$156,X450+1,W450+1)),"")</f>
        <v>233.635520961945</v>
      </c>
      <c r="AD450" s="13" t="n">
        <f aca="false">IF(AND($J450=1,$M450=0),IF(S450="",0,S450*Val_pt*(Ceiling_e-E_zero)*(1-(1-Half_gap)^Q450))+IF(V450="",0,V450*Val_pt*(Ceiling_e-E_zero)*(1-(1-Half_gap)^T450))+IF(Y450="",0,Y450*Val_pt*(Ceiling_e-E_zero)*(1-(1-Half_gap)^W450)),"")</f>
        <v>105.317154812171</v>
      </c>
      <c r="AE450" s="13" t="n">
        <f aca="false">IF(AND($J450=1,$M450=0),IF(S450="",0,S450*R450)+IF(V450="",0,V450*U450)+IF(Y450="",0,Y450*X450),"")</f>
        <v>142.70154059835</v>
      </c>
      <c r="AF450" s="12" t="n">
        <f aca="false">IF(AND($J450=1,$M450=0),MIN((AC450-E450)/Span_P,(AD450-F450)/Span_S,(AE450-G450)/Span_B),"")</f>
        <v>0.0046769373223314</v>
      </c>
      <c r="AG450" s="15" t="n">
        <f aca="false">IF(AND($J450=1,$M450=0),IF(AF450&gt;0.0000001,1,0),"")</f>
        <v>1</v>
      </c>
      <c r="AH450" s="15" t="n">
        <f aca="false">IF($J450=1,IF($M450=1,AB450,AG450),"")</f>
        <v>1</v>
      </c>
      <c r="AI450" s="13" t="n">
        <f aca="false">IF($J450=1,(Ideal_P-E450)/Span_P,"")</f>
        <v>0.420395101268657</v>
      </c>
      <c r="AJ450" s="13" t="n">
        <f aca="false">IF($J450=1,(Ideal_S-F450)/Span_S,"")</f>
        <v>0.483870967741936</v>
      </c>
      <c r="AK450" s="13" t="n">
        <f aca="false">IF($J450=1,(Ideal_B-G450)/Span_B,"")</f>
        <v>0.0533333333333333</v>
      </c>
      <c r="AL450" s="12" t="n">
        <f aca="false">IF($J450=1,MAX(ChA_1*AI450,ChA_2*AJ450,ChA_3*AK450)+Rho*(ChA_1*AI450+ChA_2*AJ450+ChA_3*AK450),"")</f>
        <v>0.48396672768217</v>
      </c>
      <c r="AM450" s="12" t="n">
        <f aca="false">IF($J450=1,MAX(ChB_1*AI450,ChB_2*AJ450,ChB_3*AK450)+Rho*(ChB_1*AI450+ChB_2*AJ450+ChB_3*AK450),"")</f>
        <v>0.840928001987676</v>
      </c>
      <c r="AN450" s="12" t="n">
        <f aca="false">IF($J450=1,MAX(Cx_1*(Ref_P-E450)/Span_P,Cx_2*(Ref_S-F450)/Span_S,Cx_3*(Ref_B-G450)/Span_B),"")</f>
        <v>2.09439124487004</v>
      </c>
    </row>
    <row r="451" customFormat="false" ht="15" hidden="false" customHeight="false" outlineLevel="0" collapsed="false">
      <c r="A451" s="2" t="n">
        <v>445</v>
      </c>
      <c r="B451" s="15" t="n">
        <f aca="false">INT(A451/151)</f>
        <v>2</v>
      </c>
      <c r="C451" s="15" t="n">
        <f aca="false">MOD(A451,151)</f>
        <v>143</v>
      </c>
      <c r="D451" s="15" t="n">
        <f aca="false">INDEX(Grid!$J$6:$P$156,C451+1,B451+1)</f>
        <v>1</v>
      </c>
      <c r="E451" s="16" t="n">
        <f aca="false">IF(D451=1,INDEX(Grid!$B$6:$H$156,C451+1,B451+1),"")</f>
        <v>231.032840528777</v>
      </c>
      <c r="F451" s="13" t="n">
        <f aca="false">Val_pt*(Ceiling_e-E_zero)*(1-(1-Half_gap)^B451)</f>
        <v>105</v>
      </c>
      <c r="G451" s="15" t="n">
        <f aca="false">C451</f>
        <v>143</v>
      </c>
      <c r="H451" s="15" t="n">
        <f aca="false">IF(D451=1,INDEX(Grid!$R$6:$X$156,C451+1,B451+1),"")</f>
        <v>40</v>
      </c>
      <c r="I451" s="2" t="str">
        <f aca="false">IF(D451=1,INDEX(Sch_label,H451+1),"")</f>
        <v>1, 3</v>
      </c>
      <c r="J451" s="15" t="n">
        <f aca="false">IF(D451=1,INDEX(Grid!$Z$6:$AF$156,C451+1,B451+1),0)</f>
        <v>1</v>
      </c>
      <c r="K451" s="16" t="n">
        <f aca="false">IF(J451=1,E451,0)</f>
        <v>231.032840528777</v>
      </c>
      <c r="L451" s="17" t="n">
        <f aca="false">IF(D451=1,E451+W_board*F451,"")</f>
        <v>823.730467085243</v>
      </c>
      <c r="M451" s="24" t="n">
        <v>0</v>
      </c>
      <c r="Q451" s="24" t="n">
        <v>2</v>
      </c>
      <c r="R451" s="24" t="n">
        <v>100</v>
      </c>
      <c r="S451" s="25" t="n">
        <v>0.111865298920365</v>
      </c>
      <c r="T451" s="24" t="n">
        <v>2</v>
      </c>
      <c r="U451" s="24" t="n">
        <v>150</v>
      </c>
      <c r="V451" s="25" t="n">
        <v>0.872276960471117</v>
      </c>
      <c r="W451" s="24" t="n">
        <v>3</v>
      </c>
      <c r="X451" s="24" t="n">
        <v>100</v>
      </c>
      <c r="Y451" s="25" t="n">
        <v>0.0158577406085201</v>
      </c>
      <c r="Z451" s="12" t="str">
        <f aca="false">IF(AND($J451=1,$M451=1),N451*E451/Span_P+O451*F451/Span_S+P451*G451/Span_B,"")</f>
        <v/>
      </c>
      <c r="AA451" s="12" t="str">
        <f aca="false">IF(AND($J451=1,$M451=1),SUMPRODUCT(MAX($J$6:$J$1062*(N451*$K$6:$K$1062/Span_P+O451*$F$6:$F$1062/Span_S+P451*$G$6:$G$1062/Span_B)-(1-$J$6:$J$1062)*1000000000)),"")</f>
        <v/>
      </c>
      <c r="AB451" s="15" t="str">
        <f aca="false">IF(AND($J451=1,$M451=1),IF(AA451-Z451&lt;=0.000000001,1,0),"")</f>
        <v/>
      </c>
      <c r="AC451" s="13" t="n">
        <f aca="false">IF(AND($J451=1,$M451=0),IF(S451="",0,S451*INDEX(Grid!$B$6:$H$156,R451+1,Q451+1))+IF(V451="",0,V451*INDEX(Grid!$B$6:$H$156,U451+1,T451+1))+IF(Y451="",0,Y451*INDEX(Grid!$B$6:$H$156,X451+1,W451+1)),"")</f>
        <v>232.514731362344</v>
      </c>
      <c r="AD451" s="13" t="n">
        <f aca="false">IF(AND($J451=1,$M451=0),IF(S451="",0,S451*Val_pt*(Ceiling_e-E_zero)*(1-(1-Half_gap)^Q451))+IF(V451="",0,V451*Val_pt*(Ceiling_e-E_zero)*(1-(1-Half_gap)^T451))+IF(Y451="",0,Y451*Val_pt*(Ceiling_e-E_zero)*(1-(1-Half_gap)^W451)),"")</f>
        <v>105.277510460649</v>
      </c>
      <c r="AE451" s="13" t="n">
        <f aca="false">IF(AND($J451=1,$M451=0),IF(S451="",0,S451*R451)+IF(V451="",0,V451*U451)+IF(Y451="",0,Y451*X451),"")</f>
        <v>143.613848023556</v>
      </c>
      <c r="AF451" s="12" t="n">
        <f aca="false">IF(AND($J451=1,$M451=0),MIN((AC451-E451)/Span_P,(AD451-F451)/Span_S,(AE451-G451)/Span_B),"")</f>
        <v>0.00409232015703929</v>
      </c>
      <c r="AG451" s="15" t="n">
        <f aca="false">IF(AND($J451=1,$M451=0),IF(AF451&gt;0.0000001,1,0),"")</f>
        <v>1</v>
      </c>
      <c r="AH451" s="15" t="n">
        <f aca="false">IF($J451=1,IF($M451=1,AB451,AG451),"")</f>
        <v>1</v>
      </c>
      <c r="AI451" s="13" t="n">
        <f aca="false">IF($J451=1,(Ideal_P-E451)/Span_P,"")</f>
        <v>0.422905604044963</v>
      </c>
      <c r="AJ451" s="13" t="n">
        <f aca="false">IF($J451=1,(Ideal_S-F451)/Span_S,"")</f>
        <v>0.483870967741936</v>
      </c>
      <c r="AK451" s="13" t="n">
        <f aca="false">IF($J451=1,(Ideal_B-G451)/Span_B,"")</f>
        <v>0.0466666666666667</v>
      </c>
      <c r="AL451" s="12" t="n">
        <f aca="false">IF($J451=1,MAX(ChA_1*AI451,ChA_2*AJ451,ChA_3*AK451)+Rho*(ChA_1*AI451+ChA_2*AJ451+ChA_3*AK451),"")</f>
        <v>0.483966312065781</v>
      </c>
      <c r="AM451" s="12" t="n">
        <f aca="false">IF($J451=1,MAX(ChB_1*AI451,ChB_2*AJ451,ChB_3*AK451)+Rho*(ChB_1*AI451+ChB_2*AJ451+ChB_3*AK451),"")</f>
        <v>0.845948842974176</v>
      </c>
      <c r="AN451" s="12" t="n">
        <f aca="false">IF($J451=1,MAX(Cx_1*(Ref_P-E451)/Span_P,Cx_2*(Ref_S-F451)/Span_S,Cx_3*(Ref_B-G451)/Span_B),"")</f>
        <v>2.09439124487004</v>
      </c>
    </row>
    <row r="452" customFormat="false" ht="15" hidden="false" customHeight="false" outlineLevel="0" collapsed="false">
      <c r="A452" s="2" t="n">
        <v>446</v>
      </c>
      <c r="B452" s="15" t="n">
        <f aca="false">INT(A452/151)</f>
        <v>2</v>
      </c>
      <c r="C452" s="15" t="n">
        <f aca="false">MOD(A452,151)</f>
        <v>144</v>
      </c>
      <c r="D452" s="15" t="n">
        <f aca="false">INDEX(Grid!$J$6:$P$156,C452+1,B452+1)</f>
        <v>1</v>
      </c>
      <c r="E452" s="16" t="n">
        <f aca="false">IF(D452=1,INDEX(Grid!$B$6:$H$156,C452+1,B452+1),"")</f>
        <v>230.123749619686</v>
      </c>
      <c r="F452" s="13" t="n">
        <f aca="false">Val_pt*(Ceiling_e-E_zero)*(1-(1-Half_gap)^B452)</f>
        <v>105</v>
      </c>
      <c r="G452" s="15" t="n">
        <f aca="false">C452</f>
        <v>144</v>
      </c>
      <c r="H452" s="15" t="n">
        <f aca="false">IF(D452=1,INDEX(Grid!$R$6:$X$156,C452+1,B452+1),"")</f>
        <v>40</v>
      </c>
      <c r="I452" s="2" t="str">
        <f aca="false">IF(D452=1,INDEX(Sch_label,H452+1),"")</f>
        <v>1, 3</v>
      </c>
      <c r="J452" s="15" t="n">
        <f aca="false">IF(D452=1,INDEX(Grid!$Z$6:$AF$156,C452+1,B452+1),0)</f>
        <v>1</v>
      </c>
      <c r="K452" s="16" t="n">
        <f aca="false">IF(J452=1,E452,0)</f>
        <v>230.123749619686</v>
      </c>
      <c r="L452" s="17" t="n">
        <f aca="false">IF(D452=1,E452+W_board*F452,"")</f>
        <v>822.821376176152</v>
      </c>
      <c r="M452" s="24" t="n">
        <v>0</v>
      </c>
      <c r="Q452" s="24" t="n">
        <v>2</v>
      </c>
      <c r="R452" s="24" t="n">
        <v>100</v>
      </c>
      <c r="S452" s="25" t="n">
        <v>0.0958845419317387</v>
      </c>
      <c r="T452" s="24" t="n">
        <v>2</v>
      </c>
      <c r="U452" s="24" t="n">
        <v>150</v>
      </c>
      <c r="V452" s="25" t="n">
        <v>0.890523108975241</v>
      </c>
      <c r="W452" s="24" t="n">
        <v>3</v>
      </c>
      <c r="X452" s="24" t="n">
        <v>100</v>
      </c>
      <c r="Y452" s="25" t="n">
        <v>0.0135923490930219</v>
      </c>
      <c r="Z452" s="12" t="str">
        <f aca="false">IF(AND($J452=1,$M452=1),N452*E452/Span_P+O452*F452/Span_S+P452*G452/Span_B,"")</f>
        <v/>
      </c>
      <c r="AA452" s="12" t="str">
        <f aca="false">IF(AND($J452=1,$M452=1),SUMPRODUCT(MAX($J$6:$J$1062*(N452*$K$6:$K$1062/Span_P+O452*$F$6:$F$1062/Span_S+P452*$G$6:$G$1062/Span_B)-(1-$J$6:$J$1062)*1000000000)),"")</f>
        <v/>
      </c>
      <c r="AB452" s="15" t="str">
        <f aca="false">IF(AND($J452=1,$M452=1),IF(AA452-Z452&lt;=0.000000001,1,0),"")</f>
        <v/>
      </c>
      <c r="AC452" s="13" t="n">
        <f aca="false">IF(AND($J452=1,$M452=0),IF(S452="",0,S452*INDEX(Grid!$B$6:$H$156,R452+1,Q452+1))+IF(V452="",0,V452*INDEX(Grid!$B$6:$H$156,U452+1,T452+1))+IF(Y452="",0,Y452*INDEX(Grid!$B$6:$H$156,X452+1,W452+1)),"")</f>
        <v>231.393941762744</v>
      </c>
      <c r="AD452" s="13" t="n">
        <f aca="false">IF(AND($J452=1,$M452=0),IF(S452="",0,S452*Val_pt*(Ceiling_e-E_zero)*(1-(1-Half_gap)^Q452))+IF(V452="",0,V452*Val_pt*(Ceiling_e-E_zero)*(1-(1-Half_gap)^T452))+IF(Y452="",0,Y452*Val_pt*(Ceiling_e-E_zero)*(1-(1-Half_gap)^W452)),"")</f>
        <v>105.237866109128</v>
      </c>
      <c r="AE452" s="13" t="n">
        <f aca="false">IF(AND($J452=1,$M452=0),IF(S452="",0,S452*R452)+IF(V452="",0,V452*U452)+IF(Y452="",0,Y452*X452),"")</f>
        <v>144.526155448762</v>
      </c>
      <c r="AF452" s="12" t="n">
        <f aca="false">IF(AND($J452=1,$M452=0),MIN((AC452-E452)/Span_P,(AD452-F452)/Span_S,(AE452-G452)/Span_B),"")</f>
        <v>0.0035077029917475</v>
      </c>
      <c r="AG452" s="15" t="n">
        <f aca="false">IF(AND($J452=1,$M452=0),IF(AF452&gt;0.0000001,1,0),"")</f>
        <v>1</v>
      </c>
      <c r="AH452" s="15" t="n">
        <f aca="false">IF($J452=1,IF($M452=1,AB452,AG452),"")</f>
        <v>1</v>
      </c>
      <c r="AI452" s="13" t="n">
        <f aca="false">IF($J452=1,(Ideal_P-E452)/Span_P,"")</f>
        <v>0.425416106821269</v>
      </c>
      <c r="AJ452" s="13" t="n">
        <f aca="false">IF($J452=1,(Ideal_S-F452)/Span_S,"")</f>
        <v>0.483870967741936</v>
      </c>
      <c r="AK452" s="13" t="n">
        <f aca="false">IF($J452=1,(Ideal_B-G452)/Span_B,"")</f>
        <v>0.04</v>
      </c>
      <c r="AL452" s="12" t="n">
        <f aca="false">IF($J452=1,MAX(ChA_1*AI452,ChA_2*AJ452,ChA_3*AK452)+Rho*(ChA_1*AI452+ChA_2*AJ452+ChA_3*AK452),"")</f>
        <v>0.483965896449392</v>
      </c>
      <c r="AM452" s="12" t="n">
        <f aca="false">IF($J452=1,MAX(ChB_1*AI452,ChB_2*AJ452,ChB_3*AK452)+Rho*(ChB_1*AI452+ChB_2*AJ452+ChB_3*AK452),"")</f>
        <v>0.850969683960676</v>
      </c>
      <c r="AN452" s="12" t="n">
        <f aca="false">IF($J452=1,MAX(Cx_1*(Ref_P-E452)/Span_P,Cx_2*(Ref_S-F452)/Span_S,Cx_3*(Ref_B-G452)/Span_B),"")</f>
        <v>2.09439124487004</v>
      </c>
    </row>
    <row r="453" customFormat="false" ht="15" hidden="false" customHeight="false" outlineLevel="0" collapsed="false">
      <c r="A453" s="2" t="n">
        <v>447</v>
      </c>
      <c r="B453" s="15" t="n">
        <f aca="false">INT(A453/151)</f>
        <v>2</v>
      </c>
      <c r="C453" s="15" t="n">
        <f aca="false">MOD(A453,151)</f>
        <v>145</v>
      </c>
      <c r="D453" s="15" t="n">
        <f aca="false">INDEX(Grid!$J$6:$P$156,C453+1,B453+1)</f>
        <v>1</v>
      </c>
      <c r="E453" s="16" t="n">
        <f aca="false">IF(D453=1,INDEX(Grid!$B$6:$H$156,C453+1,B453+1),"")</f>
        <v>229.214658710595</v>
      </c>
      <c r="F453" s="13" t="n">
        <f aca="false">Val_pt*(Ceiling_e-E_zero)*(1-(1-Half_gap)^B453)</f>
        <v>105</v>
      </c>
      <c r="G453" s="15" t="n">
        <f aca="false">C453</f>
        <v>145</v>
      </c>
      <c r="H453" s="15" t="n">
        <f aca="false">IF(D453=1,INDEX(Grid!$R$6:$X$156,C453+1,B453+1),"")</f>
        <v>40</v>
      </c>
      <c r="I453" s="2" t="str">
        <f aca="false">IF(D453=1,INDEX(Sch_label,H453+1),"")</f>
        <v>1, 3</v>
      </c>
      <c r="J453" s="15" t="n">
        <f aca="false">IF(D453=1,INDEX(Grid!$Z$6:$AF$156,C453+1,B453+1),0)</f>
        <v>1</v>
      </c>
      <c r="K453" s="16" t="n">
        <f aca="false">IF(J453=1,E453,0)</f>
        <v>229.214658710595</v>
      </c>
      <c r="L453" s="17" t="n">
        <f aca="false">IF(D453=1,E453+W_board*F453,"")</f>
        <v>821.912285267061</v>
      </c>
      <c r="M453" s="24" t="n">
        <v>0</v>
      </c>
      <c r="Q453" s="24" t="n">
        <v>2</v>
      </c>
      <c r="R453" s="24" t="n">
        <v>100</v>
      </c>
      <c r="S453" s="25" t="n">
        <v>0.0799037849431181</v>
      </c>
      <c r="T453" s="24" t="n">
        <v>2</v>
      </c>
      <c r="U453" s="24" t="n">
        <v>150</v>
      </c>
      <c r="V453" s="25" t="n">
        <v>0.908769257479368</v>
      </c>
      <c r="W453" s="24" t="n">
        <v>3</v>
      </c>
      <c r="X453" s="24" t="n">
        <v>100</v>
      </c>
      <c r="Y453" s="25" t="n">
        <v>0.0113269575775158</v>
      </c>
      <c r="Z453" s="12" t="str">
        <f aca="false">IF(AND($J453=1,$M453=1),N453*E453/Span_P+O453*F453/Span_S+P453*G453/Span_B,"")</f>
        <v/>
      </c>
      <c r="AA453" s="12" t="str">
        <f aca="false">IF(AND($J453=1,$M453=1),SUMPRODUCT(MAX($J$6:$J$1062*(N453*$K$6:$K$1062/Span_P+O453*$F$6:$F$1062/Span_S+P453*$G$6:$G$1062/Span_B)-(1-$J$6:$J$1062)*1000000000)),"")</f>
        <v/>
      </c>
      <c r="AB453" s="15" t="str">
        <f aca="false">IF(AND($J453=1,$M453=1),IF(AA453-Z453&lt;=0.000000001,1,0),"")</f>
        <v/>
      </c>
      <c r="AC453" s="13" t="n">
        <f aca="false">IF(AND($J453=1,$M453=0),IF(S453="",0,S453*INDEX(Grid!$B$6:$H$156,R453+1,Q453+1))+IF(V453="",0,V453*INDEX(Grid!$B$6:$H$156,U453+1,T453+1))+IF(Y453="",0,Y453*INDEX(Grid!$B$6:$H$156,X453+1,W453+1)),"")</f>
        <v>230.273152163143</v>
      </c>
      <c r="AD453" s="13" t="n">
        <f aca="false">IF(AND($J453=1,$M453=0),IF(S453="",0,S453*Val_pt*(Ceiling_e-E_zero)*(1-(1-Half_gap)^Q453))+IF(V453="",0,V453*Val_pt*(Ceiling_e-E_zero)*(1-(1-Half_gap)^T453))+IF(Y453="",0,Y453*Val_pt*(Ceiling_e-E_zero)*(1-(1-Half_gap)^W453)),"")</f>
        <v>105.198221757607</v>
      </c>
      <c r="AE453" s="13" t="n">
        <f aca="false">IF(AND($J453=1,$M453=0),IF(S453="",0,S453*R453)+IF(V453="",0,V453*U453)+IF(Y453="",0,Y453*X453),"")</f>
        <v>145.438462873969</v>
      </c>
      <c r="AF453" s="12" t="n">
        <f aca="false">IF(AND($J453=1,$M453=0),MIN((AC453-E453)/Span_P,(AD453-F453)/Span_S,(AE453-G453)/Span_B),"")</f>
        <v>0.00292308582645698</v>
      </c>
      <c r="AG453" s="15" t="n">
        <f aca="false">IF(AND($J453=1,$M453=0),IF(AF453&gt;0.0000001,1,0),"")</f>
        <v>1</v>
      </c>
      <c r="AH453" s="15" t="n">
        <f aca="false">IF($J453=1,IF($M453=1,AB453,AG453),"")</f>
        <v>1</v>
      </c>
      <c r="AI453" s="13" t="n">
        <f aca="false">IF($J453=1,(Ideal_P-E453)/Span_P,"")</f>
        <v>0.427926609597575</v>
      </c>
      <c r="AJ453" s="13" t="n">
        <f aca="false">IF($J453=1,(Ideal_S-F453)/Span_S,"")</f>
        <v>0.483870967741936</v>
      </c>
      <c r="AK453" s="13" t="n">
        <f aca="false">IF($J453=1,(Ideal_B-G453)/Span_B,"")</f>
        <v>0.0333333333333333</v>
      </c>
      <c r="AL453" s="12" t="n">
        <f aca="false">IF($J453=1,MAX(ChA_1*AI453,ChA_2*AJ453,ChA_3*AK453)+Rho*(ChA_1*AI453+ChA_2*AJ453+ChA_3*AK453),"")</f>
        <v>0.483965480833003</v>
      </c>
      <c r="AM453" s="12" t="n">
        <f aca="false">IF($J453=1,MAX(ChB_1*AI453,ChB_2*AJ453,ChB_3*AK453)+Rho*(ChB_1*AI453+ChB_2*AJ453+ChB_3*AK453),"")</f>
        <v>0.855990524947176</v>
      </c>
      <c r="AN453" s="12" t="n">
        <f aca="false">IF($J453=1,MAX(Cx_1*(Ref_P-E453)/Span_P,Cx_2*(Ref_S-F453)/Span_S,Cx_3*(Ref_B-G453)/Span_B),"")</f>
        <v>2.09439124487004</v>
      </c>
    </row>
    <row r="454" customFormat="false" ht="15" hidden="false" customHeight="false" outlineLevel="0" collapsed="false">
      <c r="A454" s="2" t="n">
        <v>448</v>
      </c>
      <c r="B454" s="15" t="n">
        <f aca="false">INT(A454/151)</f>
        <v>2</v>
      </c>
      <c r="C454" s="15" t="n">
        <f aca="false">MOD(A454,151)</f>
        <v>146</v>
      </c>
      <c r="D454" s="15" t="n">
        <f aca="false">INDEX(Grid!$J$6:$P$156,C454+1,B454+1)</f>
        <v>1</v>
      </c>
      <c r="E454" s="16" t="n">
        <f aca="false">IF(D454=1,INDEX(Grid!$B$6:$H$156,C454+1,B454+1),"")</f>
        <v>228.305567801504</v>
      </c>
      <c r="F454" s="13" t="n">
        <f aca="false">Val_pt*(Ceiling_e-E_zero)*(1-(1-Half_gap)^B454)</f>
        <v>105</v>
      </c>
      <c r="G454" s="15" t="n">
        <f aca="false">C454</f>
        <v>146</v>
      </c>
      <c r="H454" s="15" t="n">
        <f aca="false">IF(D454=1,INDEX(Grid!$R$6:$X$156,C454+1,B454+1),"")</f>
        <v>40</v>
      </c>
      <c r="I454" s="2" t="str">
        <f aca="false">IF(D454=1,INDEX(Sch_label,H454+1),"")</f>
        <v>1, 3</v>
      </c>
      <c r="J454" s="15" t="n">
        <f aca="false">IF(D454=1,INDEX(Grid!$Z$6:$AF$156,C454+1,B454+1),0)</f>
        <v>1</v>
      </c>
      <c r="K454" s="16" t="n">
        <f aca="false">IF(J454=1,E454,0)</f>
        <v>228.305567801504</v>
      </c>
      <c r="L454" s="17" t="n">
        <f aca="false">IF(D454=1,E454+W_board*F454,"")</f>
        <v>821.00319435797</v>
      </c>
      <c r="M454" s="24" t="n">
        <v>0</v>
      </c>
      <c r="Q454" s="24" t="n">
        <v>2</v>
      </c>
      <c r="R454" s="24" t="n">
        <v>100</v>
      </c>
      <c r="S454" s="25" t="n">
        <v>0.063923027954496</v>
      </c>
      <c r="T454" s="24" t="n">
        <v>2</v>
      </c>
      <c r="U454" s="24" t="n">
        <v>150</v>
      </c>
      <c r="V454" s="25" t="n">
        <v>0.927015405983495</v>
      </c>
      <c r="W454" s="24" t="n">
        <v>3</v>
      </c>
      <c r="X454" s="24" t="n">
        <v>100</v>
      </c>
      <c r="Y454" s="25" t="n">
        <v>0.00906156606200797</v>
      </c>
      <c r="Z454" s="12" t="str">
        <f aca="false">IF(AND($J454=1,$M454=1),N454*E454/Span_P+O454*F454/Span_S+P454*G454/Span_B,"")</f>
        <v/>
      </c>
      <c r="AA454" s="12" t="str">
        <f aca="false">IF(AND($J454=1,$M454=1),SUMPRODUCT(MAX($J$6:$J$1062*(N454*$K$6:$K$1062/Span_P+O454*$F$6:$F$1062/Span_S+P454*$G$6:$G$1062/Span_B)-(1-$J$6:$J$1062)*1000000000)),"")</f>
        <v/>
      </c>
      <c r="AB454" s="15" t="str">
        <f aca="false">IF(AND($J454=1,$M454=1),IF(AA454-Z454&lt;=0.000000001,1,0),"")</f>
        <v/>
      </c>
      <c r="AC454" s="13" t="n">
        <f aca="false">IF(AND($J454=1,$M454=0),IF(S454="",0,S454*INDEX(Grid!$B$6:$H$156,R454+1,Q454+1))+IF(V454="",0,V454*INDEX(Grid!$B$6:$H$156,U454+1,T454+1))+IF(Y454="",0,Y454*INDEX(Grid!$B$6:$H$156,X454+1,W454+1)),"")</f>
        <v>229.152362563542</v>
      </c>
      <c r="AD454" s="13" t="n">
        <f aca="false">IF(AND($J454=1,$M454=0),IF(S454="",0,S454*Val_pt*(Ceiling_e-E_zero)*(1-(1-Half_gap)^Q454))+IF(V454="",0,V454*Val_pt*(Ceiling_e-E_zero)*(1-(1-Half_gap)^T454))+IF(Y454="",0,Y454*Val_pt*(Ceiling_e-E_zero)*(1-(1-Half_gap)^W454)),"")</f>
        <v>105.158577406085</v>
      </c>
      <c r="AE454" s="13" t="n">
        <f aca="false">IF(AND($J454=1,$M454=0),IF(S454="",0,S454*R454)+IF(V454="",0,V454*U454)+IF(Y454="",0,Y454*X454),"")</f>
        <v>146.350770299175</v>
      </c>
      <c r="AF454" s="12" t="n">
        <f aca="false">IF(AND($J454=1,$M454=0),MIN((AC454-E454)/Span_P,(AD454-F454)/Span_S,(AE454-G454)/Span_B),"")</f>
        <v>0.00233846866116194</v>
      </c>
      <c r="AG454" s="15" t="n">
        <f aca="false">IF(AND($J454=1,$M454=0),IF(AF454&gt;0.0000001,1,0),"")</f>
        <v>1</v>
      </c>
      <c r="AH454" s="15" t="n">
        <f aca="false">IF($J454=1,IF($M454=1,AB454,AG454),"")</f>
        <v>1</v>
      </c>
      <c r="AI454" s="13" t="n">
        <f aca="false">IF($J454=1,(Ideal_P-E454)/Span_P,"")</f>
        <v>0.43043711237388</v>
      </c>
      <c r="AJ454" s="13" t="n">
        <f aca="false">IF($J454=1,(Ideal_S-F454)/Span_S,"")</f>
        <v>0.483870967741936</v>
      </c>
      <c r="AK454" s="13" t="n">
        <f aca="false">IF($J454=1,(Ideal_B-G454)/Span_B,"")</f>
        <v>0.0266666666666667</v>
      </c>
      <c r="AL454" s="12" t="n">
        <f aca="false">IF($J454=1,MAX(ChA_1*AI454,ChA_2*AJ454,ChA_3*AK454)+Rho*(ChA_1*AI454+ChA_2*AJ454+ChA_3*AK454),"")</f>
        <v>0.483965065216614</v>
      </c>
      <c r="AM454" s="12" t="n">
        <f aca="false">IF($J454=1,MAX(ChB_1*AI454,ChB_2*AJ454,ChB_3*AK454)+Rho*(ChB_1*AI454+ChB_2*AJ454+ChB_3*AK454),"")</f>
        <v>0.861011365933677</v>
      </c>
      <c r="AN454" s="12" t="n">
        <f aca="false">IF($J454=1,MAX(Cx_1*(Ref_P-E454)/Span_P,Cx_2*(Ref_S-F454)/Span_S,Cx_3*(Ref_B-G454)/Span_B),"")</f>
        <v>2.09439124487004</v>
      </c>
    </row>
    <row r="455" customFormat="false" ht="15" hidden="false" customHeight="false" outlineLevel="0" collapsed="false">
      <c r="A455" s="2" t="n">
        <v>449</v>
      </c>
      <c r="B455" s="15" t="n">
        <f aca="false">INT(A455/151)</f>
        <v>2</v>
      </c>
      <c r="C455" s="15" t="n">
        <f aca="false">MOD(A455,151)</f>
        <v>147</v>
      </c>
      <c r="D455" s="15" t="n">
        <f aca="false">INDEX(Grid!$J$6:$P$156,C455+1,B455+1)</f>
        <v>1</v>
      </c>
      <c r="E455" s="16" t="n">
        <f aca="false">IF(D455=1,INDEX(Grid!$B$6:$H$156,C455+1,B455+1),"")</f>
        <v>227.396476892413</v>
      </c>
      <c r="F455" s="13" t="n">
        <f aca="false">Val_pt*(Ceiling_e-E_zero)*(1-(1-Half_gap)^B455)</f>
        <v>105</v>
      </c>
      <c r="G455" s="15" t="n">
        <f aca="false">C455</f>
        <v>147</v>
      </c>
      <c r="H455" s="15" t="n">
        <f aca="false">IF(D455=1,INDEX(Grid!$R$6:$X$156,C455+1,B455+1),"")</f>
        <v>40</v>
      </c>
      <c r="I455" s="2" t="str">
        <f aca="false">IF(D455=1,INDEX(Sch_label,H455+1),"")</f>
        <v>1, 3</v>
      </c>
      <c r="J455" s="15" t="n">
        <f aca="false">IF(D455=1,INDEX(Grid!$Z$6:$AF$156,C455+1,B455+1),0)</f>
        <v>1</v>
      </c>
      <c r="K455" s="16" t="n">
        <f aca="false">IF(J455=1,E455,0)</f>
        <v>227.396476892413</v>
      </c>
      <c r="L455" s="17" t="n">
        <f aca="false">IF(D455=1,E455+W_board*F455,"")</f>
        <v>820.094103448879</v>
      </c>
      <c r="M455" s="24" t="n">
        <v>0</v>
      </c>
      <c r="Q455" s="24" t="n">
        <v>2</v>
      </c>
      <c r="R455" s="24" t="n">
        <v>100</v>
      </c>
      <c r="S455" s="25" t="n">
        <v>0.0479422709658665</v>
      </c>
      <c r="T455" s="24" t="n">
        <v>2</v>
      </c>
      <c r="U455" s="24" t="n">
        <v>150</v>
      </c>
      <c r="V455" s="25" t="n">
        <v>0.945261554487619</v>
      </c>
      <c r="W455" s="24" t="n">
        <v>3</v>
      </c>
      <c r="X455" s="24" t="n">
        <v>100</v>
      </c>
      <c r="Y455" s="25" t="n">
        <v>0.00679617454651598</v>
      </c>
      <c r="Z455" s="12" t="str">
        <f aca="false">IF(AND($J455=1,$M455=1),N455*E455/Span_P+O455*F455/Span_S+P455*G455/Span_B,"")</f>
        <v/>
      </c>
      <c r="AA455" s="12" t="str">
        <f aca="false">IF(AND($J455=1,$M455=1),SUMPRODUCT(MAX($J$6:$J$1062*(N455*$K$6:$K$1062/Span_P+O455*$F$6:$F$1062/Span_S+P455*$G$6:$G$1062/Span_B)-(1-$J$6:$J$1062)*1000000000)),"")</f>
        <v/>
      </c>
      <c r="AB455" s="15" t="str">
        <f aca="false">IF(AND($J455=1,$M455=1),IF(AA455-Z455&lt;=0.000000001,1,0),"")</f>
        <v/>
      </c>
      <c r="AC455" s="13" t="n">
        <f aca="false">IF(AND($J455=1,$M455=0),IF(S455="",0,S455*INDEX(Grid!$B$6:$H$156,R455+1,Q455+1))+IF(V455="",0,V455*INDEX(Grid!$B$6:$H$156,U455+1,T455+1))+IF(Y455="",0,Y455*INDEX(Grid!$B$6:$H$156,X455+1,W455+1)),"")</f>
        <v>228.031572963942</v>
      </c>
      <c r="AD455" s="13" t="n">
        <f aca="false">IF(AND($J455=1,$M455=0),IF(S455="",0,S455*Val_pt*(Ceiling_e-E_zero)*(1-(1-Half_gap)^Q455))+IF(V455="",0,V455*Val_pt*(Ceiling_e-E_zero)*(1-(1-Half_gap)^T455))+IF(Y455="",0,Y455*Val_pt*(Ceiling_e-E_zero)*(1-(1-Half_gap)^W455)),"")</f>
        <v>105.118933054564</v>
      </c>
      <c r="AE455" s="13" t="n">
        <f aca="false">IF(AND($J455=1,$M455=0),IF(S455="",0,S455*R455)+IF(V455="",0,V455*U455)+IF(Y455="",0,Y455*X455),"")</f>
        <v>147.263077724381</v>
      </c>
      <c r="AF455" s="12" t="n">
        <f aca="false">IF(AND($J455=1,$M455=0),MIN((AC455-E455)/Span_P,(AD455-F455)/Span_S,(AE455-G455)/Span_B),"")</f>
        <v>0.00175385149587366</v>
      </c>
      <c r="AG455" s="15" t="n">
        <f aca="false">IF(AND($J455=1,$M455=0),IF(AF455&gt;0.0000001,1,0),"")</f>
        <v>1</v>
      </c>
      <c r="AH455" s="15" t="n">
        <f aca="false">IF($J455=1,IF($M455=1,AB455,AG455),"")</f>
        <v>1</v>
      </c>
      <c r="AI455" s="13" t="n">
        <f aca="false">IF($J455=1,(Ideal_P-E455)/Span_P,"")</f>
        <v>0.432947615150186</v>
      </c>
      <c r="AJ455" s="13" t="n">
        <f aca="false">IF($J455=1,(Ideal_S-F455)/Span_S,"")</f>
        <v>0.483870967741936</v>
      </c>
      <c r="AK455" s="13" t="n">
        <f aca="false">IF($J455=1,(Ideal_B-G455)/Span_B,"")</f>
        <v>0.02</v>
      </c>
      <c r="AL455" s="12" t="n">
        <f aca="false">IF($J455=1,MAX(ChA_1*AI455,ChA_2*AJ455,ChA_3*AK455)+Rho*(ChA_1*AI455+ChA_2*AJ455+ChA_3*AK455),"")</f>
        <v>0.483964649600225</v>
      </c>
      <c r="AM455" s="12" t="n">
        <f aca="false">IF($J455=1,MAX(ChB_1*AI455,ChB_2*AJ455,ChB_3*AK455)+Rho*(ChB_1*AI455+ChB_2*AJ455+ChB_3*AK455),"")</f>
        <v>0.866032206920177</v>
      </c>
      <c r="AN455" s="12" t="n">
        <f aca="false">IF($J455=1,MAX(Cx_1*(Ref_P-E455)/Span_P,Cx_2*(Ref_S-F455)/Span_S,Cx_3*(Ref_B-G455)/Span_B),"")</f>
        <v>2.09439124487004</v>
      </c>
    </row>
    <row r="456" customFormat="false" ht="15" hidden="false" customHeight="false" outlineLevel="0" collapsed="false">
      <c r="A456" s="2" t="n">
        <v>450</v>
      </c>
      <c r="B456" s="15" t="n">
        <f aca="false">INT(A456/151)</f>
        <v>2</v>
      </c>
      <c r="C456" s="15" t="n">
        <f aca="false">MOD(A456,151)</f>
        <v>148</v>
      </c>
      <c r="D456" s="15" t="n">
        <f aca="false">INDEX(Grid!$J$6:$P$156,C456+1,B456+1)</f>
        <v>1</v>
      </c>
      <c r="E456" s="16" t="n">
        <f aca="false">IF(D456=1,INDEX(Grid!$B$6:$H$156,C456+1,B456+1),"")</f>
        <v>226.487385983322</v>
      </c>
      <c r="F456" s="13" t="n">
        <f aca="false">Val_pt*(Ceiling_e-E_zero)*(1-(1-Half_gap)^B456)</f>
        <v>105</v>
      </c>
      <c r="G456" s="15" t="n">
        <f aca="false">C456</f>
        <v>148</v>
      </c>
      <c r="H456" s="15" t="n">
        <f aca="false">IF(D456=1,INDEX(Grid!$R$6:$X$156,C456+1,B456+1),"")</f>
        <v>40</v>
      </c>
      <c r="I456" s="2" t="str">
        <f aca="false">IF(D456=1,INDEX(Sch_label,H456+1),"")</f>
        <v>1, 3</v>
      </c>
      <c r="J456" s="15" t="n">
        <f aca="false">IF(D456=1,INDEX(Grid!$Z$6:$AF$156,C456+1,B456+1),0)</f>
        <v>1</v>
      </c>
      <c r="K456" s="16" t="n">
        <f aca="false">IF(J456=1,E456,0)</f>
        <v>226.487385983322</v>
      </c>
      <c r="L456" s="17" t="n">
        <f aca="false">IF(D456=1,E456+W_board*F456,"")</f>
        <v>819.185012539788</v>
      </c>
      <c r="M456" s="24" t="n">
        <v>0</v>
      </c>
      <c r="Q456" s="24" t="n">
        <v>2</v>
      </c>
      <c r="R456" s="24" t="n">
        <v>100</v>
      </c>
      <c r="S456" s="25" t="n">
        <v>0.0319615139772468</v>
      </c>
      <c r="T456" s="24" t="n">
        <v>2</v>
      </c>
      <c r="U456" s="24" t="n">
        <v>150</v>
      </c>
      <c r="V456" s="25" t="n">
        <v>0.963507702991748</v>
      </c>
      <c r="W456" s="24" t="n">
        <v>3</v>
      </c>
      <c r="X456" s="24" t="n">
        <v>100</v>
      </c>
      <c r="Y456" s="25" t="n">
        <v>0.00453078303100618</v>
      </c>
      <c r="Z456" s="12" t="str">
        <f aca="false">IF(AND($J456=1,$M456=1),N456*E456/Span_P+O456*F456/Span_S+P456*G456/Span_B,"")</f>
        <v/>
      </c>
      <c r="AA456" s="12" t="str">
        <f aca="false">IF(AND($J456=1,$M456=1),SUMPRODUCT(MAX($J$6:$J$1062*(N456*$K$6:$K$1062/Span_P+O456*$F$6:$F$1062/Span_S+P456*$G$6:$G$1062/Span_B)-(1-$J$6:$J$1062)*1000000000)),"")</f>
        <v/>
      </c>
      <c r="AB456" s="15" t="str">
        <f aca="false">IF(AND($J456=1,$M456=1),IF(AA456-Z456&lt;=0.000000001,1,0),"")</f>
        <v/>
      </c>
      <c r="AC456" s="13" t="n">
        <f aca="false">IF(AND($J456=1,$M456=0),IF(S456="",0,S456*INDEX(Grid!$B$6:$H$156,R456+1,Q456+1))+IF(V456="",0,V456*INDEX(Grid!$B$6:$H$156,U456+1,T456+1))+IF(Y456="",0,Y456*INDEX(Grid!$B$6:$H$156,X456+1,W456+1)),"")</f>
        <v>226.910783364341</v>
      </c>
      <c r="AD456" s="13" t="n">
        <f aca="false">IF(AND($J456=1,$M456=0),IF(S456="",0,S456*Val_pt*(Ceiling_e-E_zero)*(1-(1-Half_gap)^Q456))+IF(V456="",0,V456*Val_pt*(Ceiling_e-E_zero)*(1-(1-Half_gap)^T456))+IF(Y456="",0,Y456*Val_pt*(Ceiling_e-E_zero)*(1-(1-Half_gap)^W456)),"")</f>
        <v>105.079288703043</v>
      </c>
      <c r="AE456" s="13" t="n">
        <f aca="false">IF(AND($J456=1,$M456=0),IF(S456="",0,S456*R456)+IF(V456="",0,V456*U456)+IF(Y456="",0,Y456*X456),"")</f>
        <v>148.175385149587</v>
      </c>
      <c r="AF456" s="12" t="n">
        <f aca="false">IF(AND($J456=1,$M456=0),MIN((AC456-E456)/Span_P,(AD456-F456)/Span_S,(AE456-G456)/Span_B),"")</f>
        <v>0.00116923433058265</v>
      </c>
      <c r="AG456" s="15" t="n">
        <f aca="false">IF(AND($J456=1,$M456=0),IF(AF456&gt;0.0000001,1,0),"")</f>
        <v>1</v>
      </c>
      <c r="AH456" s="15" t="n">
        <f aca="false">IF($J456=1,IF($M456=1,AB456,AG456),"")</f>
        <v>1</v>
      </c>
      <c r="AI456" s="13" t="n">
        <f aca="false">IF($J456=1,(Ideal_P-E456)/Span_P,"")</f>
        <v>0.435458117926492</v>
      </c>
      <c r="AJ456" s="13" t="n">
        <f aca="false">IF($J456=1,(Ideal_S-F456)/Span_S,"")</f>
        <v>0.483870967741936</v>
      </c>
      <c r="AK456" s="13" t="n">
        <f aca="false">IF($J456=1,(Ideal_B-G456)/Span_B,"")</f>
        <v>0.0133333333333333</v>
      </c>
      <c r="AL456" s="12" t="n">
        <f aca="false">IF($J456=1,MAX(ChA_1*AI456,ChA_2*AJ456,ChA_3*AK456)+Rho*(ChA_1*AI456+ChA_2*AJ456+ChA_3*AK456),"")</f>
        <v>0.483964233983836</v>
      </c>
      <c r="AM456" s="12" t="n">
        <f aca="false">IF($J456=1,MAX(ChB_1*AI456,ChB_2*AJ456,ChB_3*AK456)+Rho*(ChB_1*AI456+ChB_2*AJ456+ChB_3*AK456),"")</f>
        <v>0.871053047906677</v>
      </c>
      <c r="AN456" s="12" t="n">
        <f aca="false">IF($J456=1,MAX(Cx_1*(Ref_P-E456)/Span_P,Cx_2*(Ref_S-F456)/Span_S,Cx_3*(Ref_B-G456)/Span_B),"")</f>
        <v>2.09439124487004</v>
      </c>
    </row>
    <row r="457" customFormat="false" ht="15" hidden="false" customHeight="false" outlineLevel="0" collapsed="false">
      <c r="A457" s="2" t="n">
        <v>451</v>
      </c>
      <c r="B457" s="15" t="n">
        <f aca="false">INT(A457/151)</f>
        <v>2</v>
      </c>
      <c r="C457" s="15" t="n">
        <f aca="false">MOD(A457,151)</f>
        <v>149</v>
      </c>
      <c r="D457" s="15" t="n">
        <f aca="false">INDEX(Grid!$J$6:$P$156,C457+1,B457+1)</f>
        <v>1</v>
      </c>
      <c r="E457" s="16" t="n">
        <f aca="false">IF(D457=1,INDEX(Grid!$B$6:$H$156,C457+1,B457+1),"")</f>
        <v>225.578295074231</v>
      </c>
      <c r="F457" s="13" t="n">
        <f aca="false">Val_pt*(Ceiling_e-E_zero)*(1-(1-Half_gap)^B457)</f>
        <v>105</v>
      </c>
      <c r="G457" s="15" t="n">
        <f aca="false">C457</f>
        <v>149</v>
      </c>
      <c r="H457" s="15" t="n">
        <f aca="false">IF(D457=1,INDEX(Grid!$R$6:$X$156,C457+1,B457+1),"")</f>
        <v>40</v>
      </c>
      <c r="I457" s="2" t="str">
        <f aca="false">IF(D457=1,INDEX(Sch_label,H457+1),"")</f>
        <v>1, 3</v>
      </c>
      <c r="J457" s="15" t="n">
        <f aca="false">IF(D457=1,INDEX(Grid!$Z$6:$AF$156,C457+1,B457+1),0)</f>
        <v>1</v>
      </c>
      <c r="K457" s="16" t="n">
        <f aca="false">IF(J457=1,E457,0)</f>
        <v>225.578295074231</v>
      </c>
      <c r="L457" s="17" t="n">
        <f aca="false">IF(D457=1,E457+W_board*F457,"")</f>
        <v>818.275921630697</v>
      </c>
      <c r="M457" s="24" t="n">
        <v>0</v>
      </c>
      <c r="Q457" s="24" t="n">
        <v>2</v>
      </c>
      <c r="R457" s="24" t="n">
        <v>100</v>
      </c>
      <c r="S457" s="25" t="n">
        <v>0.0159807569886234</v>
      </c>
      <c r="T457" s="24" t="n">
        <v>2</v>
      </c>
      <c r="U457" s="24" t="n">
        <v>150</v>
      </c>
      <c r="V457" s="25" t="n">
        <v>0.981753851495874</v>
      </c>
      <c r="W457" s="24" t="n">
        <v>3</v>
      </c>
      <c r="X457" s="24" t="n">
        <v>100</v>
      </c>
      <c r="Y457" s="25" t="n">
        <v>0.002265391515503</v>
      </c>
      <c r="Z457" s="12" t="str">
        <f aca="false">IF(AND($J457=1,$M457=1),N457*E457/Span_P+O457*F457/Span_S+P457*G457/Span_B,"")</f>
        <v/>
      </c>
      <c r="AA457" s="12" t="str">
        <f aca="false">IF(AND($J457=1,$M457=1),SUMPRODUCT(MAX($J$6:$J$1062*(N457*$K$6:$K$1062/Span_P+O457*$F$6:$F$1062/Span_S+P457*$G$6:$G$1062/Span_B)-(1-$J$6:$J$1062)*1000000000)),"")</f>
        <v/>
      </c>
      <c r="AB457" s="15" t="str">
        <f aca="false">IF(AND($J457=1,$M457=1),IF(AA457-Z457&lt;=0.000000001,1,0),"")</f>
        <v/>
      </c>
      <c r="AC457" s="13" t="n">
        <f aca="false">IF(AND($J457=1,$M457=0),IF(S457="",0,S457*INDEX(Grid!$B$6:$H$156,R457+1,Q457+1))+IF(V457="",0,V457*INDEX(Grid!$B$6:$H$156,U457+1,T457+1))+IF(Y457="",0,Y457*INDEX(Grid!$B$6:$H$156,X457+1,W457+1)),"")</f>
        <v>225.789993764741</v>
      </c>
      <c r="AD457" s="13" t="n">
        <f aca="false">IF(AND($J457=1,$M457=0),IF(S457="",0,S457*Val_pt*(Ceiling_e-E_zero)*(1-(1-Half_gap)^Q457))+IF(V457="",0,V457*Val_pt*(Ceiling_e-E_zero)*(1-(1-Half_gap)^T457))+IF(Y457="",0,Y457*Val_pt*(Ceiling_e-E_zero)*(1-(1-Half_gap)^W457)),"")</f>
        <v>105.039644351521</v>
      </c>
      <c r="AE457" s="13" t="n">
        <f aca="false">IF(AND($J457=1,$M457=0),IF(S457="",0,S457*R457)+IF(V457="",0,V457*U457)+IF(Y457="",0,Y457*X457),"")</f>
        <v>149.087692574794</v>
      </c>
      <c r="AF457" s="12" t="n">
        <f aca="false">IF(AND($J457=1,$M457=0),MIN((AC457-E457)/Span_P,(AD457-F457)/Span_S,(AE457-G457)/Span_B),"")</f>
        <v>0.000584617165291484</v>
      </c>
      <c r="AG457" s="15" t="n">
        <f aca="false">IF(AND($J457=1,$M457=0),IF(AF457&gt;0.0000001,1,0),"")</f>
        <v>1</v>
      </c>
      <c r="AH457" s="15" t="n">
        <f aca="false">IF($J457=1,IF($M457=1,AB457,AG457),"")</f>
        <v>1</v>
      </c>
      <c r="AI457" s="13" t="n">
        <f aca="false">IF($J457=1,(Ideal_P-E457)/Span_P,"")</f>
        <v>0.437968620702798</v>
      </c>
      <c r="AJ457" s="13" t="n">
        <f aca="false">IF($J457=1,(Ideal_S-F457)/Span_S,"")</f>
        <v>0.483870967741936</v>
      </c>
      <c r="AK457" s="13" t="n">
        <f aca="false">IF($J457=1,(Ideal_B-G457)/Span_B,"")</f>
        <v>0.00666666666666667</v>
      </c>
      <c r="AL457" s="12" t="n">
        <f aca="false">IF($J457=1,MAX(ChA_1*AI457,ChA_2*AJ457,ChA_3*AK457)+Rho*(ChA_1*AI457+ChA_2*AJ457+ChA_3*AK457),"")</f>
        <v>0.483963818367447</v>
      </c>
      <c r="AM457" s="12" t="n">
        <f aca="false">IF($J457=1,MAX(ChB_1*AI457,ChB_2*AJ457,ChB_3*AK457)+Rho*(ChB_1*AI457+ChB_2*AJ457+ChB_3*AK457),"")</f>
        <v>0.876073888893177</v>
      </c>
      <c r="AN457" s="12" t="n">
        <f aca="false">IF($J457=1,MAX(Cx_1*(Ref_P-E457)/Span_P,Cx_2*(Ref_S-F457)/Span_S,Cx_3*(Ref_B-G457)/Span_B),"")</f>
        <v>2.09439124487004</v>
      </c>
    </row>
    <row r="458" customFormat="false" ht="15" hidden="false" customHeight="false" outlineLevel="0" collapsed="false">
      <c r="A458" s="2" t="n">
        <v>452</v>
      </c>
      <c r="B458" s="15" t="n">
        <f aca="false">INT(A458/151)</f>
        <v>2</v>
      </c>
      <c r="C458" s="15" t="n">
        <f aca="false">MOD(A458,151)</f>
        <v>150</v>
      </c>
      <c r="D458" s="15" t="n">
        <f aca="false">INDEX(Grid!$J$6:$P$156,C458+1,B458+1)</f>
        <v>1</v>
      </c>
      <c r="E458" s="16" t="n">
        <f aca="false">IF(D458=1,INDEX(Grid!$B$6:$H$156,C458+1,B458+1),"")</f>
        <v>224.66920416514</v>
      </c>
      <c r="F458" s="13" t="n">
        <f aca="false">Val_pt*(Ceiling_e-E_zero)*(1-(1-Half_gap)^B458)</f>
        <v>105</v>
      </c>
      <c r="G458" s="15" t="n">
        <f aca="false">C458</f>
        <v>150</v>
      </c>
      <c r="H458" s="15" t="n">
        <f aca="false">IF(D458=1,INDEX(Grid!$R$6:$X$156,C458+1,B458+1),"")</f>
        <v>40</v>
      </c>
      <c r="I458" s="2" t="str">
        <f aca="false">IF(D458=1,INDEX(Sch_label,H458+1),"")</f>
        <v>1, 3</v>
      </c>
      <c r="J458" s="15" t="n">
        <f aca="false">IF(D458=1,INDEX(Grid!$Z$6:$AF$156,C458+1,B458+1),0)</f>
        <v>1</v>
      </c>
      <c r="K458" s="16" t="n">
        <f aca="false">IF(J458=1,E458,0)</f>
        <v>224.66920416514</v>
      </c>
      <c r="L458" s="17" t="n">
        <f aca="false">IF(D458=1,E458+W_board*F458,"")</f>
        <v>817.366830721606</v>
      </c>
      <c r="M458" s="24" t="n">
        <v>1</v>
      </c>
      <c r="N458" s="25" t="n">
        <v>0.457420384851137</v>
      </c>
      <c r="O458" s="25" t="n">
        <v>0.282633768439045</v>
      </c>
      <c r="P458" s="25" t="n">
        <v>0.259945846709819</v>
      </c>
      <c r="Z458" s="12" t="n">
        <f aca="false">IF(AND($J458=1,$M458=1),N458*E458/Span_P+O458*F458/Span_S+P458*G458/Span_B,"")</f>
        <v>0.981372367325941</v>
      </c>
      <c r="AA458" s="12" t="n">
        <f aca="false">IF(AND($J458=1,$M458=1),SUMPRODUCT(MAX($J$6:$J$1062*(N458*$K$6:$K$1062/Span_P+O458*$F$6:$F$1062/Span_S+P458*$G$6:$G$1062/Span_B)-(1-$J$6:$J$1062)*1000000000)),"")</f>
        <v>0.981372367325941</v>
      </c>
      <c r="AB458" s="15" t="n">
        <f aca="false">IF(AND($J458=1,$M458=1),IF(AA458-Z458&lt;=0.000000001,1,0),"")</f>
        <v>1</v>
      </c>
      <c r="AC458" s="13" t="str">
        <f aca="false">IF(AND($J458=1,$M458=0),IF(S458="",0,S458*INDEX(Grid!$B$6:$H$156,R458+1,Q458+1))+IF(V458="",0,V458*INDEX(Grid!$B$6:$H$156,U458+1,T458+1))+IF(Y458="",0,Y458*INDEX(Grid!$B$6:$H$156,X458+1,W458+1)),"")</f>
        <v/>
      </c>
      <c r="AD458" s="13" t="str">
        <f aca="false">IF(AND($J458=1,$M458=0),IF(S458="",0,S458*Val_pt*(Ceiling_e-E_zero)*(1-(1-Half_gap)^Q458))+IF(V458="",0,V458*Val_pt*(Ceiling_e-E_zero)*(1-(1-Half_gap)^T458))+IF(Y458="",0,Y458*Val_pt*(Ceiling_e-E_zero)*(1-(1-Half_gap)^W458)),"")</f>
        <v/>
      </c>
      <c r="AE458" s="13" t="str">
        <f aca="false">IF(AND($J458=1,$M458=0),IF(S458="",0,S458*R458)+IF(V458="",0,V458*U458)+IF(Y458="",0,Y458*X458),"")</f>
        <v/>
      </c>
      <c r="AF458" s="12" t="str">
        <f aca="false">IF(AND($J458=1,$M458=0),MIN((AC458-E458)/Span_P,(AD458-F458)/Span_S,(AE458-G458)/Span_B),"")</f>
        <v/>
      </c>
      <c r="AG458" s="15" t="str">
        <f aca="false">IF(AND($J458=1,$M458=0),IF(AF458&gt;0.0000001,1,0),"")</f>
        <v/>
      </c>
      <c r="AH458" s="15" t="n">
        <f aca="false">IF($J458=1,IF($M458=1,AB458,AG458),"")</f>
        <v>1</v>
      </c>
      <c r="AI458" s="13" t="n">
        <f aca="false">IF($J458=1,(Ideal_P-E458)/Span_P,"")</f>
        <v>0.440479123479103</v>
      </c>
      <c r="AJ458" s="13" t="n">
        <f aca="false">IF($J458=1,(Ideal_S-F458)/Span_S,"")</f>
        <v>0.483870967741936</v>
      </c>
      <c r="AK458" s="13" t="n">
        <f aca="false">IF($J458=1,(Ideal_B-G458)/Span_B,"")</f>
        <v>0</v>
      </c>
      <c r="AL458" s="12" t="n">
        <f aca="false">IF($J458=1,MAX(ChA_1*AI458,ChA_2*AJ458,ChA_3*AK458)+Rho*(ChA_1*AI458+ChA_2*AJ458+ChA_3*AK458),"")</f>
        <v>0.483963402751058</v>
      </c>
      <c r="AM458" s="12" t="n">
        <f aca="false">IF($J458=1,MAX(ChB_1*AI458,ChB_2*AJ458,ChB_3*AK458)+Rho*(ChB_1*AI458+ChB_2*AJ458+ChB_3*AK458),"")</f>
        <v>0.881094729879677</v>
      </c>
      <c r="AN458" s="12" t="n">
        <f aca="false">IF($J458=1,MAX(Cx_1*(Ref_P-E458)/Span_P,Cx_2*(Ref_S-F458)/Span_S,Cx_3*(Ref_B-G458)/Span_B),"")</f>
        <v>2.09439124487004</v>
      </c>
    </row>
    <row r="459" customFormat="false" ht="15" hidden="false" customHeight="false" outlineLevel="0" collapsed="false">
      <c r="A459" s="2" t="n">
        <v>453</v>
      </c>
      <c r="B459" s="15" t="n">
        <f aca="false">INT(A459/151)</f>
        <v>3</v>
      </c>
      <c r="C459" s="15" t="n">
        <f aca="false">MOD(A459,151)</f>
        <v>0</v>
      </c>
      <c r="D459" s="15" t="n">
        <f aca="false">INDEX(Grid!$J$6:$P$156,C459+1,B459+1)</f>
        <v>1</v>
      </c>
      <c r="E459" s="16" t="n">
        <f aca="false">IF(D459=1,INDEX(Grid!$B$6:$H$156,C459+1,B459+1),"")</f>
        <v>330.451985565273</v>
      </c>
      <c r="F459" s="13" t="n">
        <f aca="false">Val_pt*(Ceiling_e-E_zero)*(1-(1-Half_gap)^B459)</f>
        <v>122.5</v>
      </c>
      <c r="G459" s="15" t="n">
        <f aca="false">C459</f>
        <v>0</v>
      </c>
      <c r="H459" s="15" t="n">
        <f aca="false">IF(D459=1,INDEX(Grid!$R$6:$X$156,C459+1,B459+1),"")</f>
        <v>56</v>
      </c>
      <c r="I459" s="2" t="str">
        <f aca="false">IF(D459=1,INDEX(Sch_label,H459+1),"")</f>
        <v>1–3</v>
      </c>
      <c r="J459" s="15" t="n">
        <f aca="false">IF(D459=1,INDEX(Grid!$Z$6:$AF$156,C459+1,B459+1),0)</f>
        <v>1</v>
      </c>
      <c r="K459" s="16" t="n">
        <f aca="false">IF(J459=1,E459,0)</f>
        <v>330.451985565273</v>
      </c>
      <c r="L459" s="17" t="n">
        <f aca="false">IF(D459=1,E459+W_board*F459,"")</f>
        <v>1021.93254988115</v>
      </c>
      <c r="M459" s="24" t="n">
        <v>1</v>
      </c>
      <c r="N459" s="25" t="n">
        <v>0.348973720143138</v>
      </c>
      <c r="O459" s="25" t="n">
        <v>0.519611355865297</v>
      </c>
      <c r="P459" s="25" t="n">
        <v>0.131414923991566</v>
      </c>
      <c r="Z459" s="12" t="n">
        <f aca="false">IF(AND($J459=1,$M459=1),N459*E459/Span_P+O459*F459/Span_S+P459*G459/Span_B,"")</f>
        <v>1.25711247070246</v>
      </c>
      <c r="AA459" s="12" t="n">
        <f aca="false">IF(AND($J459=1,$M459=1),SUMPRODUCT(MAX($J$6:$J$1062*(N459*$K$6:$K$1062/Span_P+O459*$F$6:$F$1062/Span_S+P459*$G$6:$G$1062/Span_B)-(1-$J$6:$J$1062)*1000000000)),"")</f>
        <v>1.25711247070246</v>
      </c>
      <c r="AB459" s="15" t="n">
        <f aca="false">IF(AND($J459=1,$M459=1),IF(AA459-Z459&lt;=0.000000001,1,0),"")</f>
        <v>1</v>
      </c>
      <c r="AC459" s="13" t="str">
        <f aca="false">IF(AND($J459=1,$M459=0),IF(S459="",0,S459*INDEX(Grid!$B$6:$H$156,R459+1,Q459+1))+IF(V459="",0,V459*INDEX(Grid!$B$6:$H$156,U459+1,T459+1))+IF(Y459="",0,Y459*INDEX(Grid!$B$6:$H$156,X459+1,W459+1)),"")</f>
        <v/>
      </c>
      <c r="AD459" s="13" t="str">
        <f aca="false">IF(AND($J459=1,$M459=0),IF(S459="",0,S459*Val_pt*(Ceiling_e-E_zero)*(1-(1-Half_gap)^Q459))+IF(V459="",0,V459*Val_pt*(Ceiling_e-E_zero)*(1-(1-Half_gap)^T459))+IF(Y459="",0,Y459*Val_pt*(Ceiling_e-E_zero)*(1-(1-Half_gap)^W459)),"")</f>
        <v/>
      </c>
      <c r="AE459" s="13" t="str">
        <f aca="false">IF(AND($J459=1,$M459=0),IF(S459="",0,S459*R459)+IF(V459="",0,V459*U459)+IF(Y459="",0,Y459*X459),"")</f>
        <v/>
      </c>
      <c r="AF459" s="12" t="str">
        <f aca="false">IF(AND($J459=1,$M459=0),MIN((AC459-E459)/Span_P,(AD459-F459)/Span_S,(AE459-G459)/Span_B),"")</f>
        <v/>
      </c>
      <c r="AG459" s="15" t="str">
        <f aca="false">IF(AND($J459=1,$M459=0),IF(AF459&gt;0.0000001,1,0),"")</f>
        <v/>
      </c>
      <c r="AH459" s="15" t="n">
        <f aca="false">IF($J459=1,IF($M459=1,AB459,AG459),"")</f>
        <v>1</v>
      </c>
      <c r="AI459" s="13" t="n">
        <f aca="false">IF($J459=1,(Ideal_P-E459)/Span_P,"")</f>
        <v>0.148354360449687</v>
      </c>
      <c r="AJ459" s="13" t="n">
        <f aca="false">IF($J459=1,(Ideal_S-F459)/Span_S,"")</f>
        <v>0.225806451612903</v>
      </c>
      <c r="AK459" s="13" t="n">
        <f aca="false">IF($J459=1,(Ideal_B-G459)/Span_B,"")</f>
        <v>1</v>
      </c>
      <c r="AL459" s="12" t="n">
        <f aca="false">IF($J459=1,MAX(ChA_1*AI459,ChA_2*AJ459,ChA_3*AK459)+Rho*(ChA_1*AI459+ChA_2*AJ459+ChA_3*AK459),"")</f>
        <v>1.00013741608121</v>
      </c>
      <c r="AM459" s="12" t="n">
        <f aca="false">IF($J459=1,MAX(ChB_1*AI459,ChB_2*AJ459,ChB_3*AK459)+Rho*(ChB_1*AI459+ChB_2*AJ459+ChB_3*AK459),"")</f>
        <v>1.00015225151725</v>
      </c>
      <c r="AN459" s="12" t="n">
        <f aca="false">IF($J459=1,MAX(Cx_1*(Ref_P-E459)/Span_P,Cx_2*(Ref_S-F459)/Span_S,Cx_3*(Ref_B-G459)/Span_B),"")</f>
        <v>2.54621848739496</v>
      </c>
    </row>
    <row r="460" customFormat="false" ht="15" hidden="false" customHeight="false" outlineLevel="0" collapsed="false">
      <c r="A460" s="2" t="n">
        <v>454</v>
      </c>
      <c r="B460" s="15" t="n">
        <f aca="false">INT(A460/151)</f>
        <v>3</v>
      </c>
      <c r="C460" s="15" t="n">
        <f aca="false">MOD(A460,151)</f>
        <v>1</v>
      </c>
      <c r="D460" s="15" t="n">
        <f aca="false">INDEX(Grid!$J$6:$P$156,C460+1,B460+1)</f>
        <v>1</v>
      </c>
      <c r="E460" s="16" t="n">
        <f aca="false">IF(D460=1,INDEX(Grid!$B$6:$H$156,C460+1,B460+1),"")</f>
        <v>329.542894656182</v>
      </c>
      <c r="F460" s="13" t="n">
        <f aca="false">Val_pt*(Ceiling_e-E_zero)*(1-(1-Half_gap)^B460)</f>
        <v>122.5</v>
      </c>
      <c r="G460" s="15" t="n">
        <f aca="false">C460</f>
        <v>1</v>
      </c>
      <c r="H460" s="15" t="n">
        <f aca="false">IF(D460=1,INDEX(Grid!$R$6:$X$156,C460+1,B460+1),"")</f>
        <v>56</v>
      </c>
      <c r="I460" s="2" t="str">
        <f aca="false">IF(D460=1,INDEX(Sch_label,H460+1),"")</f>
        <v>1–3</v>
      </c>
      <c r="J460" s="15" t="n">
        <f aca="false">IF(D460=1,INDEX(Grid!$Z$6:$AF$156,C460+1,B460+1),0)</f>
        <v>1</v>
      </c>
      <c r="K460" s="16" t="n">
        <f aca="false">IF(J460=1,E460,0)</f>
        <v>329.542894656182</v>
      </c>
      <c r="L460" s="17" t="n">
        <f aca="false">IF(D460=1,E460+W_board*F460,"")</f>
        <v>1021.02345897206</v>
      </c>
      <c r="M460" s="24" t="n">
        <v>1</v>
      </c>
      <c r="N460" s="25" t="n">
        <v>0.348973720143134</v>
      </c>
      <c r="O460" s="25" t="n">
        <v>0.519611355865306</v>
      </c>
      <c r="P460" s="25" t="n">
        <v>0.131414923991561</v>
      </c>
      <c r="Z460" s="12" t="n">
        <f aca="false">IF(AND($J460=1,$M460=1),N460*E460/Span_P+O460*F460/Span_S+P460*G460/Span_B,"")</f>
        <v>1.25711247070247</v>
      </c>
      <c r="AA460" s="12" t="n">
        <f aca="false">IF(AND($J460=1,$M460=1),SUMPRODUCT(MAX($J$6:$J$1062*(N460*$K$6:$K$1062/Span_P+O460*$F$6:$F$1062/Span_S+P460*$G$6:$G$1062/Span_B)-(1-$J$6:$J$1062)*1000000000)),"")</f>
        <v>1.25711247070247</v>
      </c>
      <c r="AB460" s="15" t="n">
        <f aca="false">IF(AND($J460=1,$M460=1),IF(AA460-Z460&lt;=0.000000001,1,0),"")</f>
        <v>1</v>
      </c>
      <c r="AC460" s="13" t="str">
        <f aca="false">IF(AND($J460=1,$M460=0),IF(S460="",0,S460*INDEX(Grid!$B$6:$H$156,R460+1,Q460+1))+IF(V460="",0,V460*INDEX(Grid!$B$6:$H$156,U460+1,T460+1))+IF(Y460="",0,Y460*INDEX(Grid!$B$6:$H$156,X460+1,W460+1)),"")</f>
        <v/>
      </c>
      <c r="AD460" s="13" t="str">
        <f aca="false">IF(AND($J460=1,$M460=0),IF(S460="",0,S460*Val_pt*(Ceiling_e-E_zero)*(1-(1-Half_gap)^Q460))+IF(V460="",0,V460*Val_pt*(Ceiling_e-E_zero)*(1-(1-Half_gap)^T460))+IF(Y460="",0,Y460*Val_pt*(Ceiling_e-E_zero)*(1-(1-Half_gap)^W460)),"")</f>
        <v/>
      </c>
      <c r="AE460" s="13" t="str">
        <f aca="false">IF(AND($J460=1,$M460=0),IF(S460="",0,S460*R460)+IF(V460="",0,V460*U460)+IF(Y460="",0,Y460*X460),"")</f>
        <v/>
      </c>
      <c r="AF460" s="12" t="str">
        <f aca="false">IF(AND($J460=1,$M460=0),MIN((AC460-E460)/Span_P,(AD460-F460)/Span_S,(AE460-G460)/Span_B),"")</f>
        <v/>
      </c>
      <c r="AG460" s="15" t="str">
        <f aca="false">IF(AND($J460=1,$M460=0),IF(AF460&gt;0.0000001,1,0),"")</f>
        <v/>
      </c>
      <c r="AH460" s="15" t="n">
        <f aca="false">IF($J460=1,IF($M460=1,AB460,AG460),"")</f>
        <v>1</v>
      </c>
      <c r="AI460" s="13" t="n">
        <f aca="false">IF($J460=1,(Ideal_P-E460)/Span_P,"")</f>
        <v>0.150864863225992</v>
      </c>
      <c r="AJ460" s="13" t="n">
        <f aca="false">IF($J460=1,(Ideal_S-F460)/Span_S,"")</f>
        <v>0.225806451612903</v>
      </c>
      <c r="AK460" s="13" t="n">
        <f aca="false">IF($J460=1,(Ideal_B-G460)/Span_B,"")</f>
        <v>0.993333333333333</v>
      </c>
      <c r="AL460" s="12" t="n">
        <f aca="false">IF($J460=1,MAX(ChA_1*AI460,ChA_2*AJ460,ChA_3*AK460)+Rho*(ChA_1*AI460+ChA_2*AJ460+ChA_3*AK460),"")</f>
        <v>0.993470333798151</v>
      </c>
      <c r="AM460" s="12" t="n">
        <f aca="false">IF($J460=1,MAX(ChB_1*AI460,ChB_2*AJ460,ChB_3*AK460)+Rho*(ChB_1*AI460+ChB_2*AJ460+ChB_3*AK460),"")</f>
        <v>0.993485420284473</v>
      </c>
      <c r="AN460" s="12" t="n">
        <f aca="false">IF($J460=1,MAX(Cx_1*(Ref_P-E460)/Span_P,Cx_2*(Ref_S-F460)/Span_S,Cx_3*(Ref_B-G460)/Span_B),"")</f>
        <v>2.52941176470588</v>
      </c>
    </row>
    <row r="461" customFormat="false" ht="15" hidden="false" customHeight="false" outlineLevel="0" collapsed="false">
      <c r="A461" s="2" t="n">
        <v>455</v>
      </c>
      <c r="B461" s="15" t="n">
        <f aca="false">INT(A461/151)</f>
        <v>3</v>
      </c>
      <c r="C461" s="15" t="n">
        <f aca="false">MOD(A461,151)</f>
        <v>2</v>
      </c>
      <c r="D461" s="15" t="n">
        <f aca="false">INDEX(Grid!$J$6:$P$156,C461+1,B461+1)</f>
        <v>1</v>
      </c>
      <c r="E461" s="16" t="n">
        <f aca="false">IF(D461=1,INDEX(Grid!$B$6:$H$156,C461+1,B461+1),"")</f>
        <v>328.633803747091</v>
      </c>
      <c r="F461" s="13" t="n">
        <f aca="false">Val_pt*(Ceiling_e-E_zero)*(1-(1-Half_gap)^B461)</f>
        <v>122.5</v>
      </c>
      <c r="G461" s="15" t="n">
        <f aca="false">C461</f>
        <v>2</v>
      </c>
      <c r="H461" s="15" t="n">
        <f aca="false">IF(D461=1,INDEX(Grid!$R$6:$X$156,C461+1,B461+1),"")</f>
        <v>56</v>
      </c>
      <c r="I461" s="2" t="str">
        <f aca="false">IF(D461=1,INDEX(Sch_label,H461+1),"")</f>
        <v>1–3</v>
      </c>
      <c r="J461" s="15" t="n">
        <f aca="false">IF(D461=1,INDEX(Grid!$Z$6:$AF$156,C461+1,B461+1),0)</f>
        <v>1</v>
      </c>
      <c r="K461" s="16" t="n">
        <f aca="false">IF(J461=1,E461,0)</f>
        <v>328.633803747091</v>
      </c>
      <c r="L461" s="17" t="n">
        <f aca="false">IF(D461=1,E461+W_board*F461,"")</f>
        <v>1020.11436806297</v>
      </c>
      <c r="M461" s="24" t="n">
        <v>1</v>
      </c>
      <c r="N461" s="25" t="n">
        <v>0.348973720143141</v>
      </c>
      <c r="O461" s="25" t="n">
        <v>0.51961135586529</v>
      </c>
      <c r="P461" s="25" t="n">
        <v>0.131414923991569</v>
      </c>
      <c r="Z461" s="12" t="n">
        <f aca="false">IF(AND($J461=1,$M461=1),N461*E461/Span_P+O461*F461/Span_S+P461*G461/Span_B,"")</f>
        <v>1.25711247070245</v>
      </c>
      <c r="AA461" s="12" t="n">
        <f aca="false">IF(AND($J461=1,$M461=1),SUMPRODUCT(MAX($J$6:$J$1062*(N461*$K$6:$K$1062/Span_P+O461*$F$6:$F$1062/Span_S+P461*$G$6:$G$1062/Span_B)-(1-$J$6:$J$1062)*1000000000)),"")</f>
        <v>1.25711247070245</v>
      </c>
      <c r="AB461" s="15" t="n">
        <f aca="false">IF(AND($J461=1,$M461=1),IF(AA461-Z461&lt;=0.000000001,1,0),"")</f>
        <v>1</v>
      </c>
      <c r="AC461" s="13" t="str">
        <f aca="false">IF(AND($J461=1,$M461=0),IF(S461="",0,S461*INDEX(Grid!$B$6:$H$156,R461+1,Q461+1))+IF(V461="",0,V461*INDEX(Grid!$B$6:$H$156,U461+1,T461+1))+IF(Y461="",0,Y461*INDEX(Grid!$B$6:$H$156,X461+1,W461+1)),"")</f>
        <v/>
      </c>
      <c r="AD461" s="13" t="str">
        <f aca="false">IF(AND($J461=1,$M461=0),IF(S461="",0,S461*Val_pt*(Ceiling_e-E_zero)*(1-(1-Half_gap)^Q461))+IF(V461="",0,V461*Val_pt*(Ceiling_e-E_zero)*(1-(1-Half_gap)^T461))+IF(Y461="",0,Y461*Val_pt*(Ceiling_e-E_zero)*(1-(1-Half_gap)^W461)),"")</f>
        <v/>
      </c>
      <c r="AE461" s="13" t="str">
        <f aca="false">IF(AND($J461=1,$M461=0),IF(S461="",0,S461*R461)+IF(V461="",0,V461*U461)+IF(Y461="",0,Y461*X461),"")</f>
        <v/>
      </c>
      <c r="AF461" s="12" t="str">
        <f aca="false">IF(AND($J461=1,$M461=0),MIN((AC461-E461)/Span_P,(AD461-F461)/Span_S,(AE461-G461)/Span_B),"")</f>
        <v/>
      </c>
      <c r="AG461" s="15" t="str">
        <f aca="false">IF(AND($J461=1,$M461=0),IF(AF461&gt;0.0000001,1,0),"")</f>
        <v/>
      </c>
      <c r="AH461" s="15" t="n">
        <f aca="false">IF($J461=1,IF($M461=1,AB461,AG461),"")</f>
        <v>1</v>
      </c>
      <c r="AI461" s="13" t="n">
        <f aca="false">IF($J461=1,(Ideal_P-E461)/Span_P,"")</f>
        <v>0.153375366002298</v>
      </c>
      <c r="AJ461" s="13" t="n">
        <f aca="false">IF($J461=1,(Ideal_S-F461)/Span_S,"")</f>
        <v>0.225806451612903</v>
      </c>
      <c r="AK461" s="13" t="n">
        <f aca="false">IF($J461=1,(Ideal_B-G461)/Span_B,"")</f>
        <v>0.986666666666667</v>
      </c>
      <c r="AL461" s="12" t="n">
        <f aca="false">IF($J461=1,MAX(ChA_1*AI461,ChA_2*AJ461,ChA_3*AK461)+Rho*(ChA_1*AI461+ChA_2*AJ461+ChA_3*AK461),"")</f>
        <v>0.986803251515095</v>
      </c>
      <c r="AM461" s="12" t="n">
        <f aca="false">IF($J461=1,MAX(ChB_1*AI461,ChB_2*AJ461,ChB_3*AK461)+Rho*(ChB_1*AI461+ChB_2*AJ461+ChB_3*AK461),"")</f>
        <v>0.986818589051695</v>
      </c>
      <c r="AN461" s="12" t="n">
        <f aca="false">IF($J461=1,MAX(Cx_1*(Ref_P-E461)/Span_P,Cx_2*(Ref_S-F461)/Span_S,Cx_3*(Ref_B-G461)/Span_B),"")</f>
        <v>2.51260504201681</v>
      </c>
    </row>
    <row r="462" customFormat="false" ht="15" hidden="false" customHeight="false" outlineLevel="0" collapsed="false">
      <c r="A462" s="2" t="n">
        <v>456</v>
      </c>
      <c r="B462" s="15" t="n">
        <f aca="false">INT(A462/151)</f>
        <v>3</v>
      </c>
      <c r="C462" s="15" t="n">
        <f aca="false">MOD(A462,151)</f>
        <v>3</v>
      </c>
      <c r="D462" s="15" t="n">
        <f aca="false">INDEX(Grid!$J$6:$P$156,C462+1,B462+1)</f>
        <v>1</v>
      </c>
      <c r="E462" s="16" t="n">
        <f aca="false">IF(D462=1,INDEX(Grid!$B$6:$H$156,C462+1,B462+1),"")</f>
        <v>327.724712838</v>
      </c>
      <c r="F462" s="13" t="n">
        <f aca="false">Val_pt*(Ceiling_e-E_zero)*(1-(1-Half_gap)^B462)</f>
        <v>122.5</v>
      </c>
      <c r="G462" s="15" t="n">
        <f aca="false">C462</f>
        <v>3</v>
      </c>
      <c r="H462" s="15" t="n">
        <f aca="false">IF(D462=1,INDEX(Grid!$R$6:$X$156,C462+1,B462+1),"")</f>
        <v>56</v>
      </c>
      <c r="I462" s="2" t="str">
        <f aca="false">IF(D462=1,INDEX(Sch_label,H462+1),"")</f>
        <v>1–3</v>
      </c>
      <c r="J462" s="15" t="n">
        <f aca="false">IF(D462=1,INDEX(Grid!$Z$6:$AF$156,C462+1,B462+1),0)</f>
        <v>1</v>
      </c>
      <c r="K462" s="16" t="n">
        <f aca="false">IF(J462=1,E462,0)</f>
        <v>327.724712838</v>
      </c>
      <c r="L462" s="17" t="n">
        <f aca="false">IF(D462=1,E462+W_board*F462,"")</f>
        <v>1019.20527715388</v>
      </c>
      <c r="M462" s="24" t="n">
        <v>1</v>
      </c>
      <c r="N462" s="25" t="n">
        <v>0.348973720143134</v>
      </c>
      <c r="O462" s="25" t="n">
        <v>0.519611355865305</v>
      </c>
      <c r="P462" s="25" t="n">
        <v>0.131414923991561</v>
      </c>
      <c r="Z462" s="12" t="n">
        <f aca="false">IF(AND($J462=1,$M462=1),N462*E462/Span_P+O462*F462/Span_S+P462*G462/Span_B,"")</f>
        <v>1.25711247070247</v>
      </c>
      <c r="AA462" s="12" t="n">
        <f aca="false">IF(AND($J462=1,$M462=1),SUMPRODUCT(MAX($J$6:$J$1062*(N462*$K$6:$K$1062/Span_P+O462*$F$6:$F$1062/Span_S+P462*$G$6:$G$1062/Span_B)-(1-$J$6:$J$1062)*1000000000)),"")</f>
        <v>1.25711247070247</v>
      </c>
      <c r="AB462" s="15" t="n">
        <f aca="false">IF(AND($J462=1,$M462=1),IF(AA462-Z462&lt;=0.000000001,1,0),"")</f>
        <v>1</v>
      </c>
      <c r="AC462" s="13" t="str">
        <f aca="false">IF(AND($J462=1,$M462=0),IF(S462="",0,S462*INDEX(Grid!$B$6:$H$156,R462+1,Q462+1))+IF(V462="",0,V462*INDEX(Grid!$B$6:$H$156,U462+1,T462+1))+IF(Y462="",0,Y462*INDEX(Grid!$B$6:$H$156,X462+1,W462+1)),"")</f>
        <v/>
      </c>
      <c r="AD462" s="13" t="str">
        <f aca="false">IF(AND($J462=1,$M462=0),IF(S462="",0,S462*Val_pt*(Ceiling_e-E_zero)*(1-(1-Half_gap)^Q462))+IF(V462="",0,V462*Val_pt*(Ceiling_e-E_zero)*(1-(1-Half_gap)^T462))+IF(Y462="",0,Y462*Val_pt*(Ceiling_e-E_zero)*(1-(1-Half_gap)^W462)),"")</f>
        <v/>
      </c>
      <c r="AE462" s="13" t="str">
        <f aca="false">IF(AND($J462=1,$M462=0),IF(S462="",0,S462*R462)+IF(V462="",0,V462*U462)+IF(Y462="",0,Y462*X462),"")</f>
        <v/>
      </c>
      <c r="AF462" s="12" t="str">
        <f aca="false">IF(AND($J462=1,$M462=0),MIN((AC462-E462)/Span_P,(AD462-F462)/Span_S,(AE462-G462)/Span_B),"")</f>
        <v/>
      </c>
      <c r="AG462" s="15" t="str">
        <f aca="false">IF(AND($J462=1,$M462=0),IF(AF462&gt;0.0000001,1,0),"")</f>
        <v/>
      </c>
      <c r="AH462" s="15" t="n">
        <f aca="false">IF($J462=1,IF($M462=1,AB462,AG462),"")</f>
        <v>1</v>
      </c>
      <c r="AI462" s="13" t="n">
        <f aca="false">IF($J462=1,(Ideal_P-E462)/Span_P,"")</f>
        <v>0.155885868778604</v>
      </c>
      <c r="AJ462" s="13" t="n">
        <f aca="false">IF($J462=1,(Ideal_S-F462)/Span_S,"")</f>
        <v>0.225806451612903</v>
      </c>
      <c r="AK462" s="13" t="n">
        <f aca="false">IF($J462=1,(Ideal_B-G462)/Span_B,"")</f>
        <v>0.98</v>
      </c>
      <c r="AL462" s="12" t="n">
        <f aca="false">IF($J462=1,MAX(ChA_1*AI462,ChA_2*AJ462,ChA_3*AK462)+Rho*(ChA_1*AI462+ChA_2*AJ462+ChA_3*AK462),"")</f>
        <v>0.980136169232039</v>
      </c>
      <c r="AM462" s="12" t="n">
        <f aca="false">IF($J462=1,MAX(ChB_1*AI462,ChB_2*AJ462,ChB_3*AK462)+Rho*(ChB_1*AI462+ChB_2*AJ462+ChB_3*AK462),"")</f>
        <v>0.980151757818917</v>
      </c>
      <c r="AN462" s="12" t="n">
        <f aca="false">IF($J462=1,MAX(Cx_1*(Ref_P-E462)/Span_P,Cx_2*(Ref_S-F462)/Span_S,Cx_3*(Ref_B-G462)/Span_B),"")</f>
        <v>2.49579831932773</v>
      </c>
    </row>
    <row r="463" customFormat="false" ht="15" hidden="false" customHeight="false" outlineLevel="0" collapsed="false">
      <c r="A463" s="2" t="n">
        <v>457</v>
      </c>
      <c r="B463" s="15" t="n">
        <f aca="false">INT(A463/151)</f>
        <v>3</v>
      </c>
      <c r="C463" s="15" t="n">
        <f aca="false">MOD(A463,151)</f>
        <v>4</v>
      </c>
      <c r="D463" s="15" t="n">
        <f aca="false">INDEX(Grid!$J$6:$P$156,C463+1,B463+1)</f>
        <v>1</v>
      </c>
      <c r="E463" s="16" t="n">
        <f aca="false">IF(D463=1,INDEX(Grid!$B$6:$H$156,C463+1,B463+1),"")</f>
        <v>326.815621928909</v>
      </c>
      <c r="F463" s="13" t="n">
        <f aca="false">Val_pt*(Ceiling_e-E_zero)*(1-(1-Half_gap)^B463)</f>
        <v>122.5</v>
      </c>
      <c r="G463" s="15" t="n">
        <f aca="false">C463</f>
        <v>4</v>
      </c>
      <c r="H463" s="15" t="n">
        <f aca="false">IF(D463=1,INDEX(Grid!$R$6:$X$156,C463+1,B463+1),"")</f>
        <v>56</v>
      </c>
      <c r="I463" s="2" t="str">
        <f aca="false">IF(D463=1,INDEX(Sch_label,H463+1),"")</f>
        <v>1–3</v>
      </c>
      <c r="J463" s="15" t="n">
        <f aca="false">IF(D463=1,INDEX(Grid!$Z$6:$AF$156,C463+1,B463+1),0)</f>
        <v>1</v>
      </c>
      <c r="K463" s="16" t="n">
        <f aca="false">IF(J463=1,E463,0)</f>
        <v>326.815621928909</v>
      </c>
      <c r="L463" s="17" t="n">
        <f aca="false">IF(D463=1,E463+W_board*F463,"")</f>
        <v>1018.29618624479</v>
      </c>
      <c r="M463" s="24" t="n">
        <v>1</v>
      </c>
      <c r="N463" s="25" t="n">
        <v>0.348973720143141</v>
      </c>
      <c r="O463" s="25" t="n">
        <v>0.51961135586529</v>
      </c>
      <c r="P463" s="25" t="n">
        <v>0.131414923991569</v>
      </c>
      <c r="Z463" s="12" t="n">
        <f aca="false">IF(AND($J463=1,$M463=1),N463*E463/Span_P+O463*F463/Span_S+P463*G463/Span_B,"")</f>
        <v>1.25711247070245</v>
      </c>
      <c r="AA463" s="12" t="n">
        <f aca="false">IF(AND($J463=1,$M463=1),SUMPRODUCT(MAX($J$6:$J$1062*(N463*$K$6:$K$1062/Span_P+O463*$F$6:$F$1062/Span_S+P463*$G$6:$G$1062/Span_B)-(1-$J$6:$J$1062)*1000000000)),"")</f>
        <v>1.25711247070245</v>
      </c>
      <c r="AB463" s="15" t="n">
        <f aca="false">IF(AND($J463=1,$M463=1),IF(AA463-Z463&lt;=0.000000001,1,0),"")</f>
        <v>1</v>
      </c>
      <c r="AC463" s="13" t="str">
        <f aca="false">IF(AND($J463=1,$M463=0),IF(S463="",0,S463*INDEX(Grid!$B$6:$H$156,R463+1,Q463+1))+IF(V463="",0,V463*INDEX(Grid!$B$6:$H$156,U463+1,T463+1))+IF(Y463="",0,Y463*INDEX(Grid!$B$6:$H$156,X463+1,W463+1)),"")</f>
        <v/>
      </c>
      <c r="AD463" s="13" t="str">
        <f aca="false">IF(AND($J463=1,$M463=0),IF(S463="",0,S463*Val_pt*(Ceiling_e-E_zero)*(1-(1-Half_gap)^Q463))+IF(V463="",0,V463*Val_pt*(Ceiling_e-E_zero)*(1-(1-Half_gap)^T463))+IF(Y463="",0,Y463*Val_pt*(Ceiling_e-E_zero)*(1-(1-Half_gap)^W463)),"")</f>
        <v/>
      </c>
      <c r="AE463" s="13" t="str">
        <f aca="false">IF(AND($J463=1,$M463=0),IF(S463="",0,S463*R463)+IF(V463="",0,V463*U463)+IF(Y463="",0,Y463*X463),"")</f>
        <v/>
      </c>
      <c r="AF463" s="12" t="str">
        <f aca="false">IF(AND($J463=1,$M463=0),MIN((AC463-E463)/Span_P,(AD463-F463)/Span_S,(AE463-G463)/Span_B),"")</f>
        <v/>
      </c>
      <c r="AG463" s="15" t="str">
        <f aca="false">IF(AND($J463=1,$M463=0),IF(AF463&gt;0.0000001,1,0),"")</f>
        <v/>
      </c>
      <c r="AH463" s="15" t="n">
        <f aca="false">IF($J463=1,IF($M463=1,AB463,AG463),"")</f>
        <v>1</v>
      </c>
      <c r="AI463" s="13" t="n">
        <f aca="false">IF($J463=1,(Ideal_P-E463)/Span_P,"")</f>
        <v>0.15839637155491</v>
      </c>
      <c r="AJ463" s="13" t="n">
        <f aca="false">IF($J463=1,(Ideal_S-F463)/Span_S,"")</f>
        <v>0.225806451612903</v>
      </c>
      <c r="AK463" s="13" t="n">
        <f aca="false">IF($J463=1,(Ideal_B-G463)/Span_B,"")</f>
        <v>0.973333333333333</v>
      </c>
      <c r="AL463" s="12" t="n">
        <f aca="false">IF($J463=1,MAX(ChA_1*AI463,ChA_2*AJ463,ChA_3*AK463)+Rho*(ChA_1*AI463+ChA_2*AJ463+ChA_3*AK463),"")</f>
        <v>0.973469086948984</v>
      </c>
      <c r="AM463" s="12" t="n">
        <f aca="false">IF($J463=1,MAX(ChB_1*AI463,ChB_2*AJ463,ChB_3*AK463)+Rho*(ChB_1*AI463+ChB_2*AJ463+ChB_3*AK463),"")</f>
        <v>0.973484926586139</v>
      </c>
      <c r="AN463" s="12" t="n">
        <f aca="false">IF($J463=1,MAX(Cx_1*(Ref_P-E463)/Span_P,Cx_2*(Ref_S-F463)/Span_S,Cx_3*(Ref_B-G463)/Span_B),"")</f>
        <v>2.47899159663866</v>
      </c>
    </row>
    <row r="464" customFormat="false" ht="15" hidden="false" customHeight="false" outlineLevel="0" collapsed="false">
      <c r="A464" s="2" t="n">
        <v>458</v>
      </c>
      <c r="B464" s="15" t="n">
        <f aca="false">INT(A464/151)</f>
        <v>3</v>
      </c>
      <c r="C464" s="15" t="n">
        <f aca="false">MOD(A464,151)</f>
        <v>5</v>
      </c>
      <c r="D464" s="15" t="n">
        <f aca="false">INDEX(Grid!$J$6:$P$156,C464+1,B464+1)</f>
        <v>1</v>
      </c>
      <c r="E464" s="16" t="n">
        <f aca="false">IF(D464=1,INDEX(Grid!$B$6:$H$156,C464+1,B464+1),"")</f>
        <v>325.906531019818</v>
      </c>
      <c r="F464" s="13" t="n">
        <f aca="false">Val_pt*(Ceiling_e-E_zero)*(1-(1-Half_gap)^B464)</f>
        <v>122.5</v>
      </c>
      <c r="G464" s="15" t="n">
        <f aca="false">C464</f>
        <v>5</v>
      </c>
      <c r="H464" s="15" t="n">
        <f aca="false">IF(D464=1,INDEX(Grid!$R$6:$X$156,C464+1,B464+1),"")</f>
        <v>56</v>
      </c>
      <c r="I464" s="2" t="str">
        <f aca="false">IF(D464=1,INDEX(Sch_label,H464+1),"")</f>
        <v>1–3</v>
      </c>
      <c r="J464" s="15" t="n">
        <f aca="false">IF(D464=1,INDEX(Grid!$Z$6:$AF$156,C464+1,B464+1),0)</f>
        <v>1</v>
      </c>
      <c r="K464" s="16" t="n">
        <f aca="false">IF(J464=1,E464,0)</f>
        <v>325.906531019818</v>
      </c>
      <c r="L464" s="17" t="n">
        <f aca="false">IF(D464=1,E464+W_board*F464,"")</f>
        <v>1017.3870953357</v>
      </c>
      <c r="M464" s="24" t="n">
        <v>1</v>
      </c>
      <c r="N464" s="25" t="n">
        <v>0.348973720143141</v>
      </c>
      <c r="O464" s="25" t="n">
        <v>0.519611355865291</v>
      </c>
      <c r="P464" s="25" t="n">
        <v>0.131414923991569</v>
      </c>
      <c r="Z464" s="12" t="n">
        <f aca="false">IF(AND($J464=1,$M464=1),N464*E464/Span_P+O464*F464/Span_S+P464*G464/Span_B,"")</f>
        <v>1.25711247070245</v>
      </c>
      <c r="AA464" s="12" t="n">
        <f aca="false">IF(AND($J464=1,$M464=1),SUMPRODUCT(MAX($J$6:$J$1062*(N464*$K$6:$K$1062/Span_P+O464*$F$6:$F$1062/Span_S+P464*$G$6:$G$1062/Span_B)-(1-$J$6:$J$1062)*1000000000)),"")</f>
        <v>1.25711247070245</v>
      </c>
      <c r="AB464" s="15" t="n">
        <f aca="false">IF(AND($J464=1,$M464=1),IF(AA464-Z464&lt;=0.000000001,1,0),"")</f>
        <v>1</v>
      </c>
      <c r="AC464" s="13" t="str">
        <f aca="false">IF(AND($J464=1,$M464=0),IF(S464="",0,S464*INDEX(Grid!$B$6:$H$156,R464+1,Q464+1))+IF(V464="",0,V464*INDEX(Grid!$B$6:$H$156,U464+1,T464+1))+IF(Y464="",0,Y464*INDEX(Grid!$B$6:$H$156,X464+1,W464+1)),"")</f>
        <v/>
      </c>
      <c r="AD464" s="13" t="str">
        <f aca="false">IF(AND($J464=1,$M464=0),IF(S464="",0,S464*Val_pt*(Ceiling_e-E_zero)*(1-(1-Half_gap)^Q464))+IF(V464="",0,V464*Val_pt*(Ceiling_e-E_zero)*(1-(1-Half_gap)^T464))+IF(Y464="",0,Y464*Val_pt*(Ceiling_e-E_zero)*(1-(1-Half_gap)^W464)),"")</f>
        <v/>
      </c>
      <c r="AE464" s="13" t="str">
        <f aca="false">IF(AND($J464=1,$M464=0),IF(S464="",0,S464*R464)+IF(V464="",0,V464*U464)+IF(Y464="",0,Y464*X464),"")</f>
        <v/>
      </c>
      <c r="AF464" s="12" t="str">
        <f aca="false">IF(AND($J464=1,$M464=0),MIN((AC464-E464)/Span_P,(AD464-F464)/Span_S,(AE464-G464)/Span_B),"")</f>
        <v/>
      </c>
      <c r="AG464" s="15" t="str">
        <f aca="false">IF(AND($J464=1,$M464=0),IF(AF464&gt;0.0000001,1,0),"")</f>
        <v/>
      </c>
      <c r="AH464" s="15" t="n">
        <f aca="false">IF($J464=1,IF($M464=1,AB464,AG464),"")</f>
        <v>1</v>
      </c>
      <c r="AI464" s="13" t="n">
        <f aca="false">IF($J464=1,(Ideal_P-E464)/Span_P,"")</f>
        <v>0.160906874331215</v>
      </c>
      <c r="AJ464" s="13" t="n">
        <f aca="false">IF($J464=1,(Ideal_S-F464)/Span_S,"")</f>
        <v>0.225806451612903</v>
      </c>
      <c r="AK464" s="13" t="n">
        <f aca="false">IF($J464=1,(Ideal_B-G464)/Span_B,"")</f>
        <v>0.966666666666667</v>
      </c>
      <c r="AL464" s="12" t="n">
        <f aca="false">IF($J464=1,MAX(ChA_1*AI464,ChA_2*AJ464,ChA_3*AK464)+Rho*(ChA_1*AI464+ChA_2*AJ464+ChA_3*AK464),"")</f>
        <v>0.966802004665928</v>
      </c>
      <c r="AM464" s="12" t="n">
        <f aca="false">IF($J464=1,MAX(ChB_1*AI464,ChB_2*AJ464,ChB_3*AK464)+Rho*(ChB_1*AI464+ChB_2*AJ464+ChB_3*AK464),"")</f>
        <v>0.966818095353361</v>
      </c>
      <c r="AN464" s="12" t="n">
        <f aca="false">IF($J464=1,MAX(Cx_1*(Ref_P-E464)/Span_P,Cx_2*(Ref_S-F464)/Span_S,Cx_3*(Ref_B-G464)/Span_B),"")</f>
        <v>2.46218487394958</v>
      </c>
    </row>
    <row r="465" customFormat="false" ht="15" hidden="false" customHeight="false" outlineLevel="0" collapsed="false">
      <c r="A465" s="2" t="n">
        <v>459</v>
      </c>
      <c r="B465" s="15" t="n">
        <f aca="false">INT(A465/151)</f>
        <v>3</v>
      </c>
      <c r="C465" s="15" t="n">
        <f aca="false">MOD(A465,151)</f>
        <v>6</v>
      </c>
      <c r="D465" s="15" t="n">
        <f aca="false">INDEX(Grid!$J$6:$P$156,C465+1,B465+1)</f>
        <v>1</v>
      </c>
      <c r="E465" s="16" t="n">
        <f aca="false">IF(D465=1,INDEX(Grid!$B$6:$H$156,C465+1,B465+1),"")</f>
        <v>324.997440110727</v>
      </c>
      <c r="F465" s="13" t="n">
        <f aca="false">Val_pt*(Ceiling_e-E_zero)*(1-(1-Half_gap)^B465)</f>
        <v>122.5</v>
      </c>
      <c r="G465" s="15" t="n">
        <f aca="false">C465</f>
        <v>6</v>
      </c>
      <c r="H465" s="15" t="n">
        <f aca="false">IF(D465=1,INDEX(Grid!$R$6:$X$156,C465+1,B465+1),"")</f>
        <v>56</v>
      </c>
      <c r="I465" s="2" t="str">
        <f aca="false">IF(D465=1,INDEX(Sch_label,H465+1),"")</f>
        <v>1–3</v>
      </c>
      <c r="J465" s="15" t="n">
        <f aca="false">IF(D465=1,INDEX(Grid!$Z$6:$AF$156,C465+1,B465+1),0)</f>
        <v>1</v>
      </c>
      <c r="K465" s="16" t="n">
        <f aca="false">IF(J465=1,E465,0)</f>
        <v>324.997440110727</v>
      </c>
      <c r="L465" s="17" t="n">
        <f aca="false">IF(D465=1,E465+W_board*F465,"")</f>
        <v>1016.4780044266</v>
      </c>
      <c r="M465" s="24" t="n">
        <v>1</v>
      </c>
      <c r="N465" s="25" t="n">
        <v>0.348973720143134</v>
      </c>
      <c r="O465" s="25" t="n">
        <v>0.519611355865305</v>
      </c>
      <c r="P465" s="25" t="n">
        <v>0.131414923991561</v>
      </c>
      <c r="Z465" s="12" t="n">
        <f aca="false">IF(AND($J465=1,$M465=1),N465*E465/Span_P+O465*F465/Span_S+P465*G465/Span_B,"")</f>
        <v>1.25711247070247</v>
      </c>
      <c r="AA465" s="12" t="n">
        <f aca="false">IF(AND($J465=1,$M465=1),SUMPRODUCT(MAX($J$6:$J$1062*(N465*$K$6:$K$1062/Span_P+O465*$F$6:$F$1062/Span_S+P465*$G$6:$G$1062/Span_B)-(1-$J$6:$J$1062)*1000000000)),"")</f>
        <v>1.25711247070247</v>
      </c>
      <c r="AB465" s="15" t="n">
        <f aca="false">IF(AND($J465=1,$M465=1),IF(AA465-Z465&lt;=0.000000001,1,0),"")</f>
        <v>1</v>
      </c>
      <c r="AC465" s="13" t="str">
        <f aca="false">IF(AND($J465=1,$M465=0),IF(S465="",0,S465*INDEX(Grid!$B$6:$H$156,R465+1,Q465+1))+IF(V465="",0,V465*INDEX(Grid!$B$6:$H$156,U465+1,T465+1))+IF(Y465="",0,Y465*INDEX(Grid!$B$6:$H$156,X465+1,W465+1)),"")</f>
        <v/>
      </c>
      <c r="AD465" s="13" t="str">
        <f aca="false">IF(AND($J465=1,$M465=0),IF(S465="",0,S465*Val_pt*(Ceiling_e-E_zero)*(1-(1-Half_gap)^Q465))+IF(V465="",0,V465*Val_pt*(Ceiling_e-E_zero)*(1-(1-Half_gap)^T465))+IF(Y465="",0,Y465*Val_pt*(Ceiling_e-E_zero)*(1-(1-Half_gap)^W465)),"")</f>
        <v/>
      </c>
      <c r="AE465" s="13" t="str">
        <f aca="false">IF(AND($J465=1,$M465=0),IF(S465="",0,S465*R465)+IF(V465="",0,V465*U465)+IF(Y465="",0,Y465*X465),"")</f>
        <v/>
      </c>
      <c r="AF465" s="12" t="str">
        <f aca="false">IF(AND($J465=1,$M465=0),MIN((AC465-E465)/Span_P,(AD465-F465)/Span_S,(AE465-G465)/Span_B),"")</f>
        <v/>
      </c>
      <c r="AG465" s="15" t="str">
        <f aca="false">IF(AND($J465=1,$M465=0),IF(AF465&gt;0.0000001,1,0),"")</f>
        <v/>
      </c>
      <c r="AH465" s="15" t="n">
        <f aca="false">IF($J465=1,IF($M465=1,AB465,AG465),"")</f>
        <v>1</v>
      </c>
      <c r="AI465" s="13" t="n">
        <f aca="false">IF($J465=1,(Ideal_P-E465)/Span_P,"")</f>
        <v>0.163417377107521</v>
      </c>
      <c r="AJ465" s="13" t="n">
        <f aca="false">IF($J465=1,(Ideal_S-F465)/Span_S,"")</f>
        <v>0.225806451612903</v>
      </c>
      <c r="AK465" s="13" t="n">
        <f aca="false">IF($J465=1,(Ideal_B-G465)/Span_B,"")</f>
        <v>0.96</v>
      </c>
      <c r="AL465" s="12" t="n">
        <f aca="false">IF($J465=1,MAX(ChA_1*AI465,ChA_2*AJ465,ChA_3*AK465)+Rho*(ChA_1*AI465+ChA_2*AJ465+ChA_3*AK465),"")</f>
        <v>0.960134922382872</v>
      </c>
      <c r="AM465" s="12" t="n">
        <f aca="false">IF($J465=1,MAX(ChB_1*AI465,ChB_2*AJ465,ChB_3*AK465)+Rho*(ChB_1*AI465+ChB_2*AJ465+ChB_3*AK465),"")</f>
        <v>0.960151264120583</v>
      </c>
      <c r="AN465" s="12" t="n">
        <f aca="false">IF($J465=1,MAX(Cx_1*(Ref_P-E465)/Span_P,Cx_2*(Ref_S-F465)/Span_S,Cx_3*(Ref_B-G465)/Span_B),"")</f>
        <v>2.4453781512605</v>
      </c>
    </row>
    <row r="466" customFormat="false" ht="15" hidden="false" customHeight="false" outlineLevel="0" collapsed="false">
      <c r="A466" s="2" t="n">
        <v>460</v>
      </c>
      <c r="B466" s="15" t="n">
        <f aca="false">INT(A466/151)</f>
        <v>3</v>
      </c>
      <c r="C466" s="15" t="n">
        <f aca="false">MOD(A466,151)</f>
        <v>7</v>
      </c>
      <c r="D466" s="15" t="n">
        <f aca="false">INDEX(Grid!$J$6:$P$156,C466+1,B466+1)</f>
        <v>1</v>
      </c>
      <c r="E466" s="16" t="n">
        <f aca="false">IF(D466=1,INDEX(Grid!$B$6:$H$156,C466+1,B466+1),"")</f>
        <v>324.088349201636</v>
      </c>
      <c r="F466" s="13" t="n">
        <f aca="false">Val_pt*(Ceiling_e-E_zero)*(1-(1-Half_gap)^B466)</f>
        <v>122.5</v>
      </c>
      <c r="G466" s="15" t="n">
        <f aca="false">C466</f>
        <v>7</v>
      </c>
      <c r="H466" s="15" t="n">
        <f aca="false">IF(D466=1,INDEX(Grid!$R$6:$X$156,C466+1,B466+1),"")</f>
        <v>56</v>
      </c>
      <c r="I466" s="2" t="str">
        <f aca="false">IF(D466=1,INDEX(Sch_label,H466+1),"")</f>
        <v>1–3</v>
      </c>
      <c r="J466" s="15" t="n">
        <f aca="false">IF(D466=1,INDEX(Grid!$Z$6:$AF$156,C466+1,B466+1),0)</f>
        <v>1</v>
      </c>
      <c r="K466" s="16" t="n">
        <f aca="false">IF(J466=1,E466,0)</f>
        <v>324.088349201636</v>
      </c>
      <c r="L466" s="17" t="n">
        <f aca="false">IF(D466=1,E466+W_board*F466,"")</f>
        <v>1015.56891351751</v>
      </c>
      <c r="M466" s="24" t="n">
        <v>1</v>
      </c>
      <c r="N466" s="25" t="n">
        <v>0.34897372014314</v>
      </c>
      <c r="O466" s="25" t="n">
        <v>0.51961135586529</v>
      </c>
      <c r="P466" s="25" t="n">
        <v>0.131414923991569</v>
      </c>
      <c r="Z466" s="12" t="n">
        <f aca="false">IF(AND($J466=1,$M466=1),N466*E466/Span_P+O466*F466/Span_S+P466*G466/Span_B,"")</f>
        <v>1.25711247070245</v>
      </c>
      <c r="AA466" s="12" t="n">
        <f aca="false">IF(AND($J466=1,$M466=1),SUMPRODUCT(MAX($J$6:$J$1062*(N466*$K$6:$K$1062/Span_P+O466*$F$6:$F$1062/Span_S+P466*$G$6:$G$1062/Span_B)-(1-$J$6:$J$1062)*1000000000)),"")</f>
        <v>1.25711247070245</v>
      </c>
      <c r="AB466" s="15" t="n">
        <f aca="false">IF(AND($J466=1,$M466=1),IF(AA466-Z466&lt;=0.000000001,1,0),"")</f>
        <v>1</v>
      </c>
      <c r="AC466" s="13" t="str">
        <f aca="false">IF(AND($J466=1,$M466=0),IF(S466="",0,S466*INDEX(Grid!$B$6:$H$156,R466+1,Q466+1))+IF(V466="",0,V466*INDEX(Grid!$B$6:$H$156,U466+1,T466+1))+IF(Y466="",0,Y466*INDEX(Grid!$B$6:$H$156,X466+1,W466+1)),"")</f>
        <v/>
      </c>
      <c r="AD466" s="13" t="str">
        <f aca="false">IF(AND($J466=1,$M466=0),IF(S466="",0,S466*Val_pt*(Ceiling_e-E_zero)*(1-(1-Half_gap)^Q466))+IF(V466="",0,V466*Val_pt*(Ceiling_e-E_zero)*(1-(1-Half_gap)^T466))+IF(Y466="",0,Y466*Val_pt*(Ceiling_e-E_zero)*(1-(1-Half_gap)^W466)),"")</f>
        <v/>
      </c>
      <c r="AE466" s="13" t="str">
        <f aca="false">IF(AND($J466=1,$M466=0),IF(S466="",0,S466*R466)+IF(V466="",0,V466*U466)+IF(Y466="",0,Y466*X466),"")</f>
        <v/>
      </c>
      <c r="AF466" s="12" t="str">
        <f aca="false">IF(AND($J466=1,$M466=0),MIN((AC466-E466)/Span_P,(AD466-F466)/Span_S,(AE466-G466)/Span_B),"")</f>
        <v/>
      </c>
      <c r="AG466" s="15" t="str">
        <f aca="false">IF(AND($J466=1,$M466=0),IF(AF466&gt;0.0000001,1,0),"")</f>
        <v/>
      </c>
      <c r="AH466" s="15" t="n">
        <f aca="false">IF($J466=1,IF($M466=1,AB466,AG466),"")</f>
        <v>1</v>
      </c>
      <c r="AI466" s="13" t="n">
        <f aca="false">IF($J466=1,(Ideal_P-E466)/Span_P,"")</f>
        <v>0.165927879883827</v>
      </c>
      <c r="AJ466" s="13" t="n">
        <f aca="false">IF($J466=1,(Ideal_S-F466)/Span_S,"")</f>
        <v>0.225806451612903</v>
      </c>
      <c r="AK466" s="13" t="n">
        <f aca="false">IF($J466=1,(Ideal_B-G466)/Span_B,"")</f>
        <v>0.953333333333333</v>
      </c>
      <c r="AL466" s="12" t="n">
        <f aca="false">IF($J466=1,MAX(ChA_1*AI466,ChA_2*AJ466,ChA_3*AK466)+Rho*(ChA_1*AI466+ChA_2*AJ466+ChA_3*AK466),"")</f>
        <v>0.953467840099816</v>
      </c>
      <c r="AM466" s="12" t="n">
        <f aca="false">IF($J466=1,MAX(ChB_1*AI466,ChB_2*AJ466,ChB_3*AK466)+Rho*(ChB_1*AI466+ChB_2*AJ466+ChB_3*AK466),"")</f>
        <v>0.953484432887805</v>
      </c>
      <c r="AN466" s="12" t="n">
        <f aca="false">IF($J466=1,MAX(Cx_1*(Ref_P-E466)/Span_P,Cx_2*(Ref_S-F466)/Span_S,Cx_3*(Ref_B-G466)/Span_B),"")</f>
        <v>2.42857142857143</v>
      </c>
    </row>
    <row r="467" customFormat="false" ht="15" hidden="false" customHeight="false" outlineLevel="0" collapsed="false">
      <c r="A467" s="2" t="n">
        <v>461</v>
      </c>
      <c r="B467" s="15" t="n">
        <f aca="false">INT(A467/151)</f>
        <v>3</v>
      </c>
      <c r="C467" s="15" t="n">
        <f aca="false">MOD(A467,151)</f>
        <v>8</v>
      </c>
      <c r="D467" s="15" t="n">
        <f aca="false">INDEX(Grid!$J$6:$P$156,C467+1,B467+1)</f>
        <v>1</v>
      </c>
      <c r="E467" s="16" t="n">
        <f aca="false">IF(D467=1,INDEX(Grid!$B$6:$H$156,C467+1,B467+1),"")</f>
        <v>323.179258292545</v>
      </c>
      <c r="F467" s="13" t="n">
        <f aca="false">Val_pt*(Ceiling_e-E_zero)*(1-(1-Half_gap)^B467)</f>
        <v>122.5</v>
      </c>
      <c r="G467" s="15" t="n">
        <f aca="false">C467</f>
        <v>8</v>
      </c>
      <c r="H467" s="15" t="n">
        <f aca="false">IF(D467=1,INDEX(Grid!$R$6:$X$156,C467+1,B467+1),"")</f>
        <v>56</v>
      </c>
      <c r="I467" s="2" t="str">
        <f aca="false">IF(D467=1,INDEX(Sch_label,H467+1),"")</f>
        <v>1–3</v>
      </c>
      <c r="J467" s="15" t="n">
        <f aca="false">IF(D467=1,INDEX(Grid!$Z$6:$AF$156,C467+1,B467+1),0)</f>
        <v>1</v>
      </c>
      <c r="K467" s="16" t="n">
        <f aca="false">IF(J467=1,E467,0)</f>
        <v>323.179258292545</v>
      </c>
      <c r="L467" s="17" t="n">
        <f aca="false">IF(D467=1,E467+W_board*F467,"")</f>
        <v>1014.65982260842</v>
      </c>
      <c r="M467" s="24" t="n">
        <v>1</v>
      </c>
      <c r="N467" s="25" t="n">
        <v>0.348973720143135</v>
      </c>
      <c r="O467" s="25" t="n">
        <v>0.519611355865305</v>
      </c>
      <c r="P467" s="25" t="n">
        <v>0.131414923991561</v>
      </c>
      <c r="Z467" s="12" t="n">
        <f aca="false">IF(AND($J467=1,$M467=1),N467*E467/Span_P+O467*F467/Span_S+P467*G467/Span_B,"")</f>
        <v>1.25711247070247</v>
      </c>
      <c r="AA467" s="12" t="n">
        <f aca="false">IF(AND($J467=1,$M467=1),SUMPRODUCT(MAX($J$6:$J$1062*(N467*$K$6:$K$1062/Span_P+O467*$F$6:$F$1062/Span_S+P467*$G$6:$G$1062/Span_B)-(1-$J$6:$J$1062)*1000000000)),"")</f>
        <v>1.25711247070247</v>
      </c>
      <c r="AB467" s="15" t="n">
        <f aca="false">IF(AND($J467=1,$M467=1),IF(AA467-Z467&lt;=0.000000001,1,0),"")</f>
        <v>1</v>
      </c>
      <c r="AC467" s="13" t="str">
        <f aca="false">IF(AND($J467=1,$M467=0),IF(S467="",0,S467*INDEX(Grid!$B$6:$H$156,R467+1,Q467+1))+IF(V467="",0,V467*INDEX(Grid!$B$6:$H$156,U467+1,T467+1))+IF(Y467="",0,Y467*INDEX(Grid!$B$6:$H$156,X467+1,W467+1)),"")</f>
        <v/>
      </c>
      <c r="AD467" s="13" t="str">
        <f aca="false">IF(AND($J467=1,$M467=0),IF(S467="",0,S467*Val_pt*(Ceiling_e-E_zero)*(1-(1-Half_gap)^Q467))+IF(V467="",0,V467*Val_pt*(Ceiling_e-E_zero)*(1-(1-Half_gap)^T467))+IF(Y467="",0,Y467*Val_pt*(Ceiling_e-E_zero)*(1-(1-Half_gap)^W467)),"")</f>
        <v/>
      </c>
      <c r="AE467" s="13" t="str">
        <f aca="false">IF(AND($J467=1,$M467=0),IF(S467="",0,S467*R467)+IF(V467="",0,V467*U467)+IF(Y467="",0,Y467*X467),"")</f>
        <v/>
      </c>
      <c r="AF467" s="12" t="str">
        <f aca="false">IF(AND($J467=1,$M467=0),MIN((AC467-E467)/Span_P,(AD467-F467)/Span_S,(AE467-G467)/Span_B),"")</f>
        <v/>
      </c>
      <c r="AG467" s="15" t="str">
        <f aca="false">IF(AND($J467=1,$M467=0),IF(AF467&gt;0.0000001,1,0),"")</f>
        <v/>
      </c>
      <c r="AH467" s="15" t="n">
        <f aca="false">IF($J467=1,IF($M467=1,AB467,AG467),"")</f>
        <v>1</v>
      </c>
      <c r="AI467" s="13" t="n">
        <f aca="false">IF($J467=1,(Ideal_P-E467)/Span_P,"")</f>
        <v>0.168438382660133</v>
      </c>
      <c r="AJ467" s="13" t="n">
        <f aca="false">IF($J467=1,(Ideal_S-F467)/Span_S,"")</f>
        <v>0.225806451612903</v>
      </c>
      <c r="AK467" s="13" t="n">
        <f aca="false">IF($J467=1,(Ideal_B-G467)/Span_B,"")</f>
        <v>0.946666666666667</v>
      </c>
      <c r="AL467" s="12" t="n">
        <f aca="false">IF($J467=1,MAX(ChA_1*AI467,ChA_2*AJ467,ChA_3*AK467)+Rho*(ChA_1*AI467+ChA_2*AJ467+ChA_3*AK467),"")</f>
        <v>0.946800757816761</v>
      </c>
      <c r="AM467" s="12" t="n">
        <f aca="false">IF($J467=1,MAX(ChB_1*AI467,ChB_2*AJ467,ChB_3*AK467)+Rho*(ChB_1*AI467+ChB_2*AJ467+ChB_3*AK467),"")</f>
        <v>0.946817601655027</v>
      </c>
      <c r="AN467" s="12" t="n">
        <f aca="false">IF($J467=1,MAX(Cx_1*(Ref_P-E467)/Span_P,Cx_2*(Ref_S-F467)/Span_S,Cx_3*(Ref_B-G467)/Span_B),"")</f>
        <v>2.41176470588235</v>
      </c>
    </row>
    <row r="468" customFormat="false" ht="15" hidden="false" customHeight="false" outlineLevel="0" collapsed="false">
      <c r="A468" s="2" t="n">
        <v>462</v>
      </c>
      <c r="B468" s="15" t="n">
        <f aca="false">INT(A468/151)</f>
        <v>3</v>
      </c>
      <c r="C468" s="15" t="n">
        <f aca="false">MOD(A468,151)</f>
        <v>9</v>
      </c>
      <c r="D468" s="15" t="n">
        <f aca="false">INDEX(Grid!$J$6:$P$156,C468+1,B468+1)</f>
        <v>1</v>
      </c>
      <c r="E468" s="16" t="n">
        <f aca="false">IF(D468=1,INDEX(Grid!$B$6:$H$156,C468+1,B468+1),"")</f>
        <v>322.270167383454</v>
      </c>
      <c r="F468" s="13" t="n">
        <f aca="false">Val_pt*(Ceiling_e-E_zero)*(1-(1-Half_gap)^B468)</f>
        <v>122.5</v>
      </c>
      <c r="G468" s="15" t="n">
        <f aca="false">C468</f>
        <v>9</v>
      </c>
      <c r="H468" s="15" t="n">
        <f aca="false">IF(D468=1,INDEX(Grid!$R$6:$X$156,C468+1,B468+1),"")</f>
        <v>56</v>
      </c>
      <c r="I468" s="2" t="str">
        <f aca="false">IF(D468=1,INDEX(Sch_label,H468+1),"")</f>
        <v>1–3</v>
      </c>
      <c r="J468" s="15" t="n">
        <f aca="false">IF(D468=1,INDEX(Grid!$Z$6:$AF$156,C468+1,B468+1),0)</f>
        <v>1</v>
      </c>
      <c r="K468" s="16" t="n">
        <f aca="false">IF(J468=1,E468,0)</f>
        <v>322.270167383454</v>
      </c>
      <c r="L468" s="17" t="n">
        <f aca="false">IF(D468=1,E468+W_board*F468,"")</f>
        <v>1013.75073169933</v>
      </c>
      <c r="M468" s="24" t="n">
        <v>1</v>
      </c>
      <c r="N468" s="25" t="n">
        <v>0.34897372014314</v>
      </c>
      <c r="O468" s="25" t="n">
        <v>0.519611355865291</v>
      </c>
      <c r="P468" s="25" t="n">
        <v>0.131414923991569</v>
      </c>
      <c r="Z468" s="12" t="n">
        <f aca="false">IF(AND($J468=1,$M468=1),N468*E468/Span_P+O468*F468/Span_S+P468*G468/Span_B,"")</f>
        <v>1.25711247070245</v>
      </c>
      <c r="AA468" s="12" t="n">
        <f aca="false">IF(AND($J468=1,$M468=1),SUMPRODUCT(MAX($J$6:$J$1062*(N468*$K$6:$K$1062/Span_P+O468*$F$6:$F$1062/Span_S+P468*$G$6:$G$1062/Span_B)-(1-$J$6:$J$1062)*1000000000)),"")</f>
        <v>1.25711247070245</v>
      </c>
      <c r="AB468" s="15" t="n">
        <f aca="false">IF(AND($J468=1,$M468=1),IF(AA468-Z468&lt;=0.000000001,1,0),"")</f>
        <v>1</v>
      </c>
      <c r="AC468" s="13" t="str">
        <f aca="false">IF(AND($J468=1,$M468=0),IF(S468="",0,S468*INDEX(Grid!$B$6:$H$156,R468+1,Q468+1))+IF(V468="",0,V468*INDEX(Grid!$B$6:$H$156,U468+1,T468+1))+IF(Y468="",0,Y468*INDEX(Grid!$B$6:$H$156,X468+1,W468+1)),"")</f>
        <v/>
      </c>
      <c r="AD468" s="13" t="str">
        <f aca="false">IF(AND($J468=1,$M468=0),IF(S468="",0,S468*Val_pt*(Ceiling_e-E_zero)*(1-(1-Half_gap)^Q468))+IF(V468="",0,V468*Val_pt*(Ceiling_e-E_zero)*(1-(1-Half_gap)^T468))+IF(Y468="",0,Y468*Val_pt*(Ceiling_e-E_zero)*(1-(1-Half_gap)^W468)),"")</f>
        <v/>
      </c>
      <c r="AE468" s="13" t="str">
        <f aca="false">IF(AND($J468=1,$M468=0),IF(S468="",0,S468*R468)+IF(V468="",0,V468*U468)+IF(Y468="",0,Y468*X468),"")</f>
        <v/>
      </c>
      <c r="AF468" s="12" t="str">
        <f aca="false">IF(AND($J468=1,$M468=0),MIN((AC468-E468)/Span_P,(AD468-F468)/Span_S,(AE468-G468)/Span_B),"")</f>
        <v/>
      </c>
      <c r="AG468" s="15" t="str">
        <f aca="false">IF(AND($J468=1,$M468=0),IF(AF468&gt;0.0000001,1,0),"")</f>
        <v/>
      </c>
      <c r="AH468" s="15" t="n">
        <f aca="false">IF($J468=1,IF($M468=1,AB468,AG468),"")</f>
        <v>1</v>
      </c>
      <c r="AI468" s="13" t="n">
        <f aca="false">IF($J468=1,(Ideal_P-E468)/Span_P,"")</f>
        <v>0.170948885436439</v>
      </c>
      <c r="AJ468" s="13" t="n">
        <f aca="false">IF($J468=1,(Ideal_S-F468)/Span_S,"")</f>
        <v>0.225806451612903</v>
      </c>
      <c r="AK468" s="13" t="n">
        <f aca="false">IF($J468=1,(Ideal_B-G468)/Span_B,"")</f>
        <v>0.94</v>
      </c>
      <c r="AL468" s="12" t="n">
        <f aca="false">IF($J468=1,MAX(ChA_1*AI468,ChA_2*AJ468,ChA_3*AK468)+Rho*(ChA_1*AI468+ChA_2*AJ468+ChA_3*AK468),"")</f>
        <v>0.940133675533705</v>
      </c>
      <c r="AM468" s="12" t="n">
        <f aca="false">IF($J468=1,MAX(ChB_1*AI468,ChB_2*AJ468,ChB_3*AK468)+Rho*(ChB_1*AI468+ChB_2*AJ468+ChB_3*AK468),"")</f>
        <v>0.940150770422249</v>
      </c>
      <c r="AN468" s="12" t="n">
        <f aca="false">IF($J468=1,MAX(Cx_1*(Ref_P-E468)/Span_P,Cx_2*(Ref_S-F468)/Span_S,Cx_3*(Ref_B-G468)/Span_B),"")</f>
        <v>2.39495798319328</v>
      </c>
    </row>
    <row r="469" customFormat="false" ht="15" hidden="false" customHeight="false" outlineLevel="0" collapsed="false">
      <c r="A469" s="2" t="n">
        <v>463</v>
      </c>
      <c r="B469" s="15" t="n">
        <f aca="false">INT(A469/151)</f>
        <v>3</v>
      </c>
      <c r="C469" s="15" t="n">
        <f aca="false">MOD(A469,151)</f>
        <v>10</v>
      </c>
      <c r="D469" s="15" t="n">
        <f aca="false">INDEX(Grid!$J$6:$P$156,C469+1,B469+1)</f>
        <v>1</v>
      </c>
      <c r="E469" s="16" t="n">
        <f aca="false">IF(D469=1,INDEX(Grid!$B$6:$H$156,C469+1,B469+1),"")</f>
        <v>321.361076474364</v>
      </c>
      <c r="F469" s="13" t="n">
        <f aca="false">Val_pt*(Ceiling_e-E_zero)*(1-(1-Half_gap)^B469)</f>
        <v>122.5</v>
      </c>
      <c r="G469" s="15" t="n">
        <f aca="false">C469</f>
        <v>10</v>
      </c>
      <c r="H469" s="15" t="n">
        <f aca="false">IF(D469=1,INDEX(Grid!$R$6:$X$156,C469+1,B469+1),"")</f>
        <v>56</v>
      </c>
      <c r="I469" s="2" t="str">
        <f aca="false">IF(D469=1,INDEX(Sch_label,H469+1),"")</f>
        <v>1–3</v>
      </c>
      <c r="J469" s="15" t="n">
        <f aca="false">IF(D469=1,INDEX(Grid!$Z$6:$AF$156,C469+1,B469+1),0)</f>
        <v>1</v>
      </c>
      <c r="K469" s="16" t="n">
        <f aca="false">IF(J469=1,E469,0)</f>
        <v>321.361076474364</v>
      </c>
      <c r="L469" s="17" t="n">
        <f aca="false">IF(D469=1,E469+W_board*F469,"")</f>
        <v>1012.84164079024</v>
      </c>
      <c r="M469" s="24" t="n">
        <v>1</v>
      </c>
      <c r="N469" s="25" t="n">
        <v>0.348973720143135</v>
      </c>
      <c r="O469" s="25" t="n">
        <v>0.519611355865305</v>
      </c>
      <c r="P469" s="25" t="n">
        <v>0.131414923991561</v>
      </c>
      <c r="Z469" s="12" t="n">
        <f aca="false">IF(AND($J469=1,$M469=1),N469*E469/Span_P+O469*F469/Span_S+P469*G469/Span_B,"")</f>
        <v>1.25711247070247</v>
      </c>
      <c r="AA469" s="12" t="n">
        <f aca="false">IF(AND($J469=1,$M469=1),SUMPRODUCT(MAX($J$6:$J$1062*(N469*$K$6:$K$1062/Span_P+O469*$F$6:$F$1062/Span_S+P469*$G$6:$G$1062/Span_B)-(1-$J$6:$J$1062)*1000000000)),"")</f>
        <v>1.25711247070247</v>
      </c>
      <c r="AB469" s="15" t="n">
        <f aca="false">IF(AND($J469=1,$M469=1),IF(AA469-Z469&lt;=0.000000001,1,0),"")</f>
        <v>1</v>
      </c>
      <c r="AC469" s="13" t="str">
        <f aca="false">IF(AND($J469=1,$M469=0),IF(S469="",0,S469*INDEX(Grid!$B$6:$H$156,R469+1,Q469+1))+IF(V469="",0,V469*INDEX(Grid!$B$6:$H$156,U469+1,T469+1))+IF(Y469="",0,Y469*INDEX(Grid!$B$6:$H$156,X469+1,W469+1)),"")</f>
        <v/>
      </c>
      <c r="AD469" s="13" t="str">
        <f aca="false">IF(AND($J469=1,$M469=0),IF(S469="",0,S469*Val_pt*(Ceiling_e-E_zero)*(1-(1-Half_gap)^Q469))+IF(V469="",0,V469*Val_pt*(Ceiling_e-E_zero)*(1-(1-Half_gap)^T469))+IF(Y469="",0,Y469*Val_pt*(Ceiling_e-E_zero)*(1-(1-Half_gap)^W469)),"")</f>
        <v/>
      </c>
      <c r="AE469" s="13" t="str">
        <f aca="false">IF(AND($J469=1,$M469=0),IF(S469="",0,S469*R469)+IF(V469="",0,V469*U469)+IF(Y469="",0,Y469*X469),"")</f>
        <v/>
      </c>
      <c r="AF469" s="12" t="str">
        <f aca="false">IF(AND($J469=1,$M469=0),MIN((AC469-E469)/Span_P,(AD469-F469)/Span_S,(AE469-G469)/Span_B),"")</f>
        <v/>
      </c>
      <c r="AG469" s="15" t="str">
        <f aca="false">IF(AND($J469=1,$M469=0),IF(AF469&gt;0.0000001,1,0),"")</f>
        <v/>
      </c>
      <c r="AH469" s="15" t="n">
        <f aca="false">IF($J469=1,IF($M469=1,AB469,AG469),"")</f>
        <v>1</v>
      </c>
      <c r="AI469" s="13" t="n">
        <f aca="false">IF($J469=1,(Ideal_P-E469)/Span_P,"")</f>
        <v>0.173459388212744</v>
      </c>
      <c r="AJ469" s="13" t="n">
        <f aca="false">IF($J469=1,(Ideal_S-F469)/Span_S,"")</f>
        <v>0.225806451612903</v>
      </c>
      <c r="AK469" s="13" t="n">
        <f aca="false">IF($J469=1,(Ideal_B-G469)/Span_B,"")</f>
        <v>0.933333333333333</v>
      </c>
      <c r="AL469" s="12" t="n">
        <f aca="false">IF($J469=1,MAX(ChA_1*AI469,ChA_2*AJ469,ChA_3*AK469)+Rho*(ChA_1*AI469+ChA_2*AJ469+ChA_3*AK469),"")</f>
        <v>0.933466593250649</v>
      </c>
      <c r="AM469" s="12" t="n">
        <f aca="false">IF($J469=1,MAX(ChB_1*AI469,ChB_2*AJ469,ChB_3*AK469)+Rho*(ChB_1*AI469+ChB_2*AJ469+ChB_3*AK469),"")</f>
        <v>0.933483939189471</v>
      </c>
      <c r="AN469" s="12" t="n">
        <f aca="false">IF($J469=1,MAX(Cx_1*(Ref_P-E469)/Span_P,Cx_2*(Ref_S-F469)/Span_S,Cx_3*(Ref_B-G469)/Span_B),"")</f>
        <v>2.3781512605042</v>
      </c>
    </row>
    <row r="470" customFormat="false" ht="15" hidden="false" customHeight="false" outlineLevel="0" collapsed="false">
      <c r="A470" s="2" t="n">
        <v>464</v>
      </c>
      <c r="B470" s="15" t="n">
        <f aca="false">INT(A470/151)</f>
        <v>3</v>
      </c>
      <c r="C470" s="15" t="n">
        <f aca="false">MOD(A470,151)</f>
        <v>11</v>
      </c>
      <c r="D470" s="15" t="n">
        <f aca="false">INDEX(Grid!$J$6:$P$156,C470+1,B470+1)</f>
        <v>1</v>
      </c>
      <c r="E470" s="16" t="n">
        <f aca="false">IF(D470=1,INDEX(Grid!$B$6:$H$156,C470+1,B470+1),"")</f>
        <v>320.451985565273</v>
      </c>
      <c r="F470" s="13" t="n">
        <f aca="false">Val_pt*(Ceiling_e-E_zero)*(1-(1-Half_gap)^B470)</f>
        <v>122.5</v>
      </c>
      <c r="G470" s="15" t="n">
        <f aca="false">C470</f>
        <v>11</v>
      </c>
      <c r="H470" s="15" t="n">
        <f aca="false">IF(D470=1,INDEX(Grid!$R$6:$X$156,C470+1,B470+1),"")</f>
        <v>56</v>
      </c>
      <c r="I470" s="2" t="str">
        <f aca="false">IF(D470=1,INDEX(Sch_label,H470+1),"")</f>
        <v>1–3</v>
      </c>
      <c r="J470" s="15" t="n">
        <f aca="false">IF(D470=1,INDEX(Grid!$Z$6:$AF$156,C470+1,B470+1),0)</f>
        <v>1</v>
      </c>
      <c r="K470" s="16" t="n">
        <f aca="false">IF(J470=1,E470,0)</f>
        <v>320.451985565273</v>
      </c>
      <c r="L470" s="17" t="n">
        <f aca="false">IF(D470=1,E470+W_board*F470,"")</f>
        <v>1011.93254988115</v>
      </c>
      <c r="M470" s="24" t="n">
        <v>1</v>
      </c>
      <c r="N470" s="25" t="n">
        <v>0.34897372014314</v>
      </c>
      <c r="O470" s="25" t="n">
        <v>0.519611355865291</v>
      </c>
      <c r="P470" s="25" t="n">
        <v>0.131414923991569</v>
      </c>
      <c r="Z470" s="12" t="n">
        <f aca="false">IF(AND($J470=1,$M470=1),N470*E470/Span_P+O470*F470/Span_S+P470*G470/Span_B,"")</f>
        <v>1.25711247070245</v>
      </c>
      <c r="AA470" s="12" t="n">
        <f aca="false">IF(AND($J470=1,$M470=1),SUMPRODUCT(MAX($J$6:$J$1062*(N470*$K$6:$K$1062/Span_P+O470*$F$6:$F$1062/Span_S+P470*$G$6:$G$1062/Span_B)-(1-$J$6:$J$1062)*1000000000)),"")</f>
        <v>1.25711247070245</v>
      </c>
      <c r="AB470" s="15" t="n">
        <f aca="false">IF(AND($J470=1,$M470=1),IF(AA470-Z470&lt;=0.000000001,1,0),"")</f>
        <v>1</v>
      </c>
      <c r="AC470" s="13" t="str">
        <f aca="false">IF(AND($J470=1,$M470=0),IF(S470="",0,S470*INDEX(Grid!$B$6:$H$156,R470+1,Q470+1))+IF(V470="",0,V470*INDEX(Grid!$B$6:$H$156,U470+1,T470+1))+IF(Y470="",0,Y470*INDEX(Grid!$B$6:$H$156,X470+1,W470+1)),"")</f>
        <v/>
      </c>
      <c r="AD470" s="13" t="str">
        <f aca="false">IF(AND($J470=1,$M470=0),IF(S470="",0,S470*Val_pt*(Ceiling_e-E_zero)*(1-(1-Half_gap)^Q470))+IF(V470="",0,V470*Val_pt*(Ceiling_e-E_zero)*(1-(1-Half_gap)^T470))+IF(Y470="",0,Y470*Val_pt*(Ceiling_e-E_zero)*(1-(1-Half_gap)^W470)),"")</f>
        <v/>
      </c>
      <c r="AE470" s="13" t="str">
        <f aca="false">IF(AND($J470=1,$M470=0),IF(S470="",0,S470*R470)+IF(V470="",0,V470*U470)+IF(Y470="",0,Y470*X470),"")</f>
        <v/>
      </c>
      <c r="AF470" s="12" t="str">
        <f aca="false">IF(AND($J470=1,$M470=0),MIN((AC470-E470)/Span_P,(AD470-F470)/Span_S,(AE470-G470)/Span_B),"")</f>
        <v/>
      </c>
      <c r="AG470" s="15" t="str">
        <f aca="false">IF(AND($J470=1,$M470=0),IF(AF470&gt;0.0000001,1,0),"")</f>
        <v/>
      </c>
      <c r="AH470" s="15" t="n">
        <f aca="false">IF($J470=1,IF($M470=1,AB470,AG470),"")</f>
        <v>1</v>
      </c>
      <c r="AI470" s="13" t="n">
        <f aca="false">IF($J470=1,(Ideal_P-E470)/Span_P,"")</f>
        <v>0.17596989098905</v>
      </c>
      <c r="AJ470" s="13" t="n">
        <f aca="false">IF($J470=1,(Ideal_S-F470)/Span_S,"")</f>
        <v>0.225806451612903</v>
      </c>
      <c r="AK470" s="13" t="n">
        <f aca="false">IF($J470=1,(Ideal_B-G470)/Span_B,"")</f>
        <v>0.926666666666667</v>
      </c>
      <c r="AL470" s="12" t="n">
        <f aca="false">IF($J470=1,MAX(ChA_1*AI470,ChA_2*AJ470,ChA_3*AK470)+Rho*(ChA_1*AI470+ChA_2*AJ470+ChA_3*AK470),"")</f>
        <v>0.926799510967594</v>
      </c>
      <c r="AM470" s="12" t="n">
        <f aca="false">IF($J470=1,MAX(ChB_1*AI470,ChB_2*AJ470,ChB_3*AK470)+Rho*(ChB_1*AI470+ChB_2*AJ470+ChB_3*AK470),"")</f>
        <v>0.926817107956692</v>
      </c>
      <c r="AN470" s="12" t="n">
        <f aca="false">IF($J470=1,MAX(Cx_1*(Ref_P-E470)/Span_P,Cx_2*(Ref_S-F470)/Span_S,Cx_3*(Ref_B-G470)/Span_B),"")</f>
        <v>2.36134453781513</v>
      </c>
    </row>
    <row r="471" customFormat="false" ht="15" hidden="false" customHeight="false" outlineLevel="0" collapsed="false">
      <c r="A471" s="2" t="n">
        <v>465</v>
      </c>
      <c r="B471" s="15" t="n">
        <f aca="false">INT(A471/151)</f>
        <v>3</v>
      </c>
      <c r="C471" s="15" t="n">
        <f aca="false">MOD(A471,151)</f>
        <v>12</v>
      </c>
      <c r="D471" s="15" t="n">
        <f aca="false">INDEX(Grid!$J$6:$P$156,C471+1,B471+1)</f>
        <v>1</v>
      </c>
      <c r="E471" s="16" t="n">
        <f aca="false">IF(D471=1,INDEX(Grid!$B$6:$H$156,C471+1,B471+1),"")</f>
        <v>319.542894656182</v>
      </c>
      <c r="F471" s="13" t="n">
        <f aca="false">Val_pt*(Ceiling_e-E_zero)*(1-(1-Half_gap)^B471)</f>
        <v>122.5</v>
      </c>
      <c r="G471" s="15" t="n">
        <f aca="false">C471</f>
        <v>12</v>
      </c>
      <c r="H471" s="15" t="n">
        <f aca="false">IF(D471=1,INDEX(Grid!$R$6:$X$156,C471+1,B471+1),"")</f>
        <v>56</v>
      </c>
      <c r="I471" s="2" t="str">
        <f aca="false">IF(D471=1,INDEX(Sch_label,H471+1),"")</f>
        <v>1–3</v>
      </c>
      <c r="J471" s="15" t="n">
        <f aca="false">IF(D471=1,INDEX(Grid!$Z$6:$AF$156,C471+1,B471+1),0)</f>
        <v>1</v>
      </c>
      <c r="K471" s="16" t="n">
        <f aca="false">IF(J471=1,E471,0)</f>
        <v>319.542894656182</v>
      </c>
      <c r="L471" s="17" t="n">
        <f aca="false">IF(D471=1,E471+W_board*F471,"")</f>
        <v>1011.02345897206</v>
      </c>
      <c r="M471" s="24" t="n">
        <v>1</v>
      </c>
      <c r="N471" s="25" t="n">
        <v>0.348973720143135</v>
      </c>
      <c r="O471" s="25" t="n">
        <v>0.519611355865305</v>
      </c>
      <c r="P471" s="25" t="n">
        <v>0.131414923991561</v>
      </c>
      <c r="Z471" s="12" t="n">
        <f aca="false">IF(AND($J471=1,$M471=1),N471*E471/Span_P+O471*F471/Span_S+P471*G471/Span_B,"")</f>
        <v>1.25711247070247</v>
      </c>
      <c r="AA471" s="12" t="n">
        <f aca="false">IF(AND($J471=1,$M471=1),SUMPRODUCT(MAX($J$6:$J$1062*(N471*$K$6:$K$1062/Span_P+O471*$F$6:$F$1062/Span_S+P471*$G$6:$G$1062/Span_B)-(1-$J$6:$J$1062)*1000000000)),"")</f>
        <v>1.25711247070247</v>
      </c>
      <c r="AB471" s="15" t="n">
        <f aca="false">IF(AND($J471=1,$M471=1),IF(AA471-Z471&lt;=0.000000001,1,0),"")</f>
        <v>1</v>
      </c>
      <c r="AC471" s="13" t="str">
        <f aca="false">IF(AND($J471=1,$M471=0),IF(S471="",0,S471*INDEX(Grid!$B$6:$H$156,R471+1,Q471+1))+IF(V471="",0,V471*INDEX(Grid!$B$6:$H$156,U471+1,T471+1))+IF(Y471="",0,Y471*INDEX(Grid!$B$6:$H$156,X471+1,W471+1)),"")</f>
        <v/>
      </c>
      <c r="AD471" s="13" t="str">
        <f aca="false">IF(AND($J471=1,$M471=0),IF(S471="",0,S471*Val_pt*(Ceiling_e-E_zero)*(1-(1-Half_gap)^Q471))+IF(V471="",0,V471*Val_pt*(Ceiling_e-E_zero)*(1-(1-Half_gap)^T471))+IF(Y471="",0,Y471*Val_pt*(Ceiling_e-E_zero)*(1-(1-Half_gap)^W471)),"")</f>
        <v/>
      </c>
      <c r="AE471" s="13" t="str">
        <f aca="false">IF(AND($J471=1,$M471=0),IF(S471="",0,S471*R471)+IF(V471="",0,V471*U471)+IF(Y471="",0,Y471*X471),"")</f>
        <v/>
      </c>
      <c r="AF471" s="12" t="str">
        <f aca="false">IF(AND($J471=1,$M471=0),MIN((AC471-E471)/Span_P,(AD471-F471)/Span_S,(AE471-G471)/Span_B),"")</f>
        <v/>
      </c>
      <c r="AG471" s="15" t="str">
        <f aca="false">IF(AND($J471=1,$M471=0),IF(AF471&gt;0.0000001,1,0),"")</f>
        <v/>
      </c>
      <c r="AH471" s="15" t="n">
        <f aca="false">IF($J471=1,IF($M471=1,AB471,AG471),"")</f>
        <v>1</v>
      </c>
      <c r="AI471" s="13" t="n">
        <f aca="false">IF($J471=1,(Ideal_P-E471)/Span_P,"")</f>
        <v>0.178480393765356</v>
      </c>
      <c r="AJ471" s="13" t="n">
        <f aca="false">IF($J471=1,(Ideal_S-F471)/Span_S,"")</f>
        <v>0.225806451612903</v>
      </c>
      <c r="AK471" s="13" t="n">
        <f aca="false">IF($J471=1,(Ideal_B-G471)/Span_B,"")</f>
        <v>0.92</v>
      </c>
      <c r="AL471" s="12" t="n">
        <f aca="false">IF($J471=1,MAX(ChA_1*AI471,ChA_2*AJ471,ChA_3*AK471)+Rho*(ChA_1*AI471+ChA_2*AJ471+ChA_3*AK471),"")</f>
        <v>0.920132428684538</v>
      </c>
      <c r="AM471" s="12" t="n">
        <f aca="false">IF($J471=1,MAX(ChB_1*AI471,ChB_2*AJ471,ChB_3*AK471)+Rho*(ChB_1*AI471+ChB_2*AJ471+ChB_3*AK471),"")</f>
        <v>0.920150276723914</v>
      </c>
      <c r="AN471" s="12" t="n">
        <f aca="false">IF($J471=1,MAX(Cx_1*(Ref_P-E471)/Span_P,Cx_2*(Ref_S-F471)/Span_S,Cx_3*(Ref_B-G471)/Span_B),"")</f>
        <v>2.34453781512605</v>
      </c>
    </row>
    <row r="472" customFormat="false" ht="15" hidden="false" customHeight="false" outlineLevel="0" collapsed="false">
      <c r="A472" s="2" t="n">
        <v>466</v>
      </c>
      <c r="B472" s="15" t="n">
        <f aca="false">INT(A472/151)</f>
        <v>3</v>
      </c>
      <c r="C472" s="15" t="n">
        <f aca="false">MOD(A472,151)</f>
        <v>13</v>
      </c>
      <c r="D472" s="15" t="n">
        <f aca="false">INDEX(Grid!$J$6:$P$156,C472+1,B472+1)</f>
        <v>1</v>
      </c>
      <c r="E472" s="16" t="n">
        <f aca="false">IF(D472=1,INDEX(Grid!$B$6:$H$156,C472+1,B472+1),"")</f>
        <v>318.633803747091</v>
      </c>
      <c r="F472" s="13" t="n">
        <f aca="false">Val_pt*(Ceiling_e-E_zero)*(1-(1-Half_gap)^B472)</f>
        <v>122.5</v>
      </c>
      <c r="G472" s="15" t="n">
        <f aca="false">C472</f>
        <v>13</v>
      </c>
      <c r="H472" s="15" t="n">
        <f aca="false">IF(D472=1,INDEX(Grid!$R$6:$X$156,C472+1,B472+1),"")</f>
        <v>56</v>
      </c>
      <c r="I472" s="2" t="str">
        <f aca="false">IF(D472=1,INDEX(Sch_label,H472+1),"")</f>
        <v>1–3</v>
      </c>
      <c r="J472" s="15" t="n">
        <f aca="false">IF(D472=1,INDEX(Grid!$Z$6:$AF$156,C472+1,B472+1),0)</f>
        <v>1</v>
      </c>
      <c r="K472" s="16" t="n">
        <f aca="false">IF(J472=1,E472,0)</f>
        <v>318.633803747091</v>
      </c>
      <c r="L472" s="17" t="n">
        <f aca="false">IF(D472=1,E472+W_board*F472,"")</f>
        <v>1010.11436806297</v>
      </c>
      <c r="M472" s="24" t="n">
        <v>1</v>
      </c>
      <c r="N472" s="25" t="n">
        <v>0.34897372014314</v>
      </c>
      <c r="O472" s="25" t="n">
        <v>0.519611355865291</v>
      </c>
      <c r="P472" s="25" t="n">
        <v>0.131414923991569</v>
      </c>
      <c r="Z472" s="12" t="n">
        <f aca="false">IF(AND($J472=1,$M472=1),N472*E472/Span_P+O472*F472/Span_S+P472*G472/Span_B,"")</f>
        <v>1.25711247070245</v>
      </c>
      <c r="AA472" s="12" t="n">
        <f aca="false">IF(AND($J472=1,$M472=1),SUMPRODUCT(MAX($J$6:$J$1062*(N472*$K$6:$K$1062/Span_P+O472*$F$6:$F$1062/Span_S+P472*$G$6:$G$1062/Span_B)-(1-$J$6:$J$1062)*1000000000)),"")</f>
        <v>1.25711247070245</v>
      </c>
      <c r="AB472" s="15" t="n">
        <f aca="false">IF(AND($J472=1,$M472=1),IF(AA472-Z472&lt;=0.000000001,1,0),"")</f>
        <v>1</v>
      </c>
      <c r="AC472" s="13" t="str">
        <f aca="false">IF(AND($J472=1,$M472=0),IF(S472="",0,S472*INDEX(Grid!$B$6:$H$156,R472+1,Q472+1))+IF(V472="",0,V472*INDEX(Grid!$B$6:$H$156,U472+1,T472+1))+IF(Y472="",0,Y472*INDEX(Grid!$B$6:$H$156,X472+1,W472+1)),"")</f>
        <v/>
      </c>
      <c r="AD472" s="13" t="str">
        <f aca="false">IF(AND($J472=1,$M472=0),IF(S472="",0,S472*Val_pt*(Ceiling_e-E_zero)*(1-(1-Half_gap)^Q472))+IF(V472="",0,V472*Val_pt*(Ceiling_e-E_zero)*(1-(1-Half_gap)^T472))+IF(Y472="",0,Y472*Val_pt*(Ceiling_e-E_zero)*(1-(1-Half_gap)^W472)),"")</f>
        <v/>
      </c>
      <c r="AE472" s="13" t="str">
        <f aca="false">IF(AND($J472=1,$M472=0),IF(S472="",0,S472*R472)+IF(V472="",0,V472*U472)+IF(Y472="",0,Y472*X472),"")</f>
        <v/>
      </c>
      <c r="AF472" s="12" t="str">
        <f aca="false">IF(AND($J472=1,$M472=0),MIN((AC472-E472)/Span_P,(AD472-F472)/Span_S,(AE472-G472)/Span_B),"")</f>
        <v/>
      </c>
      <c r="AG472" s="15" t="str">
        <f aca="false">IF(AND($J472=1,$M472=0),IF(AF472&gt;0.0000001,1,0),"")</f>
        <v/>
      </c>
      <c r="AH472" s="15" t="n">
        <f aca="false">IF($J472=1,IF($M472=1,AB472,AG472),"")</f>
        <v>1</v>
      </c>
      <c r="AI472" s="13" t="n">
        <f aca="false">IF($J472=1,(Ideal_P-E472)/Span_P,"")</f>
        <v>0.180990896541662</v>
      </c>
      <c r="AJ472" s="13" t="n">
        <f aca="false">IF($J472=1,(Ideal_S-F472)/Span_S,"")</f>
        <v>0.225806451612903</v>
      </c>
      <c r="AK472" s="13" t="n">
        <f aca="false">IF($J472=1,(Ideal_B-G472)/Span_B,"")</f>
        <v>0.913333333333333</v>
      </c>
      <c r="AL472" s="12" t="n">
        <f aca="false">IF($J472=1,MAX(ChA_1*AI472,ChA_2*AJ472,ChA_3*AK472)+Rho*(ChA_1*AI472+ChA_2*AJ472+ChA_3*AK472),"")</f>
        <v>0.913465346401482</v>
      </c>
      <c r="AM472" s="12" t="n">
        <f aca="false">IF($J472=1,MAX(ChB_1*AI472,ChB_2*AJ472,ChB_3*AK472)+Rho*(ChB_1*AI472+ChB_2*AJ472+ChB_3*AK472),"")</f>
        <v>0.913483445491136</v>
      </c>
      <c r="AN472" s="12" t="n">
        <f aca="false">IF($J472=1,MAX(Cx_1*(Ref_P-E472)/Span_P,Cx_2*(Ref_S-F472)/Span_S,Cx_3*(Ref_B-G472)/Span_B),"")</f>
        <v>2.32773109243698</v>
      </c>
    </row>
    <row r="473" customFormat="false" ht="15" hidden="false" customHeight="false" outlineLevel="0" collapsed="false">
      <c r="A473" s="2" t="n">
        <v>467</v>
      </c>
      <c r="B473" s="15" t="n">
        <f aca="false">INT(A473/151)</f>
        <v>3</v>
      </c>
      <c r="C473" s="15" t="n">
        <f aca="false">MOD(A473,151)</f>
        <v>14</v>
      </c>
      <c r="D473" s="15" t="n">
        <f aca="false">INDEX(Grid!$J$6:$P$156,C473+1,B473+1)</f>
        <v>1</v>
      </c>
      <c r="E473" s="16" t="n">
        <f aca="false">IF(D473=1,INDEX(Grid!$B$6:$H$156,C473+1,B473+1),"")</f>
        <v>317.724712838</v>
      </c>
      <c r="F473" s="13" t="n">
        <f aca="false">Val_pt*(Ceiling_e-E_zero)*(1-(1-Half_gap)^B473)</f>
        <v>122.5</v>
      </c>
      <c r="G473" s="15" t="n">
        <f aca="false">C473</f>
        <v>14</v>
      </c>
      <c r="H473" s="15" t="n">
        <f aca="false">IF(D473=1,INDEX(Grid!$R$6:$X$156,C473+1,B473+1),"")</f>
        <v>56</v>
      </c>
      <c r="I473" s="2" t="str">
        <f aca="false">IF(D473=1,INDEX(Sch_label,H473+1),"")</f>
        <v>1–3</v>
      </c>
      <c r="J473" s="15" t="n">
        <f aca="false">IF(D473=1,INDEX(Grid!$Z$6:$AF$156,C473+1,B473+1),0)</f>
        <v>1</v>
      </c>
      <c r="K473" s="16" t="n">
        <f aca="false">IF(J473=1,E473,0)</f>
        <v>317.724712838</v>
      </c>
      <c r="L473" s="17" t="n">
        <f aca="false">IF(D473=1,E473+W_board*F473,"")</f>
        <v>1009.20527715388</v>
      </c>
      <c r="M473" s="24" t="n">
        <v>1</v>
      </c>
      <c r="N473" s="25" t="n">
        <v>0.348973720143135</v>
      </c>
      <c r="O473" s="25" t="n">
        <v>0.519611355865304</v>
      </c>
      <c r="P473" s="25" t="n">
        <v>0.131414923991561</v>
      </c>
      <c r="Z473" s="12" t="n">
        <f aca="false">IF(AND($J473=1,$M473=1),N473*E473/Span_P+O473*F473/Span_S+P473*G473/Span_B,"")</f>
        <v>1.25711247070247</v>
      </c>
      <c r="AA473" s="12" t="n">
        <f aca="false">IF(AND($J473=1,$M473=1),SUMPRODUCT(MAX($J$6:$J$1062*(N473*$K$6:$K$1062/Span_P+O473*$F$6:$F$1062/Span_S+P473*$G$6:$G$1062/Span_B)-(1-$J$6:$J$1062)*1000000000)),"")</f>
        <v>1.25711247070247</v>
      </c>
      <c r="AB473" s="15" t="n">
        <f aca="false">IF(AND($J473=1,$M473=1),IF(AA473-Z473&lt;=0.000000001,1,0),"")</f>
        <v>1</v>
      </c>
      <c r="AC473" s="13" t="str">
        <f aca="false">IF(AND($J473=1,$M473=0),IF(S473="",0,S473*INDEX(Grid!$B$6:$H$156,R473+1,Q473+1))+IF(V473="",0,V473*INDEX(Grid!$B$6:$H$156,U473+1,T473+1))+IF(Y473="",0,Y473*INDEX(Grid!$B$6:$H$156,X473+1,W473+1)),"")</f>
        <v/>
      </c>
      <c r="AD473" s="13" t="str">
        <f aca="false">IF(AND($J473=1,$M473=0),IF(S473="",0,S473*Val_pt*(Ceiling_e-E_zero)*(1-(1-Half_gap)^Q473))+IF(V473="",0,V473*Val_pt*(Ceiling_e-E_zero)*(1-(1-Half_gap)^T473))+IF(Y473="",0,Y473*Val_pt*(Ceiling_e-E_zero)*(1-(1-Half_gap)^W473)),"")</f>
        <v/>
      </c>
      <c r="AE473" s="13" t="str">
        <f aca="false">IF(AND($J473=1,$M473=0),IF(S473="",0,S473*R473)+IF(V473="",0,V473*U473)+IF(Y473="",0,Y473*X473),"")</f>
        <v/>
      </c>
      <c r="AF473" s="12" t="str">
        <f aca="false">IF(AND($J473=1,$M473=0),MIN((AC473-E473)/Span_P,(AD473-F473)/Span_S,(AE473-G473)/Span_B),"")</f>
        <v/>
      </c>
      <c r="AG473" s="15" t="str">
        <f aca="false">IF(AND($J473=1,$M473=0),IF(AF473&gt;0.0000001,1,0),"")</f>
        <v/>
      </c>
      <c r="AH473" s="15" t="n">
        <f aca="false">IF($J473=1,IF($M473=1,AB473,AG473),"")</f>
        <v>1</v>
      </c>
      <c r="AI473" s="13" t="n">
        <f aca="false">IF($J473=1,(Ideal_P-E473)/Span_P,"")</f>
        <v>0.183501399317967</v>
      </c>
      <c r="AJ473" s="13" t="n">
        <f aca="false">IF($J473=1,(Ideal_S-F473)/Span_S,"")</f>
        <v>0.225806451612903</v>
      </c>
      <c r="AK473" s="13" t="n">
        <f aca="false">IF($J473=1,(Ideal_B-G473)/Span_B,"")</f>
        <v>0.906666666666667</v>
      </c>
      <c r="AL473" s="12" t="n">
        <f aca="false">IF($J473=1,MAX(ChA_1*AI473,ChA_2*AJ473,ChA_3*AK473)+Rho*(ChA_1*AI473+ChA_2*AJ473+ChA_3*AK473),"")</f>
        <v>0.906798264118426</v>
      </c>
      <c r="AM473" s="12" t="n">
        <f aca="false">IF($J473=1,MAX(ChB_1*AI473,ChB_2*AJ473,ChB_3*AK473)+Rho*(ChB_1*AI473+ChB_2*AJ473+ChB_3*AK473),"")</f>
        <v>0.906816614258358</v>
      </c>
      <c r="AN473" s="12" t="n">
        <f aca="false">IF($J473=1,MAX(Cx_1*(Ref_P-E473)/Span_P,Cx_2*(Ref_S-F473)/Span_S,Cx_3*(Ref_B-G473)/Span_B),"")</f>
        <v>2.3109243697479</v>
      </c>
    </row>
    <row r="474" customFormat="false" ht="15" hidden="false" customHeight="false" outlineLevel="0" collapsed="false">
      <c r="A474" s="2" t="n">
        <v>468</v>
      </c>
      <c r="B474" s="15" t="n">
        <f aca="false">INT(A474/151)</f>
        <v>3</v>
      </c>
      <c r="C474" s="15" t="n">
        <f aca="false">MOD(A474,151)</f>
        <v>15</v>
      </c>
      <c r="D474" s="15" t="n">
        <f aca="false">INDEX(Grid!$J$6:$P$156,C474+1,B474+1)</f>
        <v>1</v>
      </c>
      <c r="E474" s="16" t="n">
        <f aca="false">IF(D474=1,INDEX(Grid!$B$6:$H$156,C474+1,B474+1),"")</f>
        <v>316.815621928909</v>
      </c>
      <c r="F474" s="13" t="n">
        <f aca="false">Val_pt*(Ceiling_e-E_zero)*(1-(1-Half_gap)^B474)</f>
        <v>122.5</v>
      </c>
      <c r="G474" s="15" t="n">
        <f aca="false">C474</f>
        <v>15</v>
      </c>
      <c r="H474" s="15" t="n">
        <f aca="false">IF(D474=1,INDEX(Grid!$R$6:$X$156,C474+1,B474+1),"")</f>
        <v>56</v>
      </c>
      <c r="I474" s="2" t="str">
        <f aca="false">IF(D474=1,INDEX(Sch_label,H474+1),"")</f>
        <v>1–3</v>
      </c>
      <c r="J474" s="15" t="n">
        <f aca="false">IF(D474=1,INDEX(Grid!$Z$6:$AF$156,C474+1,B474+1),0)</f>
        <v>1</v>
      </c>
      <c r="K474" s="16" t="n">
        <f aca="false">IF(J474=1,E474,0)</f>
        <v>316.815621928909</v>
      </c>
      <c r="L474" s="17" t="n">
        <f aca="false">IF(D474=1,E474+W_board*F474,"")</f>
        <v>1008.29618624479</v>
      </c>
      <c r="M474" s="24" t="n">
        <v>1</v>
      </c>
      <c r="N474" s="25" t="n">
        <v>0.34897372014314</v>
      </c>
      <c r="O474" s="25" t="n">
        <v>0.519611355865291</v>
      </c>
      <c r="P474" s="25" t="n">
        <v>0.131414923991569</v>
      </c>
      <c r="Z474" s="12" t="n">
        <f aca="false">IF(AND($J474=1,$M474=1),N474*E474/Span_P+O474*F474/Span_S+P474*G474/Span_B,"")</f>
        <v>1.25711247070245</v>
      </c>
      <c r="AA474" s="12" t="n">
        <f aca="false">IF(AND($J474=1,$M474=1),SUMPRODUCT(MAX($J$6:$J$1062*(N474*$K$6:$K$1062/Span_P+O474*$F$6:$F$1062/Span_S+P474*$G$6:$G$1062/Span_B)-(1-$J$6:$J$1062)*1000000000)),"")</f>
        <v>1.25711247070245</v>
      </c>
      <c r="AB474" s="15" t="n">
        <f aca="false">IF(AND($J474=1,$M474=1),IF(AA474-Z474&lt;=0.000000001,1,0),"")</f>
        <v>1</v>
      </c>
      <c r="AC474" s="13" t="str">
        <f aca="false">IF(AND($J474=1,$M474=0),IF(S474="",0,S474*INDEX(Grid!$B$6:$H$156,R474+1,Q474+1))+IF(V474="",0,V474*INDEX(Grid!$B$6:$H$156,U474+1,T474+1))+IF(Y474="",0,Y474*INDEX(Grid!$B$6:$H$156,X474+1,W474+1)),"")</f>
        <v/>
      </c>
      <c r="AD474" s="13" t="str">
        <f aca="false">IF(AND($J474=1,$M474=0),IF(S474="",0,S474*Val_pt*(Ceiling_e-E_zero)*(1-(1-Half_gap)^Q474))+IF(V474="",0,V474*Val_pt*(Ceiling_e-E_zero)*(1-(1-Half_gap)^T474))+IF(Y474="",0,Y474*Val_pt*(Ceiling_e-E_zero)*(1-(1-Half_gap)^W474)),"")</f>
        <v/>
      </c>
      <c r="AE474" s="13" t="str">
        <f aca="false">IF(AND($J474=1,$M474=0),IF(S474="",0,S474*R474)+IF(V474="",0,V474*U474)+IF(Y474="",0,Y474*X474),"")</f>
        <v/>
      </c>
      <c r="AF474" s="12" t="str">
        <f aca="false">IF(AND($J474=1,$M474=0),MIN((AC474-E474)/Span_P,(AD474-F474)/Span_S,(AE474-G474)/Span_B),"")</f>
        <v/>
      </c>
      <c r="AG474" s="15" t="str">
        <f aca="false">IF(AND($J474=1,$M474=0),IF(AF474&gt;0.0000001,1,0),"")</f>
        <v/>
      </c>
      <c r="AH474" s="15" t="n">
        <f aca="false">IF($J474=1,IF($M474=1,AB474,AG474),"")</f>
        <v>1</v>
      </c>
      <c r="AI474" s="13" t="n">
        <f aca="false">IF($J474=1,(Ideal_P-E474)/Span_P,"")</f>
        <v>0.186011902094273</v>
      </c>
      <c r="AJ474" s="13" t="n">
        <f aca="false">IF($J474=1,(Ideal_S-F474)/Span_S,"")</f>
        <v>0.225806451612903</v>
      </c>
      <c r="AK474" s="13" t="n">
        <f aca="false">IF($J474=1,(Ideal_B-G474)/Span_B,"")</f>
        <v>0.9</v>
      </c>
      <c r="AL474" s="12" t="n">
        <f aca="false">IF($J474=1,MAX(ChA_1*AI474,ChA_2*AJ474,ChA_3*AK474)+Rho*(ChA_1*AI474+ChA_2*AJ474+ChA_3*AK474),"")</f>
        <v>0.900131181835371</v>
      </c>
      <c r="AM474" s="12" t="n">
        <f aca="false">IF($J474=1,MAX(ChB_1*AI474,ChB_2*AJ474,ChB_3*AK474)+Rho*(ChB_1*AI474+ChB_2*AJ474+ChB_3*AK474),"")</f>
        <v>0.90014978302558</v>
      </c>
      <c r="AN474" s="12" t="n">
        <f aca="false">IF($J474=1,MAX(Cx_1*(Ref_P-E474)/Span_P,Cx_2*(Ref_S-F474)/Span_S,Cx_3*(Ref_B-G474)/Span_B),"")</f>
        <v>2.29411764705882</v>
      </c>
    </row>
    <row r="475" customFormat="false" ht="15" hidden="false" customHeight="false" outlineLevel="0" collapsed="false">
      <c r="A475" s="2" t="n">
        <v>469</v>
      </c>
      <c r="B475" s="15" t="n">
        <f aca="false">INT(A475/151)</f>
        <v>3</v>
      </c>
      <c r="C475" s="15" t="n">
        <f aca="false">MOD(A475,151)</f>
        <v>16</v>
      </c>
      <c r="D475" s="15" t="n">
        <f aca="false">INDEX(Grid!$J$6:$P$156,C475+1,B475+1)</f>
        <v>1</v>
      </c>
      <c r="E475" s="16" t="n">
        <f aca="false">IF(D475=1,INDEX(Grid!$B$6:$H$156,C475+1,B475+1),"")</f>
        <v>315.906531019818</v>
      </c>
      <c r="F475" s="13" t="n">
        <f aca="false">Val_pt*(Ceiling_e-E_zero)*(1-(1-Half_gap)^B475)</f>
        <v>122.5</v>
      </c>
      <c r="G475" s="15" t="n">
        <f aca="false">C475</f>
        <v>16</v>
      </c>
      <c r="H475" s="15" t="n">
        <f aca="false">IF(D475=1,INDEX(Grid!$R$6:$X$156,C475+1,B475+1),"")</f>
        <v>56</v>
      </c>
      <c r="I475" s="2" t="str">
        <f aca="false">IF(D475=1,INDEX(Sch_label,H475+1),"")</f>
        <v>1–3</v>
      </c>
      <c r="J475" s="15" t="n">
        <f aca="false">IF(D475=1,INDEX(Grid!$Z$6:$AF$156,C475+1,B475+1),0)</f>
        <v>1</v>
      </c>
      <c r="K475" s="16" t="n">
        <f aca="false">IF(J475=1,E475,0)</f>
        <v>315.906531019818</v>
      </c>
      <c r="L475" s="17" t="n">
        <f aca="false">IF(D475=1,E475+W_board*F475,"")</f>
        <v>1007.3870953357</v>
      </c>
      <c r="M475" s="24" t="n">
        <v>1</v>
      </c>
      <c r="N475" s="25" t="n">
        <v>0.34897372014314</v>
      </c>
      <c r="O475" s="25" t="n">
        <v>0.519611355865291</v>
      </c>
      <c r="P475" s="25" t="n">
        <v>0.131414923991569</v>
      </c>
      <c r="Z475" s="12" t="n">
        <f aca="false">IF(AND($J475=1,$M475=1),N475*E475/Span_P+O475*F475/Span_S+P475*G475/Span_B,"")</f>
        <v>1.25711247070245</v>
      </c>
      <c r="AA475" s="12" t="n">
        <f aca="false">IF(AND($J475=1,$M475=1),SUMPRODUCT(MAX($J$6:$J$1062*(N475*$K$6:$K$1062/Span_P+O475*$F$6:$F$1062/Span_S+P475*$G$6:$G$1062/Span_B)-(1-$J$6:$J$1062)*1000000000)),"")</f>
        <v>1.25711247070245</v>
      </c>
      <c r="AB475" s="15" t="n">
        <f aca="false">IF(AND($J475=1,$M475=1),IF(AA475-Z475&lt;=0.000000001,1,0),"")</f>
        <v>1</v>
      </c>
      <c r="AC475" s="13" t="str">
        <f aca="false">IF(AND($J475=1,$M475=0),IF(S475="",0,S475*INDEX(Grid!$B$6:$H$156,R475+1,Q475+1))+IF(V475="",0,V475*INDEX(Grid!$B$6:$H$156,U475+1,T475+1))+IF(Y475="",0,Y475*INDEX(Grid!$B$6:$H$156,X475+1,W475+1)),"")</f>
        <v/>
      </c>
      <c r="AD475" s="13" t="str">
        <f aca="false">IF(AND($J475=1,$M475=0),IF(S475="",0,S475*Val_pt*(Ceiling_e-E_zero)*(1-(1-Half_gap)^Q475))+IF(V475="",0,V475*Val_pt*(Ceiling_e-E_zero)*(1-(1-Half_gap)^T475))+IF(Y475="",0,Y475*Val_pt*(Ceiling_e-E_zero)*(1-(1-Half_gap)^W475)),"")</f>
        <v/>
      </c>
      <c r="AE475" s="13" t="str">
        <f aca="false">IF(AND($J475=1,$M475=0),IF(S475="",0,S475*R475)+IF(V475="",0,V475*U475)+IF(Y475="",0,Y475*X475),"")</f>
        <v/>
      </c>
      <c r="AF475" s="12" t="str">
        <f aca="false">IF(AND($J475=1,$M475=0),MIN((AC475-E475)/Span_P,(AD475-F475)/Span_S,(AE475-G475)/Span_B),"")</f>
        <v/>
      </c>
      <c r="AG475" s="15" t="str">
        <f aca="false">IF(AND($J475=1,$M475=0),IF(AF475&gt;0.0000001,1,0),"")</f>
        <v/>
      </c>
      <c r="AH475" s="15" t="n">
        <f aca="false">IF($J475=1,IF($M475=1,AB475,AG475),"")</f>
        <v>1</v>
      </c>
      <c r="AI475" s="13" t="n">
        <f aca="false">IF($J475=1,(Ideal_P-E475)/Span_P,"")</f>
        <v>0.188522404870579</v>
      </c>
      <c r="AJ475" s="13" t="n">
        <f aca="false">IF($J475=1,(Ideal_S-F475)/Span_S,"")</f>
        <v>0.225806451612903</v>
      </c>
      <c r="AK475" s="13" t="n">
        <f aca="false">IF($J475=1,(Ideal_B-G475)/Span_B,"")</f>
        <v>0.893333333333333</v>
      </c>
      <c r="AL475" s="12" t="n">
        <f aca="false">IF($J475=1,MAX(ChA_1*AI475,ChA_2*AJ475,ChA_3*AK475)+Rho*(ChA_1*AI475+ChA_2*AJ475+ChA_3*AK475),"")</f>
        <v>0.893464099552315</v>
      </c>
      <c r="AM475" s="12" t="n">
        <f aca="false">IF($J475=1,MAX(ChB_1*AI475,ChB_2*AJ475,ChB_3*AK475)+Rho*(ChB_1*AI475+ChB_2*AJ475+ChB_3*AK475),"")</f>
        <v>0.893482951792802</v>
      </c>
      <c r="AN475" s="12" t="n">
        <f aca="false">IF($J475=1,MAX(Cx_1*(Ref_P-E475)/Span_P,Cx_2*(Ref_S-F475)/Span_S,Cx_3*(Ref_B-G475)/Span_B),"")</f>
        <v>2.27731092436975</v>
      </c>
    </row>
    <row r="476" customFormat="false" ht="15" hidden="false" customHeight="false" outlineLevel="0" collapsed="false">
      <c r="A476" s="2" t="n">
        <v>470</v>
      </c>
      <c r="B476" s="15" t="n">
        <f aca="false">INT(A476/151)</f>
        <v>3</v>
      </c>
      <c r="C476" s="15" t="n">
        <f aca="false">MOD(A476,151)</f>
        <v>17</v>
      </c>
      <c r="D476" s="15" t="n">
        <f aca="false">INDEX(Grid!$J$6:$P$156,C476+1,B476+1)</f>
        <v>1</v>
      </c>
      <c r="E476" s="16" t="n">
        <f aca="false">IF(D476=1,INDEX(Grid!$B$6:$H$156,C476+1,B476+1),"")</f>
        <v>314.997440110727</v>
      </c>
      <c r="F476" s="13" t="n">
        <f aca="false">Val_pt*(Ceiling_e-E_zero)*(1-(1-Half_gap)^B476)</f>
        <v>122.5</v>
      </c>
      <c r="G476" s="15" t="n">
        <f aca="false">C476</f>
        <v>17</v>
      </c>
      <c r="H476" s="15" t="n">
        <f aca="false">IF(D476=1,INDEX(Grid!$R$6:$X$156,C476+1,B476+1),"")</f>
        <v>56</v>
      </c>
      <c r="I476" s="2" t="str">
        <f aca="false">IF(D476=1,INDEX(Sch_label,H476+1),"")</f>
        <v>1–3</v>
      </c>
      <c r="J476" s="15" t="n">
        <f aca="false">IF(D476=1,INDEX(Grid!$Z$6:$AF$156,C476+1,B476+1),0)</f>
        <v>1</v>
      </c>
      <c r="K476" s="16" t="n">
        <f aca="false">IF(J476=1,E476,0)</f>
        <v>314.997440110727</v>
      </c>
      <c r="L476" s="17" t="n">
        <f aca="false">IF(D476=1,E476+W_board*F476,"")</f>
        <v>1006.4780044266</v>
      </c>
      <c r="M476" s="24" t="n">
        <v>1</v>
      </c>
      <c r="N476" s="25" t="n">
        <v>0.348973720143135</v>
      </c>
      <c r="O476" s="25" t="n">
        <v>0.519611355865304</v>
      </c>
      <c r="P476" s="25" t="n">
        <v>0.131414923991561</v>
      </c>
      <c r="Z476" s="12" t="n">
        <f aca="false">IF(AND($J476=1,$M476=1),N476*E476/Span_P+O476*F476/Span_S+P476*G476/Span_B,"")</f>
        <v>1.25711247070247</v>
      </c>
      <c r="AA476" s="12" t="n">
        <f aca="false">IF(AND($J476=1,$M476=1),SUMPRODUCT(MAX($J$6:$J$1062*(N476*$K$6:$K$1062/Span_P+O476*$F$6:$F$1062/Span_S+P476*$G$6:$G$1062/Span_B)-(1-$J$6:$J$1062)*1000000000)),"")</f>
        <v>1.25711247070247</v>
      </c>
      <c r="AB476" s="15" t="n">
        <f aca="false">IF(AND($J476=1,$M476=1),IF(AA476-Z476&lt;=0.000000001,1,0),"")</f>
        <v>1</v>
      </c>
      <c r="AC476" s="13" t="str">
        <f aca="false">IF(AND($J476=1,$M476=0),IF(S476="",0,S476*INDEX(Grid!$B$6:$H$156,R476+1,Q476+1))+IF(V476="",0,V476*INDEX(Grid!$B$6:$H$156,U476+1,T476+1))+IF(Y476="",0,Y476*INDEX(Grid!$B$6:$H$156,X476+1,W476+1)),"")</f>
        <v/>
      </c>
      <c r="AD476" s="13" t="str">
        <f aca="false">IF(AND($J476=1,$M476=0),IF(S476="",0,S476*Val_pt*(Ceiling_e-E_zero)*(1-(1-Half_gap)^Q476))+IF(V476="",0,V476*Val_pt*(Ceiling_e-E_zero)*(1-(1-Half_gap)^T476))+IF(Y476="",0,Y476*Val_pt*(Ceiling_e-E_zero)*(1-(1-Half_gap)^W476)),"")</f>
        <v/>
      </c>
      <c r="AE476" s="13" t="str">
        <f aca="false">IF(AND($J476=1,$M476=0),IF(S476="",0,S476*R476)+IF(V476="",0,V476*U476)+IF(Y476="",0,Y476*X476),"")</f>
        <v/>
      </c>
      <c r="AF476" s="12" t="str">
        <f aca="false">IF(AND($J476=1,$M476=0),MIN((AC476-E476)/Span_P,(AD476-F476)/Span_S,(AE476-G476)/Span_B),"")</f>
        <v/>
      </c>
      <c r="AG476" s="15" t="str">
        <f aca="false">IF(AND($J476=1,$M476=0),IF(AF476&gt;0.0000001,1,0),"")</f>
        <v/>
      </c>
      <c r="AH476" s="15" t="n">
        <f aca="false">IF($J476=1,IF($M476=1,AB476,AG476),"")</f>
        <v>1</v>
      </c>
      <c r="AI476" s="13" t="n">
        <f aca="false">IF($J476=1,(Ideal_P-E476)/Span_P,"")</f>
        <v>0.191032907646885</v>
      </c>
      <c r="AJ476" s="13" t="n">
        <f aca="false">IF($J476=1,(Ideal_S-F476)/Span_S,"")</f>
        <v>0.225806451612903</v>
      </c>
      <c r="AK476" s="13" t="n">
        <f aca="false">IF($J476=1,(Ideal_B-G476)/Span_B,"")</f>
        <v>0.886666666666667</v>
      </c>
      <c r="AL476" s="12" t="n">
        <f aca="false">IF($J476=1,MAX(ChA_1*AI476,ChA_2*AJ476,ChA_3*AK476)+Rho*(ChA_1*AI476+ChA_2*AJ476+ChA_3*AK476),"")</f>
        <v>0.886797017269259</v>
      </c>
      <c r="AM476" s="12" t="n">
        <f aca="false">IF($J476=1,MAX(ChB_1*AI476,ChB_2*AJ476,ChB_3*AK476)+Rho*(ChB_1*AI476+ChB_2*AJ476+ChB_3*AK476),"")</f>
        <v>0.886816120560024</v>
      </c>
      <c r="AN476" s="12" t="n">
        <f aca="false">IF($J476=1,MAX(Cx_1*(Ref_P-E476)/Span_P,Cx_2*(Ref_S-F476)/Span_S,Cx_3*(Ref_B-G476)/Span_B),"")</f>
        <v>2.26050420168067</v>
      </c>
    </row>
    <row r="477" customFormat="false" ht="15" hidden="false" customHeight="false" outlineLevel="0" collapsed="false">
      <c r="A477" s="2" t="n">
        <v>471</v>
      </c>
      <c r="B477" s="15" t="n">
        <f aca="false">INT(A477/151)</f>
        <v>3</v>
      </c>
      <c r="C477" s="15" t="n">
        <f aca="false">MOD(A477,151)</f>
        <v>18</v>
      </c>
      <c r="D477" s="15" t="n">
        <f aca="false">INDEX(Grid!$J$6:$P$156,C477+1,B477+1)</f>
        <v>1</v>
      </c>
      <c r="E477" s="16" t="n">
        <f aca="false">IF(D477=1,INDEX(Grid!$B$6:$H$156,C477+1,B477+1),"")</f>
        <v>314.088349201636</v>
      </c>
      <c r="F477" s="13" t="n">
        <f aca="false">Val_pt*(Ceiling_e-E_zero)*(1-(1-Half_gap)^B477)</f>
        <v>122.5</v>
      </c>
      <c r="G477" s="15" t="n">
        <f aca="false">C477</f>
        <v>18</v>
      </c>
      <c r="H477" s="15" t="n">
        <f aca="false">IF(D477=1,INDEX(Grid!$R$6:$X$156,C477+1,B477+1),"")</f>
        <v>56</v>
      </c>
      <c r="I477" s="2" t="str">
        <f aca="false">IF(D477=1,INDEX(Sch_label,H477+1),"")</f>
        <v>1–3</v>
      </c>
      <c r="J477" s="15" t="n">
        <f aca="false">IF(D477=1,INDEX(Grid!$Z$6:$AF$156,C477+1,B477+1),0)</f>
        <v>1</v>
      </c>
      <c r="K477" s="16" t="n">
        <f aca="false">IF(J477=1,E477,0)</f>
        <v>314.088349201636</v>
      </c>
      <c r="L477" s="17" t="n">
        <f aca="false">IF(D477=1,E477+W_board*F477,"")</f>
        <v>1005.56891351751</v>
      </c>
      <c r="M477" s="24" t="n">
        <v>1</v>
      </c>
      <c r="N477" s="25" t="n">
        <v>0.34897372014314</v>
      </c>
      <c r="O477" s="25" t="n">
        <v>0.519611355865292</v>
      </c>
      <c r="P477" s="25" t="n">
        <v>0.131414923991568</v>
      </c>
      <c r="Z477" s="12" t="n">
        <f aca="false">IF(AND($J477=1,$M477=1),N477*E477/Span_P+O477*F477/Span_S+P477*G477/Span_B,"")</f>
        <v>1.25711247070245</v>
      </c>
      <c r="AA477" s="12" t="n">
        <f aca="false">IF(AND($J477=1,$M477=1),SUMPRODUCT(MAX($J$6:$J$1062*(N477*$K$6:$K$1062/Span_P+O477*$F$6:$F$1062/Span_S+P477*$G$6:$G$1062/Span_B)-(1-$J$6:$J$1062)*1000000000)),"")</f>
        <v>1.25711247070245</v>
      </c>
      <c r="AB477" s="15" t="n">
        <f aca="false">IF(AND($J477=1,$M477=1),IF(AA477-Z477&lt;=0.000000001,1,0),"")</f>
        <v>1</v>
      </c>
      <c r="AC477" s="13" t="str">
        <f aca="false">IF(AND($J477=1,$M477=0),IF(S477="",0,S477*INDEX(Grid!$B$6:$H$156,R477+1,Q477+1))+IF(V477="",0,V477*INDEX(Grid!$B$6:$H$156,U477+1,T477+1))+IF(Y477="",0,Y477*INDEX(Grid!$B$6:$H$156,X477+1,W477+1)),"")</f>
        <v/>
      </c>
      <c r="AD477" s="13" t="str">
        <f aca="false">IF(AND($J477=1,$M477=0),IF(S477="",0,S477*Val_pt*(Ceiling_e-E_zero)*(1-(1-Half_gap)^Q477))+IF(V477="",0,V477*Val_pt*(Ceiling_e-E_zero)*(1-(1-Half_gap)^T477))+IF(Y477="",0,Y477*Val_pt*(Ceiling_e-E_zero)*(1-(1-Half_gap)^W477)),"")</f>
        <v/>
      </c>
      <c r="AE477" s="13" t="str">
        <f aca="false">IF(AND($J477=1,$M477=0),IF(S477="",0,S477*R477)+IF(V477="",0,V477*U477)+IF(Y477="",0,Y477*X477),"")</f>
        <v/>
      </c>
      <c r="AF477" s="12" t="str">
        <f aca="false">IF(AND($J477=1,$M477=0),MIN((AC477-E477)/Span_P,(AD477-F477)/Span_S,(AE477-G477)/Span_B),"")</f>
        <v/>
      </c>
      <c r="AG477" s="15" t="str">
        <f aca="false">IF(AND($J477=1,$M477=0),IF(AF477&gt;0.0000001,1,0),"")</f>
        <v/>
      </c>
      <c r="AH477" s="15" t="n">
        <f aca="false">IF($J477=1,IF($M477=1,AB477,AG477),"")</f>
        <v>1</v>
      </c>
      <c r="AI477" s="13" t="n">
        <f aca="false">IF($J477=1,(Ideal_P-E477)/Span_P,"")</f>
        <v>0.19354341042319</v>
      </c>
      <c r="AJ477" s="13" t="n">
        <f aca="false">IF($J477=1,(Ideal_S-F477)/Span_S,"")</f>
        <v>0.225806451612903</v>
      </c>
      <c r="AK477" s="13" t="n">
        <f aca="false">IF($J477=1,(Ideal_B-G477)/Span_B,"")</f>
        <v>0.88</v>
      </c>
      <c r="AL477" s="12" t="n">
        <f aca="false">IF($J477=1,MAX(ChA_1*AI477,ChA_2*AJ477,ChA_3*AK477)+Rho*(ChA_1*AI477+ChA_2*AJ477+ChA_3*AK477),"")</f>
        <v>0.880129934986204</v>
      </c>
      <c r="AM477" s="12" t="n">
        <f aca="false">IF($J477=1,MAX(ChB_1*AI477,ChB_2*AJ477,ChB_3*AK477)+Rho*(ChB_1*AI477+ChB_2*AJ477+ChB_3*AK477),"")</f>
        <v>0.880149289327246</v>
      </c>
      <c r="AN477" s="12" t="n">
        <f aca="false">IF($J477=1,MAX(Cx_1*(Ref_P-E477)/Span_P,Cx_2*(Ref_S-F477)/Span_S,Cx_3*(Ref_B-G477)/Span_B),"")</f>
        <v>2.2436974789916</v>
      </c>
    </row>
    <row r="478" customFormat="false" ht="15" hidden="false" customHeight="false" outlineLevel="0" collapsed="false">
      <c r="A478" s="2" t="n">
        <v>472</v>
      </c>
      <c r="B478" s="15" t="n">
        <f aca="false">INT(A478/151)</f>
        <v>3</v>
      </c>
      <c r="C478" s="15" t="n">
        <f aca="false">MOD(A478,151)</f>
        <v>19</v>
      </c>
      <c r="D478" s="15" t="n">
        <f aca="false">INDEX(Grid!$J$6:$P$156,C478+1,B478+1)</f>
        <v>1</v>
      </c>
      <c r="E478" s="16" t="n">
        <f aca="false">IF(D478=1,INDEX(Grid!$B$6:$H$156,C478+1,B478+1),"")</f>
        <v>313.179258292545</v>
      </c>
      <c r="F478" s="13" t="n">
        <f aca="false">Val_pt*(Ceiling_e-E_zero)*(1-(1-Half_gap)^B478)</f>
        <v>122.5</v>
      </c>
      <c r="G478" s="15" t="n">
        <f aca="false">C478</f>
        <v>19</v>
      </c>
      <c r="H478" s="15" t="n">
        <f aca="false">IF(D478=1,INDEX(Grid!$R$6:$X$156,C478+1,B478+1),"")</f>
        <v>56</v>
      </c>
      <c r="I478" s="2" t="str">
        <f aca="false">IF(D478=1,INDEX(Sch_label,H478+1),"")</f>
        <v>1–3</v>
      </c>
      <c r="J478" s="15" t="n">
        <f aca="false">IF(D478=1,INDEX(Grid!$Z$6:$AF$156,C478+1,B478+1),0)</f>
        <v>1</v>
      </c>
      <c r="K478" s="16" t="n">
        <f aca="false">IF(J478=1,E478,0)</f>
        <v>313.179258292545</v>
      </c>
      <c r="L478" s="17" t="n">
        <f aca="false">IF(D478=1,E478+W_board*F478,"")</f>
        <v>1004.65982260842</v>
      </c>
      <c r="M478" s="24" t="n">
        <v>1</v>
      </c>
      <c r="N478" s="25" t="n">
        <v>0.348973720143135</v>
      </c>
      <c r="O478" s="25" t="n">
        <v>0.519611355865304</v>
      </c>
      <c r="P478" s="25" t="n">
        <v>0.131414923991561</v>
      </c>
      <c r="Z478" s="12" t="n">
        <f aca="false">IF(AND($J478=1,$M478=1),N478*E478/Span_P+O478*F478/Span_S+P478*G478/Span_B,"")</f>
        <v>1.25711247070247</v>
      </c>
      <c r="AA478" s="12" t="n">
        <f aca="false">IF(AND($J478=1,$M478=1),SUMPRODUCT(MAX($J$6:$J$1062*(N478*$K$6:$K$1062/Span_P+O478*$F$6:$F$1062/Span_S+P478*$G$6:$G$1062/Span_B)-(1-$J$6:$J$1062)*1000000000)),"")</f>
        <v>1.25711247070247</v>
      </c>
      <c r="AB478" s="15" t="n">
        <f aca="false">IF(AND($J478=1,$M478=1),IF(AA478-Z478&lt;=0.000000001,1,0),"")</f>
        <v>1</v>
      </c>
      <c r="AC478" s="13" t="str">
        <f aca="false">IF(AND($J478=1,$M478=0),IF(S478="",0,S478*INDEX(Grid!$B$6:$H$156,R478+1,Q478+1))+IF(V478="",0,V478*INDEX(Grid!$B$6:$H$156,U478+1,T478+1))+IF(Y478="",0,Y478*INDEX(Grid!$B$6:$H$156,X478+1,W478+1)),"")</f>
        <v/>
      </c>
      <c r="AD478" s="13" t="str">
        <f aca="false">IF(AND($J478=1,$M478=0),IF(S478="",0,S478*Val_pt*(Ceiling_e-E_zero)*(1-(1-Half_gap)^Q478))+IF(V478="",0,V478*Val_pt*(Ceiling_e-E_zero)*(1-(1-Half_gap)^T478))+IF(Y478="",0,Y478*Val_pt*(Ceiling_e-E_zero)*(1-(1-Half_gap)^W478)),"")</f>
        <v/>
      </c>
      <c r="AE478" s="13" t="str">
        <f aca="false">IF(AND($J478=1,$M478=0),IF(S478="",0,S478*R478)+IF(V478="",0,V478*U478)+IF(Y478="",0,Y478*X478),"")</f>
        <v/>
      </c>
      <c r="AF478" s="12" t="str">
        <f aca="false">IF(AND($J478=1,$M478=0),MIN((AC478-E478)/Span_P,(AD478-F478)/Span_S,(AE478-G478)/Span_B),"")</f>
        <v/>
      </c>
      <c r="AG478" s="15" t="str">
        <f aca="false">IF(AND($J478=1,$M478=0),IF(AF478&gt;0.0000001,1,0),"")</f>
        <v/>
      </c>
      <c r="AH478" s="15" t="n">
        <f aca="false">IF($J478=1,IF($M478=1,AB478,AG478),"")</f>
        <v>1</v>
      </c>
      <c r="AI478" s="13" t="n">
        <f aca="false">IF($J478=1,(Ideal_P-E478)/Span_P,"")</f>
        <v>0.196053913199496</v>
      </c>
      <c r="AJ478" s="13" t="n">
        <f aca="false">IF($J478=1,(Ideal_S-F478)/Span_S,"")</f>
        <v>0.225806451612903</v>
      </c>
      <c r="AK478" s="13" t="n">
        <f aca="false">IF($J478=1,(Ideal_B-G478)/Span_B,"")</f>
        <v>0.873333333333333</v>
      </c>
      <c r="AL478" s="12" t="n">
        <f aca="false">IF($J478=1,MAX(ChA_1*AI478,ChA_2*AJ478,ChA_3*AK478)+Rho*(ChA_1*AI478+ChA_2*AJ478+ChA_3*AK478),"")</f>
        <v>0.873462852703148</v>
      </c>
      <c r="AM478" s="12" t="n">
        <f aca="false">IF($J478=1,MAX(ChB_1*AI478,ChB_2*AJ478,ChB_3*AK478)+Rho*(ChB_1*AI478+ChB_2*AJ478+ChB_3*AK478),"")</f>
        <v>0.873482458094468</v>
      </c>
      <c r="AN478" s="12" t="n">
        <f aca="false">IF($J478=1,MAX(Cx_1*(Ref_P-E478)/Span_P,Cx_2*(Ref_S-F478)/Span_S,Cx_3*(Ref_B-G478)/Span_B),"")</f>
        <v>2.22689075630252</v>
      </c>
    </row>
    <row r="479" customFormat="false" ht="15" hidden="false" customHeight="false" outlineLevel="0" collapsed="false">
      <c r="A479" s="2" t="n">
        <v>473</v>
      </c>
      <c r="B479" s="15" t="n">
        <f aca="false">INT(A479/151)</f>
        <v>3</v>
      </c>
      <c r="C479" s="15" t="n">
        <f aca="false">MOD(A479,151)</f>
        <v>20</v>
      </c>
      <c r="D479" s="15" t="n">
        <f aca="false">INDEX(Grid!$J$6:$P$156,C479+1,B479+1)</f>
        <v>1</v>
      </c>
      <c r="E479" s="16" t="n">
        <f aca="false">IF(D479=1,INDEX(Grid!$B$6:$H$156,C479+1,B479+1),"")</f>
        <v>312.270167383454</v>
      </c>
      <c r="F479" s="13" t="n">
        <f aca="false">Val_pt*(Ceiling_e-E_zero)*(1-(1-Half_gap)^B479)</f>
        <v>122.5</v>
      </c>
      <c r="G479" s="15" t="n">
        <f aca="false">C479</f>
        <v>20</v>
      </c>
      <c r="H479" s="15" t="n">
        <f aca="false">IF(D479=1,INDEX(Grid!$R$6:$X$156,C479+1,B479+1),"")</f>
        <v>56</v>
      </c>
      <c r="I479" s="2" t="str">
        <f aca="false">IF(D479=1,INDEX(Sch_label,H479+1),"")</f>
        <v>1–3</v>
      </c>
      <c r="J479" s="15" t="n">
        <f aca="false">IF(D479=1,INDEX(Grid!$Z$6:$AF$156,C479+1,B479+1),0)</f>
        <v>1</v>
      </c>
      <c r="K479" s="16" t="n">
        <f aca="false">IF(J479=1,E479,0)</f>
        <v>312.270167383454</v>
      </c>
      <c r="L479" s="17" t="n">
        <f aca="false">IF(D479=1,E479+W_board*F479,"")</f>
        <v>1003.75073169933</v>
      </c>
      <c r="M479" s="24" t="n">
        <v>1</v>
      </c>
      <c r="N479" s="25" t="n">
        <v>0.34897372014314</v>
      </c>
      <c r="O479" s="25" t="n">
        <v>0.519611355865292</v>
      </c>
      <c r="P479" s="25" t="n">
        <v>0.131414923991568</v>
      </c>
      <c r="Z479" s="12" t="n">
        <f aca="false">IF(AND($J479=1,$M479=1),N479*E479/Span_P+O479*F479/Span_S+P479*G479/Span_B,"")</f>
        <v>1.25711247070245</v>
      </c>
      <c r="AA479" s="12" t="n">
        <f aca="false">IF(AND($J479=1,$M479=1),SUMPRODUCT(MAX($J$6:$J$1062*(N479*$K$6:$K$1062/Span_P+O479*$F$6:$F$1062/Span_S+P479*$G$6:$G$1062/Span_B)-(1-$J$6:$J$1062)*1000000000)),"")</f>
        <v>1.25711247070245</v>
      </c>
      <c r="AB479" s="15" t="n">
        <f aca="false">IF(AND($J479=1,$M479=1),IF(AA479-Z479&lt;=0.000000001,1,0),"")</f>
        <v>1</v>
      </c>
      <c r="AC479" s="13" t="str">
        <f aca="false">IF(AND($J479=1,$M479=0),IF(S479="",0,S479*INDEX(Grid!$B$6:$H$156,R479+1,Q479+1))+IF(V479="",0,V479*INDEX(Grid!$B$6:$H$156,U479+1,T479+1))+IF(Y479="",0,Y479*INDEX(Grid!$B$6:$H$156,X479+1,W479+1)),"")</f>
        <v/>
      </c>
      <c r="AD479" s="13" t="str">
        <f aca="false">IF(AND($J479=1,$M479=0),IF(S479="",0,S479*Val_pt*(Ceiling_e-E_zero)*(1-(1-Half_gap)^Q479))+IF(V479="",0,V479*Val_pt*(Ceiling_e-E_zero)*(1-(1-Half_gap)^T479))+IF(Y479="",0,Y479*Val_pt*(Ceiling_e-E_zero)*(1-(1-Half_gap)^W479)),"")</f>
        <v/>
      </c>
      <c r="AE479" s="13" t="str">
        <f aca="false">IF(AND($J479=1,$M479=0),IF(S479="",0,S479*R479)+IF(V479="",0,V479*U479)+IF(Y479="",0,Y479*X479),"")</f>
        <v/>
      </c>
      <c r="AF479" s="12" t="str">
        <f aca="false">IF(AND($J479=1,$M479=0),MIN((AC479-E479)/Span_P,(AD479-F479)/Span_S,(AE479-G479)/Span_B),"")</f>
        <v/>
      </c>
      <c r="AG479" s="15" t="str">
        <f aca="false">IF(AND($J479=1,$M479=0),IF(AF479&gt;0.0000001,1,0),"")</f>
        <v/>
      </c>
      <c r="AH479" s="15" t="n">
        <f aca="false">IF($J479=1,IF($M479=1,AB479,AG479),"")</f>
        <v>1</v>
      </c>
      <c r="AI479" s="13" t="n">
        <f aca="false">IF($J479=1,(Ideal_P-E479)/Span_P,"")</f>
        <v>0.198564415975802</v>
      </c>
      <c r="AJ479" s="13" t="n">
        <f aca="false">IF($J479=1,(Ideal_S-F479)/Span_S,"")</f>
        <v>0.225806451612903</v>
      </c>
      <c r="AK479" s="13" t="n">
        <f aca="false">IF($J479=1,(Ideal_B-G479)/Span_B,"")</f>
        <v>0.866666666666667</v>
      </c>
      <c r="AL479" s="12" t="n">
        <f aca="false">IF($J479=1,MAX(ChA_1*AI479,ChA_2*AJ479,ChA_3*AK479)+Rho*(ChA_1*AI479+ChA_2*AJ479+ChA_3*AK479),"")</f>
        <v>0.866795770420092</v>
      </c>
      <c r="AM479" s="12" t="n">
        <f aca="false">IF($J479=1,MAX(ChB_1*AI479,ChB_2*AJ479,ChB_3*AK479)+Rho*(ChB_1*AI479+ChB_2*AJ479+ChB_3*AK479),"")</f>
        <v>0.86681562686169</v>
      </c>
      <c r="AN479" s="12" t="n">
        <f aca="false">IF($J479=1,MAX(Cx_1*(Ref_P-E479)/Span_P,Cx_2*(Ref_S-F479)/Span_S,Cx_3*(Ref_B-G479)/Span_B),"")</f>
        <v>2.21008403361345</v>
      </c>
    </row>
    <row r="480" customFormat="false" ht="15" hidden="false" customHeight="false" outlineLevel="0" collapsed="false">
      <c r="A480" s="2" t="n">
        <v>474</v>
      </c>
      <c r="B480" s="15" t="n">
        <f aca="false">INT(A480/151)</f>
        <v>3</v>
      </c>
      <c r="C480" s="15" t="n">
        <f aca="false">MOD(A480,151)</f>
        <v>21</v>
      </c>
      <c r="D480" s="15" t="n">
        <f aca="false">INDEX(Grid!$J$6:$P$156,C480+1,B480+1)</f>
        <v>1</v>
      </c>
      <c r="E480" s="16" t="n">
        <f aca="false">IF(D480=1,INDEX(Grid!$B$6:$H$156,C480+1,B480+1),"")</f>
        <v>311.361076474364</v>
      </c>
      <c r="F480" s="13" t="n">
        <f aca="false">Val_pt*(Ceiling_e-E_zero)*(1-(1-Half_gap)^B480)</f>
        <v>122.5</v>
      </c>
      <c r="G480" s="15" t="n">
        <f aca="false">C480</f>
        <v>21</v>
      </c>
      <c r="H480" s="15" t="n">
        <f aca="false">IF(D480=1,INDEX(Grid!$R$6:$X$156,C480+1,B480+1),"")</f>
        <v>56</v>
      </c>
      <c r="I480" s="2" t="str">
        <f aca="false">IF(D480=1,INDEX(Sch_label,H480+1),"")</f>
        <v>1–3</v>
      </c>
      <c r="J480" s="15" t="n">
        <f aca="false">IF(D480=1,INDEX(Grid!$Z$6:$AF$156,C480+1,B480+1),0)</f>
        <v>1</v>
      </c>
      <c r="K480" s="16" t="n">
        <f aca="false">IF(J480=1,E480,0)</f>
        <v>311.361076474364</v>
      </c>
      <c r="L480" s="17" t="n">
        <f aca="false">IF(D480=1,E480+W_board*F480,"")</f>
        <v>1002.84164079024</v>
      </c>
      <c r="M480" s="24" t="n">
        <v>1</v>
      </c>
      <c r="N480" s="25" t="n">
        <v>0.348973720143135</v>
      </c>
      <c r="O480" s="25" t="n">
        <v>0.519611355865303</v>
      </c>
      <c r="P480" s="25" t="n">
        <v>0.131414923991561</v>
      </c>
      <c r="Z480" s="12" t="n">
        <f aca="false">IF(AND($J480=1,$M480=1),N480*E480/Span_P+O480*F480/Span_S+P480*G480/Span_B,"")</f>
        <v>1.25711247070247</v>
      </c>
      <c r="AA480" s="12" t="n">
        <f aca="false">IF(AND($J480=1,$M480=1),SUMPRODUCT(MAX($J$6:$J$1062*(N480*$K$6:$K$1062/Span_P+O480*$F$6:$F$1062/Span_S+P480*$G$6:$G$1062/Span_B)-(1-$J$6:$J$1062)*1000000000)),"")</f>
        <v>1.25711247070247</v>
      </c>
      <c r="AB480" s="15" t="n">
        <f aca="false">IF(AND($J480=1,$M480=1),IF(AA480-Z480&lt;=0.000000001,1,0),"")</f>
        <v>1</v>
      </c>
      <c r="AC480" s="13" t="str">
        <f aca="false">IF(AND($J480=1,$M480=0),IF(S480="",0,S480*INDEX(Grid!$B$6:$H$156,R480+1,Q480+1))+IF(V480="",0,V480*INDEX(Grid!$B$6:$H$156,U480+1,T480+1))+IF(Y480="",0,Y480*INDEX(Grid!$B$6:$H$156,X480+1,W480+1)),"")</f>
        <v/>
      </c>
      <c r="AD480" s="13" t="str">
        <f aca="false">IF(AND($J480=1,$M480=0),IF(S480="",0,S480*Val_pt*(Ceiling_e-E_zero)*(1-(1-Half_gap)^Q480))+IF(V480="",0,V480*Val_pt*(Ceiling_e-E_zero)*(1-(1-Half_gap)^T480))+IF(Y480="",0,Y480*Val_pt*(Ceiling_e-E_zero)*(1-(1-Half_gap)^W480)),"")</f>
        <v/>
      </c>
      <c r="AE480" s="13" t="str">
        <f aca="false">IF(AND($J480=1,$M480=0),IF(S480="",0,S480*R480)+IF(V480="",0,V480*U480)+IF(Y480="",0,Y480*X480),"")</f>
        <v/>
      </c>
      <c r="AF480" s="12" t="str">
        <f aca="false">IF(AND($J480=1,$M480=0),MIN((AC480-E480)/Span_P,(AD480-F480)/Span_S,(AE480-G480)/Span_B),"")</f>
        <v/>
      </c>
      <c r="AG480" s="15" t="str">
        <f aca="false">IF(AND($J480=1,$M480=0),IF(AF480&gt;0.0000001,1,0),"")</f>
        <v/>
      </c>
      <c r="AH480" s="15" t="n">
        <f aca="false">IF($J480=1,IF($M480=1,AB480,AG480),"")</f>
        <v>1</v>
      </c>
      <c r="AI480" s="13" t="n">
        <f aca="false">IF($J480=1,(Ideal_P-E480)/Span_P,"")</f>
        <v>0.201074918752108</v>
      </c>
      <c r="AJ480" s="13" t="n">
        <f aca="false">IF($J480=1,(Ideal_S-F480)/Span_S,"")</f>
        <v>0.225806451612903</v>
      </c>
      <c r="AK480" s="13" t="n">
        <f aca="false">IF($J480=1,(Ideal_B-G480)/Span_B,"")</f>
        <v>0.86</v>
      </c>
      <c r="AL480" s="12" t="n">
        <f aca="false">IF($J480=1,MAX(ChA_1*AI480,ChA_2*AJ480,ChA_3*AK480)+Rho*(ChA_1*AI480+ChA_2*AJ480+ChA_3*AK480),"")</f>
        <v>0.860128688137037</v>
      </c>
      <c r="AM480" s="12" t="n">
        <f aca="false">IF($J480=1,MAX(ChB_1*AI480,ChB_2*AJ480,ChB_3*AK480)+Rho*(ChB_1*AI480+ChB_2*AJ480+ChB_3*AK480),"")</f>
        <v>0.860148795628912</v>
      </c>
      <c r="AN480" s="12" t="n">
        <f aca="false">IF($J480=1,MAX(Cx_1*(Ref_P-E480)/Span_P,Cx_2*(Ref_S-F480)/Span_S,Cx_3*(Ref_B-G480)/Span_B),"")</f>
        <v>2.19327731092437</v>
      </c>
    </row>
    <row r="481" customFormat="false" ht="15" hidden="false" customHeight="false" outlineLevel="0" collapsed="false">
      <c r="A481" s="2" t="n">
        <v>475</v>
      </c>
      <c r="B481" s="15" t="n">
        <f aca="false">INT(A481/151)</f>
        <v>3</v>
      </c>
      <c r="C481" s="15" t="n">
        <f aca="false">MOD(A481,151)</f>
        <v>22</v>
      </c>
      <c r="D481" s="15" t="n">
        <f aca="false">INDEX(Grid!$J$6:$P$156,C481+1,B481+1)</f>
        <v>1</v>
      </c>
      <c r="E481" s="16" t="n">
        <f aca="false">IF(D481=1,INDEX(Grid!$B$6:$H$156,C481+1,B481+1),"")</f>
        <v>310.451985565273</v>
      </c>
      <c r="F481" s="13" t="n">
        <f aca="false">Val_pt*(Ceiling_e-E_zero)*(1-(1-Half_gap)^B481)</f>
        <v>122.5</v>
      </c>
      <c r="G481" s="15" t="n">
        <f aca="false">C481</f>
        <v>22</v>
      </c>
      <c r="H481" s="15" t="n">
        <f aca="false">IF(D481=1,INDEX(Grid!$R$6:$X$156,C481+1,B481+1),"")</f>
        <v>56</v>
      </c>
      <c r="I481" s="2" t="str">
        <f aca="false">IF(D481=1,INDEX(Sch_label,H481+1),"")</f>
        <v>1–3</v>
      </c>
      <c r="J481" s="15" t="n">
        <f aca="false">IF(D481=1,INDEX(Grid!$Z$6:$AF$156,C481+1,B481+1),0)</f>
        <v>1</v>
      </c>
      <c r="K481" s="16" t="n">
        <f aca="false">IF(J481=1,E481,0)</f>
        <v>310.451985565273</v>
      </c>
      <c r="L481" s="17" t="n">
        <f aca="false">IF(D481=1,E481+W_board*F481,"")</f>
        <v>1001.93254988115</v>
      </c>
      <c r="M481" s="24" t="n">
        <v>1</v>
      </c>
      <c r="N481" s="25" t="n">
        <v>0.34897372014314</v>
      </c>
      <c r="O481" s="25" t="n">
        <v>0.519611355865291</v>
      </c>
      <c r="P481" s="25" t="n">
        <v>0.131414923991569</v>
      </c>
      <c r="Z481" s="12" t="n">
        <f aca="false">IF(AND($J481=1,$M481=1),N481*E481/Span_P+O481*F481/Span_S+P481*G481/Span_B,"")</f>
        <v>1.25711247070245</v>
      </c>
      <c r="AA481" s="12" t="n">
        <f aca="false">IF(AND($J481=1,$M481=1),SUMPRODUCT(MAX($J$6:$J$1062*(N481*$K$6:$K$1062/Span_P+O481*$F$6:$F$1062/Span_S+P481*$G$6:$G$1062/Span_B)-(1-$J$6:$J$1062)*1000000000)),"")</f>
        <v>1.25711247070245</v>
      </c>
      <c r="AB481" s="15" t="n">
        <f aca="false">IF(AND($J481=1,$M481=1),IF(AA481-Z481&lt;=0.000000001,1,0),"")</f>
        <v>1</v>
      </c>
      <c r="AC481" s="13" t="str">
        <f aca="false">IF(AND($J481=1,$M481=0),IF(S481="",0,S481*INDEX(Grid!$B$6:$H$156,R481+1,Q481+1))+IF(V481="",0,V481*INDEX(Grid!$B$6:$H$156,U481+1,T481+1))+IF(Y481="",0,Y481*INDEX(Grid!$B$6:$H$156,X481+1,W481+1)),"")</f>
        <v/>
      </c>
      <c r="AD481" s="13" t="str">
        <f aca="false">IF(AND($J481=1,$M481=0),IF(S481="",0,S481*Val_pt*(Ceiling_e-E_zero)*(1-(1-Half_gap)^Q481))+IF(V481="",0,V481*Val_pt*(Ceiling_e-E_zero)*(1-(1-Half_gap)^T481))+IF(Y481="",0,Y481*Val_pt*(Ceiling_e-E_zero)*(1-(1-Half_gap)^W481)),"")</f>
        <v/>
      </c>
      <c r="AE481" s="13" t="str">
        <f aca="false">IF(AND($J481=1,$M481=0),IF(S481="",0,S481*R481)+IF(V481="",0,V481*U481)+IF(Y481="",0,Y481*X481),"")</f>
        <v/>
      </c>
      <c r="AF481" s="12" t="str">
        <f aca="false">IF(AND($J481=1,$M481=0),MIN((AC481-E481)/Span_P,(AD481-F481)/Span_S,(AE481-G481)/Span_B),"")</f>
        <v/>
      </c>
      <c r="AG481" s="15" t="str">
        <f aca="false">IF(AND($J481=1,$M481=0),IF(AF481&gt;0.0000001,1,0),"")</f>
        <v/>
      </c>
      <c r="AH481" s="15" t="n">
        <f aca="false">IF($J481=1,IF($M481=1,AB481,AG481),"")</f>
        <v>1</v>
      </c>
      <c r="AI481" s="13" t="n">
        <f aca="false">IF($J481=1,(Ideal_P-E481)/Span_P,"")</f>
        <v>0.203585421528414</v>
      </c>
      <c r="AJ481" s="13" t="n">
        <f aca="false">IF($J481=1,(Ideal_S-F481)/Span_S,"")</f>
        <v>0.225806451612903</v>
      </c>
      <c r="AK481" s="13" t="n">
        <f aca="false">IF($J481=1,(Ideal_B-G481)/Span_B,"")</f>
        <v>0.853333333333333</v>
      </c>
      <c r="AL481" s="12" t="n">
        <f aca="false">IF($J481=1,MAX(ChA_1*AI481,ChA_2*AJ481,ChA_3*AK481)+Rho*(ChA_1*AI481+ChA_2*AJ481+ChA_3*AK481),"")</f>
        <v>0.853461605853981</v>
      </c>
      <c r="AM481" s="12" t="n">
        <f aca="false">IF($J481=1,MAX(ChB_1*AI481,ChB_2*AJ481,ChB_3*AK481)+Rho*(ChB_1*AI481+ChB_2*AJ481+ChB_3*AK481),"")</f>
        <v>0.853481964396134</v>
      </c>
      <c r="AN481" s="12" t="n">
        <f aca="false">IF($J481=1,MAX(Cx_1*(Ref_P-E481)/Span_P,Cx_2*(Ref_S-F481)/Span_S,Cx_3*(Ref_B-G481)/Span_B),"")</f>
        <v>2.17647058823529</v>
      </c>
    </row>
    <row r="482" customFormat="false" ht="15" hidden="false" customHeight="false" outlineLevel="0" collapsed="false">
      <c r="A482" s="2" t="n">
        <v>476</v>
      </c>
      <c r="B482" s="15" t="n">
        <f aca="false">INT(A482/151)</f>
        <v>3</v>
      </c>
      <c r="C482" s="15" t="n">
        <f aca="false">MOD(A482,151)</f>
        <v>23</v>
      </c>
      <c r="D482" s="15" t="n">
        <f aca="false">INDEX(Grid!$J$6:$P$156,C482+1,B482+1)</f>
        <v>1</v>
      </c>
      <c r="E482" s="16" t="n">
        <f aca="false">IF(D482=1,INDEX(Grid!$B$6:$H$156,C482+1,B482+1),"")</f>
        <v>309.542894656182</v>
      </c>
      <c r="F482" s="13" t="n">
        <f aca="false">Val_pt*(Ceiling_e-E_zero)*(1-(1-Half_gap)^B482)</f>
        <v>122.5</v>
      </c>
      <c r="G482" s="15" t="n">
        <f aca="false">C482</f>
        <v>23</v>
      </c>
      <c r="H482" s="15" t="n">
        <f aca="false">IF(D482=1,INDEX(Grid!$R$6:$X$156,C482+1,B482+1),"")</f>
        <v>56</v>
      </c>
      <c r="I482" s="2" t="str">
        <f aca="false">IF(D482=1,INDEX(Sch_label,H482+1),"")</f>
        <v>1–3</v>
      </c>
      <c r="J482" s="15" t="n">
        <f aca="false">IF(D482=1,INDEX(Grid!$Z$6:$AF$156,C482+1,B482+1),0)</f>
        <v>1</v>
      </c>
      <c r="K482" s="16" t="n">
        <f aca="false">IF(J482=1,E482,0)</f>
        <v>309.542894656182</v>
      </c>
      <c r="L482" s="17" t="n">
        <f aca="false">IF(D482=1,E482+W_board*F482,"")</f>
        <v>1001.02345897206</v>
      </c>
      <c r="M482" s="24" t="n">
        <v>1</v>
      </c>
      <c r="N482" s="25" t="n">
        <v>0.348973720143135</v>
      </c>
      <c r="O482" s="25" t="n">
        <v>0.519611355865304</v>
      </c>
      <c r="P482" s="25" t="n">
        <v>0.131414923991561</v>
      </c>
      <c r="Z482" s="12" t="n">
        <f aca="false">IF(AND($J482=1,$M482=1),N482*E482/Span_P+O482*F482/Span_S+P482*G482/Span_B,"")</f>
        <v>1.25711247070247</v>
      </c>
      <c r="AA482" s="12" t="n">
        <f aca="false">IF(AND($J482=1,$M482=1),SUMPRODUCT(MAX($J$6:$J$1062*(N482*$K$6:$K$1062/Span_P+O482*$F$6:$F$1062/Span_S+P482*$G$6:$G$1062/Span_B)-(1-$J$6:$J$1062)*1000000000)),"")</f>
        <v>1.25711247070247</v>
      </c>
      <c r="AB482" s="15" t="n">
        <f aca="false">IF(AND($J482=1,$M482=1),IF(AA482-Z482&lt;=0.000000001,1,0),"")</f>
        <v>1</v>
      </c>
      <c r="AC482" s="13" t="str">
        <f aca="false">IF(AND($J482=1,$M482=0),IF(S482="",0,S482*INDEX(Grid!$B$6:$H$156,R482+1,Q482+1))+IF(V482="",0,V482*INDEX(Grid!$B$6:$H$156,U482+1,T482+1))+IF(Y482="",0,Y482*INDEX(Grid!$B$6:$H$156,X482+1,W482+1)),"")</f>
        <v/>
      </c>
      <c r="AD482" s="13" t="str">
        <f aca="false">IF(AND($J482=1,$M482=0),IF(S482="",0,S482*Val_pt*(Ceiling_e-E_zero)*(1-(1-Half_gap)^Q482))+IF(V482="",0,V482*Val_pt*(Ceiling_e-E_zero)*(1-(1-Half_gap)^T482))+IF(Y482="",0,Y482*Val_pt*(Ceiling_e-E_zero)*(1-(1-Half_gap)^W482)),"")</f>
        <v/>
      </c>
      <c r="AE482" s="13" t="str">
        <f aca="false">IF(AND($J482=1,$M482=0),IF(S482="",0,S482*R482)+IF(V482="",0,V482*U482)+IF(Y482="",0,Y482*X482),"")</f>
        <v/>
      </c>
      <c r="AF482" s="12" t="str">
        <f aca="false">IF(AND($J482=1,$M482=0),MIN((AC482-E482)/Span_P,(AD482-F482)/Span_S,(AE482-G482)/Span_B),"")</f>
        <v/>
      </c>
      <c r="AG482" s="15" t="str">
        <f aca="false">IF(AND($J482=1,$M482=0),IF(AF482&gt;0.0000001,1,0),"")</f>
        <v/>
      </c>
      <c r="AH482" s="15" t="n">
        <f aca="false">IF($J482=1,IF($M482=1,AB482,AG482),"")</f>
        <v>1</v>
      </c>
      <c r="AI482" s="13" t="n">
        <f aca="false">IF($J482=1,(Ideal_P-E482)/Span_P,"")</f>
        <v>0.206095924304719</v>
      </c>
      <c r="AJ482" s="13" t="n">
        <f aca="false">IF($J482=1,(Ideal_S-F482)/Span_S,"")</f>
        <v>0.225806451612903</v>
      </c>
      <c r="AK482" s="13" t="n">
        <f aca="false">IF($J482=1,(Ideal_B-G482)/Span_B,"")</f>
        <v>0.846666666666667</v>
      </c>
      <c r="AL482" s="12" t="n">
        <f aca="false">IF($J482=1,MAX(ChA_1*AI482,ChA_2*AJ482,ChA_3*AK482)+Rho*(ChA_1*AI482+ChA_2*AJ482+ChA_3*AK482),"")</f>
        <v>0.846794523570925</v>
      </c>
      <c r="AM482" s="12" t="n">
        <f aca="false">IF($J482=1,MAX(ChB_1*AI482,ChB_2*AJ482,ChB_3*AK482)+Rho*(ChB_1*AI482+ChB_2*AJ482+ChB_3*AK482),"")</f>
        <v>0.846815133163356</v>
      </c>
      <c r="AN482" s="12" t="n">
        <f aca="false">IF($J482=1,MAX(Cx_1*(Ref_P-E482)/Span_P,Cx_2*(Ref_S-F482)/Span_S,Cx_3*(Ref_B-G482)/Span_B),"")</f>
        <v>2.15966386554622</v>
      </c>
    </row>
    <row r="483" customFormat="false" ht="15" hidden="false" customHeight="false" outlineLevel="0" collapsed="false">
      <c r="A483" s="2" t="n">
        <v>477</v>
      </c>
      <c r="B483" s="15" t="n">
        <f aca="false">INT(A483/151)</f>
        <v>3</v>
      </c>
      <c r="C483" s="15" t="n">
        <f aca="false">MOD(A483,151)</f>
        <v>24</v>
      </c>
      <c r="D483" s="15" t="n">
        <f aca="false">INDEX(Grid!$J$6:$P$156,C483+1,B483+1)</f>
        <v>1</v>
      </c>
      <c r="E483" s="16" t="n">
        <f aca="false">IF(D483=1,INDEX(Grid!$B$6:$H$156,C483+1,B483+1),"")</f>
        <v>308.633803747091</v>
      </c>
      <c r="F483" s="13" t="n">
        <f aca="false">Val_pt*(Ceiling_e-E_zero)*(1-(1-Half_gap)^B483)</f>
        <v>122.5</v>
      </c>
      <c r="G483" s="15" t="n">
        <f aca="false">C483</f>
        <v>24</v>
      </c>
      <c r="H483" s="15" t="n">
        <f aca="false">IF(D483=1,INDEX(Grid!$R$6:$X$156,C483+1,B483+1),"")</f>
        <v>56</v>
      </c>
      <c r="I483" s="2" t="str">
        <f aca="false">IF(D483=1,INDEX(Sch_label,H483+1),"")</f>
        <v>1–3</v>
      </c>
      <c r="J483" s="15" t="n">
        <f aca="false">IF(D483=1,INDEX(Grid!$Z$6:$AF$156,C483+1,B483+1),0)</f>
        <v>1</v>
      </c>
      <c r="K483" s="16" t="n">
        <f aca="false">IF(J483=1,E483,0)</f>
        <v>308.633803747091</v>
      </c>
      <c r="L483" s="17" t="n">
        <f aca="false">IF(D483=1,E483+W_board*F483,"")</f>
        <v>1000.11436806297</v>
      </c>
      <c r="M483" s="24" t="n">
        <v>1</v>
      </c>
      <c r="N483" s="25" t="n">
        <v>0.34897372014314</v>
      </c>
      <c r="O483" s="25" t="n">
        <v>0.519611355865291</v>
      </c>
      <c r="P483" s="25" t="n">
        <v>0.131414923991569</v>
      </c>
      <c r="Z483" s="12" t="n">
        <f aca="false">IF(AND($J483=1,$M483=1),N483*E483/Span_P+O483*F483/Span_S+P483*G483/Span_B,"")</f>
        <v>1.25711247070245</v>
      </c>
      <c r="AA483" s="12" t="n">
        <f aca="false">IF(AND($J483=1,$M483=1),SUMPRODUCT(MAX($J$6:$J$1062*(N483*$K$6:$K$1062/Span_P+O483*$F$6:$F$1062/Span_S+P483*$G$6:$G$1062/Span_B)-(1-$J$6:$J$1062)*1000000000)),"")</f>
        <v>1.25711247070245</v>
      </c>
      <c r="AB483" s="15" t="n">
        <f aca="false">IF(AND($J483=1,$M483=1),IF(AA483-Z483&lt;=0.000000001,1,0),"")</f>
        <v>1</v>
      </c>
      <c r="AC483" s="13" t="str">
        <f aca="false">IF(AND($J483=1,$M483=0),IF(S483="",0,S483*INDEX(Grid!$B$6:$H$156,R483+1,Q483+1))+IF(V483="",0,V483*INDEX(Grid!$B$6:$H$156,U483+1,T483+1))+IF(Y483="",0,Y483*INDEX(Grid!$B$6:$H$156,X483+1,W483+1)),"")</f>
        <v/>
      </c>
      <c r="AD483" s="13" t="str">
        <f aca="false">IF(AND($J483=1,$M483=0),IF(S483="",0,S483*Val_pt*(Ceiling_e-E_zero)*(1-(1-Half_gap)^Q483))+IF(V483="",0,V483*Val_pt*(Ceiling_e-E_zero)*(1-(1-Half_gap)^T483))+IF(Y483="",0,Y483*Val_pt*(Ceiling_e-E_zero)*(1-(1-Half_gap)^W483)),"")</f>
        <v/>
      </c>
      <c r="AE483" s="13" t="str">
        <f aca="false">IF(AND($J483=1,$M483=0),IF(S483="",0,S483*R483)+IF(V483="",0,V483*U483)+IF(Y483="",0,Y483*X483),"")</f>
        <v/>
      </c>
      <c r="AF483" s="12" t="str">
        <f aca="false">IF(AND($J483=1,$M483=0),MIN((AC483-E483)/Span_P,(AD483-F483)/Span_S,(AE483-G483)/Span_B),"")</f>
        <v/>
      </c>
      <c r="AG483" s="15" t="str">
        <f aca="false">IF(AND($J483=1,$M483=0),IF(AF483&gt;0.0000001,1,0),"")</f>
        <v/>
      </c>
      <c r="AH483" s="15" t="n">
        <f aca="false">IF($J483=1,IF($M483=1,AB483,AG483),"")</f>
        <v>1</v>
      </c>
      <c r="AI483" s="13" t="n">
        <f aca="false">IF($J483=1,(Ideal_P-E483)/Span_P,"")</f>
        <v>0.208606427081025</v>
      </c>
      <c r="AJ483" s="13" t="n">
        <f aca="false">IF($J483=1,(Ideal_S-F483)/Span_S,"")</f>
        <v>0.225806451612903</v>
      </c>
      <c r="AK483" s="13" t="n">
        <f aca="false">IF($J483=1,(Ideal_B-G483)/Span_B,"")</f>
        <v>0.84</v>
      </c>
      <c r="AL483" s="12" t="n">
        <f aca="false">IF($J483=1,MAX(ChA_1*AI483,ChA_2*AJ483,ChA_3*AK483)+Rho*(ChA_1*AI483+ChA_2*AJ483+ChA_3*AK483),"")</f>
        <v>0.840127441287869</v>
      </c>
      <c r="AM483" s="12" t="n">
        <f aca="false">IF($J483=1,MAX(ChB_1*AI483,ChB_2*AJ483,ChB_3*AK483)+Rho*(ChB_1*AI483+ChB_2*AJ483+ChB_3*AK483),"")</f>
        <v>0.840148301930577</v>
      </c>
      <c r="AN483" s="12" t="n">
        <f aca="false">IF($J483=1,MAX(Cx_1*(Ref_P-E483)/Span_P,Cx_2*(Ref_S-F483)/Span_S,Cx_3*(Ref_B-G483)/Span_B),"")</f>
        <v>2.14285714285714</v>
      </c>
    </row>
    <row r="484" customFormat="false" ht="15" hidden="false" customHeight="false" outlineLevel="0" collapsed="false">
      <c r="A484" s="2" t="n">
        <v>478</v>
      </c>
      <c r="B484" s="15" t="n">
        <f aca="false">INT(A484/151)</f>
        <v>3</v>
      </c>
      <c r="C484" s="15" t="n">
        <f aca="false">MOD(A484,151)</f>
        <v>25</v>
      </c>
      <c r="D484" s="15" t="n">
        <f aca="false">INDEX(Grid!$J$6:$P$156,C484+1,B484+1)</f>
        <v>1</v>
      </c>
      <c r="E484" s="16" t="n">
        <f aca="false">IF(D484=1,INDEX(Grid!$B$6:$H$156,C484+1,B484+1),"")</f>
        <v>307.724712838</v>
      </c>
      <c r="F484" s="13" t="n">
        <f aca="false">Val_pt*(Ceiling_e-E_zero)*(1-(1-Half_gap)^B484)</f>
        <v>122.5</v>
      </c>
      <c r="G484" s="15" t="n">
        <f aca="false">C484</f>
        <v>25</v>
      </c>
      <c r="H484" s="15" t="n">
        <f aca="false">IF(D484=1,INDEX(Grid!$R$6:$X$156,C484+1,B484+1),"")</f>
        <v>56</v>
      </c>
      <c r="I484" s="2" t="str">
        <f aca="false">IF(D484=1,INDEX(Sch_label,H484+1),"")</f>
        <v>1–3</v>
      </c>
      <c r="J484" s="15" t="n">
        <f aca="false">IF(D484=1,INDEX(Grid!$Z$6:$AF$156,C484+1,B484+1),0)</f>
        <v>1</v>
      </c>
      <c r="K484" s="16" t="n">
        <f aca="false">IF(J484=1,E484,0)</f>
        <v>307.724712838</v>
      </c>
      <c r="L484" s="17" t="n">
        <f aca="false">IF(D484=1,E484+W_board*F484,"")</f>
        <v>999.205277153877</v>
      </c>
      <c r="M484" s="24" t="n">
        <v>1</v>
      </c>
      <c r="N484" s="25" t="n">
        <v>0.348973720143135</v>
      </c>
      <c r="O484" s="25" t="n">
        <v>0.519611355865304</v>
      </c>
      <c r="P484" s="25" t="n">
        <v>0.131414923991561</v>
      </c>
      <c r="Z484" s="12" t="n">
        <f aca="false">IF(AND($J484=1,$M484=1),N484*E484/Span_P+O484*F484/Span_S+P484*G484/Span_B,"")</f>
        <v>1.25711247070247</v>
      </c>
      <c r="AA484" s="12" t="n">
        <f aca="false">IF(AND($J484=1,$M484=1),SUMPRODUCT(MAX($J$6:$J$1062*(N484*$K$6:$K$1062/Span_P+O484*$F$6:$F$1062/Span_S+P484*$G$6:$G$1062/Span_B)-(1-$J$6:$J$1062)*1000000000)),"")</f>
        <v>1.25711247070247</v>
      </c>
      <c r="AB484" s="15" t="n">
        <f aca="false">IF(AND($J484=1,$M484=1),IF(AA484-Z484&lt;=0.000000001,1,0),"")</f>
        <v>1</v>
      </c>
      <c r="AC484" s="13" t="str">
        <f aca="false">IF(AND($J484=1,$M484=0),IF(S484="",0,S484*INDEX(Grid!$B$6:$H$156,R484+1,Q484+1))+IF(V484="",0,V484*INDEX(Grid!$B$6:$H$156,U484+1,T484+1))+IF(Y484="",0,Y484*INDEX(Grid!$B$6:$H$156,X484+1,W484+1)),"")</f>
        <v/>
      </c>
      <c r="AD484" s="13" t="str">
        <f aca="false">IF(AND($J484=1,$M484=0),IF(S484="",0,S484*Val_pt*(Ceiling_e-E_zero)*(1-(1-Half_gap)^Q484))+IF(V484="",0,V484*Val_pt*(Ceiling_e-E_zero)*(1-(1-Half_gap)^T484))+IF(Y484="",0,Y484*Val_pt*(Ceiling_e-E_zero)*(1-(1-Half_gap)^W484)),"")</f>
        <v/>
      </c>
      <c r="AE484" s="13" t="str">
        <f aca="false">IF(AND($J484=1,$M484=0),IF(S484="",0,S484*R484)+IF(V484="",0,V484*U484)+IF(Y484="",0,Y484*X484),"")</f>
        <v/>
      </c>
      <c r="AF484" s="12" t="str">
        <f aca="false">IF(AND($J484=1,$M484=0),MIN((AC484-E484)/Span_P,(AD484-F484)/Span_S,(AE484-G484)/Span_B),"")</f>
        <v/>
      </c>
      <c r="AG484" s="15" t="str">
        <f aca="false">IF(AND($J484=1,$M484=0),IF(AF484&gt;0.0000001,1,0),"")</f>
        <v/>
      </c>
      <c r="AH484" s="15" t="n">
        <f aca="false">IF($J484=1,IF($M484=1,AB484,AG484),"")</f>
        <v>1</v>
      </c>
      <c r="AI484" s="13" t="n">
        <f aca="false">IF($J484=1,(Ideal_P-E484)/Span_P,"")</f>
        <v>0.211116929857331</v>
      </c>
      <c r="AJ484" s="13" t="n">
        <f aca="false">IF($J484=1,(Ideal_S-F484)/Span_S,"")</f>
        <v>0.225806451612903</v>
      </c>
      <c r="AK484" s="13" t="n">
        <f aca="false">IF($J484=1,(Ideal_B-G484)/Span_B,"")</f>
        <v>0.833333333333333</v>
      </c>
      <c r="AL484" s="12" t="n">
        <f aca="false">IF($J484=1,MAX(ChA_1*AI484,ChA_2*AJ484,ChA_3*AK484)+Rho*(ChA_1*AI484+ChA_2*AJ484+ChA_3*AK484),"")</f>
        <v>0.833460359004814</v>
      </c>
      <c r="AM484" s="12" t="n">
        <f aca="false">IF($J484=1,MAX(ChB_1*AI484,ChB_2*AJ484,ChB_3*AK484)+Rho*(ChB_1*AI484+ChB_2*AJ484+ChB_3*AK484),"")</f>
        <v>0.833481470697799</v>
      </c>
      <c r="AN484" s="12" t="n">
        <f aca="false">IF($J484=1,MAX(Cx_1*(Ref_P-E484)/Span_P,Cx_2*(Ref_S-F484)/Span_S,Cx_3*(Ref_B-G484)/Span_B),"")</f>
        <v>2.12605042016807</v>
      </c>
    </row>
    <row r="485" customFormat="false" ht="15" hidden="false" customHeight="false" outlineLevel="0" collapsed="false">
      <c r="A485" s="2" t="n">
        <v>479</v>
      </c>
      <c r="B485" s="15" t="n">
        <f aca="false">INT(A485/151)</f>
        <v>3</v>
      </c>
      <c r="C485" s="15" t="n">
        <f aca="false">MOD(A485,151)</f>
        <v>26</v>
      </c>
      <c r="D485" s="15" t="n">
        <f aca="false">INDEX(Grid!$J$6:$P$156,C485+1,B485+1)</f>
        <v>1</v>
      </c>
      <c r="E485" s="16" t="n">
        <f aca="false">IF(D485=1,INDEX(Grid!$B$6:$H$156,C485+1,B485+1),"")</f>
        <v>306.815621928909</v>
      </c>
      <c r="F485" s="13" t="n">
        <f aca="false">Val_pt*(Ceiling_e-E_zero)*(1-(1-Half_gap)^B485)</f>
        <v>122.5</v>
      </c>
      <c r="G485" s="15" t="n">
        <f aca="false">C485</f>
        <v>26</v>
      </c>
      <c r="H485" s="15" t="n">
        <f aca="false">IF(D485=1,INDEX(Grid!$R$6:$X$156,C485+1,B485+1),"")</f>
        <v>56</v>
      </c>
      <c r="I485" s="2" t="str">
        <f aca="false">IF(D485=1,INDEX(Sch_label,H485+1),"")</f>
        <v>1–3</v>
      </c>
      <c r="J485" s="15" t="n">
        <f aca="false">IF(D485=1,INDEX(Grid!$Z$6:$AF$156,C485+1,B485+1),0)</f>
        <v>1</v>
      </c>
      <c r="K485" s="16" t="n">
        <f aca="false">IF(J485=1,E485,0)</f>
        <v>306.815621928909</v>
      </c>
      <c r="L485" s="17" t="n">
        <f aca="false">IF(D485=1,E485+W_board*F485,"")</f>
        <v>998.296186244786</v>
      </c>
      <c r="M485" s="24" t="n">
        <v>1</v>
      </c>
      <c r="N485" s="25" t="n">
        <v>0.34897372014314</v>
      </c>
      <c r="O485" s="25" t="n">
        <v>0.519611355865291</v>
      </c>
      <c r="P485" s="25" t="n">
        <v>0.131414923991569</v>
      </c>
      <c r="Z485" s="12" t="n">
        <f aca="false">IF(AND($J485=1,$M485=1),N485*E485/Span_P+O485*F485/Span_S+P485*G485/Span_B,"")</f>
        <v>1.25711247070245</v>
      </c>
      <c r="AA485" s="12" t="n">
        <f aca="false">IF(AND($J485=1,$M485=1),SUMPRODUCT(MAX($J$6:$J$1062*(N485*$K$6:$K$1062/Span_P+O485*$F$6:$F$1062/Span_S+P485*$G$6:$G$1062/Span_B)-(1-$J$6:$J$1062)*1000000000)),"")</f>
        <v>1.25711247070245</v>
      </c>
      <c r="AB485" s="15" t="n">
        <f aca="false">IF(AND($J485=1,$M485=1),IF(AA485-Z485&lt;=0.000000001,1,0),"")</f>
        <v>1</v>
      </c>
      <c r="AC485" s="13" t="str">
        <f aca="false">IF(AND($J485=1,$M485=0),IF(S485="",0,S485*INDEX(Grid!$B$6:$H$156,R485+1,Q485+1))+IF(V485="",0,V485*INDEX(Grid!$B$6:$H$156,U485+1,T485+1))+IF(Y485="",0,Y485*INDEX(Grid!$B$6:$H$156,X485+1,W485+1)),"")</f>
        <v/>
      </c>
      <c r="AD485" s="13" t="str">
        <f aca="false">IF(AND($J485=1,$M485=0),IF(S485="",0,S485*Val_pt*(Ceiling_e-E_zero)*(1-(1-Half_gap)^Q485))+IF(V485="",0,V485*Val_pt*(Ceiling_e-E_zero)*(1-(1-Half_gap)^T485))+IF(Y485="",0,Y485*Val_pt*(Ceiling_e-E_zero)*(1-(1-Half_gap)^W485)),"")</f>
        <v/>
      </c>
      <c r="AE485" s="13" t="str">
        <f aca="false">IF(AND($J485=1,$M485=0),IF(S485="",0,S485*R485)+IF(V485="",0,V485*U485)+IF(Y485="",0,Y485*X485),"")</f>
        <v/>
      </c>
      <c r="AF485" s="12" t="str">
        <f aca="false">IF(AND($J485=1,$M485=0),MIN((AC485-E485)/Span_P,(AD485-F485)/Span_S,(AE485-G485)/Span_B),"")</f>
        <v/>
      </c>
      <c r="AG485" s="15" t="str">
        <f aca="false">IF(AND($J485=1,$M485=0),IF(AF485&gt;0.0000001,1,0),"")</f>
        <v/>
      </c>
      <c r="AH485" s="15" t="n">
        <f aca="false">IF($J485=1,IF($M485=1,AB485,AG485),"")</f>
        <v>1</v>
      </c>
      <c r="AI485" s="13" t="n">
        <f aca="false">IF($J485=1,(Ideal_P-E485)/Span_P,"")</f>
        <v>0.213627432633637</v>
      </c>
      <c r="AJ485" s="13" t="n">
        <f aca="false">IF($J485=1,(Ideal_S-F485)/Span_S,"")</f>
        <v>0.225806451612903</v>
      </c>
      <c r="AK485" s="13" t="n">
        <f aca="false">IF($J485=1,(Ideal_B-G485)/Span_B,"")</f>
        <v>0.826666666666667</v>
      </c>
      <c r="AL485" s="12" t="n">
        <f aca="false">IF($J485=1,MAX(ChA_1*AI485,ChA_2*AJ485,ChA_3*AK485)+Rho*(ChA_1*AI485+ChA_2*AJ485+ChA_3*AK485),"")</f>
        <v>0.826793276721758</v>
      </c>
      <c r="AM485" s="12" t="n">
        <f aca="false">IF($J485=1,MAX(ChB_1*AI485,ChB_2*AJ485,ChB_3*AK485)+Rho*(ChB_1*AI485+ChB_2*AJ485+ChB_3*AK485),"")</f>
        <v>0.826814639465021</v>
      </c>
      <c r="AN485" s="12" t="n">
        <f aca="false">IF($J485=1,MAX(Cx_1*(Ref_P-E485)/Span_P,Cx_2*(Ref_S-F485)/Span_S,Cx_3*(Ref_B-G485)/Span_B),"")</f>
        <v>2.10924369747899</v>
      </c>
    </row>
    <row r="486" customFormat="false" ht="15" hidden="false" customHeight="false" outlineLevel="0" collapsed="false">
      <c r="A486" s="2" t="n">
        <v>480</v>
      </c>
      <c r="B486" s="15" t="n">
        <f aca="false">INT(A486/151)</f>
        <v>3</v>
      </c>
      <c r="C486" s="15" t="n">
        <f aca="false">MOD(A486,151)</f>
        <v>27</v>
      </c>
      <c r="D486" s="15" t="n">
        <f aca="false">INDEX(Grid!$J$6:$P$156,C486+1,B486+1)</f>
        <v>1</v>
      </c>
      <c r="E486" s="16" t="n">
        <f aca="false">IF(D486=1,INDEX(Grid!$B$6:$H$156,C486+1,B486+1),"")</f>
        <v>305.906531019818</v>
      </c>
      <c r="F486" s="13" t="n">
        <f aca="false">Val_pt*(Ceiling_e-E_zero)*(1-(1-Half_gap)^B486)</f>
        <v>122.5</v>
      </c>
      <c r="G486" s="15" t="n">
        <f aca="false">C486</f>
        <v>27</v>
      </c>
      <c r="H486" s="15" t="n">
        <f aca="false">IF(D486=1,INDEX(Grid!$R$6:$X$156,C486+1,B486+1),"")</f>
        <v>56</v>
      </c>
      <c r="I486" s="2" t="str">
        <f aca="false">IF(D486=1,INDEX(Sch_label,H486+1),"")</f>
        <v>1–3</v>
      </c>
      <c r="J486" s="15" t="n">
        <f aca="false">IF(D486=1,INDEX(Grid!$Z$6:$AF$156,C486+1,B486+1),0)</f>
        <v>1</v>
      </c>
      <c r="K486" s="16" t="n">
        <f aca="false">IF(J486=1,E486,0)</f>
        <v>305.906531019818</v>
      </c>
      <c r="L486" s="17" t="n">
        <f aca="false">IF(D486=1,E486+W_board*F486,"")</f>
        <v>997.387095335695</v>
      </c>
      <c r="M486" s="24" t="n">
        <v>1</v>
      </c>
      <c r="N486" s="25" t="n">
        <v>0.348973720143139</v>
      </c>
      <c r="O486" s="25" t="n">
        <v>0.519611355865293</v>
      </c>
      <c r="P486" s="25" t="n">
        <v>0.131414923991568</v>
      </c>
      <c r="Z486" s="12" t="n">
        <f aca="false">IF(AND($J486=1,$M486=1),N486*E486/Span_P+O486*F486/Span_S+P486*G486/Span_B,"")</f>
        <v>1.25711247070245</v>
      </c>
      <c r="AA486" s="12" t="n">
        <f aca="false">IF(AND($J486=1,$M486=1),SUMPRODUCT(MAX($J$6:$J$1062*(N486*$K$6:$K$1062/Span_P+O486*$F$6:$F$1062/Span_S+P486*$G$6:$G$1062/Span_B)-(1-$J$6:$J$1062)*1000000000)),"")</f>
        <v>1.25711247070245</v>
      </c>
      <c r="AB486" s="15" t="n">
        <f aca="false">IF(AND($J486=1,$M486=1),IF(AA486-Z486&lt;=0.000000001,1,0),"")</f>
        <v>1</v>
      </c>
      <c r="AC486" s="13" t="str">
        <f aca="false">IF(AND($J486=1,$M486=0),IF(S486="",0,S486*INDEX(Grid!$B$6:$H$156,R486+1,Q486+1))+IF(V486="",0,V486*INDEX(Grid!$B$6:$H$156,U486+1,T486+1))+IF(Y486="",0,Y486*INDEX(Grid!$B$6:$H$156,X486+1,W486+1)),"")</f>
        <v/>
      </c>
      <c r="AD486" s="13" t="str">
        <f aca="false">IF(AND($J486=1,$M486=0),IF(S486="",0,S486*Val_pt*(Ceiling_e-E_zero)*(1-(1-Half_gap)^Q486))+IF(V486="",0,V486*Val_pt*(Ceiling_e-E_zero)*(1-(1-Half_gap)^T486))+IF(Y486="",0,Y486*Val_pt*(Ceiling_e-E_zero)*(1-(1-Half_gap)^W486)),"")</f>
        <v/>
      </c>
      <c r="AE486" s="13" t="str">
        <f aca="false">IF(AND($J486=1,$M486=0),IF(S486="",0,S486*R486)+IF(V486="",0,V486*U486)+IF(Y486="",0,Y486*X486),"")</f>
        <v/>
      </c>
      <c r="AF486" s="12" t="str">
        <f aca="false">IF(AND($J486=1,$M486=0),MIN((AC486-E486)/Span_P,(AD486-F486)/Span_S,(AE486-G486)/Span_B),"")</f>
        <v/>
      </c>
      <c r="AG486" s="15" t="str">
        <f aca="false">IF(AND($J486=1,$M486=0),IF(AF486&gt;0.0000001,1,0),"")</f>
        <v/>
      </c>
      <c r="AH486" s="15" t="n">
        <f aca="false">IF($J486=1,IF($M486=1,AB486,AG486),"")</f>
        <v>1</v>
      </c>
      <c r="AI486" s="13" t="n">
        <f aca="false">IF($J486=1,(Ideal_P-E486)/Span_P,"")</f>
        <v>0.216137935409942</v>
      </c>
      <c r="AJ486" s="13" t="n">
        <f aca="false">IF($J486=1,(Ideal_S-F486)/Span_S,"")</f>
        <v>0.225806451612903</v>
      </c>
      <c r="AK486" s="13" t="n">
        <f aca="false">IF($J486=1,(Ideal_B-G486)/Span_B,"")</f>
        <v>0.82</v>
      </c>
      <c r="AL486" s="12" t="n">
        <f aca="false">IF($J486=1,MAX(ChA_1*AI486,ChA_2*AJ486,ChA_3*AK486)+Rho*(ChA_1*AI486+ChA_2*AJ486+ChA_3*AK486),"")</f>
        <v>0.820126194438702</v>
      </c>
      <c r="AM486" s="12" t="n">
        <f aca="false">IF($J486=1,MAX(ChB_1*AI486,ChB_2*AJ486,ChB_3*AK486)+Rho*(ChB_1*AI486+ChB_2*AJ486+ChB_3*AK486),"")</f>
        <v>0.820147808232243</v>
      </c>
      <c r="AN486" s="12" t="n">
        <f aca="false">IF($J486=1,MAX(Cx_1*(Ref_P-E486)/Span_P,Cx_2*(Ref_S-F486)/Span_S,Cx_3*(Ref_B-G486)/Span_B),"")</f>
        <v>2.09243697478992</v>
      </c>
    </row>
    <row r="487" customFormat="false" ht="15" hidden="false" customHeight="false" outlineLevel="0" collapsed="false">
      <c r="A487" s="2" t="n">
        <v>481</v>
      </c>
      <c r="B487" s="15" t="n">
        <f aca="false">INT(A487/151)</f>
        <v>3</v>
      </c>
      <c r="C487" s="15" t="n">
        <f aca="false">MOD(A487,151)</f>
        <v>28</v>
      </c>
      <c r="D487" s="15" t="n">
        <f aca="false">INDEX(Grid!$J$6:$P$156,C487+1,B487+1)</f>
        <v>1</v>
      </c>
      <c r="E487" s="16" t="n">
        <f aca="false">IF(D487=1,INDEX(Grid!$B$6:$H$156,C487+1,B487+1),"")</f>
        <v>304.997440110727</v>
      </c>
      <c r="F487" s="13" t="n">
        <f aca="false">Val_pt*(Ceiling_e-E_zero)*(1-(1-Half_gap)^B487)</f>
        <v>122.5</v>
      </c>
      <c r="G487" s="15" t="n">
        <f aca="false">C487</f>
        <v>28</v>
      </c>
      <c r="H487" s="15" t="n">
        <f aca="false">IF(D487=1,INDEX(Grid!$R$6:$X$156,C487+1,B487+1),"")</f>
        <v>56</v>
      </c>
      <c r="I487" s="2" t="str">
        <f aca="false">IF(D487=1,INDEX(Sch_label,H487+1),"")</f>
        <v>1–3</v>
      </c>
      <c r="J487" s="15" t="n">
        <f aca="false">IF(D487=1,INDEX(Grid!$Z$6:$AF$156,C487+1,B487+1),0)</f>
        <v>1</v>
      </c>
      <c r="K487" s="16" t="n">
        <f aca="false">IF(J487=1,E487,0)</f>
        <v>304.997440110727</v>
      </c>
      <c r="L487" s="17" t="n">
        <f aca="false">IF(D487=1,E487+W_board*F487,"")</f>
        <v>996.478004426604</v>
      </c>
      <c r="M487" s="24" t="n">
        <v>1</v>
      </c>
      <c r="N487" s="25" t="n">
        <v>0.348973720143136</v>
      </c>
      <c r="O487" s="25" t="n">
        <v>0.519611355865303</v>
      </c>
      <c r="P487" s="25" t="n">
        <v>0.131414923991562</v>
      </c>
      <c r="Z487" s="12" t="n">
        <f aca="false">IF(AND($J487=1,$M487=1),N487*E487/Span_P+O487*F487/Span_S+P487*G487/Span_B,"")</f>
        <v>1.25711247070247</v>
      </c>
      <c r="AA487" s="12" t="n">
        <f aca="false">IF(AND($J487=1,$M487=1),SUMPRODUCT(MAX($J$6:$J$1062*(N487*$K$6:$K$1062/Span_P+O487*$F$6:$F$1062/Span_S+P487*$G$6:$G$1062/Span_B)-(1-$J$6:$J$1062)*1000000000)),"")</f>
        <v>1.25711247070247</v>
      </c>
      <c r="AB487" s="15" t="n">
        <f aca="false">IF(AND($J487=1,$M487=1),IF(AA487-Z487&lt;=0.000000001,1,0),"")</f>
        <v>1</v>
      </c>
      <c r="AC487" s="13" t="str">
        <f aca="false">IF(AND($J487=1,$M487=0),IF(S487="",0,S487*INDEX(Grid!$B$6:$H$156,R487+1,Q487+1))+IF(V487="",0,V487*INDEX(Grid!$B$6:$H$156,U487+1,T487+1))+IF(Y487="",0,Y487*INDEX(Grid!$B$6:$H$156,X487+1,W487+1)),"")</f>
        <v/>
      </c>
      <c r="AD487" s="13" t="str">
        <f aca="false">IF(AND($J487=1,$M487=0),IF(S487="",0,S487*Val_pt*(Ceiling_e-E_zero)*(1-(1-Half_gap)^Q487))+IF(V487="",0,V487*Val_pt*(Ceiling_e-E_zero)*(1-(1-Half_gap)^T487))+IF(Y487="",0,Y487*Val_pt*(Ceiling_e-E_zero)*(1-(1-Half_gap)^W487)),"")</f>
        <v/>
      </c>
      <c r="AE487" s="13" t="str">
        <f aca="false">IF(AND($J487=1,$M487=0),IF(S487="",0,S487*R487)+IF(V487="",0,V487*U487)+IF(Y487="",0,Y487*X487),"")</f>
        <v/>
      </c>
      <c r="AF487" s="12" t="str">
        <f aca="false">IF(AND($J487=1,$M487=0),MIN((AC487-E487)/Span_P,(AD487-F487)/Span_S,(AE487-G487)/Span_B),"")</f>
        <v/>
      </c>
      <c r="AG487" s="15" t="str">
        <f aca="false">IF(AND($J487=1,$M487=0),IF(AF487&gt;0.0000001,1,0),"")</f>
        <v/>
      </c>
      <c r="AH487" s="15" t="n">
        <f aca="false">IF($J487=1,IF($M487=1,AB487,AG487),"")</f>
        <v>1</v>
      </c>
      <c r="AI487" s="13" t="n">
        <f aca="false">IF($J487=1,(Ideal_P-E487)/Span_P,"")</f>
        <v>0.218648438186248</v>
      </c>
      <c r="AJ487" s="13" t="n">
        <f aca="false">IF($J487=1,(Ideal_S-F487)/Span_S,"")</f>
        <v>0.225806451612903</v>
      </c>
      <c r="AK487" s="13" t="n">
        <f aca="false">IF($J487=1,(Ideal_B-G487)/Span_B,"")</f>
        <v>0.813333333333333</v>
      </c>
      <c r="AL487" s="12" t="n">
        <f aca="false">IF($J487=1,MAX(ChA_1*AI487,ChA_2*AJ487,ChA_3*AK487)+Rho*(ChA_1*AI487+ChA_2*AJ487+ChA_3*AK487),"")</f>
        <v>0.813459112155647</v>
      </c>
      <c r="AM487" s="12" t="n">
        <f aca="false">IF($J487=1,MAX(ChB_1*AI487,ChB_2*AJ487,ChB_3*AK487)+Rho*(ChB_1*AI487+ChB_2*AJ487+ChB_3*AK487),"")</f>
        <v>0.813480976999465</v>
      </c>
      <c r="AN487" s="12" t="n">
        <f aca="false">IF($J487=1,MAX(Cx_1*(Ref_P-E487)/Span_P,Cx_2*(Ref_S-F487)/Span_S,Cx_3*(Ref_B-G487)/Span_B),"")</f>
        <v>2.07563025210084</v>
      </c>
    </row>
    <row r="488" customFormat="false" ht="15" hidden="false" customHeight="false" outlineLevel="0" collapsed="false">
      <c r="A488" s="2" t="n">
        <v>482</v>
      </c>
      <c r="B488" s="15" t="n">
        <f aca="false">INT(A488/151)</f>
        <v>3</v>
      </c>
      <c r="C488" s="15" t="n">
        <f aca="false">MOD(A488,151)</f>
        <v>29</v>
      </c>
      <c r="D488" s="15" t="n">
        <f aca="false">INDEX(Grid!$J$6:$P$156,C488+1,B488+1)</f>
        <v>1</v>
      </c>
      <c r="E488" s="16" t="n">
        <f aca="false">IF(D488=1,INDEX(Grid!$B$6:$H$156,C488+1,B488+1),"")</f>
        <v>304.088349201636</v>
      </c>
      <c r="F488" s="13" t="n">
        <f aca="false">Val_pt*(Ceiling_e-E_zero)*(1-(1-Half_gap)^B488)</f>
        <v>122.5</v>
      </c>
      <c r="G488" s="15" t="n">
        <f aca="false">C488</f>
        <v>29</v>
      </c>
      <c r="H488" s="15" t="n">
        <f aca="false">IF(D488=1,INDEX(Grid!$R$6:$X$156,C488+1,B488+1),"")</f>
        <v>56</v>
      </c>
      <c r="I488" s="2" t="str">
        <f aca="false">IF(D488=1,INDEX(Sch_label,H488+1),"")</f>
        <v>1–3</v>
      </c>
      <c r="J488" s="15" t="n">
        <f aca="false">IF(D488=1,INDEX(Grid!$Z$6:$AF$156,C488+1,B488+1),0)</f>
        <v>1</v>
      </c>
      <c r="K488" s="16" t="n">
        <f aca="false">IF(J488=1,E488,0)</f>
        <v>304.088349201636</v>
      </c>
      <c r="L488" s="17" t="n">
        <f aca="false">IF(D488=1,E488+W_board*F488,"")</f>
        <v>995.568913517514</v>
      </c>
      <c r="M488" s="24" t="n">
        <v>1</v>
      </c>
      <c r="N488" s="25" t="n">
        <v>0.348973720143139</v>
      </c>
      <c r="O488" s="25" t="n">
        <v>0.519611355865293</v>
      </c>
      <c r="P488" s="25" t="n">
        <v>0.131414923991568</v>
      </c>
      <c r="Z488" s="12" t="n">
        <f aca="false">IF(AND($J488=1,$M488=1),N488*E488/Span_P+O488*F488/Span_S+P488*G488/Span_B,"")</f>
        <v>1.25711247070245</v>
      </c>
      <c r="AA488" s="12" t="n">
        <f aca="false">IF(AND($J488=1,$M488=1),SUMPRODUCT(MAX($J$6:$J$1062*(N488*$K$6:$K$1062/Span_P+O488*$F$6:$F$1062/Span_S+P488*$G$6:$G$1062/Span_B)-(1-$J$6:$J$1062)*1000000000)),"")</f>
        <v>1.25711247070245</v>
      </c>
      <c r="AB488" s="15" t="n">
        <f aca="false">IF(AND($J488=1,$M488=1),IF(AA488-Z488&lt;=0.000000001,1,0),"")</f>
        <v>1</v>
      </c>
      <c r="AC488" s="13" t="str">
        <f aca="false">IF(AND($J488=1,$M488=0),IF(S488="",0,S488*INDEX(Grid!$B$6:$H$156,R488+1,Q488+1))+IF(V488="",0,V488*INDEX(Grid!$B$6:$H$156,U488+1,T488+1))+IF(Y488="",0,Y488*INDEX(Grid!$B$6:$H$156,X488+1,W488+1)),"")</f>
        <v/>
      </c>
      <c r="AD488" s="13" t="str">
        <f aca="false">IF(AND($J488=1,$M488=0),IF(S488="",0,S488*Val_pt*(Ceiling_e-E_zero)*(1-(1-Half_gap)^Q488))+IF(V488="",0,V488*Val_pt*(Ceiling_e-E_zero)*(1-(1-Half_gap)^T488))+IF(Y488="",0,Y488*Val_pt*(Ceiling_e-E_zero)*(1-(1-Half_gap)^W488)),"")</f>
        <v/>
      </c>
      <c r="AE488" s="13" t="str">
        <f aca="false">IF(AND($J488=1,$M488=0),IF(S488="",0,S488*R488)+IF(V488="",0,V488*U488)+IF(Y488="",0,Y488*X488),"")</f>
        <v/>
      </c>
      <c r="AF488" s="12" t="str">
        <f aca="false">IF(AND($J488=1,$M488=0),MIN((AC488-E488)/Span_P,(AD488-F488)/Span_S,(AE488-G488)/Span_B),"")</f>
        <v/>
      </c>
      <c r="AG488" s="15" t="str">
        <f aca="false">IF(AND($J488=1,$M488=0),IF(AF488&gt;0.0000001,1,0),"")</f>
        <v/>
      </c>
      <c r="AH488" s="15" t="n">
        <f aca="false">IF($J488=1,IF($M488=1,AB488,AG488),"")</f>
        <v>1</v>
      </c>
      <c r="AI488" s="13" t="n">
        <f aca="false">IF($J488=1,(Ideal_P-E488)/Span_P,"")</f>
        <v>0.221158940962554</v>
      </c>
      <c r="AJ488" s="13" t="n">
        <f aca="false">IF($J488=1,(Ideal_S-F488)/Span_S,"")</f>
        <v>0.225806451612903</v>
      </c>
      <c r="AK488" s="13" t="n">
        <f aca="false">IF($J488=1,(Ideal_B-G488)/Span_B,"")</f>
        <v>0.806666666666667</v>
      </c>
      <c r="AL488" s="12" t="n">
        <f aca="false">IF($J488=1,MAX(ChA_1*AI488,ChA_2*AJ488,ChA_3*AK488)+Rho*(ChA_1*AI488+ChA_2*AJ488+ChA_3*AK488),"")</f>
        <v>0.806792029872591</v>
      </c>
      <c r="AM488" s="12" t="n">
        <f aca="false">IF($J488=1,MAX(ChB_1*AI488,ChB_2*AJ488,ChB_3*AK488)+Rho*(ChB_1*AI488+ChB_2*AJ488+ChB_3*AK488),"")</f>
        <v>0.806814145766687</v>
      </c>
      <c r="AN488" s="12" t="n">
        <f aca="false">IF($J488=1,MAX(Cx_1*(Ref_P-E488)/Span_P,Cx_2*(Ref_S-F488)/Span_S,Cx_3*(Ref_B-G488)/Span_B),"")</f>
        <v>2.05882352941176</v>
      </c>
    </row>
    <row r="489" customFormat="false" ht="15" hidden="false" customHeight="false" outlineLevel="0" collapsed="false">
      <c r="A489" s="2" t="n">
        <v>483</v>
      </c>
      <c r="B489" s="15" t="n">
        <f aca="false">INT(A489/151)</f>
        <v>3</v>
      </c>
      <c r="C489" s="15" t="n">
        <f aca="false">MOD(A489,151)</f>
        <v>30</v>
      </c>
      <c r="D489" s="15" t="n">
        <f aca="false">INDEX(Grid!$J$6:$P$156,C489+1,B489+1)</f>
        <v>1</v>
      </c>
      <c r="E489" s="16" t="n">
        <f aca="false">IF(D489=1,INDEX(Grid!$B$6:$H$156,C489+1,B489+1),"")</f>
        <v>303.179258292545</v>
      </c>
      <c r="F489" s="13" t="n">
        <f aca="false">Val_pt*(Ceiling_e-E_zero)*(1-(1-Half_gap)^B489)</f>
        <v>122.5</v>
      </c>
      <c r="G489" s="15" t="n">
        <f aca="false">C489</f>
        <v>30</v>
      </c>
      <c r="H489" s="15" t="n">
        <f aca="false">IF(D489=1,INDEX(Grid!$R$6:$X$156,C489+1,B489+1),"")</f>
        <v>56</v>
      </c>
      <c r="I489" s="2" t="str">
        <f aca="false">IF(D489=1,INDEX(Sch_label,H489+1),"")</f>
        <v>1–3</v>
      </c>
      <c r="J489" s="15" t="n">
        <f aca="false">IF(D489=1,INDEX(Grid!$Z$6:$AF$156,C489+1,B489+1),0)</f>
        <v>1</v>
      </c>
      <c r="K489" s="16" t="n">
        <f aca="false">IF(J489=1,E489,0)</f>
        <v>303.179258292545</v>
      </c>
      <c r="L489" s="17" t="n">
        <f aca="false">IF(D489=1,E489+W_board*F489,"")</f>
        <v>994.659822608423</v>
      </c>
      <c r="M489" s="24" t="n">
        <v>1</v>
      </c>
      <c r="N489" s="25" t="n">
        <v>0.348973720143136</v>
      </c>
      <c r="O489" s="25" t="n">
        <v>0.519611355865303</v>
      </c>
      <c r="P489" s="25" t="n">
        <v>0.131414923991562</v>
      </c>
      <c r="Z489" s="12" t="n">
        <f aca="false">IF(AND($J489=1,$M489=1),N489*E489/Span_P+O489*F489/Span_S+P489*G489/Span_B,"")</f>
        <v>1.25711247070247</v>
      </c>
      <c r="AA489" s="12" t="n">
        <f aca="false">IF(AND($J489=1,$M489=1),SUMPRODUCT(MAX($J$6:$J$1062*(N489*$K$6:$K$1062/Span_P+O489*$F$6:$F$1062/Span_S+P489*$G$6:$G$1062/Span_B)-(1-$J$6:$J$1062)*1000000000)),"")</f>
        <v>1.25711247070247</v>
      </c>
      <c r="AB489" s="15" t="n">
        <f aca="false">IF(AND($J489=1,$M489=1),IF(AA489-Z489&lt;=0.000000001,1,0),"")</f>
        <v>1</v>
      </c>
      <c r="AC489" s="13" t="str">
        <f aca="false">IF(AND($J489=1,$M489=0),IF(S489="",0,S489*INDEX(Grid!$B$6:$H$156,R489+1,Q489+1))+IF(V489="",0,V489*INDEX(Grid!$B$6:$H$156,U489+1,T489+1))+IF(Y489="",0,Y489*INDEX(Grid!$B$6:$H$156,X489+1,W489+1)),"")</f>
        <v/>
      </c>
      <c r="AD489" s="13" t="str">
        <f aca="false">IF(AND($J489=1,$M489=0),IF(S489="",0,S489*Val_pt*(Ceiling_e-E_zero)*(1-(1-Half_gap)^Q489))+IF(V489="",0,V489*Val_pt*(Ceiling_e-E_zero)*(1-(1-Half_gap)^T489))+IF(Y489="",0,Y489*Val_pt*(Ceiling_e-E_zero)*(1-(1-Half_gap)^W489)),"")</f>
        <v/>
      </c>
      <c r="AE489" s="13" t="str">
        <f aca="false">IF(AND($J489=1,$M489=0),IF(S489="",0,S489*R489)+IF(V489="",0,V489*U489)+IF(Y489="",0,Y489*X489),"")</f>
        <v/>
      </c>
      <c r="AF489" s="12" t="str">
        <f aca="false">IF(AND($J489=1,$M489=0),MIN((AC489-E489)/Span_P,(AD489-F489)/Span_S,(AE489-G489)/Span_B),"")</f>
        <v/>
      </c>
      <c r="AG489" s="15" t="str">
        <f aca="false">IF(AND($J489=1,$M489=0),IF(AF489&gt;0.0000001,1,0),"")</f>
        <v/>
      </c>
      <c r="AH489" s="15" t="n">
        <f aca="false">IF($J489=1,IF($M489=1,AB489,AG489),"")</f>
        <v>1</v>
      </c>
      <c r="AI489" s="13" t="n">
        <f aca="false">IF($J489=1,(Ideal_P-E489)/Span_P,"")</f>
        <v>0.22366944373886</v>
      </c>
      <c r="AJ489" s="13" t="n">
        <f aca="false">IF($J489=1,(Ideal_S-F489)/Span_S,"")</f>
        <v>0.225806451612903</v>
      </c>
      <c r="AK489" s="13" t="n">
        <f aca="false">IF($J489=1,(Ideal_B-G489)/Span_B,"")</f>
        <v>0.8</v>
      </c>
      <c r="AL489" s="12" t="n">
        <f aca="false">IF($J489=1,MAX(ChA_1*AI489,ChA_2*AJ489,ChA_3*AK489)+Rho*(ChA_1*AI489+ChA_2*AJ489+ChA_3*AK489),"")</f>
        <v>0.800124947589535</v>
      </c>
      <c r="AM489" s="12" t="n">
        <f aca="false">IF($J489=1,MAX(ChB_1*AI489,ChB_2*AJ489,ChB_3*AK489)+Rho*(ChB_1*AI489+ChB_2*AJ489+ChB_3*AK489),"")</f>
        <v>0.800147314533909</v>
      </c>
      <c r="AN489" s="12" t="n">
        <f aca="false">IF($J489=1,MAX(Cx_1*(Ref_P-E489)/Span_P,Cx_2*(Ref_S-F489)/Span_S,Cx_3*(Ref_B-G489)/Span_B),"")</f>
        <v>2.04201680672269</v>
      </c>
    </row>
    <row r="490" customFormat="false" ht="15" hidden="false" customHeight="false" outlineLevel="0" collapsed="false">
      <c r="A490" s="2" t="n">
        <v>484</v>
      </c>
      <c r="B490" s="15" t="n">
        <f aca="false">INT(A490/151)</f>
        <v>3</v>
      </c>
      <c r="C490" s="15" t="n">
        <f aca="false">MOD(A490,151)</f>
        <v>31</v>
      </c>
      <c r="D490" s="15" t="n">
        <f aca="false">INDEX(Grid!$J$6:$P$156,C490+1,B490+1)</f>
        <v>1</v>
      </c>
      <c r="E490" s="16" t="n">
        <f aca="false">IF(D490=1,INDEX(Grid!$B$6:$H$156,C490+1,B490+1),"")</f>
        <v>302.270167383454</v>
      </c>
      <c r="F490" s="13" t="n">
        <f aca="false">Val_pt*(Ceiling_e-E_zero)*(1-(1-Half_gap)^B490)</f>
        <v>122.5</v>
      </c>
      <c r="G490" s="15" t="n">
        <f aca="false">C490</f>
        <v>31</v>
      </c>
      <c r="H490" s="15" t="n">
        <f aca="false">IF(D490=1,INDEX(Grid!$R$6:$X$156,C490+1,B490+1),"")</f>
        <v>56</v>
      </c>
      <c r="I490" s="2" t="str">
        <f aca="false">IF(D490=1,INDEX(Sch_label,H490+1),"")</f>
        <v>1–3</v>
      </c>
      <c r="J490" s="15" t="n">
        <f aca="false">IF(D490=1,INDEX(Grid!$Z$6:$AF$156,C490+1,B490+1),0)</f>
        <v>1</v>
      </c>
      <c r="K490" s="16" t="n">
        <f aca="false">IF(J490=1,E490,0)</f>
        <v>302.270167383454</v>
      </c>
      <c r="L490" s="17" t="n">
        <f aca="false">IF(D490=1,E490+W_board*F490,"")</f>
        <v>993.750731699332</v>
      </c>
      <c r="M490" s="24" t="n">
        <v>1</v>
      </c>
      <c r="N490" s="25" t="n">
        <v>0.348973720143139</v>
      </c>
      <c r="O490" s="25" t="n">
        <v>0.519611355865293</v>
      </c>
      <c r="P490" s="25" t="n">
        <v>0.131414923991568</v>
      </c>
      <c r="Z490" s="12" t="n">
        <f aca="false">IF(AND($J490=1,$M490=1),N490*E490/Span_P+O490*F490/Span_S+P490*G490/Span_B,"")</f>
        <v>1.25711247070245</v>
      </c>
      <c r="AA490" s="12" t="n">
        <f aca="false">IF(AND($J490=1,$M490=1),SUMPRODUCT(MAX($J$6:$J$1062*(N490*$K$6:$K$1062/Span_P+O490*$F$6:$F$1062/Span_S+P490*$G$6:$G$1062/Span_B)-(1-$J$6:$J$1062)*1000000000)),"")</f>
        <v>1.25711247070245</v>
      </c>
      <c r="AB490" s="15" t="n">
        <f aca="false">IF(AND($J490=1,$M490=1),IF(AA490-Z490&lt;=0.000000001,1,0),"")</f>
        <v>1</v>
      </c>
      <c r="AC490" s="13" t="str">
        <f aca="false">IF(AND($J490=1,$M490=0),IF(S490="",0,S490*INDEX(Grid!$B$6:$H$156,R490+1,Q490+1))+IF(V490="",0,V490*INDEX(Grid!$B$6:$H$156,U490+1,T490+1))+IF(Y490="",0,Y490*INDEX(Grid!$B$6:$H$156,X490+1,W490+1)),"")</f>
        <v/>
      </c>
      <c r="AD490" s="13" t="str">
        <f aca="false">IF(AND($J490=1,$M490=0),IF(S490="",0,S490*Val_pt*(Ceiling_e-E_zero)*(1-(1-Half_gap)^Q490))+IF(V490="",0,V490*Val_pt*(Ceiling_e-E_zero)*(1-(1-Half_gap)^T490))+IF(Y490="",0,Y490*Val_pt*(Ceiling_e-E_zero)*(1-(1-Half_gap)^W490)),"")</f>
        <v/>
      </c>
      <c r="AE490" s="13" t="str">
        <f aca="false">IF(AND($J490=1,$M490=0),IF(S490="",0,S490*R490)+IF(V490="",0,V490*U490)+IF(Y490="",0,Y490*X490),"")</f>
        <v/>
      </c>
      <c r="AF490" s="12" t="str">
        <f aca="false">IF(AND($J490=1,$M490=0),MIN((AC490-E490)/Span_P,(AD490-F490)/Span_S,(AE490-G490)/Span_B),"")</f>
        <v/>
      </c>
      <c r="AG490" s="15" t="str">
        <f aca="false">IF(AND($J490=1,$M490=0),IF(AF490&gt;0.0000001,1,0),"")</f>
        <v/>
      </c>
      <c r="AH490" s="15" t="n">
        <f aca="false">IF($J490=1,IF($M490=1,AB490,AG490),"")</f>
        <v>1</v>
      </c>
      <c r="AI490" s="13" t="n">
        <f aca="false">IF($J490=1,(Ideal_P-E490)/Span_P,"")</f>
        <v>0.226179946515166</v>
      </c>
      <c r="AJ490" s="13" t="n">
        <f aca="false">IF($J490=1,(Ideal_S-F490)/Span_S,"")</f>
        <v>0.225806451612903</v>
      </c>
      <c r="AK490" s="13" t="n">
        <f aca="false">IF($J490=1,(Ideal_B-G490)/Span_B,"")</f>
        <v>0.793333333333333</v>
      </c>
      <c r="AL490" s="12" t="n">
        <f aca="false">IF($J490=1,MAX(ChA_1*AI490,ChA_2*AJ490,ChA_3*AK490)+Rho*(ChA_1*AI490+ChA_2*AJ490+ChA_3*AK490),"")</f>
        <v>0.793457865306479</v>
      </c>
      <c r="AM490" s="12" t="n">
        <f aca="false">IF($J490=1,MAX(ChB_1*AI490,ChB_2*AJ490,ChB_3*AK490)+Rho*(ChB_1*AI490+ChB_2*AJ490+ChB_3*AK490),"")</f>
        <v>0.793480483301131</v>
      </c>
      <c r="AN490" s="12" t="n">
        <f aca="false">IF($J490=1,MAX(Cx_1*(Ref_P-E490)/Span_P,Cx_2*(Ref_S-F490)/Span_S,Cx_3*(Ref_B-G490)/Span_B),"")</f>
        <v>2.02521008403361</v>
      </c>
    </row>
    <row r="491" customFormat="false" ht="15" hidden="false" customHeight="false" outlineLevel="0" collapsed="false">
      <c r="A491" s="2" t="n">
        <v>485</v>
      </c>
      <c r="B491" s="15" t="n">
        <f aca="false">INT(A491/151)</f>
        <v>3</v>
      </c>
      <c r="C491" s="15" t="n">
        <f aca="false">MOD(A491,151)</f>
        <v>32</v>
      </c>
      <c r="D491" s="15" t="n">
        <f aca="false">INDEX(Grid!$J$6:$P$156,C491+1,B491+1)</f>
        <v>1</v>
      </c>
      <c r="E491" s="16" t="n">
        <f aca="false">IF(D491=1,INDEX(Grid!$B$6:$H$156,C491+1,B491+1),"")</f>
        <v>301.361076474364</v>
      </c>
      <c r="F491" s="13" t="n">
        <f aca="false">Val_pt*(Ceiling_e-E_zero)*(1-(1-Half_gap)^B491)</f>
        <v>122.5</v>
      </c>
      <c r="G491" s="15" t="n">
        <f aca="false">C491</f>
        <v>32</v>
      </c>
      <c r="H491" s="15" t="n">
        <f aca="false">IF(D491=1,INDEX(Grid!$R$6:$X$156,C491+1,B491+1),"")</f>
        <v>56</v>
      </c>
      <c r="I491" s="2" t="str">
        <f aca="false">IF(D491=1,INDEX(Sch_label,H491+1),"")</f>
        <v>1–3</v>
      </c>
      <c r="J491" s="15" t="n">
        <f aca="false">IF(D491=1,INDEX(Grid!$Z$6:$AF$156,C491+1,B491+1),0)</f>
        <v>1</v>
      </c>
      <c r="K491" s="16" t="n">
        <f aca="false">IF(J491=1,E491,0)</f>
        <v>301.361076474364</v>
      </c>
      <c r="L491" s="17" t="n">
        <f aca="false">IF(D491=1,E491+W_board*F491,"")</f>
        <v>992.841640790241</v>
      </c>
      <c r="M491" s="24" t="n">
        <v>1</v>
      </c>
      <c r="N491" s="25" t="n">
        <v>0.348973720143136</v>
      </c>
      <c r="O491" s="25" t="n">
        <v>0.519611355865302</v>
      </c>
      <c r="P491" s="25" t="n">
        <v>0.131414923991562</v>
      </c>
      <c r="Z491" s="12" t="n">
        <f aca="false">IF(AND($J491=1,$M491=1),N491*E491/Span_P+O491*F491/Span_S+P491*G491/Span_B,"")</f>
        <v>1.25711247070247</v>
      </c>
      <c r="AA491" s="12" t="n">
        <f aca="false">IF(AND($J491=1,$M491=1),SUMPRODUCT(MAX($J$6:$J$1062*(N491*$K$6:$K$1062/Span_P+O491*$F$6:$F$1062/Span_S+P491*$G$6:$G$1062/Span_B)-(1-$J$6:$J$1062)*1000000000)),"")</f>
        <v>1.25711247070247</v>
      </c>
      <c r="AB491" s="15" t="n">
        <f aca="false">IF(AND($J491=1,$M491=1),IF(AA491-Z491&lt;=0.000000001,1,0),"")</f>
        <v>1</v>
      </c>
      <c r="AC491" s="13" t="str">
        <f aca="false">IF(AND($J491=1,$M491=0),IF(S491="",0,S491*INDEX(Grid!$B$6:$H$156,R491+1,Q491+1))+IF(V491="",0,V491*INDEX(Grid!$B$6:$H$156,U491+1,T491+1))+IF(Y491="",0,Y491*INDEX(Grid!$B$6:$H$156,X491+1,W491+1)),"")</f>
        <v/>
      </c>
      <c r="AD491" s="13" t="str">
        <f aca="false">IF(AND($J491=1,$M491=0),IF(S491="",0,S491*Val_pt*(Ceiling_e-E_zero)*(1-(1-Half_gap)^Q491))+IF(V491="",0,V491*Val_pt*(Ceiling_e-E_zero)*(1-(1-Half_gap)^T491))+IF(Y491="",0,Y491*Val_pt*(Ceiling_e-E_zero)*(1-(1-Half_gap)^W491)),"")</f>
        <v/>
      </c>
      <c r="AE491" s="13" t="str">
        <f aca="false">IF(AND($J491=1,$M491=0),IF(S491="",0,S491*R491)+IF(V491="",0,V491*U491)+IF(Y491="",0,Y491*X491),"")</f>
        <v/>
      </c>
      <c r="AF491" s="12" t="str">
        <f aca="false">IF(AND($J491=1,$M491=0),MIN((AC491-E491)/Span_P,(AD491-F491)/Span_S,(AE491-G491)/Span_B),"")</f>
        <v/>
      </c>
      <c r="AG491" s="15" t="str">
        <f aca="false">IF(AND($J491=1,$M491=0),IF(AF491&gt;0.0000001,1,0),"")</f>
        <v/>
      </c>
      <c r="AH491" s="15" t="n">
        <f aca="false">IF($J491=1,IF($M491=1,AB491,AG491),"")</f>
        <v>1</v>
      </c>
      <c r="AI491" s="13" t="n">
        <f aca="false">IF($J491=1,(Ideal_P-E491)/Span_P,"")</f>
        <v>0.228690449291471</v>
      </c>
      <c r="AJ491" s="13" t="n">
        <f aca="false">IF($J491=1,(Ideal_S-F491)/Span_S,"")</f>
        <v>0.225806451612903</v>
      </c>
      <c r="AK491" s="13" t="n">
        <f aca="false">IF($J491=1,(Ideal_B-G491)/Span_B,"")</f>
        <v>0.786666666666667</v>
      </c>
      <c r="AL491" s="12" t="n">
        <f aca="false">IF($J491=1,MAX(ChA_1*AI491,ChA_2*AJ491,ChA_3*AK491)+Rho*(ChA_1*AI491+ChA_2*AJ491+ChA_3*AK491),"")</f>
        <v>0.786790783023424</v>
      </c>
      <c r="AM491" s="12" t="n">
        <f aca="false">IF($J491=1,MAX(ChB_1*AI491,ChB_2*AJ491,ChB_3*AK491)+Rho*(ChB_1*AI491+ChB_2*AJ491+ChB_3*AK491),"")</f>
        <v>0.786813652068353</v>
      </c>
      <c r="AN491" s="12" t="n">
        <f aca="false">IF($J491=1,MAX(Cx_1*(Ref_P-E491)/Span_P,Cx_2*(Ref_S-F491)/Span_S,Cx_3*(Ref_B-G491)/Span_B),"")</f>
        <v>2.00840336134454</v>
      </c>
    </row>
    <row r="492" customFormat="false" ht="15" hidden="false" customHeight="false" outlineLevel="0" collapsed="false">
      <c r="A492" s="2" t="n">
        <v>486</v>
      </c>
      <c r="B492" s="15" t="n">
        <f aca="false">INT(A492/151)</f>
        <v>3</v>
      </c>
      <c r="C492" s="15" t="n">
        <f aca="false">MOD(A492,151)</f>
        <v>33</v>
      </c>
      <c r="D492" s="15" t="n">
        <f aca="false">INDEX(Grid!$J$6:$P$156,C492+1,B492+1)</f>
        <v>1</v>
      </c>
      <c r="E492" s="16" t="n">
        <f aca="false">IF(D492=1,INDEX(Grid!$B$6:$H$156,C492+1,B492+1),"")</f>
        <v>300.451985565273</v>
      </c>
      <c r="F492" s="13" t="n">
        <f aca="false">Val_pt*(Ceiling_e-E_zero)*(1-(1-Half_gap)^B492)</f>
        <v>122.5</v>
      </c>
      <c r="G492" s="15" t="n">
        <f aca="false">C492</f>
        <v>33</v>
      </c>
      <c r="H492" s="15" t="n">
        <f aca="false">IF(D492=1,INDEX(Grid!$R$6:$X$156,C492+1,B492+1),"")</f>
        <v>56</v>
      </c>
      <c r="I492" s="2" t="str">
        <f aca="false">IF(D492=1,INDEX(Sch_label,H492+1),"")</f>
        <v>1–3</v>
      </c>
      <c r="J492" s="15" t="n">
        <f aca="false">IF(D492=1,INDEX(Grid!$Z$6:$AF$156,C492+1,B492+1),0)</f>
        <v>1</v>
      </c>
      <c r="K492" s="16" t="n">
        <f aca="false">IF(J492=1,E492,0)</f>
        <v>300.451985565273</v>
      </c>
      <c r="L492" s="17" t="n">
        <f aca="false">IF(D492=1,E492+W_board*F492,"")</f>
        <v>991.93254988115</v>
      </c>
      <c r="M492" s="24" t="n">
        <v>1</v>
      </c>
      <c r="N492" s="25" t="n">
        <v>0.348973720143139</v>
      </c>
      <c r="O492" s="25" t="n">
        <v>0.519611355865292</v>
      </c>
      <c r="P492" s="25" t="n">
        <v>0.131414923991569</v>
      </c>
      <c r="Z492" s="12" t="n">
        <f aca="false">IF(AND($J492=1,$M492=1),N492*E492/Span_P+O492*F492/Span_S+P492*G492/Span_B,"")</f>
        <v>1.25711247070245</v>
      </c>
      <c r="AA492" s="12" t="n">
        <f aca="false">IF(AND($J492=1,$M492=1),SUMPRODUCT(MAX($J$6:$J$1062*(N492*$K$6:$K$1062/Span_P+O492*$F$6:$F$1062/Span_S+P492*$G$6:$G$1062/Span_B)-(1-$J$6:$J$1062)*1000000000)),"")</f>
        <v>1.25711247070245</v>
      </c>
      <c r="AB492" s="15" t="n">
        <f aca="false">IF(AND($J492=1,$M492=1),IF(AA492-Z492&lt;=0.000000001,1,0),"")</f>
        <v>1</v>
      </c>
      <c r="AC492" s="13" t="str">
        <f aca="false">IF(AND($J492=1,$M492=0),IF(S492="",0,S492*INDEX(Grid!$B$6:$H$156,R492+1,Q492+1))+IF(V492="",0,V492*INDEX(Grid!$B$6:$H$156,U492+1,T492+1))+IF(Y492="",0,Y492*INDEX(Grid!$B$6:$H$156,X492+1,W492+1)),"")</f>
        <v/>
      </c>
      <c r="AD492" s="13" t="str">
        <f aca="false">IF(AND($J492=1,$M492=0),IF(S492="",0,S492*Val_pt*(Ceiling_e-E_zero)*(1-(1-Half_gap)^Q492))+IF(V492="",0,V492*Val_pt*(Ceiling_e-E_zero)*(1-(1-Half_gap)^T492))+IF(Y492="",0,Y492*Val_pt*(Ceiling_e-E_zero)*(1-(1-Half_gap)^W492)),"")</f>
        <v/>
      </c>
      <c r="AE492" s="13" t="str">
        <f aca="false">IF(AND($J492=1,$M492=0),IF(S492="",0,S492*R492)+IF(V492="",0,V492*U492)+IF(Y492="",0,Y492*X492),"")</f>
        <v/>
      </c>
      <c r="AF492" s="12" t="str">
        <f aca="false">IF(AND($J492=1,$M492=0),MIN((AC492-E492)/Span_P,(AD492-F492)/Span_S,(AE492-G492)/Span_B),"")</f>
        <v/>
      </c>
      <c r="AG492" s="15" t="str">
        <f aca="false">IF(AND($J492=1,$M492=0),IF(AF492&gt;0.0000001,1,0),"")</f>
        <v/>
      </c>
      <c r="AH492" s="15" t="n">
        <f aca="false">IF($J492=1,IF($M492=1,AB492,AG492),"")</f>
        <v>1</v>
      </c>
      <c r="AI492" s="13" t="n">
        <f aca="false">IF($J492=1,(Ideal_P-E492)/Span_P,"")</f>
        <v>0.231200952067777</v>
      </c>
      <c r="AJ492" s="13" t="n">
        <f aca="false">IF($J492=1,(Ideal_S-F492)/Span_S,"")</f>
        <v>0.225806451612903</v>
      </c>
      <c r="AK492" s="13" t="n">
        <f aca="false">IF($J492=1,(Ideal_B-G492)/Span_B,"")</f>
        <v>0.78</v>
      </c>
      <c r="AL492" s="12" t="n">
        <f aca="false">IF($J492=1,MAX(ChA_1*AI492,ChA_2*AJ492,ChA_3*AK492)+Rho*(ChA_1*AI492+ChA_2*AJ492+ChA_3*AK492),"")</f>
        <v>0.780123700740368</v>
      </c>
      <c r="AM492" s="12" t="n">
        <f aca="false">IF($J492=1,MAX(ChB_1*AI492,ChB_2*AJ492,ChB_3*AK492)+Rho*(ChB_1*AI492+ChB_2*AJ492+ChB_3*AK492),"")</f>
        <v>0.780146820835575</v>
      </c>
      <c r="AN492" s="12" t="n">
        <f aca="false">IF($J492=1,MAX(Cx_1*(Ref_P-E492)/Span_P,Cx_2*(Ref_S-F492)/Span_S,Cx_3*(Ref_B-G492)/Span_B),"")</f>
        <v>1.99159663865546</v>
      </c>
    </row>
    <row r="493" customFormat="false" ht="15" hidden="false" customHeight="false" outlineLevel="0" collapsed="false">
      <c r="A493" s="2" t="n">
        <v>487</v>
      </c>
      <c r="B493" s="15" t="n">
        <f aca="false">INT(A493/151)</f>
        <v>3</v>
      </c>
      <c r="C493" s="15" t="n">
        <f aca="false">MOD(A493,151)</f>
        <v>34</v>
      </c>
      <c r="D493" s="15" t="n">
        <f aca="false">INDEX(Grid!$J$6:$P$156,C493+1,B493+1)</f>
        <v>1</v>
      </c>
      <c r="E493" s="16" t="n">
        <f aca="false">IF(D493=1,INDEX(Grid!$B$6:$H$156,C493+1,B493+1),"")</f>
        <v>299.542894656182</v>
      </c>
      <c r="F493" s="13" t="n">
        <f aca="false">Val_pt*(Ceiling_e-E_zero)*(1-(1-Half_gap)^B493)</f>
        <v>122.5</v>
      </c>
      <c r="G493" s="15" t="n">
        <f aca="false">C493</f>
        <v>34</v>
      </c>
      <c r="H493" s="15" t="n">
        <f aca="false">IF(D493=1,INDEX(Grid!$R$6:$X$156,C493+1,B493+1),"")</f>
        <v>56</v>
      </c>
      <c r="I493" s="2" t="str">
        <f aca="false">IF(D493=1,INDEX(Sch_label,H493+1),"")</f>
        <v>1–3</v>
      </c>
      <c r="J493" s="15" t="n">
        <f aca="false">IF(D493=1,INDEX(Grid!$Z$6:$AF$156,C493+1,B493+1),0)</f>
        <v>1</v>
      </c>
      <c r="K493" s="16" t="n">
        <f aca="false">IF(J493=1,E493,0)</f>
        <v>299.542894656182</v>
      </c>
      <c r="L493" s="17" t="n">
        <f aca="false">IF(D493=1,E493+W_board*F493,"")</f>
        <v>991.023458972059</v>
      </c>
      <c r="M493" s="24" t="n">
        <v>1</v>
      </c>
      <c r="N493" s="25" t="n">
        <v>0.348973720143136</v>
      </c>
      <c r="O493" s="25" t="n">
        <v>0.519611355865303</v>
      </c>
      <c r="P493" s="25" t="n">
        <v>0.131414923991561</v>
      </c>
      <c r="Z493" s="12" t="n">
        <f aca="false">IF(AND($J493=1,$M493=1),N493*E493/Span_P+O493*F493/Span_S+P493*G493/Span_B,"")</f>
        <v>1.25711247070247</v>
      </c>
      <c r="AA493" s="12" t="n">
        <f aca="false">IF(AND($J493=1,$M493=1),SUMPRODUCT(MAX($J$6:$J$1062*(N493*$K$6:$K$1062/Span_P+O493*$F$6:$F$1062/Span_S+P493*$G$6:$G$1062/Span_B)-(1-$J$6:$J$1062)*1000000000)),"")</f>
        <v>1.25711247070247</v>
      </c>
      <c r="AB493" s="15" t="n">
        <f aca="false">IF(AND($J493=1,$M493=1),IF(AA493-Z493&lt;=0.000000001,1,0),"")</f>
        <v>1</v>
      </c>
      <c r="AC493" s="13" t="str">
        <f aca="false">IF(AND($J493=1,$M493=0),IF(S493="",0,S493*INDEX(Grid!$B$6:$H$156,R493+1,Q493+1))+IF(V493="",0,V493*INDEX(Grid!$B$6:$H$156,U493+1,T493+1))+IF(Y493="",0,Y493*INDEX(Grid!$B$6:$H$156,X493+1,W493+1)),"")</f>
        <v/>
      </c>
      <c r="AD493" s="13" t="str">
        <f aca="false">IF(AND($J493=1,$M493=0),IF(S493="",0,S493*Val_pt*(Ceiling_e-E_zero)*(1-(1-Half_gap)^Q493))+IF(V493="",0,V493*Val_pt*(Ceiling_e-E_zero)*(1-(1-Half_gap)^T493))+IF(Y493="",0,Y493*Val_pt*(Ceiling_e-E_zero)*(1-(1-Half_gap)^W493)),"")</f>
        <v/>
      </c>
      <c r="AE493" s="13" t="str">
        <f aca="false">IF(AND($J493=1,$M493=0),IF(S493="",0,S493*R493)+IF(V493="",0,V493*U493)+IF(Y493="",0,Y493*X493),"")</f>
        <v/>
      </c>
      <c r="AF493" s="12" t="str">
        <f aca="false">IF(AND($J493=1,$M493=0),MIN((AC493-E493)/Span_P,(AD493-F493)/Span_S,(AE493-G493)/Span_B),"")</f>
        <v/>
      </c>
      <c r="AG493" s="15" t="str">
        <f aca="false">IF(AND($J493=1,$M493=0),IF(AF493&gt;0.0000001,1,0),"")</f>
        <v/>
      </c>
      <c r="AH493" s="15" t="n">
        <f aca="false">IF($J493=1,IF($M493=1,AB493,AG493),"")</f>
        <v>1</v>
      </c>
      <c r="AI493" s="13" t="n">
        <f aca="false">IF($J493=1,(Ideal_P-E493)/Span_P,"")</f>
        <v>0.233711454844083</v>
      </c>
      <c r="AJ493" s="13" t="n">
        <f aca="false">IF($J493=1,(Ideal_S-F493)/Span_S,"")</f>
        <v>0.225806451612903</v>
      </c>
      <c r="AK493" s="13" t="n">
        <f aca="false">IF($J493=1,(Ideal_B-G493)/Span_B,"")</f>
        <v>0.773333333333333</v>
      </c>
      <c r="AL493" s="12" t="n">
        <f aca="false">IF($J493=1,MAX(ChA_1*AI493,ChA_2*AJ493,ChA_3*AK493)+Rho*(ChA_1*AI493+ChA_2*AJ493+ChA_3*AK493),"")</f>
        <v>0.773456618457312</v>
      </c>
      <c r="AM493" s="12" t="n">
        <f aca="false">IF($J493=1,MAX(ChB_1*AI493,ChB_2*AJ493,ChB_3*AK493)+Rho*(ChB_1*AI493+ChB_2*AJ493+ChB_3*AK493),"")</f>
        <v>0.773479989602797</v>
      </c>
      <c r="AN493" s="12" t="n">
        <f aca="false">IF($J493=1,MAX(Cx_1*(Ref_P-E493)/Span_P,Cx_2*(Ref_S-F493)/Span_S,Cx_3*(Ref_B-G493)/Span_B),"")</f>
        <v>1.97478991596639</v>
      </c>
    </row>
    <row r="494" customFormat="false" ht="15" hidden="false" customHeight="false" outlineLevel="0" collapsed="false">
      <c r="A494" s="2" t="n">
        <v>488</v>
      </c>
      <c r="B494" s="15" t="n">
        <f aca="false">INT(A494/151)</f>
        <v>3</v>
      </c>
      <c r="C494" s="15" t="n">
        <f aca="false">MOD(A494,151)</f>
        <v>35</v>
      </c>
      <c r="D494" s="15" t="n">
        <f aca="false">INDEX(Grid!$J$6:$P$156,C494+1,B494+1)</f>
        <v>1</v>
      </c>
      <c r="E494" s="16" t="n">
        <f aca="false">IF(D494=1,INDEX(Grid!$B$6:$H$156,C494+1,B494+1),"")</f>
        <v>298.633803747091</v>
      </c>
      <c r="F494" s="13" t="n">
        <f aca="false">Val_pt*(Ceiling_e-E_zero)*(1-(1-Half_gap)^B494)</f>
        <v>122.5</v>
      </c>
      <c r="G494" s="15" t="n">
        <f aca="false">C494</f>
        <v>35</v>
      </c>
      <c r="H494" s="15" t="n">
        <f aca="false">IF(D494=1,INDEX(Grid!$R$6:$X$156,C494+1,B494+1),"")</f>
        <v>56</v>
      </c>
      <c r="I494" s="2" t="str">
        <f aca="false">IF(D494=1,INDEX(Sch_label,H494+1),"")</f>
        <v>1–3</v>
      </c>
      <c r="J494" s="15" t="n">
        <f aca="false">IF(D494=1,INDEX(Grid!$Z$6:$AF$156,C494+1,B494+1),0)</f>
        <v>1</v>
      </c>
      <c r="K494" s="16" t="n">
        <f aca="false">IF(J494=1,E494,0)</f>
        <v>298.633803747091</v>
      </c>
      <c r="L494" s="17" t="n">
        <f aca="false">IF(D494=1,E494+W_board*F494,"")</f>
        <v>990.114368062968</v>
      </c>
      <c r="M494" s="24" t="n">
        <v>1</v>
      </c>
      <c r="N494" s="25" t="n">
        <v>0.348973720143139</v>
      </c>
      <c r="O494" s="25" t="n">
        <v>0.519611355865292</v>
      </c>
      <c r="P494" s="25" t="n">
        <v>0.131414923991569</v>
      </c>
      <c r="Z494" s="12" t="n">
        <f aca="false">IF(AND($J494=1,$M494=1),N494*E494/Span_P+O494*F494/Span_S+P494*G494/Span_B,"")</f>
        <v>1.25711247070245</v>
      </c>
      <c r="AA494" s="12" t="n">
        <f aca="false">IF(AND($J494=1,$M494=1),SUMPRODUCT(MAX($J$6:$J$1062*(N494*$K$6:$K$1062/Span_P+O494*$F$6:$F$1062/Span_S+P494*$G$6:$G$1062/Span_B)-(1-$J$6:$J$1062)*1000000000)),"")</f>
        <v>1.25711247070245</v>
      </c>
      <c r="AB494" s="15" t="n">
        <f aca="false">IF(AND($J494=1,$M494=1),IF(AA494-Z494&lt;=0.000000001,1,0),"")</f>
        <v>1</v>
      </c>
      <c r="AC494" s="13" t="str">
        <f aca="false">IF(AND($J494=1,$M494=0),IF(S494="",0,S494*INDEX(Grid!$B$6:$H$156,R494+1,Q494+1))+IF(V494="",0,V494*INDEX(Grid!$B$6:$H$156,U494+1,T494+1))+IF(Y494="",0,Y494*INDEX(Grid!$B$6:$H$156,X494+1,W494+1)),"")</f>
        <v/>
      </c>
      <c r="AD494" s="13" t="str">
        <f aca="false">IF(AND($J494=1,$M494=0),IF(S494="",0,S494*Val_pt*(Ceiling_e-E_zero)*(1-(1-Half_gap)^Q494))+IF(V494="",0,V494*Val_pt*(Ceiling_e-E_zero)*(1-(1-Half_gap)^T494))+IF(Y494="",0,Y494*Val_pt*(Ceiling_e-E_zero)*(1-(1-Half_gap)^W494)),"")</f>
        <v/>
      </c>
      <c r="AE494" s="13" t="str">
        <f aca="false">IF(AND($J494=1,$M494=0),IF(S494="",0,S494*R494)+IF(V494="",0,V494*U494)+IF(Y494="",0,Y494*X494),"")</f>
        <v/>
      </c>
      <c r="AF494" s="12" t="str">
        <f aca="false">IF(AND($J494=1,$M494=0),MIN((AC494-E494)/Span_P,(AD494-F494)/Span_S,(AE494-G494)/Span_B),"")</f>
        <v/>
      </c>
      <c r="AG494" s="15" t="str">
        <f aca="false">IF(AND($J494=1,$M494=0),IF(AF494&gt;0.0000001,1,0),"")</f>
        <v/>
      </c>
      <c r="AH494" s="15" t="n">
        <f aca="false">IF($J494=1,IF($M494=1,AB494,AG494),"")</f>
        <v>1</v>
      </c>
      <c r="AI494" s="13" t="n">
        <f aca="false">IF($J494=1,(Ideal_P-E494)/Span_P,"")</f>
        <v>0.236221957620389</v>
      </c>
      <c r="AJ494" s="13" t="n">
        <f aca="false">IF($J494=1,(Ideal_S-F494)/Span_S,"")</f>
        <v>0.225806451612903</v>
      </c>
      <c r="AK494" s="13" t="n">
        <f aca="false">IF($J494=1,(Ideal_B-G494)/Span_B,"")</f>
        <v>0.766666666666667</v>
      </c>
      <c r="AL494" s="12" t="n">
        <f aca="false">IF($J494=1,MAX(ChA_1*AI494,ChA_2*AJ494,ChA_3*AK494)+Rho*(ChA_1*AI494+ChA_2*AJ494+ChA_3*AK494),"")</f>
        <v>0.766789536174257</v>
      </c>
      <c r="AM494" s="12" t="n">
        <f aca="false">IF($J494=1,MAX(ChB_1*AI494,ChB_2*AJ494,ChB_3*AK494)+Rho*(ChB_1*AI494+ChB_2*AJ494+ChB_3*AK494),"")</f>
        <v>0.766813158370019</v>
      </c>
      <c r="AN494" s="12" t="n">
        <f aca="false">IF($J494=1,MAX(Cx_1*(Ref_P-E494)/Span_P,Cx_2*(Ref_S-F494)/Span_S,Cx_3*(Ref_B-G494)/Span_B),"")</f>
        <v>1.95798319327731</v>
      </c>
    </row>
    <row r="495" customFormat="false" ht="15" hidden="false" customHeight="false" outlineLevel="0" collapsed="false">
      <c r="A495" s="2" t="n">
        <v>489</v>
      </c>
      <c r="B495" s="15" t="n">
        <f aca="false">INT(A495/151)</f>
        <v>3</v>
      </c>
      <c r="C495" s="15" t="n">
        <f aca="false">MOD(A495,151)</f>
        <v>36</v>
      </c>
      <c r="D495" s="15" t="n">
        <f aca="false">INDEX(Grid!$J$6:$P$156,C495+1,B495+1)</f>
        <v>1</v>
      </c>
      <c r="E495" s="16" t="n">
        <f aca="false">IF(D495=1,INDEX(Grid!$B$6:$H$156,C495+1,B495+1),"")</f>
        <v>297.724712838</v>
      </c>
      <c r="F495" s="13" t="n">
        <f aca="false">Val_pt*(Ceiling_e-E_zero)*(1-(1-Half_gap)^B495)</f>
        <v>122.5</v>
      </c>
      <c r="G495" s="15" t="n">
        <f aca="false">C495</f>
        <v>36</v>
      </c>
      <c r="H495" s="15" t="n">
        <f aca="false">IF(D495=1,INDEX(Grid!$R$6:$X$156,C495+1,B495+1),"")</f>
        <v>56</v>
      </c>
      <c r="I495" s="2" t="str">
        <f aca="false">IF(D495=1,INDEX(Sch_label,H495+1),"")</f>
        <v>1–3</v>
      </c>
      <c r="J495" s="15" t="n">
        <f aca="false">IF(D495=1,INDEX(Grid!$Z$6:$AF$156,C495+1,B495+1),0)</f>
        <v>1</v>
      </c>
      <c r="K495" s="16" t="n">
        <f aca="false">IF(J495=1,E495,0)</f>
        <v>297.724712838</v>
      </c>
      <c r="L495" s="17" t="n">
        <f aca="false">IF(D495=1,E495+W_board*F495,"")</f>
        <v>989.205277153877</v>
      </c>
      <c r="M495" s="24" t="n">
        <v>1</v>
      </c>
      <c r="N495" s="25" t="n">
        <v>0.348973720143136</v>
      </c>
      <c r="O495" s="25" t="n">
        <v>0.519611355865303</v>
      </c>
      <c r="P495" s="25" t="n">
        <v>0.131414923991561</v>
      </c>
      <c r="Z495" s="12" t="n">
        <f aca="false">IF(AND($J495=1,$M495=1),N495*E495/Span_P+O495*F495/Span_S+P495*G495/Span_B,"")</f>
        <v>1.25711247070247</v>
      </c>
      <c r="AA495" s="12" t="n">
        <f aca="false">IF(AND($J495=1,$M495=1),SUMPRODUCT(MAX($J$6:$J$1062*(N495*$K$6:$K$1062/Span_P+O495*$F$6:$F$1062/Span_S+P495*$G$6:$G$1062/Span_B)-(1-$J$6:$J$1062)*1000000000)),"")</f>
        <v>1.25711247070247</v>
      </c>
      <c r="AB495" s="15" t="n">
        <f aca="false">IF(AND($J495=1,$M495=1),IF(AA495-Z495&lt;=0.000000001,1,0),"")</f>
        <v>1</v>
      </c>
      <c r="AC495" s="13" t="str">
        <f aca="false">IF(AND($J495=1,$M495=0),IF(S495="",0,S495*INDEX(Grid!$B$6:$H$156,R495+1,Q495+1))+IF(V495="",0,V495*INDEX(Grid!$B$6:$H$156,U495+1,T495+1))+IF(Y495="",0,Y495*INDEX(Grid!$B$6:$H$156,X495+1,W495+1)),"")</f>
        <v/>
      </c>
      <c r="AD495" s="13" t="str">
        <f aca="false">IF(AND($J495=1,$M495=0),IF(S495="",0,S495*Val_pt*(Ceiling_e-E_zero)*(1-(1-Half_gap)^Q495))+IF(V495="",0,V495*Val_pt*(Ceiling_e-E_zero)*(1-(1-Half_gap)^T495))+IF(Y495="",0,Y495*Val_pt*(Ceiling_e-E_zero)*(1-(1-Half_gap)^W495)),"")</f>
        <v/>
      </c>
      <c r="AE495" s="13" t="str">
        <f aca="false">IF(AND($J495=1,$M495=0),IF(S495="",0,S495*R495)+IF(V495="",0,V495*U495)+IF(Y495="",0,Y495*X495),"")</f>
        <v/>
      </c>
      <c r="AF495" s="12" t="str">
        <f aca="false">IF(AND($J495=1,$M495=0),MIN((AC495-E495)/Span_P,(AD495-F495)/Span_S,(AE495-G495)/Span_B),"")</f>
        <v/>
      </c>
      <c r="AG495" s="15" t="str">
        <f aca="false">IF(AND($J495=1,$M495=0),IF(AF495&gt;0.0000001,1,0),"")</f>
        <v/>
      </c>
      <c r="AH495" s="15" t="n">
        <f aca="false">IF($J495=1,IF($M495=1,AB495,AG495),"")</f>
        <v>1</v>
      </c>
      <c r="AI495" s="13" t="n">
        <f aca="false">IF($J495=1,(Ideal_P-E495)/Span_P,"")</f>
        <v>0.238732460396694</v>
      </c>
      <c r="AJ495" s="13" t="n">
        <f aca="false">IF($J495=1,(Ideal_S-F495)/Span_S,"")</f>
        <v>0.225806451612903</v>
      </c>
      <c r="AK495" s="13" t="n">
        <f aca="false">IF($J495=1,(Ideal_B-G495)/Span_B,"")</f>
        <v>0.76</v>
      </c>
      <c r="AL495" s="12" t="n">
        <f aca="false">IF($J495=1,MAX(ChA_1*AI495,ChA_2*AJ495,ChA_3*AK495)+Rho*(ChA_1*AI495+ChA_2*AJ495+ChA_3*AK495),"")</f>
        <v>0.760122453891201</v>
      </c>
      <c r="AM495" s="12" t="n">
        <f aca="false">IF($J495=1,MAX(ChB_1*AI495,ChB_2*AJ495,ChB_3*AK495)+Rho*(ChB_1*AI495+ChB_2*AJ495+ChB_3*AK495),"")</f>
        <v>0.760146327137241</v>
      </c>
      <c r="AN495" s="12" t="n">
        <f aca="false">IF($J495=1,MAX(Cx_1*(Ref_P-E495)/Span_P,Cx_2*(Ref_S-F495)/Span_S,Cx_3*(Ref_B-G495)/Span_B),"")</f>
        <v>1.94117647058824</v>
      </c>
    </row>
    <row r="496" customFormat="false" ht="15" hidden="false" customHeight="false" outlineLevel="0" collapsed="false">
      <c r="A496" s="2" t="n">
        <v>490</v>
      </c>
      <c r="B496" s="15" t="n">
        <f aca="false">INT(A496/151)</f>
        <v>3</v>
      </c>
      <c r="C496" s="15" t="n">
        <f aca="false">MOD(A496,151)</f>
        <v>37</v>
      </c>
      <c r="D496" s="15" t="n">
        <f aca="false">INDEX(Grid!$J$6:$P$156,C496+1,B496+1)</f>
        <v>1</v>
      </c>
      <c r="E496" s="16" t="n">
        <f aca="false">IF(D496=1,INDEX(Grid!$B$6:$H$156,C496+1,B496+1),"")</f>
        <v>296.815621928909</v>
      </c>
      <c r="F496" s="13" t="n">
        <f aca="false">Val_pt*(Ceiling_e-E_zero)*(1-(1-Half_gap)^B496)</f>
        <v>122.5</v>
      </c>
      <c r="G496" s="15" t="n">
        <f aca="false">C496</f>
        <v>37</v>
      </c>
      <c r="H496" s="15" t="n">
        <f aca="false">IF(D496=1,INDEX(Grid!$R$6:$X$156,C496+1,B496+1),"")</f>
        <v>56</v>
      </c>
      <c r="I496" s="2" t="str">
        <f aca="false">IF(D496=1,INDEX(Sch_label,H496+1),"")</f>
        <v>1–3</v>
      </c>
      <c r="J496" s="15" t="n">
        <f aca="false">IF(D496=1,INDEX(Grid!$Z$6:$AF$156,C496+1,B496+1),0)</f>
        <v>1</v>
      </c>
      <c r="K496" s="16" t="n">
        <f aca="false">IF(J496=1,E496,0)</f>
        <v>296.815621928909</v>
      </c>
      <c r="L496" s="17" t="n">
        <f aca="false">IF(D496=1,E496+W_board*F496,"")</f>
        <v>988.296186244786</v>
      </c>
      <c r="M496" s="24" t="n">
        <v>1</v>
      </c>
      <c r="N496" s="25" t="n">
        <v>0.348973720143139</v>
      </c>
      <c r="O496" s="25" t="n">
        <v>0.519611355865293</v>
      </c>
      <c r="P496" s="25" t="n">
        <v>0.131414923991568</v>
      </c>
      <c r="Z496" s="12" t="n">
        <f aca="false">IF(AND($J496=1,$M496=1),N496*E496/Span_P+O496*F496/Span_S+P496*G496/Span_B,"")</f>
        <v>1.25711247070245</v>
      </c>
      <c r="AA496" s="12" t="n">
        <f aca="false">IF(AND($J496=1,$M496=1),SUMPRODUCT(MAX($J$6:$J$1062*(N496*$K$6:$K$1062/Span_P+O496*$F$6:$F$1062/Span_S+P496*$G$6:$G$1062/Span_B)-(1-$J$6:$J$1062)*1000000000)),"")</f>
        <v>1.25711247070246</v>
      </c>
      <c r="AB496" s="15" t="n">
        <f aca="false">IF(AND($J496=1,$M496=1),IF(AA496-Z496&lt;=0.000000001,1,0),"")</f>
        <v>1</v>
      </c>
      <c r="AC496" s="13" t="str">
        <f aca="false">IF(AND($J496=1,$M496=0),IF(S496="",0,S496*INDEX(Grid!$B$6:$H$156,R496+1,Q496+1))+IF(V496="",0,V496*INDEX(Grid!$B$6:$H$156,U496+1,T496+1))+IF(Y496="",0,Y496*INDEX(Grid!$B$6:$H$156,X496+1,W496+1)),"")</f>
        <v/>
      </c>
      <c r="AD496" s="13" t="str">
        <f aca="false">IF(AND($J496=1,$M496=0),IF(S496="",0,S496*Val_pt*(Ceiling_e-E_zero)*(1-(1-Half_gap)^Q496))+IF(V496="",0,V496*Val_pt*(Ceiling_e-E_zero)*(1-(1-Half_gap)^T496))+IF(Y496="",0,Y496*Val_pt*(Ceiling_e-E_zero)*(1-(1-Half_gap)^W496)),"")</f>
        <v/>
      </c>
      <c r="AE496" s="13" t="str">
        <f aca="false">IF(AND($J496=1,$M496=0),IF(S496="",0,S496*R496)+IF(V496="",0,V496*U496)+IF(Y496="",0,Y496*X496),"")</f>
        <v/>
      </c>
      <c r="AF496" s="12" t="str">
        <f aca="false">IF(AND($J496=1,$M496=0),MIN((AC496-E496)/Span_P,(AD496-F496)/Span_S,(AE496-G496)/Span_B),"")</f>
        <v/>
      </c>
      <c r="AG496" s="15" t="str">
        <f aca="false">IF(AND($J496=1,$M496=0),IF(AF496&gt;0.0000001,1,0),"")</f>
        <v/>
      </c>
      <c r="AH496" s="15" t="n">
        <f aca="false">IF($J496=1,IF($M496=1,AB496,AG496),"")</f>
        <v>1</v>
      </c>
      <c r="AI496" s="13" t="n">
        <f aca="false">IF($J496=1,(Ideal_P-E496)/Span_P,"")</f>
        <v>0.241242963173</v>
      </c>
      <c r="AJ496" s="13" t="n">
        <f aca="false">IF($J496=1,(Ideal_S-F496)/Span_S,"")</f>
        <v>0.225806451612903</v>
      </c>
      <c r="AK496" s="13" t="n">
        <f aca="false">IF($J496=1,(Ideal_B-G496)/Span_B,"")</f>
        <v>0.753333333333333</v>
      </c>
      <c r="AL496" s="12" t="n">
        <f aca="false">IF($J496=1,MAX(ChA_1*AI496,ChA_2*AJ496,ChA_3*AK496)+Rho*(ChA_1*AI496+ChA_2*AJ496+ChA_3*AK496),"")</f>
        <v>0.753455371608145</v>
      </c>
      <c r="AM496" s="12" t="n">
        <f aca="false">IF($J496=1,MAX(ChB_1*AI496,ChB_2*AJ496,ChB_3*AK496)+Rho*(ChB_1*AI496+ChB_2*AJ496+ChB_3*AK496),"")</f>
        <v>0.753479495904463</v>
      </c>
      <c r="AN496" s="12" t="n">
        <f aca="false">IF($J496=1,MAX(Cx_1*(Ref_P-E496)/Span_P,Cx_2*(Ref_S-F496)/Span_S,Cx_3*(Ref_B-G496)/Span_B),"")</f>
        <v>1.92436974789916</v>
      </c>
    </row>
    <row r="497" customFormat="false" ht="15" hidden="false" customHeight="false" outlineLevel="0" collapsed="false">
      <c r="A497" s="2" t="n">
        <v>491</v>
      </c>
      <c r="B497" s="15" t="n">
        <f aca="false">INT(A497/151)</f>
        <v>3</v>
      </c>
      <c r="C497" s="15" t="n">
        <f aca="false">MOD(A497,151)</f>
        <v>38</v>
      </c>
      <c r="D497" s="15" t="n">
        <f aca="false">INDEX(Grid!$J$6:$P$156,C497+1,B497+1)</f>
        <v>1</v>
      </c>
      <c r="E497" s="16" t="n">
        <f aca="false">IF(D497=1,INDEX(Grid!$B$6:$H$156,C497+1,B497+1),"")</f>
        <v>295.906531019818</v>
      </c>
      <c r="F497" s="13" t="n">
        <f aca="false">Val_pt*(Ceiling_e-E_zero)*(1-(1-Half_gap)^B497)</f>
        <v>122.5</v>
      </c>
      <c r="G497" s="15" t="n">
        <f aca="false">C497</f>
        <v>38</v>
      </c>
      <c r="H497" s="15" t="n">
        <f aca="false">IF(D497=1,INDEX(Grid!$R$6:$X$156,C497+1,B497+1),"")</f>
        <v>56</v>
      </c>
      <c r="I497" s="2" t="str">
        <f aca="false">IF(D497=1,INDEX(Sch_label,H497+1),"")</f>
        <v>1–3</v>
      </c>
      <c r="J497" s="15" t="n">
        <f aca="false">IF(D497=1,INDEX(Grid!$Z$6:$AF$156,C497+1,B497+1),0)</f>
        <v>1</v>
      </c>
      <c r="K497" s="16" t="n">
        <f aca="false">IF(J497=1,E497,0)</f>
        <v>295.906531019818</v>
      </c>
      <c r="L497" s="17" t="n">
        <f aca="false">IF(D497=1,E497+W_board*F497,"")</f>
        <v>987.387095335695</v>
      </c>
      <c r="M497" s="24" t="n">
        <v>1</v>
      </c>
      <c r="N497" s="25" t="n">
        <v>0.348973720143136</v>
      </c>
      <c r="O497" s="25" t="n">
        <v>0.519611355865302</v>
      </c>
      <c r="P497" s="25" t="n">
        <v>0.131414923991562</v>
      </c>
      <c r="Z497" s="12" t="n">
        <f aca="false">IF(AND($J497=1,$M497=1),N497*E497/Span_P+O497*F497/Span_S+P497*G497/Span_B,"")</f>
        <v>1.25711247070247</v>
      </c>
      <c r="AA497" s="12" t="n">
        <f aca="false">IF(AND($J497=1,$M497=1),SUMPRODUCT(MAX($J$6:$J$1062*(N497*$K$6:$K$1062/Span_P+O497*$F$6:$F$1062/Span_S+P497*$G$6:$G$1062/Span_B)-(1-$J$6:$J$1062)*1000000000)),"")</f>
        <v>1.25711247070247</v>
      </c>
      <c r="AB497" s="15" t="n">
        <f aca="false">IF(AND($J497=1,$M497=1),IF(AA497-Z497&lt;=0.000000001,1,0),"")</f>
        <v>1</v>
      </c>
      <c r="AC497" s="13" t="str">
        <f aca="false">IF(AND($J497=1,$M497=0),IF(S497="",0,S497*INDEX(Grid!$B$6:$H$156,R497+1,Q497+1))+IF(V497="",0,V497*INDEX(Grid!$B$6:$H$156,U497+1,T497+1))+IF(Y497="",0,Y497*INDEX(Grid!$B$6:$H$156,X497+1,W497+1)),"")</f>
        <v/>
      </c>
      <c r="AD497" s="13" t="str">
        <f aca="false">IF(AND($J497=1,$M497=0),IF(S497="",0,S497*Val_pt*(Ceiling_e-E_zero)*(1-(1-Half_gap)^Q497))+IF(V497="",0,V497*Val_pt*(Ceiling_e-E_zero)*(1-(1-Half_gap)^T497))+IF(Y497="",0,Y497*Val_pt*(Ceiling_e-E_zero)*(1-(1-Half_gap)^W497)),"")</f>
        <v/>
      </c>
      <c r="AE497" s="13" t="str">
        <f aca="false">IF(AND($J497=1,$M497=0),IF(S497="",0,S497*R497)+IF(V497="",0,V497*U497)+IF(Y497="",0,Y497*X497),"")</f>
        <v/>
      </c>
      <c r="AF497" s="12" t="str">
        <f aca="false">IF(AND($J497=1,$M497=0),MIN((AC497-E497)/Span_P,(AD497-F497)/Span_S,(AE497-G497)/Span_B),"")</f>
        <v/>
      </c>
      <c r="AG497" s="15" t="str">
        <f aca="false">IF(AND($J497=1,$M497=0),IF(AF497&gt;0.0000001,1,0),"")</f>
        <v/>
      </c>
      <c r="AH497" s="15" t="n">
        <f aca="false">IF($J497=1,IF($M497=1,AB497,AG497),"")</f>
        <v>1</v>
      </c>
      <c r="AI497" s="13" t="n">
        <f aca="false">IF($J497=1,(Ideal_P-E497)/Span_P,"")</f>
        <v>0.243753465949306</v>
      </c>
      <c r="AJ497" s="13" t="n">
        <f aca="false">IF($J497=1,(Ideal_S-F497)/Span_S,"")</f>
        <v>0.225806451612903</v>
      </c>
      <c r="AK497" s="13" t="n">
        <f aca="false">IF($J497=1,(Ideal_B-G497)/Span_B,"")</f>
        <v>0.746666666666667</v>
      </c>
      <c r="AL497" s="12" t="n">
        <f aca="false">IF($J497=1,MAX(ChA_1*AI497,ChA_2*AJ497,ChA_3*AK497)+Rho*(ChA_1*AI497+ChA_2*AJ497+ChA_3*AK497),"")</f>
        <v>0.74678828932509</v>
      </c>
      <c r="AM497" s="12" t="n">
        <f aca="false">IF($J497=1,MAX(ChB_1*AI497,ChB_2*AJ497,ChB_3*AK497)+Rho*(ChB_1*AI497+ChB_2*AJ497+ChB_3*AK497),"")</f>
        <v>0.746812664671685</v>
      </c>
      <c r="AN497" s="12" t="n">
        <f aca="false">IF($J497=1,MAX(Cx_1*(Ref_P-E497)/Span_P,Cx_2*(Ref_S-F497)/Span_S,Cx_3*(Ref_B-G497)/Span_B),"")</f>
        <v>1.90756302521008</v>
      </c>
    </row>
    <row r="498" customFormat="false" ht="15" hidden="false" customHeight="false" outlineLevel="0" collapsed="false">
      <c r="A498" s="2" t="n">
        <v>492</v>
      </c>
      <c r="B498" s="15" t="n">
        <f aca="false">INT(A498/151)</f>
        <v>3</v>
      </c>
      <c r="C498" s="15" t="n">
        <f aca="false">MOD(A498,151)</f>
        <v>39</v>
      </c>
      <c r="D498" s="15" t="n">
        <f aca="false">INDEX(Grid!$J$6:$P$156,C498+1,B498+1)</f>
        <v>1</v>
      </c>
      <c r="E498" s="16" t="n">
        <f aca="false">IF(D498=1,INDEX(Grid!$B$6:$H$156,C498+1,B498+1),"")</f>
        <v>294.997440110727</v>
      </c>
      <c r="F498" s="13" t="n">
        <f aca="false">Val_pt*(Ceiling_e-E_zero)*(1-(1-Half_gap)^B498)</f>
        <v>122.5</v>
      </c>
      <c r="G498" s="15" t="n">
        <f aca="false">C498</f>
        <v>39</v>
      </c>
      <c r="H498" s="15" t="n">
        <f aca="false">IF(D498=1,INDEX(Grid!$R$6:$X$156,C498+1,B498+1),"")</f>
        <v>56</v>
      </c>
      <c r="I498" s="2" t="str">
        <f aca="false">IF(D498=1,INDEX(Sch_label,H498+1),"")</f>
        <v>1–3</v>
      </c>
      <c r="J498" s="15" t="n">
        <f aca="false">IF(D498=1,INDEX(Grid!$Z$6:$AF$156,C498+1,B498+1),0)</f>
        <v>1</v>
      </c>
      <c r="K498" s="16" t="n">
        <f aca="false">IF(J498=1,E498,0)</f>
        <v>294.997440110727</v>
      </c>
      <c r="L498" s="17" t="n">
        <f aca="false">IF(D498=1,E498+W_board*F498,"")</f>
        <v>986.478004426604</v>
      </c>
      <c r="M498" s="24" t="n">
        <v>1</v>
      </c>
      <c r="N498" s="25" t="n">
        <v>0.348973720143139</v>
      </c>
      <c r="O498" s="25" t="n">
        <v>0.519611355865293</v>
      </c>
      <c r="P498" s="25" t="n">
        <v>0.131414923991569</v>
      </c>
      <c r="Z498" s="12" t="n">
        <f aca="false">IF(AND($J498=1,$M498=1),N498*E498/Span_P+O498*F498/Span_S+P498*G498/Span_B,"")</f>
        <v>1.25711247070245</v>
      </c>
      <c r="AA498" s="12" t="n">
        <f aca="false">IF(AND($J498=1,$M498=1),SUMPRODUCT(MAX($J$6:$J$1062*(N498*$K$6:$K$1062/Span_P+O498*$F$6:$F$1062/Span_S+P498*$G$6:$G$1062/Span_B)-(1-$J$6:$J$1062)*1000000000)),"")</f>
        <v>1.25711247070245</v>
      </c>
      <c r="AB498" s="15" t="n">
        <f aca="false">IF(AND($J498=1,$M498=1),IF(AA498-Z498&lt;=0.000000001,1,0),"")</f>
        <v>1</v>
      </c>
      <c r="AC498" s="13" t="str">
        <f aca="false">IF(AND($J498=1,$M498=0),IF(S498="",0,S498*INDEX(Grid!$B$6:$H$156,R498+1,Q498+1))+IF(V498="",0,V498*INDEX(Grid!$B$6:$H$156,U498+1,T498+1))+IF(Y498="",0,Y498*INDEX(Grid!$B$6:$H$156,X498+1,W498+1)),"")</f>
        <v/>
      </c>
      <c r="AD498" s="13" t="str">
        <f aca="false">IF(AND($J498=1,$M498=0),IF(S498="",0,S498*Val_pt*(Ceiling_e-E_zero)*(1-(1-Half_gap)^Q498))+IF(V498="",0,V498*Val_pt*(Ceiling_e-E_zero)*(1-(1-Half_gap)^T498))+IF(Y498="",0,Y498*Val_pt*(Ceiling_e-E_zero)*(1-(1-Half_gap)^W498)),"")</f>
        <v/>
      </c>
      <c r="AE498" s="13" t="str">
        <f aca="false">IF(AND($J498=1,$M498=0),IF(S498="",0,S498*R498)+IF(V498="",0,V498*U498)+IF(Y498="",0,Y498*X498),"")</f>
        <v/>
      </c>
      <c r="AF498" s="12" t="str">
        <f aca="false">IF(AND($J498=1,$M498=0),MIN((AC498-E498)/Span_P,(AD498-F498)/Span_S,(AE498-G498)/Span_B),"")</f>
        <v/>
      </c>
      <c r="AG498" s="15" t="str">
        <f aca="false">IF(AND($J498=1,$M498=0),IF(AF498&gt;0.0000001,1,0),"")</f>
        <v/>
      </c>
      <c r="AH498" s="15" t="n">
        <f aca="false">IF($J498=1,IF($M498=1,AB498,AG498),"")</f>
        <v>1</v>
      </c>
      <c r="AI498" s="13" t="n">
        <f aca="false">IF($J498=1,(Ideal_P-E498)/Span_P,"")</f>
        <v>0.246263968725612</v>
      </c>
      <c r="AJ498" s="13" t="n">
        <f aca="false">IF($J498=1,(Ideal_S-F498)/Span_S,"")</f>
        <v>0.225806451612903</v>
      </c>
      <c r="AK498" s="13" t="n">
        <f aca="false">IF($J498=1,(Ideal_B-G498)/Span_B,"")</f>
        <v>0.74</v>
      </c>
      <c r="AL498" s="12" t="n">
        <f aca="false">IF($J498=1,MAX(ChA_1*AI498,ChA_2*AJ498,ChA_3*AK498)+Rho*(ChA_1*AI498+ChA_2*AJ498+ChA_3*AK498),"")</f>
        <v>0.740121207042034</v>
      </c>
      <c r="AM498" s="12" t="n">
        <f aca="false">IF($J498=1,MAX(ChB_1*AI498,ChB_2*AJ498,ChB_3*AK498)+Rho*(ChB_1*AI498+ChB_2*AJ498+ChB_3*AK498),"")</f>
        <v>0.740145833438906</v>
      </c>
      <c r="AN498" s="12" t="n">
        <f aca="false">IF($J498=1,MAX(Cx_1*(Ref_P-E498)/Span_P,Cx_2*(Ref_S-F498)/Span_S,Cx_3*(Ref_B-G498)/Span_B),"")</f>
        <v>1.89075630252101</v>
      </c>
    </row>
    <row r="499" customFormat="false" ht="15" hidden="false" customHeight="false" outlineLevel="0" collapsed="false">
      <c r="A499" s="2" t="n">
        <v>493</v>
      </c>
      <c r="B499" s="15" t="n">
        <f aca="false">INT(A499/151)</f>
        <v>3</v>
      </c>
      <c r="C499" s="15" t="n">
        <f aca="false">MOD(A499,151)</f>
        <v>40</v>
      </c>
      <c r="D499" s="15" t="n">
        <f aca="false">INDEX(Grid!$J$6:$P$156,C499+1,B499+1)</f>
        <v>1</v>
      </c>
      <c r="E499" s="16" t="n">
        <f aca="false">IF(D499=1,INDEX(Grid!$B$6:$H$156,C499+1,B499+1),"")</f>
        <v>294.088349201636</v>
      </c>
      <c r="F499" s="13" t="n">
        <f aca="false">Val_pt*(Ceiling_e-E_zero)*(1-(1-Half_gap)^B499)</f>
        <v>122.5</v>
      </c>
      <c r="G499" s="15" t="n">
        <f aca="false">C499</f>
        <v>40</v>
      </c>
      <c r="H499" s="15" t="n">
        <f aca="false">IF(D499=1,INDEX(Grid!$R$6:$X$156,C499+1,B499+1),"")</f>
        <v>56</v>
      </c>
      <c r="I499" s="2" t="str">
        <f aca="false">IF(D499=1,INDEX(Sch_label,H499+1),"")</f>
        <v>1–3</v>
      </c>
      <c r="J499" s="15" t="n">
        <f aca="false">IF(D499=1,INDEX(Grid!$Z$6:$AF$156,C499+1,B499+1),0)</f>
        <v>1</v>
      </c>
      <c r="K499" s="16" t="n">
        <f aca="false">IF(J499=1,E499,0)</f>
        <v>294.088349201636</v>
      </c>
      <c r="L499" s="17" t="n">
        <f aca="false">IF(D499=1,E499+W_board*F499,"")</f>
        <v>985.568913517514</v>
      </c>
      <c r="M499" s="24" t="n">
        <v>1</v>
      </c>
      <c r="N499" s="25" t="n">
        <v>0.348973720143139</v>
      </c>
      <c r="O499" s="25" t="n">
        <v>0.519611355865292</v>
      </c>
      <c r="P499" s="25" t="n">
        <v>0.131414923991569</v>
      </c>
      <c r="Z499" s="12" t="n">
        <f aca="false">IF(AND($J499=1,$M499=1),N499*E499/Span_P+O499*F499/Span_S+P499*G499/Span_B,"")</f>
        <v>1.25711247070245</v>
      </c>
      <c r="AA499" s="12" t="n">
        <f aca="false">IF(AND($J499=1,$M499=1),SUMPRODUCT(MAX($J$6:$J$1062*(N499*$K$6:$K$1062/Span_P+O499*$F$6:$F$1062/Span_S+P499*$G$6:$G$1062/Span_B)-(1-$J$6:$J$1062)*1000000000)),"")</f>
        <v>1.25711247070245</v>
      </c>
      <c r="AB499" s="15" t="n">
        <f aca="false">IF(AND($J499=1,$M499=1),IF(AA499-Z499&lt;=0.000000001,1,0),"")</f>
        <v>1</v>
      </c>
      <c r="AC499" s="13" t="str">
        <f aca="false">IF(AND($J499=1,$M499=0),IF(S499="",0,S499*INDEX(Grid!$B$6:$H$156,R499+1,Q499+1))+IF(V499="",0,V499*INDEX(Grid!$B$6:$H$156,U499+1,T499+1))+IF(Y499="",0,Y499*INDEX(Grid!$B$6:$H$156,X499+1,W499+1)),"")</f>
        <v/>
      </c>
      <c r="AD499" s="13" t="str">
        <f aca="false">IF(AND($J499=1,$M499=0),IF(S499="",0,S499*Val_pt*(Ceiling_e-E_zero)*(1-(1-Half_gap)^Q499))+IF(V499="",0,V499*Val_pt*(Ceiling_e-E_zero)*(1-(1-Half_gap)^T499))+IF(Y499="",0,Y499*Val_pt*(Ceiling_e-E_zero)*(1-(1-Half_gap)^W499)),"")</f>
        <v/>
      </c>
      <c r="AE499" s="13" t="str">
        <f aca="false">IF(AND($J499=1,$M499=0),IF(S499="",0,S499*R499)+IF(V499="",0,V499*U499)+IF(Y499="",0,Y499*X499),"")</f>
        <v/>
      </c>
      <c r="AF499" s="12" t="str">
        <f aca="false">IF(AND($J499=1,$M499=0),MIN((AC499-E499)/Span_P,(AD499-F499)/Span_S,(AE499-G499)/Span_B),"")</f>
        <v/>
      </c>
      <c r="AG499" s="15" t="str">
        <f aca="false">IF(AND($J499=1,$M499=0),IF(AF499&gt;0.0000001,1,0),"")</f>
        <v/>
      </c>
      <c r="AH499" s="15" t="n">
        <f aca="false">IF($J499=1,IF($M499=1,AB499,AG499),"")</f>
        <v>1</v>
      </c>
      <c r="AI499" s="13" t="n">
        <f aca="false">IF($J499=1,(Ideal_P-E499)/Span_P,"")</f>
        <v>0.248774471501917</v>
      </c>
      <c r="AJ499" s="13" t="n">
        <f aca="false">IF($J499=1,(Ideal_S-F499)/Span_S,"")</f>
        <v>0.225806451612903</v>
      </c>
      <c r="AK499" s="13" t="n">
        <f aca="false">IF($J499=1,(Ideal_B-G499)/Span_B,"")</f>
        <v>0.733333333333333</v>
      </c>
      <c r="AL499" s="12" t="n">
        <f aca="false">IF($J499=1,MAX(ChA_1*AI499,ChA_2*AJ499,ChA_3*AK499)+Rho*(ChA_1*AI499+ChA_2*AJ499+ChA_3*AK499),"")</f>
        <v>0.733454124758978</v>
      </c>
      <c r="AM499" s="12" t="n">
        <f aca="false">IF($J499=1,MAX(ChB_1*AI499,ChB_2*AJ499,ChB_3*AK499)+Rho*(ChB_1*AI499+ChB_2*AJ499+ChB_3*AK499),"")</f>
        <v>0.733479002206128</v>
      </c>
      <c r="AN499" s="12" t="n">
        <f aca="false">IF($J499=1,MAX(Cx_1*(Ref_P-E499)/Span_P,Cx_2*(Ref_S-F499)/Span_S,Cx_3*(Ref_B-G499)/Span_B),"")</f>
        <v>1.87394957983193</v>
      </c>
    </row>
    <row r="500" customFormat="false" ht="15" hidden="false" customHeight="false" outlineLevel="0" collapsed="false">
      <c r="A500" s="2" t="n">
        <v>494</v>
      </c>
      <c r="B500" s="15" t="n">
        <f aca="false">INT(A500/151)</f>
        <v>3</v>
      </c>
      <c r="C500" s="15" t="n">
        <f aca="false">MOD(A500,151)</f>
        <v>41</v>
      </c>
      <c r="D500" s="15" t="n">
        <f aca="false">INDEX(Grid!$J$6:$P$156,C500+1,B500+1)</f>
        <v>1</v>
      </c>
      <c r="E500" s="16" t="n">
        <f aca="false">IF(D500=1,INDEX(Grid!$B$6:$H$156,C500+1,B500+1),"")</f>
        <v>293.179258292545</v>
      </c>
      <c r="F500" s="13" t="n">
        <f aca="false">Val_pt*(Ceiling_e-E_zero)*(1-(1-Half_gap)^B500)</f>
        <v>122.5</v>
      </c>
      <c r="G500" s="15" t="n">
        <f aca="false">C500</f>
        <v>41</v>
      </c>
      <c r="H500" s="15" t="n">
        <f aca="false">IF(D500=1,INDEX(Grid!$R$6:$X$156,C500+1,B500+1),"")</f>
        <v>56</v>
      </c>
      <c r="I500" s="2" t="str">
        <f aca="false">IF(D500=1,INDEX(Sch_label,H500+1),"")</f>
        <v>1–3</v>
      </c>
      <c r="J500" s="15" t="n">
        <f aca="false">IF(D500=1,INDEX(Grid!$Z$6:$AF$156,C500+1,B500+1),0)</f>
        <v>1</v>
      </c>
      <c r="K500" s="16" t="n">
        <f aca="false">IF(J500=1,E500,0)</f>
        <v>293.179258292545</v>
      </c>
      <c r="L500" s="17" t="n">
        <f aca="false">IF(D500=1,E500+W_board*F500,"")</f>
        <v>984.659822608423</v>
      </c>
      <c r="M500" s="24" t="n">
        <v>1</v>
      </c>
      <c r="N500" s="25" t="n">
        <v>0.348973720143136</v>
      </c>
      <c r="O500" s="25" t="n">
        <v>0.519611355865304</v>
      </c>
      <c r="P500" s="25" t="n">
        <v>0.131414923991561</v>
      </c>
      <c r="Z500" s="12" t="n">
        <f aca="false">IF(AND($J500=1,$M500=1),N500*E500/Span_P+O500*F500/Span_S+P500*G500/Span_B,"")</f>
        <v>1.25711247070247</v>
      </c>
      <c r="AA500" s="12" t="n">
        <f aca="false">IF(AND($J500=1,$M500=1),SUMPRODUCT(MAX($J$6:$J$1062*(N500*$K$6:$K$1062/Span_P+O500*$F$6:$F$1062/Span_S+P500*$G$6:$G$1062/Span_B)-(1-$J$6:$J$1062)*1000000000)),"")</f>
        <v>1.25711247070247</v>
      </c>
      <c r="AB500" s="15" t="n">
        <f aca="false">IF(AND($J500=1,$M500=1),IF(AA500-Z500&lt;=0.000000001,1,0),"")</f>
        <v>1</v>
      </c>
      <c r="AC500" s="13" t="str">
        <f aca="false">IF(AND($J500=1,$M500=0),IF(S500="",0,S500*INDEX(Grid!$B$6:$H$156,R500+1,Q500+1))+IF(V500="",0,V500*INDEX(Grid!$B$6:$H$156,U500+1,T500+1))+IF(Y500="",0,Y500*INDEX(Grid!$B$6:$H$156,X500+1,W500+1)),"")</f>
        <v/>
      </c>
      <c r="AD500" s="13" t="str">
        <f aca="false">IF(AND($J500=1,$M500=0),IF(S500="",0,S500*Val_pt*(Ceiling_e-E_zero)*(1-(1-Half_gap)^Q500))+IF(V500="",0,V500*Val_pt*(Ceiling_e-E_zero)*(1-(1-Half_gap)^T500))+IF(Y500="",0,Y500*Val_pt*(Ceiling_e-E_zero)*(1-(1-Half_gap)^W500)),"")</f>
        <v/>
      </c>
      <c r="AE500" s="13" t="str">
        <f aca="false">IF(AND($J500=1,$M500=0),IF(S500="",0,S500*R500)+IF(V500="",0,V500*U500)+IF(Y500="",0,Y500*X500),"")</f>
        <v/>
      </c>
      <c r="AF500" s="12" t="str">
        <f aca="false">IF(AND($J500=1,$M500=0),MIN((AC500-E500)/Span_P,(AD500-F500)/Span_S,(AE500-G500)/Span_B),"")</f>
        <v/>
      </c>
      <c r="AG500" s="15" t="str">
        <f aca="false">IF(AND($J500=1,$M500=0),IF(AF500&gt;0.0000001,1,0),"")</f>
        <v/>
      </c>
      <c r="AH500" s="15" t="n">
        <f aca="false">IF($J500=1,IF($M500=1,AB500,AG500),"")</f>
        <v>1</v>
      </c>
      <c r="AI500" s="13" t="n">
        <f aca="false">IF($J500=1,(Ideal_P-E500)/Span_P,"")</f>
        <v>0.251284974278223</v>
      </c>
      <c r="AJ500" s="13" t="n">
        <f aca="false">IF($J500=1,(Ideal_S-F500)/Span_S,"")</f>
        <v>0.225806451612903</v>
      </c>
      <c r="AK500" s="13" t="n">
        <f aca="false">IF($J500=1,(Ideal_B-G500)/Span_B,"")</f>
        <v>0.726666666666667</v>
      </c>
      <c r="AL500" s="12" t="n">
        <f aca="false">IF($J500=1,MAX(ChA_1*AI500,ChA_2*AJ500,ChA_3*AK500)+Rho*(ChA_1*AI500+ChA_2*AJ500+ChA_3*AK500),"")</f>
        <v>0.726787042475922</v>
      </c>
      <c r="AM500" s="12" t="n">
        <f aca="false">IF($J500=1,MAX(ChB_1*AI500,ChB_2*AJ500,ChB_3*AK500)+Rho*(ChB_1*AI500+ChB_2*AJ500+ChB_3*AK500),"")</f>
        <v>0.72681217097335</v>
      </c>
      <c r="AN500" s="12" t="n">
        <f aca="false">IF($J500=1,MAX(Cx_1*(Ref_P-E500)/Span_P,Cx_2*(Ref_S-F500)/Span_S,Cx_3*(Ref_B-G500)/Span_B),"")</f>
        <v>1.85714285714286</v>
      </c>
    </row>
    <row r="501" customFormat="false" ht="15" hidden="false" customHeight="false" outlineLevel="0" collapsed="false">
      <c r="A501" s="2" t="n">
        <v>495</v>
      </c>
      <c r="B501" s="15" t="n">
        <f aca="false">INT(A501/151)</f>
        <v>3</v>
      </c>
      <c r="C501" s="15" t="n">
        <f aca="false">MOD(A501,151)</f>
        <v>42</v>
      </c>
      <c r="D501" s="15" t="n">
        <f aca="false">INDEX(Grid!$J$6:$P$156,C501+1,B501+1)</f>
        <v>1</v>
      </c>
      <c r="E501" s="16" t="n">
        <f aca="false">IF(D501=1,INDEX(Grid!$B$6:$H$156,C501+1,B501+1),"")</f>
        <v>292.270167383454</v>
      </c>
      <c r="F501" s="13" t="n">
        <f aca="false">Val_pt*(Ceiling_e-E_zero)*(1-(1-Half_gap)^B501)</f>
        <v>122.5</v>
      </c>
      <c r="G501" s="15" t="n">
        <f aca="false">C501</f>
        <v>42</v>
      </c>
      <c r="H501" s="15" t="n">
        <f aca="false">IF(D501=1,INDEX(Grid!$R$6:$X$156,C501+1,B501+1),"")</f>
        <v>56</v>
      </c>
      <c r="I501" s="2" t="str">
        <f aca="false">IF(D501=1,INDEX(Sch_label,H501+1),"")</f>
        <v>1–3</v>
      </c>
      <c r="J501" s="15" t="n">
        <f aca="false">IF(D501=1,INDEX(Grid!$Z$6:$AF$156,C501+1,B501+1),0)</f>
        <v>1</v>
      </c>
      <c r="K501" s="16" t="n">
        <f aca="false">IF(J501=1,E501,0)</f>
        <v>292.270167383454</v>
      </c>
      <c r="L501" s="17" t="n">
        <f aca="false">IF(D501=1,E501+W_board*F501,"")</f>
        <v>983.750731699332</v>
      </c>
      <c r="M501" s="24" t="n">
        <v>1</v>
      </c>
      <c r="N501" s="25" t="n">
        <v>0.348973720143139</v>
      </c>
      <c r="O501" s="25" t="n">
        <v>0.519611355865293</v>
      </c>
      <c r="P501" s="25" t="n">
        <v>0.131414923991569</v>
      </c>
      <c r="Z501" s="12" t="n">
        <f aca="false">IF(AND($J501=1,$M501=1),N501*E501/Span_P+O501*F501/Span_S+P501*G501/Span_B,"")</f>
        <v>1.25711247070245</v>
      </c>
      <c r="AA501" s="12" t="n">
        <f aca="false">IF(AND($J501=1,$M501=1),SUMPRODUCT(MAX($J$6:$J$1062*(N501*$K$6:$K$1062/Span_P+O501*$F$6:$F$1062/Span_S+P501*$G$6:$G$1062/Span_B)-(1-$J$6:$J$1062)*1000000000)),"")</f>
        <v>1.25711247070245</v>
      </c>
      <c r="AB501" s="15" t="n">
        <f aca="false">IF(AND($J501=1,$M501=1),IF(AA501-Z501&lt;=0.000000001,1,0),"")</f>
        <v>1</v>
      </c>
      <c r="AC501" s="13" t="str">
        <f aca="false">IF(AND($J501=1,$M501=0),IF(S501="",0,S501*INDEX(Grid!$B$6:$H$156,R501+1,Q501+1))+IF(V501="",0,V501*INDEX(Grid!$B$6:$H$156,U501+1,T501+1))+IF(Y501="",0,Y501*INDEX(Grid!$B$6:$H$156,X501+1,W501+1)),"")</f>
        <v/>
      </c>
      <c r="AD501" s="13" t="str">
        <f aca="false">IF(AND($J501=1,$M501=0),IF(S501="",0,S501*Val_pt*(Ceiling_e-E_zero)*(1-(1-Half_gap)^Q501))+IF(V501="",0,V501*Val_pt*(Ceiling_e-E_zero)*(1-(1-Half_gap)^T501))+IF(Y501="",0,Y501*Val_pt*(Ceiling_e-E_zero)*(1-(1-Half_gap)^W501)),"")</f>
        <v/>
      </c>
      <c r="AE501" s="13" t="str">
        <f aca="false">IF(AND($J501=1,$M501=0),IF(S501="",0,S501*R501)+IF(V501="",0,V501*U501)+IF(Y501="",0,Y501*X501),"")</f>
        <v/>
      </c>
      <c r="AF501" s="12" t="str">
        <f aca="false">IF(AND($J501=1,$M501=0),MIN((AC501-E501)/Span_P,(AD501-F501)/Span_S,(AE501-G501)/Span_B),"")</f>
        <v/>
      </c>
      <c r="AG501" s="15" t="str">
        <f aca="false">IF(AND($J501=1,$M501=0),IF(AF501&gt;0.0000001,1,0),"")</f>
        <v/>
      </c>
      <c r="AH501" s="15" t="n">
        <f aca="false">IF($J501=1,IF($M501=1,AB501,AG501),"")</f>
        <v>1</v>
      </c>
      <c r="AI501" s="13" t="n">
        <f aca="false">IF($J501=1,(Ideal_P-E501)/Span_P,"")</f>
        <v>0.253795477054529</v>
      </c>
      <c r="AJ501" s="13" t="n">
        <f aca="false">IF($J501=1,(Ideal_S-F501)/Span_S,"")</f>
        <v>0.225806451612903</v>
      </c>
      <c r="AK501" s="13" t="n">
        <f aca="false">IF($J501=1,(Ideal_B-G501)/Span_B,"")</f>
        <v>0.72</v>
      </c>
      <c r="AL501" s="12" t="n">
        <f aca="false">IF($J501=1,MAX(ChA_1*AI501,ChA_2*AJ501,ChA_3*AK501)+Rho*(ChA_1*AI501+ChA_2*AJ501+ChA_3*AK501),"")</f>
        <v>0.720119960192867</v>
      </c>
      <c r="AM501" s="12" t="n">
        <f aca="false">IF($J501=1,MAX(ChB_1*AI501,ChB_2*AJ501,ChB_3*AK501)+Rho*(ChB_1*AI501+ChB_2*AJ501+ChB_3*AK501),"")</f>
        <v>0.720145339740572</v>
      </c>
      <c r="AN501" s="12" t="n">
        <f aca="false">IF($J501=1,MAX(Cx_1*(Ref_P-E501)/Span_P,Cx_2*(Ref_S-F501)/Span_S,Cx_3*(Ref_B-G501)/Span_B),"")</f>
        <v>1.84033613445378</v>
      </c>
    </row>
    <row r="502" customFormat="false" ht="15" hidden="false" customHeight="false" outlineLevel="0" collapsed="false">
      <c r="A502" s="2" t="n">
        <v>496</v>
      </c>
      <c r="B502" s="15" t="n">
        <f aca="false">INT(A502/151)</f>
        <v>3</v>
      </c>
      <c r="C502" s="15" t="n">
        <f aca="false">MOD(A502,151)</f>
        <v>43</v>
      </c>
      <c r="D502" s="15" t="n">
        <f aca="false">INDEX(Grid!$J$6:$P$156,C502+1,B502+1)</f>
        <v>1</v>
      </c>
      <c r="E502" s="16" t="n">
        <f aca="false">IF(D502=1,INDEX(Grid!$B$6:$H$156,C502+1,B502+1),"")</f>
        <v>291.361076474364</v>
      </c>
      <c r="F502" s="13" t="n">
        <f aca="false">Val_pt*(Ceiling_e-E_zero)*(1-(1-Half_gap)^B502)</f>
        <v>122.5</v>
      </c>
      <c r="G502" s="15" t="n">
        <f aca="false">C502</f>
        <v>43</v>
      </c>
      <c r="H502" s="15" t="n">
        <f aca="false">IF(D502=1,INDEX(Grid!$R$6:$X$156,C502+1,B502+1),"")</f>
        <v>56</v>
      </c>
      <c r="I502" s="2" t="str">
        <f aca="false">IF(D502=1,INDEX(Sch_label,H502+1),"")</f>
        <v>1–3</v>
      </c>
      <c r="J502" s="15" t="n">
        <f aca="false">IF(D502=1,INDEX(Grid!$Z$6:$AF$156,C502+1,B502+1),0)</f>
        <v>1</v>
      </c>
      <c r="K502" s="16" t="n">
        <f aca="false">IF(J502=1,E502,0)</f>
        <v>291.361076474364</v>
      </c>
      <c r="L502" s="17" t="n">
        <f aca="false">IF(D502=1,E502+W_board*F502,"")</f>
        <v>982.841640790241</v>
      </c>
      <c r="M502" s="24" t="n">
        <v>1</v>
      </c>
      <c r="N502" s="25" t="n">
        <v>0.348973720143137</v>
      </c>
      <c r="O502" s="25" t="n">
        <v>0.519611355865302</v>
      </c>
      <c r="P502" s="25" t="n">
        <v>0.131414923991562</v>
      </c>
      <c r="Z502" s="12" t="n">
        <f aca="false">IF(AND($J502=1,$M502=1),N502*E502/Span_P+O502*F502/Span_S+P502*G502/Span_B,"")</f>
        <v>1.25711247070247</v>
      </c>
      <c r="AA502" s="12" t="n">
        <f aca="false">IF(AND($J502=1,$M502=1),SUMPRODUCT(MAX($J$6:$J$1062*(N502*$K$6:$K$1062/Span_P+O502*$F$6:$F$1062/Span_S+P502*$G$6:$G$1062/Span_B)-(1-$J$6:$J$1062)*1000000000)),"")</f>
        <v>1.25711247070247</v>
      </c>
      <c r="AB502" s="15" t="n">
        <f aca="false">IF(AND($J502=1,$M502=1),IF(AA502-Z502&lt;=0.000000001,1,0),"")</f>
        <v>1</v>
      </c>
      <c r="AC502" s="13" t="str">
        <f aca="false">IF(AND($J502=1,$M502=0),IF(S502="",0,S502*INDEX(Grid!$B$6:$H$156,R502+1,Q502+1))+IF(V502="",0,V502*INDEX(Grid!$B$6:$H$156,U502+1,T502+1))+IF(Y502="",0,Y502*INDEX(Grid!$B$6:$H$156,X502+1,W502+1)),"")</f>
        <v/>
      </c>
      <c r="AD502" s="13" t="str">
        <f aca="false">IF(AND($J502=1,$M502=0),IF(S502="",0,S502*Val_pt*(Ceiling_e-E_zero)*(1-(1-Half_gap)^Q502))+IF(V502="",0,V502*Val_pt*(Ceiling_e-E_zero)*(1-(1-Half_gap)^T502))+IF(Y502="",0,Y502*Val_pt*(Ceiling_e-E_zero)*(1-(1-Half_gap)^W502)),"")</f>
        <v/>
      </c>
      <c r="AE502" s="13" t="str">
        <f aca="false">IF(AND($J502=1,$M502=0),IF(S502="",0,S502*R502)+IF(V502="",0,V502*U502)+IF(Y502="",0,Y502*X502),"")</f>
        <v/>
      </c>
      <c r="AF502" s="12" t="str">
        <f aca="false">IF(AND($J502=1,$M502=0),MIN((AC502-E502)/Span_P,(AD502-F502)/Span_S,(AE502-G502)/Span_B),"")</f>
        <v/>
      </c>
      <c r="AG502" s="15" t="str">
        <f aca="false">IF(AND($J502=1,$M502=0),IF(AF502&gt;0.0000001,1,0),"")</f>
        <v/>
      </c>
      <c r="AH502" s="15" t="n">
        <f aca="false">IF($J502=1,IF($M502=1,AB502,AG502),"")</f>
        <v>1</v>
      </c>
      <c r="AI502" s="13" t="n">
        <f aca="false">IF($J502=1,(Ideal_P-E502)/Span_P,"")</f>
        <v>0.256305979830835</v>
      </c>
      <c r="AJ502" s="13" t="n">
        <f aca="false">IF($J502=1,(Ideal_S-F502)/Span_S,"")</f>
        <v>0.225806451612903</v>
      </c>
      <c r="AK502" s="13" t="n">
        <f aca="false">IF($J502=1,(Ideal_B-G502)/Span_B,"")</f>
        <v>0.713333333333333</v>
      </c>
      <c r="AL502" s="12" t="n">
        <f aca="false">IF($J502=1,MAX(ChA_1*AI502,ChA_2*AJ502,ChA_3*AK502)+Rho*(ChA_1*AI502+ChA_2*AJ502+ChA_3*AK502),"")</f>
        <v>0.713452877909811</v>
      </c>
      <c r="AM502" s="12" t="n">
        <f aca="false">IF($J502=1,MAX(ChB_1*AI502,ChB_2*AJ502,ChB_3*AK502)+Rho*(ChB_1*AI502+ChB_2*AJ502+ChB_3*AK502),"")</f>
        <v>0.713478508507794</v>
      </c>
      <c r="AN502" s="12" t="n">
        <f aca="false">IF($J502=1,MAX(Cx_1*(Ref_P-E502)/Span_P,Cx_2*(Ref_S-F502)/Span_S,Cx_3*(Ref_B-G502)/Span_B),"")</f>
        <v>1.82352941176471</v>
      </c>
    </row>
    <row r="503" customFormat="false" ht="15" hidden="false" customHeight="false" outlineLevel="0" collapsed="false">
      <c r="A503" s="2" t="n">
        <v>497</v>
      </c>
      <c r="B503" s="15" t="n">
        <f aca="false">INT(A503/151)</f>
        <v>3</v>
      </c>
      <c r="C503" s="15" t="n">
        <f aca="false">MOD(A503,151)</f>
        <v>44</v>
      </c>
      <c r="D503" s="15" t="n">
        <f aca="false">INDEX(Grid!$J$6:$P$156,C503+1,B503+1)</f>
        <v>1</v>
      </c>
      <c r="E503" s="16" t="n">
        <f aca="false">IF(D503=1,INDEX(Grid!$B$6:$H$156,C503+1,B503+1),"")</f>
        <v>290.451985565273</v>
      </c>
      <c r="F503" s="13" t="n">
        <f aca="false">Val_pt*(Ceiling_e-E_zero)*(1-(1-Half_gap)^B503)</f>
        <v>122.5</v>
      </c>
      <c r="G503" s="15" t="n">
        <f aca="false">C503</f>
        <v>44</v>
      </c>
      <c r="H503" s="15" t="n">
        <f aca="false">IF(D503=1,INDEX(Grid!$R$6:$X$156,C503+1,B503+1),"")</f>
        <v>56</v>
      </c>
      <c r="I503" s="2" t="str">
        <f aca="false">IF(D503=1,INDEX(Sch_label,H503+1),"")</f>
        <v>1–3</v>
      </c>
      <c r="J503" s="15" t="n">
        <f aca="false">IF(D503=1,INDEX(Grid!$Z$6:$AF$156,C503+1,B503+1),0)</f>
        <v>1</v>
      </c>
      <c r="K503" s="16" t="n">
        <f aca="false">IF(J503=1,E503,0)</f>
        <v>290.451985565273</v>
      </c>
      <c r="L503" s="17" t="n">
        <f aca="false">IF(D503=1,E503+W_board*F503,"")</f>
        <v>981.93254988115</v>
      </c>
      <c r="M503" s="24" t="n">
        <v>1</v>
      </c>
      <c r="N503" s="25" t="n">
        <v>0.348973720143139</v>
      </c>
      <c r="O503" s="25" t="n">
        <v>0.519611355865293</v>
      </c>
      <c r="P503" s="25" t="n">
        <v>0.131414923991568</v>
      </c>
      <c r="Z503" s="12" t="n">
        <f aca="false">IF(AND($J503=1,$M503=1),N503*E503/Span_P+O503*F503/Span_S+P503*G503/Span_B,"")</f>
        <v>1.25711247070245</v>
      </c>
      <c r="AA503" s="12" t="n">
        <f aca="false">IF(AND($J503=1,$M503=1),SUMPRODUCT(MAX($J$6:$J$1062*(N503*$K$6:$K$1062/Span_P+O503*$F$6:$F$1062/Span_S+P503*$G$6:$G$1062/Span_B)-(1-$J$6:$J$1062)*1000000000)),"")</f>
        <v>1.25711247070245</v>
      </c>
      <c r="AB503" s="15" t="n">
        <f aca="false">IF(AND($J503=1,$M503=1),IF(AA503-Z503&lt;=0.000000001,1,0),"")</f>
        <v>1</v>
      </c>
      <c r="AC503" s="13" t="str">
        <f aca="false">IF(AND($J503=1,$M503=0),IF(S503="",0,S503*INDEX(Grid!$B$6:$H$156,R503+1,Q503+1))+IF(V503="",0,V503*INDEX(Grid!$B$6:$H$156,U503+1,T503+1))+IF(Y503="",0,Y503*INDEX(Grid!$B$6:$H$156,X503+1,W503+1)),"")</f>
        <v/>
      </c>
      <c r="AD503" s="13" t="str">
        <f aca="false">IF(AND($J503=1,$M503=0),IF(S503="",0,S503*Val_pt*(Ceiling_e-E_zero)*(1-(1-Half_gap)^Q503))+IF(V503="",0,V503*Val_pt*(Ceiling_e-E_zero)*(1-(1-Half_gap)^T503))+IF(Y503="",0,Y503*Val_pt*(Ceiling_e-E_zero)*(1-(1-Half_gap)^W503)),"")</f>
        <v/>
      </c>
      <c r="AE503" s="13" t="str">
        <f aca="false">IF(AND($J503=1,$M503=0),IF(S503="",0,S503*R503)+IF(V503="",0,V503*U503)+IF(Y503="",0,Y503*X503),"")</f>
        <v/>
      </c>
      <c r="AF503" s="12" t="str">
        <f aca="false">IF(AND($J503=1,$M503=0),MIN((AC503-E503)/Span_P,(AD503-F503)/Span_S,(AE503-G503)/Span_B),"")</f>
        <v/>
      </c>
      <c r="AG503" s="15" t="str">
        <f aca="false">IF(AND($J503=1,$M503=0),IF(AF503&gt;0.0000001,1,0),"")</f>
        <v/>
      </c>
      <c r="AH503" s="15" t="n">
        <f aca="false">IF($J503=1,IF($M503=1,AB503,AG503),"")</f>
        <v>1</v>
      </c>
      <c r="AI503" s="13" t="n">
        <f aca="false">IF($J503=1,(Ideal_P-E503)/Span_P,"")</f>
        <v>0.258816482607141</v>
      </c>
      <c r="AJ503" s="13" t="n">
        <f aca="false">IF($J503=1,(Ideal_S-F503)/Span_S,"")</f>
        <v>0.225806451612903</v>
      </c>
      <c r="AK503" s="13" t="n">
        <f aca="false">IF($J503=1,(Ideal_B-G503)/Span_B,"")</f>
        <v>0.706666666666667</v>
      </c>
      <c r="AL503" s="12" t="n">
        <f aca="false">IF($J503=1,MAX(ChA_1*AI503,ChA_2*AJ503,ChA_3*AK503)+Rho*(ChA_1*AI503+ChA_2*AJ503+ChA_3*AK503),"")</f>
        <v>0.706785795626755</v>
      </c>
      <c r="AM503" s="12" t="n">
        <f aca="false">IF($J503=1,MAX(ChB_1*AI503,ChB_2*AJ503,ChB_3*AK503)+Rho*(ChB_1*AI503+ChB_2*AJ503+ChB_3*AK503),"")</f>
        <v>0.706811677275016</v>
      </c>
      <c r="AN503" s="12" t="n">
        <f aca="false">IF($J503=1,MAX(Cx_1*(Ref_P-E503)/Span_P,Cx_2*(Ref_S-F503)/Span_S,Cx_3*(Ref_B-G503)/Span_B),"")</f>
        <v>1.80672268907563</v>
      </c>
    </row>
    <row r="504" customFormat="false" ht="15" hidden="false" customHeight="false" outlineLevel="0" collapsed="false">
      <c r="A504" s="2" t="n">
        <v>498</v>
      </c>
      <c r="B504" s="15" t="n">
        <f aca="false">INT(A504/151)</f>
        <v>3</v>
      </c>
      <c r="C504" s="15" t="n">
        <f aca="false">MOD(A504,151)</f>
        <v>45</v>
      </c>
      <c r="D504" s="15" t="n">
        <f aca="false">INDEX(Grid!$J$6:$P$156,C504+1,B504+1)</f>
        <v>1</v>
      </c>
      <c r="E504" s="16" t="n">
        <f aca="false">IF(D504=1,INDEX(Grid!$B$6:$H$156,C504+1,B504+1),"")</f>
        <v>289.542894656182</v>
      </c>
      <c r="F504" s="13" t="n">
        <f aca="false">Val_pt*(Ceiling_e-E_zero)*(1-(1-Half_gap)^B504)</f>
        <v>122.5</v>
      </c>
      <c r="G504" s="15" t="n">
        <f aca="false">C504</f>
        <v>45</v>
      </c>
      <c r="H504" s="15" t="n">
        <f aca="false">IF(D504=1,INDEX(Grid!$R$6:$X$156,C504+1,B504+1),"")</f>
        <v>56</v>
      </c>
      <c r="I504" s="2" t="str">
        <f aca="false">IF(D504=1,INDEX(Sch_label,H504+1),"")</f>
        <v>1–3</v>
      </c>
      <c r="J504" s="15" t="n">
        <f aca="false">IF(D504=1,INDEX(Grid!$Z$6:$AF$156,C504+1,B504+1),0)</f>
        <v>1</v>
      </c>
      <c r="K504" s="16" t="n">
        <f aca="false">IF(J504=1,E504,0)</f>
        <v>289.542894656182</v>
      </c>
      <c r="L504" s="17" t="n">
        <f aca="false">IF(D504=1,E504+W_board*F504,"")</f>
        <v>981.023458972059</v>
      </c>
      <c r="M504" s="24" t="n">
        <v>1</v>
      </c>
      <c r="N504" s="25" t="n">
        <v>0.348973720143137</v>
      </c>
      <c r="O504" s="25" t="n">
        <v>0.519611355865302</v>
      </c>
      <c r="P504" s="25" t="n">
        <v>0.131414923991562</v>
      </c>
      <c r="Z504" s="12" t="n">
        <f aca="false">IF(AND($J504=1,$M504=1),N504*E504/Span_P+O504*F504/Span_S+P504*G504/Span_B,"")</f>
        <v>1.25711247070247</v>
      </c>
      <c r="AA504" s="12" t="n">
        <f aca="false">IF(AND($J504=1,$M504=1),SUMPRODUCT(MAX($J$6:$J$1062*(N504*$K$6:$K$1062/Span_P+O504*$F$6:$F$1062/Span_S+P504*$G$6:$G$1062/Span_B)-(1-$J$6:$J$1062)*1000000000)),"")</f>
        <v>1.25711247070247</v>
      </c>
      <c r="AB504" s="15" t="n">
        <f aca="false">IF(AND($J504=1,$M504=1),IF(AA504-Z504&lt;=0.000000001,1,0),"")</f>
        <v>1</v>
      </c>
      <c r="AC504" s="13" t="str">
        <f aca="false">IF(AND($J504=1,$M504=0),IF(S504="",0,S504*INDEX(Grid!$B$6:$H$156,R504+1,Q504+1))+IF(V504="",0,V504*INDEX(Grid!$B$6:$H$156,U504+1,T504+1))+IF(Y504="",0,Y504*INDEX(Grid!$B$6:$H$156,X504+1,W504+1)),"")</f>
        <v/>
      </c>
      <c r="AD504" s="13" t="str">
        <f aca="false">IF(AND($J504=1,$M504=0),IF(S504="",0,S504*Val_pt*(Ceiling_e-E_zero)*(1-(1-Half_gap)^Q504))+IF(V504="",0,V504*Val_pt*(Ceiling_e-E_zero)*(1-(1-Half_gap)^T504))+IF(Y504="",0,Y504*Val_pt*(Ceiling_e-E_zero)*(1-(1-Half_gap)^W504)),"")</f>
        <v/>
      </c>
      <c r="AE504" s="13" t="str">
        <f aca="false">IF(AND($J504=1,$M504=0),IF(S504="",0,S504*R504)+IF(V504="",0,V504*U504)+IF(Y504="",0,Y504*X504),"")</f>
        <v/>
      </c>
      <c r="AF504" s="12" t="str">
        <f aca="false">IF(AND($J504=1,$M504=0),MIN((AC504-E504)/Span_P,(AD504-F504)/Span_S,(AE504-G504)/Span_B),"")</f>
        <v/>
      </c>
      <c r="AG504" s="15" t="str">
        <f aca="false">IF(AND($J504=1,$M504=0),IF(AF504&gt;0.0000001,1,0),"")</f>
        <v/>
      </c>
      <c r="AH504" s="15" t="n">
        <f aca="false">IF($J504=1,IF($M504=1,AB504,AG504),"")</f>
        <v>1</v>
      </c>
      <c r="AI504" s="13" t="n">
        <f aca="false">IF($J504=1,(Ideal_P-E504)/Span_P,"")</f>
        <v>0.261326985383446</v>
      </c>
      <c r="AJ504" s="13" t="n">
        <f aca="false">IF($J504=1,(Ideal_S-F504)/Span_S,"")</f>
        <v>0.225806451612903</v>
      </c>
      <c r="AK504" s="13" t="n">
        <f aca="false">IF($J504=1,(Ideal_B-G504)/Span_B,"")</f>
        <v>0.7</v>
      </c>
      <c r="AL504" s="12" t="n">
        <f aca="false">IF($J504=1,MAX(ChA_1*AI504,ChA_2*AJ504,ChA_3*AK504)+Rho*(ChA_1*AI504+ChA_2*AJ504+ChA_3*AK504),"")</f>
        <v>0.7001187133437</v>
      </c>
      <c r="AM504" s="12" t="n">
        <f aca="false">IF($J504=1,MAX(ChB_1*AI504,ChB_2*AJ504,ChB_3*AK504)+Rho*(ChB_1*AI504+ChB_2*AJ504+ChB_3*AK504),"")</f>
        <v>0.700144846042238</v>
      </c>
      <c r="AN504" s="12" t="n">
        <f aca="false">IF($J504=1,MAX(Cx_1*(Ref_P-E504)/Span_P,Cx_2*(Ref_S-F504)/Span_S,Cx_3*(Ref_B-G504)/Span_B),"")</f>
        <v>1.78991596638655</v>
      </c>
    </row>
    <row r="505" customFormat="false" ht="15" hidden="false" customHeight="false" outlineLevel="0" collapsed="false">
      <c r="A505" s="2" t="n">
        <v>499</v>
      </c>
      <c r="B505" s="15" t="n">
        <f aca="false">INT(A505/151)</f>
        <v>3</v>
      </c>
      <c r="C505" s="15" t="n">
        <f aca="false">MOD(A505,151)</f>
        <v>46</v>
      </c>
      <c r="D505" s="15" t="n">
        <f aca="false">INDEX(Grid!$J$6:$P$156,C505+1,B505+1)</f>
        <v>1</v>
      </c>
      <c r="E505" s="16" t="n">
        <f aca="false">IF(D505=1,INDEX(Grid!$B$6:$H$156,C505+1,B505+1),"")</f>
        <v>288.633803747091</v>
      </c>
      <c r="F505" s="13" t="n">
        <f aca="false">Val_pt*(Ceiling_e-E_zero)*(1-(1-Half_gap)^B505)</f>
        <v>122.5</v>
      </c>
      <c r="G505" s="15" t="n">
        <f aca="false">C505</f>
        <v>46</v>
      </c>
      <c r="H505" s="15" t="n">
        <f aca="false">IF(D505=1,INDEX(Grid!$R$6:$X$156,C505+1,B505+1),"")</f>
        <v>56</v>
      </c>
      <c r="I505" s="2" t="str">
        <f aca="false">IF(D505=1,INDEX(Sch_label,H505+1),"")</f>
        <v>1–3</v>
      </c>
      <c r="J505" s="15" t="n">
        <f aca="false">IF(D505=1,INDEX(Grid!$Z$6:$AF$156,C505+1,B505+1),0)</f>
        <v>1</v>
      </c>
      <c r="K505" s="16" t="n">
        <f aca="false">IF(J505=1,E505,0)</f>
        <v>288.633803747091</v>
      </c>
      <c r="L505" s="17" t="n">
        <f aca="false">IF(D505=1,E505+W_board*F505,"")</f>
        <v>980.114368062968</v>
      </c>
      <c r="M505" s="24" t="n">
        <v>1</v>
      </c>
      <c r="N505" s="25" t="n">
        <v>0.348973720143138</v>
      </c>
      <c r="O505" s="25" t="n">
        <v>0.519611355865294</v>
      </c>
      <c r="P505" s="25" t="n">
        <v>0.131414923991567</v>
      </c>
      <c r="Z505" s="12" t="n">
        <f aca="false">IF(AND($J505=1,$M505=1),N505*E505/Span_P+O505*F505/Span_S+P505*G505/Span_B,"")</f>
        <v>1.25711247070246</v>
      </c>
      <c r="AA505" s="12" t="n">
        <f aca="false">IF(AND($J505=1,$M505=1),SUMPRODUCT(MAX($J$6:$J$1062*(N505*$K$6:$K$1062/Span_P+O505*$F$6:$F$1062/Span_S+P505*$G$6:$G$1062/Span_B)-(1-$J$6:$J$1062)*1000000000)),"")</f>
        <v>1.25711247070246</v>
      </c>
      <c r="AB505" s="15" t="n">
        <f aca="false">IF(AND($J505=1,$M505=1),IF(AA505-Z505&lt;=0.000000001,1,0),"")</f>
        <v>1</v>
      </c>
      <c r="AC505" s="13" t="str">
        <f aca="false">IF(AND($J505=1,$M505=0),IF(S505="",0,S505*INDEX(Grid!$B$6:$H$156,R505+1,Q505+1))+IF(V505="",0,V505*INDEX(Grid!$B$6:$H$156,U505+1,T505+1))+IF(Y505="",0,Y505*INDEX(Grid!$B$6:$H$156,X505+1,W505+1)),"")</f>
        <v/>
      </c>
      <c r="AD505" s="13" t="str">
        <f aca="false">IF(AND($J505=1,$M505=0),IF(S505="",0,S505*Val_pt*(Ceiling_e-E_zero)*(1-(1-Half_gap)^Q505))+IF(V505="",0,V505*Val_pt*(Ceiling_e-E_zero)*(1-(1-Half_gap)^T505))+IF(Y505="",0,Y505*Val_pt*(Ceiling_e-E_zero)*(1-(1-Half_gap)^W505)),"")</f>
        <v/>
      </c>
      <c r="AE505" s="13" t="str">
        <f aca="false">IF(AND($J505=1,$M505=0),IF(S505="",0,S505*R505)+IF(V505="",0,V505*U505)+IF(Y505="",0,Y505*X505),"")</f>
        <v/>
      </c>
      <c r="AF505" s="12" t="str">
        <f aca="false">IF(AND($J505=1,$M505=0),MIN((AC505-E505)/Span_P,(AD505-F505)/Span_S,(AE505-G505)/Span_B),"")</f>
        <v/>
      </c>
      <c r="AG505" s="15" t="str">
        <f aca="false">IF(AND($J505=1,$M505=0),IF(AF505&gt;0.0000001,1,0),"")</f>
        <v/>
      </c>
      <c r="AH505" s="15" t="n">
        <f aca="false">IF($J505=1,IF($M505=1,AB505,AG505),"")</f>
        <v>1</v>
      </c>
      <c r="AI505" s="13" t="n">
        <f aca="false">IF($J505=1,(Ideal_P-E505)/Span_P,"")</f>
        <v>0.263837488159752</v>
      </c>
      <c r="AJ505" s="13" t="n">
        <f aca="false">IF($J505=1,(Ideal_S-F505)/Span_S,"")</f>
        <v>0.225806451612903</v>
      </c>
      <c r="AK505" s="13" t="n">
        <f aca="false">IF($J505=1,(Ideal_B-G505)/Span_B,"")</f>
        <v>0.693333333333333</v>
      </c>
      <c r="AL505" s="12" t="n">
        <f aca="false">IF($J505=1,MAX(ChA_1*AI505,ChA_2*AJ505,ChA_3*AK505)+Rho*(ChA_1*AI505+ChA_2*AJ505+ChA_3*AK505),"")</f>
        <v>0.693451631060644</v>
      </c>
      <c r="AM505" s="12" t="n">
        <f aca="false">IF($J505=1,MAX(ChB_1*AI505,ChB_2*AJ505,ChB_3*AK505)+Rho*(ChB_1*AI505+ChB_2*AJ505+ChB_3*AK505),"")</f>
        <v>0.69347801480946</v>
      </c>
      <c r="AN505" s="12" t="n">
        <f aca="false">IF($J505=1,MAX(Cx_1*(Ref_P-E505)/Span_P,Cx_2*(Ref_S-F505)/Span_S,Cx_3*(Ref_B-G505)/Span_B),"")</f>
        <v>1.77310924369748</v>
      </c>
    </row>
    <row r="506" customFormat="false" ht="15" hidden="false" customHeight="false" outlineLevel="0" collapsed="false">
      <c r="A506" s="2" t="n">
        <v>500</v>
      </c>
      <c r="B506" s="15" t="n">
        <f aca="false">INT(A506/151)</f>
        <v>3</v>
      </c>
      <c r="C506" s="15" t="n">
        <f aca="false">MOD(A506,151)</f>
        <v>47</v>
      </c>
      <c r="D506" s="15" t="n">
        <f aca="false">INDEX(Grid!$J$6:$P$156,C506+1,B506+1)</f>
        <v>1</v>
      </c>
      <c r="E506" s="16" t="n">
        <f aca="false">IF(D506=1,INDEX(Grid!$B$6:$H$156,C506+1,B506+1),"")</f>
        <v>287.724712838</v>
      </c>
      <c r="F506" s="13" t="n">
        <f aca="false">Val_pt*(Ceiling_e-E_zero)*(1-(1-Half_gap)^B506)</f>
        <v>122.5</v>
      </c>
      <c r="G506" s="15" t="n">
        <f aca="false">C506</f>
        <v>47</v>
      </c>
      <c r="H506" s="15" t="n">
        <f aca="false">IF(D506=1,INDEX(Grid!$R$6:$X$156,C506+1,B506+1),"")</f>
        <v>56</v>
      </c>
      <c r="I506" s="2" t="str">
        <f aca="false">IF(D506=1,INDEX(Sch_label,H506+1),"")</f>
        <v>1–3</v>
      </c>
      <c r="J506" s="15" t="n">
        <f aca="false">IF(D506=1,INDEX(Grid!$Z$6:$AF$156,C506+1,B506+1),0)</f>
        <v>1</v>
      </c>
      <c r="K506" s="16" t="n">
        <f aca="false">IF(J506=1,E506,0)</f>
        <v>287.724712838</v>
      </c>
      <c r="L506" s="17" t="n">
        <f aca="false">IF(D506=1,E506+W_board*F506,"")</f>
        <v>979.205277153877</v>
      </c>
      <c r="M506" s="24" t="n">
        <v>1</v>
      </c>
      <c r="N506" s="25" t="n">
        <v>0.348973720143137</v>
      </c>
      <c r="O506" s="25" t="n">
        <v>0.519611355865302</v>
      </c>
      <c r="P506" s="25" t="n">
        <v>0.131414923991562</v>
      </c>
      <c r="Z506" s="12" t="n">
        <f aca="false">IF(AND($J506=1,$M506=1),N506*E506/Span_P+O506*F506/Span_S+P506*G506/Span_B,"")</f>
        <v>1.25711247070247</v>
      </c>
      <c r="AA506" s="12" t="n">
        <f aca="false">IF(AND($J506=1,$M506=1),SUMPRODUCT(MAX($J$6:$J$1062*(N506*$K$6:$K$1062/Span_P+O506*$F$6:$F$1062/Span_S+P506*$G$6:$G$1062/Span_B)-(1-$J$6:$J$1062)*1000000000)),"")</f>
        <v>1.25711247070247</v>
      </c>
      <c r="AB506" s="15" t="n">
        <f aca="false">IF(AND($J506=1,$M506=1),IF(AA506-Z506&lt;=0.000000001,1,0),"")</f>
        <v>1</v>
      </c>
      <c r="AC506" s="13" t="str">
        <f aca="false">IF(AND($J506=1,$M506=0),IF(S506="",0,S506*INDEX(Grid!$B$6:$H$156,R506+1,Q506+1))+IF(V506="",0,V506*INDEX(Grid!$B$6:$H$156,U506+1,T506+1))+IF(Y506="",0,Y506*INDEX(Grid!$B$6:$H$156,X506+1,W506+1)),"")</f>
        <v/>
      </c>
      <c r="AD506" s="13" t="str">
        <f aca="false">IF(AND($J506=1,$M506=0),IF(S506="",0,S506*Val_pt*(Ceiling_e-E_zero)*(1-(1-Half_gap)^Q506))+IF(V506="",0,V506*Val_pt*(Ceiling_e-E_zero)*(1-(1-Half_gap)^T506))+IF(Y506="",0,Y506*Val_pt*(Ceiling_e-E_zero)*(1-(1-Half_gap)^W506)),"")</f>
        <v/>
      </c>
      <c r="AE506" s="13" t="str">
        <f aca="false">IF(AND($J506=1,$M506=0),IF(S506="",0,S506*R506)+IF(V506="",0,V506*U506)+IF(Y506="",0,Y506*X506),"")</f>
        <v/>
      </c>
      <c r="AF506" s="12" t="str">
        <f aca="false">IF(AND($J506=1,$M506=0),MIN((AC506-E506)/Span_P,(AD506-F506)/Span_S,(AE506-G506)/Span_B),"")</f>
        <v/>
      </c>
      <c r="AG506" s="15" t="str">
        <f aca="false">IF(AND($J506=1,$M506=0),IF(AF506&gt;0.0000001,1,0),"")</f>
        <v/>
      </c>
      <c r="AH506" s="15" t="n">
        <f aca="false">IF($J506=1,IF($M506=1,AB506,AG506),"")</f>
        <v>1</v>
      </c>
      <c r="AI506" s="13" t="n">
        <f aca="false">IF($J506=1,(Ideal_P-E506)/Span_P,"")</f>
        <v>0.266347990936058</v>
      </c>
      <c r="AJ506" s="13" t="n">
        <f aca="false">IF($J506=1,(Ideal_S-F506)/Span_S,"")</f>
        <v>0.225806451612903</v>
      </c>
      <c r="AK506" s="13" t="n">
        <f aca="false">IF($J506=1,(Ideal_B-G506)/Span_B,"")</f>
        <v>0.686666666666667</v>
      </c>
      <c r="AL506" s="12" t="n">
        <f aca="false">IF($J506=1,MAX(ChA_1*AI506,ChA_2*AJ506,ChA_3*AK506)+Rho*(ChA_1*AI506+ChA_2*AJ506+ChA_3*AK506),"")</f>
        <v>0.686784548777588</v>
      </c>
      <c r="AM506" s="12" t="n">
        <f aca="false">IF($J506=1,MAX(ChB_1*AI506,ChB_2*AJ506,ChB_3*AK506)+Rho*(ChB_1*AI506+ChB_2*AJ506+ChB_3*AK506),"")</f>
        <v>0.686811183576682</v>
      </c>
      <c r="AN506" s="12" t="n">
        <f aca="false">IF($J506=1,MAX(Cx_1*(Ref_P-E506)/Span_P,Cx_2*(Ref_S-F506)/Span_S,Cx_3*(Ref_B-G506)/Span_B),"")</f>
        <v>1.7563025210084</v>
      </c>
    </row>
    <row r="507" customFormat="false" ht="15" hidden="false" customHeight="false" outlineLevel="0" collapsed="false">
      <c r="A507" s="2" t="n">
        <v>501</v>
      </c>
      <c r="B507" s="15" t="n">
        <f aca="false">INT(A507/151)</f>
        <v>3</v>
      </c>
      <c r="C507" s="15" t="n">
        <f aca="false">MOD(A507,151)</f>
        <v>48</v>
      </c>
      <c r="D507" s="15" t="n">
        <f aca="false">INDEX(Grid!$J$6:$P$156,C507+1,B507+1)</f>
        <v>1</v>
      </c>
      <c r="E507" s="16" t="n">
        <f aca="false">IF(D507=1,INDEX(Grid!$B$6:$H$156,C507+1,B507+1),"")</f>
        <v>286.815621928909</v>
      </c>
      <c r="F507" s="13" t="n">
        <f aca="false">Val_pt*(Ceiling_e-E_zero)*(1-(1-Half_gap)^B507)</f>
        <v>122.5</v>
      </c>
      <c r="G507" s="15" t="n">
        <f aca="false">C507</f>
        <v>48</v>
      </c>
      <c r="H507" s="15" t="n">
        <f aca="false">IF(D507=1,INDEX(Grid!$R$6:$X$156,C507+1,B507+1),"")</f>
        <v>56</v>
      </c>
      <c r="I507" s="2" t="str">
        <f aca="false">IF(D507=1,INDEX(Sch_label,H507+1),"")</f>
        <v>1–3</v>
      </c>
      <c r="J507" s="15" t="n">
        <f aca="false">IF(D507=1,INDEX(Grid!$Z$6:$AF$156,C507+1,B507+1),0)</f>
        <v>1</v>
      </c>
      <c r="K507" s="16" t="n">
        <f aca="false">IF(J507=1,E507,0)</f>
        <v>286.815621928909</v>
      </c>
      <c r="L507" s="17" t="n">
        <f aca="false">IF(D507=1,E507+W_board*F507,"")</f>
        <v>978.296186244786</v>
      </c>
      <c r="M507" s="24" t="n">
        <v>1</v>
      </c>
      <c r="N507" s="25" t="n">
        <v>0.348973720143139</v>
      </c>
      <c r="O507" s="25" t="n">
        <v>0.519611355865293</v>
      </c>
      <c r="P507" s="25" t="n">
        <v>0.131414923991568</v>
      </c>
      <c r="Z507" s="12" t="n">
        <f aca="false">IF(AND($J507=1,$M507=1),N507*E507/Span_P+O507*F507/Span_S+P507*G507/Span_B,"")</f>
        <v>1.25711247070245</v>
      </c>
      <c r="AA507" s="12" t="n">
        <f aca="false">IF(AND($J507=1,$M507=1),SUMPRODUCT(MAX($J$6:$J$1062*(N507*$K$6:$K$1062/Span_P+O507*$F$6:$F$1062/Span_S+P507*$G$6:$G$1062/Span_B)-(1-$J$6:$J$1062)*1000000000)),"")</f>
        <v>1.25711247070246</v>
      </c>
      <c r="AB507" s="15" t="n">
        <f aca="false">IF(AND($J507=1,$M507=1),IF(AA507-Z507&lt;=0.000000001,1,0),"")</f>
        <v>1</v>
      </c>
      <c r="AC507" s="13" t="str">
        <f aca="false">IF(AND($J507=1,$M507=0),IF(S507="",0,S507*INDEX(Grid!$B$6:$H$156,R507+1,Q507+1))+IF(V507="",0,V507*INDEX(Grid!$B$6:$H$156,U507+1,T507+1))+IF(Y507="",0,Y507*INDEX(Grid!$B$6:$H$156,X507+1,W507+1)),"")</f>
        <v/>
      </c>
      <c r="AD507" s="13" t="str">
        <f aca="false">IF(AND($J507=1,$M507=0),IF(S507="",0,S507*Val_pt*(Ceiling_e-E_zero)*(1-(1-Half_gap)^Q507))+IF(V507="",0,V507*Val_pt*(Ceiling_e-E_zero)*(1-(1-Half_gap)^T507))+IF(Y507="",0,Y507*Val_pt*(Ceiling_e-E_zero)*(1-(1-Half_gap)^W507)),"")</f>
        <v/>
      </c>
      <c r="AE507" s="13" t="str">
        <f aca="false">IF(AND($J507=1,$M507=0),IF(S507="",0,S507*R507)+IF(V507="",0,V507*U507)+IF(Y507="",0,Y507*X507),"")</f>
        <v/>
      </c>
      <c r="AF507" s="12" t="str">
        <f aca="false">IF(AND($J507=1,$M507=0),MIN((AC507-E507)/Span_P,(AD507-F507)/Span_S,(AE507-G507)/Span_B),"")</f>
        <v/>
      </c>
      <c r="AG507" s="15" t="str">
        <f aca="false">IF(AND($J507=1,$M507=0),IF(AF507&gt;0.0000001,1,0),"")</f>
        <v/>
      </c>
      <c r="AH507" s="15" t="n">
        <f aca="false">IF($J507=1,IF($M507=1,AB507,AG507),"")</f>
        <v>1</v>
      </c>
      <c r="AI507" s="13" t="n">
        <f aca="false">IF($J507=1,(Ideal_P-E507)/Span_P,"")</f>
        <v>0.268858493712364</v>
      </c>
      <c r="AJ507" s="13" t="n">
        <f aca="false">IF($J507=1,(Ideal_S-F507)/Span_S,"")</f>
        <v>0.225806451612903</v>
      </c>
      <c r="AK507" s="13" t="n">
        <f aca="false">IF($J507=1,(Ideal_B-G507)/Span_B,"")</f>
        <v>0.68</v>
      </c>
      <c r="AL507" s="12" t="n">
        <f aca="false">IF($J507=1,MAX(ChA_1*AI507,ChA_2*AJ507,ChA_3*AK507)+Rho*(ChA_1*AI507+ChA_2*AJ507+ChA_3*AK507),"")</f>
        <v>0.680117466494533</v>
      </c>
      <c r="AM507" s="12" t="n">
        <f aca="false">IF($J507=1,MAX(ChB_1*AI507,ChB_2*AJ507,ChB_3*AK507)+Rho*(ChB_1*AI507+ChB_2*AJ507+ChB_3*AK507),"")</f>
        <v>0.680144352343904</v>
      </c>
      <c r="AN507" s="12" t="n">
        <f aca="false">IF($J507=1,MAX(Cx_1*(Ref_P-E507)/Span_P,Cx_2*(Ref_S-F507)/Span_S,Cx_3*(Ref_B-G507)/Span_B),"")</f>
        <v>1.73949579831933</v>
      </c>
    </row>
    <row r="508" customFormat="false" ht="15" hidden="false" customHeight="false" outlineLevel="0" collapsed="false">
      <c r="A508" s="2" t="n">
        <v>502</v>
      </c>
      <c r="B508" s="15" t="n">
        <f aca="false">INT(A508/151)</f>
        <v>3</v>
      </c>
      <c r="C508" s="15" t="n">
        <f aca="false">MOD(A508,151)</f>
        <v>49</v>
      </c>
      <c r="D508" s="15" t="n">
        <f aca="false">INDEX(Grid!$J$6:$P$156,C508+1,B508+1)</f>
        <v>1</v>
      </c>
      <c r="E508" s="16" t="n">
        <f aca="false">IF(D508=1,INDEX(Grid!$B$6:$H$156,C508+1,B508+1),"")</f>
        <v>285.906531019818</v>
      </c>
      <c r="F508" s="13" t="n">
        <f aca="false">Val_pt*(Ceiling_e-E_zero)*(1-(1-Half_gap)^B508)</f>
        <v>122.5</v>
      </c>
      <c r="G508" s="15" t="n">
        <f aca="false">C508</f>
        <v>49</v>
      </c>
      <c r="H508" s="15" t="n">
        <f aca="false">IF(D508=1,INDEX(Grid!$R$6:$X$156,C508+1,B508+1),"")</f>
        <v>56</v>
      </c>
      <c r="I508" s="2" t="str">
        <f aca="false">IF(D508=1,INDEX(Sch_label,H508+1),"")</f>
        <v>1–3</v>
      </c>
      <c r="J508" s="15" t="n">
        <f aca="false">IF(D508=1,INDEX(Grid!$Z$6:$AF$156,C508+1,B508+1),0)</f>
        <v>1</v>
      </c>
      <c r="K508" s="16" t="n">
        <f aca="false">IF(J508=1,E508,0)</f>
        <v>285.906531019818</v>
      </c>
      <c r="L508" s="17" t="n">
        <f aca="false">IF(D508=1,E508+W_board*F508,"")</f>
        <v>977.387095335695</v>
      </c>
      <c r="M508" s="24" t="n">
        <v>1</v>
      </c>
      <c r="N508" s="25" t="n">
        <v>0.348973720143139</v>
      </c>
      <c r="O508" s="25" t="n">
        <v>0.519611355865293</v>
      </c>
      <c r="P508" s="25" t="n">
        <v>0.131414923991568</v>
      </c>
      <c r="Z508" s="12" t="n">
        <f aca="false">IF(AND($J508=1,$M508=1),N508*E508/Span_P+O508*F508/Span_S+P508*G508/Span_B,"")</f>
        <v>1.25711247070245</v>
      </c>
      <c r="AA508" s="12" t="n">
        <f aca="false">IF(AND($J508=1,$M508=1),SUMPRODUCT(MAX($J$6:$J$1062*(N508*$K$6:$K$1062/Span_P+O508*$F$6:$F$1062/Span_S+P508*$G$6:$G$1062/Span_B)-(1-$J$6:$J$1062)*1000000000)),"")</f>
        <v>1.25711247070246</v>
      </c>
      <c r="AB508" s="15" t="n">
        <f aca="false">IF(AND($J508=1,$M508=1),IF(AA508-Z508&lt;=0.000000001,1,0),"")</f>
        <v>1</v>
      </c>
      <c r="AC508" s="13" t="str">
        <f aca="false">IF(AND($J508=1,$M508=0),IF(S508="",0,S508*INDEX(Grid!$B$6:$H$156,R508+1,Q508+1))+IF(V508="",0,V508*INDEX(Grid!$B$6:$H$156,U508+1,T508+1))+IF(Y508="",0,Y508*INDEX(Grid!$B$6:$H$156,X508+1,W508+1)),"")</f>
        <v/>
      </c>
      <c r="AD508" s="13" t="str">
        <f aca="false">IF(AND($J508=1,$M508=0),IF(S508="",0,S508*Val_pt*(Ceiling_e-E_zero)*(1-(1-Half_gap)^Q508))+IF(V508="",0,V508*Val_pt*(Ceiling_e-E_zero)*(1-(1-Half_gap)^T508))+IF(Y508="",0,Y508*Val_pt*(Ceiling_e-E_zero)*(1-(1-Half_gap)^W508)),"")</f>
        <v/>
      </c>
      <c r="AE508" s="13" t="str">
        <f aca="false">IF(AND($J508=1,$M508=0),IF(S508="",0,S508*R508)+IF(V508="",0,V508*U508)+IF(Y508="",0,Y508*X508),"")</f>
        <v/>
      </c>
      <c r="AF508" s="12" t="str">
        <f aca="false">IF(AND($J508=1,$M508=0),MIN((AC508-E508)/Span_P,(AD508-F508)/Span_S,(AE508-G508)/Span_B),"")</f>
        <v/>
      </c>
      <c r="AG508" s="15" t="str">
        <f aca="false">IF(AND($J508=1,$M508=0),IF(AF508&gt;0.0000001,1,0),"")</f>
        <v/>
      </c>
      <c r="AH508" s="15" t="n">
        <f aca="false">IF($J508=1,IF($M508=1,AB508,AG508),"")</f>
        <v>1</v>
      </c>
      <c r="AI508" s="13" t="n">
        <f aca="false">IF($J508=1,(Ideal_P-E508)/Span_P,"")</f>
        <v>0.271368996488669</v>
      </c>
      <c r="AJ508" s="13" t="n">
        <f aca="false">IF($J508=1,(Ideal_S-F508)/Span_S,"")</f>
        <v>0.225806451612903</v>
      </c>
      <c r="AK508" s="13" t="n">
        <f aca="false">IF($J508=1,(Ideal_B-G508)/Span_B,"")</f>
        <v>0.673333333333333</v>
      </c>
      <c r="AL508" s="12" t="n">
        <f aca="false">IF($J508=1,MAX(ChA_1*AI508,ChA_2*AJ508,ChA_3*AK508)+Rho*(ChA_1*AI508+ChA_2*AJ508+ChA_3*AK508),"")</f>
        <v>0.673450384211477</v>
      </c>
      <c r="AM508" s="12" t="n">
        <f aca="false">IF($J508=1,MAX(ChB_1*AI508,ChB_2*AJ508,ChB_3*AK508)+Rho*(ChB_1*AI508+ChB_2*AJ508+ChB_3*AK508),"")</f>
        <v>0.673477521111126</v>
      </c>
      <c r="AN508" s="12" t="n">
        <f aca="false">IF($J508=1,MAX(Cx_1*(Ref_P-E508)/Span_P,Cx_2*(Ref_S-F508)/Span_S,Cx_3*(Ref_B-G508)/Span_B),"")</f>
        <v>1.72268907563025</v>
      </c>
    </row>
    <row r="509" customFormat="false" ht="15" hidden="false" customHeight="false" outlineLevel="0" collapsed="false">
      <c r="A509" s="2" t="n">
        <v>503</v>
      </c>
      <c r="B509" s="15" t="n">
        <f aca="false">INT(A509/151)</f>
        <v>3</v>
      </c>
      <c r="C509" s="15" t="n">
        <f aca="false">MOD(A509,151)</f>
        <v>50</v>
      </c>
      <c r="D509" s="15" t="n">
        <f aca="false">INDEX(Grid!$J$6:$P$156,C509+1,B509+1)</f>
        <v>1</v>
      </c>
      <c r="E509" s="16" t="n">
        <f aca="false">IF(D509=1,INDEX(Grid!$B$6:$H$156,C509+1,B509+1),"")</f>
        <v>284.997440110727</v>
      </c>
      <c r="F509" s="13" t="n">
        <f aca="false">Val_pt*(Ceiling_e-E_zero)*(1-(1-Half_gap)^B509)</f>
        <v>122.5</v>
      </c>
      <c r="G509" s="15" t="n">
        <f aca="false">C509</f>
        <v>50</v>
      </c>
      <c r="H509" s="15" t="n">
        <f aca="false">IF(D509=1,INDEX(Grid!$R$6:$X$156,C509+1,B509+1),"")</f>
        <v>56</v>
      </c>
      <c r="I509" s="2" t="str">
        <f aca="false">IF(D509=1,INDEX(Sch_label,H509+1),"")</f>
        <v>1–3</v>
      </c>
      <c r="J509" s="15" t="n">
        <f aca="false">IF(D509=1,INDEX(Grid!$Z$6:$AF$156,C509+1,B509+1),0)</f>
        <v>1</v>
      </c>
      <c r="K509" s="16" t="n">
        <f aca="false">IF(J509=1,E509,0)</f>
        <v>284.997440110727</v>
      </c>
      <c r="L509" s="17" t="n">
        <f aca="false">IF(D509=1,E509+W_board*F509,"")</f>
        <v>976.478004426604</v>
      </c>
      <c r="M509" s="24" t="n">
        <v>1</v>
      </c>
      <c r="N509" s="25" t="n">
        <v>0.348973720143137</v>
      </c>
      <c r="O509" s="25" t="n">
        <v>0.519611355865303</v>
      </c>
      <c r="P509" s="25" t="n">
        <v>0.131414923991561</v>
      </c>
      <c r="Z509" s="12" t="n">
        <f aca="false">IF(AND($J509=1,$M509=1),N509*E509/Span_P+O509*F509/Span_S+P509*G509/Span_B,"")</f>
        <v>1.25711247070247</v>
      </c>
      <c r="AA509" s="12" t="n">
        <f aca="false">IF(AND($J509=1,$M509=1),SUMPRODUCT(MAX($J$6:$J$1062*(N509*$K$6:$K$1062/Span_P+O509*$F$6:$F$1062/Span_S+P509*$G$6:$G$1062/Span_B)-(1-$J$6:$J$1062)*1000000000)),"")</f>
        <v>1.25711247070247</v>
      </c>
      <c r="AB509" s="15" t="n">
        <f aca="false">IF(AND($J509=1,$M509=1),IF(AA509-Z509&lt;=0.000000001,1,0),"")</f>
        <v>1</v>
      </c>
      <c r="AC509" s="13" t="str">
        <f aca="false">IF(AND($J509=1,$M509=0),IF(S509="",0,S509*INDEX(Grid!$B$6:$H$156,R509+1,Q509+1))+IF(V509="",0,V509*INDEX(Grid!$B$6:$H$156,U509+1,T509+1))+IF(Y509="",0,Y509*INDEX(Grid!$B$6:$H$156,X509+1,W509+1)),"")</f>
        <v/>
      </c>
      <c r="AD509" s="13" t="str">
        <f aca="false">IF(AND($J509=1,$M509=0),IF(S509="",0,S509*Val_pt*(Ceiling_e-E_zero)*(1-(1-Half_gap)^Q509))+IF(V509="",0,V509*Val_pt*(Ceiling_e-E_zero)*(1-(1-Half_gap)^T509))+IF(Y509="",0,Y509*Val_pt*(Ceiling_e-E_zero)*(1-(1-Half_gap)^W509)),"")</f>
        <v/>
      </c>
      <c r="AE509" s="13" t="str">
        <f aca="false">IF(AND($J509=1,$M509=0),IF(S509="",0,S509*R509)+IF(V509="",0,V509*U509)+IF(Y509="",0,Y509*X509),"")</f>
        <v/>
      </c>
      <c r="AF509" s="12" t="str">
        <f aca="false">IF(AND($J509=1,$M509=0),MIN((AC509-E509)/Span_P,(AD509-F509)/Span_S,(AE509-G509)/Span_B),"")</f>
        <v/>
      </c>
      <c r="AG509" s="15" t="str">
        <f aca="false">IF(AND($J509=1,$M509=0),IF(AF509&gt;0.0000001,1,0),"")</f>
        <v/>
      </c>
      <c r="AH509" s="15" t="n">
        <f aca="false">IF($J509=1,IF($M509=1,AB509,AG509),"")</f>
        <v>1</v>
      </c>
      <c r="AI509" s="13" t="n">
        <f aca="false">IF($J509=1,(Ideal_P-E509)/Span_P,"")</f>
        <v>0.273879499264975</v>
      </c>
      <c r="AJ509" s="13" t="n">
        <f aca="false">IF($J509=1,(Ideal_S-F509)/Span_S,"")</f>
        <v>0.225806451612903</v>
      </c>
      <c r="AK509" s="13" t="n">
        <f aca="false">IF($J509=1,(Ideal_B-G509)/Span_B,"")</f>
        <v>0.666666666666667</v>
      </c>
      <c r="AL509" s="12" t="n">
        <f aca="false">IF($J509=1,MAX(ChA_1*AI509,ChA_2*AJ509,ChA_3*AK509)+Rho*(ChA_1*AI509+ChA_2*AJ509+ChA_3*AK509),"")</f>
        <v>0.666783301928421</v>
      </c>
      <c r="AM509" s="12" t="n">
        <f aca="false">IF($J509=1,MAX(ChB_1*AI509,ChB_2*AJ509,ChB_3*AK509)+Rho*(ChB_1*AI509+ChB_2*AJ509+ChB_3*AK509),"")</f>
        <v>0.666810689878348</v>
      </c>
      <c r="AN509" s="12" t="n">
        <f aca="false">IF($J509=1,MAX(Cx_1*(Ref_P-E509)/Span_P,Cx_2*(Ref_S-F509)/Span_S,Cx_3*(Ref_B-G509)/Span_B),"")</f>
        <v>1.70588235294118</v>
      </c>
    </row>
    <row r="510" customFormat="false" ht="15" hidden="false" customHeight="false" outlineLevel="0" collapsed="false">
      <c r="A510" s="2" t="n">
        <v>504</v>
      </c>
      <c r="B510" s="15" t="n">
        <f aca="false">INT(A510/151)</f>
        <v>3</v>
      </c>
      <c r="C510" s="15" t="n">
        <f aca="false">MOD(A510,151)</f>
        <v>51</v>
      </c>
      <c r="D510" s="15" t="n">
        <f aca="false">INDEX(Grid!$J$6:$P$156,C510+1,B510+1)</f>
        <v>1</v>
      </c>
      <c r="E510" s="16" t="n">
        <f aca="false">IF(D510=1,INDEX(Grid!$B$6:$H$156,C510+1,B510+1),"")</f>
        <v>284.088349201636</v>
      </c>
      <c r="F510" s="13" t="n">
        <f aca="false">Val_pt*(Ceiling_e-E_zero)*(1-(1-Half_gap)^B510)</f>
        <v>122.5</v>
      </c>
      <c r="G510" s="15" t="n">
        <f aca="false">C510</f>
        <v>51</v>
      </c>
      <c r="H510" s="15" t="n">
        <f aca="false">IF(D510=1,INDEX(Grid!$R$6:$X$156,C510+1,B510+1),"")</f>
        <v>56</v>
      </c>
      <c r="I510" s="2" t="str">
        <f aca="false">IF(D510=1,INDEX(Sch_label,H510+1),"")</f>
        <v>1–3</v>
      </c>
      <c r="J510" s="15" t="n">
        <f aca="false">IF(D510=1,INDEX(Grid!$Z$6:$AF$156,C510+1,B510+1),0)</f>
        <v>1</v>
      </c>
      <c r="K510" s="16" t="n">
        <f aca="false">IF(J510=1,E510,0)</f>
        <v>284.088349201636</v>
      </c>
      <c r="L510" s="17" t="n">
        <f aca="false">IF(D510=1,E510+W_board*F510,"")</f>
        <v>975.568913517514</v>
      </c>
      <c r="M510" s="24" t="n">
        <v>1</v>
      </c>
      <c r="N510" s="25" t="n">
        <v>0.348973720143139</v>
      </c>
      <c r="O510" s="25" t="n">
        <v>0.519611355865293</v>
      </c>
      <c r="P510" s="25" t="n">
        <v>0.131414923991568</v>
      </c>
      <c r="Z510" s="12" t="n">
        <f aca="false">IF(AND($J510=1,$M510=1),N510*E510/Span_P+O510*F510/Span_S+P510*G510/Span_B,"")</f>
        <v>1.25711247070245</v>
      </c>
      <c r="AA510" s="12" t="n">
        <f aca="false">IF(AND($J510=1,$M510=1),SUMPRODUCT(MAX($J$6:$J$1062*(N510*$K$6:$K$1062/Span_P+O510*$F$6:$F$1062/Span_S+P510*$G$6:$G$1062/Span_B)-(1-$J$6:$J$1062)*1000000000)),"")</f>
        <v>1.25711247070246</v>
      </c>
      <c r="AB510" s="15" t="n">
        <f aca="false">IF(AND($J510=1,$M510=1),IF(AA510-Z510&lt;=0.000000001,1,0),"")</f>
        <v>1</v>
      </c>
      <c r="AC510" s="13" t="str">
        <f aca="false">IF(AND($J510=1,$M510=0),IF(S510="",0,S510*INDEX(Grid!$B$6:$H$156,R510+1,Q510+1))+IF(V510="",0,V510*INDEX(Grid!$B$6:$H$156,U510+1,T510+1))+IF(Y510="",0,Y510*INDEX(Grid!$B$6:$H$156,X510+1,W510+1)),"")</f>
        <v/>
      </c>
      <c r="AD510" s="13" t="str">
        <f aca="false">IF(AND($J510=1,$M510=0),IF(S510="",0,S510*Val_pt*(Ceiling_e-E_zero)*(1-(1-Half_gap)^Q510))+IF(V510="",0,V510*Val_pt*(Ceiling_e-E_zero)*(1-(1-Half_gap)^T510))+IF(Y510="",0,Y510*Val_pt*(Ceiling_e-E_zero)*(1-(1-Half_gap)^W510)),"")</f>
        <v/>
      </c>
      <c r="AE510" s="13" t="str">
        <f aca="false">IF(AND($J510=1,$M510=0),IF(S510="",0,S510*R510)+IF(V510="",0,V510*U510)+IF(Y510="",0,Y510*X510),"")</f>
        <v/>
      </c>
      <c r="AF510" s="12" t="str">
        <f aca="false">IF(AND($J510=1,$M510=0),MIN((AC510-E510)/Span_P,(AD510-F510)/Span_S,(AE510-G510)/Span_B),"")</f>
        <v/>
      </c>
      <c r="AG510" s="15" t="str">
        <f aca="false">IF(AND($J510=1,$M510=0),IF(AF510&gt;0.0000001,1,0),"")</f>
        <v/>
      </c>
      <c r="AH510" s="15" t="n">
        <f aca="false">IF($J510=1,IF($M510=1,AB510,AG510),"")</f>
        <v>1</v>
      </c>
      <c r="AI510" s="13" t="n">
        <f aca="false">IF($J510=1,(Ideal_P-E510)/Span_P,"")</f>
        <v>0.276390002041281</v>
      </c>
      <c r="AJ510" s="13" t="n">
        <f aca="false">IF($J510=1,(Ideal_S-F510)/Span_S,"")</f>
        <v>0.225806451612903</v>
      </c>
      <c r="AK510" s="13" t="n">
        <f aca="false">IF($J510=1,(Ideal_B-G510)/Span_B,"")</f>
        <v>0.66</v>
      </c>
      <c r="AL510" s="12" t="n">
        <f aca="false">IF($J510=1,MAX(ChA_1*AI510,ChA_2*AJ510,ChA_3*AK510)+Rho*(ChA_1*AI510+ChA_2*AJ510+ChA_3*AK510),"")</f>
        <v>0.660116219645366</v>
      </c>
      <c r="AM510" s="12" t="n">
        <f aca="false">IF($J510=1,MAX(ChB_1*AI510,ChB_2*AJ510,ChB_3*AK510)+Rho*(ChB_1*AI510+ChB_2*AJ510+ChB_3*AK510),"")</f>
        <v>0.66014385864557</v>
      </c>
      <c r="AN510" s="12" t="n">
        <f aca="false">IF($J510=1,MAX(Cx_1*(Ref_P-E510)/Span_P,Cx_2*(Ref_S-F510)/Span_S,Cx_3*(Ref_B-G510)/Span_B),"")</f>
        <v>1.6890756302521</v>
      </c>
    </row>
    <row r="511" customFormat="false" ht="15" hidden="false" customHeight="false" outlineLevel="0" collapsed="false">
      <c r="A511" s="2" t="n">
        <v>505</v>
      </c>
      <c r="B511" s="15" t="n">
        <f aca="false">INT(A511/151)</f>
        <v>3</v>
      </c>
      <c r="C511" s="15" t="n">
        <f aca="false">MOD(A511,151)</f>
        <v>52</v>
      </c>
      <c r="D511" s="15" t="n">
        <f aca="false">INDEX(Grid!$J$6:$P$156,C511+1,B511+1)</f>
        <v>1</v>
      </c>
      <c r="E511" s="16" t="n">
        <f aca="false">IF(D511=1,INDEX(Grid!$B$6:$H$156,C511+1,B511+1),"")</f>
        <v>283.179258292545</v>
      </c>
      <c r="F511" s="13" t="n">
        <f aca="false">Val_pt*(Ceiling_e-E_zero)*(1-(1-Half_gap)^B511)</f>
        <v>122.5</v>
      </c>
      <c r="G511" s="15" t="n">
        <f aca="false">C511</f>
        <v>52</v>
      </c>
      <c r="H511" s="15" t="n">
        <f aca="false">IF(D511=1,INDEX(Grid!$R$6:$X$156,C511+1,B511+1),"")</f>
        <v>56</v>
      </c>
      <c r="I511" s="2" t="str">
        <f aca="false">IF(D511=1,INDEX(Sch_label,H511+1),"")</f>
        <v>1–3</v>
      </c>
      <c r="J511" s="15" t="n">
        <f aca="false">IF(D511=1,INDEX(Grid!$Z$6:$AF$156,C511+1,B511+1),0)</f>
        <v>1</v>
      </c>
      <c r="K511" s="16" t="n">
        <f aca="false">IF(J511=1,E511,0)</f>
        <v>283.179258292545</v>
      </c>
      <c r="L511" s="17" t="n">
        <f aca="false">IF(D511=1,E511+W_board*F511,"")</f>
        <v>974.659822608423</v>
      </c>
      <c r="M511" s="24" t="n">
        <v>1</v>
      </c>
      <c r="N511" s="25" t="n">
        <v>0.348973720143137</v>
      </c>
      <c r="O511" s="25" t="n">
        <v>0.519611355865301</v>
      </c>
      <c r="P511" s="25" t="n">
        <v>0.131414923991562</v>
      </c>
      <c r="Z511" s="12" t="n">
        <f aca="false">IF(AND($J511=1,$M511=1),N511*E511/Span_P+O511*F511/Span_S+P511*G511/Span_B,"")</f>
        <v>1.25711247070246</v>
      </c>
      <c r="AA511" s="12" t="n">
        <f aca="false">IF(AND($J511=1,$M511=1),SUMPRODUCT(MAX($J$6:$J$1062*(N511*$K$6:$K$1062/Span_P+O511*$F$6:$F$1062/Span_S+P511*$G$6:$G$1062/Span_B)-(1-$J$6:$J$1062)*1000000000)),"")</f>
        <v>1.25711247070247</v>
      </c>
      <c r="AB511" s="15" t="n">
        <f aca="false">IF(AND($J511=1,$M511=1),IF(AA511-Z511&lt;=0.000000001,1,0),"")</f>
        <v>1</v>
      </c>
      <c r="AC511" s="13" t="str">
        <f aca="false">IF(AND($J511=1,$M511=0),IF(S511="",0,S511*INDEX(Grid!$B$6:$H$156,R511+1,Q511+1))+IF(V511="",0,V511*INDEX(Grid!$B$6:$H$156,U511+1,T511+1))+IF(Y511="",0,Y511*INDEX(Grid!$B$6:$H$156,X511+1,W511+1)),"")</f>
        <v/>
      </c>
      <c r="AD511" s="13" t="str">
        <f aca="false">IF(AND($J511=1,$M511=0),IF(S511="",0,S511*Val_pt*(Ceiling_e-E_zero)*(1-(1-Half_gap)^Q511))+IF(V511="",0,V511*Val_pt*(Ceiling_e-E_zero)*(1-(1-Half_gap)^T511))+IF(Y511="",0,Y511*Val_pt*(Ceiling_e-E_zero)*(1-(1-Half_gap)^W511)),"")</f>
        <v/>
      </c>
      <c r="AE511" s="13" t="str">
        <f aca="false">IF(AND($J511=1,$M511=0),IF(S511="",0,S511*R511)+IF(V511="",0,V511*U511)+IF(Y511="",0,Y511*X511),"")</f>
        <v/>
      </c>
      <c r="AF511" s="12" t="str">
        <f aca="false">IF(AND($J511=1,$M511=0),MIN((AC511-E511)/Span_P,(AD511-F511)/Span_S,(AE511-G511)/Span_B),"")</f>
        <v/>
      </c>
      <c r="AG511" s="15" t="str">
        <f aca="false">IF(AND($J511=1,$M511=0),IF(AF511&gt;0.0000001,1,0),"")</f>
        <v/>
      </c>
      <c r="AH511" s="15" t="n">
        <f aca="false">IF($J511=1,IF($M511=1,AB511,AG511),"")</f>
        <v>1</v>
      </c>
      <c r="AI511" s="13" t="n">
        <f aca="false">IF($J511=1,(Ideal_P-E511)/Span_P,"")</f>
        <v>0.278900504817587</v>
      </c>
      <c r="AJ511" s="13" t="n">
        <f aca="false">IF($J511=1,(Ideal_S-F511)/Span_S,"")</f>
        <v>0.225806451612903</v>
      </c>
      <c r="AK511" s="13" t="n">
        <f aca="false">IF($J511=1,(Ideal_B-G511)/Span_B,"")</f>
        <v>0.653333333333333</v>
      </c>
      <c r="AL511" s="12" t="n">
        <f aca="false">IF($J511=1,MAX(ChA_1*AI511,ChA_2*AJ511,ChA_3*AK511)+Rho*(ChA_1*AI511+ChA_2*AJ511+ChA_3*AK511),"")</f>
        <v>0.65344913736231</v>
      </c>
      <c r="AM511" s="12" t="n">
        <f aca="false">IF($J511=1,MAX(ChB_1*AI511,ChB_2*AJ511,ChB_3*AK511)+Rho*(ChB_1*AI511+ChB_2*AJ511+ChB_3*AK511),"")</f>
        <v>0.653477027412792</v>
      </c>
      <c r="AN511" s="12" t="n">
        <f aca="false">IF($J511=1,MAX(Cx_1*(Ref_P-E511)/Span_P,Cx_2*(Ref_S-F511)/Span_S,Cx_3*(Ref_B-G511)/Span_B),"")</f>
        <v>1.67226890756303</v>
      </c>
    </row>
    <row r="512" customFormat="false" ht="15" hidden="false" customHeight="false" outlineLevel="0" collapsed="false">
      <c r="A512" s="2" t="n">
        <v>506</v>
      </c>
      <c r="B512" s="15" t="n">
        <f aca="false">INT(A512/151)</f>
        <v>3</v>
      </c>
      <c r="C512" s="15" t="n">
        <f aca="false">MOD(A512,151)</f>
        <v>53</v>
      </c>
      <c r="D512" s="15" t="n">
        <f aca="false">INDEX(Grid!$J$6:$P$156,C512+1,B512+1)</f>
        <v>1</v>
      </c>
      <c r="E512" s="16" t="n">
        <f aca="false">IF(D512=1,INDEX(Grid!$B$6:$H$156,C512+1,B512+1),"")</f>
        <v>282.270167383454</v>
      </c>
      <c r="F512" s="13" t="n">
        <f aca="false">Val_pt*(Ceiling_e-E_zero)*(1-(1-Half_gap)^B512)</f>
        <v>122.5</v>
      </c>
      <c r="G512" s="15" t="n">
        <f aca="false">C512</f>
        <v>53</v>
      </c>
      <c r="H512" s="15" t="n">
        <f aca="false">IF(D512=1,INDEX(Grid!$R$6:$X$156,C512+1,B512+1),"")</f>
        <v>56</v>
      </c>
      <c r="I512" s="2" t="str">
        <f aca="false">IF(D512=1,INDEX(Sch_label,H512+1),"")</f>
        <v>1–3</v>
      </c>
      <c r="J512" s="15" t="n">
        <f aca="false">IF(D512=1,INDEX(Grid!$Z$6:$AF$156,C512+1,B512+1),0)</f>
        <v>1</v>
      </c>
      <c r="K512" s="16" t="n">
        <f aca="false">IF(J512=1,E512,0)</f>
        <v>282.270167383454</v>
      </c>
      <c r="L512" s="17" t="n">
        <f aca="false">IF(D512=1,E512+W_board*F512,"")</f>
        <v>973.750731699332</v>
      </c>
      <c r="M512" s="24" t="n">
        <v>1</v>
      </c>
      <c r="N512" s="25" t="n">
        <v>0.348973720143138</v>
      </c>
      <c r="O512" s="25" t="n">
        <v>0.519611355865293</v>
      </c>
      <c r="P512" s="25" t="n">
        <v>0.131414923991568</v>
      </c>
      <c r="Z512" s="12" t="n">
        <f aca="false">IF(AND($J512=1,$M512=1),N512*E512/Span_P+O512*F512/Span_S+P512*G512/Span_B,"")</f>
        <v>1.25711247070245</v>
      </c>
      <c r="AA512" s="12" t="n">
        <f aca="false">IF(AND($J512=1,$M512=1),SUMPRODUCT(MAX($J$6:$J$1062*(N512*$K$6:$K$1062/Span_P+O512*$F$6:$F$1062/Span_S+P512*$G$6:$G$1062/Span_B)-(1-$J$6:$J$1062)*1000000000)),"")</f>
        <v>1.25711247070246</v>
      </c>
      <c r="AB512" s="15" t="n">
        <f aca="false">IF(AND($J512=1,$M512=1),IF(AA512-Z512&lt;=0.000000001,1,0),"")</f>
        <v>1</v>
      </c>
      <c r="AC512" s="13" t="str">
        <f aca="false">IF(AND($J512=1,$M512=0),IF(S512="",0,S512*INDEX(Grid!$B$6:$H$156,R512+1,Q512+1))+IF(V512="",0,V512*INDEX(Grid!$B$6:$H$156,U512+1,T512+1))+IF(Y512="",0,Y512*INDEX(Grid!$B$6:$H$156,X512+1,W512+1)),"")</f>
        <v/>
      </c>
      <c r="AD512" s="13" t="str">
        <f aca="false">IF(AND($J512=1,$M512=0),IF(S512="",0,S512*Val_pt*(Ceiling_e-E_zero)*(1-(1-Half_gap)^Q512))+IF(V512="",0,V512*Val_pt*(Ceiling_e-E_zero)*(1-(1-Half_gap)^T512))+IF(Y512="",0,Y512*Val_pt*(Ceiling_e-E_zero)*(1-(1-Half_gap)^W512)),"")</f>
        <v/>
      </c>
      <c r="AE512" s="13" t="str">
        <f aca="false">IF(AND($J512=1,$M512=0),IF(S512="",0,S512*R512)+IF(V512="",0,V512*U512)+IF(Y512="",0,Y512*X512),"")</f>
        <v/>
      </c>
      <c r="AF512" s="12" t="str">
        <f aca="false">IF(AND($J512=1,$M512=0),MIN((AC512-E512)/Span_P,(AD512-F512)/Span_S,(AE512-G512)/Span_B),"")</f>
        <v/>
      </c>
      <c r="AG512" s="15" t="str">
        <f aca="false">IF(AND($J512=1,$M512=0),IF(AF512&gt;0.0000001,1,0),"")</f>
        <v/>
      </c>
      <c r="AH512" s="15" t="n">
        <f aca="false">IF($J512=1,IF($M512=1,AB512,AG512),"")</f>
        <v>1</v>
      </c>
      <c r="AI512" s="13" t="n">
        <f aca="false">IF($J512=1,(Ideal_P-E512)/Span_P,"")</f>
        <v>0.281411007593892</v>
      </c>
      <c r="AJ512" s="13" t="n">
        <f aca="false">IF($J512=1,(Ideal_S-F512)/Span_S,"")</f>
        <v>0.225806451612903</v>
      </c>
      <c r="AK512" s="13" t="n">
        <f aca="false">IF($J512=1,(Ideal_B-G512)/Span_B,"")</f>
        <v>0.646666666666667</v>
      </c>
      <c r="AL512" s="12" t="n">
        <f aca="false">IF($J512=1,MAX(ChA_1*AI512,ChA_2*AJ512,ChA_3*AK512)+Rho*(ChA_1*AI512+ChA_2*AJ512+ChA_3*AK512),"")</f>
        <v>0.646782055079254</v>
      </c>
      <c r="AM512" s="12" t="n">
        <f aca="false">IF($J512=1,MAX(ChB_1*AI512,ChB_2*AJ512,ChB_3*AK512)+Rho*(ChB_1*AI512+ChB_2*AJ512+ChB_3*AK512),"")</f>
        <v>0.646810196180013</v>
      </c>
      <c r="AN512" s="12" t="n">
        <f aca="false">IF($J512=1,MAX(Cx_1*(Ref_P-E512)/Span_P,Cx_2*(Ref_S-F512)/Span_S,Cx_3*(Ref_B-G512)/Span_B),"")</f>
        <v>1.65546218487395</v>
      </c>
    </row>
    <row r="513" customFormat="false" ht="15" hidden="false" customHeight="false" outlineLevel="0" collapsed="false">
      <c r="A513" s="2" t="n">
        <v>507</v>
      </c>
      <c r="B513" s="15" t="n">
        <f aca="false">INT(A513/151)</f>
        <v>3</v>
      </c>
      <c r="C513" s="15" t="n">
        <f aca="false">MOD(A513,151)</f>
        <v>54</v>
      </c>
      <c r="D513" s="15" t="n">
        <f aca="false">INDEX(Grid!$J$6:$P$156,C513+1,B513+1)</f>
        <v>1</v>
      </c>
      <c r="E513" s="16" t="n">
        <f aca="false">IF(D513=1,INDEX(Grid!$B$6:$H$156,C513+1,B513+1),"")</f>
        <v>281.361076474364</v>
      </c>
      <c r="F513" s="13" t="n">
        <f aca="false">Val_pt*(Ceiling_e-E_zero)*(1-(1-Half_gap)^B513)</f>
        <v>122.5</v>
      </c>
      <c r="G513" s="15" t="n">
        <f aca="false">C513</f>
        <v>54</v>
      </c>
      <c r="H513" s="15" t="n">
        <f aca="false">IF(D513=1,INDEX(Grid!$R$6:$X$156,C513+1,B513+1),"")</f>
        <v>56</v>
      </c>
      <c r="I513" s="2" t="str">
        <f aca="false">IF(D513=1,INDEX(Sch_label,H513+1),"")</f>
        <v>1–3</v>
      </c>
      <c r="J513" s="15" t="n">
        <f aca="false">IF(D513=1,INDEX(Grid!$Z$6:$AF$156,C513+1,B513+1),0)</f>
        <v>1</v>
      </c>
      <c r="K513" s="16" t="n">
        <f aca="false">IF(J513=1,E513,0)</f>
        <v>281.361076474364</v>
      </c>
      <c r="L513" s="17" t="n">
        <f aca="false">IF(D513=1,E513+W_board*F513,"")</f>
        <v>972.841640790241</v>
      </c>
      <c r="M513" s="24" t="n">
        <v>1</v>
      </c>
      <c r="N513" s="25" t="n">
        <v>0.348973720143137</v>
      </c>
      <c r="O513" s="25" t="n">
        <v>0.519611355865301</v>
      </c>
      <c r="P513" s="25" t="n">
        <v>0.131414923991562</v>
      </c>
      <c r="Z513" s="12" t="n">
        <f aca="false">IF(AND($J513=1,$M513=1),N513*E513/Span_P+O513*F513/Span_S+P513*G513/Span_B,"")</f>
        <v>1.25711247070247</v>
      </c>
      <c r="AA513" s="12" t="n">
        <f aca="false">IF(AND($J513=1,$M513=1),SUMPRODUCT(MAX($J$6:$J$1062*(N513*$K$6:$K$1062/Span_P+O513*$F$6:$F$1062/Span_S+P513*$G$6:$G$1062/Span_B)-(1-$J$6:$J$1062)*1000000000)),"")</f>
        <v>1.25711247070247</v>
      </c>
      <c r="AB513" s="15" t="n">
        <f aca="false">IF(AND($J513=1,$M513=1),IF(AA513-Z513&lt;=0.000000001,1,0),"")</f>
        <v>1</v>
      </c>
      <c r="AC513" s="13" t="str">
        <f aca="false">IF(AND($J513=1,$M513=0),IF(S513="",0,S513*INDEX(Grid!$B$6:$H$156,R513+1,Q513+1))+IF(V513="",0,V513*INDEX(Grid!$B$6:$H$156,U513+1,T513+1))+IF(Y513="",0,Y513*INDEX(Grid!$B$6:$H$156,X513+1,W513+1)),"")</f>
        <v/>
      </c>
      <c r="AD513" s="13" t="str">
        <f aca="false">IF(AND($J513=1,$M513=0),IF(S513="",0,S513*Val_pt*(Ceiling_e-E_zero)*(1-(1-Half_gap)^Q513))+IF(V513="",0,V513*Val_pt*(Ceiling_e-E_zero)*(1-(1-Half_gap)^T513))+IF(Y513="",0,Y513*Val_pt*(Ceiling_e-E_zero)*(1-(1-Half_gap)^W513)),"")</f>
        <v/>
      </c>
      <c r="AE513" s="13" t="str">
        <f aca="false">IF(AND($J513=1,$M513=0),IF(S513="",0,S513*R513)+IF(V513="",0,V513*U513)+IF(Y513="",0,Y513*X513),"")</f>
        <v/>
      </c>
      <c r="AF513" s="12" t="str">
        <f aca="false">IF(AND($J513=1,$M513=0),MIN((AC513-E513)/Span_P,(AD513-F513)/Span_S,(AE513-G513)/Span_B),"")</f>
        <v/>
      </c>
      <c r="AG513" s="15" t="str">
        <f aca="false">IF(AND($J513=1,$M513=0),IF(AF513&gt;0.0000001,1,0),"")</f>
        <v/>
      </c>
      <c r="AH513" s="15" t="n">
        <f aca="false">IF($J513=1,IF($M513=1,AB513,AG513),"")</f>
        <v>1</v>
      </c>
      <c r="AI513" s="13" t="n">
        <f aca="false">IF($J513=1,(Ideal_P-E513)/Span_P,"")</f>
        <v>0.283921510370198</v>
      </c>
      <c r="AJ513" s="13" t="n">
        <f aca="false">IF($J513=1,(Ideal_S-F513)/Span_S,"")</f>
        <v>0.225806451612903</v>
      </c>
      <c r="AK513" s="13" t="n">
        <f aca="false">IF($J513=1,(Ideal_B-G513)/Span_B,"")</f>
        <v>0.64</v>
      </c>
      <c r="AL513" s="12" t="n">
        <f aca="false">IF($J513=1,MAX(ChA_1*AI513,ChA_2*AJ513,ChA_3*AK513)+Rho*(ChA_1*AI513+ChA_2*AJ513+ChA_3*AK513),"")</f>
        <v>0.640114972796198</v>
      </c>
      <c r="AM513" s="12" t="n">
        <f aca="false">IF($J513=1,MAX(ChB_1*AI513,ChB_2*AJ513,ChB_3*AK513)+Rho*(ChB_1*AI513+ChB_2*AJ513+ChB_3*AK513),"")</f>
        <v>0.640143364947235</v>
      </c>
      <c r="AN513" s="12" t="n">
        <f aca="false">IF($J513=1,MAX(Cx_1*(Ref_P-E513)/Span_P,Cx_2*(Ref_S-F513)/Span_S,Cx_3*(Ref_B-G513)/Span_B),"")</f>
        <v>1.63865546218487</v>
      </c>
    </row>
    <row r="514" customFormat="false" ht="15" hidden="false" customHeight="false" outlineLevel="0" collapsed="false">
      <c r="A514" s="2" t="n">
        <v>508</v>
      </c>
      <c r="B514" s="15" t="n">
        <f aca="false">INT(A514/151)</f>
        <v>3</v>
      </c>
      <c r="C514" s="15" t="n">
        <f aca="false">MOD(A514,151)</f>
        <v>55</v>
      </c>
      <c r="D514" s="15" t="n">
        <f aca="false">INDEX(Grid!$J$6:$P$156,C514+1,B514+1)</f>
        <v>1</v>
      </c>
      <c r="E514" s="16" t="n">
        <f aca="false">IF(D514=1,INDEX(Grid!$B$6:$H$156,C514+1,B514+1),"")</f>
        <v>280.451985565273</v>
      </c>
      <c r="F514" s="13" t="n">
        <f aca="false">Val_pt*(Ceiling_e-E_zero)*(1-(1-Half_gap)^B514)</f>
        <v>122.5</v>
      </c>
      <c r="G514" s="15" t="n">
        <f aca="false">C514</f>
        <v>55</v>
      </c>
      <c r="H514" s="15" t="n">
        <f aca="false">IF(D514=1,INDEX(Grid!$R$6:$X$156,C514+1,B514+1),"")</f>
        <v>56</v>
      </c>
      <c r="I514" s="2" t="str">
        <f aca="false">IF(D514=1,INDEX(Sch_label,H514+1),"")</f>
        <v>1–3</v>
      </c>
      <c r="J514" s="15" t="n">
        <f aca="false">IF(D514=1,INDEX(Grid!$Z$6:$AF$156,C514+1,B514+1),0)</f>
        <v>1</v>
      </c>
      <c r="K514" s="16" t="n">
        <f aca="false">IF(J514=1,E514,0)</f>
        <v>280.451985565273</v>
      </c>
      <c r="L514" s="17" t="n">
        <f aca="false">IF(D514=1,E514+W_board*F514,"")</f>
        <v>971.93254988115</v>
      </c>
      <c r="M514" s="24" t="n">
        <v>1</v>
      </c>
      <c r="N514" s="25" t="n">
        <v>0.348973720143138</v>
      </c>
      <c r="O514" s="25" t="n">
        <v>0.519611355865295</v>
      </c>
      <c r="P514" s="25" t="n">
        <v>0.131414923991567</v>
      </c>
      <c r="Z514" s="12" t="n">
        <f aca="false">IF(AND($J514=1,$M514=1),N514*E514/Span_P+O514*F514/Span_S+P514*G514/Span_B,"")</f>
        <v>1.25711247070246</v>
      </c>
      <c r="AA514" s="12" t="n">
        <f aca="false">IF(AND($J514=1,$M514=1),SUMPRODUCT(MAX($J$6:$J$1062*(N514*$K$6:$K$1062/Span_P+O514*$F$6:$F$1062/Span_S+P514*$G$6:$G$1062/Span_B)-(1-$J$6:$J$1062)*1000000000)),"")</f>
        <v>1.25711247070246</v>
      </c>
      <c r="AB514" s="15" t="n">
        <f aca="false">IF(AND($J514=1,$M514=1),IF(AA514-Z514&lt;=0.000000001,1,0),"")</f>
        <v>1</v>
      </c>
      <c r="AC514" s="13" t="str">
        <f aca="false">IF(AND($J514=1,$M514=0),IF(S514="",0,S514*INDEX(Grid!$B$6:$H$156,R514+1,Q514+1))+IF(V514="",0,V514*INDEX(Grid!$B$6:$H$156,U514+1,T514+1))+IF(Y514="",0,Y514*INDEX(Grid!$B$6:$H$156,X514+1,W514+1)),"")</f>
        <v/>
      </c>
      <c r="AD514" s="13" t="str">
        <f aca="false">IF(AND($J514=1,$M514=0),IF(S514="",0,S514*Val_pt*(Ceiling_e-E_zero)*(1-(1-Half_gap)^Q514))+IF(V514="",0,V514*Val_pt*(Ceiling_e-E_zero)*(1-(1-Half_gap)^T514))+IF(Y514="",0,Y514*Val_pt*(Ceiling_e-E_zero)*(1-(1-Half_gap)^W514)),"")</f>
        <v/>
      </c>
      <c r="AE514" s="13" t="str">
        <f aca="false">IF(AND($J514=1,$M514=0),IF(S514="",0,S514*R514)+IF(V514="",0,V514*U514)+IF(Y514="",0,Y514*X514),"")</f>
        <v/>
      </c>
      <c r="AF514" s="12" t="str">
        <f aca="false">IF(AND($J514=1,$M514=0),MIN((AC514-E514)/Span_P,(AD514-F514)/Span_S,(AE514-G514)/Span_B),"")</f>
        <v/>
      </c>
      <c r="AG514" s="15" t="str">
        <f aca="false">IF(AND($J514=1,$M514=0),IF(AF514&gt;0.0000001,1,0),"")</f>
        <v/>
      </c>
      <c r="AH514" s="15" t="n">
        <f aca="false">IF($J514=1,IF($M514=1,AB514,AG514),"")</f>
        <v>1</v>
      </c>
      <c r="AI514" s="13" t="n">
        <f aca="false">IF($J514=1,(Ideal_P-E514)/Span_P,"")</f>
        <v>0.286432013146504</v>
      </c>
      <c r="AJ514" s="13" t="n">
        <f aca="false">IF($J514=1,(Ideal_S-F514)/Span_S,"")</f>
        <v>0.225806451612903</v>
      </c>
      <c r="AK514" s="13" t="n">
        <f aca="false">IF($J514=1,(Ideal_B-G514)/Span_B,"")</f>
        <v>0.633333333333333</v>
      </c>
      <c r="AL514" s="12" t="n">
        <f aca="false">IF($J514=1,MAX(ChA_1*AI514,ChA_2*AJ514,ChA_3*AK514)+Rho*(ChA_1*AI514+ChA_2*AJ514+ChA_3*AK514),"")</f>
        <v>0.633447890513143</v>
      </c>
      <c r="AM514" s="12" t="n">
        <f aca="false">IF($J514=1,MAX(ChB_1*AI514,ChB_2*AJ514,ChB_3*AK514)+Rho*(ChB_1*AI514+ChB_2*AJ514+ChB_3*AK514),"")</f>
        <v>0.633476533714457</v>
      </c>
      <c r="AN514" s="12" t="n">
        <f aca="false">IF($J514=1,MAX(Cx_1*(Ref_P-E514)/Span_P,Cx_2*(Ref_S-F514)/Span_S,Cx_3*(Ref_B-G514)/Span_B),"")</f>
        <v>1.6218487394958</v>
      </c>
    </row>
    <row r="515" customFormat="false" ht="15" hidden="false" customHeight="false" outlineLevel="0" collapsed="false">
      <c r="A515" s="2" t="n">
        <v>509</v>
      </c>
      <c r="B515" s="15" t="n">
        <f aca="false">INT(A515/151)</f>
        <v>3</v>
      </c>
      <c r="C515" s="15" t="n">
        <f aca="false">MOD(A515,151)</f>
        <v>56</v>
      </c>
      <c r="D515" s="15" t="n">
        <f aca="false">INDEX(Grid!$J$6:$P$156,C515+1,B515+1)</f>
        <v>1</v>
      </c>
      <c r="E515" s="16" t="n">
        <f aca="false">IF(D515=1,INDEX(Grid!$B$6:$H$156,C515+1,B515+1),"")</f>
        <v>279.542894656182</v>
      </c>
      <c r="F515" s="13" t="n">
        <f aca="false">Val_pt*(Ceiling_e-E_zero)*(1-(1-Half_gap)^B515)</f>
        <v>122.5</v>
      </c>
      <c r="G515" s="15" t="n">
        <f aca="false">C515</f>
        <v>56</v>
      </c>
      <c r="H515" s="15" t="n">
        <f aca="false">IF(D515=1,INDEX(Grid!$R$6:$X$156,C515+1,B515+1),"")</f>
        <v>56</v>
      </c>
      <c r="I515" s="2" t="str">
        <f aca="false">IF(D515=1,INDEX(Sch_label,H515+1),"")</f>
        <v>1–3</v>
      </c>
      <c r="J515" s="15" t="n">
        <f aca="false">IF(D515=1,INDEX(Grid!$Z$6:$AF$156,C515+1,B515+1),0)</f>
        <v>1</v>
      </c>
      <c r="K515" s="16" t="n">
        <f aca="false">IF(J515=1,E515,0)</f>
        <v>279.542894656182</v>
      </c>
      <c r="L515" s="17" t="n">
        <f aca="false">IF(D515=1,E515+W_board*F515,"")</f>
        <v>971.023458972059</v>
      </c>
      <c r="M515" s="24" t="n">
        <v>1</v>
      </c>
      <c r="N515" s="25" t="n">
        <v>0.348973720143137</v>
      </c>
      <c r="O515" s="25" t="n">
        <v>0.519611355865301</v>
      </c>
      <c r="P515" s="25" t="n">
        <v>0.131414923991562</v>
      </c>
      <c r="Z515" s="12" t="n">
        <f aca="false">IF(AND($J515=1,$M515=1),N515*E515/Span_P+O515*F515/Span_S+P515*G515/Span_B,"")</f>
        <v>1.25711247070246</v>
      </c>
      <c r="AA515" s="12" t="n">
        <f aca="false">IF(AND($J515=1,$M515=1),SUMPRODUCT(MAX($J$6:$J$1062*(N515*$K$6:$K$1062/Span_P+O515*$F$6:$F$1062/Span_S+P515*$G$6:$G$1062/Span_B)-(1-$J$6:$J$1062)*1000000000)),"")</f>
        <v>1.25711247070247</v>
      </c>
      <c r="AB515" s="15" t="n">
        <f aca="false">IF(AND($J515=1,$M515=1),IF(AA515-Z515&lt;=0.000000001,1,0),"")</f>
        <v>1</v>
      </c>
      <c r="AC515" s="13" t="str">
        <f aca="false">IF(AND($J515=1,$M515=0),IF(S515="",0,S515*INDEX(Grid!$B$6:$H$156,R515+1,Q515+1))+IF(V515="",0,V515*INDEX(Grid!$B$6:$H$156,U515+1,T515+1))+IF(Y515="",0,Y515*INDEX(Grid!$B$6:$H$156,X515+1,W515+1)),"")</f>
        <v/>
      </c>
      <c r="AD515" s="13" t="str">
        <f aca="false">IF(AND($J515=1,$M515=0),IF(S515="",0,S515*Val_pt*(Ceiling_e-E_zero)*(1-(1-Half_gap)^Q515))+IF(V515="",0,V515*Val_pt*(Ceiling_e-E_zero)*(1-(1-Half_gap)^T515))+IF(Y515="",0,Y515*Val_pt*(Ceiling_e-E_zero)*(1-(1-Half_gap)^W515)),"")</f>
        <v/>
      </c>
      <c r="AE515" s="13" t="str">
        <f aca="false">IF(AND($J515=1,$M515=0),IF(S515="",0,S515*R515)+IF(V515="",0,V515*U515)+IF(Y515="",0,Y515*X515),"")</f>
        <v/>
      </c>
      <c r="AF515" s="12" t="str">
        <f aca="false">IF(AND($J515=1,$M515=0),MIN((AC515-E515)/Span_P,(AD515-F515)/Span_S,(AE515-G515)/Span_B),"")</f>
        <v/>
      </c>
      <c r="AG515" s="15" t="str">
        <f aca="false">IF(AND($J515=1,$M515=0),IF(AF515&gt;0.0000001,1,0),"")</f>
        <v/>
      </c>
      <c r="AH515" s="15" t="n">
        <f aca="false">IF($J515=1,IF($M515=1,AB515,AG515),"")</f>
        <v>1</v>
      </c>
      <c r="AI515" s="13" t="n">
        <f aca="false">IF($J515=1,(Ideal_P-E515)/Span_P,"")</f>
        <v>0.28894251592281</v>
      </c>
      <c r="AJ515" s="13" t="n">
        <f aca="false">IF($J515=1,(Ideal_S-F515)/Span_S,"")</f>
        <v>0.225806451612903</v>
      </c>
      <c r="AK515" s="13" t="n">
        <f aca="false">IF($J515=1,(Ideal_B-G515)/Span_B,"")</f>
        <v>0.626666666666667</v>
      </c>
      <c r="AL515" s="12" t="n">
        <f aca="false">IF($J515=1,MAX(ChA_1*AI515,ChA_2*AJ515,ChA_3*AK515)+Rho*(ChA_1*AI515+ChA_2*AJ515+ChA_3*AK515),"")</f>
        <v>0.626780808230087</v>
      </c>
      <c r="AM515" s="12" t="n">
        <f aca="false">IF($J515=1,MAX(ChB_1*AI515,ChB_2*AJ515,ChB_3*AK515)+Rho*(ChB_1*AI515+ChB_2*AJ515+ChB_3*AK515),"")</f>
        <v>0.626809702481679</v>
      </c>
      <c r="AN515" s="12" t="n">
        <f aca="false">IF($J515=1,MAX(Cx_1*(Ref_P-E515)/Span_P,Cx_2*(Ref_S-F515)/Span_S,Cx_3*(Ref_B-G515)/Span_B),"")</f>
        <v>1.60504201680672</v>
      </c>
    </row>
    <row r="516" customFormat="false" ht="15" hidden="false" customHeight="false" outlineLevel="0" collapsed="false">
      <c r="A516" s="2" t="n">
        <v>510</v>
      </c>
      <c r="B516" s="15" t="n">
        <f aca="false">INT(A516/151)</f>
        <v>3</v>
      </c>
      <c r="C516" s="15" t="n">
        <f aca="false">MOD(A516,151)</f>
        <v>57</v>
      </c>
      <c r="D516" s="15" t="n">
        <f aca="false">INDEX(Grid!$J$6:$P$156,C516+1,B516+1)</f>
        <v>1</v>
      </c>
      <c r="E516" s="16" t="n">
        <f aca="false">IF(D516=1,INDEX(Grid!$B$6:$H$156,C516+1,B516+1),"")</f>
        <v>278.633803747091</v>
      </c>
      <c r="F516" s="13" t="n">
        <f aca="false">Val_pt*(Ceiling_e-E_zero)*(1-(1-Half_gap)^B516)</f>
        <v>122.5</v>
      </c>
      <c r="G516" s="15" t="n">
        <f aca="false">C516</f>
        <v>57</v>
      </c>
      <c r="H516" s="15" t="n">
        <f aca="false">IF(D516=1,INDEX(Grid!$R$6:$X$156,C516+1,B516+1),"")</f>
        <v>56</v>
      </c>
      <c r="I516" s="2" t="str">
        <f aca="false">IF(D516=1,INDEX(Sch_label,H516+1),"")</f>
        <v>1–3</v>
      </c>
      <c r="J516" s="15" t="n">
        <f aca="false">IF(D516=1,INDEX(Grid!$Z$6:$AF$156,C516+1,B516+1),0)</f>
        <v>1</v>
      </c>
      <c r="K516" s="16" t="n">
        <f aca="false">IF(J516=1,E516,0)</f>
        <v>278.633803747091</v>
      </c>
      <c r="L516" s="17" t="n">
        <f aca="false">IF(D516=1,E516+W_board*F516,"")</f>
        <v>970.114368062968</v>
      </c>
      <c r="M516" s="24" t="n">
        <v>1</v>
      </c>
      <c r="N516" s="25" t="n">
        <v>0.348973720143138</v>
      </c>
      <c r="O516" s="25" t="n">
        <v>0.519611355865294</v>
      </c>
      <c r="P516" s="25" t="n">
        <v>0.131414923991568</v>
      </c>
      <c r="Z516" s="12" t="n">
        <f aca="false">IF(AND($J516=1,$M516=1),N516*E516/Span_P+O516*F516/Span_S+P516*G516/Span_B,"")</f>
        <v>1.25711247070246</v>
      </c>
      <c r="AA516" s="12" t="n">
        <f aca="false">IF(AND($J516=1,$M516=1),SUMPRODUCT(MAX($J$6:$J$1062*(N516*$K$6:$K$1062/Span_P+O516*$F$6:$F$1062/Span_S+P516*$G$6:$G$1062/Span_B)-(1-$J$6:$J$1062)*1000000000)),"")</f>
        <v>1.25711247070246</v>
      </c>
      <c r="AB516" s="15" t="n">
        <f aca="false">IF(AND($J516=1,$M516=1),IF(AA516-Z516&lt;=0.000000001,1,0),"")</f>
        <v>1</v>
      </c>
      <c r="AC516" s="13" t="str">
        <f aca="false">IF(AND($J516=1,$M516=0),IF(S516="",0,S516*INDEX(Grid!$B$6:$H$156,R516+1,Q516+1))+IF(V516="",0,V516*INDEX(Grid!$B$6:$H$156,U516+1,T516+1))+IF(Y516="",0,Y516*INDEX(Grid!$B$6:$H$156,X516+1,W516+1)),"")</f>
        <v/>
      </c>
      <c r="AD516" s="13" t="str">
        <f aca="false">IF(AND($J516=1,$M516=0),IF(S516="",0,S516*Val_pt*(Ceiling_e-E_zero)*(1-(1-Half_gap)^Q516))+IF(V516="",0,V516*Val_pt*(Ceiling_e-E_zero)*(1-(1-Half_gap)^T516))+IF(Y516="",0,Y516*Val_pt*(Ceiling_e-E_zero)*(1-(1-Half_gap)^W516)),"")</f>
        <v/>
      </c>
      <c r="AE516" s="13" t="str">
        <f aca="false">IF(AND($J516=1,$M516=0),IF(S516="",0,S516*R516)+IF(V516="",0,V516*U516)+IF(Y516="",0,Y516*X516),"")</f>
        <v/>
      </c>
      <c r="AF516" s="12" t="str">
        <f aca="false">IF(AND($J516=1,$M516=0),MIN((AC516-E516)/Span_P,(AD516-F516)/Span_S,(AE516-G516)/Span_B),"")</f>
        <v/>
      </c>
      <c r="AG516" s="15" t="str">
        <f aca="false">IF(AND($J516=1,$M516=0),IF(AF516&gt;0.0000001,1,0),"")</f>
        <v/>
      </c>
      <c r="AH516" s="15" t="n">
        <f aca="false">IF($J516=1,IF($M516=1,AB516,AG516),"")</f>
        <v>1</v>
      </c>
      <c r="AI516" s="13" t="n">
        <f aca="false">IF($J516=1,(Ideal_P-E516)/Span_P,"")</f>
        <v>0.291453018699116</v>
      </c>
      <c r="AJ516" s="13" t="n">
        <f aca="false">IF($J516=1,(Ideal_S-F516)/Span_S,"")</f>
        <v>0.225806451612903</v>
      </c>
      <c r="AK516" s="13" t="n">
        <f aca="false">IF($J516=1,(Ideal_B-G516)/Span_B,"")</f>
        <v>0.62</v>
      </c>
      <c r="AL516" s="12" t="n">
        <f aca="false">IF($J516=1,MAX(ChA_1*AI516,ChA_2*AJ516,ChA_3*AK516)+Rho*(ChA_1*AI516+ChA_2*AJ516+ChA_3*AK516),"")</f>
        <v>0.620113725947031</v>
      </c>
      <c r="AM516" s="12" t="n">
        <f aca="false">IF($J516=1,MAX(ChB_1*AI516,ChB_2*AJ516,ChB_3*AK516)+Rho*(ChB_1*AI516+ChB_2*AJ516+ChB_3*AK516),"")</f>
        <v>0.620142871248901</v>
      </c>
      <c r="AN516" s="12" t="n">
        <f aca="false">IF($J516=1,MAX(Cx_1*(Ref_P-E516)/Span_P,Cx_2*(Ref_S-F516)/Span_S,Cx_3*(Ref_B-G516)/Span_B),"")</f>
        <v>1.58823529411765</v>
      </c>
    </row>
    <row r="517" customFormat="false" ht="15" hidden="false" customHeight="false" outlineLevel="0" collapsed="false">
      <c r="A517" s="2" t="n">
        <v>511</v>
      </c>
      <c r="B517" s="15" t="n">
        <f aca="false">INT(A517/151)</f>
        <v>3</v>
      </c>
      <c r="C517" s="15" t="n">
        <f aca="false">MOD(A517,151)</f>
        <v>58</v>
      </c>
      <c r="D517" s="15" t="n">
        <f aca="false">INDEX(Grid!$J$6:$P$156,C517+1,B517+1)</f>
        <v>1</v>
      </c>
      <c r="E517" s="16" t="n">
        <f aca="false">IF(D517=1,INDEX(Grid!$B$6:$H$156,C517+1,B517+1),"")</f>
        <v>277.724712838</v>
      </c>
      <c r="F517" s="13" t="n">
        <f aca="false">Val_pt*(Ceiling_e-E_zero)*(1-(1-Half_gap)^B517)</f>
        <v>122.5</v>
      </c>
      <c r="G517" s="15" t="n">
        <f aca="false">C517</f>
        <v>58</v>
      </c>
      <c r="H517" s="15" t="n">
        <f aca="false">IF(D517=1,INDEX(Grid!$R$6:$X$156,C517+1,B517+1),"")</f>
        <v>56</v>
      </c>
      <c r="I517" s="2" t="str">
        <f aca="false">IF(D517=1,INDEX(Sch_label,H517+1),"")</f>
        <v>1–3</v>
      </c>
      <c r="J517" s="15" t="n">
        <f aca="false">IF(D517=1,INDEX(Grid!$Z$6:$AF$156,C517+1,B517+1),0)</f>
        <v>1</v>
      </c>
      <c r="K517" s="16" t="n">
        <f aca="false">IF(J517=1,E517,0)</f>
        <v>277.724712838</v>
      </c>
      <c r="L517" s="17" t="n">
        <f aca="false">IF(D517=1,E517+W_board*F517,"")</f>
        <v>969.205277153877</v>
      </c>
      <c r="M517" s="24" t="n">
        <v>1</v>
      </c>
      <c r="N517" s="25" t="n">
        <v>0.348973720143137</v>
      </c>
      <c r="O517" s="25" t="n">
        <v>0.519611355865301</v>
      </c>
      <c r="P517" s="25" t="n">
        <v>0.131414923991562</v>
      </c>
      <c r="Z517" s="12" t="n">
        <f aca="false">IF(AND($J517=1,$M517=1),N517*E517/Span_P+O517*F517/Span_S+P517*G517/Span_B,"")</f>
        <v>1.25711247070246</v>
      </c>
      <c r="AA517" s="12" t="n">
        <f aca="false">IF(AND($J517=1,$M517=1),SUMPRODUCT(MAX($J$6:$J$1062*(N517*$K$6:$K$1062/Span_P+O517*$F$6:$F$1062/Span_S+P517*$G$6:$G$1062/Span_B)-(1-$J$6:$J$1062)*1000000000)),"")</f>
        <v>1.25711247070247</v>
      </c>
      <c r="AB517" s="15" t="n">
        <f aca="false">IF(AND($J517=1,$M517=1),IF(AA517-Z517&lt;=0.000000001,1,0),"")</f>
        <v>1</v>
      </c>
      <c r="AC517" s="13" t="str">
        <f aca="false">IF(AND($J517=1,$M517=0),IF(S517="",0,S517*INDEX(Grid!$B$6:$H$156,R517+1,Q517+1))+IF(V517="",0,V517*INDEX(Grid!$B$6:$H$156,U517+1,T517+1))+IF(Y517="",0,Y517*INDEX(Grid!$B$6:$H$156,X517+1,W517+1)),"")</f>
        <v/>
      </c>
      <c r="AD517" s="13" t="str">
        <f aca="false">IF(AND($J517=1,$M517=0),IF(S517="",0,S517*Val_pt*(Ceiling_e-E_zero)*(1-(1-Half_gap)^Q517))+IF(V517="",0,V517*Val_pt*(Ceiling_e-E_zero)*(1-(1-Half_gap)^T517))+IF(Y517="",0,Y517*Val_pt*(Ceiling_e-E_zero)*(1-(1-Half_gap)^W517)),"")</f>
        <v/>
      </c>
      <c r="AE517" s="13" t="str">
        <f aca="false">IF(AND($J517=1,$M517=0),IF(S517="",0,S517*R517)+IF(V517="",0,V517*U517)+IF(Y517="",0,Y517*X517),"")</f>
        <v/>
      </c>
      <c r="AF517" s="12" t="str">
        <f aca="false">IF(AND($J517=1,$M517=0),MIN((AC517-E517)/Span_P,(AD517-F517)/Span_S,(AE517-G517)/Span_B),"")</f>
        <v/>
      </c>
      <c r="AG517" s="15" t="str">
        <f aca="false">IF(AND($J517=1,$M517=0),IF(AF517&gt;0.0000001,1,0),"")</f>
        <v/>
      </c>
      <c r="AH517" s="15" t="n">
        <f aca="false">IF($J517=1,IF($M517=1,AB517,AG517),"")</f>
        <v>1</v>
      </c>
      <c r="AI517" s="13" t="n">
        <f aca="false">IF($J517=1,(Ideal_P-E517)/Span_P,"")</f>
        <v>0.293963521475421</v>
      </c>
      <c r="AJ517" s="13" t="n">
        <f aca="false">IF($J517=1,(Ideal_S-F517)/Span_S,"")</f>
        <v>0.225806451612903</v>
      </c>
      <c r="AK517" s="13" t="n">
        <f aca="false">IF($J517=1,(Ideal_B-G517)/Span_B,"")</f>
        <v>0.613333333333333</v>
      </c>
      <c r="AL517" s="12" t="n">
        <f aca="false">IF($J517=1,MAX(ChA_1*AI517,ChA_2*AJ517,ChA_3*AK517)+Rho*(ChA_1*AI517+ChA_2*AJ517+ChA_3*AK517),"")</f>
        <v>0.613446643663976</v>
      </c>
      <c r="AM517" s="12" t="n">
        <f aca="false">IF($J517=1,MAX(ChB_1*AI517,ChB_2*AJ517,ChB_3*AK517)+Rho*(ChB_1*AI517+ChB_2*AJ517+ChB_3*AK517),"")</f>
        <v>0.613476040016123</v>
      </c>
      <c r="AN517" s="12" t="n">
        <f aca="false">IF($J517=1,MAX(Cx_1*(Ref_P-E517)/Span_P,Cx_2*(Ref_S-F517)/Span_S,Cx_3*(Ref_B-G517)/Span_B),"")</f>
        <v>1.57142857142857</v>
      </c>
    </row>
    <row r="518" customFormat="false" ht="15" hidden="false" customHeight="false" outlineLevel="0" collapsed="false">
      <c r="A518" s="2" t="n">
        <v>512</v>
      </c>
      <c r="B518" s="15" t="n">
        <f aca="false">INT(A518/151)</f>
        <v>3</v>
      </c>
      <c r="C518" s="15" t="n">
        <f aca="false">MOD(A518,151)</f>
        <v>59</v>
      </c>
      <c r="D518" s="15" t="n">
        <f aca="false">INDEX(Grid!$J$6:$P$156,C518+1,B518+1)</f>
        <v>1</v>
      </c>
      <c r="E518" s="16" t="n">
        <f aca="false">IF(D518=1,INDEX(Grid!$B$6:$H$156,C518+1,B518+1),"")</f>
        <v>276.815621928909</v>
      </c>
      <c r="F518" s="13" t="n">
        <f aca="false">Val_pt*(Ceiling_e-E_zero)*(1-(1-Half_gap)^B518)</f>
        <v>122.5</v>
      </c>
      <c r="G518" s="15" t="n">
        <f aca="false">C518</f>
        <v>59</v>
      </c>
      <c r="H518" s="15" t="n">
        <f aca="false">IF(D518=1,INDEX(Grid!$R$6:$X$156,C518+1,B518+1),"")</f>
        <v>56</v>
      </c>
      <c r="I518" s="2" t="str">
        <f aca="false">IF(D518=1,INDEX(Sch_label,H518+1),"")</f>
        <v>1–3</v>
      </c>
      <c r="J518" s="15" t="n">
        <f aca="false">IF(D518=1,INDEX(Grid!$Z$6:$AF$156,C518+1,B518+1),0)</f>
        <v>1</v>
      </c>
      <c r="K518" s="16" t="n">
        <f aca="false">IF(J518=1,E518,0)</f>
        <v>276.815621928909</v>
      </c>
      <c r="L518" s="17" t="n">
        <f aca="false">IF(D518=1,E518+W_board*F518,"")</f>
        <v>968.296186244786</v>
      </c>
      <c r="M518" s="24" t="n">
        <v>1</v>
      </c>
      <c r="N518" s="25" t="n">
        <v>0.348973720143138</v>
      </c>
      <c r="O518" s="25" t="n">
        <v>0.519611355865295</v>
      </c>
      <c r="P518" s="25" t="n">
        <v>0.131414923991567</v>
      </c>
      <c r="Z518" s="12" t="n">
        <f aca="false">IF(AND($J518=1,$M518=1),N518*E518/Span_P+O518*F518/Span_S+P518*G518/Span_B,"")</f>
        <v>1.25711247070246</v>
      </c>
      <c r="AA518" s="12" t="n">
        <f aca="false">IF(AND($J518=1,$M518=1),SUMPRODUCT(MAX($J$6:$J$1062*(N518*$K$6:$K$1062/Span_P+O518*$F$6:$F$1062/Span_S+P518*$G$6:$G$1062/Span_B)-(1-$J$6:$J$1062)*1000000000)),"")</f>
        <v>1.25711247070246</v>
      </c>
      <c r="AB518" s="15" t="n">
        <f aca="false">IF(AND($J518=1,$M518=1),IF(AA518-Z518&lt;=0.000000001,1,0),"")</f>
        <v>1</v>
      </c>
      <c r="AC518" s="13" t="str">
        <f aca="false">IF(AND($J518=1,$M518=0),IF(S518="",0,S518*INDEX(Grid!$B$6:$H$156,R518+1,Q518+1))+IF(V518="",0,V518*INDEX(Grid!$B$6:$H$156,U518+1,T518+1))+IF(Y518="",0,Y518*INDEX(Grid!$B$6:$H$156,X518+1,W518+1)),"")</f>
        <v/>
      </c>
      <c r="AD518" s="13" t="str">
        <f aca="false">IF(AND($J518=1,$M518=0),IF(S518="",0,S518*Val_pt*(Ceiling_e-E_zero)*(1-(1-Half_gap)^Q518))+IF(V518="",0,V518*Val_pt*(Ceiling_e-E_zero)*(1-(1-Half_gap)^T518))+IF(Y518="",0,Y518*Val_pt*(Ceiling_e-E_zero)*(1-(1-Half_gap)^W518)),"")</f>
        <v/>
      </c>
      <c r="AE518" s="13" t="str">
        <f aca="false">IF(AND($J518=1,$M518=0),IF(S518="",0,S518*R518)+IF(V518="",0,V518*U518)+IF(Y518="",0,Y518*X518),"")</f>
        <v/>
      </c>
      <c r="AF518" s="12" t="str">
        <f aca="false">IF(AND($J518=1,$M518=0),MIN((AC518-E518)/Span_P,(AD518-F518)/Span_S,(AE518-G518)/Span_B),"")</f>
        <v/>
      </c>
      <c r="AG518" s="15" t="str">
        <f aca="false">IF(AND($J518=1,$M518=0),IF(AF518&gt;0.0000001,1,0),"")</f>
        <v/>
      </c>
      <c r="AH518" s="15" t="n">
        <f aca="false">IF($J518=1,IF($M518=1,AB518,AG518),"")</f>
        <v>1</v>
      </c>
      <c r="AI518" s="13" t="n">
        <f aca="false">IF($J518=1,(Ideal_P-E518)/Span_P,"")</f>
        <v>0.296474024251727</v>
      </c>
      <c r="AJ518" s="13" t="n">
        <f aca="false">IF($J518=1,(Ideal_S-F518)/Span_S,"")</f>
        <v>0.225806451612903</v>
      </c>
      <c r="AK518" s="13" t="n">
        <f aca="false">IF($J518=1,(Ideal_B-G518)/Span_B,"")</f>
        <v>0.606666666666667</v>
      </c>
      <c r="AL518" s="12" t="n">
        <f aca="false">IF($J518=1,MAX(ChA_1*AI518,ChA_2*AJ518,ChA_3*AK518)+Rho*(ChA_1*AI518+ChA_2*AJ518+ChA_3*AK518),"")</f>
        <v>0.60677956138092</v>
      </c>
      <c r="AM518" s="12" t="n">
        <f aca="false">IF($J518=1,MAX(ChB_1*AI518,ChB_2*AJ518,ChB_3*AK518)+Rho*(ChB_1*AI518+ChB_2*AJ518+ChB_3*AK518),"")</f>
        <v>0.606809208783345</v>
      </c>
      <c r="AN518" s="12" t="n">
        <f aca="false">IF($J518=1,MAX(Cx_1*(Ref_P-E518)/Span_P,Cx_2*(Ref_S-F518)/Span_S,Cx_3*(Ref_B-G518)/Span_B),"")</f>
        <v>1.5546218487395</v>
      </c>
    </row>
    <row r="519" customFormat="false" ht="15" hidden="false" customHeight="false" outlineLevel="0" collapsed="false">
      <c r="A519" s="2" t="n">
        <v>513</v>
      </c>
      <c r="B519" s="15" t="n">
        <f aca="false">INT(A519/151)</f>
        <v>3</v>
      </c>
      <c r="C519" s="15" t="n">
        <f aca="false">MOD(A519,151)</f>
        <v>60</v>
      </c>
      <c r="D519" s="15" t="n">
        <f aca="false">INDEX(Grid!$J$6:$P$156,C519+1,B519+1)</f>
        <v>1</v>
      </c>
      <c r="E519" s="16" t="n">
        <f aca="false">IF(D519=1,INDEX(Grid!$B$6:$H$156,C519+1,B519+1),"")</f>
        <v>275.906531019818</v>
      </c>
      <c r="F519" s="13" t="n">
        <f aca="false">Val_pt*(Ceiling_e-E_zero)*(1-(1-Half_gap)^B519)</f>
        <v>122.5</v>
      </c>
      <c r="G519" s="15" t="n">
        <f aca="false">C519</f>
        <v>60</v>
      </c>
      <c r="H519" s="15" t="n">
        <f aca="false">IF(D519=1,INDEX(Grid!$R$6:$X$156,C519+1,B519+1),"")</f>
        <v>56</v>
      </c>
      <c r="I519" s="2" t="str">
        <f aca="false">IF(D519=1,INDEX(Sch_label,H519+1),"")</f>
        <v>1–3</v>
      </c>
      <c r="J519" s="15" t="n">
        <f aca="false">IF(D519=1,INDEX(Grid!$Z$6:$AF$156,C519+1,B519+1),0)</f>
        <v>1</v>
      </c>
      <c r="K519" s="16" t="n">
        <f aca="false">IF(J519=1,E519,0)</f>
        <v>275.906531019818</v>
      </c>
      <c r="L519" s="17" t="n">
        <f aca="false">IF(D519=1,E519+W_board*F519,"")</f>
        <v>967.387095335695</v>
      </c>
      <c r="M519" s="24" t="n">
        <v>1</v>
      </c>
      <c r="N519" s="25" t="n">
        <v>0.348973720143138</v>
      </c>
      <c r="O519" s="25" t="n">
        <v>0.519611355865294</v>
      </c>
      <c r="P519" s="25" t="n">
        <v>0.131414923991568</v>
      </c>
      <c r="Z519" s="12" t="n">
        <f aca="false">IF(AND($J519=1,$M519=1),N519*E519/Span_P+O519*F519/Span_S+P519*G519/Span_B,"")</f>
        <v>1.25711247070246</v>
      </c>
      <c r="AA519" s="12" t="n">
        <f aca="false">IF(AND($J519=1,$M519=1),SUMPRODUCT(MAX($J$6:$J$1062*(N519*$K$6:$K$1062/Span_P+O519*$F$6:$F$1062/Span_S+P519*$G$6:$G$1062/Span_B)-(1-$J$6:$J$1062)*1000000000)),"")</f>
        <v>1.25711247070246</v>
      </c>
      <c r="AB519" s="15" t="n">
        <f aca="false">IF(AND($J519=1,$M519=1),IF(AA519-Z519&lt;=0.000000001,1,0),"")</f>
        <v>1</v>
      </c>
      <c r="AC519" s="13" t="str">
        <f aca="false">IF(AND($J519=1,$M519=0),IF(S519="",0,S519*INDEX(Grid!$B$6:$H$156,R519+1,Q519+1))+IF(V519="",0,V519*INDEX(Grid!$B$6:$H$156,U519+1,T519+1))+IF(Y519="",0,Y519*INDEX(Grid!$B$6:$H$156,X519+1,W519+1)),"")</f>
        <v/>
      </c>
      <c r="AD519" s="13" t="str">
        <f aca="false">IF(AND($J519=1,$M519=0),IF(S519="",0,S519*Val_pt*(Ceiling_e-E_zero)*(1-(1-Half_gap)^Q519))+IF(V519="",0,V519*Val_pt*(Ceiling_e-E_zero)*(1-(1-Half_gap)^T519))+IF(Y519="",0,Y519*Val_pt*(Ceiling_e-E_zero)*(1-(1-Half_gap)^W519)),"")</f>
        <v/>
      </c>
      <c r="AE519" s="13" t="str">
        <f aca="false">IF(AND($J519=1,$M519=0),IF(S519="",0,S519*R519)+IF(V519="",0,V519*U519)+IF(Y519="",0,Y519*X519),"")</f>
        <v/>
      </c>
      <c r="AF519" s="12" t="str">
        <f aca="false">IF(AND($J519=1,$M519=0),MIN((AC519-E519)/Span_P,(AD519-F519)/Span_S,(AE519-G519)/Span_B),"")</f>
        <v/>
      </c>
      <c r="AG519" s="15" t="str">
        <f aca="false">IF(AND($J519=1,$M519=0),IF(AF519&gt;0.0000001,1,0),"")</f>
        <v/>
      </c>
      <c r="AH519" s="15" t="n">
        <f aca="false">IF($J519=1,IF($M519=1,AB519,AG519),"")</f>
        <v>1</v>
      </c>
      <c r="AI519" s="13" t="n">
        <f aca="false">IF($J519=1,(Ideal_P-E519)/Span_P,"")</f>
        <v>0.298984527028033</v>
      </c>
      <c r="AJ519" s="13" t="n">
        <f aca="false">IF($J519=1,(Ideal_S-F519)/Span_S,"")</f>
        <v>0.225806451612903</v>
      </c>
      <c r="AK519" s="13" t="n">
        <f aca="false">IF($J519=1,(Ideal_B-G519)/Span_B,"")</f>
        <v>0.6</v>
      </c>
      <c r="AL519" s="12" t="n">
        <f aca="false">IF($J519=1,MAX(ChA_1*AI519,ChA_2*AJ519,ChA_3*AK519)+Rho*(ChA_1*AI519+ChA_2*AJ519+ChA_3*AK519),"")</f>
        <v>0.600112479097864</v>
      </c>
      <c r="AM519" s="12" t="n">
        <f aca="false">IF($J519=1,MAX(ChB_1*AI519,ChB_2*AJ519,ChB_3*AK519)+Rho*(ChB_1*AI519+ChB_2*AJ519+ChB_3*AK519),"")</f>
        <v>0.600142377550567</v>
      </c>
      <c r="AN519" s="12" t="n">
        <f aca="false">IF($J519=1,MAX(Cx_1*(Ref_P-E519)/Span_P,Cx_2*(Ref_S-F519)/Span_S,Cx_3*(Ref_B-G519)/Span_B),"")</f>
        <v>1.53781512605042</v>
      </c>
    </row>
    <row r="520" customFormat="false" ht="15" hidden="false" customHeight="false" outlineLevel="0" collapsed="false">
      <c r="A520" s="2" t="n">
        <v>514</v>
      </c>
      <c r="B520" s="15" t="n">
        <f aca="false">INT(A520/151)</f>
        <v>3</v>
      </c>
      <c r="C520" s="15" t="n">
        <f aca="false">MOD(A520,151)</f>
        <v>61</v>
      </c>
      <c r="D520" s="15" t="n">
        <f aca="false">INDEX(Grid!$J$6:$P$156,C520+1,B520+1)</f>
        <v>1</v>
      </c>
      <c r="E520" s="16" t="n">
        <f aca="false">IF(D520=1,INDEX(Grid!$B$6:$H$156,C520+1,B520+1),"")</f>
        <v>274.997440110727</v>
      </c>
      <c r="F520" s="13" t="n">
        <f aca="false">Val_pt*(Ceiling_e-E_zero)*(1-(1-Half_gap)^B520)</f>
        <v>122.5</v>
      </c>
      <c r="G520" s="15" t="n">
        <f aca="false">C520</f>
        <v>61</v>
      </c>
      <c r="H520" s="15" t="n">
        <f aca="false">IF(D520=1,INDEX(Grid!$R$6:$X$156,C520+1,B520+1),"")</f>
        <v>56</v>
      </c>
      <c r="I520" s="2" t="str">
        <f aca="false">IF(D520=1,INDEX(Sch_label,H520+1),"")</f>
        <v>1–3</v>
      </c>
      <c r="J520" s="15" t="n">
        <f aca="false">IF(D520=1,INDEX(Grid!$Z$6:$AF$156,C520+1,B520+1),0)</f>
        <v>1</v>
      </c>
      <c r="K520" s="16" t="n">
        <f aca="false">IF(J520=1,E520,0)</f>
        <v>274.997440110727</v>
      </c>
      <c r="L520" s="17" t="n">
        <f aca="false">IF(D520=1,E520+W_board*F520,"")</f>
        <v>966.478004426604</v>
      </c>
      <c r="M520" s="24" t="n">
        <v>1</v>
      </c>
      <c r="N520" s="25" t="n">
        <v>0.348973720143138</v>
      </c>
      <c r="O520" s="25" t="n">
        <v>0.5196113558653</v>
      </c>
      <c r="P520" s="25" t="n">
        <v>0.131414923991562</v>
      </c>
      <c r="Z520" s="12" t="n">
        <f aca="false">IF(AND($J520=1,$M520=1),N520*E520/Span_P+O520*F520/Span_S+P520*G520/Span_B,"")</f>
        <v>1.25711247070246</v>
      </c>
      <c r="AA520" s="12" t="n">
        <f aca="false">IF(AND($J520=1,$M520=1),SUMPRODUCT(MAX($J$6:$J$1062*(N520*$K$6:$K$1062/Span_P+O520*$F$6:$F$1062/Span_S+P520*$G$6:$G$1062/Span_B)-(1-$J$6:$J$1062)*1000000000)),"")</f>
        <v>1.25711247070247</v>
      </c>
      <c r="AB520" s="15" t="n">
        <f aca="false">IF(AND($J520=1,$M520=1),IF(AA520-Z520&lt;=0.000000001,1,0),"")</f>
        <v>1</v>
      </c>
      <c r="AC520" s="13" t="str">
        <f aca="false">IF(AND($J520=1,$M520=0),IF(S520="",0,S520*INDEX(Grid!$B$6:$H$156,R520+1,Q520+1))+IF(V520="",0,V520*INDEX(Grid!$B$6:$H$156,U520+1,T520+1))+IF(Y520="",0,Y520*INDEX(Grid!$B$6:$H$156,X520+1,W520+1)),"")</f>
        <v/>
      </c>
      <c r="AD520" s="13" t="str">
        <f aca="false">IF(AND($J520=1,$M520=0),IF(S520="",0,S520*Val_pt*(Ceiling_e-E_zero)*(1-(1-Half_gap)^Q520))+IF(V520="",0,V520*Val_pt*(Ceiling_e-E_zero)*(1-(1-Half_gap)^T520))+IF(Y520="",0,Y520*Val_pt*(Ceiling_e-E_zero)*(1-(1-Half_gap)^W520)),"")</f>
        <v/>
      </c>
      <c r="AE520" s="13" t="str">
        <f aca="false">IF(AND($J520=1,$M520=0),IF(S520="",0,S520*R520)+IF(V520="",0,V520*U520)+IF(Y520="",0,Y520*X520),"")</f>
        <v/>
      </c>
      <c r="AF520" s="12" t="str">
        <f aca="false">IF(AND($J520=1,$M520=0),MIN((AC520-E520)/Span_P,(AD520-F520)/Span_S,(AE520-G520)/Span_B),"")</f>
        <v/>
      </c>
      <c r="AG520" s="15" t="str">
        <f aca="false">IF(AND($J520=1,$M520=0),IF(AF520&gt;0.0000001,1,0),"")</f>
        <v/>
      </c>
      <c r="AH520" s="15" t="n">
        <f aca="false">IF($J520=1,IF($M520=1,AB520,AG520),"")</f>
        <v>1</v>
      </c>
      <c r="AI520" s="13" t="n">
        <f aca="false">IF($J520=1,(Ideal_P-E520)/Span_P,"")</f>
        <v>0.301495029804339</v>
      </c>
      <c r="AJ520" s="13" t="n">
        <f aca="false">IF($J520=1,(Ideal_S-F520)/Span_S,"")</f>
        <v>0.225806451612903</v>
      </c>
      <c r="AK520" s="13" t="n">
        <f aca="false">IF($J520=1,(Ideal_B-G520)/Span_B,"")</f>
        <v>0.593333333333333</v>
      </c>
      <c r="AL520" s="12" t="n">
        <f aca="false">IF($J520=1,MAX(ChA_1*AI520,ChA_2*AJ520,ChA_3*AK520)+Rho*(ChA_1*AI520+ChA_2*AJ520+ChA_3*AK520),"")</f>
        <v>0.593445396814809</v>
      </c>
      <c r="AM520" s="12" t="n">
        <f aca="false">IF($J520=1,MAX(ChB_1*AI520,ChB_2*AJ520,ChB_3*AK520)+Rho*(ChB_1*AI520+ChB_2*AJ520+ChB_3*AK520),"")</f>
        <v>0.603132272593133</v>
      </c>
      <c r="AN520" s="12" t="n">
        <f aca="false">IF($J520=1,MAX(Cx_1*(Ref_P-E520)/Span_P,Cx_2*(Ref_S-F520)/Span_S,Cx_3*(Ref_B-G520)/Span_B),"")</f>
        <v>1.52100840336134</v>
      </c>
    </row>
    <row r="521" customFormat="false" ht="15" hidden="false" customHeight="false" outlineLevel="0" collapsed="false">
      <c r="A521" s="2" t="n">
        <v>515</v>
      </c>
      <c r="B521" s="15" t="n">
        <f aca="false">INT(A521/151)</f>
        <v>3</v>
      </c>
      <c r="C521" s="15" t="n">
        <f aca="false">MOD(A521,151)</f>
        <v>62</v>
      </c>
      <c r="D521" s="15" t="n">
        <f aca="false">INDEX(Grid!$J$6:$P$156,C521+1,B521+1)</f>
        <v>1</v>
      </c>
      <c r="E521" s="16" t="n">
        <f aca="false">IF(D521=1,INDEX(Grid!$B$6:$H$156,C521+1,B521+1),"")</f>
        <v>274.088349201636</v>
      </c>
      <c r="F521" s="13" t="n">
        <f aca="false">Val_pt*(Ceiling_e-E_zero)*(1-(1-Half_gap)^B521)</f>
        <v>122.5</v>
      </c>
      <c r="G521" s="15" t="n">
        <f aca="false">C521</f>
        <v>62</v>
      </c>
      <c r="H521" s="15" t="n">
        <f aca="false">IF(D521=1,INDEX(Grid!$R$6:$X$156,C521+1,B521+1),"")</f>
        <v>56</v>
      </c>
      <c r="I521" s="2" t="str">
        <f aca="false">IF(D521=1,INDEX(Sch_label,H521+1),"")</f>
        <v>1–3</v>
      </c>
      <c r="J521" s="15" t="n">
        <f aca="false">IF(D521=1,INDEX(Grid!$Z$6:$AF$156,C521+1,B521+1),0)</f>
        <v>1</v>
      </c>
      <c r="K521" s="16" t="n">
        <f aca="false">IF(J521=1,E521,0)</f>
        <v>274.088349201636</v>
      </c>
      <c r="L521" s="17" t="n">
        <f aca="false">IF(D521=1,E521+W_board*F521,"")</f>
        <v>965.568913517514</v>
      </c>
      <c r="M521" s="24" t="n">
        <v>1</v>
      </c>
      <c r="N521" s="25" t="n">
        <v>0.348973720143138</v>
      </c>
      <c r="O521" s="25" t="n">
        <v>0.519611355865294</v>
      </c>
      <c r="P521" s="25" t="n">
        <v>0.131414923991568</v>
      </c>
      <c r="Z521" s="12" t="n">
        <f aca="false">IF(AND($J521=1,$M521=1),N521*E521/Span_P+O521*F521/Span_S+P521*G521/Span_B,"")</f>
        <v>1.25711247070246</v>
      </c>
      <c r="AA521" s="12" t="n">
        <f aca="false">IF(AND($J521=1,$M521=1),SUMPRODUCT(MAX($J$6:$J$1062*(N521*$K$6:$K$1062/Span_P+O521*$F$6:$F$1062/Span_S+P521*$G$6:$G$1062/Span_B)-(1-$J$6:$J$1062)*1000000000)),"")</f>
        <v>1.25711247070246</v>
      </c>
      <c r="AB521" s="15" t="n">
        <f aca="false">IF(AND($J521=1,$M521=1),IF(AA521-Z521&lt;=0.000000001,1,0),"")</f>
        <v>1</v>
      </c>
      <c r="AC521" s="13" t="str">
        <f aca="false">IF(AND($J521=1,$M521=0),IF(S521="",0,S521*INDEX(Grid!$B$6:$H$156,R521+1,Q521+1))+IF(V521="",0,V521*INDEX(Grid!$B$6:$H$156,U521+1,T521+1))+IF(Y521="",0,Y521*INDEX(Grid!$B$6:$H$156,X521+1,W521+1)),"")</f>
        <v/>
      </c>
      <c r="AD521" s="13" t="str">
        <f aca="false">IF(AND($J521=1,$M521=0),IF(S521="",0,S521*Val_pt*(Ceiling_e-E_zero)*(1-(1-Half_gap)^Q521))+IF(V521="",0,V521*Val_pt*(Ceiling_e-E_zero)*(1-(1-Half_gap)^T521))+IF(Y521="",0,Y521*Val_pt*(Ceiling_e-E_zero)*(1-(1-Half_gap)^W521)),"")</f>
        <v/>
      </c>
      <c r="AE521" s="13" t="str">
        <f aca="false">IF(AND($J521=1,$M521=0),IF(S521="",0,S521*R521)+IF(V521="",0,V521*U521)+IF(Y521="",0,Y521*X521),"")</f>
        <v/>
      </c>
      <c r="AF521" s="12" t="str">
        <f aca="false">IF(AND($J521=1,$M521=0),MIN((AC521-E521)/Span_P,(AD521-F521)/Span_S,(AE521-G521)/Span_B),"")</f>
        <v/>
      </c>
      <c r="AG521" s="15" t="str">
        <f aca="false">IF(AND($J521=1,$M521=0),IF(AF521&gt;0.0000001,1,0),"")</f>
        <v/>
      </c>
      <c r="AH521" s="15" t="n">
        <f aca="false">IF($J521=1,IF($M521=1,AB521,AG521),"")</f>
        <v>1</v>
      </c>
      <c r="AI521" s="13" t="n">
        <f aca="false">IF($J521=1,(Ideal_P-E521)/Span_P,"")</f>
        <v>0.304005532580644</v>
      </c>
      <c r="AJ521" s="13" t="n">
        <f aca="false">IF($J521=1,(Ideal_S-F521)/Span_S,"")</f>
        <v>0.225806451612903</v>
      </c>
      <c r="AK521" s="13" t="n">
        <f aca="false">IF($J521=1,(Ideal_B-G521)/Span_B,"")</f>
        <v>0.586666666666667</v>
      </c>
      <c r="AL521" s="12" t="n">
        <f aca="false">IF($J521=1,MAX(ChA_1*AI521,ChA_2*AJ521,ChA_3*AK521)+Rho*(ChA_1*AI521+ChA_2*AJ521+ChA_3*AK521),"")</f>
        <v>0.586778314531753</v>
      </c>
      <c r="AM521" s="12" t="n">
        <f aca="false">IF($J521=1,MAX(ChB_1*AI521,ChB_2*AJ521,ChB_3*AK521)+Rho*(ChB_1*AI521+ChB_2*AJ521+ChB_3*AK521),"")</f>
        <v>0.608153113579633</v>
      </c>
      <c r="AN521" s="12" t="n">
        <f aca="false">IF($J521=1,MAX(Cx_1*(Ref_P-E521)/Span_P,Cx_2*(Ref_S-F521)/Span_S,Cx_3*(Ref_B-G521)/Span_B),"")</f>
        <v>1.50420168067227</v>
      </c>
    </row>
    <row r="522" customFormat="false" ht="15" hidden="false" customHeight="false" outlineLevel="0" collapsed="false">
      <c r="A522" s="2" t="n">
        <v>516</v>
      </c>
      <c r="B522" s="15" t="n">
        <f aca="false">INT(A522/151)</f>
        <v>3</v>
      </c>
      <c r="C522" s="15" t="n">
        <f aca="false">MOD(A522,151)</f>
        <v>63</v>
      </c>
      <c r="D522" s="15" t="n">
        <f aca="false">INDEX(Grid!$J$6:$P$156,C522+1,B522+1)</f>
        <v>1</v>
      </c>
      <c r="E522" s="16" t="n">
        <f aca="false">IF(D522=1,INDEX(Grid!$B$6:$H$156,C522+1,B522+1),"")</f>
        <v>273.179258292545</v>
      </c>
      <c r="F522" s="13" t="n">
        <f aca="false">Val_pt*(Ceiling_e-E_zero)*(1-(1-Half_gap)^B522)</f>
        <v>122.5</v>
      </c>
      <c r="G522" s="15" t="n">
        <f aca="false">C522</f>
        <v>63</v>
      </c>
      <c r="H522" s="15" t="n">
        <f aca="false">IF(D522=1,INDEX(Grid!$R$6:$X$156,C522+1,B522+1),"")</f>
        <v>56</v>
      </c>
      <c r="I522" s="2" t="str">
        <f aca="false">IF(D522=1,INDEX(Sch_label,H522+1),"")</f>
        <v>1–3</v>
      </c>
      <c r="J522" s="15" t="n">
        <f aca="false">IF(D522=1,INDEX(Grid!$Z$6:$AF$156,C522+1,B522+1),0)</f>
        <v>1</v>
      </c>
      <c r="K522" s="16" t="n">
        <f aca="false">IF(J522=1,E522,0)</f>
        <v>273.179258292545</v>
      </c>
      <c r="L522" s="17" t="n">
        <f aca="false">IF(D522=1,E522+W_board*F522,"")</f>
        <v>964.659822608423</v>
      </c>
      <c r="M522" s="24" t="n">
        <v>1</v>
      </c>
      <c r="N522" s="25" t="n">
        <v>0.348973720143138</v>
      </c>
      <c r="O522" s="25" t="n">
        <v>0.519611355865301</v>
      </c>
      <c r="P522" s="25" t="n">
        <v>0.131414923991561</v>
      </c>
      <c r="Z522" s="12" t="n">
        <f aca="false">IF(AND($J522=1,$M522=1),N522*E522/Span_P+O522*F522/Span_S+P522*G522/Span_B,"")</f>
        <v>1.25711247070247</v>
      </c>
      <c r="AA522" s="12" t="n">
        <f aca="false">IF(AND($J522=1,$M522=1),SUMPRODUCT(MAX($J$6:$J$1062*(N522*$K$6:$K$1062/Span_P+O522*$F$6:$F$1062/Span_S+P522*$G$6:$G$1062/Span_B)-(1-$J$6:$J$1062)*1000000000)),"")</f>
        <v>1.25711247070247</v>
      </c>
      <c r="AB522" s="15" t="n">
        <f aca="false">IF(AND($J522=1,$M522=1),IF(AA522-Z522&lt;=0.000000001,1,0),"")</f>
        <v>1</v>
      </c>
      <c r="AC522" s="13" t="str">
        <f aca="false">IF(AND($J522=1,$M522=0),IF(S522="",0,S522*INDEX(Grid!$B$6:$H$156,R522+1,Q522+1))+IF(V522="",0,V522*INDEX(Grid!$B$6:$H$156,U522+1,T522+1))+IF(Y522="",0,Y522*INDEX(Grid!$B$6:$H$156,X522+1,W522+1)),"")</f>
        <v/>
      </c>
      <c r="AD522" s="13" t="str">
        <f aca="false">IF(AND($J522=1,$M522=0),IF(S522="",0,S522*Val_pt*(Ceiling_e-E_zero)*(1-(1-Half_gap)^Q522))+IF(V522="",0,V522*Val_pt*(Ceiling_e-E_zero)*(1-(1-Half_gap)^T522))+IF(Y522="",0,Y522*Val_pt*(Ceiling_e-E_zero)*(1-(1-Half_gap)^W522)),"")</f>
        <v/>
      </c>
      <c r="AE522" s="13" t="str">
        <f aca="false">IF(AND($J522=1,$M522=0),IF(S522="",0,S522*R522)+IF(V522="",0,V522*U522)+IF(Y522="",0,Y522*X522),"")</f>
        <v/>
      </c>
      <c r="AF522" s="12" t="str">
        <f aca="false">IF(AND($J522=1,$M522=0),MIN((AC522-E522)/Span_P,(AD522-F522)/Span_S,(AE522-G522)/Span_B),"")</f>
        <v/>
      </c>
      <c r="AG522" s="15" t="str">
        <f aca="false">IF(AND($J522=1,$M522=0),IF(AF522&gt;0.0000001,1,0),"")</f>
        <v/>
      </c>
      <c r="AH522" s="15" t="n">
        <f aca="false">IF($J522=1,IF($M522=1,AB522,AG522),"")</f>
        <v>1</v>
      </c>
      <c r="AI522" s="13" t="n">
        <f aca="false">IF($J522=1,(Ideal_P-E522)/Span_P,"")</f>
        <v>0.30651603535695</v>
      </c>
      <c r="AJ522" s="13" t="n">
        <f aca="false">IF($J522=1,(Ideal_S-F522)/Span_S,"")</f>
        <v>0.225806451612903</v>
      </c>
      <c r="AK522" s="13" t="n">
        <f aca="false">IF($J522=1,(Ideal_B-G522)/Span_B,"")</f>
        <v>0.58</v>
      </c>
      <c r="AL522" s="12" t="n">
        <f aca="false">IF($J522=1,MAX(ChA_1*AI522,ChA_2*AJ522,ChA_3*AK522)+Rho*(ChA_1*AI522+ChA_2*AJ522+ChA_3*AK522),"")</f>
        <v>0.580111232248697</v>
      </c>
      <c r="AM522" s="12" t="n">
        <f aca="false">IF($J522=1,MAX(ChB_1*AI522,ChB_2*AJ522,ChB_3*AK522)+Rho*(ChB_1*AI522+ChB_2*AJ522+ChB_3*AK522),"")</f>
        <v>0.613173954566133</v>
      </c>
      <c r="AN522" s="12" t="n">
        <f aca="false">IF($J522=1,MAX(Cx_1*(Ref_P-E522)/Span_P,Cx_2*(Ref_S-F522)/Span_S,Cx_3*(Ref_B-G522)/Span_B),"")</f>
        <v>1.48739495798319</v>
      </c>
    </row>
    <row r="523" customFormat="false" ht="15" hidden="false" customHeight="false" outlineLevel="0" collapsed="false">
      <c r="A523" s="2" t="n">
        <v>517</v>
      </c>
      <c r="B523" s="15" t="n">
        <f aca="false">INT(A523/151)</f>
        <v>3</v>
      </c>
      <c r="C523" s="15" t="n">
        <f aca="false">MOD(A523,151)</f>
        <v>64</v>
      </c>
      <c r="D523" s="15" t="n">
        <f aca="false">INDEX(Grid!$J$6:$P$156,C523+1,B523+1)</f>
        <v>1</v>
      </c>
      <c r="E523" s="16" t="n">
        <f aca="false">IF(D523=1,INDEX(Grid!$B$6:$H$156,C523+1,B523+1),"")</f>
        <v>272.270167383454</v>
      </c>
      <c r="F523" s="13" t="n">
        <f aca="false">Val_pt*(Ceiling_e-E_zero)*(1-(1-Half_gap)^B523)</f>
        <v>122.5</v>
      </c>
      <c r="G523" s="15" t="n">
        <f aca="false">C523</f>
        <v>64</v>
      </c>
      <c r="H523" s="15" t="n">
        <f aca="false">IF(D523=1,INDEX(Grid!$R$6:$X$156,C523+1,B523+1),"")</f>
        <v>56</v>
      </c>
      <c r="I523" s="2" t="str">
        <f aca="false">IF(D523=1,INDEX(Sch_label,H523+1),"")</f>
        <v>1–3</v>
      </c>
      <c r="J523" s="15" t="n">
        <f aca="false">IF(D523=1,INDEX(Grid!$Z$6:$AF$156,C523+1,B523+1),0)</f>
        <v>1</v>
      </c>
      <c r="K523" s="16" t="n">
        <f aca="false">IF(J523=1,E523,0)</f>
        <v>272.270167383454</v>
      </c>
      <c r="L523" s="17" t="n">
        <f aca="false">IF(D523=1,E523+W_board*F523,"")</f>
        <v>963.750731699332</v>
      </c>
      <c r="M523" s="24" t="n">
        <v>1</v>
      </c>
      <c r="N523" s="25" t="n">
        <v>0.348973720143138</v>
      </c>
      <c r="O523" s="25" t="n">
        <v>0.519611355865294</v>
      </c>
      <c r="P523" s="25" t="n">
        <v>0.131414923991568</v>
      </c>
      <c r="Z523" s="12" t="n">
        <f aca="false">IF(AND($J523=1,$M523=1),N523*E523/Span_P+O523*F523/Span_S+P523*G523/Span_B,"")</f>
        <v>1.25711247070246</v>
      </c>
      <c r="AA523" s="12" t="n">
        <f aca="false">IF(AND($J523=1,$M523=1),SUMPRODUCT(MAX($J$6:$J$1062*(N523*$K$6:$K$1062/Span_P+O523*$F$6:$F$1062/Span_S+P523*$G$6:$G$1062/Span_B)-(1-$J$6:$J$1062)*1000000000)),"")</f>
        <v>1.25711247070246</v>
      </c>
      <c r="AB523" s="15" t="n">
        <f aca="false">IF(AND($J523=1,$M523=1),IF(AA523-Z523&lt;=0.000000001,1,0),"")</f>
        <v>1</v>
      </c>
      <c r="AC523" s="13" t="str">
        <f aca="false">IF(AND($J523=1,$M523=0),IF(S523="",0,S523*INDEX(Grid!$B$6:$H$156,R523+1,Q523+1))+IF(V523="",0,V523*INDEX(Grid!$B$6:$H$156,U523+1,T523+1))+IF(Y523="",0,Y523*INDEX(Grid!$B$6:$H$156,X523+1,W523+1)),"")</f>
        <v/>
      </c>
      <c r="AD523" s="13" t="str">
        <f aca="false">IF(AND($J523=1,$M523=0),IF(S523="",0,S523*Val_pt*(Ceiling_e-E_zero)*(1-(1-Half_gap)^Q523))+IF(V523="",0,V523*Val_pt*(Ceiling_e-E_zero)*(1-(1-Half_gap)^T523))+IF(Y523="",0,Y523*Val_pt*(Ceiling_e-E_zero)*(1-(1-Half_gap)^W523)),"")</f>
        <v/>
      </c>
      <c r="AE523" s="13" t="str">
        <f aca="false">IF(AND($J523=1,$M523=0),IF(S523="",0,S523*R523)+IF(V523="",0,V523*U523)+IF(Y523="",0,Y523*X523),"")</f>
        <v/>
      </c>
      <c r="AF523" s="12" t="str">
        <f aca="false">IF(AND($J523=1,$M523=0),MIN((AC523-E523)/Span_P,(AD523-F523)/Span_S,(AE523-G523)/Span_B),"")</f>
        <v/>
      </c>
      <c r="AG523" s="15" t="str">
        <f aca="false">IF(AND($J523=1,$M523=0),IF(AF523&gt;0.0000001,1,0),"")</f>
        <v/>
      </c>
      <c r="AH523" s="15" t="n">
        <f aca="false">IF($J523=1,IF($M523=1,AB523,AG523),"")</f>
        <v>1</v>
      </c>
      <c r="AI523" s="13" t="n">
        <f aca="false">IF($J523=1,(Ideal_P-E523)/Span_P,"")</f>
        <v>0.309026538133256</v>
      </c>
      <c r="AJ523" s="13" t="n">
        <f aca="false">IF($J523=1,(Ideal_S-F523)/Span_S,"")</f>
        <v>0.225806451612903</v>
      </c>
      <c r="AK523" s="13" t="n">
        <f aca="false">IF($J523=1,(Ideal_B-G523)/Span_B,"")</f>
        <v>0.573333333333333</v>
      </c>
      <c r="AL523" s="12" t="n">
        <f aca="false">IF($J523=1,MAX(ChA_1*AI523,ChA_2*AJ523,ChA_3*AK523)+Rho*(ChA_1*AI523+ChA_2*AJ523+ChA_3*AK523),"")</f>
        <v>0.573444149965641</v>
      </c>
      <c r="AM523" s="12" t="n">
        <f aca="false">IF($J523=1,MAX(ChB_1*AI523,ChB_2*AJ523,ChB_3*AK523)+Rho*(ChB_1*AI523+ChB_2*AJ523+ChB_3*AK523),"")</f>
        <v>0.618194795552633</v>
      </c>
      <c r="AN523" s="12" t="n">
        <f aca="false">IF($J523=1,MAX(Cx_1*(Ref_P-E523)/Span_P,Cx_2*(Ref_S-F523)/Span_S,Cx_3*(Ref_B-G523)/Span_B),"")</f>
        <v>1.47058823529412</v>
      </c>
    </row>
    <row r="524" customFormat="false" ht="15" hidden="false" customHeight="false" outlineLevel="0" collapsed="false">
      <c r="A524" s="2" t="n">
        <v>518</v>
      </c>
      <c r="B524" s="15" t="n">
        <f aca="false">INT(A524/151)</f>
        <v>3</v>
      </c>
      <c r="C524" s="15" t="n">
        <f aca="false">MOD(A524,151)</f>
        <v>65</v>
      </c>
      <c r="D524" s="15" t="n">
        <f aca="false">INDEX(Grid!$J$6:$P$156,C524+1,B524+1)</f>
        <v>1</v>
      </c>
      <c r="E524" s="16" t="n">
        <f aca="false">IF(D524=1,INDEX(Grid!$B$6:$H$156,C524+1,B524+1),"")</f>
        <v>271.361076474364</v>
      </c>
      <c r="F524" s="13" t="n">
        <f aca="false">Val_pt*(Ceiling_e-E_zero)*(1-(1-Half_gap)^B524)</f>
        <v>122.5</v>
      </c>
      <c r="G524" s="15" t="n">
        <f aca="false">C524</f>
        <v>65</v>
      </c>
      <c r="H524" s="15" t="n">
        <f aca="false">IF(D524=1,INDEX(Grid!$R$6:$X$156,C524+1,B524+1),"")</f>
        <v>56</v>
      </c>
      <c r="I524" s="2" t="str">
        <f aca="false">IF(D524=1,INDEX(Sch_label,H524+1),"")</f>
        <v>1–3</v>
      </c>
      <c r="J524" s="15" t="n">
        <f aca="false">IF(D524=1,INDEX(Grid!$Z$6:$AF$156,C524+1,B524+1),0)</f>
        <v>1</v>
      </c>
      <c r="K524" s="16" t="n">
        <f aca="false">IF(J524=1,E524,0)</f>
        <v>271.361076474364</v>
      </c>
      <c r="L524" s="17" t="n">
        <f aca="false">IF(D524=1,E524+W_board*F524,"")</f>
        <v>962.841640790241</v>
      </c>
      <c r="M524" s="24" t="n">
        <v>1</v>
      </c>
      <c r="N524" s="25" t="n">
        <v>0.348973720143138</v>
      </c>
      <c r="O524" s="25" t="n">
        <v>0.5196113558653</v>
      </c>
      <c r="P524" s="25" t="n">
        <v>0.131414923991562</v>
      </c>
      <c r="Z524" s="12" t="n">
        <f aca="false">IF(AND($J524=1,$M524=1),N524*E524/Span_P+O524*F524/Span_S+P524*G524/Span_B,"")</f>
        <v>1.25711247070246</v>
      </c>
      <c r="AA524" s="12" t="n">
        <f aca="false">IF(AND($J524=1,$M524=1),SUMPRODUCT(MAX($J$6:$J$1062*(N524*$K$6:$K$1062/Span_P+O524*$F$6:$F$1062/Span_S+P524*$G$6:$G$1062/Span_B)-(1-$J$6:$J$1062)*1000000000)),"")</f>
        <v>1.25711247070247</v>
      </c>
      <c r="AB524" s="15" t="n">
        <f aca="false">IF(AND($J524=1,$M524=1),IF(AA524-Z524&lt;=0.000000001,1,0),"")</f>
        <v>1</v>
      </c>
      <c r="AC524" s="13" t="str">
        <f aca="false">IF(AND($J524=1,$M524=0),IF(S524="",0,S524*INDEX(Grid!$B$6:$H$156,R524+1,Q524+1))+IF(V524="",0,V524*INDEX(Grid!$B$6:$H$156,U524+1,T524+1))+IF(Y524="",0,Y524*INDEX(Grid!$B$6:$H$156,X524+1,W524+1)),"")</f>
        <v/>
      </c>
      <c r="AD524" s="13" t="str">
        <f aca="false">IF(AND($J524=1,$M524=0),IF(S524="",0,S524*Val_pt*(Ceiling_e-E_zero)*(1-(1-Half_gap)^Q524))+IF(V524="",0,V524*Val_pt*(Ceiling_e-E_zero)*(1-(1-Half_gap)^T524))+IF(Y524="",0,Y524*Val_pt*(Ceiling_e-E_zero)*(1-(1-Half_gap)^W524)),"")</f>
        <v/>
      </c>
      <c r="AE524" s="13" t="str">
        <f aca="false">IF(AND($J524=1,$M524=0),IF(S524="",0,S524*R524)+IF(V524="",0,V524*U524)+IF(Y524="",0,Y524*X524),"")</f>
        <v/>
      </c>
      <c r="AF524" s="12" t="str">
        <f aca="false">IF(AND($J524=1,$M524=0),MIN((AC524-E524)/Span_P,(AD524-F524)/Span_S,(AE524-G524)/Span_B),"")</f>
        <v/>
      </c>
      <c r="AG524" s="15" t="str">
        <f aca="false">IF(AND($J524=1,$M524=0),IF(AF524&gt;0.0000001,1,0),"")</f>
        <v/>
      </c>
      <c r="AH524" s="15" t="n">
        <f aca="false">IF($J524=1,IF($M524=1,AB524,AG524),"")</f>
        <v>1</v>
      </c>
      <c r="AI524" s="13" t="n">
        <f aca="false">IF($J524=1,(Ideal_P-E524)/Span_P,"")</f>
        <v>0.311537040909562</v>
      </c>
      <c r="AJ524" s="13" t="n">
        <f aca="false">IF($J524=1,(Ideal_S-F524)/Span_S,"")</f>
        <v>0.225806451612903</v>
      </c>
      <c r="AK524" s="13" t="n">
        <f aca="false">IF($J524=1,(Ideal_B-G524)/Span_B,"")</f>
        <v>0.566666666666667</v>
      </c>
      <c r="AL524" s="12" t="n">
        <f aca="false">IF($J524=1,MAX(ChA_1*AI524,ChA_2*AJ524,ChA_3*AK524)+Rho*(ChA_1*AI524+ChA_2*AJ524+ChA_3*AK524),"")</f>
        <v>0.566777067682586</v>
      </c>
      <c r="AM524" s="12" t="n">
        <f aca="false">IF($J524=1,MAX(ChB_1*AI524,ChB_2*AJ524,ChB_3*AK524)+Rho*(ChB_1*AI524+ChB_2*AJ524+ChB_3*AK524),"")</f>
        <v>0.623215636539133</v>
      </c>
      <c r="AN524" s="12" t="n">
        <f aca="false">IF($J524=1,MAX(Cx_1*(Ref_P-E524)/Span_P,Cx_2*(Ref_S-F524)/Span_S,Cx_3*(Ref_B-G524)/Span_B),"")</f>
        <v>1.45378151260504</v>
      </c>
    </row>
    <row r="525" customFormat="false" ht="15" hidden="false" customHeight="false" outlineLevel="0" collapsed="false">
      <c r="A525" s="2" t="n">
        <v>519</v>
      </c>
      <c r="B525" s="15" t="n">
        <f aca="false">INT(A525/151)</f>
        <v>3</v>
      </c>
      <c r="C525" s="15" t="n">
        <f aca="false">MOD(A525,151)</f>
        <v>66</v>
      </c>
      <c r="D525" s="15" t="n">
        <f aca="false">INDEX(Grid!$J$6:$P$156,C525+1,B525+1)</f>
        <v>1</v>
      </c>
      <c r="E525" s="16" t="n">
        <f aca="false">IF(D525=1,INDEX(Grid!$B$6:$H$156,C525+1,B525+1),"")</f>
        <v>270.451985565273</v>
      </c>
      <c r="F525" s="13" t="n">
        <f aca="false">Val_pt*(Ceiling_e-E_zero)*(1-(1-Half_gap)^B525)</f>
        <v>122.5</v>
      </c>
      <c r="G525" s="15" t="n">
        <f aca="false">C525</f>
        <v>66</v>
      </c>
      <c r="H525" s="15" t="n">
        <f aca="false">IF(D525=1,INDEX(Grid!$R$6:$X$156,C525+1,B525+1),"")</f>
        <v>56</v>
      </c>
      <c r="I525" s="2" t="str">
        <f aca="false">IF(D525=1,INDEX(Sch_label,H525+1),"")</f>
        <v>1–3</v>
      </c>
      <c r="J525" s="15" t="n">
        <f aca="false">IF(D525=1,INDEX(Grid!$Z$6:$AF$156,C525+1,B525+1),0)</f>
        <v>1</v>
      </c>
      <c r="K525" s="16" t="n">
        <f aca="false">IF(J525=1,E525,0)</f>
        <v>270.451985565273</v>
      </c>
      <c r="L525" s="17" t="n">
        <f aca="false">IF(D525=1,E525+W_board*F525,"")</f>
        <v>961.93254988115</v>
      </c>
      <c r="M525" s="24" t="n">
        <v>1</v>
      </c>
      <c r="N525" s="25" t="n">
        <v>0.348973720143138</v>
      </c>
      <c r="O525" s="25" t="n">
        <v>0.519611355865294</v>
      </c>
      <c r="P525" s="25" t="n">
        <v>0.131414923991568</v>
      </c>
      <c r="Z525" s="12" t="n">
        <f aca="false">IF(AND($J525=1,$M525=1),N525*E525/Span_P+O525*F525/Span_S+P525*G525/Span_B,"")</f>
        <v>1.25711247070246</v>
      </c>
      <c r="AA525" s="12" t="n">
        <f aca="false">IF(AND($J525=1,$M525=1),SUMPRODUCT(MAX($J$6:$J$1062*(N525*$K$6:$K$1062/Span_P+O525*$F$6:$F$1062/Span_S+P525*$G$6:$G$1062/Span_B)-(1-$J$6:$J$1062)*1000000000)),"")</f>
        <v>1.25711247070246</v>
      </c>
      <c r="AB525" s="15" t="n">
        <f aca="false">IF(AND($J525=1,$M525=1),IF(AA525-Z525&lt;=0.000000001,1,0),"")</f>
        <v>1</v>
      </c>
      <c r="AC525" s="13" t="str">
        <f aca="false">IF(AND($J525=1,$M525=0),IF(S525="",0,S525*INDEX(Grid!$B$6:$H$156,R525+1,Q525+1))+IF(V525="",0,V525*INDEX(Grid!$B$6:$H$156,U525+1,T525+1))+IF(Y525="",0,Y525*INDEX(Grid!$B$6:$H$156,X525+1,W525+1)),"")</f>
        <v/>
      </c>
      <c r="AD525" s="13" t="str">
        <f aca="false">IF(AND($J525=1,$M525=0),IF(S525="",0,S525*Val_pt*(Ceiling_e-E_zero)*(1-(1-Half_gap)^Q525))+IF(V525="",0,V525*Val_pt*(Ceiling_e-E_zero)*(1-(1-Half_gap)^T525))+IF(Y525="",0,Y525*Val_pt*(Ceiling_e-E_zero)*(1-(1-Half_gap)^W525)),"")</f>
        <v/>
      </c>
      <c r="AE525" s="13" t="str">
        <f aca="false">IF(AND($J525=1,$M525=0),IF(S525="",0,S525*R525)+IF(V525="",0,V525*U525)+IF(Y525="",0,Y525*X525),"")</f>
        <v/>
      </c>
      <c r="AF525" s="12" t="str">
        <f aca="false">IF(AND($J525=1,$M525=0),MIN((AC525-E525)/Span_P,(AD525-F525)/Span_S,(AE525-G525)/Span_B),"")</f>
        <v/>
      </c>
      <c r="AG525" s="15" t="str">
        <f aca="false">IF(AND($J525=1,$M525=0),IF(AF525&gt;0.0000001,1,0),"")</f>
        <v/>
      </c>
      <c r="AH525" s="15" t="n">
        <f aca="false">IF($J525=1,IF($M525=1,AB525,AG525),"")</f>
        <v>1</v>
      </c>
      <c r="AI525" s="13" t="n">
        <f aca="false">IF($J525=1,(Ideal_P-E525)/Span_P,"")</f>
        <v>0.314047543685867</v>
      </c>
      <c r="AJ525" s="13" t="n">
        <f aca="false">IF($J525=1,(Ideal_S-F525)/Span_S,"")</f>
        <v>0.225806451612903</v>
      </c>
      <c r="AK525" s="13" t="n">
        <f aca="false">IF($J525=1,(Ideal_B-G525)/Span_B,"")</f>
        <v>0.56</v>
      </c>
      <c r="AL525" s="12" t="n">
        <f aca="false">IF($J525=1,MAX(ChA_1*AI525,ChA_2*AJ525,ChA_3*AK525)+Rho*(ChA_1*AI525+ChA_2*AJ525+ChA_3*AK525),"")</f>
        <v>0.56010998539953</v>
      </c>
      <c r="AM525" s="12" t="n">
        <f aca="false">IF($J525=1,MAX(ChB_1*AI525,ChB_2*AJ525,ChB_3*AK525)+Rho*(ChB_1*AI525+ChB_2*AJ525+ChB_3*AK525),"")</f>
        <v>0.628236477525633</v>
      </c>
      <c r="AN525" s="12" t="n">
        <f aca="false">IF($J525=1,MAX(Cx_1*(Ref_P-E525)/Span_P,Cx_2*(Ref_S-F525)/Span_S,Cx_3*(Ref_B-G525)/Span_B),"")</f>
        <v>1.43697478991597</v>
      </c>
    </row>
    <row r="526" customFormat="false" ht="15" hidden="false" customHeight="false" outlineLevel="0" collapsed="false">
      <c r="A526" s="2" t="n">
        <v>520</v>
      </c>
      <c r="B526" s="15" t="n">
        <f aca="false">INT(A526/151)</f>
        <v>3</v>
      </c>
      <c r="C526" s="15" t="n">
        <f aca="false">MOD(A526,151)</f>
        <v>67</v>
      </c>
      <c r="D526" s="15" t="n">
        <f aca="false">INDEX(Grid!$J$6:$P$156,C526+1,B526+1)</f>
        <v>1</v>
      </c>
      <c r="E526" s="16" t="n">
        <f aca="false">IF(D526=1,INDEX(Grid!$B$6:$H$156,C526+1,B526+1),"")</f>
        <v>269.542894656182</v>
      </c>
      <c r="F526" s="13" t="n">
        <f aca="false">Val_pt*(Ceiling_e-E_zero)*(1-(1-Half_gap)^B526)</f>
        <v>122.5</v>
      </c>
      <c r="G526" s="15" t="n">
        <f aca="false">C526</f>
        <v>67</v>
      </c>
      <c r="H526" s="15" t="n">
        <f aca="false">IF(D526=1,INDEX(Grid!$R$6:$X$156,C526+1,B526+1),"")</f>
        <v>56</v>
      </c>
      <c r="I526" s="2" t="str">
        <f aca="false">IF(D526=1,INDEX(Sch_label,H526+1),"")</f>
        <v>1–3</v>
      </c>
      <c r="J526" s="15" t="n">
        <f aca="false">IF(D526=1,INDEX(Grid!$Z$6:$AF$156,C526+1,B526+1),0)</f>
        <v>1</v>
      </c>
      <c r="K526" s="16" t="n">
        <f aca="false">IF(J526=1,E526,0)</f>
        <v>269.542894656182</v>
      </c>
      <c r="L526" s="17" t="n">
        <f aca="false">IF(D526=1,E526+W_board*F526,"")</f>
        <v>961.023458972059</v>
      </c>
      <c r="M526" s="24" t="n">
        <v>1</v>
      </c>
      <c r="N526" s="25" t="n">
        <v>0.348973720143138</v>
      </c>
      <c r="O526" s="25" t="n">
        <v>0.5196113558653</v>
      </c>
      <c r="P526" s="25" t="n">
        <v>0.131414923991562</v>
      </c>
      <c r="Z526" s="12" t="n">
        <f aca="false">IF(AND($J526=1,$M526=1),N526*E526/Span_P+O526*F526/Span_S+P526*G526/Span_B,"")</f>
        <v>1.25711247070246</v>
      </c>
      <c r="AA526" s="12" t="n">
        <f aca="false">IF(AND($J526=1,$M526=1),SUMPRODUCT(MAX($J$6:$J$1062*(N526*$K$6:$K$1062/Span_P+O526*$F$6:$F$1062/Span_S+P526*$G$6:$G$1062/Span_B)-(1-$J$6:$J$1062)*1000000000)),"")</f>
        <v>1.25711247070247</v>
      </c>
      <c r="AB526" s="15" t="n">
        <f aca="false">IF(AND($J526=1,$M526=1),IF(AA526-Z526&lt;=0.000000001,1,0),"")</f>
        <v>1</v>
      </c>
      <c r="AC526" s="13" t="str">
        <f aca="false">IF(AND($J526=1,$M526=0),IF(S526="",0,S526*INDEX(Grid!$B$6:$H$156,R526+1,Q526+1))+IF(V526="",0,V526*INDEX(Grid!$B$6:$H$156,U526+1,T526+1))+IF(Y526="",0,Y526*INDEX(Grid!$B$6:$H$156,X526+1,W526+1)),"")</f>
        <v/>
      </c>
      <c r="AD526" s="13" t="str">
        <f aca="false">IF(AND($J526=1,$M526=0),IF(S526="",0,S526*Val_pt*(Ceiling_e-E_zero)*(1-(1-Half_gap)^Q526))+IF(V526="",0,V526*Val_pt*(Ceiling_e-E_zero)*(1-(1-Half_gap)^T526))+IF(Y526="",0,Y526*Val_pt*(Ceiling_e-E_zero)*(1-(1-Half_gap)^W526)),"")</f>
        <v/>
      </c>
      <c r="AE526" s="13" t="str">
        <f aca="false">IF(AND($J526=1,$M526=0),IF(S526="",0,S526*R526)+IF(V526="",0,V526*U526)+IF(Y526="",0,Y526*X526),"")</f>
        <v/>
      </c>
      <c r="AF526" s="12" t="str">
        <f aca="false">IF(AND($J526=1,$M526=0),MIN((AC526-E526)/Span_P,(AD526-F526)/Span_S,(AE526-G526)/Span_B),"")</f>
        <v/>
      </c>
      <c r="AG526" s="15" t="str">
        <f aca="false">IF(AND($J526=1,$M526=0),IF(AF526&gt;0.0000001,1,0),"")</f>
        <v/>
      </c>
      <c r="AH526" s="15" t="n">
        <f aca="false">IF($J526=1,IF($M526=1,AB526,AG526),"")</f>
        <v>1</v>
      </c>
      <c r="AI526" s="13" t="n">
        <f aca="false">IF($J526=1,(Ideal_P-E526)/Span_P,"")</f>
        <v>0.316558046462173</v>
      </c>
      <c r="AJ526" s="13" t="n">
        <f aca="false">IF($J526=1,(Ideal_S-F526)/Span_S,"")</f>
        <v>0.225806451612903</v>
      </c>
      <c r="AK526" s="13" t="n">
        <f aca="false">IF($J526=1,(Ideal_B-G526)/Span_B,"")</f>
        <v>0.553333333333333</v>
      </c>
      <c r="AL526" s="12" t="n">
        <f aca="false">IF($J526=1,MAX(ChA_1*AI526,ChA_2*AJ526,ChA_3*AK526)+Rho*(ChA_1*AI526+ChA_2*AJ526+ChA_3*AK526),"")</f>
        <v>0.553442903116474</v>
      </c>
      <c r="AM526" s="12" t="n">
        <f aca="false">IF($J526=1,MAX(ChB_1*AI526,ChB_2*AJ526,ChB_3*AK526)+Rho*(ChB_1*AI526+ChB_2*AJ526+ChB_3*AK526),"")</f>
        <v>0.633257318512134</v>
      </c>
      <c r="AN526" s="12" t="n">
        <f aca="false">IF($J526=1,MAX(Cx_1*(Ref_P-E526)/Span_P,Cx_2*(Ref_S-F526)/Span_S,Cx_3*(Ref_B-G526)/Span_B),"")</f>
        <v>1.42016806722689</v>
      </c>
    </row>
    <row r="527" customFormat="false" ht="15" hidden="false" customHeight="false" outlineLevel="0" collapsed="false">
      <c r="A527" s="2" t="n">
        <v>521</v>
      </c>
      <c r="B527" s="15" t="n">
        <f aca="false">INT(A527/151)</f>
        <v>3</v>
      </c>
      <c r="C527" s="15" t="n">
        <f aca="false">MOD(A527,151)</f>
        <v>68</v>
      </c>
      <c r="D527" s="15" t="n">
        <f aca="false">INDEX(Grid!$J$6:$P$156,C527+1,B527+1)</f>
        <v>1</v>
      </c>
      <c r="E527" s="16" t="n">
        <f aca="false">IF(D527=1,INDEX(Grid!$B$6:$H$156,C527+1,B527+1),"")</f>
        <v>268.633803747091</v>
      </c>
      <c r="F527" s="13" t="n">
        <f aca="false">Val_pt*(Ceiling_e-E_zero)*(1-(1-Half_gap)^B527)</f>
        <v>122.5</v>
      </c>
      <c r="G527" s="15" t="n">
        <f aca="false">C527</f>
        <v>68</v>
      </c>
      <c r="H527" s="15" t="n">
        <f aca="false">IF(D527=1,INDEX(Grid!$R$6:$X$156,C527+1,B527+1),"")</f>
        <v>56</v>
      </c>
      <c r="I527" s="2" t="str">
        <f aca="false">IF(D527=1,INDEX(Sch_label,H527+1),"")</f>
        <v>1–3</v>
      </c>
      <c r="J527" s="15" t="n">
        <f aca="false">IF(D527=1,INDEX(Grid!$Z$6:$AF$156,C527+1,B527+1),0)</f>
        <v>1</v>
      </c>
      <c r="K527" s="16" t="n">
        <f aca="false">IF(J527=1,E527,0)</f>
        <v>268.633803747091</v>
      </c>
      <c r="L527" s="17" t="n">
        <f aca="false">IF(D527=1,E527+W_board*F527,"")</f>
        <v>960.114368062968</v>
      </c>
      <c r="M527" s="24" t="n">
        <v>1</v>
      </c>
      <c r="N527" s="25" t="n">
        <v>0.348973720143138</v>
      </c>
      <c r="O527" s="25" t="n">
        <v>0.519611355865295</v>
      </c>
      <c r="P527" s="25" t="n">
        <v>0.131414923991567</v>
      </c>
      <c r="Z527" s="12" t="n">
        <f aca="false">IF(AND($J527=1,$M527=1),N527*E527/Span_P+O527*F527/Span_S+P527*G527/Span_B,"")</f>
        <v>1.25711247070246</v>
      </c>
      <c r="AA527" s="12" t="n">
        <f aca="false">IF(AND($J527=1,$M527=1),SUMPRODUCT(MAX($J$6:$J$1062*(N527*$K$6:$K$1062/Span_P+O527*$F$6:$F$1062/Span_S+P527*$G$6:$G$1062/Span_B)-(1-$J$6:$J$1062)*1000000000)),"")</f>
        <v>1.25711247070246</v>
      </c>
      <c r="AB527" s="15" t="n">
        <f aca="false">IF(AND($J527=1,$M527=1),IF(AA527-Z527&lt;=0.000000001,1,0),"")</f>
        <v>1</v>
      </c>
      <c r="AC527" s="13" t="str">
        <f aca="false">IF(AND($J527=1,$M527=0),IF(S527="",0,S527*INDEX(Grid!$B$6:$H$156,R527+1,Q527+1))+IF(V527="",0,V527*INDEX(Grid!$B$6:$H$156,U527+1,T527+1))+IF(Y527="",0,Y527*INDEX(Grid!$B$6:$H$156,X527+1,W527+1)),"")</f>
        <v/>
      </c>
      <c r="AD527" s="13" t="str">
        <f aca="false">IF(AND($J527=1,$M527=0),IF(S527="",0,S527*Val_pt*(Ceiling_e-E_zero)*(1-(1-Half_gap)^Q527))+IF(V527="",0,V527*Val_pt*(Ceiling_e-E_zero)*(1-(1-Half_gap)^T527))+IF(Y527="",0,Y527*Val_pt*(Ceiling_e-E_zero)*(1-(1-Half_gap)^W527)),"")</f>
        <v/>
      </c>
      <c r="AE527" s="13" t="str">
        <f aca="false">IF(AND($J527=1,$M527=0),IF(S527="",0,S527*R527)+IF(V527="",0,V527*U527)+IF(Y527="",0,Y527*X527),"")</f>
        <v/>
      </c>
      <c r="AF527" s="12" t="str">
        <f aca="false">IF(AND($J527=1,$M527=0),MIN((AC527-E527)/Span_P,(AD527-F527)/Span_S,(AE527-G527)/Span_B),"")</f>
        <v/>
      </c>
      <c r="AG527" s="15" t="str">
        <f aca="false">IF(AND($J527=1,$M527=0),IF(AF527&gt;0.0000001,1,0),"")</f>
        <v/>
      </c>
      <c r="AH527" s="15" t="n">
        <f aca="false">IF($J527=1,IF($M527=1,AB527,AG527),"")</f>
        <v>1</v>
      </c>
      <c r="AI527" s="13" t="n">
        <f aca="false">IF($J527=1,(Ideal_P-E527)/Span_P,"")</f>
        <v>0.319068549238479</v>
      </c>
      <c r="AJ527" s="13" t="n">
        <f aca="false">IF($J527=1,(Ideal_S-F527)/Span_S,"")</f>
        <v>0.225806451612903</v>
      </c>
      <c r="AK527" s="13" t="n">
        <f aca="false">IF($J527=1,(Ideal_B-G527)/Span_B,"")</f>
        <v>0.546666666666667</v>
      </c>
      <c r="AL527" s="12" t="n">
        <f aca="false">IF($J527=1,MAX(ChA_1*AI527,ChA_2*AJ527,ChA_3*AK527)+Rho*(ChA_1*AI527+ChA_2*AJ527+ChA_3*AK527),"")</f>
        <v>0.546775820833419</v>
      </c>
      <c r="AM527" s="12" t="n">
        <f aca="false">IF($J527=1,MAX(ChB_1*AI527,ChB_2*AJ527,ChB_3*AK527)+Rho*(ChB_1*AI527+ChB_2*AJ527+ChB_3*AK527),"")</f>
        <v>0.638278159498634</v>
      </c>
      <c r="AN527" s="12" t="n">
        <f aca="false">IF($J527=1,MAX(Cx_1*(Ref_P-E527)/Span_P,Cx_2*(Ref_S-F527)/Span_S,Cx_3*(Ref_B-G527)/Span_B),"")</f>
        <v>1.40336134453782</v>
      </c>
    </row>
    <row r="528" customFormat="false" ht="15" hidden="false" customHeight="false" outlineLevel="0" collapsed="false">
      <c r="A528" s="2" t="n">
        <v>522</v>
      </c>
      <c r="B528" s="15" t="n">
        <f aca="false">INT(A528/151)</f>
        <v>3</v>
      </c>
      <c r="C528" s="15" t="n">
        <f aca="false">MOD(A528,151)</f>
        <v>69</v>
      </c>
      <c r="D528" s="15" t="n">
        <f aca="false">INDEX(Grid!$J$6:$P$156,C528+1,B528+1)</f>
        <v>1</v>
      </c>
      <c r="E528" s="16" t="n">
        <f aca="false">IF(D528=1,INDEX(Grid!$B$6:$H$156,C528+1,B528+1),"")</f>
        <v>267.724712838</v>
      </c>
      <c r="F528" s="13" t="n">
        <f aca="false">Val_pt*(Ceiling_e-E_zero)*(1-(1-Half_gap)^B528)</f>
        <v>122.5</v>
      </c>
      <c r="G528" s="15" t="n">
        <f aca="false">C528</f>
        <v>69</v>
      </c>
      <c r="H528" s="15" t="n">
        <f aca="false">IF(D528=1,INDEX(Grid!$R$6:$X$156,C528+1,B528+1),"")</f>
        <v>56</v>
      </c>
      <c r="I528" s="2" t="str">
        <f aca="false">IF(D528=1,INDEX(Sch_label,H528+1),"")</f>
        <v>1–3</v>
      </c>
      <c r="J528" s="15" t="n">
        <f aca="false">IF(D528=1,INDEX(Grid!$Z$6:$AF$156,C528+1,B528+1),0)</f>
        <v>1</v>
      </c>
      <c r="K528" s="16" t="n">
        <f aca="false">IF(J528=1,E528,0)</f>
        <v>267.724712838</v>
      </c>
      <c r="L528" s="17" t="n">
        <f aca="false">IF(D528=1,E528+W_board*F528,"")</f>
        <v>959.205277153877</v>
      </c>
      <c r="M528" s="24" t="n">
        <v>1</v>
      </c>
      <c r="N528" s="25" t="n">
        <v>0.348973720143138</v>
      </c>
      <c r="O528" s="25" t="n">
        <v>0.519611355865305</v>
      </c>
      <c r="P528" s="25" t="n">
        <v>0.131414923991557</v>
      </c>
      <c r="Z528" s="12" t="n">
        <f aca="false">IF(AND($J528=1,$M528=1),N528*E528/Span_P+O528*F528/Span_S+P528*G528/Span_B,"")</f>
        <v>1.25711247070247</v>
      </c>
      <c r="AA528" s="12" t="n">
        <f aca="false">IF(AND($J528=1,$M528=1),SUMPRODUCT(MAX($J$6:$J$1062*(N528*$K$6:$K$1062/Span_P+O528*$F$6:$F$1062/Span_S+P528*$G$6:$G$1062/Span_B)-(1-$J$6:$J$1062)*1000000000)),"")</f>
        <v>1.25711247070248</v>
      </c>
      <c r="AB528" s="15" t="n">
        <f aca="false">IF(AND($J528=1,$M528=1),IF(AA528-Z528&lt;=0.000000001,1,0),"")</f>
        <v>1</v>
      </c>
      <c r="AC528" s="13" t="str">
        <f aca="false">IF(AND($J528=1,$M528=0),IF(S528="",0,S528*INDEX(Grid!$B$6:$H$156,R528+1,Q528+1))+IF(V528="",0,V528*INDEX(Grid!$B$6:$H$156,U528+1,T528+1))+IF(Y528="",0,Y528*INDEX(Grid!$B$6:$H$156,X528+1,W528+1)),"")</f>
        <v/>
      </c>
      <c r="AD528" s="13" t="str">
        <f aca="false">IF(AND($J528=1,$M528=0),IF(S528="",0,S528*Val_pt*(Ceiling_e-E_zero)*(1-(1-Half_gap)^Q528))+IF(V528="",0,V528*Val_pt*(Ceiling_e-E_zero)*(1-(1-Half_gap)^T528))+IF(Y528="",0,Y528*Val_pt*(Ceiling_e-E_zero)*(1-(1-Half_gap)^W528)),"")</f>
        <v/>
      </c>
      <c r="AE528" s="13" t="str">
        <f aca="false">IF(AND($J528=1,$M528=0),IF(S528="",0,S528*R528)+IF(V528="",0,V528*U528)+IF(Y528="",0,Y528*X528),"")</f>
        <v/>
      </c>
      <c r="AF528" s="12" t="str">
        <f aca="false">IF(AND($J528=1,$M528=0),MIN((AC528-E528)/Span_P,(AD528-F528)/Span_S,(AE528-G528)/Span_B),"")</f>
        <v/>
      </c>
      <c r="AG528" s="15" t="str">
        <f aca="false">IF(AND($J528=1,$M528=0),IF(AF528&gt;0.0000001,1,0),"")</f>
        <v/>
      </c>
      <c r="AH528" s="15" t="n">
        <f aca="false">IF($J528=1,IF($M528=1,AB528,AG528),"")</f>
        <v>1</v>
      </c>
      <c r="AI528" s="13" t="n">
        <f aca="false">IF($J528=1,(Ideal_P-E528)/Span_P,"")</f>
        <v>0.321579052014785</v>
      </c>
      <c r="AJ528" s="13" t="n">
        <f aca="false">IF($J528=1,(Ideal_S-F528)/Span_S,"")</f>
        <v>0.225806451612903</v>
      </c>
      <c r="AK528" s="13" t="n">
        <f aca="false">IF($J528=1,(Ideal_B-G528)/Span_B,"")</f>
        <v>0.54</v>
      </c>
      <c r="AL528" s="12" t="n">
        <f aca="false">IF($J528=1,MAX(ChA_1*AI528,ChA_2*AJ528,ChA_3*AK528)+Rho*(ChA_1*AI528+ChA_2*AJ528+ChA_3*AK528),"")</f>
        <v>0.540108738550363</v>
      </c>
      <c r="AM528" s="12" t="n">
        <f aca="false">IF($J528=1,MAX(ChB_1*AI528,ChB_2*AJ528,ChB_3*AK528)+Rho*(ChB_1*AI528+ChB_2*AJ528+ChB_3*AK528),"")</f>
        <v>0.643299000485134</v>
      </c>
      <c r="AN528" s="12" t="n">
        <f aca="false">IF($J528=1,MAX(Cx_1*(Ref_P-E528)/Span_P,Cx_2*(Ref_S-F528)/Span_S,Cx_3*(Ref_B-G528)/Span_B),"")</f>
        <v>1.38655462184874</v>
      </c>
    </row>
    <row r="529" customFormat="false" ht="15" hidden="false" customHeight="false" outlineLevel="0" collapsed="false">
      <c r="A529" s="2" t="n">
        <v>523</v>
      </c>
      <c r="B529" s="15" t="n">
        <f aca="false">INT(A529/151)</f>
        <v>3</v>
      </c>
      <c r="C529" s="15" t="n">
        <f aca="false">MOD(A529,151)</f>
        <v>70</v>
      </c>
      <c r="D529" s="15" t="n">
        <f aca="false">INDEX(Grid!$J$6:$P$156,C529+1,B529+1)</f>
        <v>1</v>
      </c>
      <c r="E529" s="16" t="n">
        <f aca="false">IF(D529=1,INDEX(Grid!$B$6:$H$156,C529+1,B529+1),"")</f>
        <v>266.815621928909</v>
      </c>
      <c r="F529" s="13" t="n">
        <f aca="false">Val_pt*(Ceiling_e-E_zero)*(1-(1-Half_gap)^B529)</f>
        <v>122.5</v>
      </c>
      <c r="G529" s="15" t="n">
        <f aca="false">C529</f>
        <v>70</v>
      </c>
      <c r="H529" s="15" t="n">
        <f aca="false">IF(D529=1,INDEX(Grid!$R$6:$X$156,C529+1,B529+1),"")</f>
        <v>56</v>
      </c>
      <c r="I529" s="2" t="str">
        <f aca="false">IF(D529=1,INDEX(Sch_label,H529+1),"")</f>
        <v>1–3</v>
      </c>
      <c r="J529" s="15" t="n">
        <f aca="false">IF(D529=1,INDEX(Grid!$Z$6:$AF$156,C529+1,B529+1),0)</f>
        <v>1</v>
      </c>
      <c r="K529" s="16" t="n">
        <f aca="false">IF(J529=1,E529,0)</f>
        <v>266.815621928909</v>
      </c>
      <c r="L529" s="17" t="n">
        <f aca="false">IF(D529=1,E529+W_board*F529,"")</f>
        <v>958.296186244786</v>
      </c>
      <c r="M529" s="24" t="n">
        <v>1</v>
      </c>
      <c r="N529" s="25" t="n">
        <v>0.348973720143137</v>
      </c>
      <c r="O529" s="25" t="n">
        <v>0.51961135586529</v>
      </c>
      <c r="P529" s="25" t="n">
        <v>0.131414923991574</v>
      </c>
      <c r="Z529" s="12" t="n">
        <f aca="false">IF(AND($J529=1,$M529=1),N529*E529/Span_P+O529*F529/Span_S+P529*G529/Span_B,"")</f>
        <v>1.25711247070245</v>
      </c>
      <c r="AA529" s="12" t="n">
        <f aca="false">IF(AND($J529=1,$M529=1),SUMPRODUCT(MAX($J$6:$J$1062*(N529*$K$6:$K$1062/Span_P+O529*$F$6:$F$1062/Span_S+P529*$G$6:$G$1062/Span_B)-(1-$J$6:$J$1062)*1000000000)),"")</f>
        <v>1.25711247070245</v>
      </c>
      <c r="AB529" s="15" t="n">
        <f aca="false">IF(AND($J529=1,$M529=1),IF(AA529-Z529&lt;=0.000000001,1,0),"")</f>
        <v>1</v>
      </c>
      <c r="AC529" s="13" t="str">
        <f aca="false">IF(AND($J529=1,$M529=0),IF(S529="",0,S529*INDEX(Grid!$B$6:$H$156,R529+1,Q529+1))+IF(V529="",0,V529*INDEX(Grid!$B$6:$H$156,U529+1,T529+1))+IF(Y529="",0,Y529*INDEX(Grid!$B$6:$H$156,X529+1,W529+1)),"")</f>
        <v/>
      </c>
      <c r="AD529" s="13" t="str">
        <f aca="false">IF(AND($J529=1,$M529=0),IF(S529="",0,S529*Val_pt*(Ceiling_e-E_zero)*(1-(1-Half_gap)^Q529))+IF(V529="",0,V529*Val_pt*(Ceiling_e-E_zero)*(1-(1-Half_gap)^T529))+IF(Y529="",0,Y529*Val_pt*(Ceiling_e-E_zero)*(1-(1-Half_gap)^W529)),"")</f>
        <v/>
      </c>
      <c r="AE529" s="13" t="str">
        <f aca="false">IF(AND($J529=1,$M529=0),IF(S529="",0,S529*R529)+IF(V529="",0,V529*U529)+IF(Y529="",0,Y529*X529),"")</f>
        <v/>
      </c>
      <c r="AF529" s="12" t="str">
        <f aca="false">IF(AND($J529=1,$M529=0),MIN((AC529-E529)/Span_P,(AD529-F529)/Span_S,(AE529-G529)/Span_B),"")</f>
        <v/>
      </c>
      <c r="AG529" s="15" t="str">
        <f aca="false">IF(AND($J529=1,$M529=0),IF(AF529&gt;0.0000001,1,0),"")</f>
        <v/>
      </c>
      <c r="AH529" s="15" t="n">
        <f aca="false">IF($J529=1,IF($M529=1,AB529,AG529),"")</f>
        <v>1</v>
      </c>
      <c r="AI529" s="13" t="n">
        <f aca="false">IF($J529=1,(Ideal_P-E529)/Span_P,"")</f>
        <v>0.324089554791091</v>
      </c>
      <c r="AJ529" s="13" t="n">
        <f aca="false">IF($J529=1,(Ideal_S-F529)/Span_S,"")</f>
        <v>0.225806451612903</v>
      </c>
      <c r="AK529" s="13" t="n">
        <f aca="false">IF($J529=1,(Ideal_B-G529)/Span_B,"")</f>
        <v>0.533333333333333</v>
      </c>
      <c r="AL529" s="12" t="n">
        <f aca="false">IF($J529=1,MAX(ChA_1*AI529,ChA_2*AJ529,ChA_3*AK529)+Rho*(ChA_1*AI529+ChA_2*AJ529+ChA_3*AK529),"")</f>
        <v>0.533441656267307</v>
      </c>
      <c r="AM529" s="12" t="n">
        <f aca="false">IF($J529=1,MAX(ChB_1*AI529,ChB_2*AJ529,ChB_3*AK529)+Rho*(ChB_1*AI529+ChB_2*AJ529+ChB_3*AK529),"")</f>
        <v>0.648319841471634</v>
      </c>
      <c r="AN529" s="12" t="n">
        <f aca="false">IF($J529=1,MAX(Cx_1*(Ref_P-E529)/Span_P,Cx_2*(Ref_S-F529)/Span_S,Cx_3*(Ref_B-G529)/Span_B),"")</f>
        <v>1.36974789915966</v>
      </c>
    </row>
    <row r="530" customFormat="false" ht="15" hidden="false" customHeight="false" outlineLevel="0" collapsed="false">
      <c r="A530" s="2" t="n">
        <v>524</v>
      </c>
      <c r="B530" s="15" t="n">
        <f aca="false">INT(A530/151)</f>
        <v>3</v>
      </c>
      <c r="C530" s="15" t="n">
        <f aca="false">MOD(A530,151)</f>
        <v>71</v>
      </c>
      <c r="D530" s="15" t="n">
        <f aca="false">INDEX(Grid!$J$6:$P$156,C530+1,B530+1)</f>
        <v>1</v>
      </c>
      <c r="E530" s="16" t="n">
        <f aca="false">IF(D530=1,INDEX(Grid!$B$6:$H$156,C530+1,B530+1),"")</f>
        <v>265.906531019818</v>
      </c>
      <c r="F530" s="13" t="n">
        <f aca="false">Val_pt*(Ceiling_e-E_zero)*(1-(1-Half_gap)^B530)</f>
        <v>122.5</v>
      </c>
      <c r="G530" s="15" t="n">
        <f aca="false">C530</f>
        <v>71</v>
      </c>
      <c r="H530" s="15" t="n">
        <f aca="false">IF(D530=1,INDEX(Grid!$R$6:$X$156,C530+1,B530+1),"")</f>
        <v>56</v>
      </c>
      <c r="I530" s="2" t="str">
        <f aca="false">IF(D530=1,INDEX(Sch_label,H530+1),"")</f>
        <v>1–3</v>
      </c>
      <c r="J530" s="15" t="n">
        <f aca="false">IF(D530=1,INDEX(Grid!$Z$6:$AF$156,C530+1,B530+1),0)</f>
        <v>1</v>
      </c>
      <c r="K530" s="16" t="n">
        <f aca="false">IF(J530=1,E530,0)</f>
        <v>265.906531019818</v>
      </c>
      <c r="L530" s="17" t="n">
        <f aca="false">IF(D530=1,E530+W_board*F530,"")</f>
        <v>957.387095335695</v>
      </c>
      <c r="M530" s="24" t="n">
        <v>1</v>
      </c>
      <c r="N530" s="25" t="n">
        <v>0.348973720143137</v>
      </c>
      <c r="O530" s="25" t="n">
        <v>0.519611355865295</v>
      </c>
      <c r="P530" s="25" t="n">
        <v>0.131414923991568</v>
      </c>
      <c r="Z530" s="12" t="n">
        <f aca="false">IF(AND($J530=1,$M530=1),N530*E530/Span_P+O530*F530/Span_S+P530*G530/Span_B,"")</f>
        <v>1.25711247070246</v>
      </c>
      <c r="AA530" s="12" t="n">
        <f aca="false">IF(AND($J530=1,$M530=1),SUMPRODUCT(MAX($J$6:$J$1062*(N530*$K$6:$K$1062/Span_P+O530*$F$6:$F$1062/Span_S+P530*$G$6:$G$1062/Span_B)-(1-$J$6:$J$1062)*1000000000)),"")</f>
        <v>1.25711247070246</v>
      </c>
      <c r="AB530" s="15" t="n">
        <f aca="false">IF(AND($J530=1,$M530=1),IF(AA530-Z530&lt;=0.000000001,1,0),"")</f>
        <v>1</v>
      </c>
      <c r="AC530" s="13" t="str">
        <f aca="false">IF(AND($J530=1,$M530=0),IF(S530="",0,S530*INDEX(Grid!$B$6:$H$156,R530+1,Q530+1))+IF(V530="",0,V530*INDEX(Grid!$B$6:$H$156,U530+1,T530+1))+IF(Y530="",0,Y530*INDEX(Grid!$B$6:$H$156,X530+1,W530+1)),"")</f>
        <v/>
      </c>
      <c r="AD530" s="13" t="str">
        <f aca="false">IF(AND($J530=1,$M530=0),IF(S530="",0,S530*Val_pt*(Ceiling_e-E_zero)*(1-(1-Half_gap)^Q530))+IF(V530="",0,V530*Val_pt*(Ceiling_e-E_zero)*(1-(1-Half_gap)^T530))+IF(Y530="",0,Y530*Val_pt*(Ceiling_e-E_zero)*(1-(1-Half_gap)^W530)),"")</f>
        <v/>
      </c>
      <c r="AE530" s="13" t="str">
        <f aca="false">IF(AND($J530=1,$M530=0),IF(S530="",0,S530*R530)+IF(V530="",0,V530*U530)+IF(Y530="",0,Y530*X530),"")</f>
        <v/>
      </c>
      <c r="AF530" s="12" t="str">
        <f aca="false">IF(AND($J530=1,$M530=0),MIN((AC530-E530)/Span_P,(AD530-F530)/Span_S,(AE530-G530)/Span_B),"")</f>
        <v/>
      </c>
      <c r="AG530" s="15" t="str">
        <f aca="false">IF(AND($J530=1,$M530=0),IF(AF530&gt;0.0000001,1,0),"")</f>
        <v/>
      </c>
      <c r="AH530" s="15" t="n">
        <f aca="false">IF($J530=1,IF($M530=1,AB530,AG530),"")</f>
        <v>1</v>
      </c>
      <c r="AI530" s="13" t="n">
        <f aca="false">IF($J530=1,(Ideal_P-E530)/Span_P,"")</f>
        <v>0.326600057567396</v>
      </c>
      <c r="AJ530" s="13" t="n">
        <f aca="false">IF($J530=1,(Ideal_S-F530)/Span_S,"")</f>
        <v>0.225806451612903</v>
      </c>
      <c r="AK530" s="13" t="n">
        <f aca="false">IF($J530=1,(Ideal_B-G530)/Span_B,"")</f>
        <v>0.526666666666667</v>
      </c>
      <c r="AL530" s="12" t="n">
        <f aca="false">IF($J530=1,MAX(ChA_1*AI530,ChA_2*AJ530,ChA_3*AK530)+Rho*(ChA_1*AI530+ChA_2*AJ530+ChA_3*AK530),"")</f>
        <v>0.526774573984251</v>
      </c>
      <c r="AM530" s="12" t="n">
        <f aca="false">IF($J530=1,MAX(ChB_1*AI530,ChB_2*AJ530,ChB_3*AK530)+Rho*(ChB_1*AI530+ChB_2*AJ530+ChB_3*AK530),"")</f>
        <v>0.653340682458134</v>
      </c>
      <c r="AN530" s="12" t="n">
        <f aca="false">IF($J530=1,MAX(Cx_1*(Ref_P-E530)/Span_P,Cx_2*(Ref_S-F530)/Span_S,Cx_3*(Ref_B-G530)/Span_B),"")</f>
        <v>1.35294117647059</v>
      </c>
    </row>
    <row r="531" customFormat="false" ht="15" hidden="false" customHeight="false" outlineLevel="0" collapsed="false">
      <c r="A531" s="2" t="n">
        <v>525</v>
      </c>
      <c r="B531" s="15" t="n">
        <f aca="false">INT(A531/151)</f>
        <v>3</v>
      </c>
      <c r="C531" s="15" t="n">
        <f aca="false">MOD(A531,151)</f>
        <v>72</v>
      </c>
      <c r="D531" s="15" t="n">
        <f aca="false">INDEX(Grid!$J$6:$P$156,C531+1,B531+1)</f>
        <v>1</v>
      </c>
      <c r="E531" s="16" t="n">
        <f aca="false">IF(D531=1,INDEX(Grid!$B$6:$H$156,C531+1,B531+1),"")</f>
        <v>264.997440110727</v>
      </c>
      <c r="F531" s="13" t="n">
        <f aca="false">Val_pt*(Ceiling_e-E_zero)*(1-(1-Half_gap)^B531)</f>
        <v>122.5</v>
      </c>
      <c r="G531" s="15" t="n">
        <f aca="false">C531</f>
        <v>72</v>
      </c>
      <c r="H531" s="15" t="n">
        <f aca="false">IF(D531=1,INDEX(Grid!$R$6:$X$156,C531+1,B531+1),"")</f>
        <v>56</v>
      </c>
      <c r="I531" s="2" t="str">
        <f aca="false">IF(D531=1,INDEX(Sch_label,H531+1),"")</f>
        <v>1–3</v>
      </c>
      <c r="J531" s="15" t="n">
        <f aca="false">IF(D531=1,INDEX(Grid!$Z$6:$AF$156,C531+1,B531+1),0)</f>
        <v>1</v>
      </c>
      <c r="K531" s="16" t="n">
        <f aca="false">IF(J531=1,E531,0)</f>
        <v>264.997440110727</v>
      </c>
      <c r="L531" s="17" t="n">
        <f aca="false">IF(D531=1,E531+W_board*F531,"")</f>
        <v>956.478004426604</v>
      </c>
      <c r="M531" s="24" t="n">
        <v>1</v>
      </c>
      <c r="N531" s="25" t="n">
        <v>0.348973720143138</v>
      </c>
      <c r="O531" s="25" t="n">
        <v>0.5196113558653</v>
      </c>
      <c r="P531" s="25" t="n">
        <v>0.131414923991561</v>
      </c>
      <c r="Z531" s="12" t="n">
        <f aca="false">IF(AND($J531=1,$M531=1),N531*E531/Span_P+O531*F531/Span_S+P531*G531/Span_B,"")</f>
        <v>1.25711247070246</v>
      </c>
      <c r="AA531" s="12" t="n">
        <f aca="false">IF(AND($J531=1,$M531=1),SUMPRODUCT(MAX($J$6:$J$1062*(N531*$K$6:$K$1062/Span_P+O531*$F$6:$F$1062/Span_S+P531*$G$6:$G$1062/Span_B)-(1-$J$6:$J$1062)*1000000000)),"")</f>
        <v>1.25711247070247</v>
      </c>
      <c r="AB531" s="15" t="n">
        <f aca="false">IF(AND($J531=1,$M531=1),IF(AA531-Z531&lt;=0.000000001,1,0),"")</f>
        <v>1</v>
      </c>
      <c r="AC531" s="13" t="str">
        <f aca="false">IF(AND($J531=1,$M531=0),IF(S531="",0,S531*INDEX(Grid!$B$6:$H$156,R531+1,Q531+1))+IF(V531="",0,V531*INDEX(Grid!$B$6:$H$156,U531+1,T531+1))+IF(Y531="",0,Y531*INDEX(Grid!$B$6:$H$156,X531+1,W531+1)),"")</f>
        <v/>
      </c>
      <c r="AD531" s="13" t="str">
        <f aca="false">IF(AND($J531=1,$M531=0),IF(S531="",0,S531*Val_pt*(Ceiling_e-E_zero)*(1-(1-Half_gap)^Q531))+IF(V531="",0,V531*Val_pt*(Ceiling_e-E_zero)*(1-(1-Half_gap)^T531))+IF(Y531="",0,Y531*Val_pt*(Ceiling_e-E_zero)*(1-(1-Half_gap)^W531)),"")</f>
        <v/>
      </c>
      <c r="AE531" s="13" t="str">
        <f aca="false">IF(AND($J531=1,$M531=0),IF(S531="",0,S531*R531)+IF(V531="",0,V531*U531)+IF(Y531="",0,Y531*X531),"")</f>
        <v/>
      </c>
      <c r="AF531" s="12" t="str">
        <f aca="false">IF(AND($J531=1,$M531=0),MIN((AC531-E531)/Span_P,(AD531-F531)/Span_S,(AE531-G531)/Span_B),"")</f>
        <v/>
      </c>
      <c r="AG531" s="15" t="str">
        <f aca="false">IF(AND($J531=1,$M531=0),IF(AF531&gt;0.0000001,1,0),"")</f>
        <v/>
      </c>
      <c r="AH531" s="15" t="n">
        <f aca="false">IF($J531=1,IF($M531=1,AB531,AG531),"")</f>
        <v>1</v>
      </c>
      <c r="AI531" s="13" t="n">
        <f aca="false">IF($J531=1,(Ideal_P-E531)/Span_P,"")</f>
        <v>0.329110560343702</v>
      </c>
      <c r="AJ531" s="13" t="n">
        <f aca="false">IF($J531=1,(Ideal_S-F531)/Span_S,"")</f>
        <v>0.225806451612903</v>
      </c>
      <c r="AK531" s="13" t="n">
        <f aca="false">IF($J531=1,(Ideal_B-G531)/Span_B,"")</f>
        <v>0.52</v>
      </c>
      <c r="AL531" s="12" t="n">
        <f aca="false">IF($J531=1,MAX(ChA_1*AI531,ChA_2*AJ531,ChA_3*AK531)+Rho*(ChA_1*AI531+ChA_2*AJ531+ChA_3*AK531),"")</f>
        <v>0.520107491701196</v>
      </c>
      <c r="AM531" s="12" t="n">
        <f aca="false">IF($J531=1,MAX(ChB_1*AI531,ChB_2*AJ531,ChB_3*AK531)+Rho*(ChB_1*AI531+ChB_2*AJ531+ChB_3*AK531),"")</f>
        <v>0.658361523444634</v>
      </c>
      <c r="AN531" s="12" t="n">
        <f aca="false">IF($J531=1,MAX(Cx_1*(Ref_P-E531)/Span_P,Cx_2*(Ref_S-F531)/Span_S,Cx_3*(Ref_B-G531)/Span_B),"")</f>
        <v>1.33613445378151</v>
      </c>
    </row>
    <row r="532" customFormat="false" ht="15" hidden="false" customHeight="false" outlineLevel="0" collapsed="false">
      <c r="A532" s="2" t="n">
        <v>526</v>
      </c>
      <c r="B532" s="15" t="n">
        <f aca="false">INT(A532/151)</f>
        <v>3</v>
      </c>
      <c r="C532" s="15" t="n">
        <f aca="false">MOD(A532,151)</f>
        <v>73</v>
      </c>
      <c r="D532" s="15" t="n">
        <f aca="false">INDEX(Grid!$J$6:$P$156,C532+1,B532+1)</f>
        <v>1</v>
      </c>
      <c r="E532" s="16" t="n">
        <f aca="false">IF(D532=1,INDEX(Grid!$B$6:$H$156,C532+1,B532+1),"")</f>
        <v>264.088349201636</v>
      </c>
      <c r="F532" s="13" t="n">
        <f aca="false">Val_pt*(Ceiling_e-E_zero)*(1-(1-Half_gap)^B532)</f>
        <v>122.5</v>
      </c>
      <c r="G532" s="15" t="n">
        <f aca="false">C532</f>
        <v>73</v>
      </c>
      <c r="H532" s="15" t="n">
        <f aca="false">IF(D532=1,INDEX(Grid!$R$6:$X$156,C532+1,B532+1),"")</f>
        <v>56</v>
      </c>
      <c r="I532" s="2" t="str">
        <f aca="false">IF(D532=1,INDEX(Sch_label,H532+1),"")</f>
        <v>1–3</v>
      </c>
      <c r="J532" s="15" t="n">
        <f aca="false">IF(D532=1,INDEX(Grid!$Z$6:$AF$156,C532+1,B532+1),0)</f>
        <v>1</v>
      </c>
      <c r="K532" s="16" t="n">
        <f aca="false">IF(J532=1,E532,0)</f>
        <v>264.088349201636</v>
      </c>
      <c r="L532" s="17" t="n">
        <f aca="false">IF(D532=1,E532+W_board*F532,"")</f>
        <v>955.568913517514</v>
      </c>
      <c r="M532" s="24" t="n">
        <v>1</v>
      </c>
      <c r="N532" s="25" t="n">
        <v>0.512439845386511</v>
      </c>
      <c r="O532" s="25" t="n">
        <v>0.294587906433605</v>
      </c>
      <c r="P532" s="25" t="n">
        <v>0.192972248179885</v>
      </c>
      <c r="Z532" s="12" t="n">
        <f aca="false">IF(AND($J532=1,$M532=1),N532*E532/Span_P+O532*F532/Span_S+P532*G532/Span_B,"")</f>
        <v>0.999791257565703</v>
      </c>
      <c r="AA532" s="12" t="n">
        <f aca="false">IF(AND($J532=1,$M532=1),SUMPRODUCT(MAX($J$6:$J$1062*(N532*$K$6:$K$1062/Span_P+O532*$F$6:$F$1062/Span_S+P532*$G$6:$G$1062/Span_B)-(1-$J$6:$J$1062)*1000000000)),"")</f>
        <v>0.999791257565703</v>
      </c>
      <c r="AB532" s="15" t="n">
        <f aca="false">IF(AND($J532=1,$M532=1),IF(AA532-Z532&lt;=0.000000001,1,0),"")</f>
        <v>1</v>
      </c>
      <c r="AC532" s="13" t="str">
        <f aca="false">IF(AND($J532=1,$M532=0),IF(S532="",0,S532*INDEX(Grid!$B$6:$H$156,R532+1,Q532+1))+IF(V532="",0,V532*INDEX(Grid!$B$6:$H$156,U532+1,T532+1))+IF(Y532="",0,Y532*INDEX(Grid!$B$6:$H$156,X532+1,W532+1)),"")</f>
        <v/>
      </c>
      <c r="AD532" s="13" t="str">
        <f aca="false">IF(AND($J532=1,$M532=0),IF(S532="",0,S532*Val_pt*(Ceiling_e-E_zero)*(1-(1-Half_gap)^Q532))+IF(V532="",0,V532*Val_pt*(Ceiling_e-E_zero)*(1-(1-Half_gap)^T532))+IF(Y532="",0,Y532*Val_pt*(Ceiling_e-E_zero)*(1-(1-Half_gap)^W532)),"")</f>
        <v/>
      </c>
      <c r="AE532" s="13" t="str">
        <f aca="false">IF(AND($J532=1,$M532=0),IF(S532="",0,S532*R532)+IF(V532="",0,V532*U532)+IF(Y532="",0,Y532*X532),"")</f>
        <v/>
      </c>
      <c r="AF532" s="12" t="str">
        <f aca="false">IF(AND($J532=1,$M532=0),MIN((AC532-E532)/Span_P,(AD532-F532)/Span_S,(AE532-G532)/Span_B),"")</f>
        <v/>
      </c>
      <c r="AG532" s="15" t="str">
        <f aca="false">IF(AND($J532=1,$M532=0),IF(AF532&gt;0.0000001,1,0),"")</f>
        <v/>
      </c>
      <c r="AH532" s="15" t="n">
        <f aca="false">IF($J532=1,IF($M532=1,AB532,AG532),"")</f>
        <v>1</v>
      </c>
      <c r="AI532" s="13" t="n">
        <f aca="false">IF($J532=1,(Ideal_P-E532)/Span_P,"")</f>
        <v>0.331621063120008</v>
      </c>
      <c r="AJ532" s="13" t="n">
        <f aca="false">IF($J532=1,(Ideal_S-F532)/Span_S,"")</f>
        <v>0.225806451612903</v>
      </c>
      <c r="AK532" s="13" t="n">
        <f aca="false">IF($J532=1,(Ideal_B-G532)/Span_B,"")</f>
        <v>0.513333333333333</v>
      </c>
      <c r="AL532" s="12" t="n">
        <f aca="false">IF($J532=1,MAX(ChA_1*AI532,ChA_2*AJ532,ChA_3*AK532)+Rho*(ChA_1*AI532+ChA_2*AJ532+ChA_3*AK532),"")</f>
        <v>0.51344040941814</v>
      </c>
      <c r="AM532" s="12" t="n">
        <f aca="false">IF($J532=1,MAX(ChB_1*AI532,ChB_2*AJ532,ChB_3*AK532)+Rho*(ChB_1*AI532+ChB_2*AJ532+ChB_3*AK532),"")</f>
        <v>0.663382364431134</v>
      </c>
      <c r="AN532" s="12" t="n">
        <f aca="false">IF($J532=1,MAX(Cx_1*(Ref_P-E532)/Span_P,Cx_2*(Ref_S-F532)/Span_S,Cx_3*(Ref_B-G532)/Span_B),"")</f>
        <v>1.31932773109244</v>
      </c>
    </row>
    <row r="533" customFormat="false" ht="15" hidden="false" customHeight="false" outlineLevel="0" collapsed="false">
      <c r="A533" s="2" t="n">
        <v>527</v>
      </c>
      <c r="B533" s="15" t="n">
        <f aca="false">INT(A533/151)</f>
        <v>3</v>
      </c>
      <c r="C533" s="15" t="n">
        <f aca="false">MOD(A533,151)</f>
        <v>74</v>
      </c>
      <c r="D533" s="15" t="n">
        <f aca="false">INDEX(Grid!$J$6:$P$156,C533+1,B533+1)</f>
        <v>1</v>
      </c>
      <c r="E533" s="16" t="n">
        <f aca="false">IF(D533=1,INDEX(Grid!$B$6:$H$156,C533+1,B533+1),"")</f>
        <v>263.179258292545</v>
      </c>
      <c r="F533" s="13" t="n">
        <f aca="false">Val_pt*(Ceiling_e-E_zero)*(1-(1-Half_gap)^B533)</f>
        <v>122.5</v>
      </c>
      <c r="G533" s="15" t="n">
        <f aca="false">C533</f>
        <v>74</v>
      </c>
      <c r="H533" s="15" t="n">
        <f aca="false">IF(D533=1,INDEX(Grid!$R$6:$X$156,C533+1,B533+1),"")</f>
        <v>56</v>
      </c>
      <c r="I533" s="2" t="str">
        <f aca="false">IF(D533=1,INDEX(Sch_label,H533+1),"")</f>
        <v>1–3</v>
      </c>
      <c r="J533" s="15" t="n">
        <f aca="false">IF(D533=1,INDEX(Grid!$Z$6:$AF$156,C533+1,B533+1),0)</f>
        <v>1</v>
      </c>
      <c r="K533" s="16" t="n">
        <f aca="false">IF(J533=1,E533,0)</f>
        <v>263.179258292545</v>
      </c>
      <c r="L533" s="17" t="n">
        <f aca="false">IF(D533=1,E533+W_board*F533,"")</f>
        <v>954.659822608423</v>
      </c>
      <c r="M533" s="24" t="n">
        <v>1</v>
      </c>
      <c r="N533" s="25" t="n">
        <v>0.512439845386518</v>
      </c>
      <c r="O533" s="25" t="n">
        <v>0.294587906433603</v>
      </c>
      <c r="P533" s="25" t="n">
        <v>0.192972248179879</v>
      </c>
      <c r="Z533" s="12" t="n">
        <f aca="false">IF(AND($J533=1,$M533=1),N533*E533/Span_P+O533*F533/Span_S+P533*G533/Span_B,"")</f>
        <v>0.999791257565703</v>
      </c>
      <c r="AA533" s="12" t="n">
        <f aca="false">IF(AND($J533=1,$M533=1),SUMPRODUCT(MAX($J$6:$J$1062*(N533*$K$6:$K$1062/Span_P+O533*$F$6:$F$1062/Span_S+P533*$G$6:$G$1062/Span_B)-(1-$J$6:$J$1062)*1000000000)),"")</f>
        <v>0.999791257565705</v>
      </c>
      <c r="AB533" s="15" t="n">
        <f aca="false">IF(AND($J533=1,$M533=1),IF(AA533-Z533&lt;=0.000000001,1,0),"")</f>
        <v>1</v>
      </c>
      <c r="AC533" s="13" t="str">
        <f aca="false">IF(AND($J533=1,$M533=0),IF(S533="",0,S533*INDEX(Grid!$B$6:$H$156,R533+1,Q533+1))+IF(V533="",0,V533*INDEX(Grid!$B$6:$H$156,U533+1,T533+1))+IF(Y533="",0,Y533*INDEX(Grid!$B$6:$H$156,X533+1,W533+1)),"")</f>
        <v/>
      </c>
      <c r="AD533" s="13" t="str">
        <f aca="false">IF(AND($J533=1,$M533=0),IF(S533="",0,S533*Val_pt*(Ceiling_e-E_zero)*(1-(1-Half_gap)^Q533))+IF(V533="",0,V533*Val_pt*(Ceiling_e-E_zero)*(1-(1-Half_gap)^T533))+IF(Y533="",0,Y533*Val_pt*(Ceiling_e-E_zero)*(1-(1-Half_gap)^W533)),"")</f>
        <v/>
      </c>
      <c r="AE533" s="13" t="str">
        <f aca="false">IF(AND($J533=1,$M533=0),IF(S533="",0,S533*R533)+IF(V533="",0,V533*U533)+IF(Y533="",0,Y533*X533),"")</f>
        <v/>
      </c>
      <c r="AF533" s="12" t="str">
        <f aca="false">IF(AND($J533=1,$M533=0),MIN((AC533-E533)/Span_P,(AD533-F533)/Span_S,(AE533-G533)/Span_B),"")</f>
        <v/>
      </c>
      <c r="AG533" s="15" t="str">
        <f aca="false">IF(AND($J533=1,$M533=0),IF(AF533&gt;0.0000001,1,0),"")</f>
        <v/>
      </c>
      <c r="AH533" s="15" t="n">
        <f aca="false">IF($J533=1,IF($M533=1,AB533,AG533),"")</f>
        <v>1</v>
      </c>
      <c r="AI533" s="13" t="n">
        <f aca="false">IF($J533=1,(Ideal_P-E533)/Span_P,"")</f>
        <v>0.334131565896314</v>
      </c>
      <c r="AJ533" s="13" t="n">
        <f aca="false">IF($J533=1,(Ideal_S-F533)/Span_S,"")</f>
        <v>0.225806451612903</v>
      </c>
      <c r="AK533" s="13" t="n">
        <f aca="false">IF($J533=1,(Ideal_B-G533)/Span_B,"")</f>
        <v>0.506666666666667</v>
      </c>
      <c r="AL533" s="12" t="n">
        <f aca="false">IF($J533=1,MAX(ChA_1*AI533,ChA_2*AJ533,ChA_3*AK533)+Rho*(ChA_1*AI533+ChA_2*AJ533+ChA_3*AK533),"")</f>
        <v>0.506773327135084</v>
      </c>
      <c r="AM533" s="12" t="n">
        <f aca="false">IF($J533=1,MAX(ChB_1*AI533,ChB_2*AJ533,ChB_3*AK533)+Rho*(ChB_1*AI533+ChB_2*AJ533+ChB_3*AK533),"")</f>
        <v>0.668403205417634</v>
      </c>
      <c r="AN533" s="12" t="n">
        <f aca="false">IF($J533=1,MAX(Cx_1*(Ref_P-E533)/Span_P,Cx_2*(Ref_S-F533)/Span_S,Cx_3*(Ref_B-G533)/Span_B),"")</f>
        <v>1.30252100840336</v>
      </c>
    </row>
    <row r="534" customFormat="false" ht="15" hidden="false" customHeight="false" outlineLevel="0" collapsed="false">
      <c r="A534" s="2" t="n">
        <v>528</v>
      </c>
      <c r="B534" s="15" t="n">
        <f aca="false">INT(A534/151)</f>
        <v>3</v>
      </c>
      <c r="C534" s="15" t="n">
        <f aca="false">MOD(A534,151)</f>
        <v>75</v>
      </c>
      <c r="D534" s="15" t="n">
        <f aca="false">INDEX(Grid!$J$6:$P$156,C534+1,B534+1)</f>
        <v>1</v>
      </c>
      <c r="E534" s="16" t="n">
        <f aca="false">IF(D534=1,INDEX(Grid!$B$6:$H$156,C534+1,B534+1),"")</f>
        <v>262.270167383454</v>
      </c>
      <c r="F534" s="13" t="n">
        <f aca="false">Val_pt*(Ceiling_e-E_zero)*(1-(1-Half_gap)^B534)</f>
        <v>122.5</v>
      </c>
      <c r="G534" s="15" t="n">
        <f aca="false">C534</f>
        <v>75</v>
      </c>
      <c r="H534" s="15" t="n">
        <f aca="false">IF(D534=1,INDEX(Grid!$R$6:$X$156,C534+1,B534+1),"")</f>
        <v>56</v>
      </c>
      <c r="I534" s="2" t="str">
        <f aca="false">IF(D534=1,INDEX(Sch_label,H534+1),"")</f>
        <v>1–3</v>
      </c>
      <c r="J534" s="15" t="n">
        <f aca="false">IF(D534=1,INDEX(Grid!$Z$6:$AF$156,C534+1,B534+1),0)</f>
        <v>1</v>
      </c>
      <c r="K534" s="16" t="n">
        <f aca="false">IF(J534=1,E534,0)</f>
        <v>262.270167383454</v>
      </c>
      <c r="L534" s="17" t="n">
        <f aca="false">IF(D534=1,E534+W_board*F534,"")</f>
        <v>953.750731699332</v>
      </c>
      <c r="M534" s="24" t="n">
        <v>1</v>
      </c>
      <c r="N534" s="25" t="n">
        <v>0.512439845386512</v>
      </c>
      <c r="O534" s="25" t="n">
        <v>0.294587906433604</v>
      </c>
      <c r="P534" s="25" t="n">
        <v>0.192972248179884</v>
      </c>
      <c r="Z534" s="12" t="n">
        <f aca="false">IF(AND($J534=1,$M534=1),N534*E534/Span_P+O534*F534/Span_S+P534*G534/Span_B,"")</f>
        <v>0.999791257565703</v>
      </c>
      <c r="AA534" s="12" t="n">
        <f aca="false">IF(AND($J534=1,$M534=1),SUMPRODUCT(MAX($J$6:$J$1062*(N534*$K$6:$K$1062/Span_P+O534*$F$6:$F$1062/Span_S+P534*$G$6:$G$1062/Span_B)-(1-$J$6:$J$1062)*1000000000)),"")</f>
        <v>0.999791257565703</v>
      </c>
      <c r="AB534" s="15" t="n">
        <f aca="false">IF(AND($J534=1,$M534=1),IF(AA534-Z534&lt;=0.000000001,1,0),"")</f>
        <v>1</v>
      </c>
      <c r="AC534" s="13" t="str">
        <f aca="false">IF(AND($J534=1,$M534=0),IF(S534="",0,S534*INDEX(Grid!$B$6:$H$156,R534+1,Q534+1))+IF(V534="",0,V534*INDEX(Grid!$B$6:$H$156,U534+1,T534+1))+IF(Y534="",0,Y534*INDEX(Grid!$B$6:$H$156,X534+1,W534+1)),"")</f>
        <v/>
      </c>
      <c r="AD534" s="13" t="str">
        <f aca="false">IF(AND($J534=1,$M534=0),IF(S534="",0,S534*Val_pt*(Ceiling_e-E_zero)*(1-(1-Half_gap)^Q534))+IF(V534="",0,V534*Val_pt*(Ceiling_e-E_zero)*(1-(1-Half_gap)^T534))+IF(Y534="",0,Y534*Val_pt*(Ceiling_e-E_zero)*(1-(1-Half_gap)^W534)),"")</f>
        <v/>
      </c>
      <c r="AE534" s="13" t="str">
        <f aca="false">IF(AND($J534=1,$M534=0),IF(S534="",0,S534*R534)+IF(V534="",0,V534*U534)+IF(Y534="",0,Y534*X534),"")</f>
        <v/>
      </c>
      <c r="AF534" s="12" t="str">
        <f aca="false">IF(AND($J534=1,$M534=0),MIN((AC534-E534)/Span_P,(AD534-F534)/Span_S,(AE534-G534)/Span_B),"")</f>
        <v/>
      </c>
      <c r="AG534" s="15" t="str">
        <f aca="false">IF(AND($J534=1,$M534=0),IF(AF534&gt;0.0000001,1,0),"")</f>
        <v/>
      </c>
      <c r="AH534" s="15" t="n">
        <f aca="false">IF($J534=1,IF($M534=1,AB534,AG534),"")</f>
        <v>1</v>
      </c>
      <c r="AI534" s="13" t="n">
        <f aca="false">IF($J534=1,(Ideal_P-E534)/Span_P,"")</f>
        <v>0.336642068672619</v>
      </c>
      <c r="AJ534" s="13" t="n">
        <f aca="false">IF($J534=1,(Ideal_S-F534)/Span_S,"")</f>
        <v>0.225806451612903</v>
      </c>
      <c r="AK534" s="13" t="n">
        <f aca="false">IF($J534=1,(Ideal_B-G534)/Span_B,"")</f>
        <v>0.5</v>
      </c>
      <c r="AL534" s="12" t="n">
        <f aca="false">IF($J534=1,MAX(ChA_1*AI534,ChA_2*AJ534,ChA_3*AK534)+Rho*(ChA_1*AI534+ChA_2*AJ534+ChA_3*AK534),"")</f>
        <v>0.500106244852029</v>
      </c>
      <c r="AM534" s="12" t="n">
        <f aca="false">IF($J534=1,MAX(ChB_1*AI534,ChB_2*AJ534,ChB_3*AK534)+Rho*(ChB_1*AI534+ChB_2*AJ534+ChB_3*AK534),"")</f>
        <v>0.673424046404135</v>
      </c>
      <c r="AN534" s="12" t="n">
        <f aca="false">IF($J534=1,MAX(Cx_1*(Ref_P-E534)/Span_P,Cx_2*(Ref_S-F534)/Span_S,Cx_3*(Ref_B-G534)/Span_B),"")</f>
        <v>1.28571428571429</v>
      </c>
    </row>
    <row r="535" customFormat="false" ht="15" hidden="false" customHeight="false" outlineLevel="0" collapsed="false">
      <c r="A535" s="2" t="n">
        <v>529</v>
      </c>
      <c r="B535" s="15" t="n">
        <f aca="false">INT(A535/151)</f>
        <v>3</v>
      </c>
      <c r="C535" s="15" t="n">
        <f aca="false">MOD(A535,151)</f>
        <v>76</v>
      </c>
      <c r="D535" s="15" t="n">
        <f aca="false">INDEX(Grid!$J$6:$P$156,C535+1,B535+1)</f>
        <v>1</v>
      </c>
      <c r="E535" s="16" t="n">
        <f aca="false">IF(D535=1,INDEX(Grid!$B$6:$H$156,C535+1,B535+1),"")</f>
        <v>261.361076474364</v>
      </c>
      <c r="F535" s="13" t="n">
        <f aca="false">Val_pt*(Ceiling_e-E_zero)*(1-(1-Half_gap)^B535)</f>
        <v>122.5</v>
      </c>
      <c r="G535" s="15" t="n">
        <f aca="false">C535</f>
        <v>76</v>
      </c>
      <c r="H535" s="15" t="n">
        <f aca="false">IF(D535=1,INDEX(Grid!$R$6:$X$156,C535+1,B535+1),"")</f>
        <v>56</v>
      </c>
      <c r="I535" s="2" t="str">
        <f aca="false">IF(D535=1,INDEX(Sch_label,H535+1),"")</f>
        <v>1–3</v>
      </c>
      <c r="J535" s="15" t="n">
        <f aca="false">IF(D535=1,INDEX(Grid!$Z$6:$AF$156,C535+1,B535+1),0)</f>
        <v>1</v>
      </c>
      <c r="K535" s="16" t="n">
        <f aca="false">IF(J535=1,E535,0)</f>
        <v>261.361076474364</v>
      </c>
      <c r="L535" s="17" t="n">
        <f aca="false">IF(D535=1,E535+W_board*F535,"")</f>
        <v>952.841640790241</v>
      </c>
      <c r="M535" s="24" t="n">
        <v>1</v>
      </c>
      <c r="N535" s="25" t="n">
        <v>0.512439845386524</v>
      </c>
      <c r="O535" s="25" t="n">
        <v>0.294587906433602</v>
      </c>
      <c r="P535" s="25" t="n">
        <v>0.192972248179874</v>
      </c>
      <c r="Z535" s="12" t="n">
        <f aca="false">IF(AND($J535=1,$M535=1),N535*E535/Span_P+O535*F535/Span_S+P535*G535/Span_B,"")</f>
        <v>0.999791257565702</v>
      </c>
      <c r="AA535" s="12" t="n">
        <f aca="false">IF(AND($J535=1,$M535=1),SUMPRODUCT(MAX($J$6:$J$1062*(N535*$K$6:$K$1062/Span_P+O535*$F$6:$F$1062/Span_S+P535*$G$6:$G$1062/Span_B)-(1-$J$6:$J$1062)*1000000000)),"")</f>
        <v>0.99979125756571</v>
      </c>
      <c r="AB535" s="15" t="n">
        <f aca="false">IF(AND($J535=1,$M535=1),IF(AA535-Z535&lt;=0.000000001,1,0),"")</f>
        <v>1</v>
      </c>
      <c r="AC535" s="13" t="str">
        <f aca="false">IF(AND($J535=1,$M535=0),IF(S535="",0,S535*INDEX(Grid!$B$6:$H$156,R535+1,Q535+1))+IF(V535="",0,V535*INDEX(Grid!$B$6:$H$156,U535+1,T535+1))+IF(Y535="",0,Y535*INDEX(Grid!$B$6:$H$156,X535+1,W535+1)),"")</f>
        <v/>
      </c>
      <c r="AD535" s="13" t="str">
        <f aca="false">IF(AND($J535=1,$M535=0),IF(S535="",0,S535*Val_pt*(Ceiling_e-E_zero)*(1-(1-Half_gap)^Q535))+IF(V535="",0,V535*Val_pt*(Ceiling_e-E_zero)*(1-(1-Half_gap)^T535))+IF(Y535="",0,Y535*Val_pt*(Ceiling_e-E_zero)*(1-(1-Half_gap)^W535)),"")</f>
        <v/>
      </c>
      <c r="AE535" s="13" t="str">
        <f aca="false">IF(AND($J535=1,$M535=0),IF(S535="",0,S535*R535)+IF(V535="",0,V535*U535)+IF(Y535="",0,Y535*X535),"")</f>
        <v/>
      </c>
      <c r="AF535" s="12" t="str">
        <f aca="false">IF(AND($J535=1,$M535=0),MIN((AC535-E535)/Span_P,(AD535-F535)/Span_S,(AE535-G535)/Span_B),"")</f>
        <v/>
      </c>
      <c r="AG535" s="15" t="str">
        <f aca="false">IF(AND($J535=1,$M535=0),IF(AF535&gt;0.0000001,1,0),"")</f>
        <v/>
      </c>
      <c r="AH535" s="15" t="n">
        <f aca="false">IF($J535=1,IF($M535=1,AB535,AG535),"")</f>
        <v>1</v>
      </c>
      <c r="AI535" s="13" t="n">
        <f aca="false">IF($J535=1,(Ideal_P-E535)/Span_P,"")</f>
        <v>0.339152571448925</v>
      </c>
      <c r="AJ535" s="13" t="n">
        <f aca="false">IF($J535=1,(Ideal_S-F535)/Span_S,"")</f>
        <v>0.225806451612903</v>
      </c>
      <c r="AK535" s="13" t="n">
        <f aca="false">IF($J535=1,(Ideal_B-G535)/Span_B,"")</f>
        <v>0.493333333333333</v>
      </c>
      <c r="AL535" s="12" t="n">
        <f aca="false">IF($J535=1,MAX(ChA_1*AI535,ChA_2*AJ535,ChA_3*AK535)+Rho*(ChA_1*AI535+ChA_2*AJ535+ChA_3*AK535),"")</f>
        <v>0.493439162568973</v>
      </c>
      <c r="AM535" s="12" t="n">
        <f aca="false">IF($J535=1,MAX(ChB_1*AI535,ChB_2*AJ535,ChB_3*AK535)+Rho*(ChB_1*AI535+ChB_2*AJ535+ChB_3*AK535),"")</f>
        <v>0.678444887390635</v>
      </c>
      <c r="AN535" s="12" t="n">
        <f aca="false">IF($J535=1,MAX(Cx_1*(Ref_P-E535)/Span_P,Cx_2*(Ref_S-F535)/Span_S,Cx_3*(Ref_B-G535)/Span_B),"")</f>
        <v>1.26890756302521</v>
      </c>
    </row>
    <row r="536" customFormat="false" ht="15" hidden="false" customHeight="false" outlineLevel="0" collapsed="false">
      <c r="A536" s="2" t="n">
        <v>530</v>
      </c>
      <c r="B536" s="15" t="n">
        <f aca="false">INT(A536/151)</f>
        <v>3</v>
      </c>
      <c r="C536" s="15" t="n">
        <f aca="false">MOD(A536,151)</f>
        <v>77</v>
      </c>
      <c r="D536" s="15" t="n">
        <f aca="false">INDEX(Grid!$J$6:$P$156,C536+1,B536+1)</f>
        <v>1</v>
      </c>
      <c r="E536" s="16" t="n">
        <f aca="false">IF(D536=1,INDEX(Grid!$B$6:$H$156,C536+1,B536+1),"")</f>
        <v>260.451985565273</v>
      </c>
      <c r="F536" s="13" t="n">
        <f aca="false">Val_pt*(Ceiling_e-E_zero)*(1-(1-Half_gap)^B536)</f>
        <v>122.5</v>
      </c>
      <c r="G536" s="15" t="n">
        <f aca="false">C536</f>
        <v>77</v>
      </c>
      <c r="H536" s="15" t="n">
        <f aca="false">IF(D536=1,INDEX(Grid!$R$6:$X$156,C536+1,B536+1),"")</f>
        <v>56</v>
      </c>
      <c r="I536" s="2" t="str">
        <f aca="false">IF(D536=1,INDEX(Sch_label,H536+1),"")</f>
        <v>1–3</v>
      </c>
      <c r="J536" s="15" t="n">
        <f aca="false">IF(D536=1,INDEX(Grid!$Z$6:$AF$156,C536+1,B536+1),0)</f>
        <v>1</v>
      </c>
      <c r="K536" s="16" t="n">
        <f aca="false">IF(J536=1,E536,0)</f>
        <v>260.451985565273</v>
      </c>
      <c r="L536" s="17" t="n">
        <f aca="false">IF(D536=1,E536+W_board*F536,"")</f>
        <v>951.93254988115</v>
      </c>
      <c r="M536" s="24" t="n">
        <v>1</v>
      </c>
      <c r="N536" s="25" t="n">
        <v>0.512439845386505</v>
      </c>
      <c r="O536" s="25" t="n">
        <v>0.294587906433605</v>
      </c>
      <c r="P536" s="25" t="n">
        <v>0.19297224817989</v>
      </c>
      <c r="Z536" s="12" t="n">
        <f aca="false">IF(AND($J536=1,$M536=1),N536*E536/Span_P+O536*F536/Span_S+P536*G536/Span_B,"")</f>
        <v>0.999791257565702</v>
      </c>
      <c r="AA536" s="12" t="n">
        <f aca="false">IF(AND($J536=1,$M536=1),SUMPRODUCT(MAX($J$6:$J$1062*(N536*$K$6:$K$1062/Span_P+O536*$F$6:$F$1062/Span_S+P536*$G$6:$G$1062/Span_B)-(1-$J$6:$J$1062)*1000000000)),"")</f>
        <v>0.999791257565703</v>
      </c>
      <c r="AB536" s="15" t="n">
        <f aca="false">IF(AND($J536=1,$M536=1),IF(AA536-Z536&lt;=0.000000001,1,0),"")</f>
        <v>1</v>
      </c>
      <c r="AC536" s="13" t="str">
        <f aca="false">IF(AND($J536=1,$M536=0),IF(S536="",0,S536*INDEX(Grid!$B$6:$H$156,R536+1,Q536+1))+IF(V536="",0,V536*INDEX(Grid!$B$6:$H$156,U536+1,T536+1))+IF(Y536="",0,Y536*INDEX(Grid!$B$6:$H$156,X536+1,W536+1)),"")</f>
        <v/>
      </c>
      <c r="AD536" s="13" t="str">
        <f aca="false">IF(AND($J536=1,$M536=0),IF(S536="",0,S536*Val_pt*(Ceiling_e-E_zero)*(1-(1-Half_gap)^Q536))+IF(V536="",0,V536*Val_pt*(Ceiling_e-E_zero)*(1-(1-Half_gap)^T536))+IF(Y536="",0,Y536*Val_pt*(Ceiling_e-E_zero)*(1-(1-Half_gap)^W536)),"")</f>
        <v/>
      </c>
      <c r="AE536" s="13" t="str">
        <f aca="false">IF(AND($J536=1,$M536=0),IF(S536="",0,S536*R536)+IF(V536="",0,V536*U536)+IF(Y536="",0,Y536*X536),"")</f>
        <v/>
      </c>
      <c r="AF536" s="12" t="str">
        <f aca="false">IF(AND($J536=1,$M536=0),MIN((AC536-E536)/Span_P,(AD536-F536)/Span_S,(AE536-G536)/Span_B),"")</f>
        <v/>
      </c>
      <c r="AG536" s="15" t="str">
        <f aca="false">IF(AND($J536=1,$M536=0),IF(AF536&gt;0.0000001,1,0),"")</f>
        <v/>
      </c>
      <c r="AH536" s="15" t="n">
        <f aca="false">IF($J536=1,IF($M536=1,AB536,AG536),"")</f>
        <v>1</v>
      </c>
      <c r="AI536" s="13" t="n">
        <f aca="false">IF($J536=1,(Ideal_P-E536)/Span_P,"")</f>
        <v>0.341663074225231</v>
      </c>
      <c r="AJ536" s="13" t="n">
        <f aca="false">IF($J536=1,(Ideal_S-F536)/Span_S,"")</f>
        <v>0.225806451612903</v>
      </c>
      <c r="AK536" s="13" t="n">
        <f aca="false">IF($J536=1,(Ideal_B-G536)/Span_B,"")</f>
        <v>0.486666666666667</v>
      </c>
      <c r="AL536" s="12" t="n">
        <f aca="false">IF($J536=1,MAX(ChA_1*AI536,ChA_2*AJ536,ChA_3*AK536)+Rho*(ChA_1*AI536+ChA_2*AJ536+ChA_3*AK536),"")</f>
        <v>0.486772080285917</v>
      </c>
      <c r="AM536" s="12" t="n">
        <f aca="false">IF($J536=1,MAX(ChB_1*AI536,ChB_2*AJ536,ChB_3*AK536)+Rho*(ChB_1*AI536+ChB_2*AJ536+ChB_3*AK536),"")</f>
        <v>0.683465728377135</v>
      </c>
      <c r="AN536" s="12" t="n">
        <f aca="false">IF($J536=1,MAX(Cx_1*(Ref_P-E536)/Span_P,Cx_2*(Ref_S-F536)/Span_S,Cx_3*(Ref_B-G536)/Span_B),"")</f>
        <v>1.25210084033613</v>
      </c>
    </row>
    <row r="537" customFormat="false" ht="15" hidden="false" customHeight="false" outlineLevel="0" collapsed="false">
      <c r="A537" s="2" t="n">
        <v>531</v>
      </c>
      <c r="B537" s="15" t="n">
        <f aca="false">INT(A537/151)</f>
        <v>3</v>
      </c>
      <c r="C537" s="15" t="n">
        <f aca="false">MOD(A537,151)</f>
        <v>78</v>
      </c>
      <c r="D537" s="15" t="n">
        <f aca="false">INDEX(Grid!$J$6:$P$156,C537+1,B537+1)</f>
        <v>1</v>
      </c>
      <c r="E537" s="16" t="n">
        <f aca="false">IF(D537=1,INDEX(Grid!$B$6:$H$156,C537+1,B537+1),"")</f>
        <v>259.542894656182</v>
      </c>
      <c r="F537" s="13" t="n">
        <f aca="false">Val_pt*(Ceiling_e-E_zero)*(1-(1-Half_gap)^B537)</f>
        <v>122.5</v>
      </c>
      <c r="G537" s="15" t="n">
        <f aca="false">C537</f>
        <v>78</v>
      </c>
      <c r="H537" s="15" t="n">
        <f aca="false">IF(D537=1,INDEX(Grid!$R$6:$X$156,C537+1,B537+1),"")</f>
        <v>56</v>
      </c>
      <c r="I537" s="2" t="str">
        <f aca="false">IF(D537=1,INDEX(Sch_label,H537+1),"")</f>
        <v>1–3</v>
      </c>
      <c r="J537" s="15" t="n">
        <f aca="false">IF(D537=1,INDEX(Grid!$Z$6:$AF$156,C537+1,B537+1),0)</f>
        <v>1</v>
      </c>
      <c r="K537" s="16" t="n">
        <f aca="false">IF(J537=1,E537,0)</f>
        <v>259.542894656182</v>
      </c>
      <c r="L537" s="17" t="n">
        <f aca="false">IF(D537=1,E537+W_board*F537,"")</f>
        <v>951.023458972059</v>
      </c>
      <c r="M537" s="24" t="n">
        <v>1</v>
      </c>
      <c r="N537" s="25" t="n">
        <v>0.512439845386523</v>
      </c>
      <c r="O537" s="25" t="n">
        <v>0.294587906433603</v>
      </c>
      <c r="P537" s="25" t="n">
        <v>0.192972248179874</v>
      </c>
      <c r="Z537" s="12" t="n">
        <f aca="false">IF(AND($J537=1,$M537=1),N537*E537/Span_P+O537*F537/Span_S+P537*G537/Span_B,"")</f>
        <v>0.999791257565703</v>
      </c>
      <c r="AA537" s="12" t="n">
        <f aca="false">IF(AND($J537=1,$M537=1),SUMPRODUCT(MAX($J$6:$J$1062*(N537*$K$6:$K$1062/Span_P+O537*$F$6:$F$1062/Span_S+P537*$G$6:$G$1062/Span_B)-(1-$J$6:$J$1062)*1000000000)),"")</f>
        <v>0.99979125756571</v>
      </c>
      <c r="AB537" s="15" t="n">
        <f aca="false">IF(AND($J537=1,$M537=1),IF(AA537-Z537&lt;=0.000000001,1,0),"")</f>
        <v>1</v>
      </c>
      <c r="AC537" s="13" t="str">
        <f aca="false">IF(AND($J537=1,$M537=0),IF(S537="",0,S537*INDEX(Grid!$B$6:$H$156,R537+1,Q537+1))+IF(V537="",0,V537*INDEX(Grid!$B$6:$H$156,U537+1,T537+1))+IF(Y537="",0,Y537*INDEX(Grid!$B$6:$H$156,X537+1,W537+1)),"")</f>
        <v/>
      </c>
      <c r="AD537" s="13" t="str">
        <f aca="false">IF(AND($J537=1,$M537=0),IF(S537="",0,S537*Val_pt*(Ceiling_e-E_zero)*(1-(1-Half_gap)^Q537))+IF(V537="",0,V537*Val_pt*(Ceiling_e-E_zero)*(1-(1-Half_gap)^T537))+IF(Y537="",0,Y537*Val_pt*(Ceiling_e-E_zero)*(1-(1-Half_gap)^W537)),"")</f>
        <v/>
      </c>
      <c r="AE537" s="13" t="str">
        <f aca="false">IF(AND($J537=1,$M537=0),IF(S537="",0,S537*R537)+IF(V537="",0,V537*U537)+IF(Y537="",0,Y537*X537),"")</f>
        <v/>
      </c>
      <c r="AF537" s="12" t="str">
        <f aca="false">IF(AND($J537=1,$M537=0),MIN((AC537-E537)/Span_P,(AD537-F537)/Span_S,(AE537-G537)/Span_B),"")</f>
        <v/>
      </c>
      <c r="AG537" s="15" t="str">
        <f aca="false">IF(AND($J537=1,$M537=0),IF(AF537&gt;0.0000001,1,0),"")</f>
        <v/>
      </c>
      <c r="AH537" s="15" t="n">
        <f aca="false">IF($J537=1,IF($M537=1,AB537,AG537),"")</f>
        <v>1</v>
      </c>
      <c r="AI537" s="13" t="n">
        <f aca="false">IF($J537=1,(Ideal_P-E537)/Span_P,"")</f>
        <v>0.344173577001537</v>
      </c>
      <c r="AJ537" s="13" t="n">
        <f aca="false">IF($J537=1,(Ideal_S-F537)/Span_S,"")</f>
        <v>0.225806451612903</v>
      </c>
      <c r="AK537" s="13" t="n">
        <f aca="false">IF($J537=1,(Ideal_B-G537)/Span_B,"")</f>
        <v>0.48</v>
      </c>
      <c r="AL537" s="12" t="n">
        <f aca="false">IF($J537=1,MAX(ChA_1*AI537,ChA_2*AJ537,ChA_3*AK537)+Rho*(ChA_1*AI537+ChA_2*AJ537+ChA_3*AK537),"")</f>
        <v>0.480104998002861</v>
      </c>
      <c r="AM537" s="12" t="n">
        <f aca="false">IF($J537=1,MAX(ChB_1*AI537,ChB_2*AJ537,ChB_3*AK537)+Rho*(ChB_1*AI537+ChB_2*AJ537+ChB_3*AK537),"")</f>
        <v>0.688486569363635</v>
      </c>
      <c r="AN537" s="12" t="n">
        <f aca="false">IF($J537=1,MAX(Cx_1*(Ref_P-E537)/Span_P,Cx_2*(Ref_S-F537)/Span_S,Cx_3*(Ref_B-G537)/Span_B),"")</f>
        <v>1.23529411764706</v>
      </c>
    </row>
    <row r="538" customFormat="false" ht="15" hidden="false" customHeight="false" outlineLevel="0" collapsed="false">
      <c r="A538" s="2" t="n">
        <v>532</v>
      </c>
      <c r="B538" s="15" t="n">
        <f aca="false">INT(A538/151)</f>
        <v>3</v>
      </c>
      <c r="C538" s="15" t="n">
        <f aca="false">MOD(A538,151)</f>
        <v>79</v>
      </c>
      <c r="D538" s="15" t="n">
        <f aca="false">INDEX(Grid!$J$6:$P$156,C538+1,B538+1)</f>
        <v>1</v>
      </c>
      <c r="E538" s="16" t="n">
        <f aca="false">IF(D538=1,INDEX(Grid!$B$6:$H$156,C538+1,B538+1),"")</f>
        <v>258.633803747091</v>
      </c>
      <c r="F538" s="13" t="n">
        <f aca="false">Val_pt*(Ceiling_e-E_zero)*(1-(1-Half_gap)^B538)</f>
        <v>122.5</v>
      </c>
      <c r="G538" s="15" t="n">
        <f aca="false">C538</f>
        <v>79</v>
      </c>
      <c r="H538" s="15" t="n">
        <f aca="false">IF(D538=1,INDEX(Grid!$R$6:$X$156,C538+1,B538+1),"")</f>
        <v>56</v>
      </c>
      <c r="I538" s="2" t="str">
        <f aca="false">IF(D538=1,INDEX(Sch_label,H538+1),"")</f>
        <v>1–3</v>
      </c>
      <c r="J538" s="15" t="n">
        <f aca="false">IF(D538=1,INDEX(Grid!$Z$6:$AF$156,C538+1,B538+1),0)</f>
        <v>1</v>
      </c>
      <c r="K538" s="16" t="n">
        <f aca="false">IF(J538=1,E538,0)</f>
        <v>258.633803747091</v>
      </c>
      <c r="L538" s="17" t="n">
        <f aca="false">IF(D538=1,E538+W_board*F538,"")</f>
        <v>950.114368062968</v>
      </c>
      <c r="M538" s="24" t="n">
        <v>1</v>
      </c>
      <c r="N538" s="25" t="n">
        <v>0.512439845386506</v>
      </c>
      <c r="O538" s="25" t="n">
        <v>0.294587906433605</v>
      </c>
      <c r="P538" s="25" t="n">
        <v>0.19297224817989</v>
      </c>
      <c r="Z538" s="12" t="n">
        <f aca="false">IF(AND($J538=1,$M538=1),N538*E538/Span_P+O538*F538/Span_S+P538*G538/Span_B,"")</f>
        <v>0.999791257565702</v>
      </c>
      <c r="AA538" s="12" t="n">
        <f aca="false">IF(AND($J538=1,$M538=1),SUMPRODUCT(MAX($J$6:$J$1062*(N538*$K$6:$K$1062/Span_P+O538*$F$6:$F$1062/Span_S+P538*$G$6:$G$1062/Span_B)-(1-$J$6:$J$1062)*1000000000)),"")</f>
        <v>0.999791257565702</v>
      </c>
      <c r="AB538" s="15" t="n">
        <f aca="false">IF(AND($J538=1,$M538=1),IF(AA538-Z538&lt;=0.000000001,1,0),"")</f>
        <v>1</v>
      </c>
      <c r="AC538" s="13" t="str">
        <f aca="false">IF(AND($J538=1,$M538=0),IF(S538="",0,S538*INDEX(Grid!$B$6:$H$156,R538+1,Q538+1))+IF(V538="",0,V538*INDEX(Grid!$B$6:$H$156,U538+1,T538+1))+IF(Y538="",0,Y538*INDEX(Grid!$B$6:$H$156,X538+1,W538+1)),"")</f>
        <v/>
      </c>
      <c r="AD538" s="13" t="str">
        <f aca="false">IF(AND($J538=1,$M538=0),IF(S538="",0,S538*Val_pt*(Ceiling_e-E_zero)*(1-(1-Half_gap)^Q538))+IF(V538="",0,V538*Val_pt*(Ceiling_e-E_zero)*(1-(1-Half_gap)^T538))+IF(Y538="",0,Y538*Val_pt*(Ceiling_e-E_zero)*(1-(1-Half_gap)^W538)),"")</f>
        <v/>
      </c>
      <c r="AE538" s="13" t="str">
        <f aca="false">IF(AND($J538=1,$M538=0),IF(S538="",0,S538*R538)+IF(V538="",0,V538*U538)+IF(Y538="",0,Y538*X538),"")</f>
        <v/>
      </c>
      <c r="AF538" s="12" t="str">
        <f aca="false">IF(AND($J538=1,$M538=0),MIN((AC538-E538)/Span_P,(AD538-F538)/Span_S,(AE538-G538)/Span_B),"")</f>
        <v/>
      </c>
      <c r="AG538" s="15" t="str">
        <f aca="false">IF(AND($J538=1,$M538=0),IF(AF538&gt;0.0000001,1,0),"")</f>
        <v/>
      </c>
      <c r="AH538" s="15" t="n">
        <f aca="false">IF($J538=1,IF($M538=1,AB538,AG538),"")</f>
        <v>1</v>
      </c>
      <c r="AI538" s="13" t="n">
        <f aca="false">IF($J538=1,(Ideal_P-E538)/Span_P,"")</f>
        <v>0.346684079777843</v>
      </c>
      <c r="AJ538" s="13" t="n">
        <f aca="false">IF($J538=1,(Ideal_S-F538)/Span_S,"")</f>
        <v>0.225806451612903</v>
      </c>
      <c r="AK538" s="13" t="n">
        <f aca="false">IF($J538=1,(Ideal_B-G538)/Span_B,"")</f>
        <v>0.473333333333333</v>
      </c>
      <c r="AL538" s="12" t="n">
        <f aca="false">IF($J538=1,MAX(ChA_1*AI538,ChA_2*AJ538,ChA_3*AK538)+Rho*(ChA_1*AI538+ChA_2*AJ538+ChA_3*AK538),"")</f>
        <v>0.473437915719806</v>
      </c>
      <c r="AM538" s="12" t="n">
        <f aca="false">IF($J538=1,MAX(ChB_1*AI538,ChB_2*AJ538,ChB_3*AK538)+Rho*(ChB_1*AI538+ChB_2*AJ538+ChB_3*AK538),"")</f>
        <v>0.693507410350135</v>
      </c>
      <c r="AN538" s="12" t="n">
        <f aca="false">IF($J538=1,MAX(Cx_1*(Ref_P-E538)/Span_P,Cx_2*(Ref_S-F538)/Span_S,Cx_3*(Ref_B-G538)/Span_B),"")</f>
        <v>1.21848739495798</v>
      </c>
    </row>
    <row r="539" customFormat="false" ht="15" hidden="false" customHeight="false" outlineLevel="0" collapsed="false">
      <c r="A539" s="2" t="n">
        <v>533</v>
      </c>
      <c r="B539" s="15" t="n">
        <f aca="false">INT(A539/151)</f>
        <v>3</v>
      </c>
      <c r="C539" s="15" t="n">
        <f aca="false">MOD(A539,151)</f>
        <v>80</v>
      </c>
      <c r="D539" s="15" t="n">
        <f aca="false">INDEX(Grid!$J$6:$P$156,C539+1,B539+1)</f>
        <v>1</v>
      </c>
      <c r="E539" s="16" t="n">
        <f aca="false">IF(D539=1,INDEX(Grid!$B$6:$H$156,C539+1,B539+1),"")</f>
        <v>257.724712838</v>
      </c>
      <c r="F539" s="13" t="n">
        <f aca="false">Val_pt*(Ceiling_e-E_zero)*(1-(1-Half_gap)^B539)</f>
        <v>122.5</v>
      </c>
      <c r="G539" s="15" t="n">
        <f aca="false">C539</f>
        <v>80</v>
      </c>
      <c r="H539" s="15" t="n">
        <f aca="false">IF(D539=1,INDEX(Grid!$R$6:$X$156,C539+1,B539+1),"")</f>
        <v>56</v>
      </c>
      <c r="I539" s="2" t="str">
        <f aca="false">IF(D539=1,INDEX(Sch_label,H539+1),"")</f>
        <v>1–3</v>
      </c>
      <c r="J539" s="15" t="n">
        <f aca="false">IF(D539=1,INDEX(Grid!$Z$6:$AF$156,C539+1,B539+1),0)</f>
        <v>1</v>
      </c>
      <c r="K539" s="16" t="n">
        <f aca="false">IF(J539=1,E539,0)</f>
        <v>257.724712838</v>
      </c>
      <c r="L539" s="17" t="n">
        <f aca="false">IF(D539=1,E539+W_board*F539,"")</f>
        <v>949.205277153877</v>
      </c>
      <c r="M539" s="24" t="n">
        <v>1</v>
      </c>
      <c r="N539" s="25" t="n">
        <v>0.512439845386526</v>
      </c>
      <c r="O539" s="25" t="n">
        <v>0.294587906433603</v>
      </c>
      <c r="P539" s="25" t="n">
        <v>0.192972248179872</v>
      </c>
      <c r="Z539" s="12" t="n">
        <f aca="false">IF(AND($J539=1,$M539=1),N539*E539/Span_P+O539*F539/Span_S+P539*G539/Span_B,"")</f>
        <v>0.999791257565703</v>
      </c>
      <c r="AA539" s="12" t="n">
        <f aca="false">IF(AND($J539=1,$M539=1),SUMPRODUCT(MAX($J$6:$J$1062*(N539*$K$6:$K$1062/Span_P+O539*$F$6:$F$1062/Span_S+P539*$G$6:$G$1062/Span_B)-(1-$J$6:$J$1062)*1000000000)),"")</f>
        <v>0.999791257565713</v>
      </c>
      <c r="AB539" s="15" t="n">
        <f aca="false">IF(AND($J539=1,$M539=1),IF(AA539-Z539&lt;=0.000000001,1,0),"")</f>
        <v>1</v>
      </c>
      <c r="AC539" s="13" t="str">
        <f aca="false">IF(AND($J539=1,$M539=0),IF(S539="",0,S539*INDEX(Grid!$B$6:$H$156,R539+1,Q539+1))+IF(V539="",0,V539*INDEX(Grid!$B$6:$H$156,U539+1,T539+1))+IF(Y539="",0,Y539*INDEX(Grid!$B$6:$H$156,X539+1,W539+1)),"")</f>
        <v/>
      </c>
      <c r="AD539" s="13" t="str">
        <f aca="false">IF(AND($J539=1,$M539=0),IF(S539="",0,S539*Val_pt*(Ceiling_e-E_zero)*(1-(1-Half_gap)^Q539))+IF(V539="",0,V539*Val_pt*(Ceiling_e-E_zero)*(1-(1-Half_gap)^T539))+IF(Y539="",0,Y539*Val_pt*(Ceiling_e-E_zero)*(1-(1-Half_gap)^W539)),"")</f>
        <v/>
      </c>
      <c r="AE539" s="13" t="str">
        <f aca="false">IF(AND($J539=1,$M539=0),IF(S539="",0,S539*R539)+IF(V539="",0,V539*U539)+IF(Y539="",0,Y539*X539),"")</f>
        <v/>
      </c>
      <c r="AF539" s="12" t="str">
        <f aca="false">IF(AND($J539=1,$M539=0),MIN((AC539-E539)/Span_P,(AD539-F539)/Span_S,(AE539-G539)/Span_B),"")</f>
        <v/>
      </c>
      <c r="AG539" s="15" t="str">
        <f aca="false">IF(AND($J539=1,$M539=0),IF(AF539&gt;0.0000001,1,0),"")</f>
        <v/>
      </c>
      <c r="AH539" s="15" t="n">
        <f aca="false">IF($J539=1,IF($M539=1,AB539,AG539),"")</f>
        <v>1</v>
      </c>
      <c r="AI539" s="13" t="n">
        <f aca="false">IF($J539=1,(Ideal_P-E539)/Span_P,"")</f>
        <v>0.349194582554148</v>
      </c>
      <c r="AJ539" s="13" t="n">
        <f aca="false">IF($J539=1,(Ideal_S-F539)/Span_S,"")</f>
        <v>0.225806451612903</v>
      </c>
      <c r="AK539" s="13" t="n">
        <f aca="false">IF($J539=1,(Ideal_B-G539)/Span_B,"")</f>
        <v>0.466666666666667</v>
      </c>
      <c r="AL539" s="12" t="n">
        <f aca="false">IF($J539=1,MAX(ChA_1*AI539,ChA_2*AJ539,ChA_3*AK539)+Rho*(ChA_1*AI539+ChA_2*AJ539+ChA_3*AK539),"")</f>
        <v>0.46677083343675</v>
      </c>
      <c r="AM539" s="12" t="n">
        <f aca="false">IF($J539=1,MAX(ChB_1*AI539,ChB_2*AJ539,ChB_3*AK539)+Rho*(ChB_1*AI539+ChB_2*AJ539+ChB_3*AK539),"")</f>
        <v>0.698528251336635</v>
      </c>
      <c r="AN539" s="12" t="n">
        <f aca="false">IF($J539=1,MAX(Cx_1*(Ref_P-E539)/Span_P,Cx_2*(Ref_S-F539)/Span_S,Cx_3*(Ref_B-G539)/Span_B),"")</f>
        <v>1.20168067226891</v>
      </c>
    </row>
    <row r="540" customFormat="false" ht="15" hidden="false" customHeight="false" outlineLevel="0" collapsed="false">
      <c r="A540" s="2" t="n">
        <v>534</v>
      </c>
      <c r="B540" s="15" t="n">
        <f aca="false">INT(A540/151)</f>
        <v>3</v>
      </c>
      <c r="C540" s="15" t="n">
        <f aca="false">MOD(A540,151)</f>
        <v>81</v>
      </c>
      <c r="D540" s="15" t="n">
        <f aca="false">INDEX(Grid!$J$6:$P$156,C540+1,B540+1)</f>
        <v>1</v>
      </c>
      <c r="E540" s="16" t="n">
        <f aca="false">IF(D540=1,INDEX(Grid!$B$6:$H$156,C540+1,B540+1),"")</f>
        <v>256.815621928909</v>
      </c>
      <c r="F540" s="13" t="n">
        <f aca="false">Val_pt*(Ceiling_e-E_zero)*(1-(1-Half_gap)^B540)</f>
        <v>122.5</v>
      </c>
      <c r="G540" s="15" t="n">
        <f aca="false">C540</f>
        <v>81</v>
      </c>
      <c r="H540" s="15" t="n">
        <f aca="false">IF(D540=1,INDEX(Grid!$R$6:$X$156,C540+1,B540+1),"")</f>
        <v>56</v>
      </c>
      <c r="I540" s="2" t="str">
        <f aca="false">IF(D540=1,INDEX(Sch_label,H540+1),"")</f>
        <v>1–3</v>
      </c>
      <c r="J540" s="15" t="n">
        <f aca="false">IF(D540=1,INDEX(Grid!$Z$6:$AF$156,C540+1,B540+1),0)</f>
        <v>1</v>
      </c>
      <c r="K540" s="16" t="n">
        <f aca="false">IF(J540=1,E540,0)</f>
        <v>256.815621928909</v>
      </c>
      <c r="L540" s="17" t="n">
        <f aca="false">IF(D540=1,E540+W_board*F540,"")</f>
        <v>948.296186244786</v>
      </c>
      <c r="M540" s="24" t="n">
        <v>1</v>
      </c>
      <c r="N540" s="25" t="n">
        <v>0.512439845386504</v>
      </c>
      <c r="O540" s="25" t="n">
        <v>0.294587906433604</v>
      </c>
      <c r="P540" s="25" t="n">
        <v>0.192972248179892</v>
      </c>
      <c r="Z540" s="12" t="n">
        <f aca="false">IF(AND($J540=1,$M540=1),N540*E540/Span_P+O540*F540/Span_S+P540*G540/Span_B,"")</f>
        <v>0.999791257565701</v>
      </c>
      <c r="AA540" s="12" t="n">
        <f aca="false">IF(AND($J540=1,$M540=1),SUMPRODUCT(MAX($J$6:$J$1062*(N540*$K$6:$K$1062/Span_P+O540*$F$6:$F$1062/Span_S+P540*$G$6:$G$1062/Span_B)-(1-$J$6:$J$1062)*1000000000)),"")</f>
        <v>0.999791257565702</v>
      </c>
      <c r="AB540" s="15" t="n">
        <f aca="false">IF(AND($J540=1,$M540=1),IF(AA540-Z540&lt;=0.000000001,1,0),"")</f>
        <v>1</v>
      </c>
      <c r="AC540" s="13" t="str">
        <f aca="false">IF(AND($J540=1,$M540=0),IF(S540="",0,S540*INDEX(Grid!$B$6:$H$156,R540+1,Q540+1))+IF(V540="",0,V540*INDEX(Grid!$B$6:$H$156,U540+1,T540+1))+IF(Y540="",0,Y540*INDEX(Grid!$B$6:$H$156,X540+1,W540+1)),"")</f>
        <v/>
      </c>
      <c r="AD540" s="13" t="str">
        <f aca="false">IF(AND($J540=1,$M540=0),IF(S540="",0,S540*Val_pt*(Ceiling_e-E_zero)*(1-(1-Half_gap)^Q540))+IF(V540="",0,V540*Val_pt*(Ceiling_e-E_zero)*(1-(1-Half_gap)^T540))+IF(Y540="",0,Y540*Val_pt*(Ceiling_e-E_zero)*(1-(1-Half_gap)^W540)),"")</f>
        <v/>
      </c>
      <c r="AE540" s="13" t="str">
        <f aca="false">IF(AND($J540=1,$M540=0),IF(S540="",0,S540*R540)+IF(V540="",0,V540*U540)+IF(Y540="",0,Y540*X540),"")</f>
        <v/>
      </c>
      <c r="AF540" s="12" t="str">
        <f aca="false">IF(AND($J540=1,$M540=0),MIN((AC540-E540)/Span_P,(AD540-F540)/Span_S,(AE540-G540)/Span_B),"")</f>
        <v/>
      </c>
      <c r="AG540" s="15" t="str">
        <f aca="false">IF(AND($J540=1,$M540=0),IF(AF540&gt;0.0000001,1,0),"")</f>
        <v/>
      </c>
      <c r="AH540" s="15" t="n">
        <f aca="false">IF($J540=1,IF($M540=1,AB540,AG540),"")</f>
        <v>1</v>
      </c>
      <c r="AI540" s="13" t="n">
        <f aca="false">IF($J540=1,(Ideal_P-E540)/Span_P,"")</f>
        <v>0.351705085330454</v>
      </c>
      <c r="AJ540" s="13" t="n">
        <f aca="false">IF($J540=1,(Ideal_S-F540)/Span_S,"")</f>
        <v>0.225806451612903</v>
      </c>
      <c r="AK540" s="13" t="n">
        <f aca="false">IF($J540=1,(Ideal_B-G540)/Span_B,"")</f>
        <v>0.46</v>
      </c>
      <c r="AL540" s="12" t="n">
        <f aca="false">IF($J540=1,MAX(ChA_1*AI540,ChA_2*AJ540,ChA_3*AK540)+Rho*(ChA_1*AI540+ChA_2*AJ540+ChA_3*AK540),"")</f>
        <v>0.460103751153694</v>
      </c>
      <c r="AM540" s="12" t="n">
        <f aca="false">IF($J540=1,MAX(ChB_1*AI540,ChB_2*AJ540,ChB_3*AK540)+Rho*(ChB_1*AI540+ChB_2*AJ540+ChB_3*AK540),"")</f>
        <v>0.703549092323135</v>
      </c>
      <c r="AN540" s="12" t="n">
        <f aca="false">IF($J540=1,MAX(Cx_1*(Ref_P-E540)/Span_P,Cx_2*(Ref_S-F540)/Span_S,Cx_3*(Ref_B-G540)/Span_B),"")</f>
        <v>1.18487394957983</v>
      </c>
    </row>
    <row r="541" customFormat="false" ht="15" hidden="false" customHeight="false" outlineLevel="0" collapsed="false">
      <c r="A541" s="2" t="n">
        <v>535</v>
      </c>
      <c r="B541" s="15" t="n">
        <f aca="false">INT(A541/151)</f>
        <v>3</v>
      </c>
      <c r="C541" s="15" t="n">
        <f aca="false">MOD(A541,151)</f>
        <v>82</v>
      </c>
      <c r="D541" s="15" t="n">
        <f aca="false">INDEX(Grid!$J$6:$P$156,C541+1,B541+1)</f>
        <v>1</v>
      </c>
      <c r="E541" s="16" t="n">
        <f aca="false">IF(D541=1,INDEX(Grid!$B$6:$H$156,C541+1,B541+1),"")</f>
        <v>255.906531019818</v>
      </c>
      <c r="F541" s="13" t="n">
        <f aca="false">Val_pt*(Ceiling_e-E_zero)*(1-(1-Half_gap)^B541)</f>
        <v>122.5</v>
      </c>
      <c r="G541" s="15" t="n">
        <f aca="false">C541</f>
        <v>82</v>
      </c>
      <c r="H541" s="15" t="n">
        <f aca="false">IF(D541=1,INDEX(Grid!$R$6:$X$156,C541+1,B541+1),"")</f>
        <v>56</v>
      </c>
      <c r="I541" s="2" t="str">
        <f aca="false">IF(D541=1,INDEX(Sch_label,H541+1),"")</f>
        <v>1–3</v>
      </c>
      <c r="J541" s="15" t="n">
        <f aca="false">IF(D541=1,INDEX(Grid!$Z$6:$AF$156,C541+1,B541+1),0)</f>
        <v>1</v>
      </c>
      <c r="K541" s="16" t="n">
        <f aca="false">IF(J541=1,E541,0)</f>
        <v>255.906531019818</v>
      </c>
      <c r="L541" s="17" t="n">
        <f aca="false">IF(D541=1,E541+W_board*F541,"")</f>
        <v>947.387095335695</v>
      </c>
      <c r="M541" s="24" t="n">
        <v>1</v>
      </c>
      <c r="N541" s="25" t="n">
        <v>0.512439845386512</v>
      </c>
      <c r="O541" s="25" t="n">
        <v>0.294587906433604</v>
      </c>
      <c r="P541" s="25" t="n">
        <v>0.192972248179884</v>
      </c>
      <c r="Z541" s="12" t="n">
        <f aca="false">IF(AND($J541=1,$M541=1),N541*E541/Span_P+O541*F541/Span_S+P541*G541/Span_B,"")</f>
        <v>0.999791257565702</v>
      </c>
      <c r="AA541" s="12" t="n">
        <f aca="false">IF(AND($J541=1,$M541=1),SUMPRODUCT(MAX($J$6:$J$1062*(N541*$K$6:$K$1062/Span_P+O541*$F$6:$F$1062/Span_S+P541*$G$6:$G$1062/Span_B)-(1-$J$6:$J$1062)*1000000000)),"")</f>
        <v>0.999791257565703</v>
      </c>
      <c r="AB541" s="15" t="n">
        <f aca="false">IF(AND($J541=1,$M541=1),IF(AA541-Z541&lt;=0.000000001,1,0),"")</f>
        <v>1</v>
      </c>
      <c r="AC541" s="13" t="str">
        <f aca="false">IF(AND($J541=1,$M541=0),IF(S541="",0,S541*INDEX(Grid!$B$6:$H$156,R541+1,Q541+1))+IF(V541="",0,V541*INDEX(Grid!$B$6:$H$156,U541+1,T541+1))+IF(Y541="",0,Y541*INDEX(Grid!$B$6:$H$156,X541+1,W541+1)),"")</f>
        <v/>
      </c>
      <c r="AD541" s="13" t="str">
        <f aca="false">IF(AND($J541=1,$M541=0),IF(S541="",0,S541*Val_pt*(Ceiling_e-E_zero)*(1-(1-Half_gap)^Q541))+IF(V541="",0,V541*Val_pt*(Ceiling_e-E_zero)*(1-(1-Half_gap)^T541))+IF(Y541="",0,Y541*Val_pt*(Ceiling_e-E_zero)*(1-(1-Half_gap)^W541)),"")</f>
        <v/>
      </c>
      <c r="AE541" s="13" t="str">
        <f aca="false">IF(AND($J541=1,$M541=0),IF(S541="",0,S541*R541)+IF(V541="",0,V541*U541)+IF(Y541="",0,Y541*X541),"")</f>
        <v/>
      </c>
      <c r="AF541" s="12" t="str">
        <f aca="false">IF(AND($J541=1,$M541=0),MIN((AC541-E541)/Span_P,(AD541-F541)/Span_S,(AE541-G541)/Span_B),"")</f>
        <v/>
      </c>
      <c r="AG541" s="15" t="str">
        <f aca="false">IF(AND($J541=1,$M541=0),IF(AF541&gt;0.0000001,1,0),"")</f>
        <v/>
      </c>
      <c r="AH541" s="15" t="n">
        <f aca="false">IF($J541=1,IF($M541=1,AB541,AG541),"")</f>
        <v>1</v>
      </c>
      <c r="AI541" s="13" t="n">
        <f aca="false">IF($J541=1,(Ideal_P-E541)/Span_P,"")</f>
        <v>0.35421558810676</v>
      </c>
      <c r="AJ541" s="13" t="n">
        <f aca="false">IF($J541=1,(Ideal_S-F541)/Span_S,"")</f>
        <v>0.225806451612903</v>
      </c>
      <c r="AK541" s="13" t="n">
        <f aca="false">IF($J541=1,(Ideal_B-G541)/Span_B,"")</f>
        <v>0.453333333333333</v>
      </c>
      <c r="AL541" s="12" t="n">
        <f aca="false">IF($J541=1,MAX(ChA_1*AI541,ChA_2*AJ541,ChA_3*AK541)+Rho*(ChA_1*AI541+ChA_2*AJ541+ChA_3*AK541),"")</f>
        <v>0.453436668870639</v>
      </c>
      <c r="AM541" s="12" t="n">
        <f aca="false">IF($J541=1,MAX(ChB_1*AI541,ChB_2*AJ541,ChB_3*AK541)+Rho*(ChB_1*AI541+ChB_2*AJ541+ChB_3*AK541),"")</f>
        <v>0.708569933309636</v>
      </c>
      <c r="AN541" s="12" t="n">
        <f aca="false">IF($J541=1,MAX(Cx_1*(Ref_P-E541)/Span_P,Cx_2*(Ref_S-F541)/Span_S,Cx_3*(Ref_B-G541)/Span_B),"")</f>
        <v>1.16806722689076</v>
      </c>
    </row>
    <row r="542" customFormat="false" ht="15" hidden="false" customHeight="false" outlineLevel="0" collapsed="false">
      <c r="A542" s="2" t="n">
        <v>536</v>
      </c>
      <c r="B542" s="15" t="n">
        <f aca="false">INT(A542/151)</f>
        <v>3</v>
      </c>
      <c r="C542" s="15" t="n">
        <f aca="false">MOD(A542,151)</f>
        <v>83</v>
      </c>
      <c r="D542" s="15" t="n">
        <f aca="false">INDEX(Grid!$J$6:$P$156,C542+1,B542+1)</f>
        <v>1</v>
      </c>
      <c r="E542" s="16" t="n">
        <f aca="false">IF(D542=1,INDEX(Grid!$B$6:$H$156,C542+1,B542+1),"")</f>
        <v>254.997440110727</v>
      </c>
      <c r="F542" s="13" t="n">
        <f aca="false">Val_pt*(Ceiling_e-E_zero)*(1-(1-Half_gap)^B542)</f>
        <v>122.5</v>
      </c>
      <c r="G542" s="15" t="n">
        <f aca="false">C542</f>
        <v>83</v>
      </c>
      <c r="H542" s="15" t="n">
        <f aca="false">IF(D542=1,INDEX(Grid!$R$6:$X$156,C542+1,B542+1),"")</f>
        <v>56</v>
      </c>
      <c r="I542" s="2" t="str">
        <f aca="false">IF(D542=1,INDEX(Sch_label,H542+1),"")</f>
        <v>1–3</v>
      </c>
      <c r="J542" s="15" t="n">
        <f aca="false">IF(D542=1,INDEX(Grid!$Z$6:$AF$156,C542+1,B542+1),0)</f>
        <v>1</v>
      </c>
      <c r="K542" s="16" t="n">
        <f aca="false">IF(J542=1,E542,0)</f>
        <v>254.997440110727</v>
      </c>
      <c r="L542" s="17" t="n">
        <f aca="false">IF(D542=1,E542+W_board*F542,"")</f>
        <v>946.478004426604</v>
      </c>
      <c r="M542" s="24" t="n">
        <v>1</v>
      </c>
      <c r="N542" s="25" t="n">
        <v>0.512439845386525</v>
      </c>
      <c r="O542" s="25" t="n">
        <v>0.294587906433604</v>
      </c>
      <c r="P542" s="25" t="n">
        <v>0.192972248179871</v>
      </c>
      <c r="Z542" s="12" t="n">
        <f aca="false">IF(AND($J542=1,$M542=1),N542*E542/Span_P+O542*F542/Span_S+P542*G542/Span_B,"")</f>
        <v>0.999791257565704</v>
      </c>
      <c r="AA542" s="12" t="n">
        <f aca="false">IF(AND($J542=1,$M542=1),SUMPRODUCT(MAX($J$6:$J$1062*(N542*$K$6:$K$1062/Span_P+O542*$F$6:$F$1062/Span_S+P542*$G$6:$G$1062/Span_B)-(1-$J$6:$J$1062)*1000000000)),"")</f>
        <v>0.999791257565713</v>
      </c>
      <c r="AB542" s="15" t="n">
        <f aca="false">IF(AND($J542=1,$M542=1),IF(AA542-Z542&lt;=0.000000001,1,0),"")</f>
        <v>1</v>
      </c>
      <c r="AC542" s="13" t="str">
        <f aca="false">IF(AND($J542=1,$M542=0),IF(S542="",0,S542*INDEX(Grid!$B$6:$H$156,R542+1,Q542+1))+IF(V542="",0,V542*INDEX(Grid!$B$6:$H$156,U542+1,T542+1))+IF(Y542="",0,Y542*INDEX(Grid!$B$6:$H$156,X542+1,W542+1)),"")</f>
        <v/>
      </c>
      <c r="AD542" s="13" t="str">
        <f aca="false">IF(AND($J542=1,$M542=0),IF(S542="",0,S542*Val_pt*(Ceiling_e-E_zero)*(1-(1-Half_gap)^Q542))+IF(V542="",0,V542*Val_pt*(Ceiling_e-E_zero)*(1-(1-Half_gap)^T542))+IF(Y542="",0,Y542*Val_pt*(Ceiling_e-E_zero)*(1-(1-Half_gap)^W542)),"")</f>
        <v/>
      </c>
      <c r="AE542" s="13" t="str">
        <f aca="false">IF(AND($J542=1,$M542=0),IF(S542="",0,S542*R542)+IF(V542="",0,V542*U542)+IF(Y542="",0,Y542*X542),"")</f>
        <v/>
      </c>
      <c r="AF542" s="12" t="str">
        <f aca="false">IF(AND($J542=1,$M542=0),MIN((AC542-E542)/Span_P,(AD542-F542)/Span_S,(AE542-G542)/Span_B),"")</f>
        <v/>
      </c>
      <c r="AG542" s="15" t="str">
        <f aca="false">IF(AND($J542=1,$M542=0),IF(AF542&gt;0.0000001,1,0),"")</f>
        <v/>
      </c>
      <c r="AH542" s="15" t="n">
        <f aca="false">IF($J542=1,IF($M542=1,AB542,AG542),"")</f>
        <v>1</v>
      </c>
      <c r="AI542" s="13" t="n">
        <f aca="false">IF($J542=1,(Ideal_P-E542)/Span_P,"")</f>
        <v>0.356726090883066</v>
      </c>
      <c r="AJ542" s="13" t="n">
        <f aca="false">IF($J542=1,(Ideal_S-F542)/Span_S,"")</f>
        <v>0.225806451612903</v>
      </c>
      <c r="AK542" s="13" t="n">
        <f aca="false">IF($J542=1,(Ideal_B-G542)/Span_B,"")</f>
        <v>0.446666666666667</v>
      </c>
      <c r="AL542" s="12" t="n">
        <f aca="false">IF($J542=1,MAX(ChA_1*AI542,ChA_2*AJ542,ChA_3*AK542)+Rho*(ChA_1*AI542+ChA_2*AJ542+ChA_3*AK542),"")</f>
        <v>0.446769586587583</v>
      </c>
      <c r="AM542" s="12" t="n">
        <f aca="false">IF($J542=1,MAX(ChB_1*AI542,ChB_2*AJ542,ChB_3*AK542)+Rho*(ChB_1*AI542+ChB_2*AJ542+ChB_3*AK542),"")</f>
        <v>0.713590774296136</v>
      </c>
      <c r="AN542" s="12" t="n">
        <f aca="false">IF($J542=1,MAX(Cx_1*(Ref_P-E542)/Span_P,Cx_2*(Ref_S-F542)/Span_S,Cx_3*(Ref_B-G542)/Span_B),"")</f>
        <v>1.15126050420168</v>
      </c>
    </row>
    <row r="543" customFormat="false" ht="15" hidden="false" customHeight="false" outlineLevel="0" collapsed="false">
      <c r="A543" s="2" t="n">
        <v>537</v>
      </c>
      <c r="B543" s="15" t="n">
        <f aca="false">INT(A543/151)</f>
        <v>3</v>
      </c>
      <c r="C543" s="15" t="n">
        <f aca="false">MOD(A543,151)</f>
        <v>84</v>
      </c>
      <c r="D543" s="15" t="n">
        <f aca="false">INDEX(Grid!$J$6:$P$156,C543+1,B543+1)</f>
        <v>1</v>
      </c>
      <c r="E543" s="16" t="n">
        <f aca="false">IF(D543=1,INDEX(Grid!$B$6:$H$156,C543+1,B543+1),"")</f>
        <v>254.088349201636</v>
      </c>
      <c r="F543" s="13" t="n">
        <f aca="false">Val_pt*(Ceiling_e-E_zero)*(1-(1-Half_gap)^B543)</f>
        <v>122.5</v>
      </c>
      <c r="G543" s="15" t="n">
        <f aca="false">C543</f>
        <v>84</v>
      </c>
      <c r="H543" s="15" t="n">
        <f aca="false">IF(D543=1,INDEX(Grid!$R$6:$X$156,C543+1,B543+1),"")</f>
        <v>56</v>
      </c>
      <c r="I543" s="2" t="str">
        <f aca="false">IF(D543=1,INDEX(Sch_label,H543+1),"")</f>
        <v>1–3</v>
      </c>
      <c r="J543" s="15" t="n">
        <f aca="false">IF(D543=1,INDEX(Grid!$Z$6:$AF$156,C543+1,B543+1),0)</f>
        <v>1</v>
      </c>
      <c r="K543" s="16" t="n">
        <f aca="false">IF(J543=1,E543,0)</f>
        <v>254.088349201636</v>
      </c>
      <c r="L543" s="17" t="n">
        <f aca="false">IF(D543=1,E543+W_board*F543,"")</f>
        <v>945.568913517514</v>
      </c>
      <c r="M543" s="24" t="n">
        <v>1</v>
      </c>
      <c r="N543" s="25" t="n">
        <v>0.512439845386504</v>
      </c>
      <c r="O543" s="25" t="n">
        <v>0.294587906433604</v>
      </c>
      <c r="P543" s="25" t="n">
        <v>0.192972248179892</v>
      </c>
      <c r="Z543" s="12" t="n">
        <f aca="false">IF(AND($J543=1,$M543=1),N543*E543/Span_P+O543*F543/Span_S+P543*G543/Span_B,"")</f>
        <v>0.999791257565701</v>
      </c>
      <c r="AA543" s="12" t="n">
        <f aca="false">IF(AND($J543=1,$M543=1),SUMPRODUCT(MAX($J$6:$J$1062*(N543*$K$6:$K$1062/Span_P+O543*$F$6:$F$1062/Span_S+P543*$G$6:$G$1062/Span_B)-(1-$J$6:$J$1062)*1000000000)),"")</f>
        <v>0.999791257565701</v>
      </c>
      <c r="AB543" s="15" t="n">
        <f aca="false">IF(AND($J543=1,$M543=1),IF(AA543-Z543&lt;=0.000000001,1,0),"")</f>
        <v>1</v>
      </c>
      <c r="AC543" s="13" t="str">
        <f aca="false">IF(AND($J543=1,$M543=0),IF(S543="",0,S543*INDEX(Grid!$B$6:$H$156,R543+1,Q543+1))+IF(V543="",0,V543*INDEX(Grid!$B$6:$H$156,U543+1,T543+1))+IF(Y543="",0,Y543*INDEX(Grid!$B$6:$H$156,X543+1,W543+1)),"")</f>
        <v/>
      </c>
      <c r="AD543" s="13" t="str">
        <f aca="false">IF(AND($J543=1,$M543=0),IF(S543="",0,S543*Val_pt*(Ceiling_e-E_zero)*(1-(1-Half_gap)^Q543))+IF(V543="",0,V543*Val_pt*(Ceiling_e-E_zero)*(1-(1-Half_gap)^T543))+IF(Y543="",0,Y543*Val_pt*(Ceiling_e-E_zero)*(1-(1-Half_gap)^W543)),"")</f>
        <v/>
      </c>
      <c r="AE543" s="13" t="str">
        <f aca="false">IF(AND($J543=1,$M543=0),IF(S543="",0,S543*R543)+IF(V543="",0,V543*U543)+IF(Y543="",0,Y543*X543),"")</f>
        <v/>
      </c>
      <c r="AF543" s="12" t="str">
        <f aca="false">IF(AND($J543=1,$M543=0),MIN((AC543-E543)/Span_P,(AD543-F543)/Span_S,(AE543-G543)/Span_B),"")</f>
        <v/>
      </c>
      <c r="AG543" s="15" t="str">
        <f aca="false">IF(AND($J543=1,$M543=0),IF(AF543&gt;0.0000001,1,0),"")</f>
        <v/>
      </c>
      <c r="AH543" s="15" t="n">
        <f aca="false">IF($J543=1,IF($M543=1,AB543,AG543),"")</f>
        <v>1</v>
      </c>
      <c r="AI543" s="13" t="n">
        <f aca="false">IF($J543=1,(Ideal_P-E543)/Span_P,"")</f>
        <v>0.359236593659371</v>
      </c>
      <c r="AJ543" s="13" t="n">
        <f aca="false">IF($J543=1,(Ideal_S-F543)/Span_S,"")</f>
        <v>0.225806451612903</v>
      </c>
      <c r="AK543" s="13" t="n">
        <f aca="false">IF($J543=1,(Ideal_B-G543)/Span_B,"")</f>
        <v>0.44</v>
      </c>
      <c r="AL543" s="12" t="n">
        <f aca="false">IF($J543=1,MAX(ChA_1*AI543,ChA_2*AJ543,ChA_3*AK543)+Rho*(ChA_1*AI543+ChA_2*AJ543+ChA_3*AK543),"")</f>
        <v>0.440102504304527</v>
      </c>
      <c r="AM543" s="12" t="n">
        <f aca="false">IF($J543=1,MAX(ChB_1*AI543,ChB_2*AJ543,ChB_3*AK543)+Rho*(ChB_1*AI543+ChB_2*AJ543+ChB_3*AK543),"")</f>
        <v>0.718611615282636</v>
      </c>
      <c r="AN543" s="12" t="n">
        <f aca="false">IF($J543=1,MAX(Cx_1*(Ref_P-E543)/Span_P,Cx_2*(Ref_S-F543)/Span_S,Cx_3*(Ref_B-G543)/Span_B),"")</f>
        <v>1.13445378151261</v>
      </c>
    </row>
    <row r="544" customFormat="false" ht="15" hidden="false" customHeight="false" outlineLevel="0" collapsed="false">
      <c r="A544" s="2" t="n">
        <v>538</v>
      </c>
      <c r="B544" s="15" t="n">
        <f aca="false">INT(A544/151)</f>
        <v>3</v>
      </c>
      <c r="C544" s="15" t="n">
        <f aca="false">MOD(A544,151)</f>
        <v>85</v>
      </c>
      <c r="D544" s="15" t="n">
        <f aca="false">INDEX(Grid!$J$6:$P$156,C544+1,B544+1)</f>
        <v>1</v>
      </c>
      <c r="E544" s="16" t="n">
        <f aca="false">IF(D544=1,INDEX(Grid!$B$6:$H$156,C544+1,B544+1),"")</f>
        <v>253.179258292545</v>
      </c>
      <c r="F544" s="13" t="n">
        <f aca="false">Val_pt*(Ceiling_e-E_zero)*(1-(1-Half_gap)^B544)</f>
        <v>122.5</v>
      </c>
      <c r="G544" s="15" t="n">
        <f aca="false">C544</f>
        <v>85</v>
      </c>
      <c r="H544" s="15" t="n">
        <f aca="false">IF(D544=1,INDEX(Grid!$R$6:$X$156,C544+1,B544+1),"")</f>
        <v>56</v>
      </c>
      <c r="I544" s="2" t="str">
        <f aca="false">IF(D544=1,INDEX(Sch_label,H544+1),"")</f>
        <v>1–3</v>
      </c>
      <c r="J544" s="15" t="n">
        <f aca="false">IF(D544=1,INDEX(Grid!$Z$6:$AF$156,C544+1,B544+1),0)</f>
        <v>1</v>
      </c>
      <c r="K544" s="16" t="n">
        <f aca="false">IF(J544=1,E544,0)</f>
        <v>253.179258292545</v>
      </c>
      <c r="L544" s="17" t="n">
        <f aca="false">IF(D544=1,E544+W_board*F544,"")</f>
        <v>944.659822608423</v>
      </c>
      <c r="M544" s="24" t="n">
        <v>1</v>
      </c>
      <c r="N544" s="25" t="n">
        <v>0.512439845386504</v>
      </c>
      <c r="O544" s="25" t="n">
        <v>0.294587906433604</v>
      </c>
      <c r="P544" s="25" t="n">
        <v>0.192972248179892</v>
      </c>
      <c r="Z544" s="12" t="n">
        <f aca="false">IF(AND($J544=1,$M544=1),N544*E544/Span_P+O544*F544/Span_S+P544*G544/Span_B,"")</f>
        <v>0.999791257565701</v>
      </c>
      <c r="AA544" s="12" t="n">
        <f aca="false">IF(AND($J544=1,$M544=1),SUMPRODUCT(MAX($J$6:$J$1062*(N544*$K$6:$K$1062/Span_P+O544*$F$6:$F$1062/Span_S+P544*$G$6:$G$1062/Span_B)-(1-$J$6:$J$1062)*1000000000)),"")</f>
        <v>0.999791257565701</v>
      </c>
      <c r="AB544" s="15" t="n">
        <f aca="false">IF(AND($J544=1,$M544=1),IF(AA544-Z544&lt;=0.000000001,1,0),"")</f>
        <v>1</v>
      </c>
      <c r="AC544" s="13" t="str">
        <f aca="false">IF(AND($J544=1,$M544=0),IF(S544="",0,S544*INDEX(Grid!$B$6:$H$156,R544+1,Q544+1))+IF(V544="",0,V544*INDEX(Grid!$B$6:$H$156,U544+1,T544+1))+IF(Y544="",0,Y544*INDEX(Grid!$B$6:$H$156,X544+1,W544+1)),"")</f>
        <v/>
      </c>
      <c r="AD544" s="13" t="str">
        <f aca="false">IF(AND($J544=1,$M544=0),IF(S544="",0,S544*Val_pt*(Ceiling_e-E_zero)*(1-(1-Half_gap)^Q544))+IF(V544="",0,V544*Val_pt*(Ceiling_e-E_zero)*(1-(1-Half_gap)^T544))+IF(Y544="",0,Y544*Val_pt*(Ceiling_e-E_zero)*(1-(1-Half_gap)^W544)),"")</f>
        <v/>
      </c>
      <c r="AE544" s="13" t="str">
        <f aca="false">IF(AND($J544=1,$M544=0),IF(S544="",0,S544*R544)+IF(V544="",0,V544*U544)+IF(Y544="",0,Y544*X544),"")</f>
        <v/>
      </c>
      <c r="AF544" s="12" t="str">
        <f aca="false">IF(AND($J544=1,$M544=0),MIN((AC544-E544)/Span_P,(AD544-F544)/Span_S,(AE544-G544)/Span_B),"")</f>
        <v/>
      </c>
      <c r="AG544" s="15" t="str">
        <f aca="false">IF(AND($J544=1,$M544=0),IF(AF544&gt;0.0000001,1,0),"")</f>
        <v/>
      </c>
      <c r="AH544" s="15" t="n">
        <f aca="false">IF($J544=1,IF($M544=1,AB544,AG544),"")</f>
        <v>1</v>
      </c>
      <c r="AI544" s="13" t="n">
        <f aca="false">IF($J544=1,(Ideal_P-E544)/Span_P,"")</f>
        <v>0.361747096435677</v>
      </c>
      <c r="AJ544" s="13" t="n">
        <f aca="false">IF($J544=1,(Ideal_S-F544)/Span_S,"")</f>
        <v>0.225806451612903</v>
      </c>
      <c r="AK544" s="13" t="n">
        <f aca="false">IF($J544=1,(Ideal_B-G544)/Span_B,"")</f>
        <v>0.433333333333333</v>
      </c>
      <c r="AL544" s="12" t="n">
        <f aca="false">IF($J544=1,MAX(ChA_1*AI544,ChA_2*AJ544,ChA_3*AK544)+Rho*(ChA_1*AI544+ChA_2*AJ544+ChA_3*AK544),"")</f>
        <v>0.433435422021472</v>
      </c>
      <c r="AM544" s="12" t="n">
        <f aca="false">IF($J544=1,MAX(ChB_1*AI544,ChB_2*AJ544,ChB_3*AK544)+Rho*(ChB_1*AI544+ChB_2*AJ544+ChB_3*AK544),"")</f>
        <v>0.723632456269136</v>
      </c>
      <c r="AN544" s="12" t="n">
        <f aca="false">IF($J544=1,MAX(Cx_1*(Ref_P-E544)/Span_P,Cx_2*(Ref_S-F544)/Span_S,Cx_3*(Ref_B-G544)/Span_B),"")</f>
        <v>1.11764705882353</v>
      </c>
    </row>
    <row r="545" customFormat="false" ht="15" hidden="false" customHeight="false" outlineLevel="0" collapsed="false">
      <c r="A545" s="2" t="n">
        <v>539</v>
      </c>
      <c r="B545" s="15" t="n">
        <f aca="false">INT(A545/151)</f>
        <v>3</v>
      </c>
      <c r="C545" s="15" t="n">
        <f aca="false">MOD(A545,151)</f>
        <v>86</v>
      </c>
      <c r="D545" s="15" t="n">
        <f aca="false">INDEX(Grid!$J$6:$P$156,C545+1,B545+1)</f>
        <v>1</v>
      </c>
      <c r="E545" s="16" t="n">
        <f aca="false">IF(D545=1,INDEX(Grid!$B$6:$H$156,C545+1,B545+1),"")</f>
        <v>248.250633198631</v>
      </c>
      <c r="F545" s="13" t="n">
        <f aca="false">Val_pt*(Ceiling_e-E_zero)*(1-(1-Half_gap)^B545)</f>
        <v>122.5</v>
      </c>
      <c r="G545" s="15" t="n">
        <f aca="false">C545</f>
        <v>86</v>
      </c>
      <c r="H545" s="15" t="n">
        <f aca="false">IF(D545=1,INDEX(Grid!$R$6:$X$156,C545+1,B545+1),"")</f>
        <v>52</v>
      </c>
      <c r="I545" s="2" t="str">
        <f aca="false">IF(D545=1,INDEX(Sch_label,H545+1),"")</f>
        <v>1, 2, 4</v>
      </c>
      <c r="J545" s="15" t="n">
        <f aca="false">IF(D545=1,INDEX(Grid!$Z$6:$AF$156,C545+1,B545+1),0)</f>
        <v>1</v>
      </c>
      <c r="K545" s="16" t="n">
        <f aca="false">IF(J545=1,E545,0)</f>
        <v>248.250633198631</v>
      </c>
      <c r="L545" s="17" t="n">
        <f aca="false">IF(D545=1,E545+W_board*F545,"")</f>
        <v>939.731197514508</v>
      </c>
      <c r="M545" s="24" t="n">
        <v>0</v>
      </c>
      <c r="Q545" s="24" t="n">
        <v>3</v>
      </c>
      <c r="R545" s="24" t="n">
        <v>85</v>
      </c>
      <c r="S545" s="25" t="n">
        <v>0.871552817825672</v>
      </c>
      <c r="T545" s="24" t="n">
        <v>3</v>
      </c>
      <c r="U545" s="24" t="n">
        <v>100</v>
      </c>
      <c r="V545" s="25" t="n">
        <v>0.101472590896333</v>
      </c>
      <c r="W545" s="24" t="n">
        <v>4</v>
      </c>
      <c r="X545" s="24" t="n">
        <v>85</v>
      </c>
      <c r="Y545" s="25" t="n">
        <v>0.0269745912779982</v>
      </c>
      <c r="Z545" s="12" t="str">
        <f aca="false">IF(AND($J545=1,$M545=1),N545*E545/Span_P+O545*F545/Span_S+P545*G545/Span_B,"")</f>
        <v/>
      </c>
      <c r="AA545" s="12" t="str">
        <f aca="false">IF(AND($J545=1,$M545=1),SUMPRODUCT(MAX($J$6:$J$1062*(N545*$K$6:$K$1062/Span_P+O545*$F$6:$F$1062/Span_S+P545*$G$6:$G$1062/Span_B)-(1-$J$6:$J$1062)*1000000000)),"")</f>
        <v/>
      </c>
      <c r="AB545" s="15" t="str">
        <f aca="false">IF(AND($J545=1,$M545=1),IF(AA545-Z545&lt;=0.000000001,1,0),"")</f>
        <v/>
      </c>
      <c r="AC545" s="13" t="n">
        <f aca="false">IF(AND($J545=1,$M545=0),IF(S545="",0,S545*INDEX(Grid!$B$6:$H$156,R545+1,Q545+1))+IF(V545="",0,V545*INDEX(Grid!$B$6:$H$156,U545+1,T545+1))+IF(Y545="",0,Y545*INDEX(Grid!$B$6:$H$156,X545+1,W545+1)),"")</f>
        <v>249.511008195957</v>
      </c>
      <c r="AD545" s="13" t="n">
        <f aca="false">IF(AND($J545=1,$M545=0),IF(S545="",0,S545*Val_pt*(Ceiling_e-E_zero)*(1-(1-Half_gap)^Q545))+IF(V545="",0,V545*Val_pt*(Ceiling_e-E_zero)*(1-(1-Half_gap)^T545))+IF(Y545="",0,Y545*Val_pt*(Ceiling_e-E_zero)*(1-(1-Half_gap)^W545)),"")</f>
        <v>122.736027673683</v>
      </c>
      <c r="AE545" s="13" t="n">
        <f aca="false">IF(AND($J545=1,$M545=0),IF(S545="",0,S545*R545)+IF(V545="",0,V545*U545)+IF(Y545="",0,Y545*X545),"")</f>
        <v>86.5220888634453</v>
      </c>
      <c r="AF545" s="12" t="n">
        <f aca="false">IF(AND($J545=1,$M545=0),MIN((AC545-E545)/Span_P,(AD545-F545)/Span_S,(AE545-G545)/Span_B),"")</f>
        <v>0.00348059242296841</v>
      </c>
      <c r="AG545" s="15" t="n">
        <f aca="false">IF(AND($J545=1,$M545=0),IF(AF545&gt;0.0000001,1,0),"")</f>
        <v>1</v>
      </c>
      <c r="AH545" s="15" t="n">
        <f aca="false">IF($J545=1,IF($M545=1,AB545,AG545),"")</f>
        <v>1</v>
      </c>
      <c r="AI545" s="13" t="n">
        <f aca="false">IF($J545=1,(Ideal_P-E545)/Span_P,"")</f>
        <v>0.375357756115484</v>
      </c>
      <c r="AJ545" s="13" t="n">
        <f aca="false">IF($J545=1,(Ideal_S-F545)/Span_S,"")</f>
        <v>0.225806451612903</v>
      </c>
      <c r="AK545" s="13" t="n">
        <f aca="false">IF($J545=1,(Ideal_B-G545)/Span_B,"")</f>
        <v>0.426666666666667</v>
      </c>
      <c r="AL545" s="12" t="n">
        <f aca="false">IF($J545=1,MAX(ChA_1*AI545,ChA_2*AJ545,ChA_3*AK545)+Rho*(ChA_1*AI545+ChA_2*AJ545+ChA_3*AK545),"")</f>
        <v>0.426769449754106</v>
      </c>
      <c r="AM545" s="12" t="n">
        <f aca="false">IF($J545=1,MAX(ChB_1*AI545,ChB_2*AJ545,ChB_3*AK545)+Rho*(ChB_1*AI545+ChB_2*AJ545+ChB_3*AK545),"")</f>
        <v>0.750855831094018</v>
      </c>
      <c r="AN545" s="12" t="n">
        <f aca="false">IF($J545=1,MAX(Cx_1*(Ref_P-E545)/Span_P,Cx_2*(Ref_S-F545)/Span_S,Cx_3*(Ref_B-G545)/Span_B),"")</f>
        <v>1.10084033613445</v>
      </c>
    </row>
    <row r="546" customFormat="false" ht="15" hidden="false" customHeight="false" outlineLevel="0" collapsed="false">
      <c r="A546" s="2" t="n">
        <v>540</v>
      </c>
      <c r="B546" s="15" t="n">
        <f aca="false">INT(A546/151)</f>
        <v>3</v>
      </c>
      <c r="C546" s="15" t="n">
        <f aca="false">MOD(A546,151)</f>
        <v>87</v>
      </c>
      <c r="D546" s="15" t="n">
        <f aca="false">INDEX(Grid!$J$6:$P$156,C546+1,B546+1)</f>
        <v>1</v>
      </c>
      <c r="E546" s="16" t="n">
        <f aca="false">IF(D546=1,INDEX(Grid!$B$6:$H$156,C546+1,B546+1),"")</f>
        <v>247.34154228954</v>
      </c>
      <c r="F546" s="13" t="n">
        <f aca="false">Val_pt*(Ceiling_e-E_zero)*(1-(1-Half_gap)^B546)</f>
        <v>122.5</v>
      </c>
      <c r="G546" s="15" t="n">
        <f aca="false">C546</f>
        <v>87</v>
      </c>
      <c r="H546" s="15" t="n">
        <f aca="false">IF(D546=1,INDEX(Grid!$R$6:$X$156,C546+1,B546+1),"")</f>
        <v>52</v>
      </c>
      <c r="I546" s="2" t="str">
        <f aca="false">IF(D546=1,INDEX(Sch_label,H546+1),"")</f>
        <v>1, 2, 4</v>
      </c>
      <c r="J546" s="15" t="n">
        <f aca="false">IF(D546=1,INDEX(Grid!$Z$6:$AF$156,C546+1,B546+1),0)</f>
        <v>1</v>
      </c>
      <c r="K546" s="16" t="n">
        <f aca="false">IF(J546=1,E546,0)</f>
        <v>247.34154228954</v>
      </c>
      <c r="L546" s="17" t="n">
        <f aca="false">IF(D546=1,E546+W_board*F546,"")</f>
        <v>938.822106605417</v>
      </c>
      <c r="M546" s="24" t="n">
        <v>0</v>
      </c>
      <c r="Q546" s="24" t="n">
        <v>3</v>
      </c>
      <c r="R546" s="24" t="n">
        <v>85</v>
      </c>
      <c r="S546" s="25" t="n">
        <v>0.809299045123828</v>
      </c>
      <c r="T546" s="24" t="n">
        <v>3</v>
      </c>
      <c r="U546" s="24" t="n">
        <v>100</v>
      </c>
      <c r="V546" s="25" t="n">
        <v>0.165653120118033</v>
      </c>
      <c r="W546" s="24" t="n">
        <v>4</v>
      </c>
      <c r="X546" s="24" t="n">
        <v>85</v>
      </c>
      <c r="Y546" s="25" t="n">
        <v>0.0250478347581385</v>
      </c>
      <c r="Z546" s="12" t="str">
        <f aca="false">IF(AND($J546=1,$M546=1),N546*E546/Span_P+O546*F546/Span_S+P546*G546/Span_B,"")</f>
        <v/>
      </c>
      <c r="AA546" s="12" t="str">
        <f aca="false">IF(AND($J546=1,$M546=1),SUMPRODUCT(MAX($J$6:$J$1062*(N546*$K$6:$K$1062/Span_P+O546*$F$6:$F$1062/Span_S+P546*$G$6:$G$1062/Span_B)-(1-$J$6:$J$1062)*1000000000)),"")</f>
        <v/>
      </c>
      <c r="AB546" s="15" t="str">
        <f aca="false">IF(AND($J546=1,$M546=1),IF(AA546-Z546&lt;=0.000000001,1,0),"")</f>
        <v/>
      </c>
      <c r="AC546" s="13" t="n">
        <f aca="false">IF(AND($J546=1,$M546=0),IF(S546="",0,S546*INDEX(Grid!$B$6:$H$156,R546+1,Q546+1))+IF(V546="",0,V546*INDEX(Grid!$B$6:$H$156,U546+1,T546+1))+IF(Y546="",0,Y546*INDEX(Grid!$B$6:$H$156,X546+1,W546+1)),"")</f>
        <v>248.511890501342</v>
      </c>
      <c r="AD546" s="13" t="n">
        <f aca="false">IF(AND($J546=1,$M546=0),IF(S546="",0,S546*Val_pt*(Ceiling_e-E_zero)*(1-(1-Half_gap)^Q546))+IF(V546="",0,V546*Val_pt*(Ceiling_e-E_zero)*(1-(1-Half_gap)^T546))+IF(Y546="",0,Y546*Val_pt*(Ceiling_e-E_zero)*(1-(1-Half_gap)^W546)),"")</f>
        <v>122.719168554134</v>
      </c>
      <c r="AE546" s="13" t="n">
        <f aca="false">IF(AND($J546=1,$M546=0),IF(S546="",0,S546*R546)+IF(V546="",0,V546*U546)+IF(Y546="",0,Y546*X546),"")</f>
        <v>87.4847968017705</v>
      </c>
      <c r="AF546" s="12" t="n">
        <f aca="false">IF(AND($J546=1,$M546=0),MIN((AC546-E546)/Span_P,(AD546-F546)/Span_S,(AE546-G546)/Span_B),"")</f>
        <v>0.00323197867846913</v>
      </c>
      <c r="AG546" s="15" t="n">
        <f aca="false">IF(AND($J546=1,$M546=0),IF(AF546&gt;0.0000001,1,0),"")</f>
        <v>1</v>
      </c>
      <c r="AH546" s="15" t="n">
        <f aca="false">IF($J546=1,IF($M546=1,AB546,AG546),"")</f>
        <v>1</v>
      </c>
      <c r="AI546" s="13" t="n">
        <f aca="false">IF($J546=1,(Ideal_P-E546)/Span_P,"")</f>
        <v>0.377868258891789</v>
      </c>
      <c r="AJ546" s="13" t="n">
        <f aca="false">IF($J546=1,(Ideal_S-F546)/Span_S,"")</f>
        <v>0.225806451612903</v>
      </c>
      <c r="AK546" s="13" t="n">
        <f aca="false">IF($J546=1,(Ideal_B-G546)/Span_B,"")</f>
        <v>0.42</v>
      </c>
      <c r="AL546" s="12" t="n">
        <f aca="false">IF($J546=1,MAX(ChA_1*AI546,ChA_2*AJ546,ChA_3*AK546)+Rho*(ChA_1*AI546+ChA_2*AJ546+ChA_3*AK546),"")</f>
        <v>0.42010236747105</v>
      </c>
      <c r="AM546" s="12" t="n">
        <f aca="false">IF($J546=1,MAX(ChB_1*AI546,ChB_2*AJ546,ChB_3*AK546)+Rho*(ChB_1*AI546+ChB_2*AJ546+ChB_3*AK546),"")</f>
        <v>0.755876672080519</v>
      </c>
      <c r="AN546" s="12" t="n">
        <f aca="false">IF($J546=1,MAX(Cx_1*(Ref_P-E546)/Span_P,Cx_2*(Ref_S-F546)/Span_S,Cx_3*(Ref_B-G546)/Span_B),"")</f>
        <v>1.08403361344538</v>
      </c>
    </row>
    <row r="547" customFormat="false" ht="15" hidden="false" customHeight="false" outlineLevel="0" collapsed="false">
      <c r="A547" s="2" t="n">
        <v>541</v>
      </c>
      <c r="B547" s="15" t="n">
        <f aca="false">INT(A547/151)</f>
        <v>3</v>
      </c>
      <c r="C547" s="15" t="n">
        <f aca="false">MOD(A547,151)</f>
        <v>88</v>
      </c>
      <c r="D547" s="15" t="n">
        <f aca="false">INDEX(Grid!$J$6:$P$156,C547+1,B547+1)</f>
        <v>1</v>
      </c>
      <c r="E547" s="16" t="n">
        <f aca="false">IF(D547=1,INDEX(Grid!$B$6:$H$156,C547+1,B547+1),"")</f>
        <v>246.432451380449</v>
      </c>
      <c r="F547" s="13" t="n">
        <f aca="false">Val_pt*(Ceiling_e-E_zero)*(1-(1-Half_gap)^B547)</f>
        <v>122.5</v>
      </c>
      <c r="G547" s="15" t="n">
        <f aca="false">C547</f>
        <v>88</v>
      </c>
      <c r="H547" s="15" t="n">
        <f aca="false">IF(D547=1,INDEX(Grid!$R$6:$X$156,C547+1,B547+1),"")</f>
        <v>52</v>
      </c>
      <c r="I547" s="2" t="str">
        <f aca="false">IF(D547=1,INDEX(Sch_label,H547+1),"")</f>
        <v>1, 2, 4</v>
      </c>
      <c r="J547" s="15" t="n">
        <f aca="false">IF(D547=1,INDEX(Grid!$Z$6:$AF$156,C547+1,B547+1),0)</f>
        <v>1</v>
      </c>
      <c r="K547" s="16" t="n">
        <f aca="false">IF(J547=1,E547,0)</f>
        <v>246.432451380449</v>
      </c>
      <c r="L547" s="17" t="n">
        <f aca="false">IF(D547=1,E547+W_board*F547,"")</f>
        <v>937.913015696326</v>
      </c>
      <c r="M547" s="24" t="n">
        <v>0</v>
      </c>
      <c r="Q547" s="24" t="n">
        <v>3</v>
      </c>
      <c r="R547" s="24" t="n">
        <v>85</v>
      </c>
      <c r="S547" s="25" t="n">
        <v>0.770166350660292</v>
      </c>
      <c r="T547" s="24" t="n">
        <v>3</v>
      </c>
      <c r="U547" s="24" t="n">
        <v>100</v>
      </c>
      <c r="V547" s="25" t="n">
        <v>0.206712571101426</v>
      </c>
      <c r="W547" s="24" t="n">
        <v>4</v>
      </c>
      <c r="X547" s="24" t="n">
        <v>100</v>
      </c>
      <c r="Y547" s="25" t="n">
        <v>0.0231210782382854</v>
      </c>
      <c r="Z547" s="12" t="str">
        <f aca="false">IF(AND($J547=1,$M547=1),N547*E547/Span_P+O547*F547/Span_S+P547*G547/Span_B,"")</f>
        <v/>
      </c>
      <c r="AA547" s="12" t="str">
        <f aca="false">IF(AND($J547=1,$M547=1),SUMPRODUCT(MAX($J$6:$J$1062*(N547*$K$6:$K$1062/Span_P+O547*$F$6:$F$1062/Span_S+P547*$G$6:$G$1062/Span_B)-(1-$J$6:$J$1062)*1000000000)),"")</f>
        <v/>
      </c>
      <c r="AB547" s="15" t="str">
        <f aca="false">IF(AND($J547=1,$M547=1),IF(AA547-Z547&lt;=0.000000001,1,0),"")</f>
        <v/>
      </c>
      <c r="AC547" s="13" t="n">
        <f aca="false">IF(AND($J547=1,$M547=0),IF(S547="",0,S547*INDEX(Grid!$B$6:$H$156,R547+1,Q547+1))+IF(V547="",0,V547*INDEX(Grid!$B$6:$H$156,U547+1,T547+1))+IF(Y547="",0,Y547*INDEX(Grid!$B$6:$H$156,X547+1,W547+1)),"")</f>
        <v>247.512772806729</v>
      </c>
      <c r="AD547" s="13" t="n">
        <f aca="false">IF(AND($J547=1,$M547=0),IF(S547="",0,S547*Val_pt*(Ceiling_e-E_zero)*(1-(1-Half_gap)^Q547))+IF(V547="",0,V547*Val_pt*(Ceiling_e-E_zero)*(1-(1-Half_gap)^T547))+IF(Y547="",0,Y547*Val_pt*(Ceiling_e-E_zero)*(1-(1-Half_gap)^W547)),"")</f>
        <v>122.702309434585</v>
      </c>
      <c r="AE547" s="13" t="n">
        <f aca="false">IF(AND($J547=1,$M547=0),IF(S547="",0,S547*R547)+IF(V547="",0,V547*U547)+IF(Y547="",0,Y547*X547),"")</f>
        <v>88.447504740096</v>
      </c>
      <c r="AF547" s="12" t="n">
        <f aca="false">IF(AND($J547=1,$M547=0),MIN((AC547-E547)/Span_P,(AD547-F547)/Span_S,(AE547-G547)/Span_B),"")</f>
        <v>0.00298336493397339</v>
      </c>
      <c r="AG547" s="15" t="n">
        <f aca="false">IF(AND($J547=1,$M547=0),IF(AF547&gt;0.0000001,1,0),"")</f>
        <v>1</v>
      </c>
      <c r="AH547" s="15" t="n">
        <f aca="false">IF($J547=1,IF($M547=1,AB547,AG547),"")</f>
        <v>1</v>
      </c>
      <c r="AI547" s="13" t="n">
        <f aca="false">IF($J547=1,(Ideal_P-E547)/Span_P,"")</f>
        <v>0.380378761668095</v>
      </c>
      <c r="AJ547" s="13" t="n">
        <f aca="false">IF($J547=1,(Ideal_S-F547)/Span_S,"")</f>
        <v>0.225806451612903</v>
      </c>
      <c r="AK547" s="13" t="n">
        <f aca="false">IF($J547=1,(Ideal_B-G547)/Span_B,"")</f>
        <v>0.413333333333333</v>
      </c>
      <c r="AL547" s="12" t="n">
        <f aca="false">IF($J547=1,MAX(ChA_1*AI547,ChA_2*AJ547,ChA_3*AK547)+Rho*(ChA_1*AI547+ChA_2*AJ547+ChA_3*AK547),"")</f>
        <v>0.413435285187995</v>
      </c>
      <c r="AM547" s="12" t="n">
        <f aca="false">IF($J547=1,MAX(ChB_1*AI547,ChB_2*AJ547,ChB_3*AK547)+Rho*(ChB_1*AI547+ChB_2*AJ547+ChB_3*AK547),"")</f>
        <v>0.760897513067019</v>
      </c>
      <c r="AN547" s="12" t="n">
        <f aca="false">IF($J547=1,MAX(Cx_1*(Ref_P-E547)/Span_P,Cx_2*(Ref_S-F547)/Span_S,Cx_3*(Ref_B-G547)/Span_B),"")</f>
        <v>1.0672268907563</v>
      </c>
    </row>
    <row r="548" customFormat="false" ht="15" hidden="false" customHeight="false" outlineLevel="0" collapsed="false">
      <c r="A548" s="2" t="n">
        <v>542</v>
      </c>
      <c r="B548" s="15" t="n">
        <f aca="false">INT(A548/151)</f>
        <v>3</v>
      </c>
      <c r="C548" s="15" t="n">
        <f aca="false">MOD(A548,151)</f>
        <v>89</v>
      </c>
      <c r="D548" s="15" t="n">
        <f aca="false">INDEX(Grid!$J$6:$P$156,C548+1,B548+1)</f>
        <v>1</v>
      </c>
      <c r="E548" s="16" t="n">
        <f aca="false">IF(D548=1,INDEX(Grid!$B$6:$H$156,C548+1,B548+1),"")</f>
        <v>245.523360471358</v>
      </c>
      <c r="F548" s="13" t="n">
        <f aca="false">Val_pt*(Ceiling_e-E_zero)*(1-(1-Half_gap)^B548)</f>
        <v>122.5</v>
      </c>
      <c r="G548" s="15" t="n">
        <f aca="false">C548</f>
        <v>89</v>
      </c>
      <c r="H548" s="15" t="n">
        <f aca="false">IF(D548=1,INDEX(Grid!$R$6:$X$156,C548+1,B548+1),"")</f>
        <v>52</v>
      </c>
      <c r="I548" s="2" t="str">
        <f aca="false">IF(D548=1,INDEX(Sch_label,H548+1),"")</f>
        <v>1, 2, 4</v>
      </c>
      <c r="J548" s="15" t="n">
        <f aca="false">IF(D548=1,INDEX(Grid!$Z$6:$AF$156,C548+1,B548+1),0)</f>
        <v>1</v>
      </c>
      <c r="K548" s="16" t="n">
        <f aca="false">IF(J548=1,E548,0)</f>
        <v>245.523360471358</v>
      </c>
      <c r="L548" s="17" t="n">
        <f aca="false">IF(D548=1,E548+W_board*F548,"")</f>
        <v>937.003924787235</v>
      </c>
      <c r="M548" s="24" t="n">
        <v>0</v>
      </c>
      <c r="Q548" s="24" t="n">
        <v>3</v>
      </c>
      <c r="R548" s="24" t="n">
        <v>85</v>
      </c>
      <c r="S548" s="25" t="n">
        <v>0.70598582143859</v>
      </c>
      <c r="T548" s="24" t="n">
        <v>3</v>
      </c>
      <c r="U548" s="24" t="n">
        <v>100</v>
      </c>
      <c r="V548" s="25" t="n">
        <v>0.272819856842978</v>
      </c>
      <c r="W548" s="24" t="n">
        <v>4</v>
      </c>
      <c r="X548" s="24" t="n">
        <v>100</v>
      </c>
      <c r="Y548" s="25" t="n">
        <v>0.0211943217184297</v>
      </c>
      <c r="Z548" s="12" t="str">
        <f aca="false">IF(AND($J548=1,$M548=1),N548*E548/Span_P+O548*F548/Span_S+P548*G548/Span_B,"")</f>
        <v/>
      </c>
      <c r="AA548" s="12" t="str">
        <f aca="false">IF(AND($J548=1,$M548=1),SUMPRODUCT(MAX($J$6:$J$1062*(N548*$K$6:$K$1062/Span_P+O548*$F$6:$F$1062/Span_S+P548*$G$6:$G$1062/Span_B)-(1-$J$6:$J$1062)*1000000000)),"")</f>
        <v/>
      </c>
      <c r="AB548" s="15" t="str">
        <f aca="false">IF(AND($J548=1,$M548=1),IF(AA548-Z548&lt;=0.000000001,1,0),"")</f>
        <v/>
      </c>
      <c r="AC548" s="13" t="n">
        <f aca="false">IF(AND($J548=1,$M548=0),IF(S548="",0,S548*INDEX(Grid!$B$6:$H$156,R548+1,Q548+1))+IF(V548="",0,V548*INDEX(Grid!$B$6:$H$156,U548+1,T548+1))+IF(Y548="",0,Y548*INDEX(Grid!$B$6:$H$156,X548+1,W548+1)),"")</f>
        <v>246.513655112113</v>
      </c>
      <c r="AD548" s="13" t="n">
        <f aca="false">IF(AND($J548=1,$M548=0),IF(S548="",0,S548*Val_pt*(Ceiling_e-E_zero)*(1-(1-Half_gap)^Q548))+IF(V548="",0,V548*Val_pt*(Ceiling_e-E_zero)*(1-(1-Half_gap)^T548))+IF(Y548="",0,Y548*Val_pt*(Ceiling_e-E_zero)*(1-(1-Half_gap)^W548)),"")</f>
        <v>122.685450315036</v>
      </c>
      <c r="AE548" s="13" t="n">
        <f aca="false">IF(AND($J548=1,$M548=0),IF(S548="",0,S548*R548)+IF(V548="",0,V548*U548)+IF(Y548="",0,Y548*X548),"")</f>
        <v>89.4102126784209</v>
      </c>
      <c r="AF548" s="12" t="n">
        <f aca="false">IF(AND($J548=1,$M548=0),MIN((AC548-E548)/Span_P,(AD548-F548)/Span_S,(AE548-G548)/Span_B),"")</f>
        <v>0.00273475118947066</v>
      </c>
      <c r="AG548" s="15" t="n">
        <f aca="false">IF(AND($J548=1,$M548=0),IF(AF548&gt;0.0000001,1,0),"")</f>
        <v>1</v>
      </c>
      <c r="AH548" s="15" t="n">
        <f aca="false">IF($J548=1,IF($M548=1,AB548,AG548),"")</f>
        <v>1</v>
      </c>
      <c r="AI548" s="13" t="n">
        <f aca="false">IF($J548=1,(Ideal_P-E548)/Span_P,"")</f>
        <v>0.382889264444401</v>
      </c>
      <c r="AJ548" s="13" t="n">
        <f aca="false">IF($J548=1,(Ideal_S-F548)/Span_S,"")</f>
        <v>0.225806451612903</v>
      </c>
      <c r="AK548" s="13" t="n">
        <f aca="false">IF($J548=1,(Ideal_B-G548)/Span_B,"")</f>
        <v>0.406666666666667</v>
      </c>
      <c r="AL548" s="12" t="n">
        <f aca="false">IF($J548=1,MAX(ChA_1*AI548,ChA_2*AJ548,ChA_3*AK548)+Rho*(ChA_1*AI548+ChA_2*AJ548+ChA_3*AK548),"")</f>
        <v>0.406768202904939</v>
      </c>
      <c r="AM548" s="12" t="n">
        <f aca="false">IF($J548=1,MAX(ChB_1*AI548,ChB_2*AJ548,ChB_3*AK548)+Rho*(ChB_1*AI548+ChB_2*AJ548+ChB_3*AK548),"")</f>
        <v>0.765918354053519</v>
      </c>
      <c r="AN548" s="12" t="n">
        <f aca="false">IF($J548=1,MAX(Cx_1*(Ref_P-E548)/Span_P,Cx_2*(Ref_S-F548)/Span_S,Cx_3*(Ref_B-G548)/Span_B),"")</f>
        <v>1.05042016806723</v>
      </c>
    </row>
    <row r="549" customFormat="false" ht="15" hidden="false" customHeight="false" outlineLevel="0" collapsed="false">
      <c r="A549" s="2" t="n">
        <v>543</v>
      </c>
      <c r="B549" s="15" t="n">
        <f aca="false">INT(A549/151)</f>
        <v>3</v>
      </c>
      <c r="C549" s="15" t="n">
        <f aca="false">MOD(A549,151)</f>
        <v>90</v>
      </c>
      <c r="D549" s="15" t="n">
        <f aca="false">INDEX(Grid!$J$6:$P$156,C549+1,B549+1)</f>
        <v>1</v>
      </c>
      <c r="E549" s="16" t="n">
        <f aca="false">IF(D549=1,INDEX(Grid!$B$6:$H$156,C549+1,B549+1),"")</f>
        <v>244.614269562267</v>
      </c>
      <c r="F549" s="13" t="n">
        <f aca="false">Val_pt*(Ceiling_e-E_zero)*(1-(1-Half_gap)^B549)</f>
        <v>122.5</v>
      </c>
      <c r="G549" s="15" t="n">
        <f aca="false">C549</f>
        <v>90</v>
      </c>
      <c r="H549" s="15" t="n">
        <f aca="false">IF(D549=1,INDEX(Grid!$R$6:$X$156,C549+1,B549+1),"")</f>
        <v>52</v>
      </c>
      <c r="I549" s="2" t="str">
        <f aca="false">IF(D549=1,INDEX(Sch_label,H549+1),"")</f>
        <v>1, 2, 4</v>
      </c>
      <c r="J549" s="15" t="n">
        <f aca="false">IF(D549=1,INDEX(Grid!$Z$6:$AF$156,C549+1,B549+1),0)</f>
        <v>1</v>
      </c>
      <c r="K549" s="16" t="n">
        <f aca="false">IF(J549=1,E549,0)</f>
        <v>244.614269562267</v>
      </c>
      <c r="L549" s="17" t="n">
        <f aca="false">IF(D549=1,E549+W_board*F549,"")</f>
        <v>936.094833878145</v>
      </c>
      <c r="M549" s="24" t="n">
        <v>0</v>
      </c>
      <c r="Q549" s="24" t="n">
        <v>3</v>
      </c>
      <c r="R549" s="24" t="n">
        <v>85</v>
      </c>
      <c r="S549" s="25" t="n">
        <v>0.622537727018335</v>
      </c>
      <c r="T549" s="24" t="n">
        <v>3</v>
      </c>
      <c r="U549" s="24" t="n">
        <v>100</v>
      </c>
      <c r="V549" s="25" t="n">
        <v>0.358194707783097</v>
      </c>
      <c r="W549" s="24" t="n">
        <v>4</v>
      </c>
      <c r="X549" s="24" t="n">
        <v>85</v>
      </c>
      <c r="Y549" s="25" t="n">
        <v>0.0192675651985691</v>
      </c>
      <c r="Z549" s="12" t="str">
        <f aca="false">IF(AND($J549=1,$M549=1),N549*E549/Span_P+O549*F549/Span_S+P549*G549/Span_B,"")</f>
        <v/>
      </c>
      <c r="AA549" s="12" t="str">
        <f aca="false">IF(AND($J549=1,$M549=1),SUMPRODUCT(MAX($J$6:$J$1062*(N549*$K$6:$K$1062/Span_P+O549*$F$6:$F$1062/Span_S+P549*$G$6:$G$1062/Span_B)-(1-$J$6:$J$1062)*1000000000)),"")</f>
        <v/>
      </c>
      <c r="AB549" s="15" t="str">
        <f aca="false">IF(AND($J549=1,$M549=1),IF(AA549-Z549&lt;=0.000000001,1,0),"")</f>
        <v/>
      </c>
      <c r="AC549" s="13" t="n">
        <f aca="false">IF(AND($J549=1,$M549=0),IF(S549="",0,S549*INDEX(Grid!$B$6:$H$156,R549+1,Q549+1))+IF(V549="",0,V549*INDEX(Grid!$B$6:$H$156,U549+1,T549+1))+IF(Y549="",0,Y549*INDEX(Grid!$B$6:$H$156,X549+1,W549+1)),"")</f>
        <v>245.5145374175</v>
      </c>
      <c r="AD549" s="13" t="n">
        <f aca="false">IF(AND($J549=1,$M549=0),IF(S549="",0,S549*Val_pt*(Ceiling_e-E_zero)*(1-(1-Half_gap)^Q549))+IF(V549="",0,V549*Val_pt*(Ceiling_e-E_zero)*(1-(1-Half_gap)^T549))+IF(Y549="",0,Y549*Val_pt*(Ceiling_e-E_zero)*(1-(1-Half_gap)^W549)),"")</f>
        <v>122.668591195488</v>
      </c>
      <c r="AE549" s="13" t="n">
        <f aca="false">IF(AND($J549=1,$M549=0),IF(S549="",0,S549*R549)+IF(V549="",0,V549*U549)+IF(Y549="",0,Y549*X549),"")</f>
        <v>90.3729206167466</v>
      </c>
      <c r="AF549" s="12" t="n">
        <f aca="false">IF(AND($J549=1,$M549=0),MIN((AC549-E549)/Span_P,(AD549-F549)/Span_S,(AE549-G549)/Span_B),"")</f>
        <v>0.00248613744497741</v>
      </c>
      <c r="AG549" s="15" t="n">
        <f aca="false">IF(AND($J549=1,$M549=0),IF(AF549&gt;0.0000001,1,0),"")</f>
        <v>1</v>
      </c>
      <c r="AH549" s="15" t="n">
        <f aca="false">IF($J549=1,IF($M549=1,AB549,AG549),"")</f>
        <v>1</v>
      </c>
      <c r="AI549" s="13" t="n">
        <f aca="false">IF($J549=1,(Ideal_P-E549)/Span_P,"")</f>
        <v>0.385399767220707</v>
      </c>
      <c r="AJ549" s="13" t="n">
        <f aca="false">IF($J549=1,(Ideal_S-F549)/Span_S,"")</f>
        <v>0.225806451612903</v>
      </c>
      <c r="AK549" s="13" t="n">
        <f aca="false">IF($J549=1,(Ideal_B-G549)/Span_B,"")</f>
        <v>0.4</v>
      </c>
      <c r="AL549" s="12" t="n">
        <f aca="false">IF($J549=1,MAX(ChA_1*AI549,ChA_2*AJ549,ChA_3*AK549)+Rho*(ChA_1*AI549+ChA_2*AJ549+ChA_3*AK549),"")</f>
        <v>0.400101120621883</v>
      </c>
      <c r="AM549" s="12" t="n">
        <f aca="false">IF($J549=1,MAX(ChB_1*AI549,ChB_2*AJ549,ChB_3*AK549)+Rho*(ChB_1*AI549+ChB_2*AJ549+ChB_3*AK549),"")</f>
        <v>0.770939195040019</v>
      </c>
      <c r="AN549" s="12" t="n">
        <f aca="false">IF($J549=1,MAX(Cx_1*(Ref_P-E549)/Span_P,Cx_2*(Ref_S-F549)/Span_S,Cx_3*(Ref_B-G549)/Span_B),"")</f>
        <v>1.03361344537815</v>
      </c>
    </row>
    <row r="550" customFormat="false" ht="15" hidden="false" customHeight="false" outlineLevel="0" collapsed="false">
      <c r="A550" s="2" t="n">
        <v>544</v>
      </c>
      <c r="B550" s="15" t="n">
        <f aca="false">INT(A550/151)</f>
        <v>3</v>
      </c>
      <c r="C550" s="15" t="n">
        <f aca="false">MOD(A550,151)</f>
        <v>91</v>
      </c>
      <c r="D550" s="15" t="n">
        <f aca="false">INDEX(Grid!$J$6:$P$156,C550+1,B550+1)</f>
        <v>1</v>
      </c>
      <c r="E550" s="16" t="n">
        <f aca="false">IF(D550=1,INDEX(Grid!$B$6:$H$156,C550+1,B550+1),"")</f>
        <v>243.705178653177</v>
      </c>
      <c r="F550" s="13" t="n">
        <f aca="false">Val_pt*(Ceiling_e-E_zero)*(1-(1-Half_gap)^B550)</f>
        <v>122.5</v>
      </c>
      <c r="G550" s="15" t="n">
        <f aca="false">C550</f>
        <v>91</v>
      </c>
      <c r="H550" s="15" t="n">
        <f aca="false">IF(D550=1,INDEX(Grid!$R$6:$X$156,C550+1,B550+1),"")</f>
        <v>52</v>
      </c>
      <c r="I550" s="2" t="str">
        <f aca="false">IF(D550=1,INDEX(Sch_label,H550+1),"")</f>
        <v>1, 2, 4</v>
      </c>
      <c r="J550" s="15" t="n">
        <f aca="false">IF(D550=1,INDEX(Grid!$Z$6:$AF$156,C550+1,B550+1),0)</f>
        <v>1</v>
      </c>
      <c r="K550" s="16" t="n">
        <f aca="false">IF(J550=1,E550,0)</f>
        <v>243.705178653177</v>
      </c>
      <c r="L550" s="17" t="n">
        <f aca="false">IF(D550=1,E550+W_board*F550,"")</f>
        <v>935.185742969054</v>
      </c>
      <c r="M550" s="24" t="n">
        <v>0</v>
      </c>
      <c r="Q550" s="24" t="n">
        <v>3</v>
      </c>
      <c r="R550" s="24" t="n">
        <v>85</v>
      </c>
      <c r="S550" s="25" t="n">
        <v>0.560283954316506</v>
      </c>
      <c r="T550" s="24" t="n">
        <v>3</v>
      </c>
      <c r="U550" s="24" t="n">
        <v>100</v>
      </c>
      <c r="V550" s="25" t="n">
        <v>0.422375237004784</v>
      </c>
      <c r="W550" s="24" t="n">
        <v>4</v>
      </c>
      <c r="X550" s="24" t="n">
        <v>85</v>
      </c>
      <c r="Y550" s="25" t="n">
        <v>0.0173408086787135</v>
      </c>
      <c r="Z550" s="12" t="str">
        <f aca="false">IF(AND($J550=1,$M550=1),N550*E550/Span_P+O550*F550/Span_S+P550*G550/Span_B,"")</f>
        <v/>
      </c>
      <c r="AA550" s="12" t="str">
        <f aca="false">IF(AND($J550=1,$M550=1),SUMPRODUCT(MAX($J$6:$J$1062*(N550*$K$6:$K$1062/Span_P+O550*$F$6:$F$1062/Span_S+P550*$G$6:$G$1062/Span_B)-(1-$J$6:$J$1062)*1000000000)),"")</f>
        <v/>
      </c>
      <c r="AB550" s="15" t="str">
        <f aca="false">IF(AND($J550=1,$M550=1),IF(AA550-Z550&lt;=0.000000001,1,0),"")</f>
        <v/>
      </c>
      <c r="AC550" s="13" t="n">
        <f aca="false">IF(AND($J550=1,$M550=0),IF(S550="",0,S550*INDEX(Grid!$B$6:$H$156,R550+1,Q550+1))+IF(V550="",0,V550*INDEX(Grid!$B$6:$H$156,U550+1,T550+1))+IF(Y550="",0,Y550*INDEX(Grid!$B$6:$H$156,X550+1,W550+1)),"")</f>
        <v>244.515419722886</v>
      </c>
      <c r="AD550" s="13" t="n">
        <f aca="false">IF(AND($J550=1,$M550=0),IF(S550="",0,S550*Val_pt*(Ceiling_e-E_zero)*(1-(1-Half_gap)^Q550))+IF(V550="",0,V550*Val_pt*(Ceiling_e-E_zero)*(1-(1-Half_gap)^T550))+IF(Y550="",0,Y550*Val_pt*(Ceiling_e-E_zero)*(1-(1-Half_gap)^W550)),"")</f>
        <v>122.651732075939</v>
      </c>
      <c r="AE550" s="13" t="n">
        <f aca="false">IF(AND($J550=1,$M550=0),IF(S550="",0,S550*R550)+IF(V550="",0,V550*U550)+IF(Y550="",0,Y550*X550),"")</f>
        <v>91.3356285550721</v>
      </c>
      <c r="AF550" s="12" t="n">
        <f aca="false">IF(AND($J550=1,$M550=0),MIN((AC550-E550)/Span_P,(AD550-F550)/Span_S,(AE550-G550)/Span_B),"")</f>
        <v>0.00223752370048051</v>
      </c>
      <c r="AG550" s="15" t="n">
        <f aca="false">IF(AND($J550=1,$M550=0),IF(AF550&gt;0.0000001,1,0),"")</f>
        <v>1</v>
      </c>
      <c r="AH550" s="15" t="n">
        <f aca="false">IF($J550=1,IF($M550=1,AB550,AG550),"")</f>
        <v>1</v>
      </c>
      <c r="AI550" s="13" t="n">
        <f aca="false">IF($J550=1,(Ideal_P-E550)/Span_P,"")</f>
        <v>0.387910269997012</v>
      </c>
      <c r="AJ550" s="13" t="n">
        <f aca="false">IF($J550=1,(Ideal_S-F550)/Span_S,"")</f>
        <v>0.225806451612903</v>
      </c>
      <c r="AK550" s="13" t="n">
        <f aca="false">IF($J550=1,(Ideal_B-G550)/Span_B,"")</f>
        <v>0.393333333333333</v>
      </c>
      <c r="AL550" s="12" t="n">
        <f aca="false">IF($J550=1,MAX(ChA_1*AI550,ChA_2*AJ550,ChA_3*AK550)+Rho*(ChA_1*AI550+ChA_2*AJ550+ChA_3*AK550),"")</f>
        <v>0.393434038338828</v>
      </c>
      <c r="AM550" s="12" t="n">
        <f aca="false">IF($J550=1,MAX(ChB_1*AI550,ChB_2*AJ550,ChB_3*AK550)+Rho*(ChB_1*AI550+ChB_2*AJ550+ChB_3*AK550),"")</f>
        <v>0.775960036026519</v>
      </c>
      <c r="AN550" s="12" t="n">
        <f aca="false">IF($J550=1,MAX(Cx_1*(Ref_P-E550)/Span_P,Cx_2*(Ref_S-F550)/Span_S,Cx_3*(Ref_B-G550)/Span_B),"")</f>
        <v>1.01680672268908</v>
      </c>
    </row>
    <row r="551" customFormat="false" ht="15" hidden="false" customHeight="false" outlineLevel="0" collapsed="false">
      <c r="A551" s="2" t="n">
        <v>545</v>
      </c>
      <c r="B551" s="15" t="n">
        <f aca="false">INT(A551/151)</f>
        <v>3</v>
      </c>
      <c r="C551" s="15" t="n">
        <f aca="false">MOD(A551,151)</f>
        <v>92</v>
      </c>
      <c r="D551" s="15" t="n">
        <f aca="false">INDEX(Grid!$J$6:$P$156,C551+1,B551+1)</f>
        <v>1</v>
      </c>
      <c r="E551" s="16" t="n">
        <f aca="false">IF(D551=1,INDEX(Grid!$B$6:$H$156,C551+1,B551+1),"")</f>
        <v>242.796087744086</v>
      </c>
      <c r="F551" s="13" t="n">
        <f aca="false">Val_pt*(Ceiling_e-E_zero)*(1-(1-Half_gap)^B551)</f>
        <v>122.5</v>
      </c>
      <c r="G551" s="15" t="n">
        <f aca="false">C551</f>
        <v>92</v>
      </c>
      <c r="H551" s="15" t="n">
        <f aca="false">IF(D551=1,INDEX(Grid!$R$6:$X$156,C551+1,B551+1),"")</f>
        <v>52</v>
      </c>
      <c r="I551" s="2" t="str">
        <f aca="false">IF(D551=1,INDEX(Sch_label,H551+1),"")</f>
        <v>1, 2, 4</v>
      </c>
      <c r="J551" s="15" t="n">
        <f aca="false">IF(D551=1,INDEX(Grid!$Z$6:$AF$156,C551+1,B551+1),0)</f>
        <v>1</v>
      </c>
      <c r="K551" s="16" t="n">
        <f aca="false">IF(J551=1,E551,0)</f>
        <v>242.796087744086</v>
      </c>
      <c r="L551" s="17" t="n">
        <f aca="false">IF(D551=1,E551+W_board*F551,"")</f>
        <v>934.276652059963</v>
      </c>
      <c r="M551" s="24" t="n">
        <v>0</v>
      </c>
      <c r="Q551" s="24" t="n">
        <v>3</v>
      </c>
      <c r="R551" s="24" t="n">
        <v>85</v>
      </c>
      <c r="S551" s="25" t="n">
        <v>0.498030181614662</v>
      </c>
      <c r="T551" s="24" t="n">
        <v>3</v>
      </c>
      <c r="U551" s="24" t="n">
        <v>100</v>
      </c>
      <c r="V551" s="25" t="n">
        <v>0.486555766226485</v>
      </c>
      <c r="W551" s="24" t="n">
        <v>4</v>
      </c>
      <c r="X551" s="24" t="n">
        <v>85</v>
      </c>
      <c r="Y551" s="25" t="n">
        <v>0.0154140521588549</v>
      </c>
      <c r="Z551" s="12" t="str">
        <f aca="false">IF(AND($J551=1,$M551=1),N551*E551/Span_P+O551*F551/Span_S+P551*G551/Span_B,"")</f>
        <v/>
      </c>
      <c r="AA551" s="12" t="str">
        <f aca="false">IF(AND($J551=1,$M551=1),SUMPRODUCT(MAX($J$6:$J$1062*(N551*$K$6:$K$1062/Span_P+O551*$F$6:$F$1062/Span_S+P551*$G$6:$G$1062/Span_B)-(1-$J$6:$J$1062)*1000000000)),"")</f>
        <v/>
      </c>
      <c r="AB551" s="15" t="str">
        <f aca="false">IF(AND($J551=1,$M551=1),IF(AA551-Z551&lt;=0.000000001,1,0),"")</f>
        <v/>
      </c>
      <c r="AC551" s="13" t="n">
        <f aca="false">IF(AND($J551=1,$M551=0),IF(S551="",0,S551*INDEX(Grid!$B$6:$H$156,R551+1,Q551+1))+IF(V551="",0,V551*INDEX(Grid!$B$6:$H$156,U551+1,T551+1))+IF(Y551="",0,Y551*INDEX(Grid!$B$6:$H$156,X551+1,W551+1)),"")</f>
        <v>243.516302028272</v>
      </c>
      <c r="AD551" s="13" t="n">
        <f aca="false">IF(AND($J551=1,$M551=0),IF(S551="",0,S551*Val_pt*(Ceiling_e-E_zero)*(1-(1-Half_gap)^Q551))+IF(V551="",0,V551*Val_pt*(Ceiling_e-E_zero)*(1-(1-Half_gap)^T551))+IF(Y551="",0,Y551*Val_pt*(Ceiling_e-E_zero)*(1-(1-Half_gap)^W551)),"")</f>
        <v>122.63487295639</v>
      </c>
      <c r="AE551" s="13" t="n">
        <f aca="false">IF(AND($J551=1,$M551=0),IF(S551="",0,S551*R551)+IF(V551="",0,V551*U551)+IF(Y551="",0,Y551*X551),"")</f>
        <v>92.2983364933974</v>
      </c>
      <c r="AF551" s="12" t="n">
        <f aca="false">IF(AND($J551=1,$M551=0),MIN((AC551-E551)/Span_P,(AD551-F551)/Span_S,(AE551-G551)/Span_B),"")</f>
        <v>0.00198890995598243</v>
      </c>
      <c r="AG551" s="15" t="n">
        <f aca="false">IF(AND($J551=1,$M551=0),IF(AF551&gt;0.0000001,1,0),"")</f>
        <v>1</v>
      </c>
      <c r="AH551" s="15" t="n">
        <f aca="false">IF($J551=1,IF($M551=1,AB551,AG551),"")</f>
        <v>1</v>
      </c>
      <c r="AI551" s="13" t="n">
        <f aca="false">IF($J551=1,(Ideal_P-E551)/Span_P,"")</f>
        <v>0.390420772773318</v>
      </c>
      <c r="AJ551" s="13" t="n">
        <f aca="false">IF($J551=1,(Ideal_S-F551)/Span_S,"")</f>
        <v>0.225806451612903</v>
      </c>
      <c r="AK551" s="13" t="n">
        <f aca="false">IF($J551=1,(Ideal_B-G551)/Span_B,"")</f>
        <v>0.386666666666667</v>
      </c>
      <c r="AL551" s="12" t="n">
        <f aca="false">IF($J551=1,MAX(ChA_1*AI551,ChA_2*AJ551,ChA_3*AK551)+Rho*(ChA_1*AI551+ChA_2*AJ551+ChA_3*AK551),"")</f>
        <v>0.390521062162424</v>
      </c>
      <c r="AM551" s="12" t="n">
        <f aca="false">IF($J551=1,MAX(ChB_1*AI551,ChB_2*AJ551,ChB_3*AK551)+Rho*(ChB_1*AI551+ChB_2*AJ551+ChB_3*AK551),"")</f>
        <v>0.780980877013019</v>
      </c>
      <c r="AN551" s="12" t="n">
        <f aca="false">IF($J551=1,MAX(Cx_1*(Ref_P-E551)/Span_P,Cx_2*(Ref_S-F551)/Span_S,Cx_3*(Ref_B-G551)/Span_B),"")</f>
        <v>1</v>
      </c>
    </row>
    <row r="552" customFormat="false" ht="15" hidden="false" customHeight="false" outlineLevel="0" collapsed="false">
      <c r="A552" s="2" t="n">
        <v>546</v>
      </c>
      <c r="B552" s="15" t="n">
        <f aca="false">INT(A552/151)</f>
        <v>3</v>
      </c>
      <c r="C552" s="15" t="n">
        <f aca="false">MOD(A552,151)</f>
        <v>93</v>
      </c>
      <c r="D552" s="15" t="n">
        <f aca="false">INDEX(Grid!$J$6:$P$156,C552+1,B552+1)</f>
        <v>1</v>
      </c>
      <c r="E552" s="16" t="n">
        <f aca="false">IF(D552=1,INDEX(Grid!$B$6:$H$156,C552+1,B552+1),"")</f>
        <v>241.886996834995</v>
      </c>
      <c r="F552" s="13" t="n">
        <f aca="false">Val_pt*(Ceiling_e-E_zero)*(1-(1-Half_gap)^B552)</f>
        <v>122.5</v>
      </c>
      <c r="G552" s="15" t="n">
        <f aca="false">C552</f>
        <v>93</v>
      </c>
      <c r="H552" s="15" t="n">
        <f aca="false">IF(D552=1,INDEX(Grid!$R$6:$X$156,C552+1,B552+1),"")</f>
        <v>52</v>
      </c>
      <c r="I552" s="2" t="str">
        <f aca="false">IF(D552=1,INDEX(Sch_label,H552+1),"")</f>
        <v>1, 2, 4</v>
      </c>
      <c r="J552" s="15" t="n">
        <f aca="false">IF(D552=1,INDEX(Grid!$Z$6:$AF$156,C552+1,B552+1),0)</f>
        <v>1</v>
      </c>
      <c r="K552" s="16" t="n">
        <f aca="false">IF(J552=1,E552,0)</f>
        <v>241.886996834995</v>
      </c>
      <c r="L552" s="17" t="n">
        <f aca="false">IF(D552=1,E552+W_board*F552,"")</f>
        <v>933.367561150872</v>
      </c>
      <c r="M552" s="24" t="n">
        <v>0</v>
      </c>
      <c r="Q552" s="24" t="n">
        <v>3</v>
      </c>
      <c r="R552" s="24" t="n">
        <v>85</v>
      </c>
      <c r="S552" s="25" t="n">
        <v>0.435776408912834</v>
      </c>
      <c r="T552" s="24" t="n">
        <v>3</v>
      </c>
      <c r="U552" s="24" t="n">
        <v>100</v>
      </c>
      <c r="V552" s="25" t="n">
        <v>0.550736295448166</v>
      </c>
      <c r="W552" s="24" t="n">
        <v>4</v>
      </c>
      <c r="X552" s="24" t="n">
        <v>85</v>
      </c>
      <c r="Y552" s="25" t="n">
        <v>0.0134872956389988</v>
      </c>
      <c r="Z552" s="12" t="str">
        <f aca="false">IF(AND($J552=1,$M552=1),N552*E552/Span_P+O552*F552/Span_S+P552*G552/Span_B,"")</f>
        <v/>
      </c>
      <c r="AA552" s="12" t="str">
        <f aca="false">IF(AND($J552=1,$M552=1),SUMPRODUCT(MAX($J$6:$J$1062*(N552*$K$6:$K$1062/Span_P+O552*$F$6:$F$1062/Span_S+P552*$G$6:$G$1062/Span_B)-(1-$J$6:$J$1062)*1000000000)),"")</f>
        <v/>
      </c>
      <c r="AB552" s="15" t="str">
        <f aca="false">IF(AND($J552=1,$M552=1),IF(AA552-Z552&lt;=0.000000001,1,0),"")</f>
        <v/>
      </c>
      <c r="AC552" s="13" t="n">
        <f aca="false">IF(AND($J552=1,$M552=0),IF(S552="",0,S552*INDEX(Grid!$B$6:$H$156,R552+1,Q552+1))+IF(V552="",0,V552*INDEX(Grid!$B$6:$H$156,U552+1,T552+1))+IF(Y552="",0,Y552*INDEX(Grid!$B$6:$H$156,X552+1,W552+1)),"")</f>
        <v>242.517184333657</v>
      </c>
      <c r="AD552" s="13" t="n">
        <f aca="false">IF(AND($J552=1,$M552=0),IF(S552="",0,S552*Val_pt*(Ceiling_e-E_zero)*(1-(1-Half_gap)^Q552))+IF(V552="",0,V552*Val_pt*(Ceiling_e-E_zero)*(1-(1-Half_gap)^T552))+IF(Y552="",0,Y552*Val_pt*(Ceiling_e-E_zero)*(1-(1-Half_gap)^W552)),"")</f>
        <v>122.618013836841</v>
      </c>
      <c r="AE552" s="13" t="n">
        <f aca="false">IF(AND($J552=1,$M552=0),IF(S552="",0,S552*R552)+IF(V552="",0,V552*U552)+IF(Y552="",0,Y552*X552),"")</f>
        <v>93.2610444317224</v>
      </c>
      <c r="AF552" s="12" t="n">
        <f aca="false">IF(AND($J552=1,$M552=0),MIN((AC552-E552)/Span_P,(AD552-F552)/Span_S,(AE552-G552)/Span_B),"")</f>
        <v>0.0017402962114823</v>
      </c>
      <c r="AG552" s="15" t="n">
        <f aca="false">IF(AND($J552=1,$M552=0),IF(AF552&gt;0.0000001,1,0),"")</f>
        <v>1</v>
      </c>
      <c r="AH552" s="15" t="n">
        <f aca="false">IF($J552=1,IF($M552=1,AB552,AG552),"")</f>
        <v>1</v>
      </c>
      <c r="AI552" s="13" t="n">
        <f aca="false">IF($J552=1,(Ideal_P-E552)/Span_P,"")</f>
        <v>0.392931275549624</v>
      </c>
      <c r="AJ552" s="13" t="n">
        <f aca="false">IF($J552=1,(Ideal_S-F552)/Span_S,"")</f>
        <v>0.225806451612903</v>
      </c>
      <c r="AK552" s="13" t="n">
        <f aca="false">IF($J552=1,(Ideal_B-G552)/Span_B,"")</f>
        <v>0.38</v>
      </c>
      <c r="AL552" s="12" t="n">
        <f aca="false">IF($J552=1,MAX(ChA_1*AI552,ChA_2*AJ552,ChA_3*AK552)+Rho*(ChA_1*AI552+ChA_2*AJ552+ChA_3*AK552),"")</f>
        <v>0.39303114932234</v>
      </c>
      <c r="AM552" s="12" t="n">
        <f aca="false">IF($J552=1,MAX(ChB_1*AI552,ChB_2*AJ552,ChB_3*AK552)+Rho*(ChB_1*AI552+ChB_2*AJ552+ChB_3*AK552),"")</f>
        <v>0.786001717999519</v>
      </c>
      <c r="AN552" s="12" t="n">
        <f aca="false">IF($J552=1,MAX(Cx_1*(Ref_P-E552)/Span_P,Cx_2*(Ref_S-F552)/Span_S,Cx_3*(Ref_B-G552)/Span_B),"")</f>
        <v>1.00626966168343</v>
      </c>
    </row>
    <row r="553" customFormat="false" ht="15" hidden="false" customHeight="false" outlineLevel="0" collapsed="false">
      <c r="A553" s="2" t="n">
        <v>547</v>
      </c>
      <c r="B553" s="15" t="n">
        <f aca="false">INT(A553/151)</f>
        <v>3</v>
      </c>
      <c r="C553" s="15" t="n">
        <f aca="false">MOD(A553,151)</f>
        <v>94</v>
      </c>
      <c r="D553" s="15" t="n">
        <f aca="false">INDEX(Grid!$J$6:$P$156,C553+1,B553+1)</f>
        <v>1</v>
      </c>
      <c r="E553" s="16" t="n">
        <f aca="false">IF(D553=1,INDEX(Grid!$B$6:$H$156,C553+1,B553+1),"")</f>
        <v>240.977905925904</v>
      </c>
      <c r="F553" s="13" t="n">
        <f aca="false">Val_pt*(Ceiling_e-E_zero)*(1-(1-Half_gap)^B553)</f>
        <v>122.5</v>
      </c>
      <c r="G553" s="15" t="n">
        <f aca="false">C553</f>
        <v>94</v>
      </c>
      <c r="H553" s="15" t="n">
        <f aca="false">IF(D553=1,INDEX(Grid!$R$6:$X$156,C553+1,B553+1),"")</f>
        <v>52</v>
      </c>
      <c r="I553" s="2" t="str">
        <f aca="false">IF(D553=1,INDEX(Sch_label,H553+1),"")</f>
        <v>1, 2, 4</v>
      </c>
      <c r="J553" s="15" t="n">
        <f aca="false">IF(D553=1,INDEX(Grid!$Z$6:$AF$156,C553+1,B553+1),0)</f>
        <v>1</v>
      </c>
      <c r="K553" s="16" t="n">
        <f aca="false">IF(J553=1,E553,0)</f>
        <v>240.977905925904</v>
      </c>
      <c r="L553" s="17" t="n">
        <f aca="false">IF(D553=1,E553+W_board*F553,"")</f>
        <v>932.458470241781</v>
      </c>
      <c r="M553" s="24" t="n">
        <v>0</v>
      </c>
      <c r="Q553" s="24" t="n">
        <v>3</v>
      </c>
      <c r="R553" s="24" t="n">
        <v>85</v>
      </c>
      <c r="S553" s="25" t="n">
        <v>0.373522636210998</v>
      </c>
      <c r="T553" s="24" t="n">
        <v>3</v>
      </c>
      <c r="U553" s="24" t="n">
        <v>100</v>
      </c>
      <c r="V553" s="25" t="n">
        <v>0.614916824669859</v>
      </c>
      <c r="W553" s="24" t="n">
        <v>4</v>
      </c>
      <c r="X553" s="24" t="n">
        <v>85</v>
      </c>
      <c r="Y553" s="25" t="n">
        <v>0.011560539119142</v>
      </c>
      <c r="Z553" s="12" t="str">
        <f aca="false">IF(AND($J553=1,$M553=1),N553*E553/Span_P+O553*F553/Span_S+P553*G553/Span_B,"")</f>
        <v/>
      </c>
      <c r="AA553" s="12" t="str">
        <f aca="false">IF(AND($J553=1,$M553=1),SUMPRODUCT(MAX($J$6:$J$1062*(N553*$K$6:$K$1062/Span_P+O553*$F$6:$F$1062/Span_S+P553*$G$6:$G$1062/Span_B)-(1-$J$6:$J$1062)*1000000000)),"")</f>
        <v/>
      </c>
      <c r="AB553" s="15" t="str">
        <f aca="false">IF(AND($J553=1,$M553=1),IF(AA553-Z553&lt;=0.000000001,1,0),"")</f>
        <v/>
      </c>
      <c r="AC553" s="13" t="n">
        <f aca="false">IF(AND($J553=1,$M553=0),IF(S553="",0,S553*INDEX(Grid!$B$6:$H$156,R553+1,Q553+1))+IF(V553="",0,V553*INDEX(Grid!$B$6:$H$156,U553+1,T553+1))+IF(Y553="",0,Y553*INDEX(Grid!$B$6:$H$156,X553+1,W553+1)),"")</f>
        <v>241.518066639043</v>
      </c>
      <c r="AD553" s="13" t="n">
        <f aca="false">IF(AND($J553=1,$M553=0),IF(S553="",0,S553*Val_pt*(Ceiling_e-E_zero)*(1-(1-Half_gap)^Q553))+IF(V553="",0,V553*Val_pt*(Ceiling_e-E_zero)*(1-(1-Half_gap)^T553))+IF(Y553="",0,Y553*Val_pt*(Ceiling_e-E_zero)*(1-(1-Half_gap)^W553)),"")</f>
        <v>122.601154717292</v>
      </c>
      <c r="AE553" s="13" t="n">
        <f aca="false">IF(AND($J553=1,$M553=0),IF(S553="",0,S553*R553)+IF(V553="",0,V553*U553)+IF(Y553="",0,Y553*X553),"")</f>
        <v>94.2237523700478</v>
      </c>
      <c r="AF553" s="12" t="n">
        <f aca="false">IF(AND($J553=1,$M553=0),MIN((AC553-E553)/Span_P,(AD553-F553)/Span_S,(AE553-G553)/Span_B),"")</f>
        <v>0.00149168246698432</v>
      </c>
      <c r="AG553" s="15" t="n">
        <f aca="false">IF(AND($J553=1,$M553=0),IF(AF553&gt;0.0000001,1,0),"")</f>
        <v>1</v>
      </c>
      <c r="AH553" s="15" t="n">
        <f aca="false">IF($J553=1,IF($M553=1,AB553,AG553),"")</f>
        <v>1</v>
      </c>
      <c r="AI553" s="13" t="n">
        <f aca="false">IF($J553=1,(Ideal_P-E553)/Span_P,"")</f>
        <v>0.39544177832593</v>
      </c>
      <c r="AJ553" s="13" t="n">
        <f aca="false">IF($J553=1,(Ideal_S-F553)/Span_S,"")</f>
        <v>0.225806451612903</v>
      </c>
      <c r="AK553" s="13" t="n">
        <f aca="false">IF($J553=1,(Ideal_B-G553)/Span_B,"")</f>
        <v>0.373333333333333</v>
      </c>
      <c r="AL553" s="12" t="n">
        <f aca="false">IF($J553=1,MAX(ChA_1*AI553,ChA_2*AJ553,ChA_3*AK553)+Rho*(ChA_1*AI553+ChA_2*AJ553+ChA_3*AK553),"")</f>
        <v>0.395541236482257</v>
      </c>
      <c r="AM553" s="12" t="n">
        <f aca="false">IF($J553=1,MAX(ChB_1*AI553,ChB_2*AJ553,ChB_3*AK553)+Rho*(ChB_1*AI553+ChB_2*AJ553+ChB_3*AK553),"")</f>
        <v>0.791022558986019</v>
      </c>
      <c r="AN553" s="12" t="n">
        <f aca="false">IF($J553=1,MAX(Cx_1*(Ref_P-E553)/Span_P,Cx_2*(Ref_S-F553)/Span_S,Cx_3*(Ref_B-G553)/Span_B),"")</f>
        <v>1.01253932336686</v>
      </c>
    </row>
    <row r="554" customFormat="false" ht="15" hidden="false" customHeight="false" outlineLevel="0" collapsed="false">
      <c r="A554" s="2" t="n">
        <v>548</v>
      </c>
      <c r="B554" s="15" t="n">
        <f aca="false">INT(A554/151)</f>
        <v>3</v>
      </c>
      <c r="C554" s="15" t="n">
        <f aca="false">MOD(A554,151)</f>
        <v>95</v>
      </c>
      <c r="D554" s="15" t="n">
        <f aca="false">INDEX(Grid!$J$6:$P$156,C554+1,B554+1)</f>
        <v>1</v>
      </c>
      <c r="E554" s="16" t="n">
        <f aca="false">IF(D554=1,INDEX(Grid!$B$6:$H$156,C554+1,B554+1),"")</f>
        <v>240.068815016813</v>
      </c>
      <c r="F554" s="13" t="n">
        <f aca="false">Val_pt*(Ceiling_e-E_zero)*(1-(1-Half_gap)^B554)</f>
        <v>122.5</v>
      </c>
      <c r="G554" s="15" t="n">
        <f aca="false">C554</f>
        <v>95</v>
      </c>
      <c r="H554" s="15" t="n">
        <f aca="false">IF(D554=1,INDEX(Grid!$R$6:$X$156,C554+1,B554+1),"")</f>
        <v>52</v>
      </c>
      <c r="I554" s="2" t="str">
        <f aca="false">IF(D554=1,INDEX(Sch_label,H554+1),"")</f>
        <v>1, 2, 4</v>
      </c>
      <c r="J554" s="15" t="n">
        <f aca="false">IF(D554=1,INDEX(Grid!$Z$6:$AF$156,C554+1,B554+1),0)</f>
        <v>1</v>
      </c>
      <c r="K554" s="16" t="n">
        <f aca="false">IF(J554=1,E554,0)</f>
        <v>240.068815016813</v>
      </c>
      <c r="L554" s="17" t="n">
        <f aca="false">IF(D554=1,E554+W_board*F554,"")</f>
        <v>931.54937933269</v>
      </c>
      <c r="M554" s="24" t="n">
        <v>0</v>
      </c>
      <c r="Q554" s="24" t="n">
        <v>3</v>
      </c>
      <c r="R554" s="24" t="n">
        <v>85</v>
      </c>
      <c r="S554" s="25" t="n">
        <v>0.311268863509165</v>
      </c>
      <c r="T554" s="24" t="n">
        <v>3</v>
      </c>
      <c r="U554" s="24" t="n">
        <v>100</v>
      </c>
      <c r="V554" s="25" t="n">
        <v>0.679097353891549</v>
      </c>
      <c r="W554" s="24" t="n">
        <v>4</v>
      </c>
      <c r="X554" s="24" t="n">
        <v>85</v>
      </c>
      <c r="Y554" s="25" t="n">
        <v>0.00963378259928444</v>
      </c>
      <c r="Z554" s="12" t="str">
        <f aca="false">IF(AND($J554=1,$M554=1),N554*E554/Span_P+O554*F554/Span_S+P554*G554/Span_B,"")</f>
        <v/>
      </c>
      <c r="AA554" s="12" t="str">
        <f aca="false">IF(AND($J554=1,$M554=1),SUMPRODUCT(MAX($J$6:$J$1062*(N554*$K$6:$K$1062/Span_P+O554*$F$6:$F$1062/Span_S+P554*$G$6:$G$1062/Span_B)-(1-$J$6:$J$1062)*1000000000)),"")</f>
        <v/>
      </c>
      <c r="AB554" s="15" t="str">
        <f aca="false">IF(AND($J554=1,$M554=1),IF(AA554-Z554&lt;=0.000000001,1,0),"")</f>
        <v/>
      </c>
      <c r="AC554" s="13" t="n">
        <f aca="false">IF(AND($J554=1,$M554=0),IF(S554="",0,S554*INDEX(Grid!$B$6:$H$156,R554+1,Q554+1))+IF(V554="",0,V554*INDEX(Grid!$B$6:$H$156,U554+1,T554+1))+IF(Y554="",0,Y554*INDEX(Grid!$B$6:$H$156,X554+1,W554+1)),"")</f>
        <v>240.518948944428</v>
      </c>
      <c r="AD554" s="13" t="n">
        <f aca="false">IF(AND($J554=1,$M554=0),IF(S554="",0,S554*Val_pt*(Ceiling_e-E_zero)*(1-(1-Half_gap)^Q554))+IF(V554="",0,V554*Val_pt*(Ceiling_e-E_zero)*(1-(1-Half_gap)^T554))+IF(Y554="",0,Y554*Val_pt*(Ceiling_e-E_zero)*(1-(1-Half_gap)^W554)),"")</f>
        <v>122.584295597744</v>
      </c>
      <c r="AE554" s="13" t="n">
        <f aca="false">IF(AND($J554=1,$M554=0),IF(S554="",0,S554*R554)+IF(V554="",0,V554*U554)+IF(Y554="",0,Y554*X554),"")</f>
        <v>95.1864603083731</v>
      </c>
      <c r="AF554" s="12" t="n">
        <f aca="false">IF(AND($J554=1,$M554=0),MIN((AC554-E554)/Span_P,(AD554-F554)/Span_S,(AE554-G554)/Span_B),"")</f>
        <v>0.00124306872248529</v>
      </c>
      <c r="AG554" s="15" t="n">
        <f aca="false">IF(AND($J554=1,$M554=0),IF(AF554&gt;0.0000001,1,0),"")</f>
        <v>1</v>
      </c>
      <c r="AH554" s="15" t="n">
        <f aca="false">IF($J554=1,IF($M554=1,AB554,AG554),"")</f>
        <v>1</v>
      </c>
      <c r="AI554" s="13" t="n">
        <f aca="false">IF($J554=1,(Ideal_P-E554)/Span_P,"")</f>
        <v>0.397952281102236</v>
      </c>
      <c r="AJ554" s="13" t="n">
        <f aca="false">IF($J554=1,(Ideal_S-F554)/Span_S,"")</f>
        <v>0.225806451612903</v>
      </c>
      <c r="AK554" s="13" t="n">
        <f aca="false">IF($J554=1,(Ideal_B-G554)/Span_B,"")</f>
        <v>0.366666666666667</v>
      </c>
      <c r="AL554" s="12" t="n">
        <f aca="false">IF($J554=1,MAX(ChA_1*AI554,ChA_2*AJ554,ChA_3*AK554)+Rho*(ChA_1*AI554+ChA_2*AJ554+ChA_3*AK554),"")</f>
        <v>0.398051323642174</v>
      </c>
      <c r="AM554" s="12" t="n">
        <f aca="false">IF($J554=1,MAX(ChB_1*AI554,ChB_2*AJ554,ChB_3*AK554)+Rho*(ChB_1*AI554+ChB_2*AJ554+ChB_3*AK554),"")</f>
        <v>0.79604339997252</v>
      </c>
      <c r="AN554" s="12" t="n">
        <f aca="false">IF($J554=1,MAX(Cx_1*(Ref_P-E554)/Span_P,Cx_2*(Ref_S-F554)/Span_S,Cx_3*(Ref_B-G554)/Span_B),"")</f>
        <v>1.01880898505029</v>
      </c>
    </row>
    <row r="555" customFormat="false" ht="15" hidden="false" customHeight="false" outlineLevel="0" collapsed="false">
      <c r="A555" s="2" t="n">
        <v>549</v>
      </c>
      <c r="B555" s="15" t="n">
        <f aca="false">INT(A555/151)</f>
        <v>3</v>
      </c>
      <c r="C555" s="15" t="n">
        <f aca="false">MOD(A555,151)</f>
        <v>96</v>
      </c>
      <c r="D555" s="15" t="n">
        <f aca="false">INDEX(Grid!$J$6:$P$156,C555+1,B555+1)</f>
        <v>1</v>
      </c>
      <c r="E555" s="16" t="n">
        <f aca="false">IF(D555=1,INDEX(Grid!$B$6:$H$156,C555+1,B555+1),"")</f>
        <v>239.159724107722</v>
      </c>
      <c r="F555" s="13" t="n">
        <f aca="false">Val_pt*(Ceiling_e-E_zero)*(1-(1-Half_gap)^B555)</f>
        <v>122.5</v>
      </c>
      <c r="G555" s="15" t="n">
        <f aca="false">C555</f>
        <v>96</v>
      </c>
      <c r="H555" s="15" t="n">
        <f aca="false">IF(D555=1,INDEX(Grid!$R$6:$X$156,C555+1,B555+1),"")</f>
        <v>52</v>
      </c>
      <c r="I555" s="2" t="str">
        <f aca="false">IF(D555=1,INDEX(Sch_label,H555+1),"")</f>
        <v>1, 2, 4</v>
      </c>
      <c r="J555" s="15" t="n">
        <f aca="false">IF(D555=1,INDEX(Grid!$Z$6:$AF$156,C555+1,B555+1),0)</f>
        <v>1</v>
      </c>
      <c r="K555" s="16" t="n">
        <f aca="false">IF(J555=1,E555,0)</f>
        <v>239.159724107722</v>
      </c>
      <c r="L555" s="17" t="n">
        <f aca="false">IF(D555=1,E555+W_board*F555,"")</f>
        <v>930.640288423599</v>
      </c>
      <c r="M555" s="24" t="n">
        <v>0</v>
      </c>
      <c r="Q555" s="24" t="n">
        <v>3</v>
      </c>
      <c r="R555" s="24" t="n">
        <v>85</v>
      </c>
      <c r="S555" s="25" t="n">
        <v>0.249015090807331</v>
      </c>
      <c r="T555" s="24" t="n">
        <v>3</v>
      </c>
      <c r="U555" s="24" t="n">
        <v>100</v>
      </c>
      <c r="V555" s="25" t="n">
        <v>0.743277883113239</v>
      </c>
      <c r="W555" s="24" t="n">
        <v>4</v>
      </c>
      <c r="X555" s="24" t="n">
        <v>85</v>
      </c>
      <c r="Y555" s="25" t="n">
        <v>0.00770702607942932</v>
      </c>
      <c r="Z555" s="12" t="str">
        <f aca="false">IF(AND($J555=1,$M555=1),N555*E555/Span_P+O555*F555/Span_S+P555*G555/Span_B,"")</f>
        <v/>
      </c>
      <c r="AA555" s="12" t="str">
        <f aca="false">IF(AND($J555=1,$M555=1),SUMPRODUCT(MAX($J$6:$J$1062*(N555*$K$6:$K$1062/Span_P+O555*$F$6:$F$1062/Span_S+P555*$G$6:$G$1062/Span_B)-(1-$J$6:$J$1062)*1000000000)),"")</f>
        <v/>
      </c>
      <c r="AB555" s="15" t="str">
        <f aca="false">IF(AND($J555=1,$M555=1),IF(AA555-Z555&lt;=0.000000001,1,0),"")</f>
        <v/>
      </c>
      <c r="AC555" s="13" t="n">
        <f aca="false">IF(AND($J555=1,$M555=0),IF(S555="",0,S555*INDEX(Grid!$B$6:$H$156,R555+1,Q555+1))+IF(V555="",0,V555*INDEX(Grid!$B$6:$H$156,U555+1,T555+1))+IF(Y555="",0,Y555*INDEX(Grid!$B$6:$H$156,X555+1,W555+1)),"")</f>
        <v>239.519831249814</v>
      </c>
      <c r="AD555" s="13" t="n">
        <f aca="false">IF(AND($J555=1,$M555=0),IF(S555="",0,S555*Val_pt*(Ceiling_e-E_zero)*(1-(1-Half_gap)^Q555))+IF(V555="",0,V555*Val_pt*(Ceiling_e-E_zero)*(1-(1-Half_gap)^T555))+IF(Y555="",0,Y555*Val_pt*(Ceiling_e-E_zero)*(1-(1-Half_gap)^W555)),"")</f>
        <v>122.567436478195</v>
      </c>
      <c r="AE555" s="13" t="n">
        <f aca="false">IF(AND($J555=1,$M555=0),IF(S555="",0,S555*R555)+IF(V555="",0,V555*U555)+IF(Y555="",0,Y555*X555),"")</f>
        <v>96.1491682466985</v>
      </c>
      <c r="AF555" s="12" t="n">
        <f aca="false">IF(AND($J555=1,$M555=0),MIN((AC555-E555)/Span_P,(AD555-F555)/Span_S,(AE555-G555)/Span_B),"")</f>
        <v>0.000994454977988778</v>
      </c>
      <c r="AG555" s="15" t="n">
        <f aca="false">IF(AND($J555=1,$M555=0),IF(AF555&gt;0.0000001,1,0),"")</f>
        <v>1</v>
      </c>
      <c r="AH555" s="15" t="n">
        <f aca="false">IF($J555=1,IF($M555=1,AB555,AG555),"")</f>
        <v>1</v>
      </c>
      <c r="AI555" s="13" t="n">
        <f aca="false">IF($J555=1,(Ideal_P-E555)/Span_P,"")</f>
        <v>0.400462783878541</v>
      </c>
      <c r="AJ555" s="13" t="n">
        <f aca="false">IF($J555=1,(Ideal_S-F555)/Span_S,"")</f>
        <v>0.225806451612903</v>
      </c>
      <c r="AK555" s="13" t="n">
        <f aca="false">IF($J555=1,(Ideal_B-G555)/Span_B,"")</f>
        <v>0.36</v>
      </c>
      <c r="AL555" s="12" t="n">
        <f aca="false">IF($J555=1,MAX(ChA_1*AI555,ChA_2*AJ555,ChA_3*AK555)+Rho*(ChA_1*AI555+ChA_2*AJ555+ChA_3*AK555),"")</f>
        <v>0.40056141080209</v>
      </c>
      <c r="AM555" s="12" t="n">
        <f aca="false">IF($J555=1,MAX(ChB_1*AI555,ChB_2*AJ555,ChB_3*AK555)+Rho*(ChB_1*AI555+ChB_2*AJ555+ChB_3*AK555),"")</f>
        <v>0.80106424095902</v>
      </c>
      <c r="AN555" s="12" t="n">
        <f aca="false">IF($J555=1,MAX(Cx_1*(Ref_P-E555)/Span_P,Cx_2*(Ref_S-F555)/Span_S,Cx_3*(Ref_B-G555)/Span_B),"")</f>
        <v>1.02507864673371</v>
      </c>
    </row>
    <row r="556" customFormat="false" ht="15" hidden="false" customHeight="false" outlineLevel="0" collapsed="false">
      <c r="A556" s="2" t="n">
        <v>550</v>
      </c>
      <c r="B556" s="15" t="n">
        <f aca="false">INT(A556/151)</f>
        <v>3</v>
      </c>
      <c r="C556" s="15" t="n">
        <f aca="false">MOD(A556,151)</f>
        <v>97</v>
      </c>
      <c r="D556" s="15" t="n">
        <f aca="false">INDEX(Grid!$J$6:$P$156,C556+1,B556+1)</f>
        <v>1</v>
      </c>
      <c r="E556" s="16" t="n">
        <f aca="false">IF(D556=1,INDEX(Grid!$B$6:$H$156,C556+1,B556+1),"")</f>
        <v>238.250633198631</v>
      </c>
      <c r="F556" s="13" t="n">
        <f aca="false">Val_pt*(Ceiling_e-E_zero)*(1-(1-Half_gap)^B556)</f>
        <v>122.5</v>
      </c>
      <c r="G556" s="15" t="n">
        <f aca="false">C556</f>
        <v>97</v>
      </c>
      <c r="H556" s="15" t="n">
        <f aca="false">IF(D556=1,INDEX(Grid!$R$6:$X$156,C556+1,B556+1),"")</f>
        <v>52</v>
      </c>
      <c r="I556" s="2" t="str">
        <f aca="false">IF(D556=1,INDEX(Sch_label,H556+1),"")</f>
        <v>1, 2, 4</v>
      </c>
      <c r="J556" s="15" t="n">
        <f aca="false">IF(D556=1,INDEX(Grid!$Z$6:$AF$156,C556+1,B556+1),0)</f>
        <v>1</v>
      </c>
      <c r="K556" s="16" t="n">
        <f aca="false">IF(J556=1,E556,0)</f>
        <v>238.250633198631</v>
      </c>
      <c r="L556" s="17" t="n">
        <f aca="false">IF(D556=1,E556+W_board*F556,"")</f>
        <v>929.731197514508</v>
      </c>
      <c r="M556" s="24" t="n">
        <v>0</v>
      </c>
      <c r="Q556" s="24" t="n">
        <v>3</v>
      </c>
      <c r="R556" s="24" t="n">
        <v>85</v>
      </c>
      <c r="S556" s="25" t="n">
        <v>0.1867613181055</v>
      </c>
      <c r="T556" s="24" t="n">
        <v>3</v>
      </c>
      <c r="U556" s="24" t="n">
        <v>100</v>
      </c>
      <c r="V556" s="25" t="n">
        <v>0.807458412334936</v>
      </c>
      <c r="W556" s="24" t="n">
        <v>4</v>
      </c>
      <c r="X556" s="24" t="n">
        <v>85</v>
      </c>
      <c r="Y556" s="25" t="n">
        <v>0.00578026955956494</v>
      </c>
      <c r="Z556" s="12" t="str">
        <f aca="false">IF(AND($J556=1,$M556=1),N556*E556/Span_P+O556*F556/Span_S+P556*G556/Span_B,"")</f>
        <v/>
      </c>
      <c r="AA556" s="12" t="str">
        <f aca="false">IF(AND($J556=1,$M556=1),SUMPRODUCT(MAX($J$6:$J$1062*(N556*$K$6:$K$1062/Span_P+O556*$F$6:$F$1062/Span_S+P556*$G$6:$G$1062/Span_B)-(1-$J$6:$J$1062)*1000000000)),"")</f>
        <v/>
      </c>
      <c r="AB556" s="15" t="str">
        <f aca="false">IF(AND($J556=1,$M556=1),IF(AA556-Z556&lt;=0.000000001,1,0),"")</f>
        <v/>
      </c>
      <c r="AC556" s="13" t="n">
        <f aca="false">IF(AND($J556=1,$M556=0),IF(S556="",0,S556*INDEX(Grid!$B$6:$H$156,R556+1,Q556+1))+IF(V556="",0,V556*INDEX(Grid!$B$6:$H$156,U556+1,T556+1))+IF(Y556="",0,Y556*INDEX(Grid!$B$6:$H$156,X556+1,W556+1)),"")</f>
        <v>238.520713555201</v>
      </c>
      <c r="AD556" s="13" t="n">
        <f aca="false">IF(AND($J556=1,$M556=0),IF(S556="",0,S556*Val_pt*(Ceiling_e-E_zero)*(1-(1-Half_gap)^Q556))+IF(V556="",0,V556*Val_pt*(Ceiling_e-E_zero)*(1-(1-Half_gap)^T556))+IF(Y556="",0,Y556*Val_pt*(Ceiling_e-E_zero)*(1-(1-Half_gap)^W556)),"")</f>
        <v>122.550577358646</v>
      </c>
      <c r="AE556" s="13" t="n">
        <f aca="false">IF(AND($J556=1,$M556=0),IF(S556="",0,S556*R556)+IF(V556="",0,V556*U556)+IF(Y556="",0,Y556*X556),"")</f>
        <v>97.1118761850241</v>
      </c>
      <c r="AF556" s="12" t="n">
        <f aca="false">IF(AND($J556=1,$M556=0),MIN((AC556-E556)/Span_P,(AD556-F556)/Span_S,(AE556-G556)/Span_B),"")</f>
        <v>0.000745841233492893</v>
      </c>
      <c r="AG556" s="15" t="n">
        <f aca="false">IF(AND($J556=1,$M556=0),IF(AF556&gt;0.0000001,1,0),"")</f>
        <v>1</v>
      </c>
      <c r="AH556" s="15" t="n">
        <f aca="false">IF($J556=1,IF($M556=1,AB556,AG556),"")</f>
        <v>1</v>
      </c>
      <c r="AI556" s="13" t="n">
        <f aca="false">IF($J556=1,(Ideal_P-E556)/Span_P,"")</f>
        <v>0.402973286654847</v>
      </c>
      <c r="AJ556" s="13" t="n">
        <f aca="false">IF($J556=1,(Ideal_S-F556)/Span_S,"")</f>
        <v>0.225806451612903</v>
      </c>
      <c r="AK556" s="13" t="n">
        <f aca="false">IF($J556=1,(Ideal_B-G556)/Span_B,"")</f>
        <v>0.353333333333333</v>
      </c>
      <c r="AL556" s="12" t="n">
        <f aca="false">IF($J556=1,MAX(ChA_1*AI556,ChA_2*AJ556,ChA_3*AK556)+Rho*(ChA_1*AI556+ChA_2*AJ556+ChA_3*AK556),"")</f>
        <v>0.403071497962007</v>
      </c>
      <c r="AM556" s="12" t="n">
        <f aca="false">IF($J556=1,MAX(ChB_1*AI556,ChB_2*AJ556,ChB_3*AK556)+Rho*(ChB_1*AI556+ChB_2*AJ556+ChB_3*AK556),"")</f>
        <v>0.80608508194552</v>
      </c>
      <c r="AN556" s="12" t="n">
        <f aca="false">IF($J556=1,MAX(Cx_1*(Ref_P-E556)/Span_P,Cx_2*(Ref_S-F556)/Span_S,Cx_3*(Ref_B-G556)/Span_B),"")</f>
        <v>1.03134830841714</v>
      </c>
    </row>
    <row r="557" customFormat="false" ht="15" hidden="false" customHeight="false" outlineLevel="0" collapsed="false">
      <c r="A557" s="2" t="n">
        <v>551</v>
      </c>
      <c r="B557" s="15" t="n">
        <f aca="false">INT(A557/151)</f>
        <v>3</v>
      </c>
      <c r="C557" s="15" t="n">
        <f aca="false">MOD(A557,151)</f>
        <v>98</v>
      </c>
      <c r="D557" s="15" t="n">
        <f aca="false">INDEX(Grid!$J$6:$P$156,C557+1,B557+1)</f>
        <v>1</v>
      </c>
      <c r="E557" s="16" t="n">
        <f aca="false">IF(D557=1,INDEX(Grid!$B$6:$H$156,C557+1,B557+1),"")</f>
        <v>237.34154228954</v>
      </c>
      <c r="F557" s="13" t="n">
        <f aca="false">Val_pt*(Ceiling_e-E_zero)*(1-(1-Half_gap)^B557)</f>
        <v>122.5</v>
      </c>
      <c r="G557" s="15" t="n">
        <f aca="false">C557</f>
        <v>98</v>
      </c>
      <c r="H557" s="15" t="n">
        <f aca="false">IF(D557=1,INDEX(Grid!$R$6:$X$156,C557+1,B557+1),"")</f>
        <v>52</v>
      </c>
      <c r="I557" s="2" t="str">
        <f aca="false">IF(D557=1,INDEX(Sch_label,H557+1),"")</f>
        <v>1, 2, 4</v>
      </c>
      <c r="J557" s="15" t="n">
        <f aca="false">IF(D557=1,INDEX(Grid!$Z$6:$AF$156,C557+1,B557+1),0)</f>
        <v>1</v>
      </c>
      <c r="K557" s="16" t="n">
        <f aca="false">IF(J557=1,E557,0)</f>
        <v>237.34154228954</v>
      </c>
      <c r="L557" s="17" t="n">
        <f aca="false">IF(D557=1,E557+W_board*F557,"")</f>
        <v>928.822106605417</v>
      </c>
      <c r="M557" s="24" t="n">
        <v>0</v>
      </c>
      <c r="Q557" s="24" t="n">
        <v>3</v>
      </c>
      <c r="R557" s="24" t="n">
        <v>85</v>
      </c>
      <c r="S557" s="25" t="n">
        <v>0.124507545403673</v>
      </c>
      <c r="T557" s="24" t="n">
        <v>3</v>
      </c>
      <c r="U557" s="24" t="n">
        <v>100</v>
      </c>
      <c r="V557" s="25" t="n">
        <v>0.871638941556621</v>
      </c>
      <c r="W557" s="24" t="n">
        <v>4</v>
      </c>
      <c r="X557" s="24" t="n">
        <v>85</v>
      </c>
      <c r="Y557" s="25" t="n">
        <v>0.003853513039713</v>
      </c>
      <c r="Z557" s="12" t="str">
        <f aca="false">IF(AND($J557=1,$M557=1),N557*E557/Span_P+O557*F557/Span_S+P557*G557/Span_B,"")</f>
        <v/>
      </c>
      <c r="AA557" s="12" t="str">
        <f aca="false">IF(AND($J557=1,$M557=1),SUMPRODUCT(MAX($J$6:$J$1062*(N557*$K$6:$K$1062/Span_P+O557*$F$6:$F$1062/Span_S+P557*$G$6:$G$1062/Span_B)-(1-$J$6:$J$1062)*1000000000)),"")</f>
        <v/>
      </c>
      <c r="AB557" s="15" t="str">
        <f aca="false">IF(AND($J557=1,$M557=1),IF(AA557-Z557&lt;=0.000000001,1,0),"")</f>
        <v/>
      </c>
      <c r="AC557" s="13" t="n">
        <f aca="false">IF(AND($J557=1,$M557=0),IF(S557="",0,S557*INDEX(Grid!$B$6:$H$156,R557+1,Q557+1))+IF(V557="",0,V557*INDEX(Grid!$B$6:$H$156,U557+1,T557+1))+IF(Y557="",0,Y557*INDEX(Grid!$B$6:$H$156,X557+1,W557+1)),"")</f>
        <v>237.521595860588</v>
      </c>
      <c r="AD557" s="13" t="n">
        <f aca="false">IF(AND($J557=1,$M557=0),IF(S557="",0,S557*Val_pt*(Ceiling_e-E_zero)*(1-(1-Half_gap)^Q557))+IF(V557="",0,V557*Val_pt*(Ceiling_e-E_zero)*(1-(1-Half_gap)^T557))+IF(Y557="",0,Y557*Val_pt*(Ceiling_e-E_zero)*(1-(1-Half_gap)^W557)),"")</f>
        <v>122.533718239098</v>
      </c>
      <c r="AE557" s="13" t="n">
        <f aca="false">IF(AND($J557=1,$M557=0),IF(S557="",0,S557*R557)+IF(V557="",0,V557*U557)+IF(Y557="",0,Y557*X557),"")</f>
        <v>98.0745841233499</v>
      </c>
      <c r="AF557" s="12" t="n">
        <f aca="false">IF(AND($J557=1,$M557=0),MIN((AC557-E557)/Span_P,(AD557-F557)/Span_S,(AE557-G557)/Span_B),"")</f>
        <v>0.000497227488999007</v>
      </c>
      <c r="AG557" s="15" t="n">
        <f aca="false">IF(AND($J557=1,$M557=0),IF(AF557&gt;0.0000001,1,0),"")</f>
        <v>1</v>
      </c>
      <c r="AH557" s="15" t="n">
        <f aca="false">IF($J557=1,IF($M557=1,AB557,AG557),"")</f>
        <v>1</v>
      </c>
      <c r="AI557" s="13" t="n">
        <f aca="false">IF($J557=1,(Ideal_P-E557)/Span_P,"")</f>
        <v>0.405483789431153</v>
      </c>
      <c r="AJ557" s="13" t="n">
        <f aca="false">IF($J557=1,(Ideal_S-F557)/Span_S,"")</f>
        <v>0.225806451612903</v>
      </c>
      <c r="AK557" s="13" t="n">
        <f aca="false">IF($J557=1,(Ideal_B-G557)/Span_B,"")</f>
        <v>0.346666666666667</v>
      </c>
      <c r="AL557" s="12" t="n">
        <f aca="false">IF($J557=1,MAX(ChA_1*AI557,ChA_2*AJ557,ChA_3*AK557)+Rho*(ChA_1*AI557+ChA_2*AJ557+ChA_3*AK557),"")</f>
        <v>0.405581585121924</v>
      </c>
      <c r="AM557" s="12" t="n">
        <f aca="false">IF($J557=1,MAX(ChB_1*AI557,ChB_2*AJ557,ChB_3*AK557)+Rho*(ChB_1*AI557+ChB_2*AJ557+ChB_3*AK557),"")</f>
        <v>0.81110592293202</v>
      </c>
      <c r="AN557" s="12" t="n">
        <f aca="false">IF($J557=1,MAX(Cx_1*(Ref_P-E557)/Span_P,Cx_2*(Ref_S-F557)/Span_S,Cx_3*(Ref_B-G557)/Span_B),"")</f>
        <v>1.03761797010057</v>
      </c>
    </row>
    <row r="558" customFormat="false" ht="15" hidden="false" customHeight="false" outlineLevel="0" collapsed="false">
      <c r="A558" s="2" t="n">
        <v>552</v>
      </c>
      <c r="B558" s="15" t="n">
        <f aca="false">INT(A558/151)</f>
        <v>3</v>
      </c>
      <c r="C558" s="15" t="n">
        <f aca="false">MOD(A558,151)</f>
        <v>99</v>
      </c>
      <c r="D558" s="15" t="n">
        <f aca="false">INDEX(Grid!$J$6:$P$156,C558+1,B558+1)</f>
        <v>1</v>
      </c>
      <c r="E558" s="16" t="n">
        <f aca="false">IF(D558=1,INDEX(Grid!$B$6:$H$156,C558+1,B558+1),"")</f>
        <v>236.432451380449</v>
      </c>
      <c r="F558" s="13" t="n">
        <f aca="false">Val_pt*(Ceiling_e-E_zero)*(1-(1-Half_gap)^B558)</f>
        <v>122.5</v>
      </c>
      <c r="G558" s="15" t="n">
        <f aca="false">C558</f>
        <v>99</v>
      </c>
      <c r="H558" s="15" t="n">
        <f aca="false">IF(D558=1,INDEX(Grid!$R$6:$X$156,C558+1,B558+1),"")</f>
        <v>52</v>
      </c>
      <c r="I558" s="2" t="str">
        <f aca="false">IF(D558=1,INDEX(Sch_label,H558+1),"")</f>
        <v>1, 2, 4</v>
      </c>
      <c r="J558" s="15" t="n">
        <f aca="false">IF(D558=1,INDEX(Grid!$Z$6:$AF$156,C558+1,B558+1),0)</f>
        <v>1</v>
      </c>
      <c r="K558" s="16" t="n">
        <f aca="false">IF(J558=1,E558,0)</f>
        <v>236.432451380449</v>
      </c>
      <c r="L558" s="17" t="n">
        <f aca="false">IF(D558=1,E558+W_board*F558,"")</f>
        <v>927.913015696326</v>
      </c>
      <c r="M558" s="24" t="n">
        <v>0</v>
      </c>
      <c r="Q558" s="24" t="n">
        <v>3</v>
      </c>
      <c r="R558" s="24" t="n">
        <v>85</v>
      </c>
      <c r="S558" s="25" t="n">
        <v>0.0622537727018367</v>
      </c>
      <c r="T558" s="24" t="n">
        <v>3</v>
      </c>
      <c r="U558" s="24" t="n">
        <v>100</v>
      </c>
      <c r="V558" s="25" t="n">
        <v>0.935819470778306</v>
      </c>
      <c r="W558" s="24" t="n">
        <v>4</v>
      </c>
      <c r="X558" s="24" t="n">
        <v>85</v>
      </c>
      <c r="Y558" s="25" t="n">
        <v>0.00192675651985902</v>
      </c>
      <c r="Z558" s="12" t="str">
        <f aca="false">IF(AND($J558=1,$M558=1),N558*E558/Span_P+O558*F558/Span_S+P558*G558/Span_B,"")</f>
        <v/>
      </c>
      <c r="AA558" s="12" t="str">
        <f aca="false">IF(AND($J558=1,$M558=1),SUMPRODUCT(MAX($J$6:$J$1062*(N558*$K$6:$K$1062/Span_P+O558*$F$6:$F$1062/Span_S+P558*$G$6:$G$1062/Span_B)-(1-$J$6:$J$1062)*1000000000)),"")</f>
        <v/>
      </c>
      <c r="AB558" s="15" t="str">
        <f aca="false">IF(AND($J558=1,$M558=1),IF(AA558-Z558&lt;=0.000000001,1,0),"")</f>
        <v/>
      </c>
      <c r="AC558" s="13" t="n">
        <f aca="false">IF(AND($J558=1,$M558=0),IF(S558="",0,S558*INDEX(Grid!$B$6:$H$156,R558+1,Q558+1))+IF(V558="",0,V558*INDEX(Grid!$B$6:$H$156,U558+1,T558+1))+IF(Y558="",0,Y558*INDEX(Grid!$B$6:$H$156,X558+1,W558+1)),"")</f>
        <v>236.522478165973</v>
      </c>
      <c r="AD558" s="13" t="n">
        <f aca="false">IF(AND($J558=1,$M558=0),IF(S558="",0,S558*Val_pt*(Ceiling_e-E_zero)*(1-(1-Half_gap)^Q558))+IF(V558="",0,V558*Val_pt*(Ceiling_e-E_zero)*(1-(1-Half_gap)^T558))+IF(Y558="",0,Y558*Val_pt*(Ceiling_e-E_zero)*(1-(1-Half_gap)^W558)),"")</f>
        <v>122.516859119549</v>
      </c>
      <c r="AE558" s="13" t="n">
        <f aca="false">IF(AND($J558=1,$M558=0),IF(S558="",0,S558*R558)+IF(V558="",0,V558*U558)+IF(Y558="",0,Y558*X558),"")</f>
        <v>99.0372920616747</v>
      </c>
      <c r="AF558" s="12" t="n">
        <f aca="false">IF(AND($J558=1,$M558=0),MIN((AC558-E558)/Span_P,(AD558-F558)/Span_S,(AE558-G558)/Span_B),"")</f>
        <v>0.000248613744497845</v>
      </c>
      <c r="AG558" s="15" t="n">
        <f aca="false">IF(AND($J558=1,$M558=0),IF(AF558&gt;0.0000001,1,0),"")</f>
        <v>1</v>
      </c>
      <c r="AH558" s="15" t="n">
        <f aca="false">IF($J558=1,IF($M558=1,AB558,AG558),"")</f>
        <v>1</v>
      </c>
      <c r="AI558" s="13" t="n">
        <f aca="false">IF($J558=1,(Ideal_P-E558)/Span_P,"")</f>
        <v>0.407994292207459</v>
      </c>
      <c r="AJ558" s="13" t="n">
        <f aca="false">IF($J558=1,(Ideal_S-F558)/Span_S,"")</f>
        <v>0.225806451612903</v>
      </c>
      <c r="AK558" s="13" t="n">
        <f aca="false">IF($J558=1,(Ideal_B-G558)/Span_B,"")</f>
        <v>0.34</v>
      </c>
      <c r="AL558" s="12" t="n">
        <f aca="false">IF($J558=1,MAX(ChA_1*AI558,ChA_2*AJ558,ChA_3*AK558)+Rho*(ChA_1*AI558+ChA_2*AJ558+ChA_3*AK558),"")</f>
        <v>0.408091672281841</v>
      </c>
      <c r="AM558" s="12" t="n">
        <f aca="false">IF($J558=1,MAX(ChB_1*AI558,ChB_2*AJ558,ChB_3*AK558)+Rho*(ChB_1*AI558+ChB_2*AJ558+ChB_3*AK558),"")</f>
        <v>0.81612676391852</v>
      </c>
      <c r="AN558" s="12" t="n">
        <f aca="false">IF($J558=1,MAX(Cx_1*(Ref_P-E558)/Span_P,Cx_2*(Ref_S-F558)/Span_S,Cx_3*(Ref_B-G558)/Span_B),"")</f>
        <v>1.043887631784</v>
      </c>
    </row>
    <row r="559" customFormat="false" ht="15" hidden="false" customHeight="false" outlineLevel="0" collapsed="false">
      <c r="A559" s="2" t="n">
        <v>553</v>
      </c>
      <c r="B559" s="15" t="n">
        <f aca="false">INT(A559/151)</f>
        <v>3</v>
      </c>
      <c r="C559" s="15" t="n">
        <f aca="false">MOD(A559,151)</f>
        <v>100</v>
      </c>
      <c r="D559" s="15" t="n">
        <f aca="false">INDEX(Grid!$J$6:$P$156,C559+1,B559+1)</f>
        <v>1</v>
      </c>
      <c r="E559" s="16" t="n">
        <f aca="false">IF(D559=1,INDEX(Grid!$B$6:$H$156,C559+1,B559+1),"")</f>
        <v>235.523360471358</v>
      </c>
      <c r="F559" s="13" t="n">
        <f aca="false">Val_pt*(Ceiling_e-E_zero)*(1-(1-Half_gap)^B559)</f>
        <v>122.5</v>
      </c>
      <c r="G559" s="15" t="n">
        <f aca="false">C559</f>
        <v>100</v>
      </c>
      <c r="H559" s="15" t="n">
        <f aca="false">IF(D559=1,INDEX(Grid!$R$6:$X$156,C559+1,B559+1),"")</f>
        <v>52</v>
      </c>
      <c r="I559" s="2" t="str">
        <f aca="false">IF(D559=1,INDEX(Sch_label,H559+1),"")</f>
        <v>1, 2, 4</v>
      </c>
      <c r="J559" s="15" t="n">
        <f aca="false">IF(D559=1,INDEX(Grid!$Z$6:$AF$156,C559+1,B559+1),0)</f>
        <v>1</v>
      </c>
      <c r="K559" s="16" t="n">
        <f aca="false">IF(J559=1,E559,0)</f>
        <v>235.523360471358</v>
      </c>
      <c r="L559" s="17" t="n">
        <f aca="false">IF(D559=1,E559+W_board*F559,"")</f>
        <v>927.003924787235</v>
      </c>
      <c r="M559" s="24" t="n">
        <v>1</v>
      </c>
      <c r="N559" s="25" t="n">
        <v>0.457420384851137</v>
      </c>
      <c r="O559" s="25" t="n">
        <v>0.282633768439045</v>
      </c>
      <c r="P559" s="25" t="n">
        <v>0.259945846709819</v>
      </c>
      <c r="Z559" s="12" t="n">
        <f aca="false">IF(AND($J559=1,$M559=1),N559*E559/Span_P+O559*F559/Span_S+P559*G559/Span_B,"")</f>
        <v>0.981372367325941</v>
      </c>
      <c r="AA559" s="12" t="n">
        <f aca="false">IF(AND($J559=1,$M559=1),SUMPRODUCT(MAX($J$6:$J$1062*(N559*$K$6:$K$1062/Span_P+O559*$F$6:$F$1062/Span_S+P559*$G$6:$G$1062/Span_B)-(1-$J$6:$J$1062)*1000000000)),"")</f>
        <v>0.981372367325941</v>
      </c>
      <c r="AB559" s="15" t="n">
        <f aca="false">IF(AND($J559=1,$M559=1),IF(AA559-Z559&lt;=0.000000001,1,0),"")</f>
        <v>1</v>
      </c>
      <c r="AC559" s="13" t="str">
        <f aca="false">IF(AND($J559=1,$M559=0),IF(S559="",0,S559*INDEX(Grid!$B$6:$H$156,R559+1,Q559+1))+IF(V559="",0,V559*INDEX(Grid!$B$6:$H$156,U559+1,T559+1))+IF(Y559="",0,Y559*INDEX(Grid!$B$6:$H$156,X559+1,W559+1)),"")</f>
        <v/>
      </c>
      <c r="AD559" s="13" t="str">
        <f aca="false">IF(AND($J559=1,$M559=0),IF(S559="",0,S559*Val_pt*(Ceiling_e-E_zero)*(1-(1-Half_gap)^Q559))+IF(V559="",0,V559*Val_pt*(Ceiling_e-E_zero)*(1-(1-Half_gap)^T559))+IF(Y559="",0,Y559*Val_pt*(Ceiling_e-E_zero)*(1-(1-Half_gap)^W559)),"")</f>
        <v/>
      </c>
      <c r="AE559" s="13" t="str">
        <f aca="false">IF(AND($J559=1,$M559=0),IF(S559="",0,S559*R559)+IF(V559="",0,V559*U559)+IF(Y559="",0,Y559*X559),"")</f>
        <v/>
      </c>
      <c r="AF559" s="12" t="str">
        <f aca="false">IF(AND($J559=1,$M559=0),MIN((AC559-E559)/Span_P,(AD559-F559)/Span_S,(AE559-G559)/Span_B),"")</f>
        <v/>
      </c>
      <c r="AG559" s="15" t="str">
        <f aca="false">IF(AND($J559=1,$M559=0),IF(AF559&gt;0.0000001,1,0),"")</f>
        <v/>
      </c>
      <c r="AH559" s="15" t="n">
        <f aca="false">IF($J559=1,IF($M559=1,AB559,AG559),"")</f>
        <v>1</v>
      </c>
      <c r="AI559" s="13" t="n">
        <f aca="false">IF($J559=1,(Ideal_P-E559)/Span_P,"")</f>
        <v>0.410504794983764</v>
      </c>
      <c r="AJ559" s="13" t="n">
        <f aca="false">IF($J559=1,(Ideal_S-F559)/Span_S,"")</f>
        <v>0.225806451612903</v>
      </c>
      <c r="AK559" s="13" t="n">
        <f aca="false">IF($J559=1,(Ideal_B-G559)/Span_B,"")</f>
        <v>0.333333333333333</v>
      </c>
      <c r="AL559" s="12" t="n">
        <f aca="false">IF($J559=1,MAX(ChA_1*AI559,ChA_2*AJ559,ChA_3*AK559)+Rho*(ChA_1*AI559+ChA_2*AJ559+ChA_3*AK559),"")</f>
        <v>0.410601759441757</v>
      </c>
      <c r="AM559" s="12" t="n">
        <f aca="false">IF($J559=1,MAX(ChB_1*AI559,ChB_2*AJ559,ChB_3*AK559)+Rho*(ChB_1*AI559+ChB_2*AJ559+ChB_3*AK559),"")</f>
        <v>0.82114760490502</v>
      </c>
      <c r="AN559" s="12" t="n">
        <f aca="false">IF($J559=1,MAX(Cx_1*(Ref_P-E559)/Span_P,Cx_2*(Ref_S-F559)/Span_S,Cx_3*(Ref_B-G559)/Span_B),"")</f>
        <v>1.05015729346743</v>
      </c>
    </row>
    <row r="560" customFormat="false" ht="15" hidden="false" customHeight="false" outlineLevel="0" collapsed="false">
      <c r="A560" s="2" t="n">
        <v>554</v>
      </c>
      <c r="B560" s="15" t="n">
        <f aca="false">INT(A560/151)</f>
        <v>3</v>
      </c>
      <c r="C560" s="15" t="n">
        <f aca="false">MOD(A560,151)</f>
        <v>101</v>
      </c>
      <c r="D560" s="15" t="n">
        <f aca="false">INDEX(Grid!$J$6:$P$156,C560+1,B560+1)</f>
        <v>1</v>
      </c>
      <c r="E560" s="16" t="n">
        <f aca="false">IF(D560=1,INDEX(Grid!$B$6:$H$156,C560+1,B560+1),"")</f>
        <v>210.234104273011</v>
      </c>
      <c r="F560" s="13" t="n">
        <f aca="false">Val_pt*(Ceiling_e-E_zero)*(1-(1-Half_gap)^B560)</f>
        <v>122.5</v>
      </c>
      <c r="G560" s="15" t="n">
        <f aca="false">C560</f>
        <v>101</v>
      </c>
      <c r="H560" s="15" t="n">
        <f aca="false">IF(D560=1,INDEX(Grid!$R$6:$X$156,C560+1,B560+1),"")</f>
        <v>44</v>
      </c>
      <c r="I560" s="2" t="str">
        <f aca="false">IF(D560=1,INDEX(Sch_label,H560+1),"")</f>
        <v>1, 3, 4</v>
      </c>
      <c r="J560" s="15" t="n">
        <f aca="false">IF(D560=1,INDEX(Grid!$Z$6:$AF$156,C560+1,B560+1),0)</f>
        <v>1</v>
      </c>
      <c r="K560" s="16" t="n">
        <f aca="false">IF(J560=1,E560,0)</f>
        <v>210.234104273011</v>
      </c>
      <c r="L560" s="17" t="n">
        <f aca="false">IF(D560=1,E560+W_board*F560,"")</f>
        <v>901.714668588888</v>
      </c>
      <c r="M560" s="24" t="n">
        <v>0</v>
      </c>
      <c r="Q560" s="24" t="n">
        <v>3</v>
      </c>
      <c r="R560" s="24" t="n">
        <v>100</v>
      </c>
      <c r="S560" s="25" t="n">
        <v>0.833302352628427</v>
      </c>
      <c r="T560" s="24" t="n">
        <v>4</v>
      </c>
      <c r="U560" s="24" t="n">
        <v>100</v>
      </c>
      <c r="V560" s="25" t="n">
        <v>0.0821695258083919</v>
      </c>
      <c r="W560" s="24" t="n">
        <v>4</v>
      </c>
      <c r="X560" s="24" t="n">
        <v>150</v>
      </c>
      <c r="Y560" s="25" t="n">
        <v>0.0845281215631755</v>
      </c>
      <c r="Z560" s="12" t="str">
        <f aca="false">IF(AND($J560=1,$M560=1),N560*E560/Span_P+O560*F560/Span_S+P560*G560/Span_B,"")</f>
        <v/>
      </c>
      <c r="AA560" s="12" t="str">
        <f aca="false">IF(AND($J560=1,$M560=1),SUMPRODUCT(MAX($J$6:$J$1062*(N560*$K$6:$K$1062/Span_P+O560*$F$6:$F$1062/Span_S+P560*$G$6:$G$1062/Span_B)-(1-$J$6:$J$1062)*1000000000)),"")</f>
        <v/>
      </c>
      <c r="AB560" s="15" t="str">
        <f aca="false">IF(AND($J560=1,$M560=1),IF(AA560-Z560&lt;=0.000000001,1,0),"")</f>
        <v/>
      </c>
      <c r="AC560" s="13" t="n">
        <f aca="false">IF(AND($J560=1,$M560=0),IF(S560="",0,S560*INDEX(Grid!$B$6:$H$156,R560+1,Q560+1))+IF(V560="",0,V560*INDEX(Grid!$B$6:$H$156,U560+1,T560+1))+IF(Y560="",0,Y560*INDEX(Grid!$B$6:$H$156,X560+1,W560+1)),"")</f>
        <v>218.022972867707</v>
      </c>
      <c r="AD560" s="13" t="n">
        <f aca="false">IF(AND($J560=1,$M560=0),IF(S560="",0,S560*Val_pt*(Ceiling_e-E_zero)*(1-(1-Half_gap)^Q560))+IF(V560="",0,V560*Val_pt*(Ceiling_e-E_zero)*(1-(1-Half_gap)^T560))+IF(Y560="",0,Y560*Val_pt*(Ceiling_e-E_zero)*(1-(1-Half_gap)^W560)),"")</f>
        <v>123.9586044145</v>
      </c>
      <c r="AE560" s="13" t="n">
        <f aca="false">IF(AND($J560=1,$M560=0),IF(S560="",0,S560*R560)+IF(V560="",0,V560*U560)+IF(Y560="",0,Y560*X560),"")</f>
        <v>104.226406078158</v>
      </c>
      <c r="AF560" s="12" t="n">
        <f aca="false">IF(AND($J560=1,$M560=0),MIN((AC560-E560)/Span_P,(AD560-F560)/Span_S,(AE560-G560)/Span_B),"")</f>
        <v>0.0215093738543846</v>
      </c>
      <c r="AG560" s="15" t="n">
        <f aca="false">IF(AND($J560=1,$M560=0),IF(AF560&gt;0.0000001,1,0),"")</f>
        <v>1</v>
      </c>
      <c r="AH560" s="15" t="n">
        <f aca="false">IF($J560=1,IF($M560=1,AB560,AG560),"")</f>
        <v>1</v>
      </c>
      <c r="AI560" s="13" t="n">
        <f aca="false">IF($J560=1,(Ideal_P-E560)/Span_P,"")</f>
        <v>0.480342417670089</v>
      </c>
      <c r="AJ560" s="13" t="n">
        <f aca="false">IF($J560=1,(Ideal_S-F560)/Span_S,"")</f>
        <v>0.225806451612903</v>
      </c>
      <c r="AK560" s="13" t="n">
        <f aca="false">IF($J560=1,(Ideal_B-G560)/Span_B,"")</f>
        <v>0.326666666666667</v>
      </c>
      <c r="AL560" s="12" t="n">
        <f aca="false">IF($J560=1,MAX(ChA_1*AI560,ChA_2*AJ560,ChA_3*AK560)+Rho*(ChA_1*AI560+ChA_2*AJ560+ChA_3*AK560),"")</f>
        <v>0.480445699223683</v>
      </c>
      <c r="AM560" s="12" t="n">
        <f aca="false">IF($J560=1,MAX(ChB_1*AI560,ChB_2*AJ560,ChB_3*AK560)+Rho*(ChB_1*AI560+ChB_2*AJ560+ChB_3*AK560),"")</f>
        <v>0.960836151135539</v>
      </c>
      <c r="AN560" s="12" t="n">
        <f aca="false">IF($J560=1,MAX(Cx_1*(Ref_P-E560)/Span_P,Cx_2*(Ref_S-F560)/Span_S,Cx_3*(Ref_B-G560)/Span_B),"")</f>
        <v>1.22456788211554</v>
      </c>
    </row>
    <row r="561" customFormat="false" ht="15" hidden="false" customHeight="false" outlineLevel="0" collapsed="false">
      <c r="A561" s="2" t="n">
        <v>555</v>
      </c>
      <c r="B561" s="15" t="n">
        <f aca="false">INT(A561/151)</f>
        <v>3</v>
      </c>
      <c r="C561" s="15" t="n">
        <f aca="false">MOD(A561,151)</f>
        <v>102</v>
      </c>
      <c r="D561" s="15" t="n">
        <f aca="false">INDEX(Grid!$J$6:$P$156,C561+1,B561+1)</f>
        <v>1</v>
      </c>
      <c r="E561" s="16" t="n">
        <f aca="false">IF(D561=1,INDEX(Grid!$B$6:$H$156,C561+1,B561+1),"")</f>
        <v>209.32501336392</v>
      </c>
      <c r="F561" s="13" t="n">
        <f aca="false">Val_pt*(Ceiling_e-E_zero)*(1-(1-Half_gap)^B561)</f>
        <v>122.5</v>
      </c>
      <c r="G561" s="15" t="n">
        <f aca="false">C561</f>
        <v>102</v>
      </c>
      <c r="H561" s="15" t="n">
        <f aca="false">IF(D561=1,INDEX(Grid!$R$6:$X$156,C561+1,B561+1),"")</f>
        <v>44</v>
      </c>
      <c r="I561" s="2" t="str">
        <f aca="false">IF(D561=1,INDEX(Sch_label,H561+1),"")</f>
        <v>1, 3, 4</v>
      </c>
      <c r="J561" s="15" t="n">
        <f aca="false">IF(D561=1,INDEX(Grid!$Z$6:$AF$156,C561+1,B561+1),0)</f>
        <v>1</v>
      </c>
      <c r="K561" s="16" t="n">
        <f aca="false">IF(J561=1,E561,0)</f>
        <v>209.32501336392</v>
      </c>
      <c r="L561" s="17" t="n">
        <f aca="false">IF(D561=1,E561+W_board*F561,"")</f>
        <v>900.805577679798</v>
      </c>
      <c r="M561" s="24" t="n">
        <v>0</v>
      </c>
      <c r="Q561" s="24" t="n">
        <v>3</v>
      </c>
      <c r="R561" s="24" t="n">
        <v>100</v>
      </c>
      <c r="S561" s="25" t="n">
        <v>0.836704345431958</v>
      </c>
      <c r="T561" s="24" t="n">
        <v>4</v>
      </c>
      <c r="U561" s="24" t="n">
        <v>100</v>
      </c>
      <c r="V561" s="25" t="n">
        <v>0.0600844334449194</v>
      </c>
      <c r="W561" s="24" t="n">
        <v>4</v>
      </c>
      <c r="X561" s="24" t="n">
        <v>150</v>
      </c>
      <c r="Y561" s="25" t="n">
        <v>0.103211221123127</v>
      </c>
      <c r="Z561" s="12" t="str">
        <f aca="false">IF(AND($J561=1,$M561=1),N561*E561/Span_P+O561*F561/Span_S+P561*G561/Span_B,"")</f>
        <v/>
      </c>
      <c r="AA561" s="12" t="str">
        <f aca="false">IF(AND($J561=1,$M561=1),SUMPRODUCT(MAX($J$6:$J$1062*(N561*$K$6:$K$1062/Span_P+O561*$F$6:$F$1062/Span_S+P561*$G$6:$G$1062/Span_B)-(1-$J$6:$J$1062)*1000000000)),"")</f>
        <v/>
      </c>
      <c r="AB561" s="15" t="str">
        <f aca="false">IF(AND($J561=1,$M561=1),IF(AA561-Z561&lt;=0.000000001,1,0),"")</f>
        <v/>
      </c>
      <c r="AC561" s="13" t="n">
        <f aca="false">IF(AND($J561=1,$M561=0),IF(S561="",0,S561*INDEX(Grid!$B$6:$H$156,R561+1,Q561+1))+IF(V561="",0,V561*INDEX(Grid!$B$6:$H$156,U561+1,T561+1))+IF(Y561="",0,Y561*INDEX(Grid!$B$6:$H$156,X561+1,W561+1)),"")</f>
        <v>216.954925456686</v>
      </c>
      <c r="AD561" s="13" t="n">
        <f aca="false">IF(AND($J561=1,$M561=0),IF(S561="",0,S561*Val_pt*(Ceiling_e-E_zero)*(1-(1-Half_gap)^Q561))+IF(V561="",0,V561*Val_pt*(Ceiling_e-E_zero)*(1-(1-Half_gap)^T561))+IF(Y561="",0,Y561*Val_pt*(Ceiling_e-E_zero)*(1-(1-Half_gap)^W561)),"")</f>
        <v>123.928836977471</v>
      </c>
      <c r="AE561" s="13" t="n">
        <f aca="false">IF(AND($J561=1,$M561=0),IF(S561="",0,S561*R561)+IF(V561="",0,V561*U561)+IF(Y561="",0,Y561*X561),"")</f>
        <v>105.160561056157</v>
      </c>
      <c r="AF561" s="12" t="n">
        <f aca="false">IF(AND($J561=1,$M561=0),MIN((AC561-E561)/Span_P,(AD561-F561)/Span_S,(AE561-G561)/Span_B),"")</f>
        <v>0.0210704070410423</v>
      </c>
      <c r="AG561" s="15" t="n">
        <f aca="false">IF(AND($J561=1,$M561=0),IF(AF561&gt;0.0000001,1,0),"")</f>
        <v>1</v>
      </c>
      <c r="AH561" s="15" t="n">
        <f aca="false">IF($J561=1,IF($M561=1,AB561,AG561),"")</f>
        <v>1</v>
      </c>
      <c r="AI561" s="13" t="n">
        <f aca="false">IF($J561=1,(Ideal_P-E561)/Span_P,"")</f>
        <v>0.482852920446394</v>
      </c>
      <c r="AJ561" s="13" t="n">
        <f aca="false">IF($J561=1,(Ideal_S-F561)/Span_S,"")</f>
        <v>0.225806451612903</v>
      </c>
      <c r="AK561" s="13" t="n">
        <f aca="false">IF($J561=1,(Ideal_B-G561)/Span_B,"")</f>
        <v>0.32</v>
      </c>
      <c r="AL561" s="12" t="n">
        <f aca="false">IF($J561=1,MAX(ChA_1*AI561,ChA_2*AJ561,ChA_3*AK561)+Rho*(ChA_1*AI561+ChA_2*AJ561+ChA_3*AK561),"")</f>
        <v>0.4829557863836</v>
      </c>
      <c r="AM561" s="12" t="n">
        <f aca="false">IF($J561=1,MAX(ChB_1*AI561,ChB_2*AJ561,ChB_3*AK561)+Rho*(ChB_1*AI561+ChB_2*AJ561+ChB_3*AK561),"")</f>
        <v>0.965856992122039</v>
      </c>
      <c r="AN561" s="12" t="n">
        <f aca="false">IF($J561=1,MAX(Cx_1*(Ref_P-E561)/Span_P,Cx_2*(Ref_S-F561)/Span_S,Cx_3*(Ref_B-G561)/Span_B),"")</f>
        <v>1.23083754379896</v>
      </c>
    </row>
    <row r="562" customFormat="false" ht="15" hidden="false" customHeight="false" outlineLevel="0" collapsed="false">
      <c r="A562" s="2" t="n">
        <v>556</v>
      </c>
      <c r="B562" s="15" t="n">
        <f aca="false">INT(A562/151)</f>
        <v>3</v>
      </c>
      <c r="C562" s="15" t="n">
        <f aca="false">MOD(A562,151)</f>
        <v>103</v>
      </c>
      <c r="D562" s="15" t="n">
        <f aca="false">INDEX(Grid!$J$6:$P$156,C562+1,B562+1)</f>
        <v>1</v>
      </c>
      <c r="E562" s="16" t="n">
        <f aca="false">IF(D562=1,INDEX(Grid!$B$6:$H$156,C562+1,B562+1),"")</f>
        <v>208.415922454829</v>
      </c>
      <c r="F562" s="13" t="n">
        <f aca="false">Val_pt*(Ceiling_e-E_zero)*(1-(1-Half_gap)^B562)</f>
        <v>122.5</v>
      </c>
      <c r="G562" s="15" t="n">
        <f aca="false">C562</f>
        <v>103</v>
      </c>
      <c r="H562" s="15" t="n">
        <f aca="false">IF(D562=1,INDEX(Grid!$R$6:$X$156,C562+1,B562+1),"")</f>
        <v>44</v>
      </c>
      <c r="I562" s="2" t="str">
        <f aca="false">IF(D562=1,INDEX(Sch_label,H562+1),"")</f>
        <v>1, 3, 4</v>
      </c>
      <c r="J562" s="15" t="n">
        <f aca="false">IF(D562=1,INDEX(Grid!$Z$6:$AF$156,C562+1,B562+1),0)</f>
        <v>1</v>
      </c>
      <c r="K562" s="16" t="n">
        <f aca="false">IF(J562=1,E562,0)</f>
        <v>208.415922454829</v>
      </c>
      <c r="L562" s="17" t="n">
        <f aca="false">IF(D562=1,E562+W_board*F562,"")</f>
        <v>899.896486770707</v>
      </c>
      <c r="M562" s="24" t="n">
        <v>0</v>
      </c>
      <c r="Q562" s="24" t="n">
        <v>3</v>
      </c>
      <c r="R562" s="24" t="n">
        <v>100</v>
      </c>
      <c r="S562" s="25" t="n">
        <v>0.718212017552441</v>
      </c>
      <c r="T562" s="24" t="n">
        <v>3</v>
      </c>
      <c r="U562" s="24" t="n">
        <v>150</v>
      </c>
      <c r="V562" s="25" t="n">
        <v>0.121894320683087</v>
      </c>
      <c r="W562" s="24" t="n">
        <v>4</v>
      </c>
      <c r="X562" s="24" t="n">
        <v>100</v>
      </c>
      <c r="Y562" s="25" t="n">
        <v>0.1598936617645</v>
      </c>
      <c r="Z562" s="12" t="str">
        <f aca="false">IF(AND($J562=1,$M562=1),N562*E562/Span_P+O562*F562/Span_S+P562*G562/Span_B,"")</f>
        <v/>
      </c>
      <c r="AA562" s="12" t="str">
        <f aca="false">IF(AND($J562=1,$M562=1),SUMPRODUCT(MAX($J$6:$J$1062*(N562*$K$6:$K$1062/Span_P+O562*$F$6:$F$1062/Span_S+P562*$G$6:$G$1062/Span_B)-(1-$J$6:$J$1062)*1000000000)),"")</f>
        <v/>
      </c>
      <c r="AB562" s="15" t="str">
        <f aca="false">IF(AND($J562=1,$M562=1),IF(AA562-Z562&lt;=0.000000001,1,0),"")</f>
        <v/>
      </c>
      <c r="AC562" s="13" t="n">
        <f aca="false">IF(AND($J562=1,$M562=0),IF(S562="",0,S562*INDEX(Grid!$B$6:$H$156,R562+1,Q562+1))+IF(V562="",0,V562*INDEX(Grid!$B$6:$H$156,U562+1,T562+1))+IF(Y562="",0,Y562*INDEX(Grid!$B$6:$H$156,X562+1,W562+1)),"")</f>
        <v>215.886878045669</v>
      </c>
      <c r="AD562" s="13" t="n">
        <f aca="false">IF(AND($J562=1,$M562=0),IF(S562="",0,S562*Val_pt*(Ceiling_e-E_zero)*(1-(1-Half_gap)^Q562))+IF(V562="",0,V562*Val_pt*(Ceiling_e-E_zero)*(1-(1-Half_gap)^T562))+IF(Y562="",0,Y562*Val_pt*(Ceiling_e-E_zero)*(1-(1-Half_gap)^W562)),"")</f>
        <v>123.899069540443</v>
      </c>
      <c r="AE562" s="13" t="n">
        <f aca="false">IF(AND($J562=1,$M562=0),IF(S562="",0,S562*R562)+IF(V562="",0,V562*U562)+IF(Y562="",0,Y562*X562),"")</f>
        <v>106.094716034157</v>
      </c>
      <c r="AF562" s="12" t="n">
        <f aca="false">IF(AND($J562=1,$M562=0),MIN((AC562-E562)/Span_P,(AD562-F562)/Span_S,(AE562-G562)/Span_B),"")</f>
        <v>0.0206314402277069</v>
      </c>
      <c r="AG562" s="15" t="n">
        <f aca="false">IF(AND($J562=1,$M562=0),IF(AF562&gt;0.0000001,1,0),"")</f>
        <v>1</v>
      </c>
      <c r="AH562" s="15" t="n">
        <f aca="false">IF($J562=1,IF($M562=1,AB562,AG562),"")</f>
        <v>1</v>
      </c>
      <c r="AI562" s="13" t="n">
        <f aca="false">IF($J562=1,(Ideal_P-E562)/Span_P,"")</f>
        <v>0.4853634232227</v>
      </c>
      <c r="AJ562" s="13" t="n">
        <f aca="false">IF($J562=1,(Ideal_S-F562)/Span_S,"")</f>
        <v>0.225806451612903</v>
      </c>
      <c r="AK562" s="13" t="n">
        <f aca="false">IF($J562=1,(Ideal_B-G562)/Span_B,"")</f>
        <v>0.313333333333333</v>
      </c>
      <c r="AL562" s="12" t="n">
        <f aca="false">IF($J562=1,MAX(ChA_1*AI562,ChA_2*AJ562,ChA_3*AK562)+Rho*(ChA_1*AI562+ChA_2*AJ562+ChA_3*AK562),"")</f>
        <v>0.485465873543517</v>
      </c>
      <c r="AM562" s="12" t="n">
        <f aca="false">IF($J562=1,MAX(ChB_1*AI562,ChB_2*AJ562,ChB_3*AK562)+Rho*(ChB_1*AI562+ChB_2*AJ562+ChB_3*AK562),"")</f>
        <v>0.970877833108539</v>
      </c>
      <c r="AN562" s="12" t="n">
        <f aca="false">IF($J562=1,MAX(Cx_1*(Ref_P-E562)/Span_P,Cx_2*(Ref_S-F562)/Span_S,Cx_3*(Ref_B-G562)/Span_B),"")</f>
        <v>1.23710720548239</v>
      </c>
    </row>
    <row r="563" customFormat="false" ht="15" hidden="false" customHeight="false" outlineLevel="0" collapsed="false">
      <c r="A563" s="2" t="n">
        <v>557</v>
      </c>
      <c r="B563" s="15" t="n">
        <f aca="false">INT(A563/151)</f>
        <v>3</v>
      </c>
      <c r="C563" s="15" t="n">
        <f aca="false">MOD(A563,151)</f>
        <v>104</v>
      </c>
      <c r="D563" s="15" t="n">
        <f aca="false">INDEX(Grid!$J$6:$P$156,C563+1,B563+1)</f>
        <v>1</v>
      </c>
      <c r="E563" s="16" t="n">
        <f aca="false">IF(D563=1,INDEX(Grid!$B$6:$H$156,C563+1,B563+1),"")</f>
        <v>207.506831545738</v>
      </c>
      <c r="F563" s="13" t="n">
        <f aca="false">Val_pt*(Ceiling_e-E_zero)*(1-(1-Half_gap)^B563)</f>
        <v>122.5</v>
      </c>
      <c r="G563" s="15" t="n">
        <f aca="false">C563</f>
        <v>104</v>
      </c>
      <c r="H563" s="15" t="n">
        <f aca="false">IF(D563=1,INDEX(Grid!$R$6:$X$156,C563+1,B563+1),"")</f>
        <v>44</v>
      </c>
      <c r="I563" s="2" t="str">
        <f aca="false">IF(D563=1,INDEX(Sch_label,H563+1),"")</f>
        <v>1, 3, 4</v>
      </c>
      <c r="J563" s="15" t="n">
        <f aca="false">IF(D563=1,INDEX(Grid!$Z$6:$AF$156,C563+1,B563+1),0)</f>
        <v>1</v>
      </c>
      <c r="K563" s="16" t="n">
        <f aca="false">IF(J563=1,E563,0)</f>
        <v>207.506831545738</v>
      </c>
      <c r="L563" s="17" t="n">
        <f aca="false">IF(D563=1,E563+W_board*F563,"")</f>
        <v>898.987395861616</v>
      </c>
      <c r="M563" s="24" t="n">
        <v>0</v>
      </c>
      <c r="Q563" s="24" t="n">
        <v>3</v>
      </c>
      <c r="R563" s="24" t="n">
        <v>100</v>
      </c>
      <c r="S563" s="25" t="n">
        <v>0.843508331038958</v>
      </c>
      <c r="T563" s="24" t="n">
        <v>4</v>
      </c>
      <c r="U563" s="24" t="n">
        <v>100</v>
      </c>
      <c r="V563" s="25" t="n">
        <v>0.0159142487180486</v>
      </c>
      <c r="W563" s="24" t="n">
        <v>4</v>
      </c>
      <c r="X563" s="24" t="n">
        <v>150</v>
      </c>
      <c r="Y563" s="25" t="n">
        <v>0.140577420242992</v>
      </c>
      <c r="Z563" s="12" t="str">
        <f aca="false">IF(AND($J563=1,$M563=1),N563*E563/Span_P+O563*F563/Span_S+P563*G563/Span_B,"")</f>
        <v/>
      </c>
      <c r="AA563" s="12" t="str">
        <f aca="false">IF(AND($J563=1,$M563=1),SUMPRODUCT(MAX($J$6:$J$1062*(N563*$K$6:$K$1062/Span_P+O563*$F$6:$F$1062/Span_S+P563*$G$6:$G$1062/Span_B)-(1-$J$6:$J$1062)*1000000000)),"")</f>
        <v/>
      </c>
      <c r="AB563" s="15" t="str">
        <f aca="false">IF(AND($J563=1,$M563=1),IF(AA563-Z563&lt;=0.000000001,1,0),"")</f>
        <v/>
      </c>
      <c r="AC563" s="13" t="n">
        <f aca="false">IF(AND($J563=1,$M563=0),IF(S563="",0,S563*INDEX(Grid!$B$6:$H$156,R563+1,Q563+1))+IF(V563="",0,V563*INDEX(Grid!$B$6:$H$156,U563+1,T563+1))+IF(Y563="",0,Y563*INDEX(Grid!$B$6:$H$156,X563+1,W563+1)),"")</f>
        <v>214.818830634638</v>
      </c>
      <c r="AD563" s="13" t="n">
        <f aca="false">IF(AND($J563=1,$M563=0),IF(S563="",0,S563*Val_pt*(Ceiling_e-E_zero)*(1-(1-Half_gap)^Q563))+IF(V563="",0,V563*Val_pt*(Ceiling_e-E_zero)*(1-(1-Half_gap)^T563))+IF(Y563="",0,Y563*Val_pt*(Ceiling_e-E_zero)*(1-(1-Half_gap)^W563)),"")</f>
        <v>123.869302103409</v>
      </c>
      <c r="AE563" s="13" t="n">
        <f aca="false">IF(AND($J563=1,$M563=0),IF(S563="",0,S563*R563)+IF(V563="",0,V563*U563)+IF(Y563="",0,Y563*X563),"")</f>
        <v>107.028871012149</v>
      </c>
      <c r="AF563" s="12" t="n">
        <f aca="false">IF(AND($J563=1,$M563=0),MIN((AC563-E563)/Span_P,(AD563-F563)/Span_S,(AE563-G563)/Span_B),"")</f>
        <v>0.0201924734143252</v>
      </c>
      <c r="AG563" s="15" t="n">
        <f aca="false">IF(AND($J563=1,$M563=0),IF(AF563&gt;0.0000001,1,0),"")</f>
        <v>1</v>
      </c>
      <c r="AH563" s="15" t="n">
        <f aca="false">IF($J563=1,IF($M563=1,AB563,AG563),"")</f>
        <v>1</v>
      </c>
      <c r="AI563" s="13" t="n">
        <f aca="false">IF($J563=1,(Ideal_P-E563)/Span_P,"")</f>
        <v>0.487873925999006</v>
      </c>
      <c r="AJ563" s="13" t="n">
        <f aca="false">IF($J563=1,(Ideal_S-F563)/Span_S,"")</f>
        <v>0.225806451612903</v>
      </c>
      <c r="AK563" s="13" t="n">
        <f aca="false">IF($J563=1,(Ideal_B-G563)/Span_B,"")</f>
        <v>0.306666666666667</v>
      </c>
      <c r="AL563" s="12" t="n">
        <f aca="false">IF($J563=1,MAX(ChA_1*AI563,ChA_2*AJ563,ChA_3*AK563)+Rho*(ChA_1*AI563+ChA_2*AJ563+ChA_3*AK563),"")</f>
        <v>0.487975960703434</v>
      </c>
      <c r="AM563" s="12" t="n">
        <f aca="false">IF($J563=1,MAX(ChB_1*AI563,ChB_2*AJ563,ChB_3*AK563)+Rho*(ChB_1*AI563+ChB_2*AJ563+ChB_3*AK563),"")</f>
        <v>0.97589867409504</v>
      </c>
      <c r="AN563" s="12" t="n">
        <f aca="false">IF($J563=1,MAX(Cx_1*(Ref_P-E563)/Span_P,Cx_2*(Ref_S-F563)/Span_S,Cx_3*(Ref_B-G563)/Span_B),"")</f>
        <v>1.24337686716582</v>
      </c>
    </row>
    <row r="564" customFormat="false" ht="15" hidden="false" customHeight="false" outlineLevel="0" collapsed="false">
      <c r="A564" s="2" t="n">
        <v>558</v>
      </c>
      <c r="B564" s="15" t="n">
        <f aca="false">INT(A564/151)</f>
        <v>3</v>
      </c>
      <c r="C564" s="15" t="n">
        <f aca="false">MOD(A564,151)</f>
        <v>105</v>
      </c>
      <c r="D564" s="15" t="n">
        <f aca="false">INDEX(Grid!$J$6:$P$156,C564+1,B564+1)</f>
        <v>1</v>
      </c>
      <c r="E564" s="16" t="n">
        <f aca="false">IF(D564=1,INDEX(Grid!$B$6:$H$156,C564+1,B564+1),"")</f>
        <v>206.597740636648</v>
      </c>
      <c r="F564" s="13" t="n">
        <f aca="false">Val_pt*(Ceiling_e-E_zero)*(1-(1-Half_gap)^B564)</f>
        <v>122.5</v>
      </c>
      <c r="G564" s="15" t="n">
        <f aca="false">C564</f>
        <v>105</v>
      </c>
      <c r="H564" s="15" t="n">
        <f aca="false">IF(D564=1,INDEX(Grid!$R$6:$X$156,C564+1,B564+1),"")</f>
        <v>44</v>
      </c>
      <c r="I564" s="2" t="str">
        <f aca="false">IF(D564=1,INDEX(Sch_label,H564+1),"")</f>
        <v>1, 3, 4</v>
      </c>
      <c r="J564" s="15" t="n">
        <f aca="false">IF(D564=1,INDEX(Grid!$Z$6:$AF$156,C564+1,B564+1),0)</f>
        <v>1</v>
      </c>
      <c r="K564" s="16" t="n">
        <f aca="false">IF(J564=1,E564,0)</f>
        <v>206.597740636648</v>
      </c>
      <c r="L564" s="17" t="n">
        <f aca="false">IF(D564=1,E564+W_board*F564,"")</f>
        <v>898.078304952525</v>
      </c>
      <c r="M564" s="24" t="n">
        <v>0</v>
      </c>
      <c r="Q564" s="24" t="n">
        <v>3</v>
      </c>
      <c r="R564" s="24" t="n">
        <v>100</v>
      </c>
      <c r="S564" s="25" t="n">
        <v>0.840739480197111</v>
      </c>
      <c r="T564" s="24" t="n">
        <v>3</v>
      </c>
      <c r="U564" s="24" t="n">
        <v>150</v>
      </c>
      <c r="V564" s="25" t="n">
        <v>0.0061708436452159</v>
      </c>
      <c r="W564" s="24" t="n">
        <v>4</v>
      </c>
      <c r="X564" s="24" t="n">
        <v>150</v>
      </c>
      <c r="Y564" s="25" t="n">
        <v>0.153089676157656</v>
      </c>
      <c r="Z564" s="12" t="str">
        <f aca="false">IF(AND($J564=1,$M564=1),N564*E564/Span_P+O564*F564/Span_S+P564*G564/Span_B,"")</f>
        <v/>
      </c>
      <c r="AA564" s="12" t="str">
        <f aca="false">IF(AND($J564=1,$M564=1),SUMPRODUCT(MAX($J$6:$J$1062*(N564*$K$6:$K$1062/Span_P+O564*$F$6:$F$1062/Span_S+P564*$G$6:$G$1062/Span_B)-(1-$J$6:$J$1062)*1000000000)),"")</f>
        <v/>
      </c>
      <c r="AB564" s="15" t="str">
        <f aca="false">IF(AND($J564=1,$M564=1),IF(AA564-Z564&lt;=0.000000001,1,0),"")</f>
        <v/>
      </c>
      <c r="AC564" s="13" t="n">
        <f aca="false">IF(AND($J564=1,$M564=0),IF(S564="",0,S564*INDEX(Grid!$B$6:$H$156,R564+1,Q564+1))+IF(V564="",0,V564*INDEX(Grid!$B$6:$H$156,U564+1,T564+1))+IF(Y564="",0,Y564*INDEX(Grid!$B$6:$H$156,X564+1,W564+1)),"")</f>
        <v>213.750783223607</v>
      </c>
      <c r="AD564" s="13" t="n">
        <f aca="false">IF(AND($J564=1,$M564=0),IF(S564="",0,S564*Val_pt*(Ceiling_e-E_zero)*(1-(1-Half_gap)^Q564))+IF(V564="",0,V564*Val_pt*(Ceiling_e-E_zero)*(1-(1-Half_gap)^T564))+IF(Y564="",0,Y564*Val_pt*(Ceiling_e-E_zero)*(1-(1-Half_gap)^W564)),"")</f>
        <v>123.839534666377</v>
      </c>
      <c r="AE564" s="13" t="n">
        <f aca="false">IF(AND($J564=1,$M564=0),IF(S564="",0,S564*R564)+IF(V564="",0,V564*U564)+IF(Y564="",0,Y564*X564),"")</f>
        <v>107.963025990142</v>
      </c>
      <c r="AF564" s="12" t="n">
        <f aca="false">IF(AND($J564=1,$M564=0),MIN((AC564-E564)/Span_P,(AD564-F564)/Span_S,(AE564-G564)/Span_B),"")</f>
        <v>0.0197535066009457</v>
      </c>
      <c r="AG564" s="15" t="n">
        <f aca="false">IF(AND($J564=1,$M564=0),IF(AF564&gt;0.0000001,1,0),"")</f>
        <v>1</v>
      </c>
      <c r="AH564" s="15" t="n">
        <f aca="false">IF($J564=1,IF($M564=1,AB564,AG564),"")</f>
        <v>1</v>
      </c>
      <c r="AI564" s="13" t="n">
        <f aca="false">IF($J564=1,(Ideal_P-E564)/Span_P,"")</f>
        <v>0.490384428775312</v>
      </c>
      <c r="AJ564" s="13" t="n">
        <f aca="false">IF($J564=1,(Ideal_S-F564)/Span_S,"")</f>
        <v>0.225806451612903</v>
      </c>
      <c r="AK564" s="13" t="n">
        <f aca="false">IF($J564=1,(Ideal_B-G564)/Span_B,"")</f>
        <v>0.3</v>
      </c>
      <c r="AL564" s="12" t="n">
        <f aca="false">IF($J564=1,MAX(ChA_1*AI564,ChA_2*AJ564,ChA_3*AK564)+Rho*(ChA_1*AI564+ChA_2*AJ564+ChA_3*AK564),"")</f>
        <v>0.49048604786335</v>
      </c>
      <c r="AM564" s="12" t="n">
        <f aca="false">IF($J564=1,MAX(ChB_1*AI564,ChB_2*AJ564,ChB_3*AK564)+Rho*(ChB_1*AI564+ChB_2*AJ564+ChB_3*AK564),"")</f>
        <v>0.98091951508154</v>
      </c>
      <c r="AN564" s="12" t="n">
        <f aca="false">IF($J564=1,MAX(Cx_1*(Ref_P-E564)/Span_P,Cx_2*(Ref_S-F564)/Span_S,Cx_3*(Ref_B-G564)/Span_B),"")</f>
        <v>1.24964652884925</v>
      </c>
    </row>
    <row r="565" customFormat="false" ht="15" hidden="false" customHeight="false" outlineLevel="0" collapsed="false">
      <c r="A565" s="2" t="n">
        <v>559</v>
      </c>
      <c r="B565" s="15" t="n">
        <f aca="false">INT(A565/151)</f>
        <v>3</v>
      </c>
      <c r="C565" s="15" t="n">
        <f aca="false">MOD(A565,151)</f>
        <v>106</v>
      </c>
      <c r="D565" s="15" t="n">
        <f aca="false">INDEX(Grid!$J$6:$P$156,C565+1,B565+1)</f>
        <v>1</v>
      </c>
      <c r="E565" s="16" t="n">
        <f aca="false">IF(D565=1,INDEX(Grid!$B$6:$H$156,C565+1,B565+1),"")</f>
        <v>205.688649727557</v>
      </c>
      <c r="F565" s="13" t="n">
        <f aca="false">Val_pt*(Ceiling_e-E_zero)*(1-(1-Half_gap)^B565)</f>
        <v>122.5</v>
      </c>
      <c r="G565" s="15" t="n">
        <f aca="false">C565</f>
        <v>106</v>
      </c>
      <c r="H565" s="15" t="n">
        <f aca="false">IF(D565=1,INDEX(Grid!$R$6:$X$156,C565+1,B565+1),"")</f>
        <v>44</v>
      </c>
      <c r="I565" s="2" t="str">
        <f aca="false">IF(D565=1,INDEX(Sch_label,H565+1),"")</f>
        <v>1, 3, 4</v>
      </c>
      <c r="J565" s="15" t="n">
        <f aca="false">IF(D565=1,INDEX(Grid!$Z$6:$AF$156,C565+1,B565+1),0)</f>
        <v>1</v>
      </c>
      <c r="K565" s="16" t="n">
        <f aca="false">IF(J565=1,E565,0)</f>
        <v>205.688649727557</v>
      </c>
      <c r="L565" s="17" t="n">
        <f aca="false">IF(D565=1,E565+W_board*F565,"")</f>
        <v>897.169214043434</v>
      </c>
      <c r="M565" s="24" t="n">
        <v>0</v>
      </c>
      <c r="Q565" s="24" t="n">
        <v>3</v>
      </c>
      <c r="R565" s="24" t="n">
        <v>100</v>
      </c>
      <c r="S565" s="25" t="n">
        <v>0.672368697283081</v>
      </c>
      <c r="T565" s="24" t="n">
        <v>3</v>
      </c>
      <c r="U565" s="24" t="n">
        <v>150</v>
      </c>
      <c r="V565" s="25" t="n">
        <v>0.17794361936288</v>
      </c>
      <c r="W565" s="24" t="n">
        <v>4</v>
      </c>
      <c r="X565" s="24" t="n">
        <v>100</v>
      </c>
      <c r="Y565" s="25" t="n">
        <v>0.149687683354068</v>
      </c>
      <c r="Z565" s="12" t="str">
        <f aca="false">IF(AND($J565=1,$M565=1),N565*E565/Span_P+O565*F565/Span_S+P565*G565/Span_B,"")</f>
        <v/>
      </c>
      <c r="AA565" s="12" t="str">
        <f aca="false">IF(AND($J565=1,$M565=1),SUMPRODUCT(MAX($J$6:$J$1062*(N565*$K$6:$K$1062/Span_P+O565*$F$6:$F$1062/Span_S+P565*$G$6:$G$1062/Span_B)-(1-$J$6:$J$1062)*1000000000)),"")</f>
        <v/>
      </c>
      <c r="AB565" s="15" t="str">
        <f aca="false">IF(AND($J565=1,$M565=1),IF(AA565-Z565&lt;=0.000000001,1,0),"")</f>
        <v/>
      </c>
      <c r="AC565" s="13" t="n">
        <f aca="false">IF(AND($J565=1,$M565=0),IF(S565="",0,S565*INDEX(Grid!$B$6:$H$156,R565+1,Q565+1))+IF(V565="",0,V565*INDEX(Grid!$B$6:$H$156,U565+1,T565+1))+IF(Y565="",0,Y565*INDEX(Grid!$B$6:$H$156,X565+1,W565+1)),"")</f>
        <v>212.682735812595</v>
      </c>
      <c r="AD565" s="13" t="n">
        <f aca="false">IF(AND($J565=1,$M565=0),IF(S565="",0,S565*Val_pt*(Ceiling_e-E_zero)*(1-(1-Half_gap)^Q565))+IF(V565="",0,V565*Val_pt*(Ceiling_e-E_zero)*(1-(1-Half_gap)^T565))+IF(Y565="",0,Y565*Val_pt*(Ceiling_e-E_zero)*(1-(1-Half_gap)^W565)),"")</f>
        <v>123.809767229352</v>
      </c>
      <c r="AE565" s="13" t="n">
        <f aca="false">IF(AND($J565=1,$M565=0),IF(S565="",0,S565*R565)+IF(V565="",0,V565*U565)+IF(Y565="",0,Y565*X565),"")</f>
        <v>108.897180968147</v>
      </c>
      <c r="AF565" s="12" t="n">
        <f aca="false">IF(AND($J565=1,$M565=0),MIN((AC565-E565)/Span_P,(AD565-F565)/Span_S,(AE565-G565)/Span_B),"")</f>
        <v>0.0193145397876309</v>
      </c>
      <c r="AG565" s="15" t="n">
        <f aca="false">IF(AND($J565=1,$M565=0),IF(AF565&gt;0.0000001,1,0),"")</f>
        <v>1</v>
      </c>
      <c r="AH565" s="15" t="n">
        <f aca="false">IF($J565=1,IF($M565=1,AB565,AG565),"")</f>
        <v>1</v>
      </c>
      <c r="AI565" s="13" t="n">
        <f aca="false">IF($J565=1,(Ideal_P-E565)/Span_P,"")</f>
        <v>0.492894931551617</v>
      </c>
      <c r="AJ565" s="13" t="n">
        <f aca="false">IF($J565=1,(Ideal_S-F565)/Span_S,"")</f>
        <v>0.225806451612903</v>
      </c>
      <c r="AK565" s="13" t="n">
        <f aca="false">IF($J565=1,(Ideal_B-G565)/Span_B,"")</f>
        <v>0.293333333333333</v>
      </c>
      <c r="AL565" s="12" t="n">
        <f aca="false">IF($J565=1,MAX(ChA_1*AI565,ChA_2*AJ565,ChA_3*AK565)+Rho*(ChA_1*AI565+ChA_2*AJ565+ChA_3*AK565),"")</f>
        <v>0.492996135023267</v>
      </c>
      <c r="AM565" s="12" t="n">
        <f aca="false">IF($J565=1,MAX(ChB_1*AI565,ChB_2*AJ565,ChB_3*AK565)+Rho*(ChB_1*AI565+ChB_2*AJ565+ChB_3*AK565),"")</f>
        <v>0.98594035606804</v>
      </c>
      <c r="AN565" s="12" t="n">
        <f aca="false">IF($J565=1,MAX(Cx_1*(Ref_P-E565)/Span_P,Cx_2*(Ref_S-F565)/Span_S,Cx_3*(Ref_B-G565)/Span_B),"")</f>
        <v>1.25591619053268</v>
      </c>
    </row>
    <row r="566" customFormat="false" ht="15" hidden="false" customHeight="false" outlineLevel="0" collapsed="false">
      <c r="A566" s="2" t="n">
        <v>560</v>
      </c>
      <c r="B566" s="15" t="n">
        <f aca="false">INT(A566/151)</f>
        <v>3</v>
      </c>
      <c r="C566" s="15" t="n">
        <f aca="false">MOD(A566,151)</f>
        <v>107</v>
      </c>
      <c r="D566" s="15" t="n">
        <f aca="false">INDEX(Grid!$J$6:$P$156,C566+1,B566+1)</f>
        <v>1</v>
      </c>
      <c r="E566" s="16" t="n">
        <f aca="false">IF(D566=1,INDEX(Grid!$B$6:$H$156,C566+1,B566+1),"")</f>
        <v>204.779558818466</v>
      </c>
      <c r="F566" s="13" t="n">
        <f aca="false">Val_pt*(Ceiling_e-E_zero)*(1-(1-Half_gap)^B566)</f>
        <v>122.5</v>
      </c>
      <c r="G566" s="15" t="n">
        <f aca="false">C566</f>
        <v>107</v>
      </c>
      <c r="H566" s="15" t="n">
        <f aca="false">IF(D566=1,INDEX(Grid!$R$6:$X$156,C566+1,B566+1),"")</f>
        <v>44</v>
      </c>
      <c r="I566" s="2" t="str">
        <f aca="false">IF(D566=1,INDEX(Sch_label,H566+1),"")</f>
        <v>1, 3, 4</v>
      </c>
      <c r="J566" s="15" t="n">
        <f aca="false">IF(D566=1,INDEX(Grid!$Z$6:$AF$156,C566+1,B566+1),0)</f>
        <v>1</v>
      </c>
      <c r="K566" s="16" t="n">
        <f aca="false">IF(J566=1,E566,0)</f>
        <v>204.779558818466</v>
      </c>
      <c r="L566" s="17" t="n">
        <f aca="false">IF(D566=1,E566+W_board*F566,"")</f>
        <v>896.260123134343</v>
      </c>
      <c r="M566" s="24" t="n">
        <v>0</v>
      </c>
      <c r="Q566" s="24" t="n">
        <v>3</v>
      </c>
      <c r="R566" s="24" t="n">
        <v>100</v>
      </c>
      <c r="S566" s="25" t="n">
        <v>0.657087590526648</v>
      </c>
      <c r="T566" s="24" t="n">
        <v>3</v>
      </c>
      <c r="U566" s="24" t="n">
        <v>150</v>
      </c>
      <c r="V566" s="25" t="n">
        <v>0.196626718922805</v>
      </c>
      <c r="W566" s="24" t="n">
        <v>4</v>
      </c>
      <c r="X566" s="24" t="n">
        <v>100</v>
      </c>
      <c r="Y566" s="25" t="n">
        <v>0.146285690550545</v>
      </c>
      <c r="Z566" s="12" t="str">
        <f aca="false">IF(AND($J566=1,$M566=1),N566*E566/Span_P+O566*F566/Span_S+P566*G566/Span_B,"")</f>
        <v/>
      </c>
      <c r="AA566" s="12" t="str">
        <f aca="false">IF(AND($J566=1,$M566=1),SUMPRODUCT(MAX($J$6:$J$1062*(N566*$K$6:$K$1062/Span_P+O566*$F$6:$F$1062/Span_S+P566*$G$6:$G$1062/Span_B)-(1-$J$6:$J$1062)*1000000000)),"")</f>
        <v/>
      </c>
      <c r="AB566" s="15" t="str">
        <f aca="false">IF(AND($J566=1,$M566=1),IF(AA566-Z566&lt;=0.000000001,1,0),"")</f>
        <v/>
      </c>
      <c r="AC566" s="13" t="n">
        <f aca="false">IF(AND($J566=1,$M566=0),IF(S566="",0,S566*INDEX(Grid!$B$6:$H$156,R566+1,Q566+1))+IF(V566="",0,V566*INDEX(Grid!$B$6:$H$156,U566+1,T566+1))+IF(Y566="",0,Y566*INDEX(Grid!$B$6:$H$156,X566+1,W566+1)),"")</f>
        <v>211.614688401567</v>
      </c>
      <c r="AD566" s="13" t="n">
        <f aca="false">IF(AND($J566=1,$M566=0),IF(S566="",0,S566*Val_pt*(Ceiling_e-E_zero)*(1-(1-Half_gap)^Q566))+IF(V566="",0,V566*Val_pt*(Ceiling_e-E_zero)*(1-(1-Half_gap)^T566))+IF(Y566="",0,Y566*Val_pt*(Ceiling_e-E_zero)*(1-(1-Half_gap)^W566)),"")</f>
        <v>123.779999792317</v>
      </c>
      <c r="AE566" s="13" t="n">
        <f aca="false">IF(AND($J566=1,$M566=0),IF(S566="",0,S566*R566)+IF(V566="",0,V566*U566)+IF(Y566="",0,Y566*X566),"")</f>
        <v>109.83133594614</v>
      </c>
      <c r="AF566" s="12" t="n">
        <f aca="false">IF(AND($J566=1,$M566=0),MIN((AC566-E566)/Span_P,(AD566-F566)/Span_S,(AE566-G566)/Span_B),"")</f>
        <v>0.018875572974262</v>
      </c>
      <c r="AG566" s="15" t="n">
        <f aca="false">IF(AND($J566=1,$M566=0),IF(AF566&gt;0.0000001,1,0),"")</f>
        <v>1</v>
      </c>
      <c r="AH566" s="15" t="n">
        <f aca="false">IF($J566=1,IF($M566=1,AB566,AG566),"")</f>
        <v>1</v>
      </c>
      <c r="AI566" s="13" t="n">
        <f aca="false">IF($J566=1,(Ideal_P-E566)/Span_P,"")</f>
        <v>0.495405434327923</v>
      </c>
      <c r="AJ566" s="13" t="n">
        <f aca="false">IF($J566=1,(Ideal_S-F566)/Span_S,"")</f>
        <v>0.225806451612903</v>
      </c>
      <c r="AK566" s="13" t="n">
        <f aca="false">IF($J566=1,(Ideal_B-G566)/Span_B,"")</f>
        <v>0.286666666666667</v>
      </c>
      <c r="AL566" s="12" t="n">
        <f aca="false">IF($J566=1,MAX(ChA_1*AI566,ChA_2*AJ566,ChA_3*AK566)+Rho*(ChA_1*AI566+ChA_2*AJ566+ChA_3*AK566),"")</f>
        <v>0.495506222183184</v>
      </c>
      <c r="AM566" s="12" t="n">
        <f aca="false">IF($J566=1,MAX(ChB_1*AI566,ChB_2*AJ566,ChB_3*AK566)+Rho*(ChB_1*AI566+ChB_2*AJ566+ChB_3*AK566),"")</f>
        <v>0.99096119705454</v>
      </c>
      <c r="AN566" s="12" t="n">
        <f aca="false">IF($J566=1,MAX(Cx_1*(Ref_P-E566)/Span_P,Cx_2*(Ref_S-F566)/Span_S,Cx_3*(Ref_B-G566)/Span_B),"")</f>
        <v>1.26218585221611</v>
      </c>
    </row>
    <row r="567" customFormat="false" ht="15" hidden="false" customHeight="false" outlineLevel="0" collapsed="false">
      <c r="A567" s="2" t="n">
        <v>561</v>
      </c>
      <c r="B567" s="15" t="n">
        <f aca="false">INT(A567/151)</f>
        <v>3</v>
      </c>
      <c r="C567" s="15" t="n">
        <f aca="false">MOD(A567,151)</f>
        <v>108</v>
      </c>
      <c r="D567" s="15" t="n">
        <f aca="false">INDEX(Grid!$J$6:$P$156,C567+1,B567+1)</f>
        <v>1</v>
      </c>
      <c r="E567" s="16" t="n">
        <f aca="false">IF(D567=1,INDEX(Grid!$B$6:$H$156,C567+1,B567+1),"")</f>
        <v>203.870467909375</v>
      </c>
      <c r="F567" s="13" t="n">
        <f aca="false">Val_pt*(Ceiling_e-E_zero)*(1-(1-Half_gap)^B567)</f>
        <v>122.5</v>
      </c>
      <c r="G567" s="15" t="n">
        <f aca="false">C567</f>
        <v>108</v>
      </c>
      <c r="H567" s="15" t="n">
        <f aca="false">IF(D567=1,INDEX(Grid!$R$6:$X$156,C567+1,B567+1),"")</f>
        <v>44</v>
      </c>
      <c r="I567" s="2" t="str">
        <f aca="false">IF(D567=1,INDEX(Sch_label,H567+1),"")</f>
        <v>1, 3, 4</v>
      </c>
      <c r="J567" s="15" t="n">
        <f aca="false">IF(D567=1,INDEX(Grid!$Z$6:$AF$156,C567+1,B567+1),0)</f>
        <v>1</v>
      </c>
      <c r="K567" s="16" t="n">
        <f aca="false">IF(J567=1,E567,0)</f>
        <v>203.870467909375</v>
      </c>
      <c r="L567" s="17" t="n">
        <f aca="false">IF(D567=1,E567+W_board*F567,"")</f>
        <v>895.351032225252</v>
      </c>
      <c r="M567" s="24" t="n">
        <v>0</v>
      </c>
      <c r="Q567" s="24" t="n">
        <v>3</v>
      </c>
      <c r="R567" s="24" t="n">
        <v>100</v>
      </c>
      <c r="S567" s="25" t="n">
        <v>0.641806483770181</v>
      </c>
      <c r="T567" s="24" t="n">
        <v>3</v>
      </c>
      <c r="U567" s="24" t="n">
        <v>150</v>
      </c>
      <c r="V567" s="25" t="n">
        <v>0.215309818482693</v>
      </c>
      <c r="W567" s="24" t="n">
        <v>4</v>
      </c>
      <c r="X567" s="24" t="n">
        <v>100</v>
      </c>
      <c r="Y567" s="25" t="n">
        <v>0.1428836977471</v>
      </c>
      <c r="Z567" s="12" t="str">
        <f aca="false">IF(AND($J567=1,$M567=1),N567*E567/Span_P+O567*F567/Span_S+P567*G567/Span_B,"")</f>
        <v/>
      </c>
      <c r="AA567" s="12" t="str">
        <f aca="false">IF(AND($J567=1,$M567=1),SUMPRODUCT(MAX($J$6:$J$1062*(N567*$K$6:$K$1062/Span_P+O567*$F$6:$F$1062/Span_S+P567*$G$6:$G$1062/Span_B)-(1-$J$6:$J$1062)*1000000000)),"")</f>
        <v/>
      </c>
      <c r="AB567" s="15" t="str">
        <f aca="false">IF(AND($J567=1,$M567=1),IF(AA567-Z567&lt;=0.000000001,1,0),"")</f>
        <v/>
      </c>
      <c r="AC567" s="13" t="n">
        <f aca="false">IF(AND($J567=1,$M567=0),IF(S567="",0,S567*INDEX(Grid!$B$6:$H$156,R567+1,Q567+1))+IF(V567="",0,V567*INDEX(Grid!$B$6:$H$156,U567+1,T567+1))+IF(Y567="",0,Y567*INDEX(Grid!$B$6:$H$156,X567+1,W567+1)),"")</f>
        <v>210.546640990536</v>
      </c>
      <c r="AD567" s="13" t="n">
        <f aca="false">IF(AND($J567=1,$M567=0),IF(S567="",0,S567*Val_pt*(Ceiling_e-E_zero)*(1-(1-Half_gap)^Q567))+IF(V567="",0,V567*Val_pt*(Ceiling_e-E_zero)*(1-(1-Half_gap)^T567))+IF(Y567="",0,Y567*Val_pt*(Ceiling_e-E_zero)*(1-(1-Half_gap)^W567)),"")</f>
        <v>123.750232355284</v>
      </c>
      <c r="AE567" s="13" t="n">
        <f aca="false">IF(AND($J567=1,$M567=0),IF(S567="",0,S567*R567)+IF(V567="",0,V567*U567)+IF(Y567="",0,Y567*X567),"")</f>
        <v>110.765490924132</v>
      </c>
      <c r="AF567" s="12" t="n">
        <f aca="false">IF(AND($J567=1,$M567=0),MIN((AC567-E567)/Span_P,(AD567-F567)/Span_S,(AE567-G567)/Span_B),"")</f>
        <v>0.0184366061608679</v>
      </c>
      <c r="AG567" s="15" t="n">
        <f aca="false">IF(AND($J567=1,$M567=0),IF(AF567&gt;0.0000001,1,0),"")</f>
        <v>1</v>
      </c>
      <c r="AH567" s="15" t="n">
        <f aca="false">IF($J567=1,IF($M567=1,AB567,AG567),"")</f>
        <v>1</v>
      </c>
      <c r="AI567" s="13" t="n">
        <f aca="false">IF($J567=1,(Ideal_P-E567)/Span_P,"")</f>
        <v>0.497915937104229</v>
      </c>
      <c r="AJ567" s="13" t="n">
        <f aca="false">IF($J567=1,(Ideal_S-F567)/Span_S,"")</f>
        <v>0.225806451612903</v>
      </c>
      <c r="AK567" s="13" t="n">
        <f aca="false">IF($J567=1,(Ideal_B-G567)/Span_B,"")</f>
        <v>0.28</v>
      </c>
      <c r="AL567" s="12" t="n">
        <f aca="false">IF($J567=1,MAX(ChA_1*AI567,ChA_2*AJ567,ChA_3*AK567)+Rho*(ChA_1*AI567+ChA_2*AJ567+ChA_3*AK567),"")</f>
        <v>0.498016309343101</v>
      </c>
      <c r="AM567" s="12" t="n">
        <f aca="false">IF($J567=1,MAX(ChB_1*AI567,ChB_2*AJ567,ChB_3*AK567)+Rho*(ChB_1*AI567+ChB_2*AJ567+ChB_3*AK567),"")</f>
        <v>0.99598203804104</v>
      </c>
      <c r="AN567" s="12" t="n">
        <f aca="false">IF($J567=1,MAX(Cx_1*(Ref_P-E567)/Span_P,Cx_2*(Ref_S-F567)/Span_S,Cx_3*(Ref_B-G567)/Span_B),"")</f>
        <v>1.26845551389954</v>
      </c>
    </row>
    <row r="568" customFormat="false" ht="15" hidden="false" customHeight="false" outlineLevel="0" collapsed="false">
      <c r="A568" s="2" t="n">
        <v>562</v>
      </c>
      <c r="B568" s="15" t="n">
        <f aca="false">INT(A568/151)</f>
        <v>3</v>
      </c>
      <c r="C568" s="15" t="n">
        <f aca="false">MOD(A568,151)</f>
        <v>109</v>
      </c>
      <c r="D568" s="15" t="n">
        <f aca="false">INDEX(Grid!$J$6:$P$156,C568+1,B568+1)</f>
        <v>1</v>
      </c>
      <c r="E568" s="16" t="n">
        <f aca="false">IF(D568=1,INDEX(Grid!$B$6:$H$156,C568+1,B568+1),"")</f>
        <v>202.961377000284</v>
      </c>
      <c r="F568" s="13" t="n">
        <f aca="false">Val_pt*(Ceiling_e-E_zero)*(1-(1-Half_gap)^B568)</f>
        <v>122.5</v>
      </c>
      <c r="G568" s="15" t="n">
        <f aca="false">C568</f>
        <v>109</v>
      </c>
      <c r="H568" s="15" t="n">
        <f aca="false">IF(D568=1,INDEX(Grid!$R$6:$X$156,C568+1,B568+1),"")</f>
        <v>44</v>
      </c>
      <c r="I568" s="2" t="str">
        <f aca="false">IF(D568=1,INDEX(Sch_label,H568+1),"")</f>
        <v>1, 3, 4</v>
      </c>
      <c r="J568" s="15" t="n">
        <f aca="false">IF(D568=1,INDEX(Grid!$Z$6:$AF$156,C568+1,B568+1),0)</f>
        <v>1</v>
      </c>
      <c r="K568" s="16" t="n">
        <f aca="false">IF(J568=1,E568,0)</f>
        <v>202.961377000284</v>
      </c>
      <c r="L568" s="17" t="n">
        <f aca="false">IF(D568=1,E568+W_board*F568,"")</f>
        <v>894.441941316161</v>
      </c>
      <c r="M568" s="24" t="n">
        <v>0</v>
      </c>
      <c r="Q568" s="24" t="n">
        <v>3</v>
      </c>
      <c r="R568" s="24" t="n">
        <v>100</v>
      </c>
      <c r="S568" s="25" t="n">
        <v>0.626525377013726</v>
      </c>
      <c r="T568" s="24" t="n">
        <v>3</v>
      </c>
      <c r="U568" s="24" t="n">
        <v>150</v>
      </c>
      <c r="V568" s="25" t="n">
        <v>0.233992918042623</v>
      </c>
      <c r="W568" s="24" t="n">
        <v>4</v>
      </c>
      <c r="X568" s="24" t="n">
        <v>100</v>
      </c>
      <c r="Y568" s="25" t="n">
        <v>0.139481704943624</v>
      </c>
      <c r="Z568" s="12" t="str">
        <f aca="false">IF(AND($J568=1,$M568=1),N568*E568/Span_P+O568*F568/Span_S+P568*G568/Span_B,"")</f>
        <v/>
      </c>
      <c r="AA568" s="12" t="str">
        <f aca="false">IF(AND($J568=1,$M568=1),SUMPRODUCT(MAX($J$6:$J$1062*(N568*$K$6:$K$1062/Span_P+O568*$F$6:$F$1062/Span_S+P568*$G$6:$G$1062/Span_B)-(1-$J$6:$J$1062)*1000000000)),"")</f>
        <v/>
      </c>
      <c r="AB568" s="15" t="str">
        <f aca="false">IF(AND($J568=1,$M568=1),IF(AA568-Z568&lt;=0.000000001,1,0),"")</f>
        <v/>
      </c>
      <c r="AC568" s="13" t="n">
        <f aca="false">IF(AND($J568=1,$M568=0),IF(S568="",0,S568*INDEX(Grid!$B$6:$H$156,R568+1,Q568+1))+IF(V568="",0,V568*INDEX(Grid!$B$6:$H$156,U568+1,T568+1))+IF(Y568="",0,Y568*INDEX(Grid!$B$6:$H$156,X568+1,W568+1)),"")</f>
        <v>209.478593579511</v>
      </c>
      <c r="AD568" s="13" t="n">
        <f aca="false">IF(AND($J568=1,$M568=0),IF(S568="",0,S568*Val_pt*(Ceiling_e-E_zero)*(1-(1-Half_gap)^Q568))+IF(V568="",0,V568*Val_pt*(Ceiling_e-E_zero)*(1-(1-Half_gap)^T568))+IF(Y568="",0,Y568*Val_pt*(Ceiling_e-E_zero)*(1-(1-Half_gap)^W568)),"")</f>
        <v>123.720464918253</v>
      </c>
      <c r="AE568" s="13" t="n">
        <f aca="false">IF(AND($J568=1,$M568=0),IF(S568="",0,S568*R568)+IF(V568="",0,V568*U568)+IF(Y568="",0,Y568*X568),"")</f>
        <v>111.699645902128</v>
      </c>
      <c r="AF568" s="12" t="n">
        <f aca="false">IF(AND($J568=1,$M568=0),MIN((AC568-E568)/Span_P,(AD568-F568)/Span_S,(AE568-G568)/Span_B),"")</f>
        <v>0.0179976393475139</v>
      </c>
      <c r="AG568" s="15" t="n">
        <f aca="false">IF(AND($J568=1,$M568=0),IF(AF568&gt;0.0000001,1,0),"")</f>
        <v>1</v>
      </c>
      <c r="AH568" s="15" t="n">
        <f aca="false">IF($J568=1,IF($M568=1,AB568,AG568),"")</f>
        <v>1</v>
      </c>
      <c r="AI568" s="13" t="n">
        <f aca="false">IF($J568=1,(Ideal_P-E568)/Span_P,"")</f>
        <v>0.500426439880535</v>
      </c>
      <c r="AJ568" s="13" t="n">
        <f aca="false">IF($J568=1,(Ideal_S-F568)/Span_S,"")</f>
        <v>0.225806451612903</v>
      </c>
      <c r="AK568" s="13" t="n">
        <f aca="false">IF($J568=1,(Ideal_B-G568)/Span_B,"")</f>
        <v>0.273333333333333</v>
      </c>
      <c r="AL568" s="12" t="n">
        <f aca="false">IF($J568=1,MAX(ChA_1*AI568,ChA_2*AJ568,ChA_3*AK568)+Rho*(ChA_1*AI568+ChA_2*AJ568+ChA_3*AK568),"")</f>
        <v>0.500526396503017</v>
      </c>
      <c r="AM568" s="12" t="n">
        <f aca="false">IF($J568=1,MAX(ChB_1*AI568,ChB_2*AJ568,ChB_3*AK568)+Rho*(ChB_1*AI568+ChB_2*AJ568+ChB_3*AK568),"")</f>
        <v>1.00100287902754</v>
      </c>
      <c r="AN568" s="12" t="n">
        <f aca="false">IF($J568=1,MAX(Cx_1*(Ref_P-E568)/Span_P,Cx_2*(Ref_S-F568)/Span_S,Cx_3*(Ref_B-G568)/Span_B),"")</f>
        <v>1.27472517558297</v>
      </c>
    </row>
    <row r="569" customFormat="false" ht="15" hidden="false" customHeight="false" outlineLevel="0" collapsed="false">
      <c r="A569" s="2" t="n">
        <v>563</v>
      </c>
      <c r="B569" s="15" t="n">
        <f aca="false">INT(A569/151)</f>
        <v>3</v>
      </c>
      <c r="C569" s="15" t="n">
        <f aca="false">MOD(A569,151)</f>
        <v>110</v>
      </c>
      <c r="D569" s="15" t="n">
        <f aca="false">INDEX(Grid!$J$6:$P$156,C569+1,B569+1)</f>
        <v>1</v>
      </c>
      <c r="E569" s="16" t="n">
        <f aca="false">IF(D569=1,INDEX(Grid!$B$6:$H$156,C569+1,B569+1),"")</f>
        <v>202.052286091193</v>
      </c>
      <c r="F569" s="13" t="n">
        <f aca="false">Val_pt*(Ceiling_e-E_zero)*(1-(1-Half_gap)^B569)</f>
        <v>122.5</v>
      </c>
      <c r="G569" s="15" t="n">
        <f aca="false">C569</f>
        <v>110</v>
      </c>
      <c r="H569" s="15" t="n">
        <f aca="false">IF(D569=1,INDEX(Grid!$R$6:$X$156,C569+1,B569+1),"")</f>
        <v>44</v>
      </c>
      <c r="I569" s="2" t="str">
        <f aca="false">IF(D569=1,INDEX(Sch_label,H569+1),"")</f>
        <v>1, 3, 4</v>
      </c>
      <c r="J569" s="15" t="n">
        <f aca="false">IF(D569=1,INDEX(Grid!$Z$6:$AF$156,C569+1,B569+1),0)</f>
        <v>1</v>
      </c>
      <c r="K569" s="16" t="n">
        <f aca="false">IF(J569=1,E569,0)</f>
        <v>202.052286091193</v>
      </c>
      <c r="L569" s="17" t="n">
        <f aca="false">IF(D569=1,E569+W_board*F569,"")</f>
        <v>893.53285040707</v>
      </c>
      <c r="M569" s="24" t="n">
        <v>0</v>
      </c>
      <c r="Q569" s="24" t="n">
        <v>3</v>
      </c>
      <c r="R569" s="24" t="n">
        <v>100</v>
      </c>
      <c r="S569" s="25" t="n">
        <v>0.611244270257373</v>
      </c>
      <c r="T569" s="24" t="n">
        <v>3</v>
      </c>
      <c r="U569" s="24" t="n">
        <v>150</v>
      </c>
      <c r="V569" s="25" t="n">
        <v>0.25267601760262</v>
      </c>
      <c r="W569" s="24" t="n">
        <v>4</v>
      </c>
      <c r="X569" s="24" t="n">
        <v>100</v>
      </c>
      <c r="Y569" s="25" t="n">
        <v>0.136079712140013</v>
      </c>
      <c r="Z569" s="12" t="str">
        <f aca="false">IF(AND($J569=1,$M569=1),N569*E569/Span_P+O569*F569/Span_S+P569*G569/Span_B,"")</f>
        <v/>
      </c>
      <c r="AA569" s="12" t="str">
        <f aca="false">IF(AND($J569=1,$M569=1),SUMPRODUCT(MAX($J$6:$J$1062*(N569*$K$6:$K$1062/Span_P+O569*$F$6:$F$1062/Span_S+P569*$G$6:$G$1062/Span_B)-(1-$J$6:$J$1062)*1000000000)),"")</f>
        <v/>
      </c>
      <c r="AB569" s="15" t="str">
        <f aca="false">IF(AND($J569=1,$M569=1),IF(AA569-Z569&lt;=0.000000001,1,0),"")</f>
        <v/>
      </c>
      <c r="AC569" s="13" t="n">
        <f aca="false">IF(AND($J569=1,$M569=0),IF(S569="",0,S569*INDEX(Grid!$B$6:$H$156,R569+1,Q569+1))+IF(V569="",0,V569*INDEX(Grid!$B$6:$H$156,U569+1,T569+1))+IF(Y569="",0,Y569*INDEX(Grid!$B$6:$H$156,X569+1,W569+1)),"")</f>
        <v>208.410546168499</v>
      </c>
      <c r="AD569" s="13" t="n">
        <f aca="false">IF(AND($J569=1,$M569=0),IF(S569="",0,S569*Val_pt*(Ceiling_e-E_zero)*(1-(1-Half_gap)^Q569))+IF(V569="",0,V569*Val_pt*(Ceiling_e-E_zero)*(1-(1-Half_gap)^T569))+IF(Y569="",0,Y569*Val_pt*(Ceiling_e-E_zero)*(1-(1-Half_gap)^W569)),"")</f>
        <v>123.690697481226</v>
      </c>
      <c r="AE569" s="13" t="n">
        <f aca="false">IF(AND($J569=1,$M569=0),IF(S569="",0,S569*R569)+IF(V569="",0,V569*U569)+IF(Y569="",0,Y569*X569),"")</f>
        <v>112.633800880132</v>
      </c>
      <c r="AF569" s="12" t="n">
        <f aca="false">IF(AND($J569=1,$M569=0),MIN((AC569-E569)/Span_P,(AD569-F569)/Span_S,(AE569-G569)/Span_B),"")</f>
        <v>0.0175586725342051</v>
      </c>
      <c r="AG569" s="15" t="n">
        <f aca="false">IF(AND($J569=1,$M569=0),IF(AF569&gt;0.0000001,1,0),"")</f>
        <v>1</v>
      </c>
      <c r="AH569" s="15" t="n">
        <f aca="false">IF($J569=1,IF($M569=1,AB569,AG569),"")</f>
        <v>1</v>
      </c>
      <c r="AI569" s="13" t="n">
        <f aca="false">IF($J569=1,(Ideal_P-E569)/Span_P,"")</f>
        <v>0.502936942656841</v>
      </c>
      <c r="AJ569" s="13" t="n">
        <f aca="false">IF($J569=1,(Ideal_S-F569)/Span_S,"")</f>
        <v>0.225806451612903</v>
      </c>
      <c r="AK569" s="13" t="n">
        <f aca="false">IF($J569=1,(Ideal_B-G569)/Span_B,"")</f>
        <v>0.266666666666667</v>
      </c>
      <c r="AL569" s="12" t="n">
        <f aca="false">IF($J569=1,MAX(ChA_1*AI569,ChA_2*AJ569,ChA_3*AK569)+Rho*(ChA_1*AI569+ChA_2*AJ569+ChA_3*AK569),"")</f>
        <v>0.503036483662934</v>
      </c>
      <c r="AM569" s="12" t="n">
        <f aca="false">IF($J569=1,MAX(ChB_1*AI569,ChB_2*AJ569,ChB_3*AK569)+Rho*(ChB_1*AI569+ChB_2*AJ569+ChB_3*AK569),"")</f>
        <v>1.00602372001404</v>
      </c>
      <c r="AN569" s="12" t="n">
        <f aca="false">IF($J569=1,MAX(Cx_1*(Ref_P-E569)/Span_P,Cx_2*(Ref_S-F569)/Span_S,Cx_3*(Ref_B-G569)/Span_B),"")</f>
        <v>1.28099483726639</v>
      </c>
    </row>
    <row r="570" customFormat="false" ht="15" hidden="false" customHeight="false" outlineLevel="0" collapsed="false">
      <c r="A570" s="2" t="n">
        <v>564</v>
      </c>
      <c r="B570" s="15" t="n">
        <f aca="false">INT(A570/151)</f>
        <v>3</v>
      </c>
      <c r="C570" s="15" t="n">
        <f aca="false">MOD(A570,151)</f>
        <v>111</v>
      </c>
      <c r="D570" s="15" t="n">
        <f aca="false">INDEX(Grid!$J$6:$P$156,C570+1,B570+1)</f>
        <v>1</v>
      </c>
      <c r="E570" s="16" t="n">
        <f aca="false">IF(D570=1,INDEX(Grid!$B$6:$H$156,C570+1,B570+1),"")</f>
        <v>201.143195182102</v>
      </c>
      <c r="F570" s="13" t="n">
        <f aca="false">Val_pt*(Ceiling_e-E_zero)*(1-(1-Half_gap)^B570)</f>
        <v>122.5</v>
      </c>
      <c r="G570" s="15" t="n">
        <f aca="false">C570</f>
        <v>111</v>
      </c>
      <c r="H570" s="15" t="n">
        <f aca="false">IF(D570=1,INDEX(Grid!$R$6:$X$156,C570+1,B570+1),"")</f>
        <v>44</v>
      </c>
      <c r="I570" s="2" t="str">
        <f aca="false">IF(D570=1,INDEX(Sch_label,H570+1),"")</f>
        <v>1, 3, 4</v>
      </c>
      <c r="J570" s="15" t="n">
        <f aca="false">IF(D570=1,INDEX(Grid!$Z$6:$AF$156,C570+1,B570+1),0)</f>
        <v>1</v>
      </c>
      <c r="K570" s="16" t="n">
        <f aca="false">IF(J570=1,E570,0)</f>
        <v>201.143195182102</v>
      </c>
      <c r="L570" s="17" t="n">
        <f aca="false">IF(D570=1,E570+W_board*F570,"")</f>
        <v>892.623759497979</v>
      </c>
      <c r="M570" s="24" t="n">
        <v>0</v>
      </c>
      <c r="Q570" s="24" t="n">
        <v>3</v>
      </c>
      <c r="R570" s="24" t="n">
        <v>100</v>
      </c>
      <c r="S570" s="25" t="n">
        <v>0.595963163500982</v>
      </c>
      <c r="T570" s="24" t="n">
        <v>3</v>
      </c>
      <c r="U570" s="24" t="n">
        <v>150</v>
      </c>
      <c r="V570" s="25" t="n">
        <v>0.271359117162579</v>
      </c>
      <c r="W570" s="24" t="n">
        <v>4</v>
      </c>
      <c r="X570" s="24" t="n">
        <v>100</v>
      </c>
      <c r="Y570" s="25" t="n">
        <v>0.13267771933646</v>
      </c>
      <c r="Z570" s="12" t="str">
        <f aca="false">IF(AND($J570=1,$M570=1),N570*E570/Span_P+O570*F570/Span_S+P570*G570/Span_B,"")</f>
        <v/>
      </c>
      <c r="AA570" s="12" t="str">
        <f aca="false">IF(AND($J570=1,$M570=1),SUMPRODUCT(MAX($J$6:$J$1062*(N570*$K$6:$K$1062/Span_P+O570*$F$6:$F$1062/Span_S+P570*$G$6:$G$1062/Span_B)-(1-$J$6:$J$1062)*1000000000)),"")</f>
        <v/>
      </c>
      <c r="AB570" s="15" t="str">
        <f aca="false">IF(AND($J570=1,$M570=1),IF(AA570-Z570&lt;=0.000000001,1,0),"")</f>
        <v/>
      </c>
      <c r="AC570" s="13" t="n">
        <f aca="false">IF(AND($J570=1,$M570=0),IF(S570="",0,S570*INDEX(Grid!$B$6:$H$156,R570+1,Q570+1))+IF(V570="",0,V570*INDEX(Grid!$B$6:$H$156,U570+1,T570+1))+IF(Y570="",0,Y570*INDEX(Grid!$B$6:$H$156,X570+1,W570+1)),"")</f>
        <v>207.342498757481</v>
      </c>
      <c r="AD570" s="13" t="n">
        <f aca="false">IF(AND($J570=1,$M570=0),IF(S570="",0,S570*Val_pt*(Ceiling_e-E_zero)*(1-(1-Half_gap)^Q570))+IF(V570="",0,V570*Val_pt*(Ceiling_e-E_zero)*(1-(1-Half_gap)^T570))+IF(Y570="",0,Y570*Val_pt*(Ceiling_e-E_zero)*(1-(1-Half_gap)^W570)),"")</f>
        <v>123.660930044197</v>
      </c>
      <c r="AE570" s="13" t="n">
        <f aca="false">IF(AND($J570=1,$M570=0),IF(S570="",0,S570*R570)+IF(V570="",0,V570*U570)+IF(Y570="",0,Y570*X570),"")</f>
        <v>113.567955858131</v>
      </c>
      <c r="AF570" s="12" t="n">
        <f aca="false">IF(AND($J570=1,$M570=0),MIN((AC570-E570)/Span_P,(AD570-F570)/Span_S,(AE570-G570)/Span_B),"")</f>
        <v>0.0171197057208665</v>
      </c>
      <c r="AG570" s="15" t="n">
        <f aca="false">IF(AND($J570=1,$M570=0),IF(AF570&gt;0.0000001,1,0),"")</f>
        <v>1</v>
      </c>
      <c r="AH570" s="15" t="n">
        <f aca="false">IF($J570=1,IF($M570=1,AB570,AG570),"")</f>
        <v>1</v>
      </c>
      <c r="AI570" s="13" t="n">
        <f aca="false">IF($J570=1,(Ideal_P-E570)/Span_P,"")</f>
        <v>0.505447445433146</v>
      </c>
      <c r="AJ570" s="13" t="n">
        <f aca="false">IF($J570=1,(Ideal_S-F570)/Span_S,"")</f>
        <v>0.225806451612903</v>
      </c>
      <c r="AK570" s="13" t="n">
        <f aca="false">IF($J570=1,(Ideal_B-G570)/Span_B,"")</f>
        <v>0.26</v>
      </c>
      <c r="AL570" s="12" t="n">
        <f aca="false">IF($J570=1,MAX(ChA_1*AI570,ChA_2*AJ570,ChA_3*AK570)+Rho*(ChA_1*AI570+ChA_2*AJ570+ChA_3*AK570),"")</f>
        <v>0.505546570822851</v>
      </c>
      <c r="AM570" s="12" t="n">
        <f aca="false">IF($J570=1,MAX(ChB_1*AI570,ChB_2*AJ570,ChB_3*AK570)+Rho*(ChB_1*AI570+ChB_2*AJ570+ChB_3*AK570),"")</f>
        <v>1.01104456100054</v>
      </c>
      <c r="AN570" s="12" t="n">
        <f aca="false">IF($J570=1,MAX(Cx_1*(Ref_P-E570)/Span_P,Cx_2*(Ref_S-F570)/Span_S,Cx_3*(Ref_B-G570)/Span_B),"")</f>
        <v>1.28726449894982</v>
      </c>
    </row>
    <row r="571" customFormat="false" ht="15" hidden="false" customHeight="false" outlineLevel="0" collapsed="false">
      <c r="A571" s="2" t="n">
        <v>565</v>
      </c>
      <c r="B571" s="15" t="n">
        <f aca="false">INT(A571/151)</f>
        <v>3</v>
      </c>
      <c r="C571" s="15" t="n">
        <f aca="false">MOD(A571,151)</f>
        <v>112</v>
      </c>
      <c r="D571" s="15" t="n">
        <f aca="false">INDEX(Grid!$J$6:$P$156,C571+1,B571+1)</f>
        <v>1</v>
      </c>
      <c r="E571" s="16" t="n">
        <f aca="false">IF(D571=1,INDEX(Grid!$B$6:$H$156,C571+1,B571+1),"")</f>
        <v>200.234104273011</v>
      </c>
      <c r="F571" s="13" t="n">
        <f aca="false">Val_pt*(Ceiling_e-E_zero)*(1-(1-Half_gap)^B571)</f>
        <v>122.5</v>
      </c>
      <c r="G571" s="15" t="n">
        <f aca="false">C571</f>
        <v>112</v>
      </c>
      <c r="H571" s="15" t="n">
        <f aca="false">IF(D571=1,INDEX(Grid!$R$6:$X$156,C571+1,B571+1),"")</f>
        <v>44</v>
      </c>
      <c r="I571" s="2" t="str">
        <f aca="false">IF(D571=1,INDEX(Sch_label,H571+1),"")</f>
        <v>1, 3, 4</v>
      </c>
      <c r="J571" s="15" t="n">
        <f aca="false">IF(D571=1,INDEX(Grid!$Z$6:$AF$156,C571+1,B571+1),0)</f>
        <v>1</v>
      </c>
      <c r="K571" s="16" t="n">
        <f aca="false">IF(J571=1,E571,0)</f>
        <v>200.234104273011</v>
      </c>
      <c r="L571" s="17" t="n">
        <f aca="false">IF(D571=1,E571+W_board*F571,"")</f>
        <v>891.714668588888</v>
      </c>
      <c r="M571" s="24" t="n">
        <v>0</v>
      </c>
      <c r="Q571" s="24" t="n">
        <v>3</v>
      </c>
      <c r="R571" s="24" t="n">
        <v>100</v>
      </c>
      <c r="S571" s="25" t="n">
        <v>0.580682056744505</v>
      </c>
      <c r="T571" s="24" t="n">
        <v>3</v>
      </c>
      <c r="U571" s="24" t="n">
        <v>150</v>
      </c>
      <c r="V571" s="25" t="n">
        <v>0.29004221672248</v>
      </c>
      <c r="W571" s="24" t="n">
        <v>4</v>
      </c>
      <c r="X571" s="24" t="n">
        <v>100</v>
      </c>
      <c r="Y571" s="25" t="n">
        <v>0.129275726533024</v>
      </c>
      <c r="Z571" s="12" t="str">
        <f aca="false">IF(AND($J571=1,$M571=1),N571*E571/Span_P+O571*F571/Span_S+P571*G571/Span_B,"")</f>
        <v/>
      </c>
      <c r="AA571" s="12" t="str">
        <f aca="false">IF(AND($J571=1,$M571=1),SUMPRODUCT(MAX($J$6:$J$1062*(N571*$K$6:$K$1062/Span_P+O571*$F$6:$F$1062/Span_S+P571*$G$6:$G$1062/Span_B)-(1-$J$6:$J$1062)*1000000000)),"")</f>
        <v/>
      </c>
      <c r="AB571" s="15" t="str">
        <f aca="false">IF(AND($J571=1,$M571=1),IF(AA571-Z571&lt;=0.000000001,1,0),"")</f>
        <v/>
      </c>
      <c r="AC571" s="13" t="n">
        <f aca="false">IF(AND($J571=1,$M571=0),IF(S571="",0,S571*INDEX(Grid!$B$6:$H$156,R571+1,Q571+1))+IF(V571="",0,V571*INDEX(Grid!$B$6:$H$156,U571+1,T571+1))+IF(Y571="",0,Y571*INDEX(Grid!$B$6:$H$156,X571+1,W571+1)),"")</f>
        <v>206.274451346452</v>
      </c>
      <c r="AD571" s="13" t="n">
        <f aca="false">IF(AND($J571=1,$M571=0),IF(S571="",0,S571*Val_pt*(Ceiling_e-E_zero)*(1-(1-Half_gap)^Q571))+IF(V571="",0,V571*Val_pt*(Ceiling_e-E_zero)*(1-(1-Half_gap)^T571))+IF(Y571="",0,Y571*Val_pt*(Ceiling_e-E_zero)*(1-(1-Half_gap)^W571)),"")</f>
        <v>123.631162607165</v>
      </c>
      <c r="AE571" s="13" t="n">
        <f aca="false">IF(AND($J571=1,$M571=0),IF(S571="",0,S571*R571)+IF(V571="",0,V571*U571)+IF(Y571="",0,Y571*X571),"")</f>
        <v>114.502110836125</v>
      </c>
      <c r="AF571" s="12" t="n">
        <f aca="false">IF(AND($J571=1,$M571=0),MIN((AC571-E571)/Span_P,(AD571-F571)/Span_S,(AE571-G571)/Span_B),"")</f>
        <v>0.0166807389074972</v>
      </c>
      <c r="AG571" s="15" t="n">
        <f aca="false">IF(AND($J571=1,$M571=0),IF(AF571&gt;0.0000001,1,0),"")</f>
        <v>1</v>
      </c>
      <c r="AH571" s="15" t="n">
        <f aca="false">IF($J571=1,IF($M571=1,AB571,AG571),"")</f>
        <v>1</v>
      </c>
      <c r="AI571" s="13" t="n">
        <f aca="false">IF($J571=1,(Ideal_P-E571)/Span_P,"")</f>
        <v>0.507957948209452</v>
      </c>
      <c r="AJ571" s="13" t="n">
        <f aca="false">IF($J571=1,(Ideal_S-F571)/Span_S,"")</f>
        <v>0.225806451612903</v>
      </c>
      <c r="AK571" s="13" t="n">
        <f aca="false">IF($J571=1,(Ideal_B-G571)/Span_B,"")</f>
        <v>0.253333333333333</v>
      </c>
      <c r="AL571" s="12" t="n">
        <f aca="false">IF($J571=1,MAX(ChA_1*AI571,ChA_2*AJ571,ChA_3*AK571)+Rho*(ChA_1*AI571+ChA_2*AJ571+ChA_3*AK571),"")</f>
        <v>0.508056657982768</v>
      </c>
      <c r="AM571" s="12" t="n">
        <f aca="false">IF($J571=1,MAX(ChB_1*AI571,ChB_2*AJ571,ChB_3*AK571)+Rho*(ChB_1*AI571+ChB_2*AJ571+ChB_3*AK571),"")</f>
        <v>1.01606540198704</v>
      </c>
      <c r="AN571" s="12" t="n">
        <f aca="false">IF($J571=1,MAX(Cx_1*(Ref_P-E571)/Span_P,Cx_2*(Ref_S-F571)/Span_S,Cx_3*(Ref_B-G571)/Span_B),"")</f>
        <v>1.29353416063325</v>
      </c>
    </row>
    <row r="572" customFormat="false" ht="15" hidden="false" customHeight="false" outlineLevel="0" collapsed="false">
      <c r="A572" s="2" t="n">
        <v>566</v>
      </c>
      <c r="B572" s="15" t="n">
        <f aca="false">INT(A572/151)</f>
        <v>3</v>
      </c>
      <c r="C572" s="15" t="n">
        <f aca="false">MOD(A572,151)</f>
        <v>113</v>
      </c>
      <c r="D572" s="15" t="n">
        <f aca="false">INDEX(Grid!$J$6:$P$156,C572+1,B572+1)</f>
        <v>1</v>
      </c>
      <c r="E572" s="16" t="n">
        <f aca="false">IF(D572=1,INDEX(Grid!$B$6:$H$156,C572+1,B572+1),"")</f>
        <v>199.32501336392</v>
      </c>
      <c r="F572" s="13" t="n">
        <f aca="false">Val_pt*(Ceiling_e-E_zero)*(1-(1-Half_gap)^B572)</f>
        <v>122.5</v>
      </c>
      <c r="G572" s="15" t="n">
        <f aca="false">C572</f>
        <v>113</v>
      </c>
      <c r="H572" s="15" t="n">
        <f aca="false">IF(D572=1,INDEX(Grid!$R$6:$X$156,C572+1,B572+1),"")</f>
        <v>44</v>
      </c>
      <c r="I572" s="2" t="str">
        <f aca="false">IF(D572=1,INDEX(Sch_label,H572+1),"")</f>
        <v>1, 3, 4</v>
      </c>
      <c r="J572" s="15" t="n">
        <f aca="false">IF(D572=1,INDEX(Grid!$Z$6:$AF$156,C572+1,B572+1),0)</f>
        <v>1</v>
      </c>
      <c r="K572" s="16" t="n">
        <f aca="false">IF(J572=1,E572,0)</f>
        <v>199.32501336392</v>
      </c>
      <c r="L572" s="17" t="n">
        <f aca="false">IF(D572=1,E572+W_board*F572,"")</f>
        <v>890.805577679798</v>
      </c>
      <c r="M572" s="24" t="n">
        <v>0</v>
      </c>
      <c r="Q572" s="24" t="n">
        <v>3</v>
      </c>
      <c r="R572" s="24" t="n">
        <v>100</v>
      </c>
      <c r="S572" s="25" t="n">
        <v>0.565400949988018</v>
      </c>
      <c r="T572" s="24" t="n">
        <v>3</v>
      </c>
      <c r="U572" s="24" t="n">
        <v>150</v>
      </c>
      <c r="V572" s="25" t="n">
        <v>0.308725316282383</v>
      </c>
      <c r="W572" s="24" t="n">
        <v>4</v>
      </c>
      <c r="X572" s="24" t="n">
        <v>100</v>
      </c>
      <c r="Y572" s="25" t="n">
        <v>0.125873733729597</v>
      </c>
      <c r="Z572" s="12" t="str">
        <f aca="false">IF(AND($J572=1,$M572=1),N572*E572/Span_P+O572*F572/Span_S+P572*G572/Span_B,"")</f>
        <v/>
      </c>
      <c r="AA572" s="12" t="str">
        <f aca="false">IF(AND($J572=1,$M572=1),SUMPRODUCT(MAX($J$6:$J$1062*(N572*$K$6:$K$1062/Span_P+O572*$F$6:$F$1062/Span_S+P572*$G$6:$G$1062/Span_B)-(1-$J$6:$J$1062)*1000000000)),"")</f>
        <v/>
      </c>
      <c r="AB572" s="15" t="str">
        <f aca="false">IF(AND($J572=1,$M572=1),IF(AA572-Z572&lt;=0.000000001,1,0),"")</f>
        <v/>
      </c>
      <c r="AC572" s="13" t="n">
        <f aca="false">IF(AND($J572=1,$M572=0),IF(S572="",0,S572*INDEX(Grid!$B$6:$H$156,R572+1,Q572+1))+IF(V572="",0,V572*INDEX(Grid!$B$6:$H$156,U572+1,T572+1))+IF(Y572="",0,Y572*INDEX(Grid!$B$6:$H$156,X572+1,W572+1)),"")</f>
        <v>205.206403935423</v>
      </c>
      <c r="AD572" s="13" t="n">
        <f aca="false">IF(AND($J572=1,$M572=0),IF(S572="",0,S572*Val_pt*(Ceiling_e-E_zero)*(1-(1-Half_gap)^Q572))+IF(V572="",0,V572*Val_pt*(Ceiling_e-E_zero)*(1-(1-Half_gap)^T572))+IF(Y572="",0,Y572*Val_pt*(Ceiling_e-E_zero)*(1-(1-Half_gap)^W572)),"")</f>
        <v>123.601395170134</v>
      </c>
      <c r="AE572" s="13" t="n">
        <f aca="false">IF(AND($J572=1,$M572=0),IF(S572="",0,S572*R572)+IF(V572="",0,V572*U572)+IF(Y572="",0,Y572*X572),"")</f>
        <v>115.436265814119</v>
      </c>
      <c r="AF572" s="12" t="n">
        <f aca="false">IF(AND($J572=1,$M572=0),MIN((AC572-E572)/Span_P,(AD572-F572)/Span_S,(AE572-G572)/Span_B),"")</f>
        <v>0.0162417720941259</v>
      </c>
      <c r="AG572" s="15" t="n">
        <f aca="false">IF(AND($J572=1,$M572=0),IF(AF572&gt;0.0000001,1,0),"")</f>
        <v>1</v>
      </c>
      <c r="AH572" s="15" t="n">
        <f aca="false">IF($J572=1,IF($M572=1,AB572,AG572),"")</f>
        <v>1</v>
      </c>
      <c r="AI572" s="13" t="n">
        <f aca="false">IF($J572=1,(Ideal_P-E572)/Span_P,"")</f>
        <v>0.510468450985758</v>
      </c>
      <c r="AJ572" s="13" t="n">
        <f aca="false">IF($J572=1,(Ideal_S-F572)/Span_S,"")</f>
        <v>0.225806451612903</v>
      </c>
      <c r="AK572" s="13" t="n">
        <f aca="false">IF($J572=1,(Ideal_B-G572)/Span_B,"")</f>
        <v>0.246666666666667</v>
      </c>
      <c r="AL572" s="12" t="n">
        <f aca="false">IF($J572=1,MAX(ChA_1*AI572,ChA_2*AJ572,ChA_3*AK572)+Rho*(ChA_1*AI572+ChA_2*AJ572+ChA_3*AK572),"")</f>
        <v>0.510566745142684</v>
      </c>
      <c r="AM572" s="12" t="n">
        <f aca="false">IF($J572=1,MAX(ChB_1*AI572,ChB_2*AJ572,ChB_3*AK572)+Rho*(ChB_1*AI572+ChB_2*AJ572+ChB_3*AK572),"")</f>
        <v>1.02108624297354</v>
      </c>
      <c r="AN572" s="12" t="n">
        <f aca="false">IF($J572=1,MAX(Cx_1*(Ref_P-E572)/Span_P,Cx_2*(Ref_S-F572)/Span_S,Cx_3*(Ref_B-G572)/Span_B),"")</f>
        <v>1.29980382231668</v>
      </c>
    </row>
    <row r="573" customFormat="false" ht="15" hidden="false" customHeight="false" outlineLevel="0" collapsed="false">
      <c r="A573" s="2" t="n">
        <v>567</v>
      </c>
      <c r="B573" s="15" t="n">
        <f aca="false">INT(A573/151)</f>
        <v>3</v>
      </c>
      <c r="C573" s="15" t="n">
        <f aca="false">MOD(A573,151)</f>
        <v>114</v>
      </c>
      <c r="D573" s="15" t="n">
        <f aca="false">INDEX(Grid!$J$6:$P$156,C573+1,B573+1)</f>
        <v>1</v>
      </c>
      <c r="E573" s="16" t="n">
        <f aca="false">IF(D573=1,INDEX(Grid!$B$6:$H$156,C573+1,B573+1),"")</f>
        <v>198.415922454829</v>
      </c>
      <c r="F573" s="13" t="n">
        <f aca="false">Val_pt*(Ceiling_e-E_zero)*(1-(1-Half_gap)^B573)</f>
        <v>122.5</v>
      </c>
      <c r="G573" s="15" t="n">
        <f aca="false">C573</f>
        <v>114</v>
      </c>
      <c r="H573" s="15" t="n">
        <f aca="false">IF(D573=1,INDEX(Grid!$R$6:$X$156,C573+1,B573+1),"")</f>
        <v>44</v>
      </c>
      <c r="I573" s="2" t="str">
        <f aca="false">IF(D573=1,INDEX(Sch_label,H573+1),"")</f>
        <v>1, 3, 4</v>
      </c>
      <c r="J573" s="15" t="n">
        <f aca="false">IF(D573=1,INDEX(Grid!$Z$6:$AF$156,C573+1,B573+1),0)</f>
        <v>1</v>
      </c>
      <c r="K573" s="16" t="n">
        <f aca="false">IF(J573=1,E573,0)</f>
        <v>198.415922454829</v>
      </c>
      <c r="L573" s="17" t="n">
        <f aca="false">IF(D573=1,E573+W_board*F573,"")</f>
        <v>889.896486770707</v>
      </c>
      <c r="M573" s="24" t="n">
        <v>0</v>
      </c>
      <c r="Q573" s="24" t="n">
        <v>3</v>
      </c>
      <c r="R573" s="24" t="n">
        <v>100</v>
      </c>
      <c r="S573" s="25" t="n">
        <v>0.55011984323169</v>
      </c>
      <c r="T573" s="24" t="n">
        <v>3</v>
      </c>
      <c r="U573" s="24" t="n">
        <v>150</v>
      </c>
      <c r="V573" s="25" t="n">
        <v>0.327408415842387</v>
      </c>
      <c r="W573" s="24" t="n">
        <v>4</v>
      </c>
      <c r="X573" s="24" t="n">
        <v>100</v>
      </c>
      <c r="Y573" s="25" t="n">
        <v>0.122471740925944</v>
      </c>
      <c r="Z573" s="12" t="str">
        <f aca="false">IF(AND($J573=1,$M573=1),N573*E573/Span_P+O573*F573/Span_S+P573*G573/Span_B,"")</f>
        <v/>
      </c>
      <c r="AA573" s="12" t="str">
        <f aca="false">IF(AND($J573=1,$M573=1),SUMPRODUCT(MAX($J$6:$J$1062*(N573*$K$6:$K$1062/Span_P+O573*$F$6:$F$1062/Span_S+P573*$G$6:$G$1062/Span_B)-(1-$J$6:$J$1062)*1000000000)),"")</f>
        <v/>
      </c>
      <c r="AB573" s="15" t="str">
        <f aca="false">IF(AND($J573=1,$M573=1),IF(AA573-Z573&lt;=0.000000001,1,0),"")</f>
        <v/>
      </c>
      <c r="AC573" s="13" t="n">
        <f aca="false">IF(AND($J573=1,$M573=0),IF(S573="",0,S573*INDEX(Grid!$B$6:$H$156,R573+1,Q573+1))+IF(V573="",0,V573*INDEX(Grid!$B$6:$H$156,U573+1,T573+1))+IF(Y573="",0,Y573*INDEX(Grid!$B$6:$H$156,X573+1,W573+1)),"")</f>
        <v>204.138356524411</v>
      </c>
      <c r="AD573" s="13" t="n">
        <f aca="false">IF(AND($J573=1,$M573=0),IF(S573="",0,S573*Val_pt*(Ceiling_e-E_zero)*(1-(1-Half_gap)^Q573))+IF(V573="",0,V573*Val_pt*(Ceiling_e-E_zero)*(1-(1-Half_gap)^T573))+IF(Y573="",0,Y573*Val_pt*(Ceiling_e-E_zero)*(1-(1-Half_gap)^W573)),"")</f>
        <v>123.571627733105</v>
      </c>
      <c r="AE573" s="13" t="n">
        <f aca="false">IF(AND($J573=1,$M573=0),IF(S573="",0,S573*R573)+IF(V573="",0,V573*U573)+IF(Y573="",0,Y573*X573),"")</f>
        <v>116.370420792121</v>
      </c>
      <c r="AF573" s="12" t="n">
        <f aca="false">IF(AND($J573=1,$M573=0),MIN((AC573-E573)/Span_P,(AD573-F573)/Span_S,(AE573-G573)/Span_B),"")</f>
        <v>0.0158028052808026</v>
      </c>
      <c r="AG573" s="15" t="n">
        <f aca="false">IF(AND($J573=1,$M573=0),IF(AF573&gt;0.0000001,1,0),"")</f>
        <v>1</v>
      </c>
      <c r="AH573" s="15" t="n">
        <f aca="false">IF($J573=1,IF($M573=1,AB573,AG573),"")</f>
        <v>1</v>
      </c>
      <c r="AI573" s="13" t="n">
        <f aca="false">IF($J573=1,(Ideal_P-E573)/Span_P,"")</f>
        <v>0.512978953762064</v>
      </c>
      <c r="AJ573" s="13" t="n">
        <f aca="false">IF($J573=1,(Ideal_S-F573)/Span_S,"")</f>
        <v>0.225806451612903</v>
      </c>
      <c r="AK573" s="13" t="n">
        <f aca="false">IF($J573=1,(Ideal_B-G573)/Span_B,"")</f>
        <v>0.24</v>
      </c>
      <c r="AL573" s="12" t="n">
        <f aca="false">IF($J573=1,MAX(ChA_1*AI573,ChA_2*AJ573,ChA_3*AK573)+Rho*(ChA_1*AI573+ChA_2*AJ573+ChA_3*AK573),"")</f>
        <v>0.513076832302601</v>
      </c>
      <c r="AM573" s="12" t="n">
        <f aca="false">IF($J573=1,MAX(ChB_1*AI573,ChB_2*AJ573,ChB_3*AK573)+Rho*(ChB_1*AI573+ChB_2*AJ573+ChB_3*AK573),"")</f>
        <v>1.02610708396004</v>
      </c>
      <c r="AN573" s="12" t="n">
        <f aca="false">IF($J573=1,MAX(Cx_1*(Ref_P-E573)/Span_P,Cx_2*(Ref_S-F573)/Span_S,Cx_3*(Ref_B-G573)/Span_B),"")</f>
        <v>1.30607348400011</v>
      </c>
    </row>
    <row r="574" customFormat="false" ht="15" hidden="false" customHeight="false" outlineLevel="0" collapsed="false">
      <c r="A574" s="2" t="n">
        <v>568</v>
      </c>
      <c r="B574" s="15" t="n">
        <f aca="false">INT(A574/151)</f>
        <v>3</v>
      </c>
      <c r="C574" s="15" t="n">
        <f aca="false">MOD(A574,151)</f>
        <v>115</v>
      </c>
      <c r="D574" s="15" t="n">
        <f aca="false">INDEX(Grid!$J$6:$P$156,C574+1,B574+1)</f>
        <v>1</v>
      </c>
      <c r="E574" s="16" t="n">
        <f aca="false">IF(D574=1,INDEX(Grid!$B$6:$H$156,C574+1,B574+1),"")</f>
        <v>197.506831545738</v>
      </c>
      <c r="F574" s="13" t="n">
        <f aca="false">Val_pt*(Ceiling_e-E_zero)*(1-(1-Half_gap)^B574)</f>
        <v>122.5</v>
      </c>
      <c r="G574" s="15" t="n">
        <f aca="false">C574</f>
        <v>115</v>
      </c>
      <c r="H574" s="15" t="n">
        <f aca="false">IF(D574=1,INDEX(Grid!$R$6:$X$156,C574+1,B574+1),"")</f>
        <v>44</v>
      </c>
      <c r="I574" s="2" t="str">
        <f aca="false">IF(D574=1,INDEX(Sch_label,H574+1),"")</f>
        <v>1, 3, 4</v>
      </c>
      <c r="J574" s="15" t="n">
        <f aca="false">IF(D574=1,INDEX(Grid!$Z$6:$AF$156,C574+1,B574+1),0)</f>
        <v>1</v>
      </c>
      <c r="K574" s="16" t="n">
        <f aca="false">IF(J574=1,E574,0)</f>
        <v>197.506831545738</v>
      </c>
      <c r="L574" s="17" t="n">
        <f aca="false">IF(D574=1,E574+W_board*F574,"")</f>
        <v>888.987395861616</v>
      </c>
      <c r="M574" s="24" t="n">
        <v>0</v>
      </c>
      <c r="Q574" s="24" t="n">
        <v>3</v>
      </c>
      <c r="R574" s="24" t="n">
        <v>100</v>
      </c>
      <c r="S574" s="25" t="n">
        <v>0.534838736475193</v>
      </c>
      <c r="T574" s="24" t="n">
        <v>3</v>
      </c>
      <c r="U574" s="24" t="n">
        <v>150</v>
      </c>
      <c r="V574" s="25" t="n">
        <v>0.346091515402283</v>
      </c>
      <c r="W574" s="24" t="n">
        <v>4</v>
      </c>
      <c r="X574" s="24" t="n">
        <v>100</v>
      </c>
      <c r="Y574" s="25" t="n">
        <v>0.119069748122535</v>
      </c>
      <c r="Z574" s="12" t="str">
        <f aca="false">IF(AND($J574=1,$M574=1),N574*E574/Span_P+O574*F574/Span_S+P574*G574/Span_B,"")</f>
        <v/>
      </c>
      <c r="AA574" s="12" t="str">
        <f aca="false">IF(AND($J574=1,$M574=1),SUMPRODUCT(MAX($J$6:$J$1062*(N574*$K$6:$K$1062/Span_P+O574*$F$6:$F$1062/Span_S+P574*$G$6:$G$1062/Span_B)-(1-$J$6:$J$1062)*1000000000)),"")</f>
        <v/>
      </c>
      <c r="AB574" s="15" t="str">
        <f aca="false">IF(AND($J574=1,$M574=1),IF(AA574-Z574&lt;=0.000000001,1,0),"")</f>
        <v/>
      </c>
      <c r="AC574" s="13" t="n">
        <f aca="false">IF(AND($J574=1,$M574=0),IF(S574="",0,S574*INDEX(Grid!$B$6:$H$156,R574+1,Q574+1))+IF(V574="",0,V574*INDEX(Grid!$B$6:$H$156,U574+1,T574+1))+IF(Y574="",0,Y574*INDEX(Grid!$B$6:$H$156,X574+1,W574+1)),"")</f>
        <v>203.070309113382</v>
      </c>
      <c r="AD574" s="13" t="n">
        <f aca="false">IF(AND($J574=1,$M574=0),IF(S574="",0,S574*Val_pt*(Ceiling_e-E_zero)*(1-(1-Half_gap)^Q574))+IF(V574="",0,V574*Val_pt*(Ceiling_e-E_zero)*(1-(1-Half_gap)^T574))+IF(Y574="",0,Y574*Val_pt*(Ceiling_e-E_zero)*(1-(1-Half_gap)^W574)),"")</f>
        <v>123.541860296074</v>
      </c>
      <c r="AE574" s="13" t="n">
        <f aca="false">IF(AND($J574=1,$M574=0),IF(S574="",0,S574*R574)+IF(V574="",0,V574*U574)+IF(Y574="",0,Y574*X574),"")</f>
        <v>117.304575770115</v>
      </c>
      <c r="AF574" s="12" t="n">
        <f aca="false">IF(AND($J574=1,$M574=0),MIN((AC574-E574)/Span_P,(AD574-F574)/Span_S,(AE574-G574)/Span_B),"")</f>
        <v>0.0153638384674312</v>
      </c>
      <c r="AG574" s="15" t="n">
        <f aca="false">IF(AND($J574=1,$M574=0),IF(AF574&gt;0.0000001,1,0),"")</f>
        <v>1</v>
      </c>
      <c r="AH574" s="15" t="n">
        <f aca="false">IF($J574=1,IF($M574=1,AB574,AG574),"")</f>
        <v>1</v>
      </c>
      <c r="AI574" s="13" t="n">
        <f aca="false">IF($J574=1,(Ideal_P-E574)/Span_P,"")</f>
        <v>0.515489456538369</v>
      </c>
      <c r="AJ574" s="13" t="n">
        <f aca="false">IF($J574=1,(Ideal_S-F574)/Span_S,"")</f>
        <v>0.225806451612903</v>
      </c>
      <c r="AK574" s="13" t="n">
        <f aca="false">IF($J574=1,(Ideal_B-G574)/Span_B,"")</f>
        <v>0.233333333333333</v>
      </c>
      <c r="AL574" s="12" t="n">
        <f aca="false">IF($J574=1,MAX(ChA_1*AI574,ChA_2*AJ574,ChA_3*AK574)+Rho*(ChA_1*AI574+ChA_2*AJ574+ChA_3*AK574),"")</f>
        <v>0.515586919462518</v>
      </c>
      <c r="AM574" s="12" t="n">
        <f aca="false">IF($J574=1,MAX(ChB_1*AI574,ChB_2*AJ574,ChB_3*AK574)+Rho*(ChB_1*AI574+ChB_2*AJ574+ChB_3*AK574),"")</f>
        <v>1.03112792494654</v>
      </c>
      <c r="AN574" s="12" t="n">
        <f aca="false">IF($J574=1,MAX(Cx_1*(Ref_P-E574)/Span_P,Cx_2*(Ref_S-F574)/Span_S,Cx_3*(Ref_B-G574)/Span_B),"")</f>
        <v>1.31234314568354</v>
      </c>
    </row>
    <row r="575" customFormat="false" ht="15" hidden="false" customHeight="false" outlineLevel="0" collapsed="false">
      <c r="A575" s="2" t="n">
        <v>569</v>
      </c>
      <c r="B575" s="15" t="n">
        <f aca="false">INT(A575/151)</f>
        <v>3</v>
      </c>
      <c r="C575" s="15" t="n">
        <f aca="false">MOD(A575,151)</f>
        <v>116</v>
      </c>
      <c r="D575" s="15" t="n">
        <f aca="false">INDEX(Grid!$J$6:$P$156,C575+1,B575+1)</f>
        <v>1</v>
      </c>
      <c r="E575" s="16" t="n">
        <f aca="false">IF(D575=1,INDEX(Grid!$B$6:$H$156,C575+1,B575+1),"")</f>
        <v>196.597740636648</v>
      </c>
      <c r="F575" s="13" t="n">
        <f aca="false">Val_pt*(Ceiling_e-E_zero)*(1-(1-Half_gap)^B575)</f>
        <v>122.5</v>
      </c>
      <c r="G575" s="15" t="n">
        <f aca="false">C575</f>
        <v>116</v>
      </c>
      <c r="H575" s="15" t="n">
        <f aca="false">IF(D575=1,INDEX(Grid!$R$6:$X$156,C575+1,B575+1),"")</f>
        <v>44</v>
      </c>
      <c r="I575" s="2" t="str">
        <f aca="false">IF(D575=1,INDEX(Sch_label,H575+1),"")</f>
        <v>1, 3, 4</v>
      </c>
      <c r="J575" s="15" t="n">
        <f aca="false">IF(D575=1,INDEX(Grid!$Z$6:$AF$156,C575+1,B575+1),0)</f>
        <v>1</v>
      </c>
      <c r="K575" s="16" t="n">
        <f aca="false">IF(J575=1,E575,0)</f>
        <v>196.597740636648</v>
      </c>
      <c r="L575" s="17" t="n">
        <f aca="false">IF(D575=1,E575+W_board*F575,"")</f>
        <v>888.078304952525</v>
      </c>
      <c r="M575" s="24" t="n">
        <v>0</v>
      </c>
      <c r="Q575" s="24" t="n">
        <v>3</v>
      </c>
      <c r="R575" s="24" t="n">
        <v>100</v>
      </c>
      <c r="S575" s="25" t="n">
        <v>0.51955762971873</v>
      </c>
      <c r="T575" s="24" t="n">
        <v>3</v>
      </c>
      <c r="U575" s="24" t="n">
        <v>150</v>
      </c>
      <c r="V575" s="25" t="n">
        <v>0.364774614962192</v>
      </c>
      <c r="W575" s="24" t="n">
        <v>4</v>
      </c>
      <c r="X575" s="24" t="n">
        <v>100</v>
      </c>
      <c r="Y575" s="25" t="n">
        <v>0.115667755319078</v>
      </c>
      <c r="Z575" s="12" t="str">
        <f aca="false">IF(AND($J575=1,$M575=1),N575*E575/Span_P+O575*F575/Span_S+P575*G575/Span_B,"")</f>
        <v/>
      </c>
      <c r="AA575" s="12" t="str">
        <f aca="false">IF(AND($J575=1,$M575=1),SUMPRODUCT(MAX($J$6:$J$1062*(N575*$K$6:$K$1062/Span_P+O575*$F$6:$F$1062/Span_S+P575*$G$6:$G$1062/Span_B)-(1-$J$6:$J$1062)*1000000000)),"")</f>
        <v/>
      </c>
      <c r="AB575" s="15" t="str">
        <f aca="false">IF(AND($J575=1,$M575=1),IF(AA575-Z575&lt;=0.000000001,1,0),"")</f>
        <v/>
      </c>
      <c r="AC575" s="13" t="n">
        <f aca="false">IF(AND($J575=1,$M575=0),IF(S575="",0,S575*INDEX(Grid!$B$6:$H$156,R575+1,Q575+1))+IF(V575="",0,V575*INDEX(Grid!$B$6:$H$156,U575+1,T575+1))+IF(Y575="",0,Y575*INDEX(Grid!$B$6:$H$156,X575+1,W575+1)),"")</f>
        <v>202.002261702354</v>
      </c>
      <c r="AD575" s="13" t="n">
        <f aca="false">IF(AND($J575=1,$M575=0),IF(S575="",0,S575*Val_pt*(Ceiling_e-E_zero)*(1-(1-Half_gap)^Q575))+IF(V575="",0,V575*Val_pt*(Ceiling_e-E_zero)*(1-(1-Half_gap)^T575))+IF(Y575="",0,Y575*Val_pt*(Ceiling_e-E_zero)*(1-(1-Half_gap)^W575)),"")</f>
        <v>123.512092859042</v>
      </c>
      <c r="AE575" s="13" t="n">
        <f aca="false">IF(AND($J575=1,$M575=0),IF(S575="",0,S575*R575)+IF(V575="",0,V575*U575)+IF(Y575="",0,Y575*X575),"")</f>
        <v>118.23873074811</v>
      </c>
      <c r="AF575" s="12" t="n">
        <f aca="false">IF(AND($J575=1,$M575=0),MIN((AC575-E575)/Span_P,(AD575-F575)/Span_S,(AE575-G575)/Span_B),"")</f>
        <v>0.0149248716540643</v>
      </c>
      <c r="AG575" s="15" t="n">
        <f aca="false">IF(AND($J575=1,$M575=0),IF(AF575&gt;0.0000001,1,0),"")</f>
        <v>1</v>
      </c>
      <c r="AH575" s="15" t="n">
        <f aca="false">IF($J575=1,IF($M575=1,AB575,AG575),"")</f>
        <v>1</v>
      </c>
      <c r="AI575" s="13" t="n">
        <f aca="false">IF($J575=1,(Ideal_P-E575)/Span_P,"")</f>
        <v>0.517999959314675</v>
      </c>
      <c r="AJ575" s="13" t="n">
        <f aca="false">IF($J575=1,(Ideal_S-F575)/Span_S,"")</f>
        <v>0.225806451612903</v>
      </c>
      <c r="AK575" s="13" t="n">
        <f aca="false">IF($J575=1,(Ideal_B-G575)/Span_B,"")</f>
        <v>0.226666666666667</v>
      </c>
      <c r="AL575" s="12" t="n">
        <f aca="false">IF($J575=1,MAX(ChA_1*AI575,ChA_2*AJ575,ChA_3*AK575)+Rho*(ChA_1*AI575+ChA_2*AJ575+ChA_3*AK575),"")</f>
        <v>0.518097006622434</v>
      </c>
      <c r="AM575" s="12" t="n">
        <f aca="false">IF($J575=1,MAX(ChB_1*AI575,ChB_2*AJ575,ChB_3*AK575)+Rho*(ChB_1*AI575+ChB_2*AJ575+ChB_3*AK575),"")</f>
        <v>1.03614876593304</v>
      </c>
      <c r="AN575" s="12" t="n">
        <f aca="false">IF($J575=1,MAX(Cx_1*(Ref_P-E575)/Span_P,Cx_2*(Ref_S-F575)/Span_S,Cx_3*(Ref_B-G575)/Span_B),"")</f>
        <v>1.31861280736697</v>
      </c>
    </row>
    <row r="576" customFormat="false" ht="15" hidden="false" customHeight="false" outlineLevel="0" collapsed="false">
      <c r="A576" s="2" t="n">
        <v>570</v>
      </c>
      <c r="B576" s="15" t="n">
        <f aca="false">INT(A576/151)</f>
        <v>3</v>
      </c>
      <c r="C576" s="15" t="n">
        <f aca="false">MOD(A576,151)</f>
        <v>117</v>
      </c>
      <c r="D576" s="15" t="n">
        <f aca="false">INDEX(Grid!$J$6:$P$156,C576+1,B576+1)</f>
        <v>1</v>
      </c>
      <c r="E576" s="16" t="n">
        <f aca="false">IF(D576=1,INDEX(Grid!$B$6:$H$156,C576+1,B576+1),"")</f>
        <v>195.688649727557</v>
      </c>
      <c r="F576" s="13" t="n">
        <f aca="false">Val_pt*(Ceiling_e-E_zero)*(1-(1-Half_gap)^B576)</f>
        <v>122.5</v>
      </c>
      <c r="G576" s="15" t="n">
        <f aca="false">C576</f>
        <v>117</v>
      </c>
      <c r="H576" s="15" t="n">
        <f aca="false">IF(D576=1,INDEX(Grid!$R$6:$X$156,C576+1,B576+1),"")</f>
        <v>44</v>
      </c>
      <c r="I576" s="2" t="str">
        <f aca="false">IF(D576=1,INDEX(Sch_label,H576+1),"")</f>
        <v>1, 3, 4</v>
      </c>
      <c r="J576" s="15" t="n">
        <f aca="false">IF(D576=1,INDEX(Grid!$Z$6:$AF$156,C576+1,B576+1),0)</f>
        <v>1</v>
      </c>
      <c r="K576" s="16" t="n">
        <f aca="false">IF(J576=1,E576,0)</f>
        <v>195.688649727557</v>
      </c>
      <c r="L576" s="17" t="n">
        <f aca="false">IF(D576=1,E576+W_board*F576,"")</f>
        <v>887.169214043434</v>
      </c>
      <c r="M576" s="24" t="n">
        <v>0</v>
      </c>
      <c r="Q576" s="24" t="n">
        <v>3</v>
      </c>
      <c r="R576" s="24" t="n">
        <v>100</v>
      </c>
      <c r="S576" s="25" t="n">
        <v>0.50427652296227</v>
      </c>
      <c r="T576" s="24" t="n">
        <v>3</v>
      </c>
      <c r="U576" s="24" t="n">
        <v>150</v>
      </c>
      <c r="V576" s="25" t="n">
        <v>0.383457714522118</v>
      </c>
      <c r="W576" s="24" t="n">
        <v>4</v>
      </c>
      <c r="X576" s="24" t="n">
        <v>100</v>
      </c>
      <c r="Y576" s="25" t="n">
        <v>0.1122657625156</v>
      </c>
      <c r="Z576" s="12" t="str">
        <f aca="false">IF(AND($J576=1,$M576=1),N576*E576/Span_P+O576*F576/Span_S+P576*G576/Span_B,"")</f>
        <v/>
      </c>
      <c r="AA576" s="12" t="str">
        <f aca="false">IF(AND($J576=1,$M576=1),SUMPRODUCT(MAX($J$6:$J$1062*(N576*$K$6:$K$1062/Span_P+O576*$F$6:$F$1062/Span_S+P576*$G$6:$G$1062/Span_B)-(1-$J$6:$J$1062)*1000000000)),"")</f>
        <v/>
      </c>
      <c r="AB576" s="15" t="str">
        <f aca="false">IF(AND($J576=1,$M576=1),IF(AA576-Z576&lt;=0.000000001,1,0),"")</f>
        <v/>
      </c>
      <c r="AC576" s="13" t="n">
        <f aca="false">IF(AND($J576=1,$M576=0),IF(S576="",0,S576*INDEX(Grid!$B$6:$H$156,R576+1,Q576+1))+IF(V576="",0,V576*INDEX(Grid!$B$6:$H$156,U576+1,T576+1))+IF(Y576="",0,Y576*INDEX(Grid!$B$6:$H$156,X576+1,W576+1)),"")</f>
        <v>200.934214291327</v>
      </c>
      <c r="AD576" s="13" t="n">
        <f aca="false">IF(AND($J576=1,$M576=0),IF(S576="",0,S576*Val_pt*(Ceiling_e-E_zero)*(1-(1-Half_gap)^Q576))+IF(V576="",0,V576*Val_pt*(Ceiling_e-E_zero)*(1-(1-Half_gap)^T576))+IF(Y576="",0,Y576*Val_pt*(Ceiling_e-E_zero)*(1-(1-Half_gap)^W576)),"")</f>
        <v>123.48232542201</v>
      </c>
      <c r="AE576" s="13" t="n">
        <f aca="false">IF(AND($J576=1,$M576=0),IF(S576="",0,S576*R576)+IF(V576="",0,V576*U576)+IF(Y576="",0,Y576*X576),"")</f>
        <v>119.172885726105</v>
      </c>
      <c r="AF576" s="12" t="n">
        <f aca="false">IF(AND($J576=1,$M576=0),MIN((AC576-E576)/Span_P,(AD576-F576)/Span_S,(AE576-G576)/Span_B),"")</f>
        <v>0.0144859048406975</v>
      </c>
      <c r="AG576" s="15" t="n">
        <f aca="false">IF(AND($J576=1,$M576=0),IF(AF576&gt;0.0000001,1,0),"")</f>
        <v>1</v>
      </c>
      <c r="AH576" s="15" t="n">
        <f aca="false">IF($J576=1,IF($M576=1,AB576,AG576),"")</f>
        <v>1</v>
      </c>
      <c r="AI576" s="13" t="n">
        <f aca="false">IF($J576=1,(Ideal_P-E576)/Span_P,"")</f>
        <v>0.520510462090981</v>
      </c>
      <c r="AJ576" s="13" t="n">
        <f aca="false">IF($J576=1,(Ideal_S-F576)/Span_S,"")</f>
        <v>0.225806451612903</v>
      </c>
      <c r="AK576" s="13" t="n">
        <f aca="false">IF($J576=1,(Ideal_B-G576)/Span_B,"")</f>
        <v>0.22</v>
      </c>
      <c r="AL576" s="12" t="n">
        <f aca="false">IF($J576=1,MAX(ChA_1*AI576,ChA_2*AJ576,ChA_3*AK576)+Rho*(ChA_1*AI576+ChA_2*AJ576+ChA_3*AK576),"")</f>
        <v>0.520607093782351</v>
      </c>
      <c r="AM576" s="12" t="n">
        <f aca="false">IF($J576=1,MAX(ChB_1*AI576,ChB_2*AJ576,ChB_3*AK576)+Rho*(ChB_1*AI576+ChB_2*AJ576+ChB_3*AK576),"")</f>
        <v>1.04116960691954</v>
      </c>
      <c r="AN576" s="12" t="n">
        <f aca="false">IF($J576=1,MAX(Cx_1*(Ref_P-E576)/Span_P,Cx_2*(Ref_S-F576)/Span_S,Cx_3*(Ref_B-G576)/Span_B),"")</f>
        <v>1.32488246905039</v>
      </c>
    </row>
    <row r="577" customFormat="false" ht="15" hidden="false" customHeight="false" outlineLevel="0" collapsed="false">
      <c r="A577" s="2" t="n">
        <v>571</v>
      </c>
      <c r="B577" s="15" t="n">
        <f aca="false">INT(A577/151)</f>
        <v>3</v>
      </c>
      <c r="C577" s="15" t="n">
        <f aca="false">MOD(A577,151)</f>
        <v>118</v>
      </c>
      <c r="D577" s="15" t="n">
        <f aca="false">INDEX(Grid!$J$6:$P$156,C577+1,B577+1)</f>
        <v>1</v>
      </c>
      <c r="E577" s="16" t="n">
        <f aca="false">IF(D577=1,INDEX(Grid!$B$6:$H$156,C577+1,B577+1),"")</f>
        <v>194.779558818466</v>
      </c>
      <c r="F577" s="13" t="n">
        <f aca="false">Val_pt*(Ceiling_e-E_zero)*(1-(1-Half_gap)^B577)</f>
        <v>122.5</v>
      </c>
      <c r="G577" s="15" t="n">
        <f aca="false">C577</f>
        <v>118</v>
      </c>
      <c r="H577" s="15" t="n">
        <f aca="false">IF(D577=1,INDEX(Grid!$R$6:$X$156,C577+1,B577+1),"")</f>
        <v>44</v>
      </c>
      <c r="I577" s="2" t="str">
        <f aca="false">IF(D577=1,INDEX(Sch_label,H577+1),"")</f>
        <v>1, 3, 4</v>
      </c>
      <c r="J577" s="15" t="n">
        <f aca="false">IF(D577=1,INDEX(Grid!$Z$6:$AF$156,C577+1,B577+1),0)</f>
        <v>1</v>
      </c>
      <c r="K577" s="16" t="n">
        <f aca="false">IF(J577=1,E577,0)</f>
        <v>194.779558818466</v>
      </c>
      <c r="L577" s="17" t="n">
        <f aca="false">IF(D577=1,E577+W_board*F577,"")</f>
        <v>886.260123134343</v>
      </c>
      <c r="M577" s="24" t="n">
        <v>0</v>
      </c>
      <c r="Q577" s="24" t="n">
        <v>3</v>
      </c>
      <c r="R577" s="24" t="n">
        <v>100</v>
      </c>
      <c r="S577" s="25" t="n">
        <v>0.488995416205888</v>
      </c>
      <c r="T577" s="24" t="n">
        <v>3</v>
      </c>
      <c r="U577" s="24" t="n">
        <v>150</v>
      </c>
      <c r="V577" s="25" t="n">
        <v>0.402140814082074</v>
      </c>
      <c r="W577" s="24" t="n">
        <v>4</v>
      </c>
      <c r="X577" s="24" t="n">
        <v>100</v>
      </c>
      <c r="Y577" s="25" t="n">
        <v>0.10886376971203</v>
      </c>
      <c r="Z577" s="12" t="str">
        <f aca="false">IF(AND($J577=1,$M577=1),N577*E577/Span_P+O577*F577/Span_S+P577*G577/Span_B,"")</f>
        <v/>
      </c>
      <c r="AA577" s="12" t="str">
        <f aca="false">IF(AND($J577=1,$M577=1),SUMPRODUCT(MAX($J$6:$J$1062*(N577*$K$6:$K$1062/Span_P+O577*$F$6:$F$1062/Span_S+P577*$G$6:$G$1062/Span_B)-(1-$J$6:$J$1062)*1000000000)),"")</f>
        <v/>
      </c>
      <c r="AB577" s="15" t="str">
        <f aca="false">IF(AND($J577=1,$M577=1),IF(AA577-Z577&lt;=0.000000001,1,0),"")</f>
        <v/>
      </c>
      <c r="AC577" s="13" t="n">
        <f aca="false">IF(AND($J577=1,$M577=0),IF(S577="",0,S577*INDEX(Grid!$B$6:$H$156,R577+1,Q577+1))+IF(V577="",0,V577*INDEX(Grid!$B$6:$H$156,U577+1,T577+1))+IF(Y577="",0,Y577*INDEX(Grid!$B$6:$H$156,X577+1,W577+1)),"")</f>
        <v>199.866166880308</v>
      </c>
      <c r="AD577" s="13" t="n">
        <f aca="false">IF(AND($J577=1,$M577=0),IF(S577="",0,S577*Val_pt*(Ceiling_e-E_zero)*(1-(1-Half_gap)^Q577))+IF(V577="",0,V577*Val_pt*(Ceiling_e-E_zero)*(1-(1-Half_gap)^T577))+IF(Y577="",0,Y577*Val_pt*(Ceiling_e-E_zero)*(1-(1-Half_gap)^W577)),"")</f>
        <v>123.452557984979</v>
      </c>
      <c r="AE577" s="13" t="n">
        <f aca="false">IF(AND($J577=1,$M577=0),IF(S577="",0,S577*R577)+IF(V577="",0,V577*U577)+IF(Y577="",0,Y577*X577),"")</f>
        <v>120.107040704103</v>
      </c>
      <c r="AF577" s="12" t="n">
        <f aca="false">IF(AND($J577=1,$M577=0),MIN((AC577-E577)/Span_P,(AD577-F577)/Span_S,(AE577-G577)/Span_B),"")</f>
        <v>0.014046938027343</v>
      </c>
      <c r="AG577" s="15" t="n">
        <f aca="false">IF(AND($J577=1,$M577=0),IF(AF577&gt;0.0000001,1,0),"")</f>
        <v>1</v>
      </c>
      <c r="AH577" s="15" t="n">
        <f aca="false">IF($J577=1,IF($M577=1,AB577,AG577),"")</f>
        <v>1</v>
      </c>
      <c r="AI577" s="13" t="n">
        <f aca="false">IF($J577=1,(Ideal_P-E577)/Span_P,"")</f>
        <v>0.523020964867287</v>
      </c>
      <c r="AJ577" s="13" t="n">
        <f aca="false">IF($J577=1,(Ideal_S-F577)/Span_S,"")</f>
        <v>0.225806451612903</v>
      </c>
      <c r="AK577" s="13" t="n">
        <f aca="false">IF($J577=1,(Ideal_B-G577)/Span_B,"")</f>
        <v>0.213333333333333</v>
      </c>
      <c r="AL577" s="12" t="n">
        <f aca="false">IF($J577=1,MAX(ChA_1*AI577,ChA_2*AJ577,ChA_3*AK577)+Rho*(ChA_1*AI577+ChA_2*AJ577+ChA_3*AK577),"")</f>
        <v>0.523117180942268</v>
      </c>
      <c r="AM577" s="12" t="n">
        <f aca="false">IF($J577=1,MAX(ChB_1*AI577,ChB_2*AJ577,ChB_3*AK577)+Rho*(ChB_1*AI577+ChB_2*AJ577+ChB_3*AK577),"")</f>
        <v>1.04619044790604</v>
      </c>
      <c r="AN577" s="12" t="n">
        <f aca="false">IF($J577=1,MAX(Cx_1*(Ref_P-E577)/Span_P,Cx_2*(Ref_S-F577)/Span_S,Cx_3*(Ref_B-G577)/Span_B),"")</f>
        <v>1.33115213073382</v>
      </c>
    </row>
    <row r="578" customFormat="false" ht="15" hidden="false" customHeight="false" outlineLevel="0" collapsed="false">
      <c r="A578" s="2" t="n">
        <v>572</v>
      </c>
      <c r="B578" s="15" t="n">
        <f aca="false">INT(A578/151)</f>
        <v>3</v>
      </c>
      <c r="C578" s="15" t="n">
        <f aca="false">MOD(A578,151)</f>
        <v>119</v>
      </c>
      <c r="D578" s="15" t="n">
        <f aca="false">INDEX(Grid!$J$6:$P$156,C578+1,B578+1)</f>
        <v>1</v>
      </c>
      <c r="E578" s="16" t="n">
        <f aca="false">IF(D578=1,INDEX(Grid!$B$6:$H$156,C578+1,B578+1),"")</f>
        <v>193.870467909375</v>
      </c>
      <c r="F578" s="13" t="n">
        <f aca="false">Val_pt*(Ceiling_e-E_zero)*(1-(1-Half_gap)^B578)</f>
        <v>122.5</v>
      </c>
      <c r="G578" s="15" t="n">
        <f aca="false">C578</f>
        <v>119</v>
      </c>
      <c r="H578" s="15" t="n">
        <f aca="false">IF(D578=1,INDEX(Grid!$R$6:$X$156,C578+1,B578+1),"")</f>
        <v>44</v>
      </c>
      <c r="I578" s="2" t="str">
        <f aca="false">IF(D578=1,INDEX(Sch_label,H578+1),"")</f>
        <v>1, 3, 4</v>
      </c>
      <c r="J578" s="15" t="n">
        <f aca="false">IF(D578=1,INDEX(Grid!$Z$6:$AF$156,C578+1,B578+1),0)</f>
        <v>1</v>
      </c>
      <c r="K578" s="16" t="n">
        <f aca="false">IF(J578=1,E578,0)</f>
        <v>193.870467909375</v>
      </c>
      <c r="L578" s="17" t="n">
        <f aca="false">IF(D578=1,E578+W_board*F578,"")</f>
        <v>885.351032225252</v>
      </c>
      <c r="M578" s="24" t="n">
        <v>0</v>
      </c>
      <c r="Q578" s="24" t="n">
        <v>3</v>
      </c>
      <c r="R578" s="24" t="n">
        <v>100</v>
      </c>
      <c r="S578" s="25" t="n">
        <v>0.473714309449526</v>
      </c>
      <c r="T578" s="24" t="n">
        <v>3</v>
      </c>
      <c r="U578" s="24" t="n">
        <v>150</v>
      </c>
      <c r="V578" s="25" t="n">
        <v>0.420823913642065</v>
      </c>
      <c r="W578" s="24" t="n">
        <v>4</v>
      </c>
      <c r="X578" s="24" t="n">
        <v>100</v>
      </c>
      <c r="Y578" s="25" t="n">
        <v>0.105461776908444</v>
      </c>
      <c r="Z578" s="12" t="str">
        <f aca="false">IF(AND($J578=1,$M578=1),N578*E578/Span_P+O578*F578/Span_S+P578*G578/Span_B,"")</f>
        <v/>
      </c>
      <c r="AA578" s="12" t="str">
        <f aca="false">IF(AND($J578=1,$M578=1),SUMPRODUCT(MAX($J$6:$J$1062*(N578*$K$6:$K$1062/Span_P+O578*$F$6:$F$1062/Span_S+P578*$G$6:$G$1062/Span_B)-(1-$J$6:$J$1062)*1000000000)),"")</f>
        <v/>
      </c>
      <c r="AB578" s="15" t="str">
        <f aca="false">IF(AND($J578=1,$M578=1),IF(AA578-Z578&lt;=0.000000001,1,0),"")</f>
        <v/>
      </c>
      <c r="AC578" s="13" t="n">
        <f aca="false">IF(AND($J578=1,$M578=0),IF(S578="",0,S578*INDEX(Grid!$B$6:$H$156,R578+1,Q578+1))+IF(V578="",0,V578*INDEX(Grid!$B$6:$H$156,U578+1,T578+1))+IF(Y578="",0,Y578*INDEX(Grid!$B$6:$H$156,X578+1,W578+1)),"")</f>
        <v>198.798119469296</v>
      </c>
      <c r="AD578" s="13" t="n">
        <f aca="false">IF(AND($J578=1,$M578=0),IF(S578="",0,S578*Val_pt*(Ceiling_e-E_zero)*(1-(1-Half_gap)^Q578))+IF(V578="",0,V578*Val_pt*(Ceiling_e-E_zero)*(1-(1-Half_gap)^T578))+IF(Y578="",0,Y578*Val_pt*(Ceiling_e-E_zero)*(1-(1-Half_gap)^W578)),"")</f>
        <v>123.422790547953</v>
      </c>
      <c r="AE578" s="13" t="n">
        <f aca="false">IF(AND($J578=1,$M578=0),IF(S578="",0,S578*R578)+IF(V578="",0,V578*U578)+IF(Y578="",0,Y578*X578),"")</f>
        <v>121.041195682107</v>
      </c>
      <c r="AF578" s="12" t="n">
        <f aca="false">IF(AND($J578=1,$M578=0),MIN((AC578-E578)/Span_P,(AD578-F578)/Span_S,(AE578-G578)/Span_B),"")</f>
        <v>0.0136079712140348</v>
      </c>
      <c r="AG578" s="15" t="n">
        <f aca="false">IF(AND($J578=1,$M578=0),IF(AF578&gt;0.0000001,1,0),"")</f>
        <v>1</v>
      </c>
      <c r="AH578" s="15" t="n">
        <f aca="false">IF($J578=1,IF($M578=1,AB578,AG578),"")</f>
        <v>1</v>
      </c>
      <c r="AI578" s="13" t="n">
        <f aca="false">IF($J578=1,(Ideal_P-E578)/Span_P,"")</f>
        <v>0.525531467643593</v>
      </c>
      <c r="AJ578" s="13" t="n">
        <f aca="false">IF($J578=1,(Ideal_S-F578)/Span_S,"")</f>
        <v>0.225806451612903</v>
      </c>
      <c r="AK578" s="13" t="n">
        <f aca="false">IF($J578=1,(Ideal_B-G578)/Span_B,"")</f>
        <v>0.206666666666667</v>
      </c>
      <c r="AL578" s="12" t="n">
        <f aca="false">IF($J578=1,MAX(ChA_1*AI578,ChA_2*AJ578,ChA_3*AK578)+Rho*(ChA_1*AI578+ChA_2*AJ578+ChA_3*AK578),"")</f>
        <v>0.525627268102185</v>
      </c>
      <c r="AM578" s="12" t="n">
        <f aca="false">IF($J578=1,MAX(ChB_1*AI578,ChB_2*AJ578,ChB_3*AK578)+Rho*(ChB_1*AI578+ChB_2*AJ578+ChB_3*AK578),"")</f>
        <v>1.05121128889254</v>
      </c>
      <c r="AN578" s="12" t="n">
        <f aca="false">IF($J578=1,MAX(Cx_1*(Ref_P-E578)/Span_P,Cx_2*(Ref_S-F578)/Span_S,Cx_3*(Ref_B-G578)/Span_B),"")</f>
        <v>1.33742179241725</v>
      </c>
    </row>
    <row r="579" customFormat="false" ht="15" hidden="false" customHeight="false" outlineLevel="0" collapsed="false">
      <c r="A579" s="2" t="n">
        <v>573</v>
      </c>
      <c r="B579" s="15" t="n">
        <f aca="false">INT(A579/151)</f>
        <v>3</v>
      </c>
      <c r="C579" s="15" t="n">
        <f aca="false">MOD(A579,151)</f>
        <v>120</v>
      </c>
      <c r="D579" s="15" t="n">
        <f aca="false">INDEX(Grid!$J$6:$P$156,C579+1,B579+1)</f>
        <v>1</v>
      </c>
      <c r="E579" s="16" t="n">
        <f aca="false">IF(D579=1,INDEX(Grid!$B$6:$H$156,C579+1,B579+1),"")</f>
        <v>192.961377000284</v>
      </c>
      <c r="F579" s="13" t="n">
        <f aca="false">Val_pt*(Ceiling_e-E_zero)*(1-(1-Half_gap)^B579)</f>
        <v>122.5</v>
      </c>
      <c r="G579" s="15" t="n">
        <f aca="false">C579</f>
        <v>120</v>
      </c>
      <c r="H579" s="15" t="n">
        <f aca="false">IF(D579=1,INDEX(Grid!$R$6:$X$156,C579+1,B579+1),"")</f>
        <v>44</v>
      </c>
      <c r="I579" s="2" t="str">
        <f aca="false">IF(D579=1,INDEX(Sch_label,H579+1),"")</f>
        <v>1, 3, 4</v>
      </c>
      <c r="J579" s="15" t="n">
        <f aca="false">IF(D579=1,INDEX(Grid!$Z$6:$AF$156,C579+1,B579+1),0)</f>
        <v>1</v>
      </c>
      <c r="K579" s="16" t="n">
        <f aca="false">IF(J579=1,E579,0)</f>
        <v>192.961377000284</v>
      </c>
      <c r="L579" s="17" t="n">
        <f aca="false">IF(D579=1,E579+W_board*F579,"")</f>
        <v>884.441941316161</v>
      </c>
      <c r="M579" s="24" t="n">
        <v>0</v>
      </c>
      <c r="Q579" s="24" t="n">
        <v>3</v>
      </c>
      <c r="R579" s="24" t="n">
        <v>100</v>
      </c>
      <c r="S579" s="25" t="n">
        <v>0.458433202693016</v>
      </c>
      <c r="T579" s="24" t="n">
        <v>3</v>
      </c>
      <c r="U579" s="24" t="n">
        <v>150</v>
      </c>
      <c r="V579" s="25" t="n">
        <v>0.439507013201952</v>
      </c>
      <c r="W579" s="24" t="n">
        <v>4</v>
      </c>
      <c r="X579" s="24" t="n">
        <v>100</v>
      </c>
      <c r="Y579" s="25" t="n">
        <v>0.102059784105047</v>
      </c>
      <c r="Z579" s="12" t="str">
        <f aca="false">IF(AND($J579=1,$M579=1),N579*E579/Span_P+O579*F579/Span_S+P579*G579/Span_B,"")</f>
        <v/>
      </c>
      <c r="AA579" s="12" t="str">
        <f aca="false">IF(AND($J579=1,$M579=1),SUMPRODUCT(MAX($J$6:$J$1062*(N579*$K$6:$K$1062/Span_P+O579*$F$6:$F$1062/Span_S+P579*$G$6:$G$1062/Span_B)-(1-$J$6:$J$1062)*1000000000)),"")</f>
        <v/>
      </c>
      <c r="AB579" s="15" t="str">
        <f aca="false">IF(AND($J579=1,$M579=1),IF(AA579-Z579&lt;=0.000000001,1,0),"")</f>
        <v/>
      </c>
      <c r="AC579" s="13" t="n">
        <f aca="false">IF(AND($J579=1,$M579=0),IF(S579="",0,S579*INDEX(Grid!$B$6:$H$156,R579+1,Q579+1))+IF(V579="",0,V579*INDEX(Grid!$B$6:$H$156,U579+1,T579+1))+IF(Y579="",0,Y579*INDEX(Grid!$B$6:$H$156,X579+1,W579+1)),"")</f>
        <v>197.730072058264</v>
      </c>
      <c r="AD579" s="13" t="n">
        <f aca="false">IF(AND($J579=1,$M579=0),IF(S579="",0,S579*Val_pt*(Ceiling_e-E_zero)*(1-(1-Half_gap)^Q579))+IF(V579="",0,V579*Val_pt*(Ceiling_e-E_zero)*(1-(1-Half_gap)^T579))+IF(Y579="",0,Y579*Val_pt*(Ceiling_e-E_zero)*(1-(1-Half_gap)^W579)),"")</f>
        <v>123.393023110921</v>
      </c>
      <c r="AE579" s="13" t="n">
        <f aca="false">IF(AND($J579=1,$M579=0),IF(S579="",0,S579*R579)+IF(V579="",0,V579*U579)+IF(Y579="",0,Y579*X579),"")</f>
        <v>121.975350660099</v>
      </c>
      <c r="AF579" s="12" t="n">
        <f aca="false">IF(AND($J579=1,$M579=0),MIN((AC579-E579)/Span_P,(AD579-F579)/Span_S,(AE579-G579)/Span_B),"")</f>
        <v>0.0131690044006563</v>
      </c>
      <c r="AG579" s="15" t="n">
        <f aca="false">IF(AND($J579=1,$M579=0),IF(AF579&gt;0.0000001,1,0),"")</f>
        <v>1</v>
      </c>
      <c r="AH579" s="15" t="n">
        <f aca="false">IF($J579=1,IF($M579=1,AB579,AG579),"")</f>
        <v>1</v>
      </c>
      <c r="AI579" s="13" t="n">
        <f aca="false">IF($J579=1,(Ideal_P-E579)/Span_P,"")</f>
        <v>0.528041970419898</v>
      </c>
      <c r="AJ579" s="13" t="n">
        <f aca="false">IF($J579=1,(Ideal_S-F579)/Span_S,"")</f>
        <v>0.225806451612903</v>
      </c>
      <c r="AK579" s="13" t="n">
        <f aca="false">IF($J579=1,(Ideal_B-G579)/Span_B,"")</f>
        <v>0.2</v>
      </c>
      <c r="AL579" s="12" t="n">
        <f aca="false">IF($J579=1,MAX(ChA_1*AI579,ChA_2*AJ579,ChA_3*AK579)+Rho*(ChA_1*AI579+ChA_2*AJ579+ChA_3*AK579),"")</f>
        <v>0.528137355262102</v>
      </c>
      <c r="AM579" s="12" t="n">
        <f aca="false">IF($J579=1,MAX(ChB_1*AI579,ChB_2*AJ579,ChB_3*AK579)+Rho*(ChB_1*AI579+ChB_2*AJ579+ChB_3*AK579),"")</f>
        <v>1.05623212987904</v>
      </c>
      <c r="AN579" s="12" t="n">
        <f aca="false">IF($J579=1,MAX(Cx_1*(Ref_P-E579)/Span_P,Cx_2*(Ref_S-F579)/Span_S,Cx_3*(Ref_B-G579)/Span_B),"")</f>
        <v>1.34369145410068</v>
      </c>
    </row>
    <row r="580" customFormat="false" ht="15" hidden="false" customHeight="false" outlineLevel="0" collapsed="false">
      <c r="A580" s="2" t="n">
        <v>574</v>
      </c>
      <c r="B580" s="15" t="n">
        <f aca="false">INT(A580/151)</f>
        <v>3</v>
      </c>
      <c r="C580" s="15" t="n">
        <f aca="false">MOD(A580,151)</f>
        <v>121</v>
      </c>
      <c r="D580" s="15" t="n">
        <f aca="false">INDEX(Grid!$J$6:$P$156,C580+1,B580+1)</f>
        <v>1</v>
      </c>
      <c r="E580" s="16" t="n">
        <f aca="false">IF(D580=1,INDEX(Grid!$B$6:$H$156,C580+1,B580+1),"")</f>
        <v>192.052286091193</v>
      </c>
      <c r="F580" s="13" t="n">
        <f aca="false">Val_pt*(Ceiling_e-E_zero)*(1-(1-Half_gap)^B580)</f>
        <v>122.5</v>
      </c>
      <c r="G580" s="15" t="n">
        <f aca="false">C580</f>
        <v>121</v>
      </c>
      <c r="H580" s="15" t="n">
        <f aca="false">IF(D580=1,INDEX(Grid!$R$6:$X$156,C580+1,B580+1),"")</f>
        <v>44</v>
      </c>
      <c r="I580" s="2" t="str">
        <f aca="false">IF(D580=1,INDEX(Sch_label,H580+1),"")</f>
        <v>1, 3, 4</v>
      </c>
      <c r="J580" s="15" t="n">
        <f aca="false">IF(D580=1,INDEX(Grid!$Z$6:$AF$156,C580+1,B580+1),0)</f>
        <v>1</v>
      </c>
      <c r="K580" s="16" t="n">
        <f aca="false">IF(J580=1,E580,0)</f>
        <v>192.052286091193</v>
      </c>
      <c r="L580" s="17" t="n">
        <f aca="false">IF(D580=1,E580+W_board*F580,"")</f>
        <v>883.53285040707</v>
      </c>
      <c r="M580" s="24" t="n">
        <v>0</v>
      </c>
      <c r="Q580" s="24" t="n">
        <v>3</v>
      </c>
      <c r="R580" s="24" t="n">
        <v>100</v>
      </c>
      <c r="S580" s="25" t="n">
        <v>0.443152095936521</v>
      </c>
      <c r="T580" s="24" t="n">
        <v>3</v>
      </c>
      <c r="U580" s="24" t="n">
        <v>150</v>
      </c>
      <c r="V580" s="25" t="n">
        <v>0.458190112761825</v>
      </c>
      <c r="W580" s="24" t="n">
        <v>4</v>
      </c>
      <c r="X580" s="24" t="n">
        <v>100</v>
      </c>
      <c r="Y580" s="25" t="n">
        <v>0.0986577913016118</v>
      </c>
      <c r="Z580" s="12" t="str">
        <f aca="false">IF(AND($J580=1,$M580=1),N580*E580/Span_P+O580*F580/Span_S+P580*G580/Span_B,"")</f>
        <v/>
      </c>
      <c r="AA580" s="12" t="str">
        <f aca="false">IF(AND($J580=1,$M580=1),SUMPRODUCT(MAX($J$6:$J$1062*(N580*$K$6:$K$1062/Span_P+O580*$F$6:$F$1062/Span_S+P580*$G$6:$G$1062/Span_B)-(1-$J$6:$J$1062)*1000000000)),"")</f>
        <v/>
      </c>
      <c r="AB580" s="15" t="str">
        <f aca="false">IF(AND($J580=1,$M580=1),IF(AA580-Z580&lt;=0.000000001,1,0),"")</f>
        <v/>
      </c>
      <c r="AC580" s="13" t="n">
        <f aca="false">IF(AND($J580=1,$M580=0),IF(S580="",0,S580*INDEX(Grid!$B$6:$H$156,R580+1,Q580+1))+IF(V580="",0,V580*INDEX(Grid!$B$6:$H$156,U580+1,T580+1))+IF(Y580="",0,Y580*INDEX(Grid!$B$6:$H$156,X580+1,W580+1)),"")</f>
        <v>196.662024647227</v>
      </c>
      <c r="AD580" s="13" t="n">
        <f aca="false">IF(AND($J580=1,$M580=0),IF(S580="",0,S580*Val_pt*(Ceiling_e-E_zero)*(1-(1-Half_gap)^Q580))+IF(V580="",0,V580*Val_pt*(Ceiling_e-E_zero)*(1-(1-Half_gap)^T580))+IF(Y580="",0,Y580*Val_pt*(Ceiling_e-E_zero)*(1-(1-Half_gap)^W580)),"")</f>
        <v>123.363255673884</v>
      </c>
      <c r="AE580" s="13" t="n">
        <f aca="false">IF(AND($J580=1,$M580=0),IF(S580="",0,S580*R580)+IF(V580="",0,V580*U580)+IF(Y580="",0,Y580*X580),"")</f>
        <v>122.909505638087</v>
      </c>
      <c r="AF580" s="12" t="n">
        <f aca="false">IF(AND($J580=1,$M580=0),MIN((AC580-E580)/Span_P,(AD580-F580)/Span_S,(AE580-G580)/Span_B),"")</f>
        <v>0.0127300375872295</v>
      </c>
      <c r="AG580" s="15" t="n">
        <f aca="false">IF(AND($J580=1,$M580=0),IF(AF580&gt;0.0000001,1,0),"")</f>
        <v>1</v>
      </c>
      <c r="AH580" s="15" t="n">
        <f aca="false">IF($J580=1,IF($M580=1,AB580,AG580),"")</f>
        <v>1</v>
      </c>
      <c r="AI580" s="13" t="n">
        <f aca="false">IF($J580=1,(Ideal_P-E580)/Span_P,"")</f>
        <v>0.530552473196204</v>
      </c>
      <c r="AJ580" s="13" t="n">
        <f aca="false">IF($J580=1,(Ideal_S-F580)/Span_S,"")</f>
        <v>0.225806451612903</v>
      </c>
      <c r="AK580" s="13" t="n">
        <f aca="false">IF($J580=1,(Ideal_B-G580)/Span_B,"")</f>
        <v>0.193333333333333</v>
      </c>
      <c r="AL580" s="12" t="n">
        <f aca="false">IF($J580=1,MAX(ChA_1*AI580,ChA_2*AJ580,ChA_3*AK580)+Rho*(ChA_1*AI580+ChA_2*AJ580+ChA_3*AK580),"")</f>
        <v>0.530647442422018</v>
      </c>
      <c r="AM580" s="12" t="n">
        <f aca="false">IF($J580=1,MAX(ChB_1*AI580,ChB_2*AJ580,ChB_3*AK580)+Rho*(ChB_1*AI580+ChB_2*AJ580+ChB_3*AK580),"")</f>
        <v>1.06125297086554</v>
      </c>
      <c r="AN580" s="12" t="n">
        <f aca="false">IF($J580=1,MAX(Cx_1*(Ref_P-E580)/Span_P,Cx_2*(Ref_S-F580)/Span_S,Cx_3*(Ref_B-G580)/Span_B),"")</f>
        <v>1.34996111578411</v>
      </c>
    </row>
    <row r="581" customFormat="false" ht="15" hidden="false" customHeight="false" outlineLevel="0" collapsed="false">
      <c r="A581" s="2" t="n">
        <v>575</v>
      </c>
      <c r="B581" s="15" t="n">
        <f aca="false">INT(A581/151)</f>
        <v>3</v>
      </c>
      <c r="C581" s="15" t="n">
        <f aca="false">MOD(A581,151)</f>
        <v>122</v>
      </c>
      <c r="D581" s="15" t="n">
        <f aca="false">INDEX(Grid!$J$6:$P$156,C581+1,B581+1)</f>
        <v>1</v>
      </c>
      <c r="E581" s="16" t="n">
        <f aca="false">IF(D581=1,INDEX(Grid!$B$6:$H$156,C581+1,B581+1),"")</f>
        <v>191.143195182102</v>
      </c>
      <c r="F581" s="13" t="n">
        <f aca="false">Val_pt*(Ceiling_e-E_zero)*(1-(1-Half_gap)^B581)</f>
        <v>122.5</v>
      </c>
      <c r="G581" s="15" t="n">
        <f aca="false">C581</f>
        <v>122</v>
      </c>
      <c r="H581" s="15" t="n">
        <f aca="false">IF(D581=1,INDEX(Grid!$R$6:$X$156,C581+1,B581+1),"")</f>
        <v>44</v>
      </c>
      <c r="I581" s="2" t="str">
        <f aca="false">IF(D581=1,INDEX(Sch_label,H581+1),"")</f>
        <v>1, 3, 4</v>
      </c>
      <c r="J581" s="15" t="n">
        <f aca="false">IF(D581=1,INDEX(Grid!$Z$6:$AF$156,C581+1,B581+1),0)</f>
        <v>1</v>
      </c>
      <c r="K581" s="16" t="n">
        <f aca="false">IF(J581=1,E581,0)</f>
        <v>191.143195182102</v>
      </c>
      <c r="L581" s="17" t="n">
        <f aca="false">IF(D581=1,E581+W_board*F581,"")</f>
        <v>882.623759497979</v>
      </c>
      <c r="M581" s="24" t="n">
        <v>0</v>
      </c>
      <c r="Q581" s="24" t="n">
        <v>3</v>
      </c>
      <c r="R581" s="24" t="n">
        <v>100</v>
      </c>
      <c r="S581" s="25" t="n">
        <v>0.427870989180136</v>
      </c>
      <c r="T581" s="24" t="n">
        <v>3</v>
      </c>
      <c r="U581" s="24" t="n">
        <v>150</v>
      </c>
      <c r="V581" s="25" t="n">
        <v>0.476873212321807</v>
      </c>
      <c r="W581" s="24" t="n">
        <v>4</v>
      </c>
      <c r="X581" s="24" t="n">
        <v>100</v>
      </c>
      <c r="Y581" s="25" t="n">
        <v>0.0952557984980482</v>
      </c>
      <c r="Z581" s="12" t="str">
        <f aca="false">IF(AND($J581=1,$M581=1),N581*E581/Span_P+O581*F581/Span_S+P581*G581/Span_B,"")</f>
        <v/>
      </c>
      <c r="AA581" s="12" t="str">
        <f aca="false">IF(AND($J581=1,$M581=1),SUMPRODUCT(MAX($J$6:$J$1062*(N581*$K$6:$K$1062/Span_P+O581*$F$6:$F$1062/Span_S+P581*$G$6:$G$1062/Span_B)-(1-$J$6:$J$1062)*1000000000)),"")</f>
        <v/>
      </c>
      <c r="AB581" s="15" t="str">
        <f aca="false">IF(AND($J581=1,$M581=1),IF(AA581-Z581&lt;=0.000000001,1,0),"")</f>
        <v/>
      </c>
      <c r="AC581" s="13" t="n">
        <f aca="false">IF(AND($J581=1,$M581=0),IF(S581="",0,S581*INDEX(Grid!$B$6:$H$156,R581+1,Q581+1))+IF(V581="",0,V581*INDEX(Grid!$B$6:$H$156,U581+1,T581+1))+IF(Y581="",0,Y581*INDEX(Grid!$B$6:$H$156,X581+1,W581+1)),"")</f>
        <v>195.593977236212</v>
      </c>
      <c r="AD581" s="13" t="n">
        <f aca="false">IF(AND($J581=1,$M581=0),IF(S581="",0,S581*Val_pt*(Ceiling_e-E_zero)*(1-(1-Half_gap)^Q581))+IF(V581="",0,V581*Val_pt*(Ceiling_e-E_zero)*(1-(1-Half_gap)^T581))+IF(Y581="",0,Y581*Val_pt*(Ceiling_e-E_zero)*(1-(1-Half_gap)^W581)),"")</f>
        <v>123.333488236857</v>
      </c>
      <c r="AE581" s="13" t="n">
        <f aca="false">IF(AND($J581=1,$M581=0),IF(S581="",0,S581*R581)+IF(V581="",0,V581*U581)+IF(Y581="",0,Y581*X581),"")</f>
        <v>123.843660616089</v>
      </c>
      <c r="AF581" s="12" t="n">
        <f aca="false">IF(AND($J581=1,$M581=0),MIN((AC581-E581)/Span_P,(AD581-F581)/Span_S,(AE581-G581)/Span_B),"")</f>
        <v>0.0122910707739253</v>
      </c>
      <c r="AG581" s="15" t="n">
        <f aca="false">IF(AND($J581=1,$M581=0),IF(AF581&gt;0.0000001,1,0),"")</f>
        <v>1</v>
      </c>
      <c r="AH581" s="15" t="n">
        <f aca="false">IF($J581=1,IF($M581=1,AB581,AG581),"")</f>
        <v>1</v>
      </c>
      <c r="AI581" s="13" t="n">
        <f aca="false">IF($J581=1,(Ideal_P-E581)/Span_P,"")</f>
        <v>0.53306297597251</v>
      </c>
      <c r="AJ581" s="13" t="n">
        <f aca="false">IF($J581=1,(Ideal_S-F581)/Span_S,"")</f>
        <v>0.225806451612903</v>
      </c>
      <c r="AK581" s="13" t="n">
        <f aca="false">IF($J581=1,(Ideal_B-G581)/Span_B,"")</f>
        <v>0.186666666666667</v>
      </c>
      <c r="AL581" s="12" t="n">
        <f aca="false">IF($J581=1,MAX(ChA_1*AI581,ChA_2*AJ581,ChA_3*AK581)+Rho*(ChA_1*AI581+ChA_2*AJ581+ChA_3*AK581),"")</f>
        <v>0.533157529581935</v>
      </c>
      <c r="AM581" s="12" t="n">
        <f aca="false">IF($J581=1,MAX(ChB_1*AI581,ChB_2*AJ581,ChB_3*AK581)+Rho*(ChB_1*AI581+ChB_2*AJ581+ChB_3*AK581),"")</f>
        <v>1.06627381185204</v>
      </c>
      <c r="AN581" s="12" t="n">
        <f aca="false">IF($J581=1,MAX(Cx_1*(Ref_P-E581)/Span_P,Cx_2*(Ref_S-F581)/Span_S,Cx_3*(Ref_B-G581)/Span_B),"")</f>
        <v>1.35623077746754</v>
      </c>
    </row>
    <row r="582" customFormat="false" ht="15" hidden="false" customHeight="false" outlineLevel="0" collapsed="false">
      <c r="A582" s="2" t="n">
        <v>576</v>
      </c>
      <c r="B582" s="15" t="n">
        <f aca="false">INT(A582/151)</f>
        <v>3</v>
      </c>
      <c r="C582" s="15" t="n">
        <f aca="false">MOD(A582,151)</f>
        <v>123</v>
      </c>
      <c r="D582" s="15" t="n">
        <f aca="false">INDEX(Grid!$J$6:$P$156,C582+1,B582+1)</f>
        <v>1</v>
      </c>
      <c r="E582" s="16" t="n">
        <f aca="false">IF(D582=1,INDEX(Grid!$B$6:$H$156,C582+1,B582+1),"")</f>
        <v>190.234104273011</v>
      </c>
      <c r="F582" s="13" t="n">
        <f aca="false">Val_pt*(Ceiling_e-E_zero)*(1-(1-Half_gap)^B582)</f>
        <v>122.5</v>
      </c>
      <c r="G582" s="15" t="n">
        <f aca="false">C582</f>
        <v>123</v>
      </c>
      <c r="H582" s="15" t="n">
        <f aca="false">IF(D582=1,INDEX(Grid!$R$6:$X$156,C582+1,B582+1),"")</f>
        <v>44</v>
      </c>
      <c r="I582" s="2" t="str">
        <f aca="false">IF(D582=1,INDEX(Sch_label,H582+1),"")</f>
        <v>1, 3, 4</v>
      </c>
      <c r="J582" s="15" t="n">
        <f aca="false">IF(D582=1,INDEX(Grid!$Z$6:$AF$156,C582+1,B582+1),0)</f>
        <v>1</v>
      </c>
      <c r="K582" s="16" t="n">
        <f aca="false">IF(J582=1,E582,0)</f>
        <v>190.234104273011</v>
      </c>
      <c r="L582" s="17" t="n">
        <f aca="false">IF(D582=1,E582+W_board*F582,"")</f>
        <v>881.714668588888</v>
      </c>
      <c r="M582" s="24" t="n">
        <v>0</v>
      </c>
      <c r="Q582" s="24" t="n">
        <v>3</v>
      </c>
      <c r="R582" s="24" t="n">
        <v>100</v>
      </c>
      <c r="S582" s="25" t="n">
        <v>0.412589882423674</v>
      </c>
      <c r="T582" s="24" t="n">
        <v>3</v>
      </c>
      <c r="U582" s="24" t="n">
        <v>150</v>
      </c>
      <c r="V582" s="25" t="n">
        <v>0.495556311881737</v>
      </c>
      <c r="W582" s="24" t="n">
        <v>4</v>
      </c>
      <c r="X582" s="24" t="n">
        <v>100</v>
      </c>
      <c r="Y582" s="25" t="n">
        <v>0.0918538056945646</v>
      </c>
      <c r="Z582" s="12" t="str">
        <f aca="false">IF(AND($J582=1,$M582=1),N582*E582/Span_P+O582*F582/Span_S+P582*G582/Span_B,"")</f>
        <v/>
      </c>
      <c r="AA582" s="12" t="str">
        <f aca="false">IF(AND($J582=1,$M582=1),SUMPRODUCT(MAX($J$6:$J$1062*(N582*$K$6:$K$1062/Span_P+O582*$F$6:$F$1062/Span_S+P582*$G$6:$G$1062/Span_B)-(1-$J$6:$J$1062)*1000000000)),"")</f>
        <v/>
      </c>
      <c r="AB582" s="15" t="str">
        <f aca="false">IF(AND($J582=1,$M582=1),IF(AA582-Z582&lt;=0.000000001,1,0),"")</f>
        <v/>
      </c>
      <c r="AC582" s="13" t="n">
        <f aca="false">IF(AND($J582=1,$M582=0),IF(S582="",0,S582*INDEX(Grid!$B$6:$H$156,R582+1,Q582+1))+IF(V582="",0,V582*INDEX(Grid!$B$6:$H$156,U582+1,T582+1))+IF(Y582="",0,Y582*INDEX(Grid!$B$6:$H$156,X582+1,W582+1)),"")</f>
        <v>194.525929825184</v>
      </c>
      <c r="AD582" s="13" t="n">
        <f aca="false">IF(AND($J582=1,$M582=0),IF(S582="",0,S582*Val_pt*(Ceiling_e-E_zero)*(1-(1-Half_gap)^Q582))+IF(V582="",0,V582*Val_pt*(Ceiling_e-E_zero)*(1-(1-Half_gap)^T582))+IF(Y582="",0,Y582*Val_pt*(Ceiling_e-E_zero)*(1-(1-Half_gap)^W582)),"")</f>
        <v>123.303720799824</v>
      </c>
      <c r="AE582" s="13" t="n">
        <f aca="false">IF(AND($J582=1,$M582=0),IF(S582="",0,S582*R582)+IF(V582="",0,V582*U582)+IF(Y582="",0,Y582*X582),"")</f>
        <v>124.777815594084</v>
      </c>
      <c r="AF582" s="12" t="n">
        <f aca="false">IF(AND($J582=1,$M582=0),MIN((AC582-E582)/Span_P,(AD582-F582)/Span_S,(AE582-G582)/Span_B),"")</f>
        <v>0.0118521039605434</v>
      </c>
      <c r="AG582" s="15" t="n">
        <f aca="false">IF(AND($J582=1,$M582=0),IF(AF582&gt;0.0000001,1,0),"")</f>
        <v>1</v>
      </c>
      <c r="AH582" s="15" t="n">
        <f aca="false">IF($J582=1,IF($M582=1,AB582,AG582),"")</f>
        <v>1</v>
      </c>
      <c r="AI582" s="13" t="n">
        <f aca="false">IF($J582=1,(Ideal_P-E582)/Span_P,"")</f>
        <v>0.535573478748815</v>
      </c>
      <c r="AJ582" s="13" t="n">
        <f aca="false">IF($J582=1,(Ideal_S-F582)/Span_S,"")</f>
        <v>0.225806451612903</v>
      </c>
      <c r="AK582" s="13" t="n">
        <f aca="false">IF($J582=1,(Ideal_B-G582)/Span_B,"")</f>
        <v>0.18</v>
      </c>
      <c r="AL582" s="12" t="n">
        <f aca="false">IF($J582=1,MAX(ChA_1*AI582,ChA_2*AJ582,ChA_3*AK582)+Rho*(ChA_1*AI582+ChA_2*AJ582+ChA_3*AK582),"")</f>
        <v>0.535667616741852</v>
      </c>
      <c r="AM582" s="12" t="n">
        <f aca="false">IF($J582=1,MAX(ChB_1*AI582,ChB_2*AJ582,ChB_3*AK582)+Rho*(ChB_1*AI582+ChB_2*AJ582+ChB_3*AK582),"")</f>
        <v>1.07129465283854</v>
      </c>
      <c r="AN582" s="12" t="n">
        <f aca="false">IF($J582=1,MAX(Cx_1*(Ref_P-E582)/Span_P,Cx_2*(Ref_S-F582)/Span_S,Cx_3*(Ref_B-G582)/Span_B),"")</f>
        <v>1.36250043915097</v>
      </c>
    </row>
    <row r="583" customFormat="false" ht="15" hidden="false" customHeight="false" outlineLevel="0" collapsed="false">
      <c r="A583" s="2" t="n">
        <v>577</v>
      </c>
      <c r="B583" s="15" t="n">
        <f aca="false">INT(A583/151)</f>
        <v>3</v>
      </c>
      <c r="C583" s="15" t="n">
        <f aca="false">MOD(A583,151)</f>
        <v>124</v>
      </c>
      <c r="D583" s="15" t="n">
        <f aca="false">INDEX(Grid!$J$6:$P$156,C583+1,B583+1)</f>
        <v>1</v>
      </c>
      <c r="E583" s="16" t="n">
        <f aca="false">IF(D583=1,INDEX(Grid!$B$6:$H$156,C583+1,B583+1),"")</f>
        <v>189.32501336392</v>
      </c>
      <c r="F583" s="13" t="n">
        <f aca="false">Val_pt*(Ceiling_e-E_zero)*(1-(1-Half_gap)^B583)</f>
        <v>122.5</v>
      </c>
      <c r="G583" s="15" t="n">
        <f aca="false">C583</f>
        <v>124</v>
      </c>
      <c r="H583" s="15" t="n">
        <f aca="false">IF(D583=1,INDEX(Grid!$R$6:$X$156,C583+1,B583+1),"")</f>
        <v>44</v>
      </c>
      <c r="I583" s="2" t="str">
        <f aca="false">IF(D583=1,INDEX(Sch_label,H583+1),"")</f>
        <v>1, 3, 4</v>
      </c>
      <c r="J583" s="15" t="n">
        <f aca="false">IF(D583=1,INDEX(Grid!$Z$6:$AF$156,C583+1,B583+1),0)</f>
        <v>1</v>
      </c>
      <c r="K583" s="16" t="n">
        <f aca="false">IF(J583=1,E583,0)</f>
        <v>189.32501336392</v>
      </c>
      <c r="L583" s="17" t="n">
        <f aca="false">IF(D583=1,E583+W_board*F583,"")</f>
        <v>880.805577679798</v>
      </c>
      <c r="M583" s="24" t="n">
        <v>0</v>
      </c>
      <c r="Q583" s="24" t="n">
        <v>3</v>
      </c>
      <c r="R583" s="24" t="n">
        <v>100</v>
      </c>
      <c r="S583" s="25" t="n">
        <v>0.397308775667259</v>
      </c>
      <c r="T583" s="24" t="n">
        <v>3</v>
      </c>
      <c r="U583" s="24" t="n">
        <v>150</v>
      </c>
      <c r="V583" s="25" t="n">
        <v>0.514239411441683</v>
      </c>
      <c r="W583" s="24" t="n">
        <v>4</v>
      </c>
      <c r="X583" s="24" t="n">
        <v>100</v>
      </c>
      <c r="Y583" s="25" t="n">
        <v>0.0884518128910517</v>
      </c>
      <c r="Z583" s="12" t="str">
        <f aca="false">IF(AND($J583=1,$M583=1),N583*E583/Span_P+O583*F583/Span_S+P583*G583/Span_B,"")</f>
        <v/>
      </c>
      <c r="AA583" s="12" t="str">
        <f aca="false">IF(AND($J583=1,$M583=1),SUMPRODUCT(MAX($J$6:$J$1062*(N583*$K$6:$K$1062/Span_P+O583*$F$6:$F$1062/Span_S+P583*$G$6:$G$1062/Span_B)-(1-$J$6:$J$1062)*1000000000)),"")</f>
        <v/>
      </c>
      <c r="AB583" s="15" t="str">
        <f aca="false">IF(AND($J583=1,$M583=1),IF(AA583-Z583&lt;=0.000000001,1,0),"")</f>
        <v/>
      </c>
      <c r="AC583" s="13" t="n">
        <f aca="false">IF(AND($J583=1,$M583=0),IF(S583="",0,S583*INDEX(Grid!$B$6:$H$156,R583+1,Q583+1))+IF(V583="",0,V583*INDEX(Grid!$B$6:$H$156,U583+1,T583+1))+IF(Y583="",0,Y583*INDEX(Grid!$B$6:$H$156,X583+1,W583+1)),"")</f>
        <v>193.457882414165</v>
      </c>
      <c r="AD583" s="13" t="n">
        <f aca="false">IF(AND($J583=1,$M583=0),IF(S583="",0,S583*Val_pt*(Ceiling_e-E_zero)*(1-(1-Half_gap)^Q583))+IF(V583="",0,V583*Val_pt*(Ceiling_e-E_zero)*(1-(1-Half_gap)^T583))+IF(Y583="",0,Y583*Val_pt*(Ceiling_e-E_zero)*(1-(1-Half_gap)^W583)),"")</f>
        <v>123.273953362796</v>
      </c>
      <c r="AE583" s="13" t="n">
        <f aca="false">IF(AND($J583=1,$M583=0),IF(S583="",0,S583*R583)+IF(V583="",0,V583*U583)+IF(Y583="",0,Y583*X583),"")</f>
        <v>125.711970572084</v>
      </c>
      <c r="AF583" s="12" t="n">
        <f aca="false">IF(AND($J583=1,$M583=0),MIN((AC583-E583)/Span_P,(AD583-F583)/Span_S,(AE583-G583)/Span_B),"")</f>
        <v>0.0114131371472208</v>
      </c>
      <c r="AG583" s="15" t="n">
        <f aca="false">IF(AND($J583=1,$M583=0),IF(AF583&gt;0.0000001,1,0),"")</f>
        <v>1</v>
      </c>
      <c r="AH583" s="15" t="n">
        <f aca="false">IF($J583=1,IF($M583=1,AB583,AG583),"")</f>
        <v>1</v>
      </c>
      <c r="AI583" s="13" t="n">
        <f aca="false">IF($J583=1,(Ideal_P-E583)/Span_P,"")</f>
        <v>0.538083981525121</v>
      </c>
      <c r="AJ583" s="13" t="n">
        <f aca="false">IF($J583=1,(Ideal_S-F583)/Span_S,"")</f>
        <v>0.225806451612903</v>
      </c>
      <c r="AK583" s="13" t="n">
        <f aca="false">IF($J583=1,(Ideal_B-G583)/Span_B,"")</f>
        <v>0.173333333333333</v>
      </c>
      <c r="AL583" s="12" t="n">
        <f aca="false">IF($J583=1,MAX(ChA_1*AI583,ChA_2*AJ583,ChA_3*AK583)+Rho*(ChA_1*AI583+ChA_2*AJ583+ChA_3*AK583),"")</f>
        <v>0.538177703901768</v>
      </c>
      <c r="AM583" s="12" t="n">
        <f aca="false">IF($J583=1,MAX(ChB_1*AI583,ChB_2*AJ583,ChB_3*AK583)+Rho*(ChB_1*AI583+ChB_2*AJ583+ChB_3*AK583),"")</f>
        <v>1.07631549382504</v>
      </c>
      <c r="AN583" s="12" t="n">
        <f aca="false">IF($J583=1,MAX(Cx_1*(Ref_P-E583)/Span_P,Cx_2*(Ref_S-F583)/Span_S,Cx_3*(Ref_B-G583)/Span_B),"")</f>
        <v>1.3687701008344</v>
      </c>
    </row>
    <row r="584" customFormat="false" ht="15" hidden="false" customHeight="false" outlineLevel="0" collapsed="false">
      <c r="A584" s="2" t="n">
        <v>578</v>
      </c>
      <c r="B584" s="15" t="n">
        <f aca="false">INT(A584/151)</f>
        <v>3</v>
      </c>
      <c r="C584" s="15" t="n">
        <f aca="false">MOD(A584,151)</f>
        <v>125</v>
      </c>
      <c r="D584" s="15" t="n">
        <f aca="false">INDEX(Grid!$J$6:$P$156,C584+1,B584+1)</f>
        <v>1</v>
      </c>
      <c r="E584" s="16" t="n">
        <f aca="false">IF(D584=1,INDEX(Grid!$B$6:$H$156,C584+1,B584+1),"")</f>
        <v>188.415922454829</v>
      </c>
      <c r="F584" s="13" t="n">
        <f aca="false">Val_pt*(Ceiling_e-E_zero)*(1-(1-Half_gap)^B584)</f>
        <v>122.5</v>
      </c>
      <c r="G584" s="15" t="n">
        <f aca="false">C584</f>
        <v>125</v>
      </c>
      <c r="H584" s="15" t="n">
        <f aca="false">IF(D584=1,INDEX(Grid!$R$6:$X$156,C584+1,B584+1),"")</f>
        <v>44</v>
      </c>
      <c r="I584" s="2" t="str">
        <f aca="false">IF(D584=1,INDEX(Sch_label,H584+1),"")</f>
        <v>1, 3, 4</v>
      </c>
      <c r="J584" s="15" t="n">
        <f aca="false">IF(D584=1,INDEX(Grid!$Z$6:$AF$156,C584+1,B584+1),0)</f>
        <v>1</v>
      </c>
      <c r="K584" s="16" t="n">
        <f aca="false">IF(J584=1,E584,0)</f>
        <v>188.415922454829</v>
      </c>
      <c r="L584" s="17" t="n">
        <f aca="false">IF(D584=1,E584+W_board*F584,"")</f>
        <v>879.896486770707</v>
      </c>
      <c r="M584" s="24" t="n">
        <v>0</v>
      </c>
      <c r="Q584" s="24" t="n">
        <v>3</v>
      </c>
      <c r="R584" s="24" t="n">
        <v>100</v>
      </c>
      <c r="S584" s="25" t="n">
        <v>0.382027668910872</v>
      </c>
      <c r="T584" s="24" t="n">
        <v>3</v>
      </c>
      <c r="U584" s="24" t="n">
        <v>150</v>
      </c>
      <c r="V584" s="25" t="n">
        <v>0.532922511001645</v>
      </c>
      <c r="W584" s="24" t="n">
        <v>4</v>
      </c>
      <c r="X584" s="24" t="n">
        <v>100</v>
      </c>
      <c r="Y584" s="25" t="n">
        <v>0.0850498200874916</v>
      </c>
      <c r="Z584" s="12" t="str">
        <f aca="false">IF(AND($J584=1,$M584=1),N584*E584/Span_P+O584*F584/Span_S+P584*G584/Span_B,"")</f>
        <v/>
      </c>
      <c r="AA584" s="12" t="str">
        <f aca="false">IF(AND($J584=1,$M584=1),SUMPRODUCT(MAX($J$6:$J$1062*(N584*$K$6:$K$1062/Span_P+O584*$F$6:$F$1062/Span_S+P584*$G$6:$G$1062/Span_B)-(1-$J$6:$J$1062)*1000000000)),"")</f>
        <v/>
      </c>
      <c r="AB584" s="15" t="str">
        <f aca="false">IF(AND($J584=1,$M584=1),IF(AA584-Z584&lt;=0.000000001,1,0),"")</f>
        <v/>
      </c>
      <c r="AC584" s="13" t="n">
        <f aca="false">IF(AND($J584=1,$M584=0),IF(S584="",0,S584*INDEX(Grid!$B$6:$H$156,R584+1,Q584+1))+IF(V584="",0,V584*INDEX(Grid!$B$6:$H$156,U584+1,T584+1))+IF(Y584="",0,Y584*INDEX(Grid!$B$6:$H$156,X584+1,W584+1)),"")</f>
        <v>192.389835003147</v>
      </c>
      <c r="AD584" s="13" t="n">
        <f aca="false">IF(AND($J584=1,$M584=0),IF(S584="",0,S584*Val_pt*(Ceiling_e-E_zero)*(1-(1-Half_gap)^Q584))+IF(V584="",0,V584*Val_pt*(Ceiling_e-E_zero)*(1-(1-Half_gap)^T584))+IF(Y584="",0,Y584*Val_pt*(Ceiling_e-E_zero)*(1-(1-Half_gap)^W584)),"")</f>
        <v>123.244185925767</v>
      </c>
      <c r="AE584" s="13" t="n">
        <f aca="false">IF(AND($J584=1,$M584=0),IF(S584="",0,S584*R584)+IF(V584="",0,V584*U584)+IF(Y584="",0,Y584*X584),"")</f>
        <v>126.646125550083</v>
      </c>
      <c r="AF584" s="12" t="n">
        <f aca="false">IF(AND($J584=1,$M584=0),MIN((AC584-E584)/Span_P,(AD584-F584)/Span_S,(AE584-G584)/Span_B),"")</f>
        <v>0.0109741703338832</v>
      </c>
      <c r="AG584" s="15" t="n">
        <f aca="false">IF(AND($J584=1,$M584=0),IF(AF584&gt;0.0000001,1,0),"")</f>
        <v>1</v>
      </c>
      <c r="AH584" s="15" t="n">
        <f aca="false">IF($J584=1,IF($M584=1,AB584,AG584),"")</f>
        <v>1</v>
      </c>
      <c r="AI584" s="13" t="n">
        <f aca="false">IF($J584=1,(Ideal_P-E584)/Span_P,"")</f>
        <v>0.540594484301427</v>
      </c>
      <c r="AJ584" s="13" t="n">
        <f aca="false">IF($J584=1,(Ideal_S-F584)/Span_S,"")</f>
        <v>0.225806451612903</v>
      </c>
      <c r="AK584" s="13" t="n">
        <f aca="false">IF($J584=1,(Ideal_B-G584)/Span_B,"")</f>
        <v>0.166666666666667</v>
      </c>
      <c r="AL584" s="12" t="n">
        <f aca="false">IF($J584=1,MAX(ChA_1*AI584,ChA_2*AJ584,ChA_3*AK584)+Rho*(ChA_1*AI584+ChA_2*AJ584+ChA_3*AK584),"")</f>
        <v>0.540687791061685</v>
      </c>
      <c r="AM584" s="12" t="n">
        <f aca="false">IF($J584=1,MAX(ChB_1*AI584,ChB_2*AJ584,ChB_3*AK584)+Rho*(ChB_1*AI584+ChB_2*AJ584+ChB_3*AK584),"")</f>
        <v>1.08133633481154</v>
      </c>
      <c r="AN584" s="12" t="n">
        <f aca="false">IF($J584=1,MAX(Cx_1*(Ref_P-E584)/Span_P,Cx_2*(Ref_S-F584)/Span_S,Cx_3*(Ref_B-G584)/Span_B),"")</f>
        <v>1.37503976251782</v>
      </c>
    </row>
    <row r="585" customFormat="false" ht="15" hidden="false" customHeight="false" outlineLevel="0" collapsed="false">
      <c r="A585" s="2" t="n">
        <v>579</v>
      </c>
      <c r="B585" s="15" t="n">
        <f aca="false">INT(A585/151)</f>
        <v>3</v>
      </c>
      <c r="C585" s="15" t="n">
        <f aca="false">MOD(A585,151)</f>
        <v>126</v>
      </c>
      <c r="D585" s="15" t="n">
        <f aca="false">INDEX(Grid!$J$6:$P$156,C585+1,B585+1)</f>
        <v>1</v>
      </c>
      <c r="E585" s="16" t="n">
        <f aca="false">IF(D585=1,INDEX(Grid!$B$6:$H$156,C585+1,B585+1),"")</f>
        <v>187.506831545738</v>
      </c>
      <c r="F585" s="13" t="n">
        <f aca="false">Val_pt*(Ceiling_e-E_zero)*(1-(1-Half_gap)^B585)</f>
        <v>122.5</v>
      </c>
      <c r="G585" s="15" t="n">
        <f aca="false">C585</f>
        <v>126</v>
      </c>
      <c r="H585" s="15" t="n">
        <f aca="false">IF(D585=1,INDEX(Grid!$R$6:$X$156,C585+1,B585+1),"")</f>
        <v>44</v>
      </c>
      <c r="I585" s="2" t="str">
        <f aca="false">IF(D585=1,INDEX(Sch_label,H585+1),"")</f>
        <v>1, 3, 4</v>
      </c>
      <c r="J585" s="15" t="n">
        <f aca="false">IF(D585=1,INDEX(Grid!$Z$6:$AF$156,C585+1,B585+1),0)</f>
        <v>1</v>
      </c>
      <c r="K585" s="16" t="n">
        <f aca="false">IF(J585=1,E585,0)</f>
        <v>187.506831545738</v>
      </c>
      <c r="L585" s="17" t="n">
        <f aca="false">IF(D585=1,E585+W_board*F585,"")</f>
        <v>878.987395861616</v>
      </c>
      <c r="M585" s="24" t="n">
        <v>0</v>
      </c>
      <c r="Q585" s="24" t="n">
        <v>3</v>
      </c>
      <c r="R585" s="24" t="n">
        <v>100</v>
      </c>
      <c r="S585" s="25" t="n">
        <v>0.448394389438442</v>
      </c>
      <c r="T585" s="24" t="n">
        <v>3</v>
      </c>
      <c r="U585" s="24" t="n">
        <v>150</v>
      </c>
      <c r="V585" s="25" t="n">
        <v>0.46995778327752</v>
      </c>
      <c r="W585" s="24" t="n">
        <v>4</v>
      </c>
      <c r="X585" s="24" t="n">
        <v>150</v>
      </c>
      <c r="Y585" s="25" t="n">
        <v>0.0816478272840343</v>
      </c>
      <c r="Z585" s="12" t="str">
        <f aca="false">IF(AND($J585=1,$M585=1),N585*E585/Span_P+O585*F585/Span_S+P585*G585/Span_B,"")</f>
        <v/>
      </c>
      <c r="AA585" s="12" t="str">
        <f aca="false">IF(AND($J585=1,$M585=1),SUMPRODUCT(MAX($J$6:$J$1062*(N585*$K$6:$K$1062/Span_P+O585*$F$6:$F$1062/Span_S+P585*$G$6:$G$1062/Span_B)-(1-$J$6:$J$1062)*1000000000)),"")</f>
        <v/>
      </c>
      <c r="AB585" s="15" t="str">
        <f aca="false">IF(AND($J585=1,$M585=1),IF(AA585-Z585&lt;=0.000000001,1,0),"")</f>
        <v/>
      </c>
      <c r="AC585" s="13" t="n">
        <f aca="false">IF(AND($J585=1,$M585=0),IF(S585="",0,S585*INDEX(Grid!$B$6:$H$156,R585+1,Q585+1))+IF(V585="",0,V585*INDEX(Grid!$B$6:$H$156,U585+1,T585+1))+IF(Y585="",0,Y585*INDEX(Grid!$B$6:$H$156,X585+1,W585+1)),"")</f>
        <v>191.32178759212</v>
      </c>
      <c r="AD585" s="13" t="n">
        <f aca="false">IF(AND($J585=1,$M585=0),IF(S585="",0,S585*Val_pt*(Ceiling_e-E_zero)*(1-(1-Half_gap)^Q585))+IF(V585="",0,V585*Val_pt*(Ceiling_e-E_zero)*(1-(1-Half_gap)^T585))+IF(Y585="",0,Y585*Val_pt*(Ceiling_e-E_zero)*(1-(1-Half_gap)^W585)),"")</f>
        <v>123.214418488735</v>
      </c>
      <c r="AE585" s="13" t="n">
        <f aca="false">IF(AND($J585=1,$M585=0),IF(S585="",0,S585*R585)+IF(V585="",0,V585*U585)+IF(Y585="",0,Y585*X585),"")</f>
        <v>127.580280528077</v>
      </c>
      <c r="AF585" s="12" t="n">
        <f aca="false">IF(AND($J585=1,$M585=0),MIN((AC585-E585)/Span_P,(AD585-F585)/Span_S,(AE585-G585)/Span_B),"")</f>
        <v>0.0105352035205125</v>
      </c>
      <c r="AG585" s="15" t="n">
        <f aca="false">IF(AND($J585=1,$M585=0),IF(AF585&gt;0.0000001,1,0),"")</f>
        <v>1</v>
      </c>
      <c r="AH585" s="15" t="n">
        <f aca="false">IF($J585=1,IF($M585=1,AB585,AG585),"")</f>
        <v>1</v>
      </c>
      <c r="AI585" s="13" t="n">
        <f aca="false">IF($J585=1,(Ideal_P-E585)/Span_P,"")</f>
        <v>0.543104987077733</v>
      </c>
      <c r="AJ585" s="13" t="n">
        <f aca="false">IF($J585=1,(Ideal_S-F585)/Span_S,"")</f>
        <v>0.225806451612903</v>
      </c>
      <c r="AK585" s="13" t="n">
        <f aca="false">IF($J585=1,(Ideal_B-G585)/Span_B,"")</f>
        <v>0.16</v>
      </c>
      <c r="AL585" s="12" t="n">
        <f aca="false">IF($J585=1,MAX(ChA_1*AI585,ChA_2*AJ585,ChA_3*AK585)+Rho*(ChA_1*AI585+ChA_2*AJ585+ChA_3*AK585),"")</f>
        <v>0.543197878221602</v>
      </c>
      <c r="AM585" s="12" t="n">
        <f aca="false">IF($J585=1,MAX(ChB_1*AI585,ChB_2*AJ585,ChB_3*AK585)+Rho*(ChB_1*AI585+ChB_2*AJ585+ChB_3*AK585),"")</f>
        <v>1.08635717579804</v>
      </c>
      <c r="AN585" s="12" t="n">
        <f aca="false">IF($J585=1,MAX(Cx_1*(Ref_P-E585)/Span_P,Cx_2*(Ref_S-F585)/Span_S,Cx_3*(Ref_B-G585)/Span_B),"")</f>
        <v>1.38130942420125</v>
      </c>
    </row>
    <row r="586" customFormat="false" ht="15" hidden="false" customHeight="false" outlineLevel="0" collapsed="false">
      <c r="A586" s="2" t="n">
        <v>580</v>
      </c>
      <c r="B586" s="15" t="n">
        <f aca="false">INT(A586/151)</f>
        <v>3</v>
      </c>
      <c r="C586" s="15" t="n">
        <f aca="false">MOD(A586,151)</f>
        <v>127</v>
      </c>
      <c r="D586" s="15" t="n">
        <f aca="false">INDEX(Grid!$J$6:$P$156,C586+1,B586+1)</f>
        <v>1</v>
      </c>
      <c r="E586" s="16" t="n">
        <f aca="false">IF(D586=1,INDEX(Grid!$B$6:$H$156,C586+1,B586+1),"")</f>
        <v>186.597740636648</v>
      </c>
      <c r="F586" s="13" t="n">
        <f aca="false">Val_pt*(Ceiling_e-E_zero)*(1-(1-Half_gap)^B586)</f>
        <v>122.5</v>
      </c>
      <c r="G586" s="15" t="n">
        <f aca="false">C586</f>
        <v>127</v>
      </c>
      <c r="H586" s="15" t="n">
        <f aca="false">IF(D586=1,INDEX(Grid!$R$6:$X$156,C586+1,B586+1),"")</f>
        <v>44</v>
      </c>
      <c r="I586" s="2" t="str">
        <f aca="false">IF(D586=1,INDEX(Sch_label,H586+1),"")</f>
        <v>1, 3, 4</v>
      </c>
      <c r="J586" s="15" t="n">
        <f aca="false">IF(D586=1,INDEX(Grid!$Z$6:$AF$156,C586+1,B586+1),0)</f>
        <v>1</v>
      </c>
      <c r="K586" s="16" t="n">
        <f aca="false">IF(J586=1,E586,0)</f>
        <v>186.597740636648</v>
      </c>
      <c r="L586" s="17" t="n">
        <f aca="false">IF(D586=1,E586+W_board*F586,"")</f>
        <v>878.078304952525</v>
      </c>
      <c r="M586" s="24" t="n">
        <v>0</v>
      </c>
      <c r="Q586" s="24" t="n">
        <v>3</v>
      </c>
      <c r="R586" s="24" t="n">
        <v>100</v>
      </c>
      <c r="S586" s="25" t="n">
        <v>0.429711289878507</v>
      </c>
      <c r="T586" s="24" t="n">
        <v>3</v>
      </c>
      <c r="U586" s="24" t="n">
        <v>150</v>
      </c>
      <c r="V586" s="25" t="n">
        <v>0.492042875640961</v>
      </c>
      <c r="W586" s="24" t="n">
        <v>4</v>
      </c>
      <c r="X586" s="24" t="n">
        <v>150</v>
      </c>
      <c r="Y586" s="25" t="n">
        <v>0.0782458344805304</v>
      </c>
      <c r="Z586" s="12" t="str">
        <f aca="false">IF(AND($J586=1,$M586=1),N586*E586/Span_P+O586*F586/Span_S+P586*G586/Span_B,"")</f>
        <v/>
      </c>
      <c r="AA586" s="12" t="str">
        <f aca="false">IF(AND($J586=1,$M586=1),SUMPRODUCT(MAX($J$6:$J$1062*(N586*$K$6:$K$1062/Span_P+O586*$F$6:$F$1062/Span_S+P586*$G$6:$G$1062/Span_B)-(1-$J$6:$J$1062)*1000000000)),"")</f>
        <v/>
      </c>
      <c r="AB586" s="15" t="str">
        <f aca="false">IF(AND($J586=1,$M586=1),IF(AA586-Z586&lt;=0.000000001,1,0),"")</f>
        <v/>
      </c>
      <c r="AC586" s="13" t="n">
        <f aca="false">IF(AND($J586=1,$M586=0),IF(S586="",0,S586*INDEX(Grid!$B$6:$H$156,R586+1,Q586+1))+IF(V586="",0,V586*INDEX(Grid!$B$6:$H$156,U586+1,T586+1))+IF(Y586="",0,Y586*INDEX(Grid!$B$6:$H$156,X586+1,W586+1)),"")</f>
        <v>190.253740181097</v>
      </c>
      <c r="AD586" s="13" t="n">
        <f aca="false">IF(AND($J586=1,$M586=0),IF(S586="",0,S586*Val_pt*(Ceiling_e-E_zero)*(1-(1-Half_gap)^Q586))+IF(V586="",0,V586*Val_pt*(Ceiling_e-E_zero)*(1-(1-Half_gap)^T586))+IF(Y586="",0,Y586*Val_pt*(Ceiling_e-E_zero)*(1-(1-Half_gap)^W586)),"")</f>
        <v>123.184651051704</v>
      </c>
      <c r="AE586" s="13" t="n">
        <f aca="false">IF(AND($J586=1,$M586=0),IF(S586="",0,S586*R586)+IF(V586="",0,V586*U586)+IF(Y586="",0,Y586*X586),"")</f>
        <v>128.514435506074</v>
      </c>
      <c r="AF586" s="12" t="n">
        <f aca="false">IF(AND($J586=1,$M586=0),MIN((AC586-E586)/Span_P,(AD586-F586)/Span_S,(AE586-G586)/Span_B),"")</f>
        <v>0.0100962367071626</v>
      </c>
      <c r="AG586" s="15" t="n">
        <f aca="false">IF(AND($J586=1,$M586=0),IF(AF586&gt;0.0000001,1,0),"")</f>
        <v>1</v>
      </c>
      <c r="AH586" s="15" t="n">
        <f aca="false">IF($J586=1,IF($M586=1,AB586,AG586),"")</f>
        <v>1</v>
      </c>
      <c r="AI586" s="13" t="n">
        <f aca="false">IF($J586=1,(Ideal_P-E586)/Span_P,"")</f>
        <v>0.545615489854039</v>
      </c>
      <c r="AJ586" s="13" t="n">
        <f aca="false">IF($J586=1,(Ideal_S-F586)/Span_S,"")</f>
        <v>0.225806451612903</v>
      </c>
      <c r="AK586" s="13" t="n">
        <f aca="false">IF($J586=1,(Ideal_B-G586)/Span_B,"")</f>
        <v>0.153333333333333</v>
      </c>
      <c r="AL586" s="12" t="n">
        <f aca="false">IF($J586=1,MAX(ChA_1*AI586,ChA_2*AJ586,ChA_3*AK586)+Rho*(ChA_1*AI586+ChA_2*AJ586+ChA_3*AK586),"")</f>
        <v>0.545707965381519</v>
      </c>
      <c r="AM586" s="12" t="n">
        <f aca="false">IF($J586=1,MAX(ChB_1*AI586,ChB_2*AJ586,ChB_3*AK586)+Rho*(ChB_1*AI586+ChB_2*AJ586+ChB_3*AK586),"")</f>
        <v>1.09137801678454</v>
      </c>
      <c r="AN586" s="12" t="n">
        <f aca="false">IF($J586=1,MAX(Cx_1*(Ref_P-E586)/Span_P,Cx_2*(Ref_S-F586)/Span_S,Cx_3*(Ref_B-G586)/Span_B),"")</f>
        <v>1.38757908588468</v>
      </c>
    </row>
    <row r="587" customFormat="false" ht="15" hidden="false" customHeight="false" outlineLevel="0" collapsed="false">
      <c r="A587" s="2" t="n">
        <v>581</v>
      </c>
      <c r="B587" s="15" t="n">
        <f aca="false">INT(A587/151)</f>
        <v>3</v>
      </c>
      <c r="C587" s="15" t="n">
        <f aca="false">MOD(A587,151)</f>
        <v>128</v>
      </c>
      <c r="D587" s="15" t="n">
        <f aca="false">INDEX(Grid!$J$6:$P$156,C587+1,B587+1)</f>
        <v>1</v>
      </c>
      <c r="E587" s="16" t="n">
        <f aca="false">IF(D587=1,INDEX(Grid!$B$6:$H$156,C587+1,B587+1),"")</f>
        <v>185.688649727557</v>
      </c>
      <c r="F587" s="13" t="n">
        <f aca="false">Val_pt*(Ceiling_e-E_zero)*(1-(1-Half_gap)^B587)</f>
        <v>122.5</v>
      </c>
      <c r="G587" s="15" t="n">
        <f aca="false">C587</f>
        <v>128</v>
      </c>
      <c r="H587" s="15" t="n">
        <f aca="false">IF(D587=1,INDEX(Grid!$R$6:$X$156,C587+1,B587+1),"")</f>
        <v>44</v>
      </c>
      <c r="I587" s="2" t="str">
        <f aca="false">IF(D587=1,INDEX(Sch_label,H587+1),"")</f>
        <v>1, 3, 4</v>
      </c>
      <c r="J587" s="15" t="n">
        <f aca="false">IF(D587=1,INDEX(Grid!$Z$6:$AF$156,C587+1,B587+1),0)</f>
        <v>1</v>
      </c>
      <c r="K587" s="16" t="n">
        <f aca="false">IF(J587=1,E587,0)</f>
        <v>185.688649727557</v>
      </c>
      <c r="L587" s="17" t="n">
        <f aca="false">IF(D587=1,E587+W_board*F587,"")</f>
        <v>877.169214043434</v>
      </c>
      <c r="M587" s="24" t="n">
        <v>0</v>
      </c>
      <c r="Q587" s="24" t="n">
        <v>3</v>
      </c>
      <c r="R587" s="24" t="n">
        <v>100</v>
      </c>
      <c r="S587" s="25" t="n">
        <v>0.411028190318568</v>
      </c>
      <c r="T587" s="24" t="n">
        <v>3</v>
      </c>
      <c r="U587" s="24" t="n">
        <v>150</v>
      </c>
      <c r="V587" s="25" t="n">
        <v>0.514127968004416</v>
      </c>
      <c r="W587" s="24" t="n">
        <v>4</v>
      </c>
      <c r="X587" s="24" t="n">
        <v>150</v>
      </c>
      <c r="Y587" s="25" t="n">
        <v>0.0748438416770189</v>
      </c>
      <c r="Z587" s="12" t="str">
        <f aca="false">IF(AND($J587=1,$M587=1),N587*E587/Span_P+O587*F587/Span_S+P587*G587/Span_B,"")</f>
        <v/>
      </c>
      <c r="AA587" s="12" t="str">
        <f aca="false">IF(AND($J587=1,$M587=1),SUMPRODUCT(MAX($J$6:$J$1062*(N587*$K$6:$K$1062/Span_P+O587*$F$6:$F$1062/Span_S+P587*$G$6:$G$1062/Span_B)-(1-$J$6:$J$1062)*1000000000)),"")</f>
        <v/>
      </c>
      <c r="AB587" s="15" t="str">
        <f aca="false">IF(AND($J587=1,$M587=1),IF(AA587-Z587&lt;=0.000000001,1,0),"")</f>
        <v/>
      </c>
      <c r="AC587" s="13" t="n">
        <f aca="false">IF(AND($J587=1,$M587=0),IF(S587="",0,S587*INDEX(Grid!$B$6:$H$156,R587+1,Q587+1))+IF(V587="",0,V587*INDEX(Grid!$B$6:$H$156,U587+1,T587+1))+IF(Y587="",0,Y587*INDEX(Grid!$B$6:$H$156,X587+1,W587+1)),"")</f>
        <v>189.185692770075</v>
      </c>
      <c r="AD587" s="13" t="n">
        <f aca="false">IF(AND($J587=1,$M587=0),IF(S587="",0,S587*Val_pt*(Ceiling_e-E_zero)*(1-(1-Half_gap)^Q587))+IF(V587="",0,V587*Val_pt*(Ceiling_e-E_zero)*(1-(1-Half_gap)^T587))+IF(Y587="",0,Y587*Val_pt*(Ceiling_e-E_zero)*(1-(1-Half_gap)^W587)),"")</f>
        <v>123.154883614674</v>
      </c>
      <c r="AE587" s="13" t="n">
        <f aca="false">IF(AND($J587=1,$M587=0),IF(S587="",0,S587*R587)+IF(V587="",0,V587*U587)+IF(Y587="",0,Y587*X587),"")</f>
        <v>129.448590484072</v>
      </c>
      <c r="AF587" s="12" t="n">
        <f aca="false">IF(AND($J587=1,$M587=0),MIN((AC587-E587)/Span_P,(AD587-F587)/Span_S,(AE587-G587)/Span_B),"")</f>
        <v>0.00965726989381225</v>
      </c>
      <c r="AG587" s="15" t="n">
        <f aca="false">IF(AND($J587=1,$M587=0),IF(AF587&gt;0.0000001,1,0),"")</f>
        <v>1</v>
      </c>
      <c r="AH587" s="15" t="n">
        <f aca="false">IF($J587=1,IF($M587=1,AB587,AG587),"")</f>
        <v>1</v>
      </c>
      <c r="AI587" s="13" t="n">
        <f aca="false">IF($J587=1,(Ideal_P-E587)/Span_P,"")</f>
        <v>0.548125992630344</v>
      </c>
      <c r="AJ587" s="13" t="n">
        <f aca="false">IF($J587=1,(Ideal_S-F587)/Span_S,"")</f>
        <v>0.225806451612903</v>
      </c>
      <c r="AK587" s="13" t="n">
        <f aca="false">IF($J587=1,(Ideal_B-G587)/Span_B,"")</f>
        <v>0.146666666666667</v>
      </c>
      <c r="AL587" s="12" t="n">
        <f aca="false">IF($J587=1,MAX(ChA_1*AI587,ChA_2*AJ587,ChA_3*AK587)+Rho*(ChA_1*AI587+ChA_2*AJ587+ChA_3*AK587),"")</f>
        <v>0.548218052541435</v>
      </c>
      <c r="AM587" s="12" t="n">
        <f aca="false">IF($J587=1,MAX(ChB_1*AI587,ChB_2*AJ587,ChB_3*AK587)+Rho*(ChB_1*AI587+ChB_2*AJ587+ChB_3*AK587),"")</f>
        <v>1.09639885777104</v>
      </c>
      <c r="AN587" s="12" t="n">
        <f aca="false">IF($J587=1,MAX(Cx_1*(Ref_P-E587)/Span_P,Cx_2*(Ref_S-F587)/Span_S,Cx_3*(Ref_B-G587)/Span_B),"")</f>
        <v>1.39384874756811</v>
      </c>
    </row>
    <row r="588" customFormat="false" ht="15" hidden="false" customHeight="false" outlineLevel="0" collapsed="false">
      <c r="A588" s="2" t="n">
        <v>582</v>
      </c>
      <c r="B588" s="15" t="n">
        <f aca="false">INT(A588/151)</f>
        <v>3</v>
      </c>
      <c r="C588" s="15" t="n">
        <f aca="false">MOD(A588,151)</f>
        <v>129</v>
      </c>
      <c r="D588" s="15" t="n">
        <f aca="false">INDEX(Grid!$J$6:$P$156,C588+1,B588+1)</f>
        <v>1</v>
      </c>
      <c r="E588" s="16" t="n">
        <f aca="false">IF(D588=1,INDEX(Grid!$B$6:$H$156,C588+1,B588+1),"")</f>
        <v>184.779558818466</v>
      </c>
      <c r="F588" s="13" t="n">
        <f aca="false">Val_pt*(Ceiling_e-E_zero)*(1-(1-Half_gap)^B588)</f>
        <v>122.5</v>
      </c>
      <c r="G588" s="15" t="n">
        <f aca="false">C588</f>
        <v>129</v>
      </c>
      <c r="H588" s="15" t="n">
        <f aca="false">IF(D588=1,INDEX(Grid!$R$6:$X$156,C588+1,B588+1),"")</f>
        <v>44</v>
      </c>
      <c r="I588" s="2" t="str">
        <f aca="false">IF(D588=1,INDEX(Sch_label,H588+1),"")</f>
        <v>1, 3, 4</v>
      </c>
      <c r="J588" s="15" t="n">
        <f aca="false">IF(D588=1,INDEX(Grid!$Z$6:$AF$156,C588+1,B588+1),0)</f>
        <v>1</v>
      </c>
      <c r="K588" s="16" t="n">
        <f aca="false">IF(J588=1,E588,0)</f>
        <v>184.779558818466</v>
      </c>
      <c r="L588" s="17" t="n">
        <f aca="false">IF(D588=1,E588+W_board*F588,"")</f>
        <v>876.260123134343</v>
      </c>
      <c r="M588" s="24" t="n">
        <v>0</v>
      </c>
      <c r="Q588" s="24" t="n">
        <v>3</v>
      </c>
      <c r="R588" s="24" t="n">
        <v>100</v>
      </c>
      <c r="S588" s="25" t="n">
        <v>0.320903241885114</v>
      </c>
      <c r="T588" s="24" t="n">
        <v>3</v>
      </c>
      <c r="U588" s="24" t="n">
        <v>150</v>
      </c>
      <c r="V588" s="25" t="n">
        <v>0.607654909241367</v>
      </c>
      <c r="W588" s="24" t="n">
        <v>4</v>
      </c>
      <c r="X588" s="24" t="n">
        <v>100</v>
      </c>
      <c r="Y588" s="25" t="n">
        <v>0.0714418488735204</v>
      </c>
      <c r="Z588" s="12" t="str">
        <f aca="false">IF(AND($J588=1,$M588=1),N588*E588/Span_P+O588*F588/Span_S+P588*G588/Span_B,"")</f>
        <v/>
      </c>
      <c r="AA588" s="12" t="str">
        <f aca="false">IF(AND($J588=1,$M588=1),SUMPRODUCT(MAX($J$6:$J$1062*(N588*$K$6:$K$1062/Span_P+O588*$F$6:$F$1062/Span_S+P588*$G$6:$G$1062/Span_B)-(1-$J$6:$J$1062)*1000000000)),"")</f>
        <v/>
      </c>
      <c r="AB588" s="15" t="str">
        <f aca="false">IF(AND($J588=1,$M588=1),IF(AA588-Z588&lt;=0.000000001,1,0),"")</f>
        <v/>
      </c>
      <c r="AC588" s="13" t="n">
        <f aca="false">IF(AND($J588=1,$M588=0),IF(S588="",0,S588*INDEX(Grid!$B$6:$H$156,R588+1,Q588+1))+IF(V588="",0,V588*INDEX(Grid!$B$6:$H$156,U588+1,T588+1))+IF(Y588="",0,Y588*INDEX(Grid!$B$6:$H$156,X588+1,W588+1)),"")</f>
        <v>188.117645359051</v>
      </c>
      <c r="AD588" s="13" t="n">
        <f aca="false">IF(AND($J588=1,$M588=0),IF(S588="",0,S588*Val_pt*(Ceiling_e-E_zero)*(1-(1-Half_gap)^Q588))+IF(V588="",0,V588*Val_pt*(Ceiling_e-E_zero)*(1-(1-Half_gap)^T588))+IF(Y588="",0,Y588*Val_pt*(Ceiling_e-E_zero)*(1-(1-Half_gap)^W588)),"")</f>
        <v>123.125116177643</v>
      </c>
      <c r="AE588" s="13" t="n">
        <f aca="false">IF(AND($J588=1,$M588=0),IF(S588="",0,S588*R588)+IF(V588="",0,V588*U588)+IF(Y588="",0,Y588*X588),"")</f>
        <v>130.382745462068</v>
      </c>
      <c r="AF588" s="12" t="n">
        <f aca="false">IF(AND($J588=1,$M588=0),MIN((AC588-E588)/Span_P,(AD588-F588)/Span_S,(AE588-G588)/Span_B),"")</f>
        <v>0.00921830308045588</v>
      </c>
      <c r="AG588" s="15" t="n">
        <f aca="false">IF(AND($J588=1,$M588=0),IF(AF588&gt;0.0000001,1,0),"")</f>
        <v>1</v>
      </c>
      <c r="AH588" s="15" t="n">
        <f aca="false">IF($J588=1,IF($M588=1,AB588,AG588),"")</f>
        <v>1</v>
      </c>
      <c r="AI588" s="13" t="n">
        <f aca="false">IF($J588=1,(Ideal_P-E588)/Span_P,"")</f>
        <v>0.55063649540665</v>
      </c>
      <c r="AJ588" s="13" t="n">
        <f aca="false">IF($J588=1,(Ideal_S-F588)/Span_S,"")</f>
        <v>0.225806451612903</v>
      </c>
      <c r="AK588" s="13" t="n">
        <f aca="false">IF($J588=1,(Ideal_B-G588)/Span_B,"")</f>
        <v>0.14</v>
      </c>
      <c r="AL588" s="12" t="n">
        <f aca="false">IF($J588=1,MAX(ChA_1*AI588,ChA_2*AJ588,ChA_3*AK588)+Rho*(ChA_1*AI588+ChA_2*AJ588+ChA_3*AK588),"")</f>
        <v>0.550728139701352</v>
      </c>
      <c r="AM588" s="12" t="n">
        <f aca="false">IF($J588=1,MAX(ChB_1*AI588,ChB_2*AJ588,ChB_3*AK588)+Rho*(ChB_1*AI588+ChB_2*AJ588+ChB_3*AK588),"")</f>
        <v>1.10141969875754</v>
      </c>
      <c r="AN588" s="12" t="n">
        <f aca="false">IF($J588=1,MAX(Cx_1*(Ref_P-E588)/Span_P,Cx_2*(Ref_S-F588)/Span_S,Cx_3*(Ref_B-G588)/Span_B),"")</f>
        <v>1.40011840925154</v>
      </c>
    </row>
    <row r="589" customFormat="false" ht="15" hidden="false" customHeight="false" outlineLevel="0" collapsed="false">
      <c r="A589" s="2" t="n">
        <v>583</v>
      </c>
      <c r="B589" s="15" t="n">
        <f aca="false">INT(A589/151)</f>
        <v>3</v>
      </c>
      <c r="C589" s="15" t="n">
        <f aca="false">MOD(A589,151)</f>
        <v>130</v>
      </c>
      <c r="D589" s="15" t="n">
        <f aca="false">INDEX(Grid!$J$6:$P$156,C589+1,B589+1)</f>
        <v>1</v>
      </c>
      <c r="E589" s="16" t="n">
        <f aca="false">IF(D589=1,INDEX(Grid!$B$6:$H$156,C589+1,B589+1),"")</f>
        <v>183.870467909375</v>
      </c>
      <c r="F589" s="13" t="n">
        <f aca="false">Val_pt*(Ceiling_e-E_zero)*(1-(1-Half_gap)^B589)</f>
        <v>122.5</v>
      </c>
      <c r="G589" s="15" t="n">
        <f aca="false">C589</f>
        <v>130</v>
      </c>
      <c r="H589" s="15" t="n">
        <f aca="false">IF(D589=1,INDEX(Grid!$R$6:$X$156,C589+1,B589+1),"")</f>
        <v>44</v>
      </c>
      <c r="I589" s="2" t="str">
        <f aca="false">IF(D589=1,INDEX(Sch_label,H589+1),"")</f>
        <v>1, 3, 4</v>
      </c>
      <c r="J589" s="15" t="n">
        <f aca="false">IF(D589=1,INDEX(Grid!$Z$6:$AF$156,C589+1,B589+1),0)</f>
        <v>1</v>
      </c>
      <c r="K589" s="16" t="n">
        <f aca="false">IF(J589=1,E589,0)</f>
        <v>183.870467909375</v>
      </c>
      <c r="L589" s="17" t="n">
        <f aca="false">IF(D589=1,E589+W_board*F589,"")</f>
        <v>875.351032225252</v>
      </c>
      <c r="M589" s="24" t="n">
        <v>0</v>
      </c>
      <c r="Q589" s="24" t="n">
        <v>3</v>
      </c>
      <c r="R589" s="24" t="n">
        <v>100</v>
      </c>
      <c r="S589" s="25" t="n">
        <v>0.305622135128682</v>
      </c>
      <c r="T589" s="24" t="n">
        <v>3</v>
      </c>
      <c r="U589" s="24" t="n">
        <v>150</v>
      </c>
      <c r="V589" s="25" t="n">
        <v>0.626338008801303</v>
      </c>
      <c r="W589" s="24" t="n">
        <v>4</v>
      </c>
      <c r="X589" s="24" t="n">
        <v>100</v>
      </c>
      <c r="Y589" s="25" t="n">
        <v>0.0680398560700181</v>
      </c>
      <c r="Z589" s="12" t="str">
        <f aca="false">IF(AND($J589=1,$M589=1),N589*E589/Span_P+O589*F589/Span_S+P589*G589/Span_B,"")</f>
        <v/>
      </c>
      <c r="AA589" s="12" t="str">
        <f aca="false">IF(AND($J589=1,$M589=1),SUMPRODUCT(MAX($J$6:$J$1062*(N589*$K$6:$K$1062/Span_P+O589*$F$6:$F$1062/Span_S+P589*$G$6:$G$1062/Span_B)-(1-$J$6:$J$1062)*1000000000)),"")</f>
        <v/>
      </c>
      <c r="AB589" s="15" t="str">
        <f aca="false">IF(AND($J589=1,$M589=1),IF(AA589-Z589&lt;=0.000000001,1,0),"")</f>
        <v/>
      </c>
      <c r="AC589" s="13" t="n">
        <f aca="false">IF(AND($J589=1,$M589=0),IF(S589="",0,S589*INDEX(Grid!$B$6:$H$156,R589+1,Q589+1))+IF(V589="",0,V589*INDEX(Grid!$B$6:$H$156,U589+1,T589+1))+IF(Y589="",0,Y589*INDEX(Grid!$B$6:$H$156,X589+1,W589+1)),"")</f>
        <v>187.049597948027</v>
      </c>
      <c r="AD589" s="13" t="n">
        <f aca="false">IF(AND($J589=1,$M589=0),IF(S589="",0,S589*Val_pt*(Ceiling_e-E_zero)*(1-(1-Half_gap)^Q589))+IF(V589="",0,V589*Val_pt*(Ceiling_e-E_zero)*(1-(1-Half_gap)^T589))+IF(Y589="",0,Y589*Val_pt*(Ceiling_e-E_zero)*(1-(1-Half_gap)^W589)),"")</f>
        <v>123.095348740613</v>
      </c>
      <c r="AE589" s="13" t="n">
        <f aca="false">IF(AND($J589=1,$M589=0),IF(S589="",0,S589*R589)+IF(V589="",0,V589*U589)+IF(Y589="",0,Y589*X589),"")</f>
        <v>131.316900440065</v>
      </c>
      <c r="AF589" s="12" t="n">
        <f aca="false">IF(AND($J589=1,$M589=0),MIN((AC589-E589)/Span_P,(AD589-F589)/Span_S,(AE589-G589)/Span_B),"")</f>
        <v>0.00877933626710195</v>
      </c>
      <c r="AG589" s="15" t="n">
        <f aca="false">IF(AND($J589=1,$M589=0),IF(AF589&gt;0.0000001,1,0),"")</f>
        <v>1</v>
      </c>
      <c r="AH589" s="15" t="n">
        <f aca="false">IF($J589=1,IF($M589=1,AB589,AG589),"")</f>
        <v>1</v>
      </c>
      <c r="AI589" s="13" t="n">
        <f aca="false">IF($J589=1,(Ideal_P-E589)/Span_P,"")</f>
        <v>0.553146998182956</v>
      </c>
      <c r="AJ589" s="13" t="n">
        <f aca="false">IF($J589=1,(Ideal_S-F589)/Span_S,"")</f>
        <v>0.225806451612903</v>
      </c>
      <c r="AK589" s="13" t="n">
        <f aca="false">IF($J589=1,(Ideal_B-G589)/Span_B,"")</f>
        <v>0.133333333333333</v>
      </c>
      <c r="AL589" s="12" t="n">
        <f aca="false">IF($J589=1,MAX(ChA_1*AI589,ChA_2*AJ589,ChA_3*AK589)+Rho*(ChA_1*AI589+ChA_2*AJ589+ChA_3*AK589),"")</f>
        <v>0.553238226861269</v>
      </c>
      <c r="AM589" s="12" t="n">
        <f aca="false">IF($J589=1,MAX(ChB_1*AI589,ChB_2*AJ589,ChB_3*AK589)+Rho*(ChB_1*AI589+ChB_2*AJ589+ChB_3*AK589),"")</f>
        <v>1.10644053974404</v>
      </c>
      <c r="AN589" s="12" t="n">
        <f aca="false">IF($J589=1,MAX(Cx_1*(Ref_P-E589)/Span_P,Cx_2*(Ref_S-F589)/Span_S,Cx_3*(Ref_B-G589)/Span_B),"")</f>
        <v>1.40638807093497</v>
      </c>
    </row>
    <row r="590" customFormat="false" ht="15" hidden="false" customHeight="false" outlineLevel="0" collapsed="false">
      <c r="A590" s="2" t="n">
        <v>584</v>
      </c>
      <c r="B590" s="15" t="n">
        <f aca="false">INT(A590/151)</f>
        <v>3</v>
      </c>
      <c r="C590" s="15" t="n">
        <f aca="false">MOD(A590,151)</f>
        <v>131</v>
      </c>
      <c r="D590" s="15" t="n">
        <f aca="false">INDEX(Grid!$J$6:$P$156,C590+1,B590+1)</f>
        <v>1</v>
      </c>
      <c r="E590" s="16" t="n">
        <f aca="false">IF(D590=1,INDEX(Grid!$B$6:$H$156,C590+1,B590+1),"")</f>
        <v>182.961377000284</v>
      </c>
      <c r="F590" s="13" t="n">
        <f aca="false">Val_pt*(Ceiling_e-E_zero)*(1-(1-Half_gap)^B590)</f>
        <v>122.5</v>
      </c>
      <c r="G590" s="15" t="n">
        <f aca="false">C590</f>
        <v>131</v>
      </c>
      <c r="H590" s="15" t="n">
        <f aca="false">IF(D590=1,INDEX(Grid!$R$6:$X$156,C590+1,B590+1),"")</f>
        <v>44</v>
      </c>
      <c r="I590" s="2" t="str">
        <f aca="false">IF(D590=1,INDEX(Sch_label,H590+1),"")</f>
        <v>1, 3, 4</v>
      </c>
      <c r="J590" s="15" t="n">
        <f aca="false">IF(D590=1,INDEX(Grid!$Z$6:$AF$156,C590+1,B590+1),0)</f>
        <v>1</v>
      </c>
      <c r="K590" s="16" t="n">
        <f aca="false">IF(J590=1,E590,0)</f>
        <v>182.961377000284</v>
      </c>
      <c r="L590" s="17" t="n">
        <f aca="false">IF(D590=1,E590+W_board*F590,"")</f>
        <v>874.441941316161</v>
      </c>
      <c r="M590" s="24" t="n">
        <v>0</v>
      </c>
      <c r="Q590" s="24" t="n">
        <v>3</v>
      </c>
      <c r="R590" s="24" t="n">
        <v>100</v>
      </c>
      <c r="S590" s="25" t="n">
        <v>0.290341028372244</v>
      </c>
      <c r="T590" s="24" t="n">
        <v>3</v>
      </c>
      <c r="U590" s="24" t="n">
        <v>150</v>
      </c>
      <c r="V590" s="25" t="n">
        <v>0.645021108361233</v>
      </c>
      <c r="W590" s="24" t="n">
        <v>4</v>
      </c>
      <c r="X590" s="24" t="n">
        <v>100</v>
      </c>
      <c r="Y590" s="25" t="n">
        <v>0.0646378632665235</v>
      </c>
      <c r="Z590" s="12" t="str">
        <f aca="false">IF(AND($J590=1,$M590=1),N590*E590/Span_P+O590*F590/Span_S+P590*G590/Span_B,"")</f>
        <v/>
      </c>
      <c r="AA590" s="12" t="str">
        <f aca="false">IF(AND($J590=1,$M590=1),SUMPRODUCT(MAX($J$6:$J$1062*(N590*$K$6:$K$1062/Span_P+O590*$F$6:$F$1062/Span_S+P590*$G$6:$G$1062/Span_B)-(1-$J$6:$J$1062)*1000000000)),"")</f>
        <v/>
      </c>
      <c r="AB590" s="15" t="str">
        <f aca="false">IF(AND($J590=1,$M590=1),IF(AA590-Z590&lt;=0.000000001,1,0),"")</f>
        <v/>
      </c>
      <c r="AC590" s="13" t="n">
        <f aca="false">IF(AND($J590=1,$M590=0),IF(S590="",0,S590*INDEX(Grid!$B$6:$H$156,R590+1,Q590+1))+IF(V590="",0,V590*INDEX(Grid!$B$6:$H$156,U590+1,T590+1))+IF(Y590="",0,Y590*INDEX(Grid!$B$6:$H$156,X590+1,W590+1)),"")</f>
        <v>185.981550537003</v>
      </c>
      <c r="AD590" s="13" t="n">
        <f aca="false">IF(AND($J590=1,$M590=0),IF(S590="",0,S590*Val_pt*(Ceiling_e-E_zero)*(1-(1-Half_gap)^Q590))+IF(V590="",0,V590*Val_pt*(Ceiling_e-E_zero)*(1-(1-Half_gap)^T590))+IF(Y590="",0,Y590*Val_pt*(Ceiling_e-E_zero)*(1-(1-Half_gap)^W590)),"")</f>
        <v>123.065581303582</v>
      </c>
      <c r="AE590" s="13" t="n">
        <f aca="false">IF(AND($J590=1,$M590=0),IF(S590="",0,S590*R590)+IF(V590="",0,V590*U590)+IF(Y590="",0,Y590*X590),"")</f>
        <v>132.251055418062</v>
      </c>
      <c r="AF590" s="12" t="n">
        <f aca="false">IF(AND($J590=1,$M590=0),MIN((AC590-E590)/Span_P,(AD590-F590)/Span_S,(AE590-G590)/Span_B),"")</f>
        <v>0.00834036945374464</v>
      </c>
      <c r="AG590" s="15" t="n">
        <f aca="false">IF(AND($J590=1,$M590=0),IF(AF590&gt;0.0000001,1,0),"")</f>
        <v>1</v>
      </c>
      <c r="AH590" s="15" t="n">
        <f aca="false">IF($J590=1,IF($M590=1,AB590,AG590),"")</f>
        <v>1</v>
      </c>
      <c r="AI590" s="13" t="n">
        <f aca="false">IF($J590=1,(Ideal_P-E590)/Span_P,"")</f>
        <v>0.555657500959262</v>
      </c>
      <c r="AJ590" s="13" t="n">
        <f aca="false">IF($J590=1,(Ideal_S-F590)/Span_S,"")</f>
        <v>0.225806451612903</v>
      </c>
      <c r="AK590" s="13" t="n">
        <f aca="false">IF($J590=1,(Ideal_B-G590)/Span_B,"")</f>
        <v>0.126666666666667</v>
      </c>
      <c r="AL590" s="12" t="n">
        <f aca="false">IF($J590=1,MAX(ChA_1*AI590,ChA_2*AJ590,ChA_3*AK590)+Rho*(ChA_1*AI590+ChA_2*AJ590+ChA_3*AK590),"")</f>
        <v>0.555748314021186</v>
      </c>
      <c r="AM590" s="12" t="n">
        <f aca="false">IF($J590=1,MAX(ChB_1*AI590,ChB_2*AJ590,ChB_3*AK590)+Rho*(ChB_1*AI590+ChB_2*AJ590+ChB_3*AK590),"")</f>
        <v>1.11146138073054</v>
      </c>
      <c r="AN590" s="12" t="n">
        <f aca="false">IF($J590=1,MAX(Cx_1*(Ref_P-E590)/Span_P,Cx_2*(Ref_S-F590)/Span_S,Cx_3*(Ref_B-G590)/Span_B),"")</f>
        <v>1.4126577326184</v>
      </c>
    </row>
    <row r="591" customFormat="false" ht="15" hidden="false" customHeight="false" outlineLevel="0" collapsed="false">
      <c r="A591" s="2" t="n">
        <v>585</v>
      </c>
      <c r="B591" s="15" t="n">
        <f aca="false">INT(A591/151)</f>
        <v>3</v>
      </c>
      <c r="C591" s="15" t="n">
        <f aca="false">MOD(A591,151)</f>
        <v>132</v>
      </c>
      <c r="D591" s="15" t="n">
        <f aca="false">INDEX(Grid!$J$6:$P$156,C591+1,B591+1)</f>
        <v>1</v>
      </c>
      <c r="E591" s="16" t="n">
        <f aca="false">IF(D591=1,INDEX(Grid!$B$6:$H$156,C591+1,B591+1),"")</f>
        <v>182.052286091193</v>
      </c>
      <c r="F591" s="13" t="n">
        <f aca="false">Val_pt*(Ceiling_e-E_zero)*(1-(1-Half_gap)^B591)</f>
        <v>122.5</v>
      </c>
      <c r="G591" s="15" t="n">
        <f aca="false">C591</f>
        <v>132</v>
      </c>
      <c r="H591" s="15" t="n">
        <f aca="false">IF(D591=1,INDEX(Grid!$R$6:$X$156,C591+1,B591+1),"")</f>
        <v>44</v>
      </c>
      <c r="I591" s="2" t="str">
        <f aca="false">IF(D591=1,INDEX(Sch_label,H591+1),"")</f>
        <v>1, 3, 4</v>
      </c>
      <c r="J591" s="15" t="n">
        <f aca="false">IF(D591=1,INDEX(Grid!$Z$6:$AF$156,C591+1,B591+1),0)</f>
        <v>1</v>
      </c>
      <c r="K591" s="16" t="n">
        <f aca="false">IF(J591=1,E591,0)</f>
        <v>182.052286091193</v>
      </c>
      <c r="L591" s="17" t="n">
        <f aca="false">IF(D591=1,E591+W_board*F591,"")</f>
        <v>873.53285040707</v>
      </c>
      <c r="M591" s="24" t="n">
        <v>0</v>
      </c>
      <c r="Q591" s="24" t="n">
        <v>3</v>
      </c>
      <c r="R591" s="24" t="n">
        <v>100</v>
      </c>
      <c r="S591" s="25" t="n">
        <v>0.275059921615805</v>
      </c>
      <c r="T591" s="24" t="n">
        <v>3</v>
      </c>
      <c r="U591" s="24" t="n">
        <v>150</v>
      </c>
      <c r="V591" s="25" t="n">
        <v>0.663704207921164</v>
      </c>
      <c r="W591" s="24" t="n">
        <v>4</v>
      </c>
      <c r="X591" s="24" t="n">
        <v>100</v>
      </c>
      <c r="Y591" s="25" t="n">
        <v>0.0612358704630275</v>
      </c>
      <c r="Z591" s="12" t="str">
        <f aca="false">IF(AND($J591=1,$M591=1),N591*E591/Span_P+O591*F591/Span_S+P591*G591/Span_B,"")</f>
        <v/>
      </c>
      <c r="AA591" s="12" t="str">
        <f aca="false">IF(AND($J591=1,$M591=1),SUMPRODUCT(MAX($J$6:$J$1062*(N591*$K$6:$K$1062/Span_P+O591*$F$6:$F$1062/Span_S+P591*$G$6:$G$1062/Span_B)-(1-$J$6:$J$1062)*1000000000)),"")</f>
        <v/>
      </c>
      <c r="AB591" s="15" t="str">
        <f aca="false">IF(AND($J591=1,$M591=1),IF(AA591-Z591&lt;=0.000000001,1,0),"")</f>
        <v/>
      </c>
      <c r="AC591" s="13" t="n">
        <f aca="false">IF(AND($J591=1,$M591=0),IF(S591="",0,S591*INDEX(Grid!$B$6:$H$156,R591+1,Q591+1))+IF(V591="",0,V591*INDEX(Grid!$B$6:$H$156,U591+1,T591+1))+IF(Y591="",0,Y591*INDEX(Grid!$B$6:$H$156,X591+1,W591+1)),"")</f>
        <v>184.913503125979</v>
      </c>
      <c r="AD591" s="13" t="n">
        <f aca="false">IF(AND($J591=1,$M591=0),IF(S591="",0,S591*Val_pt*(Ceiling_e-E_zero)*(1-(1-Half_gap)^Q591))+IF(V591="",0,V591*Val_pt*(Ceiling_e-E_zero)*(1-(1-Half_gap)^T591))+IF(Y591="",0,Y591*Val_pt*(Ceiling_e-E_zero)*(1-(1-Half_gap)^W591)),"")</f>
        <v>123.035813866551</v>
      </c>
      <c r="AE591" s="13" t="n">
        <f aca="false">IF(AND($J591=1,$M591=0),IF(S591="",0,S591*R591)+IF(V591="",0,V591*U591)+IF(Y591="",0,Y591*X591),"")</f>
        <v>133.185210396058</v>
      </c>
      <c r="AF591" s="12" t="n">
        <f aca="false">IF(AND($J591=1,$M591=0),MIN((AC591-E591)/Span_P,(AD591-F591)/Span_S,(AE591-G591)/Span_B),"")</f>
        <v>0.00790140264038481</v>
      </c>
      <c r="AG591" s="15" t="n">
        <f aca="false">IF(AND($J591=1,$M591=0),IF(AF591&gt;0.0000001,1,0),"")</f>
        <v>1</v>
      </c>
      <c r="AH591" s="15" t="n">
        <f aca="false">IF($J591=1,IF($M591=1,AB591,AG591),"")</f>
        <v>1</v>
      </c>
      <c r="AI591" s="13" t="n">
        <f aca="false">IF($J591=1,(Ideal_P-E591)/Span_P,"")</f>
        <v>0.558168003735567</v>
      </c>
      <c r="AJ591" s="13" t="n">
        <f aca="false">IF($J591=1,(Ideal_S-F591)/Span_S,"")</f>
        <v>0.225806451612903</v>
      </c>
      <c r="AK591" s="13" t="n">
        <f aca="false">IF($J591=1,(Ideal_B-G591)/Span_B,"")</f>
        <v>0.12</v>
      </c>
      <c r="AL591" s="12" t="n">
        <f aca="false">IF($J591=1,MAX(ChA_1*AI591,ChA_2*AJ591,ChA_3*AK591)+Rho*(ChA_1*AI591+ChA_2*AJ591+ChA_3*AK591),"")</f>
        <v>0.558258401181102</v>
      </c>
      <c r="AM591" s="12" t="n">
        <f aca="false">IF($J591=1,MAX(ChB_1*AI591,ChB_2*AJ591,ChB_3*AK591)+Rho*(ChB_1*AI591+ChB_2*AJ591+ChB_3*AK591),"")</f>
        <v>1.11648222171704</v>
      </c>
      <c r="AN591" s="12" t="n">
        <f aca="false">IF($J591=1,MAX(Cx_1*(Ref_P-E591)/Span_P,Cx_2*(Ref_S-F591)/Span_S,Cx_3*(Ref_B-G591)/Span_B),"")</f>
        <v>1.41892739430182</v>
      </c>
    </row>
    <row r="592" customFormat="false" ht="15" hidden="false" customHeight="false" outlineLevel="0" collapsed="false">
      <c r="A592" s="2" t="n">
        <v>586</v>
      </c>
      <c r="B592" s="15" t="n">
        <f aca="false">INT(A592/151)</f>
        <v>3</v>
      </c>
      <c r="C592" s="15" t="n">
        <f aca="false">MOD(A592,151)</f>
        <v>133</v>
      </c>
      <c r="D592" s="15" t="n">
        <f aca="false">INDEX(Grid!$J$6:$P$156,C592+1,B592+1)</f>
        <v>1</v>
      </c>
      <c r="E592" s="16" t="n">
        <f aca="false">IF(D592=1,INDEX(Grid!$B$6:$H$156,C592+1,B592+1),"")</f>
        <v>181.143195182102</v>
      </c>
      <c r="F592" s="13" t="n">
        <f aca="false">Val_pt*(Ceiling_e-E_zero)*(1-(1-Half_gap)^B592)</f>
        <v>122.5</v>
      </c>
      <c r="G592" s="15" t="n">
        <f aca="false">C592</f>
        <v>133</v>
      </c>
      <c r="H592" s="15" t="n">
        <f aca="false">IF(D592=1,INDEX(Grid!$R$6:$X$156,C592+1,B592+1),"")</f>
        <v>44</v>
      </c>
      <c r="I592" s="2" t="str">
        <f aca="false">IF(D592=1,INDEX(Sch_label,H592+1),"")</f>
        <v>1, 3, 4</v>
      </c>
      <c r="J592" s="15" t="n">
        <f aca="false">IF(D592=1,INDEX(Grid!$Z$6:$AF$156,C592+1,B592+1),0)</f>
        <v>1</v>
      </c>
      <c r="K592" s="16" t="n">
        <f aca="false">IF(J592=1,E592,0)</f>
        <v>181.143195182102</v>
      </c>
      <c r="L592" s="17" t="n">
        <f aca="false">IF(D592=1,E592+W_board*F592,"")</f>
        <v>872.623759497979</v>
      </c>
      <c r="M592" s="24" t="n">
        <v>0</v>
      </c>
      <c r="Q592" s="24" t="n">
        <v>3</v>
      </c>
      <c r="R592" s="24" t="n">
        <v>100</v>
      </c>
      <c r="S592" s="25" t="n">
        <v>0.259778814859375</v>
      </c>
      <c r="T592" s="24" t="n">
        <v>3</v>
      </c>
      <c r="U592" s="24" t="n">
        <v>150</v>
      </c>
      <c r="V592" s="25" t="n">
        <v>0.682387307481105</v>
      </c>
      <c r="W592" s="24" t="n">
        <v>4</v>
      </c>
      <c r="X592" s="24" t="n">
        <v>100</v>
      </c>
      <c r="Y592" s="25" t="n">
        <v>0.0578338776595198</v>
      </c>
      <c r="Z592" s="12" t="str">
        <f aca="false">IF(AND($J592=1,$M592=1),N592*E592/Span_P+O592*F592/Span_S+P592*G592/Span_B,"")</f>
        <v/>
      </c>
      <c r="AA592" s="12" t="str">
        <f aca="false">IF(AND($J592=1,$M592=1),SUMPRODUCT(MAX($J$6:$J$1062*(N592*$K$6:$K$1062/Span_P+O592*$F$6:$F$1062/Span_S+P592*$G$6:$G$1062/Span_B)-(1-$J$6:$J$1062)*1000000000)),"")</f>
        <v/>
      </c>
      <c r="AB592" s="15" t="str">
        <f aca="false">IF(AND($J592=1,$M592=1),IF(AA592-Z592&lt;=0.000000001,1,0),"")</f>
        <v/>
      </c>
      <c r="AC592" s="13" t="n">
        <f aca="false">IF(AND($J592=1,$M592=0),IF(S592="",0,S592*INDEX(Grid!$B$6:$H$156,R592+1,Q592+1))+IF(V592="",0,V592*INDEX(Grid!$B$6:$H$156,U592+1,T592+1))+IF(Y592="",0,Y592*INDEX(Grid!$B$6:$H$156,X592+1,W592+1)),"")</f>
        <v>183.845455714956</v>
      </c>
      <c r="AD592" s="13" t="n">
        <f aca="false">IF(AND($J592=1,$M592=0),IF(S592="",0,S592*Val_pt*(Ceiling_e-E_zero)*(1-(1-Half_gap)^Q592))+IF(V592="",0,V592*Val_pt*(Ceiling_e-E_zero)*(1-(1-Half_gap)^T592))+IF(Y592="",0,Y592*Val_pt*(Ceiling_e-E_zero)*(1-(1-Half_gap)^W592)),"")</f>
        <v>123.006046429521</v>
      </c>
      <c r="AE592" s="13" t="n">
        <f aca="false">IF(AND($J592=1,$M592=0),IF(S592="",0,S592*R592)+IF(V592="",0,V592*U592)+IF(Y592="",0,Y592*X592),"")</f>
        <v>134.119365374055</v>
      </c>
      <c r="AF592" s="12" t="n">
        <f aca="false">IF(AND($J592=1,$M592=0),MIN((AC592-E592)/Span_P,(AD592-F592)/Span_S,(AE592-G592)/Span_B),"")</f>
        <v>0.00746243582703391</v>
      </c>
      <c r="AG592" s="15" t="n">
        <f aca="false">IF(AND($J592=1,$M592=0),IF(AF592&gt;0.0000001,1,0),"")</f>
        <v>1</v>
      </c>
      <c r="AH592" s="15" t="n">
        <f aca="false">IF($J592=1,IF($M592=1,AB592,AG592),"")</f>
        <v>1</v>
      </c>
      <c r="AI592" s="13" t="n">
        <f aca="false">IF($J592=1,(Ideal_P-E592)/Span_P,"")</f>
        <v>0.560678506511873</v>
      </c>
      <c r="AJ592" s="13" t="n">
        <f aca="false">IF($J592=1,(Ideal_S-F592)/Span_S,"")</f>
        <v>0.225806451612903</v>
      </c>
      <c r="AK592" s="13" t="n">
        <f aca="false">IF($J592=1,(Ideal_B-G592)/Span_B,"")</f>
        <v>0.113333333333333</v>
      </c>
      <c r="AL592" s="12" t="n">
        <f aca="false">IF($J592=1,MAX(ChA_1*AI592,ChA_2*AJ592,ChA_3*AK592)+Rho*(ChA_1*AI592+ChA_2*AJ592+ChA_3*AK592),"")</f>
        <v>0.560768488341019</v>
      </c>
      <c r="AM592" s="12" t="n">
        <f aca="false">IF($J592=1,MAX(ChB_1*AI592,ChB_2*AJ592,ChB_3*AK592)+Rho*(ChB_1*AI592+ChB_2*AJ592+ChB_3*AK592),"")</f>
        <v>1.12150306270354</v>
      </c>
      <c r="AN592" s="12" t="n">
        <f aca="false">IF($J592=1,MAX(Cx_1*(Ref_P-E592)/Span_P,Cx_2*(Ref_S-F592)/Span_S,Cx_3*(Ref_B-G592)/Span_B),"")</f>
        <v>1.42519705598525</v>
      </c>
    </row>
    <row r="593" customFormat="false" ht="15" hidden="false" customHeight="false" outlineLevel="0" collapsed="false">
      <c r="A593" s="2" t="n">
        <v>587</v>
      </c>
      <c r="B593" s="15" t="n">
        <f aca="false">INT(A593/151)</f>
        <v>3</v>
      </c>
      <c r="C593" s="15" t="n">
        <f aca="false">MOD(A593,151)</f>
        <v>134</v>
      </c>
      <c r="D593" s="15" t="n">
        <f aca="false">INDEX(Grid!$J$6:$P$156,C593+1,B593+1)</f>
        <v>1</v>
      </c>
      <c r="E593" s="16" t="n">
        <f aca="false">IF(D593=1,INDEX(Grid!$B$6:$H$156,C593+1,B593+1),"")</f>
        <v>180.234104273011</v>
      </c>
      <c r="F593" s="13" t="n">
        <f aca="false">Val_pt*(Ceiling_e-E_zero)*(1-(1-Half_gap)^B593)</f>
        <v>122.5</v>
      </c>
      <c r="G593" s="15" t="n">
        <f aca="false">C593</f>
        <v>134</v>
      </c>
      <c r="H593" s="15" t="n">
        <f aca="false">IF(D593=1,INDEX(Grid!$R$6:$X$156,C593+1,B593+1),"")</f>
        <v>44</v>
      </c>
      <c r="I593" s="2" t="str">
        <f aca="false">IF(D593=1,INDEX(Sch_label,H593+1),"")</f>
        <v>1, 3, 4</v>
      </c>
      <c r="J593" s="15" t="n">
        <f aca="false">IF(D593=1,INDEX(Grid!$Z$6:$AF$156,C593+1,B593+1),0)</f>
        <v>1</v>
      </c>
      <c r="K593" s="16" t="n">
        <f aca="false">IF(J593=1,E593,0)</f>
        <v>180.234104273011</v>
      </c>
      <c r="L593" s="17" t="n">
        <f aca="false">IF(D593=1,E593+W_board*F593,"")</f>
        <v>871.714668588888</v>
      </c>
      <c r="M593" s="24" t="n">
        <v>0</v>
      </c>
      <c r="Q593" s="24" t="n">
        <v>3</v>
      </c>
      <c r="R593" s="24" t="n">
        <v>100</v>
      </c>
      <c r="S593" s="25" t="n">
        <v>0.244497708102942</v>
      </c>
      <c r="T593" s="24" t="n">
        <v>3</v>
      </c>
      <c r="U593" s="24" t="n">
        <v>150</v>
      </c>
      <c r="V593" s="25" t="n">
        <v>0.70107040704104</v>
      </c>
      <c r="W593" s="24" t="n">
        <v>4</v>
      </c>
      <c r="X593" s="24" t="n">
        <v>100</v>
      </c>
      <c r="Y593" s="25" t="n">
        <v>0.0544318848560182</v>
      </c>
      <c r="Z593" s="12" t="str">
        <f aca="false">IF(AND($J593=1,$M593=1),N593*E593/Span_P+O593*F593/Span_S+P593*G593/Span_B,"")</f>
        <v/>
      </c>
      <c r="AA593" s="12" t="str">
        <f aca="false">IF(AND($J593=1,$M593=1),SUMPRODUCT(MAX($J$6:$J$1062*(N593*$K$6:$K$1062/Span_P+O593*$F$6:$F$1062/Span_S+P593*$G$6:$G$1062/Span_B)-(1-$J$6:$J$1062)*1000000000)),"")</f>
        <v/>
      </c>
      <c r="AB593" s="15" t="str">
        <f aca="false">IF(AND($J593=1,$M593=1),IF(AA593-Z593&lt;=0.000000001,1,0),"")</f>
        <v/>
      </c>
      <c r="AC593" s="13" t="n">
        <f aca="false">IF(AND($J593=1,$M593=0),IF(S593="",0,S593*INDEX(Grid!$B$6:$H$156,R593+1,Q593+1))+IF(V593="",0,V593*INDEX(Grid!$B$6:$H$156,U593+1,T593+1))+IF(Y593="",0,Y593*INDEX(Grid!$B$6:$H$156,X593+1,W593+1)),"")</f>
        <v>182.777408303933</v>
      </c>
      <c r="AD593" s="13" t="n">
        <f aca="false">IF(AND($J593=1,$M593=0),IF(S593="",0,S593*Val_pt*(Ceiling_e-E_zero)*(1-(1-Half_gap)^Q593))+IF(V593="",0,V593*Val_pt*(Ceiling_e-E_zero)*(1-(1-Half_gap)^T593))+IF(Y593="",0,Y593*Val_pt*(Ceiling_e-E_zero)*(1-(1-Half_gap)^W593)),"")</f>
        <v>122.97627899249</v>
      </c>
      <c r="AE593" s="13" t="n">
        <f aca="false">IF(AND($J593=1,$M593=0),IF(S593="",0,S593*R593)+IF(V593="",0,V593*U593)+IF(Y593="",0,Y593*X593),"")</f>
        <v>135.053520352052</v>
      </c>
      <c r="AF593" s="12" t="n">
        <f aca="false">IF(AND($J593=1,$M593=0),MIN((AC593-E593)/Span_P,(AD593-F593)/Span_S,(AE593-G593)/Span_B),"")</f>
        <v>0.0070234690136801</v>
      </c>
      <c r="AG593" s="15" t="n">
        <f aca="false">IF(AND($J593=1,$M593=0),IF(AF593&gt;0.0000001,1,0),"")</f>
        <v>1</v>
      </c>
      <c r="AH593" s="15" t="n">
        <f aca="false">IF($J593=1,IF($M593=1,AB593,AG593),"")</f>
        <v>1</v>
      </c>
      <c r="AI593" s="13" t="n">
        <f aca="false">IF($J593=1,(Ideal_P-E593)/Span_P,"")</f>
        <v>0.563189009288179</v>
      </c>
      <c r="AJ593" s="13" t="n">
        <f aca="false">IF($J593=1,(Ideal_S-F593)/Span_S,"")</f>
        <v>0.225806451612903</v>
      </c>
      <c r="AK593" s="13" t="n">
        <f aca="false">IF($J593=1,(Ideal_B-G593)/Span_B,"")</f>
        <v>0.106666666666667</v>
      </c>
      <c r="AL593" s="12" t="n">
        <f aca="false">IF($J593=1,MAX(ChA_1*AI593,ChA_2*AJ593,ChA_3*AK593)+Rho*(ChA_1*AI593+ChA_2*AJ593+ChA_3*AK593),"")</f>
        <v>0.563278575500936</v>
      </c>
      <c r="AM593" s="12" t="n">
        <f aca="false">IF($J593=1,MAX(ChB_1*AI593,ChB_2*AJ593,ChB_3*AK593)+Rho*(ChB_1*AI593+ChB_2*AJ593+ChB_3*AK593),"")</f>
        <v>1.12652390369004</v>
      </c>
      <c r="AN593" s="12" t="n">
        <f aca="false">IF($J593=1,MAX(Cx_1*(Ref_P-E593)/Span_P,Cx_2*(Ref_S-F593)/Span_S,Cx_3*(Ref_B-G593)/Span_B),"")</f>
        <v>1.43146671766868</v>
      </c>
    </row>
    <row r="594" customFormat="false" ht="15" hidden="false" customHeight="false" outlineLevel="0" collapsed="false">
      <c r="A594" s="2" t="n">
        <v>588</v>
      </c>
      <c r="B594" s="15" t="n">
        <f aca="false">INT(A594/151)</f>
        <v>3</v>
      </c>
      <c r="C594" s="15" t="n">
        <f aca="false">MOD(A594,151)</f>
        <v>135</v>
      </c>
      <c r="D594" s="15" t="n">
        <f aca="false">INDEX(Grid!$J$6:$P$156,C594+1,B594+1)</f>
        <v>1</v>
      </c>
      <c r="E594" s="16" t="n">
        <f aca="false">IF(D594=1,INDEX(Grid!$B$6:$H$156,C594+1,B594+1),"")</f>
        <v>179.32501336392</v>
      </c>
      <c r="F594" s="13" t="n">
        <f aca="false">Val_pt*(Ceiling_e-E_zero)*(1-(1-Half_gap)^B594)</f>
        <v>122.5</v>
      </c>
      <c r="G594" s="15" t="n">
        <f aca="false">C594</f>
        <v>135</v>
      </c>
      <c r="H594" s="15" t="n">
        <f aca="false">IF(D594=1,INDEX(Grid!$R$6:$X$156,C594+1,B594+1),"")</f>
        <v>44</v>
      </c>
      <c r="I594" s="2" t="str">
        <f aca="false">IF(D594=1,INDEX(Sch_label,H594+1),"")</f>
        <v>1, 3, 4</v>
      </c>
      <c r="J594" s="15" t="n">
        <f aca="false">IF(D594=1,INDEX(Grid!$Z$6:$AF$156,C594+1,B594+1),0)</f>
        <v>1</v>
      </c>
      <c r="K594" s="16" t="n">
        <f aca="false">IF(J594=1,E594,0)</f>
        <v>179.32501336392</v>
      </c>
      <c r="L594" s="17" t="n">
        <f aca="false">IF(D594=1,E594+W_board*F594,"")</f>
        <v>870.805577679798</v>
      </c>
      <c r="M594" s="24" t="n">
        <v>0</v>
      </c>
      <c r="Q594" s="24" t="n">
        <v>3</v>
      </c>
      <c r="R594" s="24" t="n">
        <v>100</v>
      </c>
      <c r="S594" s="25" t="n">
        <v>0.229216601346511</v>
      </c>
      <c r="T594" s="24" t="n">
        <v>3</v>
      </c>
      <c r="U594" s="24" t="n">
        <v>150</v>
      </c>
      <c r="V594" s="25" t="n">
        <v>0.719753506600979</v>
      </c>
      <c r="W594" s="24" t="n">
        <v>4</v>
      </c>
      <c r="X594" s="24" t="n">
        <v>100</v>
      </c>
      <c r="Y594" s="25" t="n">
        <v>0.0510298920525115</v>
      </c>
      <c r="Z594" s="12" t="str">
        <f aca="false">IF(AND($J594=1,$M594=1),N594*E594/Span_P+O594*F594/Span_S+P594*G594/Span_B,"")</f>
        <v/>
      </c>
      <c r="AA594" s="12" t="str">
        <f aca="false">IF(AND($J594=1,$M594=1),SUMPRODUCT(MAX($J$6:$J$1062*(N594*$K$6:$K$1062/Span_P+O594*$F$6:$F$1062/Span_S+P594*$G$6:$G$1062/Span_B)-(1-$J$6:$J$1062)*1000000000)),"")</f>
        <v/>
      </c>
      <c r="AB594" s="15" t="str">
        <f aca="false">IF(AND($J594=1,$M594=1),IF(AA594-Z594&lt;=0.000000001,1,0),"")</f>
        <v/>
      </c>
      <c r="AC594" s="13" t="n">
        <f aca="false">IF(AND($J594=1,$M594=0),IF(S594="",0,S594*INDEX(Grid!$B$6:$H$156,R594+1,Q594+1))+IF(V594="",0,V594*INDEX(Grid!$B$6:$H$156,U594+1,T594+1))+IF(Y594="",0,Y594*INDEX(Grid!$B$6:$H$156,X594+1,W594+1)),"")</f>
        <v>181.70936089291</v>
      </c>
      <c r="AD594" s="13" t="n">
        <f aca="false">IF(AND($J594=1,$M594=0),IF(S594="",0,S594*Val_pt*(Ceiling_e-E_zero)*(1-(1-Half_gap)^Q594))+IF(V594="",0,V594*Val_pt*(Ceiling_e-E_zero)*(1-(1-Half_gap)^T594))+IF(Y594="",0,Y594*Val_pt*(Ceiling_e-E_zero)*(1-(1-Half_gap)^W594)),"")</f>
        <v>122.94651155546</v>
      </c>
      <c r="AE594" s="13" t="n">
        <f aca="false">IF(AND($J594=1,$M594=0),IF(S594="",0,S594*R594)+IF(V594="",0,V594*U594)+IF(Y594="",0,Y594*X594),"")</f>
        <v>135.987675330049</v>
      </c>
      <c r="AF594" s="12" t="n">
        <f aca="false">IF(AND($J594=1,$M594=0),MIN((AC594-E594)/Span_P,(AD594-F594)/Span_S,(AE594-G594)/Span_B),"")</f>
        <v>0.00658450220032617</v>
      </c>
      <c r="AG594" s="15" t="n">
        <f aca="false">IF(AND($J594=1,$M594=0),IF(AF594&gt;0.0000001,1,0),"")</f>
        <v>1</v>
      </c>
      <c r="AH594" s="15" t="n">
        <f aca="false">IF($J594=1,IF($M594=1,AB594,AG594),"")</f>
        <v>1</v>
      </c>
      <c r="AI594" s="13" t="n">
        <f aca="false">IF($J594=1,(Ideal_P-E594)/Span_P,"")</f>
        <v>0.565699512064485</v>
      </c>
      <c r="AJ594" s="13" t="n">
        <f aca="false">IF($J594=1,(Ideal_S-F594)/Span_S,"")</f>
        <v>0.225806451612903</v>
      </c>
      <c r="AK594" s="13" t="n">
        <f aca="false">IF($J594=1,(Ideal_B-G594)/Span_B,"")</f>
        <v>0.1</v>
      </c>
      <c r="AL594" s="12" t="n">
        <f aca="false">IF($J594=1,MAX(ChA_1*AI594,ChA_2*AJ594,ChA_3*AK594)+Rho*(ChA_1*AI594+ChA_2*AJ594+ChA_3*AK594),"")</f>
        <v>0.565788662660853</v>
      </c>
      <c r="AM594" s="12" t="n">
        <f aca="false">IF($J594=1,MAX(ChB_1*AI594,ChB_2*AJ594,ChB_3*AK594)+Rho*(ChB_1*AI594+ChB_2*AJ594+ChB_3*AK594),"")</f>
        <v>1.13154474467654</v>
      </c>
      <c r="AN594" s="12" t="n">
        <f aca="false">IF($J594=1,MAX(Cx_1*(Ref_P-E594)/Span_P,Cx_2*(Ref_S-F594)/Span_S,Cx_3*(Ref_B-G594)/Span_B),"")</f>
        <v>1.43773637935211</v>
      </c>
    </row>
    <row r="595" customFormat="false" ht="15" hidden="false" customHeight="false" outlineLevel="0" collapsed="false">
      <c r="A595" s="2" t="n">
        <v>589</v>
      </c>
      <c r="B595" s="15" t="n">
        <f aca="false">INT(A595/151)</f>
        <v>3</v>
      </c>
      <c r="C595" s="15" t="n">
        <f aca="false">MOD(A595,151)</f>
        <v>136</v>
      </c>
      <c r="D595" s="15" t="n">
        <f aca="false">INDEX(Grid!$J$6:$P$156,C595+1,B595+1)</f>
        <v>1</v>
      </c>
      <c r="E595" s="16" t="n">
        <f aca="false">IF(D595=1,INDEX(Grid!$B$6:$H$156,C595+1,B595+1),"")</f>
        <v>178.415922454829</v>
      </c>
      <c r="F595" s="13" t="n">
        <f aca="false">Val_pt*(Ceiling_e-E_zero)*(1-(1-Half_gap)^B595)</f>
        <v>122.5</v>
      </c>
      <c r="G595" s="15" t="n">
        <f aca="false">C595</f>
        <v>136</v>
      </c>
      <c r="H595" s="15" t="n">
        <f aca="false">IF(D595=1,INDEX(Grid!$R$6:$X$156,C595+1,B595+1),"")</f>
        <v>44</v>
      </c>
      <c r="I595" s="2" t="str">
        <f aca="false">IF(D595=1,INDEX(Sch_label,H595+1),"")</f>
        <v>1, 3, 4</v>
      </c>
      <c r="J595" s="15" t="n">
        <f aca="false">IF(D595=1,INDEX(Grid!$Z$6:$AF$156,C595+1,B595+1),0)</f>
        <v>1</v>
      </c>
      <c r="K595" s="16" t="n">
        <f aca="false">IF(J595=1,E595,0)</f>
        <v>178.415922454829</v>
      </c>
      <c r="L595" s="17" t="n">
        <f aca="false">IF(D595=1,E595+W_board*F595,"")</f>
        <v>869.896486770707</v>
      </c>
      <c r="M595" s="24" t="n">
        <v>0</v>
      </c>
      <c r="Q595" s="24" t="n">
        <v>3</v>
      </c>
      <c r="R595" s="24" t="n">
        <v>100</v>
      </c>
      <c r="S595" s="25" t="n">
        <v>0.213935494590071</v>
      </c>
      <c r="T595" s="24" t="n">
        <v>3</v>
      </c>
      <c r="U595" s="24" t="n">
        <v>150</v>
      </c>
      <c r="V595" s="25" t="n">
        <v>0.738436606160904</v>
      </c>
      <c r="W595" s="24" t="n">
        <v>4</v>
      </c>
      <c r="X595" s="24" t="n">
        <v>100</v>
      </c>
      <c r="Y595" s="25" t="n">
        <v>0.0476278992490232</v>
      </c>
      <c r="Z595" s="12" t="str">
        <f aca="false">IF(AND($J595=1,$M595=1),N595*E595/Span_P+O595*F595/Span_S+P595*G595/Span_B,"")</f>
        <v/>
      </c>
      <c r="AA595" s="12" t="str">
        <f aca="false">IF(AND($J595=1,$M595=1),SUMPRODUCT(MAX($J$6:$J$1062*(N595*$K$6:$K$1062/Span_P+O595*$F$6:$F$1062/Span_S+P595*$G$6:$G$1062/Span_B)-(1-$J$6:$J$1062)*1000000000)),"")</f>
        <v/>
      </c>
      <c r="AB595" s="15" t="str">
        <f aca="false">IF(AND($J595=1,$M595=1),IF(AA595-Z595&lt;=0.000000001,1,0),"")</f>
        <v/>
      </c>
      <c r="AC595" s="13" t="n">
        <f aca="false">IF(AND($J595=1,$M595=0),IF(S595="",0,S595*INDEX(Grid!$B$6:$H$156,R595+1,Q595+1))+IF(V595="",0,V595*INDEX(Grid!$B$6:$H$156,U595+1,T595+1))+IF(Y595="",0,Y595*INDEX(Grid!$B$6:$H$156,X595+1,W595+1)),"")</f>
        <v>180.641313481885</v>
      </c>
      <c r="AD595" s="13" t="n">
        <f aca="false">IF(AND($J595=1,$M595=0),IF(S595="",0,S595*Val_pt*(Ceiling_e-E_zero)*(1-(1-Half_gap)^Q595))+IF(V595="",0,V595*Val_pt*(Ceiling_e-E_zero)*(1-(1-Half_gap)^T595))+IF(Y595="",0,Y595*Val_pt*(Ceiling_e-E_zero)*(1-(1-Half_gap)^W595)),"")</f>
        <v>122.916744118429</v>
      </c>
      <c r="AE595" s="13" t="n">
        <f aca="false">IF(AND($J595=1,$M595=0),IF(S595="",0,S595*R595)+IF(V595="",0,V595*U595)+IF(Y595="",0,Y595*X595),"")</f>
        <v>136.921830308045</v>
      </c>
      <c r="AF595" s="12" t="n">
        <f aca="false">IF(AND($J595=1,$M595=0),MIN((AC595-E595)/Span_P,(AD595-F595)/Span_S,(AE595-G595)/Span_B),"")</f>
        <v>0.00614553538696612</v>
      </c>
      <c r="AG595" s="15" t="n">
        <f aca="false">IF(AND($J595=1,$M595=0),IF(AF595&gt;0.0000001,1,0),"")</f>
        <v>1</v>
      </c>
      <c r="AH595" s="15" t="n">
        <f aca="false">IF($J595=1,IF($M595=1,AB595,AG595),"")</f>
        <v>1</v>
      </c>
      <c r="AI595" s="13" t="n">
        <f aca="false">IF($J595=1,(Ideal_P-E595)/Span_P,"")</f>
        <v>0.568210014840791</v>
      </c>
      <c r="AJ595" s="13" t="n">
        <f aca="false">IF($J595=1,(Ideal_S-F595)/Span_S,"")</f>
        <v>0.225806451612903</v>
      </c>
      <c r="AK595" s="13" t="n">
        <f aca="false">IF($J595=1,(Ideal_B-G595)/Span_B,"")</f>
        <v>0.0933333333333333</v>
      </c>
      <c r="AL595" s="12" t="n">
        <f aca="false">IF($J595=1,MAX(ChA_1*AI595,ChA_2*AJ595,ChA_3*AK595)+Rho*(ChA_1*AI595+ChA_2*AJ595+ChA_3*AK595),"")</f>
        <v>0.568298749820769</v>
      </c>
      <c r="AM595" s="12" t="n">
        <f aca="false">IF($J595=1,MAX(ChB_1*AI595,ChB_2*AJ595,ChB_3*AK595)+Rho*(ChB_1*AI595+ChB_2*AJ595+ChB_3*AK595),"")</f>
        <v>1.13656558566304</v>
      </c>
      <c r="AN595" s="12" t="n">
        <f aca="false">IF($J595=1,MAX(Cx_1*(Ref_P-E595)/Span_P,Cx_2*(Ref_S-F595)/Span_S,Cx_3*(Ref_B-G595)/Span_B),"")</f>
        <v>1.44400604103554</v>
      </c>
    </row>
    <row r="596" customFormat="false" ht="15" hidden="false" customHeight="false" outlineLevel="0" collapsed="false">
      <c r="A596" s="2" t="n">
        <v>590</v>
      </c>
      <c r="B596" s="15" t="n">
        <f aca="false">INT(A596/151)</f>
        <v>3</v>
      </c>
      <c r="C596" s="15" t="n">
        <f aca="false">MOD(A596,151)</f>
        <v>137</v>
      </c>
      <c r="D596" s="15" t="n">
        <f aca="false">INDEX(Grid!$J$6:$P$156,C596+1,B596+1)</f>
        <v>1</v>
      </c>
      <c r="E596" s="16" t="n">
        <f aca="false">IF(D596=1,INDEX(Grid!$B$6:$H$156,C596+1,B596+1),"")</f>
        <v>177.506831545738</v>
      </c>
      <c r="F596" s="13" t="n">
        <f aca="false">Val_pt*(Ceiling_e-E_zero)*(1-(1-Half_gap)^B596)</f>
        <v>122.5</v>
      </c>
      <c r="G596" s="15" t="n">
        <f aca="false">C596</f>
        <v>137</v>
      </c>
      <c r="H596" s="15" t="n">
        <f aca="false">IF(D596=1,INDEX(Grid!$R$6:$X$156,C596+1,B596+1),"")</f>
        <v>44</v>
      </c>
      <c r="I596" s="2" t="str">
        <f aca="false">IF(D596=1,INDEX(Sch_label,H596+1),"")</f>
        <v>1, 3, 4</v>
      </c>
      <c r="J596" s="15" t="n">
        <f aca="false">IF(D596=1,INDEX(Grid!$Z$6:$AF$156,C596+1,B596+1),0)</f>
        <v>1</v>
      </c>
      <c r="K596" s="16" t="n">
        <f aca="false">IF(J596=1,E596,0)</f>
        <v>177.506831545738</v>
      </c>
      <c r="L596" s="17" t="n">
        <f aca="false">IF(D596=1,E596+W_board*F596,"")</f>
        <v>868.987395861616</v>
      </c>
      <c r="M596" s="24" t="n">
        <v>0</v>
      </c>
      <c r="Q596" s="24" t="n">
        <v>3</v>
      </c>
      <c r="R596" s="24" t="n">
        <v>100</v>
      </c>
      <c r="S596" s="25" t="n">
        <v>0.198654387833642</v>
      </c>
      <c r="T596" s="24" t="n">
        <v>3</v>
      </c>
      <c r="U596" s="24" t="n">
        <v>150</v>
      </c>
      <c r="V596" s="25" t="n">
        <v>0.757119705720848</v>
      </c>
      <c r="W596" s="24" t="n">
        <v>4</v>
      </c>
      <c r="X596" s="24" t="n">
        <v>100</v>
      </c>
      <c r="Y596" s="25" t="n">
        <v>0.0442259064455122</v>
      </c>
      <c r="Z596" s="12" t="str">
        <f aca="false">IF(AND($J596=1,$M596=1),N596*E596/Span_P+O596*F596/Span_S+P596*G596/Span_B,"")</f>
        <v/>
      </c>
      <c r="AA596" s="12" t="str">
        <f aca="false">IF(AND($J596=1,$M596=1),SUMPRODUCT(MAX($J$6:$J$1062*(N596*$K$6:$K$1062/Span_P+O596*$F$6:$F$1062/Span_S+P596*$G$6:$G$1062/Span_B)-(1-$J$6:$J$1062)*1000000000)),"")</f>
        <v/>
      </c>
      <c r="AB596" s="15" t="str">
        <f aca="false">IF(AND($J596=1,$M596=1),IF(AA596-Z596&lt;=0.000000001,1,0),"")</f>
        <v/>
      </c>
      <c r="AC596" s="13" t="n">
        <f aca="false">IF(AND($J596=1,$M596=0),IF(S596="",0,S596*INDEX(Grid!$B$6:$H$156,R596+1,Q596+1))+IF(V596="",0,V596*INDEX(Grid!$B$6:$H$156,U596+1,T596+1))+IF(Y596="",0,Y596*INDEX(Grid!$B$6:$H$156,X596+1,W596+1)),"")</f>
        <v>179.573266070863</v>
      </c>
      <c r="AD596" s="13" t="n">
        <f aca="false">IF(AND($J596=1,$M596=0),IF(S596="",0,S596*Val_pt*(Ceiling_e-E_zero)*(1-(1-Half_gap)^Q596))+IF(V596="",0,V596*Val_pt*(Ceiling_e-E_zero)*(1-(1-Half_gap)^T596))+IF(Y596="",0,Y596*Val_pt*(Ceiling_e-E_zero)*(1-(1-Half_gap)^W596)),"")</f>
        <v>122.886976681398</v>
      </c>
      <c r="AE596" s="13" t="n">
        <f aca="false">IF(AND($J596=1,$M596=0),IF(S596="",0,S596*R596)+IF(V596="",0,V596*U596)+IF(Y596="",0,Y596*X596),"")</f>
        <v>137.855985286043</v>
      </c>
      <c r="AF596" s="12" t="n">
        <f aca="false">IF(AND($J596=1,$M596=0),MIN((AC596-E596)/Span_P,(AD596-F596)/Span_S,(AE596-G596)/Span_B),"")</f>
        <v>0.00570656857361611</v>
      </c>
      <c r="AG596" s="15" t="n">
        <f aca="false">IF(AND($J596=1,$M596=0),IF(AF596&gt;0.0000001,1,0),"")</f>
        <v>1</v>
      </c>
      <c r="AH596" s="15" t="n">
        <f aca="false">IF($J596=1,IF($M596=1,AB596,AG596),"")</f>
        <v>1</v>
      </c>
      <c r="AI596" s="13" t="n">
        <f aca="false">IF($J596=1,(Ideal_P-E596)/Span_P,"")</f>
        <v>0.570720517617096</v>
      </c>
      <c r="AJ596" s="13" t="n">
        <f aca="false">IF($J596=1,(Ideal_S-F596)/Span_S,"")</f>
        <v>0.225806451612903</v>
      </c>
      <c r="AK596" s="13" t="n">
        <f aca="false">IF($J596=1,(Ideal_B-G596)/Span_B,"")</f>
        <v>0.0866666666666667</v>
      </c>
      <c r="AL596" s="12" t="n">
        <f aca="false">IF($J596=1,MAX(ChA_1*AI596,ChA_2*AJ596,ChA_3*AK596)+Rho*(ChA_1*AI596+ChA_2*AJ596+ChA_3*AK596),"")</f>
        <v>0.570808836980686</v>
      </c>
      <c r="AM596" s="12" t="n">
        <f aca="false">IF($J596=1,MAX(ChB_1*AI596,ChB_2*AJ596,ChB_3*AK596)+Rho*(ChB_1*AI596+ChB_2*AJ596+ChB_3*AK596),"")</f>
        <v>1.14158642664954</v>
      </c>
      <c r="AN596" s="12" t="n">
        <f aca="false">IF($J596=1,MAX(Cx_1*(Ref_P-E596)/Span_P,Cx_2*(Ref_S-F596)/Span_S,Cx_3*(Ref_B-G596)/Span_B),"")</f>
        <v>1.45027570271897</v>
      </c>
    </row>
    <row r="597" customFormat="false" ht="15" hidden="false" customHeight="false" outlineLevel="0" collapsed="false">
      <c r="A597" s="2" t="n">
        <v>591</v>
      </c>
      <c r="B597" s="15" t="n">
        <f aca="false">INT(A597/151)</f>
        <v>3</v>
      </c>
      <c r="C597" s="15" t="n">
        <f aca="false">MOD(A597,151)</f>
        <v>138</v>
      </c>
      <c r="D597" s="15" t="n">
        <f aca="false">INDEX(Grid!$J$6:$P$156,C597+1,B597+1)</f>
        <v>1</v>
      </c>
      <c r="E597" s="16" t="n">
        <f aca="false">IF(D597=1,INDEX(Grid!$B$6:$H$156,C597+1,B597+1),"")</f>
        <v>176.597740636648</v>
      </c>
      <c r="F597" s="13" t="n">
        <f aca="false">Val_pt*(Ceiling_e-E_zero)*(1-(1-Half_gap)^B597)</f>
        <v>122.5</v>
      </c>
      <c r="G597" s="15" t="n">
        <f aca="false">C597</f>
        <v>138</v>
      </c>
      <c r="H597" s="15" t="n">
        <f aca="false">IF(D597=1,INDEX(Grid!$R$6:$X$156,C597+1,B597+1),"")</f>
        <v>44</v>
      </c>
      <c r="I597" s="2" t="str">
        <f aca="false">IF(D597=1,INDEX(Sch_label,H597+1),"")</f>
        <v>1, 3, 4</v>
      </c>
      <c r="J597" s="15" t="n">
        <f aca="false">IF(D597=1,INDEX(Grid!$Z$6:$AF$156,C597+1,B597+1),0)</f>
        <v>1</v>
      </c>
      <c r="K597" s="16" t="n">
        <f aca="false">IF(J597=1,E597,0)</f>
        <v>176.597740636648</v>
      </c>
      <c r="L597" s="17" t="n">
        <f aca="false">IF(D597=1,E597+W_board*F597,"")</f>
        <v>868.078304952525</v>
      </c>
      <c r="M597" s="24" t="n">
        <v>0</v>
      </c>
      <c r="Q597" s="24" t="n">
        <v>3</v>
      </c>
      <c r="R597" s="24" t="n">
        <v>100</v>
      </c>
      <c r="S597" s="25" t="n">
        <v>0.183373281077202</v>
      </c>
      <c r="T597" s="24" t="n">
        <v>3</v>
      </c>
      <c r="U597" s="24" t="n">
        <v>150</v>
      </c>
      <c r="V597" s="25" t="n">
        <v>0.775802805280775</v>
      </c>
      <c r="W597" s="24" t="n">
        <v>4</v>
      </c>
      <c r="X597" s="24" t="n">
        <v>100</v>
      </c>
      <c r="Y597" s="25" t="n">
        <v>0.04082391364202</v>
      </c>
      <c r="Z597" s="12" t="str">
        <f aca="false">IF(AND($J597=1,$M597=1),N597*E597/Span_P+O597*F597/Span_S+P597*G597/Span_B,"")</f>
        <v/>
      </c>
      <c r="AA597" s="12" t="str">
        <f aca="false">IF(AND($J597=1,$M597=1),SUMPRODUCT(MAX($J$6:$J$1062*(N597*$K$6:$K$1062/Span_P+O597*$F$6:$F$1062/Span_S+P597*$G$6:$G$1062/Span_B)-(1-$J$6:$J$1062)*1000000000)),"")</f>
        <v/>
      </c>
      <c r="AB597" s="15" t="str">
        <f aca="false">IF(AND($J597=1,$M597=1),IF(AA597-Z597&lt;=0.000000001,1,0),"")</f>
        <v/>
      </c>
      <c r="AC597" s="13" t="n">
        <f aca="false">IF(AND($J597=1,$M597=0),IF(S597="",0,S597*INDEX(Grid!$B$6:$H$156,R597+1,Q597+1))+IF(V597="",0,V597*INDEX(Grid!$B$6:$H$156,U597+1,T597+1))+IF(Y597="",0,Y597*INDEX(Grid!$B$6:$H$156,X597+1,W597+1)),"")</f>
        <v>178.505218659838</v>
      </c>
      <c r="AD597" s="13" t="n">
        <f aca="false">IF(AND($J597=1,$M597=0),IF(S597="",0,S597*Val_pt*(Ceiling_e-E_zero)*(1-(1-Half_gap)^Q597))+IF(V597="",0,V597*Val_pt*(Ceiling_e-E_zero)*(1-(1-Half_gap)^T597))+IF(Y597="",0,Y597*Val_pt*(Ceiling_e-E_zero)*(1-(1-Half_gap)^W597)),"")</f>
        <v>122.857209244367</v>
      </c>
      <c r="AE597" s="13" t="n">
        <f aca="false">IF(AND($J597=1,$M597=0),IF(S597="",0,S597*R597)+IF(V597="",0,V597*U597)+IF(Y597="",0,Y597*X597),"")</f>
        <v>138.790140264038</v>
      </c>
      <c r="AF597" s="12" t="n">
        <f aca="false">IF(AND($J597=1,$M597=0),MIN((AC597-E597)/Span_P,(AD597-F597)/Span_S,(AE597-G597)/Span_B),"")</f>
        <v>0.00526760176025486</v>
      </c>
      <c r="AG597" s="15" t="n">
        <f aca="false">IF(AND($J597=1,$M597=0),IF(AF597&gt;0.0000001,1,0),"")</f>
        <v>1</v>
      </c>
      <c r="AH597" s="15" t="n">
        <f aca="false">IF($J597=1,IF($M597=1,AB597,AG597),"")</f>
        <v>1</v>
      </c>
      <c r="AI597" s="13" t="n">
        <f aca="false">IF($J597=1,(Ideal_P-E597)/Span_P,"")</f>
        <v>0.573231020393402</v>
      </c>
      <c r="AJ597" s="13" t="n">
        <f aca="false">IF($J597=1,(Ideal_S-F597)/Span_S,"")</f>
        <v>0.225806451612903</v>
      </c>
      <c r="AK597" s="13" t="n">
        <f aca="false">IF($J597=1,(Ideal_B-G597)/Span_B,"")</f>
        <v>0.08</v>
      </c>
      <c r="AL597" s="12" t="n">
        <f aca="false">IF($J597=1,MAX(ChA_1*AI597,ChA_2*AJ597,ChA_3*AK597)+Rho*(ChA_1*AI597+ChA_2*AJ597+ChA_3*AK597),"")</f>
        <v>0.573318924140603</v>
      </c>
      <c r="AM597" s="12" t="n">
        <f aca="false">IF($J597=1,MAX(ChB_1*AI597,ChB_2*AJ597,ChB_3*AK597)+Rho*(ChB_1*AI597+ChB_2*AJ597+ChB_3*AK597),"")</f>
        <v>1.14660726763604</v>
      </c>
      <c r="AN597" s="12" t="n">
        <f aca="false">IF($J597=1,MAX(Cx_1*(Ref_P-E597)/Span_P,Cx_2*(Ref_S-F597)/Span_S,Cx_3*(Ref_B-G597)/Span_B),"")</f>
        <v>1.4565453644024</v>
      </c>
    </row>
    <row r="598" customFormat="false" ht="15" hidden="false" customHeight="false" outlineLevel="0" collapsed="false">
      <c r="A598" s="2" t="n">
        <v>592</v>
      </c>
      <c r="B598" s="15" t="n">
        <f aca="false">INT(A598/151)</f>
        <v>3</v>
      </c>
      <c r="C598" s="15" t="n">
        <f aca="false">MOD(A598,151)</f>
        <v>139</v>
      </c>
      <c r="D598" s="15" t="n">
        <f aca="false">INDEX(Grid!$J$6:$P$156,C598+1,B598+1)</f>
        <v>1</v>
      </c>
      <c r="E598" s="16" t="n">
        <f aca="false">IF(D598=1,INDEX(Grid!$B$6:$H$156,C598+1,B598+1),"")</f>
        <v>175.688649727557</v>
      </c>
      <c r="F598" s="13" t="n">
        <f aca="false">Val_pt*(Ceiling_e-E_zero)*(1-(1-Half_gap)^B598)</f>
        <v>122.5</v>
      </c>
      <c r="G598" s="15" t="n">
        <f aca="false">C598</f>
        <v>139</v>
      </c>
      <c r="H598" s="15" t="n">
        <f aca="false">IF(D598=1,INDEX(Grid!$R$6:$X$156,C598+1,B598+1),"")</f>
        <v>44</v>
      </c>
      <c r="I598" s="2" t="str">
        <f aca="false">IF(D598=1,INDEX(Sch_label,H598+1),"")</f>
        <v>1, 3, 4</v>
      </c>
      <c r="J598" s="15" t="n">
        <f aca="false">IF(D598=1,INDEX(Grid!$Z$6:$AF$156,C598+1,B598+1),0)</f>
        <v>1</v>
      </c>
      <c r="K598" s="16" t="n">
        <f aca="false">IF(J598=1,E598,0)</f>
        <v>175.688649727557</v>
      </c>
      <c r="L598" s="17" t="n">
        <f aca="false">IF(D598=1,E598+W_board*F598,"")</f>
        <v>867.169214043434</v>
      </c>
      <c r="M598" s="24" t="n">
        <v>0</v>
      </c>
      <c r="Q598" s="24" t="n">
        <v>3</v>
      </c>
      <c r="R598" s="24" t="n">
        <v>100</v>
      </c>
      <c r="S598" s="25" t="n">
        <v>0.168092174320768</v>
      </c>
      <c r="T598" s="24" t="n">
        <v>3</v>
      </c>
      <c r="U598" s="24" t="n">
        <v>150</v>
      </c>
      <c r="V598" s="25" t="n">
        <v>0.79448590484071</v>
      </c>
      <c r="W598" s="24" t="n">
        <v>4</v>
      </c>
      <c r="X598" s="24" t="n">
        <v>100</v>
      </c>
      <c r="Y598" s="25" t="n">
        <v>0.0374219208385193</v>
      </c>
      <c r="Z598" s="12" t="str">
        <f aca="false">IF(AND($J598=1,$M598=1),N598*E598/Span_P+O598*F598/Span_S+P598*G598/Span_B,"")</f>
        <v/>
      </c>
      <c r="AA598" s="12" t="str">
        <f aca="false">IF(AND($J598=1,$M598=1),SUMPRODUCT(MAX($J$6:$J$1062*(N598*$K$6:$K$1062/Span_P+O598*$F$6:$F$1062/Span_S+P598*$G$6:$G$1062/Span_B)-(1-$J$6:$J$1062)*1000000000)),"")</f>
        <v/>
      </c>
      <c r="AB598" s="15" t="str">
        <f aca="false">IF(AND($J598=1,$M598=1),IF(AA598-Z598&lt;=0.000000001,1,0),"")</f>
        <v/>
      </c>
      <c r="AC598" s="13" t="n">
        <f aca="false">IF(AND($J598=1,$M598=0),IF(S598="",0,S598*INDEX(Grid!$B$6:$H$156,R598+1,Q598+1))+IF(V598="",0,V598*INDEX(Grid!$B$6:$H$156,U598+1,T598+1))+IF(Y598="",0,Y598*INDEX(Grid!$B$6:$H$156,X598+1,W598+1)),"")</f>
        <v>177.437171248814</v>
      </c>
      <c r="AD598" s="13" t="n">
        <f aca="false">IF(AND($J598=1,$M598=0),IF(S598="",0,S598*Val_pt*(Ceiling_e-E_zero)*(1-(1-Half_gap)^Q598))+IF(V598="",0,V598*Val_pt*(Ceiling_e-E_zero)*(1-(1-Half_gap)^T598))+IF(Y598="",0,Y598*Val_pt*(Ceiling_e-E_zero)*(1-(1-Half_gap)^W598)),"")</f>
        <v>122.827441807337</v>
      </c>
      <c r="AE598" s="13" t="n">
        <f aca="false">IF(AND($J598=1,$M598=0),IF(S598="",0,S598*R598)+IF(V598="",0,V598*U598)+IF(Y598="",0,Y598*X598),"")</f>
        <v>139.724295242035</v>
      </c>
      <c r="AF598" s="12" t="n">
        <f aca="false">IF(AND($J598=1,$M598=0),MIN((AC598-E598)/Span_P,(AD598-F598)/Span_S,(AE598-G598)/Span_B),"")</f>
        <v>0.00482863494689914</v>
      </c>
      <c r="AG598" s="15" t="n">
        <f aca="false">IF(AND($J598=1,$M598=0),IF(AF598&gt;0.0000001,1,0),"")</f>
        <v>1</v>
      </c>
      <c r="AH598" s="15" t="n">
        <f aca="false">IF($J598=1,IF($M598=1,AB598,AG598),"")</f>
        <v>1</v>
      </c>
      <c r="AI598" s="13" t="n">
        <f aca="false">IF($J598=1,(Ideal_P-E598)/Span_P,"")</f>
        <v>0.575741523169708</v>
      </c>
      <c r="AJ598" s="13" t="n">
        <f aca="false">IF($J598=1,(Ideal_S-F598)/Span_S,"")</f>
        <v>0.225806451612903</v>
      </c>
      <c r="AK598" s="13" t="n">
        <f aca="false">IF($J598=1,(Ideal_B-G598)/Span_B,"")</f>
        <v>0.0733333333333333</v>
      </c>
      <c r="AL598" s="12" t="n">
        <f aca="false">IF($J598=1,MAX(ChA_1*AI598,ChA_2*AJ598,ChA_3*AK598)+Rho*(ChA_1*AI598+ChA_2*AJ598+ChA_3*AK598),"")</f>
        <v>0.575829011300519</v>
      </c>
      <c r="AM598" s="12" t="n">
        <f aca="false">IF($J598=1,MAX(ChB_1*AI598,ChB_2*AJ598,ChB_3*AK598)+Rho*(ChB_1*AI598+ChB_2*AJ598+ChB_3*AK598),"")</f>
        <v>1.15162810862254</v>
      </c>
      <c r="AN598" s="12" t="n">
        <f aca="false">IF($J598=1,MAX(Cx_1*(Ref_P-E598)/Span_P,Cx_2*(Ref_S-F598)/Span_S,Cx_3*(Ref_B-G598)/Span_B),"")</f>
        <v>1.46281502608583</v>
      </c>
    </row>
    <row r="599" customFormat="false" ht="15" hidden="false" customHeight="false" outlineLevel="0" collapsed="false">
      <c r="A599" s="2" t="n">
        <v>593</v>
      </c>
      <c r="B599" s="15" t="n">
        <f aca="false">INT(A599/151)</f>
        <v>3</v>
      </c>
      <c r="C599" s="15" t="n">
        <f aca="false">MOD(A599,151)</f>
        <v>140</v>
      </c>
      <c r="D599" s="15" t="n">
        <f aca="false">INDEX(Grid!$J$6:$P$156,C599+1,B599+1)</f>
        <v>1</v>
      </c>
      <c r="E599" s="16" t="n">
        <f aca="false">IF(D599=1,INDEX(Grid!$B$6:$H$156,C599+1,B599+1),"")</f>
        <v>174.779558818466</v>
      </c>
      <c r="F599" s="13" t="n">
        <f aca="false">Val_pt*(Ceiling_e-E_zero)*(1-(1-Half_gap)^B599)</f>
        <v>122.5</v>
      </c>
      <c r="G599" s="15" t="n">
        <f aca="false">C599</f>
        <v>140</v>
      </c>
      <c r="H599" s="15" t="n">
        <f aca="false">IF(D599=1,INDEX(Grid!$R$6:$X$156,C599+1,B599+1),"")</f>
        <v>44</v>
      </c>
      <c r="I599" s="2" t="str">
        <f aca="false">IF(D599=1,INDEX(Sch_label,H599+1),"")</f>
        <v>1, 3, 4</v>
      </c>
      <c r="J599" s="15" t="n">
        <f aca="false">IF(D599=1,INDEX(Grid!$Z$6:$AF$156,C599+1,B599+1),0)</f>
        <v>1</v>
      </c>
      <c r="K599" s="16" t="n">
        <f aca="false">IF(J599=1,E599,0)</f>
        <v>174.779558818466</v>
      </c>
      <c r="L599" s="17" t="n">
        <f aca="false">IF(D599=1,E599+W_board*F599,"")</f>
        <v>866.260123134343</v>
      </c>
      <c r="M599" s="24" t="n">
        <v>0</v>
      </c>
      <c r="Q599" s="24" t="n">
        <v>3</v>
      </c>
      <c r="R599" s="24" t="n">
        <v>100</v>
      </c>
      <c r="S599" s="25" t="n">
        <v>0.152811067564341</v>
      </c>
      <c r="T599" s="24" t="n">
        <v>3</v>
      </c>
      <c r="U599" s="24" t="n">
        <v>150</v>
      </c>
      <c r="V599" s="25" t="n">
        <v>0.813169004400651</v>
      </c>
      <c r="W599" s="24" t="n">
        <v>4</v>
      </c>
      <c r="X599" s="24" t="n">
        <v>100</v>
      </c>
      <c r="Y599" s="25" t="n">
        <v>0.0340199280350094</v>
      </c>
      <c r="Z599" s="12" t="str">
        <f aca="false">IF(AND($J599=1,$M599=1),N599*E599/Span_P+O599*F599/Span_S+P599*G599/Span_B,"")</f>
        <v/>
      </c>
      <c r="AA599" s="12" t="str">
        <f aca="false">IF(AND($J599=1,$M599=1),SUMPRODUCT(MAX($J$6:$J$1062*(N599*$K$6:$K$1062/Span_P+O599*$F$6:$F$1062/Span_S+P599*$G$6:$G$1062/Span_B)-(1-$J$6:$J$1062)*1000000000)),"")</f>
        <v/>
      </c>
      <c r="AB599" s="15" t="str">
        <f aca="false">IF(AND($J599=1,$M599=1),IF(AA599-Z599&lt;=0.000000001,1,0),"")</f>
        <v/>
      </c>
      <c r="AC599" s="13" t="n">
        <f aca="false">IF(AND($J599=1,$M599=0),IF(S599="",0,S599*INDEX(Grid!$B$6:$H$156,R599+1,Q599+1))+IF(V599="",0,V599*INDEX(Grid!$B$6:$H$156,U599+1,T599+1))+IF(Y599="",0,Y599*INDEX(Grid!$B$6:$H$156,X599+1,W599+1)),"")</f>
        <v>176.369123837792</v>
      </c>
      <c r="AD599" s="13" t="n">
        <f aca="false">IF(AND($J599=1,$M599=0),IF(S599="",0,S599*Val_pt*(Ceiling_e-E_zero)*(1-(1-Half_gap)^Q599))+IF(V599="",0,V599*Val_pt*(Ceiling_e-E_zero)*(1-(1-Half_gap)^T599))+IF(Y599="",0,Y599*Val_pt*(Ceiling_e-E_zero)*(1-(1-Half_gap)^W599)),"")</f>
        <v>122.797674370307</v>
      </c>
      <c r="AE599" s="13" t="n">
        <f aca="false">IF(AND($J599=1,$M599=0),IF(S599="",0,S599*R599)+IF(V599="",0,V599*U599)+IF(Y599="",0,Y599*X599),"")</f>
        <v>140.658450220033</v>
      </c>
      <c r="AF599" s="12" t="n">
        <f aca="false">IF(AND($J599=1,$M599=0),MIN((AC599-E599)/Span_P,(AD599-F599)/Span_S,(AE599-G599)/Span_B),"")</f>
        <v>0.00438966813355094</v>
      </c>
      <c r="AG599" s="15" t="n">
        <f aca="false">IF(AND($J599=1,$M599=0),IF(AF599&gt;0.0000001,1,0),"")</f>
        <v>1</v>
      </c>
      <c r="AH599" s="15" t="n">
        <f aca="false">IF($J599=1,IF($M599=1,AB599,AG599),"")</f>
        <v>1</v>
      </c>
      <c r="AI599" s="13" t="n">
        <f aca="false">IF($J599=1,(Ideal_P-E599)/Span_P,"")</f>
        <v>0.578252025946014</v>
      </c>
      <c r="AJ599" s="13" t="n">
        <f aca="false">IF($J599=1,(Ideal_S-F599)/Span_S,"")</f>
        <v>0.225806451612903</v>
      </c>
      <c r="AK599" s="13" t="n">
        <f aca="false">IF($J599=1,(Ideal_B-G599)/Span_B,"")</f>
        <v>0.0666666666666667</v>
      </c>
      <c r="AL599" s="12" t="n">
        <f aca="false">IF($J599=1,MAX(ChA_1*AI599,ChA_2*AJ599,ChA_3*AK599)+Rho*(ChA_1*AI599+ChA_2*AJ599+ChA_3*AK599),"")</f>
        <v>0.578339098460436</v>
      </c>
      <c r="AM599" s="12" t="n">
        <f aca="false">IF($J599=1,MAX(ChB_1*AI599,ChB_2*AJ599,ChB_3*AK599)+Rho*(ChB_1*AI599+ChB_2*AJ599+ChB_3*AK599),"")</f>
        <v>1.15664894960904</v>
      </c>
      <c r="AN599" s="12" t="n">
        <f aca="false">IF($J599=1,MAX(Cx_1*(Ref_P-E599)/Span_P,Cx_2*(Ref_S-F599)/Span_S,Cx_3*(Ref_B-G599)/Span_B),"")</f>
        <v>1.46908468776925</v>
      </c>
    </row>
    <row r="600" customFormat="false" ht="15" hidden="false" customHeight="false" outlineLevel="0" collapsed="false">
      <c r="A600" s="2" t="n">
        <v>594</v>
      </c>
      <c r="B600" s="15" t="n">
        <f aca="false">INT(A600/151)</f>
        <v>3</v>
      </c>
      <c r="C600" s="15" t="n">
        <f aca="false">MOD(A600,151)</f>
        <v>141</v>
      </c>
      <c r="D600" s="15" t="n">
        <f aca="false">INDEX(Grid!$J$6:$P$156,C600+1,B600+1)</f>
        <v>1</v>
      </c>
      <c r="E600" s="16" t="n">
        <f aca="false">IF(D600=1,INDEX(Grid!$B$6:$H$156,C600+1,B600+1),"")</f>
        <v>173.870467909375</v>
      </c>
      <c r="F600" s="13" t="n">
        <f aca="false">Val_pt*(Ceiling_e-E_zero)*(1-(1-Half_gap)^B600)</f>
        <v>122.5</v>
      </c>
      <c r="G600" s="15" t="n">
        <f aca="false">C600</f>
        <v>141</v>
      </c>
      <c r="H600" s="15" t="n">
        <f aca="false">IF(D600=1,INDEX(Grid!$R$6:$X$156,C600+1,B600+1),"")</f>
        <v>44</v>
      </c>
      <c r="I600" s="2" t="str">
        <f aca="false">IF(D600=1,INDEX(Sch_label,H600+1),"")</f>
        <v>1, 3, 4</v>
      </c>
      <c r="J600" s="15" t="n">
        <f aca="false">IF(D600=1,INDEX(Grid!$Z$6:$AF$156,C600+1,B600+1),0)</f>
        <v>1</v>
      </c>
      <c r="K600" s="16" t="n">
        <f aca="false">IF(J600=1,E600,0)</f>
        <v>173.870467909375</v>
      </c>
      <c r="L600" s="17" t="n">
        <f aca="false">IF(D600=1,E600+W_board*F600,"")</f>
        <v>865.351032225252</v>
      </c>
      <c r="M600" s="24" t="n">
        <v>0</v>
      </c>
      <c r="Q600" s="24" t="n">
        <v>3</v>
      </c>
      <c r="R600" s="24" t="n">
        <v>100</v>
      </c>
      <c r="S600" s="25" t="n">
        <v>0.137529960807905</v>
      </c>
      <c r="T600" s="24" t="n">
        <v>3</v>
      </c>
      <c r="U600" s="24" t="n">
        <v>150</v>
      </c>
      <c r="V600" s="25" t="n">
        <v>0.831852103960585</v>
      </c>
      <c r="W600" s="24" t="n">
        <v>4</v>
      </c>
      <c r="X600" s="24" t="n">
        <v>100</v>
      </c>
      <c r="Y600" s="25" t="n">
        <v>0.0306179352315099</v>
      </c>
      <c r="Z600" s="12" t="str">
        <f aca="false">IF(AND($J600=1,$M600=1),N600*E600/Span_P+O600*F600/Span_S+P600*G600/Span_B,"")</f>
        <v/>
      </c>
      <c r="AA600" s="12" t="str">
        <f aca="false">IF(AND($J600=1,$M600=1),SUMPRODUCT(MAX($J$6:$J$1062*(N600*$K$6:$K$1062/Span_P+O600*$F$6:$F$1062/Span_S+P600*$G$6:$G$1062/Span_B)-(1-$J$6:$J$1062)*1000000000)),"")</f>
        <v/>
      </c>
      <c r="AB600" s="15" t="str">
        <f aca="false">IF(AND($J600=1,$M600=1),IF(AA600-Z600&lt;=0.000000001,1,0),"")</f>
        <v/>
      </c>
      <c r="AC600" s="13" t="n">
        <f aca="false">IF(AND($J600=1,$M600=0),IF(S600="",0,S600*INDEX(Grid!$B$6:$H$156,R600+1,Q600+1))+IF(V600="",0,V600*INDEX(Grid!$B$6:$H$156,U600+1,T600+1))+IF(Y600="",0,Y600*INDEX(Grid!$B$6:$H$156,X600+1,W600+1)),"")</f>
        <v>175.301076426768</v>
      </c>
      <c r="AD600" s="13" t="n">
        <f aca="false">IF(AND($J600=1,$M600=0),IF(S600="",0,S600*Val_pt*(Ceiling_e-E_zero)*(1-(1-Half_gap)^Q600))+IF(V600="",0,V600*Val_pt*(Ceiling_e-E_zero)*(1-(1-Half_gap)^T600))+IF(Y600="",0,Y600*Val_pt*(Ceiling_e-E_zero)*(1-(1-Half_gap)^W600)),"")</f>
        <v>122.767906933276</v>
      </c>
      <c r="AE600" s="13" t="n">
        <f aca="false">IF(AND($J600=1,$M600=0),IF(S600="",0,S600*R600)+IF(V600="",0,V600*U600)+IF(Y600="",0,Y600*X600),"")</f>
        <v>141.592605198029</v>
      </c>
      <c r="AF600" s="12" t="n">
        <f aca="false">IF(AND($J600=1,$M600=0),MIN((AC600-E600)/Span_P,(AD600-F600)/Span_S,(AE600-G600)/Span_B),"")</f>
        <v>0.00395070132019498</v>
      </c>
      <c r="AG600" s="15" t="n">
        <f aca="false">IF(AND($J600=1,$M600=0),IF(AF600&gt;0.0000001,1,0),"")</f>
        <v>1</v>
      </c>
      <c r="AH600" s="15" t="n">
        <f aca="false">IF($J600=1,IF($M600=1,AB600,AG600),"")</f>
        <v>1</v>
      </c>
      <c r="AI600" s="13" t="n">
        <f aca="false">IF($J600=1,(Ideal_P-E600)/Span_P,"")</f>
        <v>0.580762528722319</v>
      </c>
      <c r="AJ600" s="13" t="n">
        <f aca="false">IF($J600=1,(Ideal_S-F600)/Span_S,"")</f>
        <v>0.225806451612903</v>
      </c>
      <c r="AK600" s="13" t="n">
        <f aca="false">IF($J600=1,(Ideal_B-G600)/Span_B,"")</f>
        <v>0.06</v>
      </c>
      <c r="AL600" s="12" t="n">
        <f aca="false">IF($J600=1,MAX(ChA_1*AI600,ChA_2*AJ600,ChA_3*AK600)+Rho*(ChA_1*AI600+ChA_2*AJ600+ChA_3*AK600),"")</f>
        <v>0.580849185620353</v>
      </c>
      <c r="AM600" s="12" t="n">
        <f aca="false">IF($J600=1,MAX(ChB_1*AI600,ChB_2*AJ600,ChB_3*AK600)+Rho*(ChB_1*AI600+ChB_2*AJ600+ChB_3*AK600),"")</f>
        <v>1.16166979059554</v>
      </c>
      <c r="AN600" s="12" t="n">
        <f aca="false">IF($J600=1,MAX(Cx_1*(Ref_P-E600)/Span_P,Cx_2*(Ref_S-F600)/Span_S,Cx_3*(Ref_B-G600)/Span_B),"")</f>
        <v>1.47535434945268</v>
      </c>
    </row>
    <row r="601" customFormat="false" ht="15" hidden="false" customHeight="false" outlineLevel="0" collapsed="false">
      <c r="A601" s="2" t="n">
        <v>595</v>
      </c>
      <c r="B601" s="15" t="n">
        <f aca="false">INT(A601/151)</f>
        <v>3</v>
      </c>
      <c r="C601" s="15" t="n">
        <f aca="false">MOD(A601,151)</f>
        <v>142</v>
      </c>
      <c r="D601" s="15" t="n">
        <f aca="false">INDEX(Grid!$J$6:$P$156,C601+1,B601+1)</f>
        <v>1</v>
      </c>
      <c r="E601" s="16" t="n">
        <f aca="false">IF(D601=1,INDEX(Grid!$B$6:$H$156,C601+1,B601+1),"")</f>
        <v>172.961377000284</v>
      </c>
      <c r="F601" s="13" t="n">
        <f aca="false">Val_pt*(Ceiling_e-E_zero)*(1-(1-Half_gap)^B601)</f>
        <v>122.5</v>
      </c>
      <c r="G601" s="15" t="n">
        <f aca="false">C601</f>
        <v>142</v>
      </c>
      <c r="H601" s="15" t="n">
        <f aca="false">IF(D601=1,INDEX(Grid!$R$6:$X$156,C601+1,B601+1),"")</f>
        <v>44</v>
      </c>
      <c r="I601" s="2" t="str">
        <f aca="false">IF(D601=1,INDEX(Sch_label,H601+1),"")</f>
        <v>1, 3, 4</v>
      </c>
      <c r="J601" s="15" t="n">
        <f aca="false">IF(D601=1,INDEX(Grid!$Z$6:$AF$156,C601+1,B601+1),0)</f>
        <v>1</v>
      </c>
      <c r="K601" s="16" t="n">
        <f aca="false">IF(J601=1,E601,0)</f>
        <v>172.961377000284</v>
      </c>
      <c r="L601" s="17" t="n">
        <f aca="false">IF(D601=1,E601+W_board*F601,"")</f>
        <v>864.441941316161</v>
      </c>
      <c r="M601" s="24" t="n">
        <v>0</v>
      </c>
      <c r="Q601" s="24" t="n">
        <v>3</v>
      </c>
      <c r="R601" s="24" t="n">
        <v>100</v>
      </c>
      <c r="S601" s="25" t="n">
        <v>0.122248854051472</v>
      </c>
      <c r="T601" s="24" t="n">
        <v>3</v>
      </c>
      <c r="U601" s="24" t="n">
        <v>150</v>
      </c>
      <c r="V601" s="25" t="n">
        <v>0.850535203520521</v>
      </c>
      <c r="W601" s="24" t="n">
        <v>4</v>
      </c>
      <c r="X601" s="24" t="n">
        <v>100</v>
      </c>
      <c r="Y601" s="25" t="n">
        <v>0.0272159424280084</v>
      </c>
      <c r="Z601" s="12" t="str">
        <f aca="false">IF(AND($J601=1,$M601=1),N601*E601/Span_P+O601*F601/Span_S+P601*G601/Span_B,"")</f>
        <v/>
      </c>
      <c r="AA601" s="12" t="str">
        <f aca="false">IF(AND($J601=1,$M601=1),SUMPRODUCT(MAX($J$6:$J$1062*(N601*$K$6:$K$1062/Span_P+O601*$F$6:$F$1062/Span_S+P601*$G$6:$G$1062/Span_B)-(1-$J$6:$J$1062)*1000000000)),"")</f>
        <v/>
      </c>
      <c r="AB601" s="15" t="str">
        <f aca="false">IF(AND($J601=1,$M601=1),IF(AA601-Z601&lt;=0.000000001,1,0),"")</f>
        <v/>
      </c>
      <c r="AC601" s="13" t="n">
        <f aca="false">IF(AND($J601=1,$M601=0),IF(S601="",0,S601*INDEX(Grid!$B$6:$H$156,R601+1,Q601+1))+IF(V601="",0,V601*INDEX(Grid!$B$6:$H$156,U601+1,T601+1))+IF(Y601="",0,Y601*INDEX(Grid!$B$6:$H$156,X601+1,W601+1)),"")</f>
        <v>174.233029015745</v>
      </c>
      <c r="AD601" s="13" t="n">
        <f aca="false">IF(AND($J601=1,$M601=0),IF(S601="",0,S601*Val_pt*(Ceiling_e-E_zero)*(1-(1-Half_gap)^Q601))+IF(V601="",0,V601*Val_pt*(Ceiling_e-E_zero)*(1-(1-Half_gap)^T601))+IF(Y601="",0,Y601*Val_pt*(Ceiling_e-E_zero)*(1-(1-Half_gap)^W601)),"")</f>
        <v>122.738139496245</v>
      </c>
      <c r="AE601" s="13" t="n">
        <f aca="false">IF(AND($J601=1,$M601=0),IF(S601="",0,S601*R601)+IF(V601="",0,V601*U601)+IF(Y601="",0,Y601*X601),"")</f>
        <v>142.526760176026</v>
      </c>
      <c r="AF601" s="12" t="n">
        <f aca="false">IF(AND($J601=1,$M601=0),MIN((AC601-E601)/Span_P,(AD601-F601)/Span_S,(AE601-G601)/Span_B),"")</f>
        <v>0.00351173450684048</v>
      </c>
      <c r="AG601" s="15" t="n">
        <f aca="false">IF(AND($J601=1,$M601=0),IF(AF601&gt;0.0000001,1,0),"")</f>
        <v>1</v>
      </c>
      <c r="AH601" s="15" t="n">
        <f aca="false">IF($J601=1,IF($M601=1,AB601,AG601),"")</f>
        <v>1</v>
      </c>
      <c r="AI601" s="13" t="n">
        <f aca="false">IF($J601=1,(Ideal_P-E601)/Span_P,"")</f>
        <v>0.583273031498625</v>
      </c>
      <c r="AJ601" s="13" t="n">
        <f aca="false">IF($J601=1,(Ideal_S-F601)/Span_S,"")</f>
        <v>0.225806451612903</v>
      </c>
      <c r="AK601" s="13" t="n">
        <f aca="false">IF($J601=1,(Ideal_B-G601)/Span_B,"")</f>
        <v>0.0533333333333333</v>
      </c>
      <c r="AL601" s="12" t="n">
        <f aca="false">IF($J601=1,MAX(ChA_1*AI601,ChA_2*AJ601,ChA_3*AK601)+Rho*(ChA_1*AI601+ChA_2*AJ601+ChA_3*AK601),"")</f>
        <v>0.58335927278027</v>
      </c>
      <c r="AM601" s="12" t="n">
        <f aca="false">IF($J601=1,MAX(ChB_1*AI601,ChB_2*AJ601,ChB_3*AK601)+Rho*(ChB_1*AI601+ChB_2*AJ601+ChB_3*AK601),"")</f>
        <v>1.16669063158204</v>
      </c>
      <c r="AN601" s="12" t="n">
        <f aca="false">IF($J601=1,MAX(Cx_1*(Ref_P-E601)/Span_P,Cx_2*(Ref_S-F601)/Span_S,Cx_3*(Ref_B-G601)/Span_B),"")</f>
        <v>1.48162401113611</v>
      </c>
    </row>
    <row r="602" customFormat="false" ht="15" hidden="false" customHeight="false" outlineLevel="0" collapsed="false">
      <c r="A602" s="2" t="n">
        <v>596</v>
      </c>
      <c r="B602" s="15" t="n">
        <f aca="false">INT(A602/151)</f>
        <v>3</v>
      </c>
      <c r="C602" s="15" t="n">
        <f aca="false">MOD(A602,151)</f>
        <v>143</v>
      </c>
      <c r="D602" s="15" t="n">
        <f aca="false">INDEX(Grid!$J$6:$P$156,C602+1,B602+1)</f>
        <v>1</v>
      </c>
      <c r="E602" s="16" t="n">
        <f aca="false">IF(D602=1,INDEX(Grid!$B$6:$H$156,C602+1,B602+1),"")</f>
        <v>172.052286091193</v>
      </c>
      <c r="F602" s="13" t="n">
        <f aca="false">Val_pt*(Ceiling_e-E_zero)*(1-(1-Half_gap)^B602)</f>
        <v>122.5</v>
      </c>
      <c r="G602" s="15" t="n">
        <f aca="false">C602</f>
        <v>143</v>
      </c>
      <c r="H602" s="15" t="n">
        <f aca="false">IF(D602=1,INDEX(Grid!$R$6:$X$156,C602+1,B602+1),"")</f>
        <v>44</v>
      </c>
      <c r="I602" s="2" t="str">
        <f aca="false">IF(D602=1,INDEX(Sch_label,H602+1),"")</f>
        <v>1, 3, 4</v>
      </c>
      <c r="J602" s="15" t="n">
        <f aca="false">IF(D602=1,INDEX(Grid!$Z$6:$AF$156,C602+1,B602+1),0)</f>
        <v>1</v>
      </c>
      <c r="K602" s="16" t="n">
        <f aca="false">IF(J602=1,E602,0)</f>
        <v>172.052286091193</v>
      </c>
      <c r="L602" s="17" t="n">
        <f aca="false">IF(D602=1,E602+W_board*F602,"")</f>
        <v>863.53285040707</v>
      </c>
      <c r="M602" s="24" t="n">
        <v>0</v>
      </c>
      <c r="Q602" s="24" t="n">
        <v>3</v>
      </c>
      <c r="R602" s="24" t="n">
        <v>100</v>
      </c>
      <c r="S602" s="25" t="n">
        <v>0.106967747295038</v>
      </c>
      <c r="T602" s="24" t="n">
        <v>3</v>
      </c>
      <c r="U602" s="24" t="n">
        <v>150</v>
      </c>
      <c r="V602" s="25" t="n">
        <v>0.869218303080456</v>
      </c>
      <c r="W602" s="24" t="n">
        <v>4</v>
      </c>
      <c r="X602" s="24" t="n">
        <v>100</v>
      </c>
      <c r="Y602" s="25" t="n">
        <v>0.023813949624507</v>
      </c>
      <c r="Z602" s="12" t="str">
        <f aca="false">IF(AND($J602=1,$M602=1),N602*E602/Span_P+O602*F602/Span_S+P602*G602/Span_B,"")</f>
        <v/>
      </c>
      <c r="AA602" s="12" t="str">
        <f aca="false">IF(AND($J602=1,$M602=1),SUMPRODUCT(MAX($J$6:$J$1062*(N602*$K$6:$K$1062/Span_P+O602*$F$6:$F$1062/Span_S+P602*$G$6:$G$1062/Span_B)-(1-$J$6:$J$1062)*1000000000)),"")</f>
        <v/>
      </c>
      <c r="AB602" s="15" t="str">
        <f aca="false">IF(AND($J602=1,$M602=1),IF(AA602-Z602&lt;=0.000000001,1,0),"")</f>
        <v/>
      </c>
      <c r="AC602" s="13" t="n">
        <f aca="false">IF(AND($J602=1,$M602=0),IF(S602="",0,S602*INDEX(Grid!$B$6:$H$156,R602+1,Q602+1))+IF(V602="",0,V602*INDEX(Grid!$B$6:$H$156,U602+1,T602+1))+IF(Y602="",0,Y602*INDEX(Grid!$B$6:$H$156,X602+1,W602+1)),"")</f>
        <v>173.164981604721</v>
      </c>
      <c r="AD602" s="13" t="n">
        <f aca="false">IF(AND($J602=1,$M602=0),IF(S602="",0,S602*Val_pt*(Ceiling_e-E_zero)*(1-(1-Half_gap)^Q602))+IF(V602="",0,V602*Val_pt*(Ceiling_e-E_zero)*(1-(1-Half_gap)^T602))+IF(Y602="",0,Y602*Val_pt*(Ceiling_e-E_zero)*(1-(1-Half_gap)^W602)),"")</f>
        <v>122.708372059215</v>
      </c>
      <c r="AE602" s="13" t="n">
        <f aca="false">IF(AND($J602=1,$M602=0),IF(S602="",0,S602*R602)+IF(V602="",0,V602*U602)+IF(Y602="",0,Y602*X602),"")</f>
        <v>143.460915154023</v>
      </c>
      <c r="AF602" s="12" t="n">
        <f aca="false">IF(AND($J602=1,$M602=0),MIN((AC602-E602)/Span_P,(AD602-F602)/Span_S,(AE602-G602)/Span_B),"")</f>
        <v>0.00307276769348537</v>
      </c>
      <c r="AG602" s="15" t="n">
        <f aca="false">IF(AND($J602=1,$M602=0),IF(AF602&gt;0.0000001,1,0),"")</f>
        <v>1</v>
      </c>
      <c r="AH602" s="15" t="n">
        <f aca="false">IF($J602=1,IF($M602=1,AB602,AG602),"")</f>
        <v>1</v>
      </c>
      <c r="AI602" s="13" t="n">
        <f aca="false">IF($J602=1,(Ideal_P-E602)/Span_P,"")</f>
        <v>0.585783534274931</v>
      </c>
      <c r="AJ602" s="13" t="n">
        <f aca="false">IF($J602=1,(Ideal_S-F602)/Span_S,"")</f>
        <v>0.225806451612903</v>
      </c>
      <c r="AK602" s="13" t="n">
        <f aca="false">IF($J602=1,(Ideal_B-G602)/Span_B,"")</f>
        <v>0.0466666666666667</v>
      </c>
      <c r="AL602" s="12" t="n">
        <f aca="false">IF($J602=1,MAX(ChA_1*AI602,ChA_2*AJ602,ChA_3*AK602)+Rho*(ChA_1*AI602+ChA_2*AJ602+ChA_3*AK602),"")</f>
        <v>0.585869359940186</v>
      </c>
      <c r="AM602" s="12" t="n">
        <f aca="false">IF($J602=1,MAX(ChB_1*AI602,ChB_2*AJ602,ChB_3*AK602)+Rho*(ChB_1*AI602+ChB_2*AJ602+ChB_3*AK602),"")</f>
        <v>1.17171147256854</v>
      </c>
      <c r="AN602" s="12" t="n">
        <f aca="false">IF($J602=1,MAX(Cx_1*(Ref_P-E602)/Span_P,Cx_2*(Ref_S-F602)/Span_S,Cx_3*(Ref_B-G602)/Span_B),"")</f>
        <v>1.48789367281954</v>
      </c>
    </row>
    <row r="603" customFormat="false" ht="15" hidden="false" customHeight="false" outlineLevel="0" collapsed="false">
      <c r="A603" s="2" t="n">
        <v>597</v>
      </c>
      <c r="B603" s="15" t="n">
        <f aca="false">INT(A603/151)</f>
        <v>3</v>
      </c>
      <c r="C603" s="15" t="n">
        <f aca="false">MOD(A603,151)</f>
        <v>144</v>
      </c>
      <c r="D603" s="15" t="n">
        <f aca="false">INDEX(Grid!$J$6:$P$156,C603+1,B603+1)</f>
        <v>1</v>
      </c>
      <c r="E603" s="16" t="n">
        <f aca="false">IF(D603=1,INDEX(Grid!$B$6:$H$156,C603+1,B603+1),"")</f>
        <v>171.143195182102</v>
      </c>
      <c r="F603" s="13" t="n">
        <f aca="false">Val_pt*(Ceiling_e-E_zero)*(1-(1-Half_gap)^B603)</f>
        <v>122.5</v>
      </c>
      <c r="G603" s="15" t="n">
        <f aca="false">C603</f>
        <v>144</v>
      </c>
      <c r="H603" s="15" t="n">
        <f aca="false">IF(D603=1,INDEX(Grid!$R$6:$X$156,C603+1,B603+1),"")</f>
        <v>44</v>
      </c>
      <c r="I603" s="2" t="str">
        <f aca="false">IF(D603=1,INDEX(Sch_label,H603+1),"")</f>
        <v>1, 3, 4</v>
      </c>
      <c r="J603" s="15" t="n">
        <f aca="false">IF(D603=1,INDEX(Grid!$Z$6:$AF$156,C603+1,B603+1),0)</f>
        <v>1</v>
      </c>
      <c r="K603" s="16" t="n">
        <f aca="false">IF(J603=1,E603,0)</f>
        <v>171.143195182102</v>
      </c>
      <c r="L603" s="17" t="n">
        <f aca="false">IF(D603=1,E603+W_board*F603,"")</f>
        <v>862.623759497979</v>
      </c>
      <c r="M603" s="24" t="n">
        <v>0</v>
      </c>
      <c r="Q603" s="24" t="n">
        <v>3</v>
      </c>
      <c r="R603" s="24" t="n">
        <v>100</v>
      </c>
      <c r="S603" s="25" t="n">
        <v>0.0916866405386051</v>
      </c>
      <c r="T603" s="24" t="n">
        <v>3</v>
      </c>
      <c r="U603" s="24" t="n">
        <v>150</v>
      </c>
      <c r="V603" s="25" t="n">
        <v>0.887901402640392</v>
      </c>
      <c r="W603" s="24" t="n">
        <v>4</v>
      </c>
      <c r="X603" s="24" t="n">
        <v>100</v>
      </c>
      <c r="Y603" s="25" t="n">
        <v>0.0204119568210048</v>
      </c>
      <c r="Z603" s="12" t="str">
        <f aca="false">IF(AND($J603=1,$M603=1),N603*E603/Span_P+O603*F603/Span_S+P603*G603/Span_B,"")</f>
        <v/>
      </c>
      <c r="AA603" s="12" t="str">
        <f aca="false">IF(AND($J603=1,$M603=1),SUMPRODUCT(MAX($J$6:$J$1062*(N603*$K$6:$K$1062/Span_P+O603*$F$6:$F$1062/Span_S+P603*$G$6:$G$1062/Span_B)-(1-$J$6:$J$1062)*1000000000)),"")</f>
        <v/>
      </c>
      <c r="AB603" s="15" t="str">
        <f aca="false">IF(AND($J603=1,$M603=1),IF(AA603-Z603&lt;=0.000000001,1,0),"")</f>
        <v/>
      </c>
      <c r="AC603" s="13" t="n">
        <f aca="false">IF(AND($J603=1,$M603=0),IF(S603="",0,S603*INDEX(Grid!$B$6:$H$156,R603+1,Q603+1))+IF(V603="",0,V603*INDEX(Grid!$B$6:$H$156,U603+1,T603+1))+IF(Y603="",0,Y603*INDEX(Grid!$B$6:$H$156,X603+1,W603+1)),"")</f>
        <v>172.096934193698</v>
      </c>
      <c r="AD603" s="13" t="n">
        <f aca="false">IF(AND($J603=1,$M603=0),IF(S603="",0,S603*Val_pt*(Ceiling_e-E_zero)*(1-(1-Half_gap)^Q603))+IF(V603="",0,V603*Val_pt*(Ceiling_e-E_zero)*(1-(1-Half_gap)^T603))+IF(Y603="",0,Y603*Val_pt*(Ceiling_e-E_zero)*(1-(1-Half_gap)^W603)),"")</f>
        <v>122.678604622184</v>
      </c>
      <c r="AE603" s="13" t="n">
        <f aca="false">IF(AND($J603=1,$M603=0),IF(S603="",0,S603*R603)+IF(V603="",0,V603*U603)+IF(Y603="",0,Y603*X603),"")</f>
        <v>144.39507013202</v>
      </c>
      <c r="AF603" s="12" t="n">
        <f aca="false">IF(AND($J603=1,$M603=0),MIN((AC603-E603)/Span_P,(AD603-F603)/Span_S,(AE603-G603)/Span_B),"")</f>
        <v>0.00263380088013105</v>
      </c>
      <c r="AG603" s="15" t="n">
        <f aca="false">IF(AND($J603=1,$M603=0),IF(AF603&gt;0.0000001,1,0),"")</f>
        <v>1</v>
      </c>
      <c r="AH603" s="15" t="n">
        <f aca="false">IF($J603=1,IF($M603=1,AB603,AG603),"")</f>
        <v>1</v>
      </c>
      <c r="AI603" s="13" t="n">
        <f aca="false">IF($J603=1,(Ideal_P-E603)/Span_P,"")</f>
        <v>0.588294037051237</v>
      </c>
      <c r="AJ603" s="13" t="n">
        <f aca="false">IF($J603=1,(Ideal_S-F603)/Span_S,"")</f>
        <v>0.225806451612903</v>
      </c>
      <c r="AK603" s="13" t="n">
        <f aca="false">IF($J603=1,(Ideal_B-G603)/Span_B,"")</f>
        <v>0.04</v>
      </c>
      <c r="AL603" s="12" t="n">
        <f aca="false">IF($J603=1,MAX(ChA_1*AI603,ChA_2*AJ603,ChA_3*AK603)+Rho*(ChA_1*AI603+ChA_2*AJ603+ChA_3*AK603),"")</f>
        <v>0.588379447100103</v>
      </c>
      <c r="AM603" s="12" t="n">
        <f aca="false">IF($J603=1,MAX(ChB_1*AI603,ChB_2*AJ603,ChB_3*AK603)+Rho*(ChB_1*AI603+ChB_2*AJ603+ChB_3*AK603),"")</f>
        <v>1.17673231355505</v>
      </c>
      <c r="AN603" s="12" t="n">
        <f aca="false">IF($J603=1,MAX(Cx_1*(Ref_P-E603)/Span_P,Cx_2*(Ref_S-F603)/Span_S,Cx_3*(Ref_B-G603)/Span_B),"")</f>
        <v>1.49416333450297</v>
      </c>
    </row>
    <row r="604" customFormat="false" ht="15" hidden="false" customHeight="false" outlineLevel="0" collapsed="false">
      <c r="A604" s="2" t="n">
        <v>598</v>
      </c>
      <c r="B604" s="15" t="n">
        <f aca="false">INT(A604/151)</f>
        <v>3</v>
      </c>
      <c r="C604" s="15" t="n">
        <f aca="false">MOD(A604,151)</f>
        <v>145</v>
      </c>
      <c r="D604" s="15" t="n">
        <f aca="false">INDEX(Grid!$J$6:$P$156,C604+1,B604+1)</f>
        <v>1</v>
      </c>
      <c r="E604" s="16" t="n">
        <f aca="false">IF(D604=1,INDEX(Grid!$B$6:$H$156,C604+1,B604+1),"")</f>
        <v>170.234104273011</v>
      </c>
      <c r="F604" s="13" t="n">
        <f aca="false">Val_pt*(Ceiling_e-E_zero)*(1-(1-Half_gap)^B604)</f>
        <v>122.5</v>
      </c>
      <c r="G604" s="15" t="n">
        <f aca="false">C604</f>
        <v>145</v>
      </c>
      <c r="H604" s="15" t="n">
        <f aca="false">IF(D604=1,INDEX(Grid!$R$6:$X$156,C604+1,B604+1),"")</f>
        <v>44</v>
      </c>
      <c r="I604" s="2" t="str">
        <f aca="false">IF(D604=1,INDEX(Sch_label,H604+1),"")</f>
        <v>1, 3, 4</v>
      </c>
      <c r="J604" s="15" t="n">
        <f aca="false">IF(D604=1,INDEX(Grid!$Z$6:$AF$156,C604+1,B604+1),0)</f>
        <v>1</v>
      </c>
      <c r="K604" s="16" t="n">
        <f aca="false">IF(J604=1,E604,0)</f>
        <v>170.234104273011</v>
      </c>
      <c r="L604" s="17" t="n">
        <f aca="false">IF(D604=1,E604+W_board*F604,"")</f>
        <v>861.714668588888</v>
      </c>
      <c r="M604" s="24" t="n">
        <v>0</v>
      </c>
      <c r="Q604" s="24" t="n">
        <v>3</v>
      </c>
      <c r="R604" s="24" t="n">
        <v>100</v>
      </c>
      <c r="S604" s="25" t="n">
        <v>0.0764055337821688</v>
      </c>
      <c r="T604" s="24" t="n">
        <v>3</v>
      </c>
      <c r="U604" s="24" t="n">
        <v>150</v>
      </c>
      <c r="V604" s="25" t="n">
        <v>0.906584502200324</v>
      </c>
      <c r="W604" s="24" t="n">
        <v>4</v>
      </c>
      <c r="X604" s="24" t="n">
        <v>100</v>
      </c>
      <c r="Y604" s="25" t="n">
        <v>0.0170099640175068</v>
      </c>
      <c r="Z604" s="12" t="str">
        <f aca="false">IF(AND($J604=1,$M604=1),N604*E604/Span_P+O604*F604/Span_S+P604*G604/Span_B,"")</f>
        <v/>
      </c>
      <c r="AA604" s="12" t="str">
        <f aca="false">IF(AND($J604=1,$M604=1),SUMPRODUCT(MAX($J$6:$J$1062*(N604*$K$6:$K$1062/Span_P+O604*$F$6:$F$1062/Span_S+P604*$G$6:$G$1062/Span_B)-(1-$J$6:$J$1062)*1000000000)),"")</f>
        <v/>
      </c>
      <c r="AB604" s="15" t="str">
        <f aca="false">IF(AND($J604=1,$M604=1),IF(AA604-Z604&lt;=0.000000001,1,0),"")</f>
        <v/>
      </c>
      <c r="AC604" s="13" t="n">
        <f aca="false">IF(AND($J604=1,$M604=0),IF(S604="",0,S604*INDEX(Grid!$B$6:$H$156,R604+1,Q604+1))+IF(V604="",0,V604*INDEX(Grid!$B$6:$H$156,U604+1,T604+1))+IF(Y604="",0,Y604*INDEX(Grid!$B$6:$H$156,X604+1,W604+1)),"")</f>
        <v>171.028886782674</v>
      </c>
      <c r="AD604" s="13" t="n">
        <f aca="false">IF(AND($J604=1,$M604=0),IF(S604="",0,S604*Val_pt*(Ceiling_e-E_zero)*(1-(1-Half_gap)^Q604))+IF(V604="",0,V604*Val_pt*(Ceiling_e-E_zero)*(1-(1-Half_gap)^T604))+IF(Y604="",0,Y604*Val_pt*(Ceiling_e-E_zero)*(1-(1-Half_gap)^W604)),"")</f>
        <v>122.648837185153</v>
      </c>
      <c r="AE604" s="13" t="n">
        <f aca="false">IF(AND($J604=1,$M604=0),IF(S604="",0,S604*R604)+IF(V604="",0,V604*U604)+IF(Y604="",0,Y604*X604),"")</f>
        <v>145.329225110016</v>
      </c>
      <c r="AF604" s="12" t="n">
        <f aca="false">IF(AND($J604=1,$M604=0),MIN((AC604-E604)/Span_P,(AD604-F604)/Span_S,(AE604-G604)/Span_B),"")</f>
        <v>0.00219483406677436</v>
      </c>
      <c r="AG604" s="15" t="n">
        <f aca="false">IF(AND($J604=1,$M604=0),IF(AF604&gt;0.0000001,1,0),"")</f>
        <v>1</v>
      </c>
      <c r="AH604" s="15" t="n">
        <f aca="false">IF($J604=1,IF($M604=1,AB604,AG604),"")</f>
        <v>1</v>
      </c>
      <c r="AI604" s="13" t="n">
        <f aca="false">IF($J604=1,(Ideal_P-E604)/Span_P,"")</f>
        <v>0.590804539827542</v>
      </c>
      <c r="AJ604" s="13" t="n">
        <f aca="false">IF($J604=1,(Ideal_S-F604)/Span_S,"")</f>
        <v>0.225806451612903</v>
      </c>
      <c r="AK604" s="13" t="n">
        <f aca="false">IF($J604=1,(Ideal_B-G604)/Span_B,"")</f>
        <v>0.0333333333333333</v>
      </c>
      <c r="AL604" s="12" t="n">
        <f aca="false">IF($J604=1,MAX(ChA_1*AI604,ChA_2*AJ604,ChA_3*AK604)+Rho*(ChA_1*AI604+ChA_2*AJ604+ChA_3*AK604),"")</f>
        <v>0.59088953426002</v>
      </c>
      <c r="AM604" s="12" t="n">
        <f aca="false">IF($J604=1,MAX(ChB_1*AI604,ChB_2*AJ604,ChB_3*AK604)+Rho*(ChB_1*AI604+ChB_2*AJ604+ChB_3*AK604),"")</f>
        <v>1.18175315454155</v>
      </c>
      <c r="AN604" s="12" t="n">
        <f aca="false">IF($J604=1,MAX(Cx_1*(Ref_P-E604)/Span_P,Cx_2*(Ref_S-F604)/Span_S,Cx_3*(Ref_B-G604)/Span_B),"")</f>
        <v>1.5004329961864</v>
      </c>
    </row>
    <row r="605" customFormat="false" ht="15" hidden="false" customHeight="false" outlineLevel="0" collapsed="false">
      <c r="A605" s="2" t="n">
        <v>599</v>
      </c>
      <c r="B605" s="15" t="n">
        <f aca="false">INT(A605/151)</f>
        <v>3</v>
      </c>
      <c r="C605" s="15" t="n">
        <f aca="false">MOD(A605,151)</f>
        <v>146</v>
      </c>
      <c r="D605" s="15" t="n">
        <f aca="false">INDEX(Grid!$J$6:$P$156,C605+1,B605+1)</f>
        <v>1</v>
      </c>
      <c r="E605" s="16" t="n">
        <f aca="false">IF(D605=1,INDEX(Grid!$B$6:$H$156,C605+1,B605+1),"")</f>
        <v>169.32501336392</v>
      </c>
      <c r="F605" s="13" t="n">
        <f aca="false">Val_pt*(Ceiling_e-E_zero)*(1-(1-Half_gap)^B605)</f>
        <v>122.5</v>
      </c>
      <c r="G605" s="15" t="n">
        <f aca="false">C605</f>
        <v>146</v>
      </c>
      <c r="H605" s="15" t="n">
        <f aca="false">IF(D605=1,INDEX(Grid!$R$6:$X$156,C605+1,B605+1),"")</f>
        <v>44</v>
      </c>
      <c r="I605" s="2" t="str">
        <f aca="false">IF(D605=1,INDEX(Sch_label,H605+1),"")</f>
        <v>1, 3, 4</v>
      </c>
      <c r="J605" s="15" t="n">
        <f aca="false">IF(D605=1,INDEX(Grid!$Z$6:$AF$156,C605+1,B605+1),0)</f>
        <v>1</v>
      </c>
      <c r="K605" s="16" t="n">
        <f aca="false">IF(J605=1,E605,0)</f>
        <v>169.32501336392</v>
      </c>
      <c r="L605" s="17" t="n">
        <f aca="false">IF(D605=1,E605+W_board*F605,"")</f>
        <v>860.805577679798</v>
      </c>
      <c r="M605" s="24" t="n">
        <v>0</v>
      </c>
      <c r="Q605" s="24" t="n">
        <v>3</v>
      </c>
      <c r="R605" s="24" t="n">
        <v>100</v>
      </c>
      <c r="S605" s="25" t="n">
        <v>0.061124427025735</v>
      </c>
      <c r="T605" s="24" t="n">
        <v>3</v>
      </c>
      <c r="U605" s="24" t="n">
        <v>150</v>
      </c>
      <c r="V605" s="25" t="n">
        <v>0.92526760176026</v>
      </c>
      <c r="W605" s="24" t="n">
        <v>4</v>
      </c>
      <c r="X605" s="24" t="n">
        <v>100</v>
      </c>
      <c r="Y605" s="25" t="n">
        <v>0.0136079712140049</v>
      </c>
      <c r="Z605" s="12" t="str">
        <f aca="false">IF(AND($J605=1,$M605=1),N605*E605/Span_P+O605*F605/Span_S+P605*G605/Span_B,"")</f>
        <v/>
      </c>
      <c r="AA605" s="12" t="str">
        <f aca="false">IF(AND($J605=1,$M605=1),SUMPRODUCT(MAX($J$6:$J$1062*(N605*$K$6:$K$1062/Span_P+O605*$F$6:$F$1062/Span_S+P605*$G$6:$G$1062/Span_B)-(1-$J$6:$J$1062)*1000000000)),"")</f>
        <v/>
      </c>
      <c r="AB605" s="15" t="str">
        <f aca="false">IF(AND($J605=1,$M605=1),IF(AA605-Z605&lt;=0.000000001,1,0),"")</f>
        <v/>
      </c>
      <c r="AC605" s="13" t="n">
        <f aca="false">IF(AND($J605=1,$M605=0),IF(S605="",0,S605*INDEX(Grid!$B$6:$H$156,R605+1,Q605+1))+IF(V605="",0,V605*INDEX(Grid!$B$6:$H$156,U605+1,T605+1))+IF(Y605="",0,Y605*INDEX(Grid!$B$6:$H$156,X605+1,W605+1)),"")</f>
        <v>169.960839371651</v>
      </c>
      <c r="AD605" s="13" t="n">
        <f aca="false">IF(AND($J605=1,$M605=0),IF(S605="",0,S605*Val_pt*(Ceiling_e-E_zero)*(1-(1-Half_gap)^Q605))+IF(V605="",0,V605*Val_pt*(Ceiling_e-E_zero)*(1-(1-Half_gap)^T605))+IF(Y605="",0,Y605*Val_pt*(Ceiling_e-E_zero)*(1-(1-Half_gap)^W605)),"")</f>
        <v>122.619069748123</v>
      </c>
      <c r="AE605" s="13" t="n">
        <f aca="false">IF(AND($J605=1,$M605=0),IF(S605="",0,S605*R605)+IF(V605="",0,V605*U605)+IF(Y605="",0,Y605*X605),"")</f>
        <v>146.263380088013</v>
      </c>
      <c r="AF605" s="12" t="n">
        <f aca="false">IF(AND($J605=1,$M605=0),MIN((AC605-E605)/Span_P,(AD605-F605)/Span_S,(AE605-G605)/Span_B),"")</f>
        <v>0.00175586725341981</v>
      </c>
      <c r="AG605" s="15" t="n">
        <f aca="false">IF(AND($J605=1,$M605=0),IF(AF605&gt;0.0000001,1,0),"")</f>
        <v>1</v>
      </c>
      <c r="AH605" s="15" t="n">
        <f aca="false">IF($J605=1,IF($M605=1,AB605,AG605),"")</f>
        <v>1</v>
      </c>
      <c r="AI605" s="13" t="n">
        <f aca="false">IF($J605=1,(Ideal_P-E605)/Span_P,"")</f>
        <v>0.593315042603848</v>
      </c>
      <c r="AJ605" s="13" t="n">
        <f aca="false">IF($J605=1,(Ideal_S-F605)/Span_S,"")</f>
        <v>0.225806451612903</v>
      </c>
      <c r="AK605" s="13" t="n">
        <f aca="false">IF($J605=1,(Ideal_B-G605)/Span_B,"")</f>
        <v>0.0266666666666667</v>
      </c>
      <c r="AL605" s="12" t="n">
        <f aca="false">IF($J605=1,MAX(ChA_1*AI605,ChA_2*AJ605,ChA_3*AK605)+Rho*(ChA_1*AI605+ChA_2*AJ605+ChA_3*AK605),"")</f>
        <v>0.593399621419937</v>
      </c>
      <c r="AM605" s="12" t="n">
        <f aca="false">IF($J605=1,MAX(ChB_1*AI605,ChB_2*AJ605,ChB_3*AK605)+Rho*(ChB_1*AI605+ChB_2*AJ605+ChB_3*AK605),"")</f>
        <v>1.18677399552805</v>
      </c>
      <c r="AN605" s="12" t="n">
        <f aca="false">IF($J605=1,MAX(Cx_1*(Ref_P-E605)/Span_P,Cx_2*(Ref_S-F605)/Span_S,Cx_3*(Ref_B-G605)/Span_B),"")</f>
        <v>1.50670265786983</v>
      </c>
    </row>
    <row r="606" customFormat="false" ht="15" hidden="false" customHeight="false" outlineLevel="0" collapsed="false">
      <c r="A606" s="2" t="n">
        <v>600</v>
      </c>
      <c r="B606" s="15" t="n">
        <f aca="false">INT(A606/151)</f>
        <v>3</v>
      </c>
      <c r="C606" s="15" t="n">
        <f aca="false">MOD(A606,151)</f>
        <v>147</v>
      </c>
      <c r="D606" s="15" t="n">
        <f aca="false">INDEX(Grid!$J$6:$P$156,C606+1,B606+1)</f>
        <v>1</v>
      </c>
      <c r="E606" s="16" t="n">
        <f aca="false">IF(D606=1,INDEX(Grid!$B$6:$H$156,C606+1,B606+1),"")</f>
        <v>168.415922454829</v>
      </c>
      <c r="F606" s="13" t="n">
        <f aca="false">Val_pt*(Ceiling_e-E_zero)*(1-(1-Half_gap)^B606)</f>
        <v>122.5</v>
      </c>
      <c r="G606" s="15" t="n">
        <f aca="false">C606</f>
        <v>147</v>
      </c>
      <c r="H606" s="15" t="n">
        <f aca="false">IF(D606=1,INDEX(Grid!$R$6:$X$156,C606+1,B606+1),"")</f>
        <v>44</v>
      </c>
      <c r="I606" s="2" t="str">
        <f aca="false">IF(D606=1,INDEX(Sch_label,H606+1),"")</f>
        <v>1, 3, 4</v>
      </c>
      <c r="J606" s="15" t="n">
        <f aca="false">IF(D606=1,INDEX(Grid!$Z$6:$AF$156,C606+1,B606+1),0)</f>
        <v>1</v>
      </c>
      <c r="K606" s="16" t="n">
        <f aca="false">IF(J606=1,E606,0)</f>
        <v>168.415922454829</v>
      </c>
      <c r="L606" s="17" t="n">
        <f aca="false">IF(D606=1,E606+W_board*F606,"")</f>
        <v>859.896486770707</v>
      </c>
      <c r="M606" s="24" t="n">
        <v>0</v>
      </c>
      <c r="Q606" s="24" t="n">
        <v>3</v>
      </c>
      <c r="R606" s="24" t="n">
        <v>100</v>
      </c>
      <c r="S606" s="25" t="n">
        <v>0.0458433202693003</v>
      </c>
      <c r="T606" s="24" t="n">
        <v>3</v>
      </c>
      <c r="U606" s="24" t="n">
        <v>150</v>
      </c>
      <c r="V606" s="25" t="n">
        <v>0.943950701320194</v>
      </c>
      <c r="W606" s="24" t="n">
        <v>4</v>
      </c>
      <c r="X606" s="24" t="n">
        <v>100</v>
      </c>
      <c r="Y606" s="25" t="n">
        <v>0.0102059784105049</v>
      </c>
      <c r="Z606" s="12" t="str">
        <f aca="false">IF(AND($J606=1,$M606=1),N606*E606/Span_P+O606*F606/Span_S+P606*G606/Span_B,"")</f>
        <v/>
      </c>
      <c r="AA606" s="12" t="str">
        <f aca="false">IF(AND($J606=1,$M606=1),SUMPRODUCT(MAX($J$6:$J$1062*(N606*$K$6:$K$1062/Span_P+O606*$F$6:$F$1062/Span_S+P606*$G$6:$G$1062/Span_B)-(1-$J$6:$J$1062)*1000000000)),"")</f>
        <v/>
      </c>
      <c r="AB606" s="15" t="str">
        <f aca="false">IF(AND($J606=1,$M606=1),IF(AA606-Z606&lt;=0.000000001,1,0),"")</f>
        <v/>
      </c>
      <c r="AC606" s="13" t="n">
        <f aca="false">IF(AND($J606=1,$M606=0),IF(S606="",0,S606*INDEX(Grid!$B$6:$H$156,R606+1,Q606+1))+IF(V606="",0,V606*INDEX(Grid!$B$6:$H$156,U606+1,T606+1))+IF(Y606="",0,Y606*INDEX(Grid!$B$6:$H$156,X606+1,W606+1)),"")</f>
        <v>168.892791960627</v>
      </c>
      <c r="AD606" s="13" t="n">
        <f aca="false">IF(AND($J606=1,$M606=0),IF(S606="",0,S606*Val_pt*(Ceiling_e-E_zero)*(1-(1-Half_gap)^Q606))+IF(V606="",0,V606*Val_pt*(Ceiling_e-E_zero)*(1-(1-Half_gap)^T606))+IF(Y606="",0,Y606*Val_pt*(Ceiling_e-E_zero)*(1-(1-Half_gap)^W606)),"")</f>
        <v>122.589302311092</v>
      </c>
      <c r="AE606" s="13" t="n">
        <f aca="false">IF(AND($J606=1,$M606=0),IF(S606="",0,S606*R606)+IF(V606="",0,V606*U606)+IF(Y606="",0,Y606*X606),"")</f>
        <v>147.19753506601</v>
      </c>
      <c r="AF606" s="12" t="n">
        <f aca="false">IF(AND($J606=1,$M606=0),MIN((AC606-E606)/Span_P,(AD606-F606)/Span_S,(AE606-G606)/Span_B),"")</f>
        <v>0.0013169004400634</v>
      </c>
      <c r="AG606" s="15" t="n">
        <f aca="false">IF(AND($J606=1,$M606=0),IF(AF606&gt;0.0000001,1,0),"")</f>
        <v>1</v>
      </c>
      <c r="AH606" s="15" t="n">
        <f aca="false">IF($J606=1,IF($M606=1,AB606,AG606),"")</f>
        <v>1</v>
      </c>
      <c r="AI606" s="13" t="n">
        <f aca="false">IF($J606=1,(Ideal_P-E606)/Span_P,"")</f>
        <v>0.595825545380154</v>
      </c>
      <c r="AJ606" s="13" t="n">
        <f aca="false">IF($J606=1,(Ideal_S-F606)/Span_S,"")</f>
        <v>0.225806451612903</v>
      </c>
      <c r="AK606" s="13" t="n">
        <f aca="false">IF($J606=1,(Ideal_B-G606)/Span_B,"")</f>
        <v>0.02</v>
      </c>
      <c r="AL606" s="12" t="n">
        <f aca="false">IF($J606=1,MAX(ChA_1*AI606,ChA_2*AJ606,ChA_3*AK606)+Rho*(ChA_1*AI606+ChA_2*AJ606+ChA_3*AK606),"")</f>
        <v>0.595909708579853</v>
      </c>
      <c r="AM606" s="12" t="n">
        <f aca="false">IF($J606=1,MAX(ChB_1*AI606,ChB_2*AJ606,ChB_3*AK606)+Rho*(ChB_1*AI606+ChB_2*AJ606+ChB_3*AK606),"")</f>
        <v>1.19179483651455</v>
      </c>
      <c r="AN606" s="12" t="n">
        <f aca="false">IF($J606=1,MAX(Cx_1*(Ref_P-E606)/Span_P,Cx_2*(Ref_S-F606)/Span_S,Cx_3*(Ref_B-G606)/Span_B),"")</f>
        <v>1.51297231955325</v>
      </c>
    </row>
    <row r="607" customFormat="false" ht="15" hidden="false" customHeight="false" outlineLevel="0" collapsed="false">
      <c r="A607" s="2" t="n">
        <v>601</v>
      </c>
      <c r="B607" s="15" t="n">
        <f aca="false">INT(A607/151)</f>
        <v>3</v>
      </c>
      <c r="C607" s="15" t="n">
        <f aca="false">MOD(A607,151)</f>
        <v>148</v>
      </c>
      <c r="D607" s="15" t="n">
        <f aca="false">INDEX(Grid!$J$6:$P$156,C607+1,B607+1)</f>
        <v>1</v>
      </c>
      <c r="E607" s="16" t="n">
        <f aca="false">IF(D607=1,INDEX(Grid!$B$6:$H$156,C607+1,B607+1),"")</f>
        <v>167.506831545739</v>
      </c>
      <c r="F607" s="13" t="n">
        <f aca="false">Val_pt*(Ceiling_e-E_zero)*(1-(1-Half_gap)^B607)</f>
        <v>122.5</v>
      </c>
      <c r="G607" s="15" t="n">
        <f aca="false">C607</f>
        <v>148</v>
      </c>
      <c r="H607" s="15" t="n">
        <f aca="false">IF(D607=1,INDEX(Grid!$R$6:$X$156,C607+1,B607+1),"")</f>
        <v>44</v>
      </c>
      <c r="I607" s="2" t="str">
        <f aca="false">IF(D607=1,INDEX(Sch_label,H607+1),"")</f>
        <v>1, 3, 4</v>
      </c>
      <c r="J607" s="15" t="n">
        <f aca="false">IF(D607=1,INDEX(Grid!$Z$6:$AF$156,C607+1,B607+1),0)</f>
        <v>1</v>
      </c>
      <c r="K607" s="16" t="n">
        <f aca="false">IF(J607=1,E607,0)</f>
        <v>167.506831545739</v>
      </c>
      <c r="L607" s="17" t="n">
        <f aca="false">IF(D607=1,E607+W_board*F607,"")</f>
        <v>858.987395861616</v>
      </c>
      <c r="M607" s="24" t="n">
        <v>0</v>
      </c>
      <c r="Q607" s="24" t="n">
        <v>3</v>
      </c>
      <c r="R607" s="24" t="n">
        <v>100</v>
      </c>
      <c r="S607" s="25" t="n">
        <v>0.0305622135128657</v>
      </c>
      <c r="T607" s="24" t="n">
        <v>3</v>
      </c>
      <c r="U607" s="24" t="n">
        <v>150</v>
      </c>
      <c r="V607" s="25" t="n">
        <v>0.962633800880128</v>
      </c>
      <c r="W607" s="24" t="n">
        <v>4</v>
      </c>
      <c r="X607" s="24" t="n">
        <v>100</v>
      </c>
      <c r="Y607" s="25" t="n">
        <v>0.00680398560700463</v>
      </c>
      <c r="Z607" s="12" t="str">
        <f aca="false">IF(AND($J607=1,$M607=1),N607*E607/Span_P+O607*F607/Span_S+P607*G607/Span_B,"")</f>
        <v/>
      </c>
      <c r="AA607" s="12" t="str">
        <f aca="false">IF(AND($J607=1,$M607=1),SUMPRODUCT(MAX($J$6:$J$1062*(N607*$K$6:$K$1062/Span_P+O607*$F$6:$F$1062/Span_S+P607*$G$6:$G$1062/Span_B)-(1-$J$6:$J$1062)*1000000000)),"")</f>
        <v/>
      </c>
      <c r="AB607" s="15" t="str">
        <f aca="false">IF(AND($J607=1,$M607=1),IF(AA607-Z607&lt;=0.000000001,1,0),"")</f>
        <v/>
      </c>
      <c r="AC607" s="13" t="n">
        <f aca="false">IF(AND($J607=1,$M607=0),IF(S607="",0,S607*INDEX(Grid!$B$6:$H$156,R607+1,Q607+1))+IF(V607="",0,V607*INDEX(Grid!$B$6:$H$156,U607+1,T607+1))+IF(Y607="",0,Y607*INDEX(Grid!$B$6:$H$156,X607+1,W607+1)),"")</f>
        <v>167.824744549603</v>
      </c>
      <c r="AD607" s="13" t="n">
        <f aca="false">IF(AND($J607=1,$M607=0),IF(S607="",0,S607*Val_pt*(Ceiling_e-E_zero)*(1-(1-Half_gap)^Q607))+IF(V607="",0,V607*Val_pt*(Ceiling_e-E_zero)*(1-(1-Half_gap)^T607))+IF(Y607="",0,Y607*Val_pt*(Ceiling_e-E_zero)*(1-(1-Half_gap)^W607)),"")</f>
        <v>122.559534874061</v>
      </c>
      <c r="AE607" s="13" t="n">
        <f aca="false">IF(AND($J607=1,$M607=0),IF(S607="",0,S607*R607)+IF(V607="",0,V607*U607)+IF(Y607="",0,Y607*X607),"")</f>
        <v>148.131690044006</v>
      </c>
      <c r="AF607" s="12" t="n">
        <f aca="false">IF(AND($J607=1,$M607=0),MIN((AC607-E607)/Span_P,(AD607-F607)/Span_S,(AE607-G607)/Span_B),"")</f>
        <v>0.000877933626707258</v>
      </c>
      <c r="AG607" s="15" t="n">
        <f aca="false">IF(AND($J607=1,$M607=0),IF(AF607&gt;0.0000001,1,0),"")</f>
        <v>1</v>
      </c>
      <c r="AH607" s="15" t="n">
        <f aca="false">IF($J607=1,IF($M607=1,AB607,AG607),"")</f>
        <v>1</v>
      </c>
      <c r="AI607" s="13" t="n">
        <f aca="false">IF($J607=1,(Ideal_P-E607)/Span_P,"")</f>
        <v>0.59833604815646</v>
      </c>
      <c r="AJ607" s="13" t="n">
        <f aca="false">IF($J607=1,(Ideal_S-F607)/Span_S,"")</f>
        <v>0.225806451612903</v>
      </c>
      <c r="AK607" s="13" t="n">
        <f aca="false">IF($J607=1,(Ideal_B-G607)/Span_B,"")</f>
        <v>0.0133333333333333</v>
      </c>
      <c r="AL607" s="12" t="n">
        <f aca="false">IF($J607=1,MAX(ChA_1*AI607,ChA_2*AJ607,ChA_3*AK607)+Rho*(ChA_1*AI607+ChA_2*AJ607+ChA_3*AK607),"")</f>
        <v>0.59841979573977</v>
      </c>
      <c r="AM607" s="12" t="n">
        <f aca="false">IF($J607=1,MAX(ChB_1*AI607,ChB_2*AJ607,ChB_3*AK607)+Rho*(ChB_1*AI607+ChB_2*AJ607+ChB_3*AK607),"")</f>
        <v>1.19681567750105</v>
      </c>
      <c r="AN607" s="12" t="n">
        <f aca="false">IF($J607=1,MAX(Cx_1*(Ref_P-E607)/Span_P,Cx_2*(Ref_S-F607)/Span_S,Cx_3*(Ref_B-G607)/Span_B),"")</f>
        <v>1.51924198123668</v>
      </c>
    </row>
    <row r="608" customFormat="false" ht="15" hidden="false" customHeight="false" outlineLevel="0" collapsed="false">
      <c r="A608" s="2" t="n">
        <v>602</v>
      </c>
      <c r="B608" s="15" t="n">
        <f aca="false">INT(A608/151)</f>
        <v>3</v>
      </c>
      <c r="C608" s="15" t="n">
        <f aca="false">MOD(A608,151)</f>
        <v>149</v>
      </c>
      <c r="D608" s="15" t="n">
        <f aca="false">INDEX(Grid!$J$6:$P$156,C608+1,B608+1)</f>
        <v>1</v>
      </c>
      <c r="E608" s="16" t="n">
        <f aca="false">IF(D608=1,INDEX(Grid!$B$6:$H$156,C608+1,B608+1),"")</f>
        <v>166.597740636648</v>
      </c>
      <c r="F608" s="13" t="n">
        <f aca="false">Val_pt*(Ceiling_e-E_zero)*(1-(1-Half_gap)^B608)</f>
        <v>122.5</v>
      </c>
      <c r="G608" s="15" t="n">
        <f aca="false">C608</f>
        <v>149</v>
      </c>
      <c r="H608" s="15" t="n">
        <f aca="false">IF(D608=1,INDEX(Grid!$R$6:$X$156,C608+1,B608+1),"")</f>
        <v>44</v>
      </c>
      <c r="I608" s="2" t="str">
        <f aca="false">IF(D608=1,INDEX(Sch_label,H608+1),"")</f>
        <v>1, 3, 4</v>
      </c>
      <c r="J608" s="15" t="n">
        <f aca="false">IF(D608=1,INDEX(Grid!$Z$6:$AF$156,C608+1,B608+1),0)</f>
        <v>1</v>
      </c>
      <c r="K608" s="16" t="n">
        <f aca="false">IF(J608=1,E608,0)</f>
        <v>166.597740636648</v>
      </c>
      <c r="L608" s="17" t="n">
        <f aca="false">IF(D608=1,E608+W_board*F608,"")</f>
        <v>858.078304952525</v>
      </c>
      <c r="M608" s="24" t="n">
        <v>0</v>
      </c>
      <c r="Q608" s="24" t="n">
        <v>3</v>
      </c>
      <c r="R608" s="24" t="n">
        <v>100</v>
      </c>
      <c r="S608" s="25" t="n">
        <v>0.0152811067564348</v>
      </c>
      <c r="T608" s="24" t="n">
        <v>3</v>
      </c>
      <c r="U608" s="24" t="n">
        <v>150</v>
      </c>
      <c r="V608" s="25" t="n">
        <v>0.981316900440066</v>
      </c>
      <c r="W608" s="24" t="n">
        <v>4</v>
      </c>
      <c r="X608" s="24" t="n">
        <v>100</v>
      </c>
      <c r="Y608" s="25" t="n">
        <v>0.00340199280350026</v>
      </c>
      <c r="Z608" s="12" t="str">
        <f aca="false">IF(AND($J608=1,$M608=1),N608*E608/Span_P+O608*F608/Span_S+P608*G608/Span_B,"")</f>
        <v/>
      </c>
      <c r="AA608" s="12" t="str">
        <f aca="false">IF(AND($J608=1,$M608=1),SUMPRODUCT(MAX($J$6:$J$1062*(N608*$K$6:$K$1062/Span_P+O608*$F$6:$F$1062/Span_S+P608*$G$6:$G$1062/Span_B)-(1-$J$6:$J$1062)*1000000000)),"")</f>
        <v/>
      </c>
      <c r="AB608" s="15" t="str">
        <f aca="false">IF(AND($J608=1,$M608=1),IF(AA608-Z608&lt;=0.000000001,1,0),"")</f>
        <v/>
      </c>
      <c r="AC608" s="13" t="n">
        <f aca="false">IF(AND($J608=1,$M608=0),IF(S608="",0,S608*INDEX(Grid!$B$6:$H$156,R608+1,Q608+1))+IF(V608="",0,V608*INDEX(Grid!$B$6:$H$156,U608+1,T608+1))+IF(Y608="",0,Y608*INDEX(Grid!$B$6:$H$156,X608+1,W608+1)),"")</f>
        <v>166.75669713858</v>
      </c>
      <c r="AD608" s="13" t="n">
        <f aca="false">IF(AND($J608=1,$M608=0),IF(S608="",0,S608*Val_pt*(Ceiling_e-E_zero)*(1-(1-Half_gap)^Q608))+IF(V608="",0,V608*Val_pt*(Ceiling_e-E_zero)*(1-(1-Half_gap)^T608))+IF(Y608="",0,Y608*Val_pt*(Ceiling_e-E_zero)*(1-(1-Half_gap)^W608)),"")</f>
        <v>122.529767437031</v>
      </c>
      <c r="AE608" s="13" t="n">
        <f aca="false">IF(AND($J608=1,$M608=0),IF(S608="",0,S608*R608)+IF(V608="",0,V608*U608)+IF(Y608="",0,Y608*X608),"")</f>
        <v>149.065845022003</v>
      </c>
      <c r="AF608" s="12" t="n">
        <f aca="false">IF(AND($J608=1,$M608=0),MIN((AC608-E608)/Span_P,(AD608-F608)/Span_S,(AE608-G608)/Span_B),"")</f>
        <v>0.000438966813355502</v>
      </c>
      <c r="AG608" s="15" t="n">
        <f aca="false">IF(AND($J608=1,$M608=0),IF(AF608&gt;0.0000001,1,0),"")</f>
        <v>1</v>
      </c>
      <c r="AH608" s="15" t="n">
        <f aca="false">IF($J608=1,IF($M608=1,AB608,AG608),"")</f>
        <v>1</v>
      </c>
      <c r="AI608" s="13" t="n">
        <f aca="false">IF($J608=1,(Ideal_P-E608)/Span_P,"")</f>
        <v>0.600846550932766</v>
      </c>
      <c r="AJ608" s="13" t="n">
        <f aca="false">IF($J608=1,(Ideal_S-F608)/Span_S,"")</f>
        <v>0.225806451612903</v>
      </c>
      <c r="AK608" s="13" t="n">
        <f aca="false">IF($J608=1,(Ideal_B-G608)/Span_B,"")</f>
        <v>0.00666666666666667</v>
      </c>
      <c r="AL608" s="12" t="n">
        <f aca="false">IF($J608=1,MAX(ChA_1*AI608,ChA_2*AJ608,ChA_3*AK608)+Rho*(ChA_1*AI608+ChA_2*AJ608+ChA_3*AK608),"")</f>
        <v>0.600929882899687</v>
      </c>
      <c r="AM608" s="12" t="n">
        <f aca="false">IF($J608=1,MAX(ChB_1*AI608,ChB_2*AJ608,ChB_3*AK608)+Rho*(ChB_1*AI608+ChB_2*AJ608+ChB_3*AK608),"")</f>
        <v>1.20183651848755</v>
      </c>
      <c r="AN608" s="12" t="n">
        <f aca="false">IF($J608=1,MAX(Cx_1*(Ref_P-E608)/Span_P,Cx_2*(Ref_S-F608)/Span_S,Cx_3*(Ref_B-G608)/Span_B),"")</f>
        <v>1.52551164292011</v>
      </c>
    </row>
    <row r="609" customFormat="false" ht="15" hidden="false" customHeight="false" outlineLevel="0" collapsed="false">
      <c r="A609" s="2" t="n">
        <v>603</v>
      </c>
      <c r="B609" s="15" t="n">
        <f aca="false">INT(A609/151)</f>
        <v>3</v>
      </c>
      <c r="C609" s="15" t="n">
        <f aca="false">MOD(A609,151)</f>
        <v>150</v>
      </c>
      <c r="D609" s="15" t="n">
        <f aca="false">INDEX(Grid!$J$6:$P$156,C609+1,B609+1)</f>
        <v>1</v>
      </c>
      <c r="E609" s="16" t="n">
        <f aca="false">IF(D609=1,INDEX(Grid!$B$6:$H$156,C609+1,B609+1),"")</f>
        <v>165.688649727557</v>
      </c>
      <c r="F609" s="13" t="n">
        <f aca="false">Val_pt*(Ceiling_e-E_zero)*(1-(1-Half_gap)^B609)</f>
        <v>122.5</v>
      </c>
      <c r="G609" s="15" t="n">
        <f aca="false">C609</f>
        <v>150</v>
      </c>
      <c r="H609" s="15" t="n">
        <f aca="false">IF(D609=1,INDEX(Grid!$R$6:$X$156,C609+1,B609+1),"")</f>
        <v>44</v>
      </c>
      <c r="I609" s="2" t="str">
        <f aca="false">IF(D609=1,INDEX(Sch_label,H609+1),"")</f>
        <v>1, 3, 4</v>
      </c>
      <c r="J609" s="15" t="n">
        <f aca="false">IF(D609=1,INDEX(Grid!$Z$6:$AF$156,C609+1,B609+1),0)</f>
        <v>1</v>
      </c>
      <c r="K609" s="16" t="n">
        <f aca="false">IF(J609=1,E609,0)</f>
        <v>165.688649727557</v>
      </c>
      <c r="L609" s="17" t="n">
        <f aca="false">IF(D609=1,E609+W_board*F609,"")</f>
        <v>857.169214043434</v>
      </c>
      <c r="M609" s="24" t="n">
        <v>1</v>
      </c>
      <c r="N609" s="25" t="n">
        <v>0.45254832672745</v>
      </c>
      <c r="O609" s="25" t="n">
        <v>0.285626772297309</v>
      </c>
      <c r="P609" s="25" t="n">
        <v>0.261824900975241</v>
      </c>
      <c r="Z609" s="12" t="n">
        <f aca="false">IF(AND($J609=1,$M609=1),N609*E609/Span_P+O609*F609/Span_S+P609*G609/Span_B,"")</f>
        <v>0.984862950248274</v>
      </c>
      <c r="AA609" s="12" t="n">
        <f aca="false">IF(AND($J609=1,$M609=1),SUMPRODUCT(MAX($J$6:$J$1062*(N609*$K$6:$K$1062/Span_P+O609*$F$6:$F$1062/Span_S+P609*$G$6:$G$1062/Span_B)-(1-$J$6:$J$1062)*1000000000)),"")</f>
        <v>0.984862950248274</v>
      </c>
      <c r="AB609" s="15" t="n">
        <f aca="false">IF(AND($J609=1,$M609=1),IF(AA609-Z609&lt;=0.000000001,1,0),"")</f>
        <v>1</v>
      </c>
      <c r="AC609" s="13" t="str">
        <f aca="false">IF(AND($J609=1,$M609=0),IF(S609="",0,S609*INDEX(Grid!$B$6:$H$156,R609+1,Q609+1))+IF(V609="",0,V609*INDEX(Grid!$B$6:$H$156,U609+1,T609+1))+IF(Y609="",0,Y609*INDEX(Grid!$B$6:$H$156,X609+1,W609+1)),"")</f>
        <v/>
      </c>
      <c r="AD609" s="13" t="str">
        <f aca="false">IF(AND($J609=1,$M609=0),IF(S609="",0,S609*Val_pt*(Ceiling_e-E_zero)*(1-(1-Half_gap)^Q609))+IF(V609="",0,V609*Val_pt*(Ceiling_e-E_zero)*(1-(1-Half_gap)^T609))+IF(Y609="",0,Y609*Val_pt*(Ceiling_e-E_zero)*(1-(1-Half_gap)^W609)),"")</f>
        <v/>
      </c>
      <c r="AE609" s="13" t="str">
        <f aca="false">IF(AND($J609=1,$M609=0),IF(S609="",0,S609*R609)+IF(V609="",0,V609*U609)+IF(Y609="",0,Y609*X609),"")</f>
        <v/>
      </c>
      <c r="AF609" s="12" t="str">
        <f aca="false">IF(AND($J609=1,$M609=0),MIN((AC609-E609)/Span_P,(AD609-F609)/Span_S,(AE609-G609)/Span_B),"")</f>
        <v/>
      </c>
      <c r="AG609" s="15" t="str">
        <f aca="false">IF(AND($J609=1,$M609=0),IF(AF609&gt;0.0000001,1,0),"")</f>
        <v/>
      </c>
      <c r="AH609" s="15" t="n">
        <f aca="false">IF($J609=1,IF($M609=1,AB609,AG609),"")</f>
        <v>1</v>
      </c>
      <c r="AI609" s="13" t="n">
        <f aca="false">IF($J609=1,(Ideal_P-E609)/Span_P,"")</f>
        <v>0.603357053709071</v>
      </c>
      <c r="AJ609" s="13" t="n">
        <f aca="false">IF($J609=1,(Ideal_S-F609)/Span_S,"")</f>
        <v>0.225806451612903</v>
      </c>
      <c r="AK609" s="13" t="n">
        <f aca="false">IF($J609=1,(Ideal_B-G609)/Span_B,"")</f>
        <v>0</v>
      </c>
      <c r="AL609" s="12" t="n">
        <f aca="false">IF($J609=1,MAX(ChA_1*AI609,ChA_2*AJ609,ChA_3*AK609)+Rho*(ChA_1*AI609+ChA_2*AJ609+ChA_3*AK609),"")</f>
        <v>0.603439970059604</v>
      </c>
      <c r="AM609" s="12" t="n">
        <f aca="false">IF($J609=1,MAX(ChB_1*AI609,ChB_2*AJ609,ChB_3*AK609)+Rho*(ChB_1*AI609+ChB_2*AJ609+ChB_3*AK609),"")</f>
        <v>1.20685735947405</v>
      </c>
      <c r="AN609" s="12" t="n">
        <f aca="false">IF($J609=1,MAX(Cx_1*(Ref_P-E609)/Span_P,Cx_2*(Ref_S-F609)/Span_S,Cx_3*(Ref_B-G609)/Span_B),"")</f>
        <v>1.53178130460354</v>
      </c>
    </row>
    <row r="610" customFormat="false" ht="15" hidden="false" customHeight="false" outlineLevel="0" collapsed="false">
      <c r="A610" s="2" t="n">
        <v>604</v>
      </c>
      <c r="B610" s="15" t="n">
        <f aca="false">INT(A610/151)</f>
        <v>4</v>
      </c>
      <c r="C610" s="15" t="n">
        <f aca="false">MOD(A610,151)</f>
        <v>0</v>
      </c>
      <c r="D610" s="15" t="n">
        <f aca="false">INDEX(Grid!$J$6:$P$156,C610+1,B610+1)</f>
        <v>1</v>
      </c>
      <c r="E610" s="16" t="n">
        <f aca="false">IF(D610=1,INDEX(Grid!$B$6:$H$156,C610+1,B610+1),"")</f>
        <v>260.880573686145</v>
      </c>
      <c r="F610" s="13" t="n">
        <f aca="false">Val_pt*(Ceiling_e-E_zero)*(1-(1-Half_gap)^B610)</f>
        <v>131.25</v>
      </c>
      <c r="G610" s="15" t="n">
        <f aca="false">C610</f>
        <v>0</v>
      </c>
      <c r="H610" s="15" t="n">
        <f aca="false">IF(D610=1,INDEX(Grid!$R$6:$X$156,C610+1,B610+1),"")</f>
        <v>57</v>
      </c>
      <c r="I610" s="2" t="str">
        <f aca="false">IF(D610=1,INDEX(Sch_label,H610+1),"")</f>
        <v>1–3, 6</v>
      </c>
      <c r="J610" s="15" t="n">
        <f aca="false">IF(D610=1,INDEX(Grid!$Z$6:$AF$156,C610+1,B610+1),0)</f>
        <v>1</v>
      </c>
      <c r="K610" s="16" t="n">
        <f aca="false">IF(J610=1,E610,0)</f>
        <v>260.880573686145</v>
      </c>
      <c r="L610" s="17" t="n">
        <f aca="false">IF(D610=1,E610+W_board*F610,"")</f>
        <v>1001.75260688173</v>
      </c>
      <c r="M610" s="24" t="n">
        <v>1</v>
      </c>
      <c r="N610" s="25" t="n">
        <v>0.219944509271646</v>
      </c>
      <c r="O610" s="25" t="n">
        <v>0.697229795554402</v>
      </c>
      <c r="P610" s="25" t="n">
        <v>0.0828256951739527</v>
      </c>
      <c r="Z610" s="12" t="n">
        <f aca="false">IF(AND($J610=1,$M610=1),N610*E610/Span_P+O610*F610/Span_S+P610*G610/Span_B,"")</f>
        <v>1.5079328660552</v>
      </c>
      <c r="AA610" s="12" t="n">
        <f aca="false">IF(AND($J610=1,$M610=1),SUMPRODUCT(MAX($J$6:$J$1062*(N610*$K$6:$K$1062/Span_P+O610*$F$6:$F$1062/Span_S+P610*$G$6:$G$1062/Span_B)-(1-$J$6:$J$1062)*1000000000)),"")</f>
        <v>1.5079328660552</v>
      </c>
      <c r="AB610" s="15" t="n">
        <f aca="false">IF(AND($J610=1,$M610=1),IF(AA610-Z610&lt;=0.000000001,1,0),"")</f>
        <v>1</v>
      </c>
      <c r="AC610" s="13" t="str">
        <f aca="false">IF(AND($J610=1,$M610=0),IF(S610="",0,S610*INDEX(Grid!$B$6:$H$156,R610+1,Q610+1))+IF(V610="",0,V610*INDEX(Grid!$B$6:$H$156,U610+1,T610+1))+IF(Y610="",0,Y610*INDEX(Grid!$B$6:$H$156,X610+1,W610+1)),"")</f>
        <v/>
      </c>
      <c r="AD610" s="13" t="str">
        <f aca="false">IF(AND($J610=1,$M610=0),IF(S610="",0,S610*Val_pt*(Ceiling_e-E_zero)*(1-(1-Half_gap)^Q610))+IF(V610="",0,V610*Val_pt*(Ceiling_e-E_zero)*(1-(1-Half_gap)^T610))+IF(Y610="",0,Y610*Val_pt*(Ceiling_e-E_zero)*(1-(1-Half_gap)^W610)),"")</f>
        <v/>
      </c>
      <c r="AE610" s="13" t="str">
        <f aca="false">IF(AND($J610=1,$M610=0),IF(S610="",0,S610*R610)+IF(V610="",0,V610*U610)+IF(Y610="",0,Y610*X610),"")</f>
        <v/>
      </c>
      <c r="AF610" s="12" t="str">
        <f aca="false">IF(AND($J610=1,$M610=0),MIN((AC610-E610)/Span_P,(AD610-F610)/Span_S,(AE610-G610)/Span_B),"")</f>
        <v/>
      </c>
      <c r="AG610" s="15" t="str">
        <f aca="false">IF(AND($J610=1,$M610=0),IF(AF610&gt;0.0000001,1,0),"")</f>
        <v/>
      </c>
      <c r="AH610" s="15" t="n">
        <f aca="false">IF($J610=1,IF($M610=1,AB610,AG610),"")</f>
        <v>1</v>
      </c>
      <c r="AI610" s="13" t="n">
        <f aca="false">IF($J610=1,(Ideal_P-E610)/Span_P,"")</f>
        <v>0.340479505391156</v>
      </c>
      <c r="AJ610" s="13" t="n">
        <f aca="false">IF($J610=1,(Ideal_S-F610)/Span_S,"")</f>
        <v>0.0967741935483871</v>
      </c>
      <c r="AK610" s="13" t="n">
        <f aca="false">IF($J610=1,(Ideal_B-G610)/Span_B,"")</f>
        <v>1</v>
      </c>
      <c r="AL610" s="12" t="n">
        <f aca="false">IF($J610=1,MAX(ChA_1*AI610,ChA_2*AJ610,ChA_3*AK610)+Rho*(ChA_1*AI610+ChA_2*AJ610+ChA_3*AK610),"")</f>
        <v>1.00014372536989</v>
      </c>
      <c r="AM610" s="12" t="n">
        <f aca="false">IF($J610=1,MAX(ChB_1*AI610,ChB_2*AJ610,ChB_3*AK610)+Rho*(ChB_1*AI610+ChB_2*AJ610+ChB_3*AK610),"")</f>
        <v>1.00017777332043</v>
      </c>
      <c r="AN610" s="12" t="n">
        <f aca="false">IF($J610=1,MAX(Cx_1*(Ref_P-E610)/Span_P,Cx_2*(Ref_S-F610)/Span_S,Cx_3*(Ref_B-G610)/Span_B),"")</f>
        <v>2.54621848739496</v>
      </c>
    </row>
    <row r="611" customFormat="false" ht="15" hidden="false" customHeight="false" outlineLevel="0" collapsed="false">
      <c r="A611" s="2" t="n">
        <v>605</v>
      </c>
      <c r="B611" s="15" t="n">
        <f aca="false">INT(A611/151)</f>
        <v>4</v>
      </c>
      <c r="C611" s="15" t="n">
        <f aca="false">MOD(A611,151)</f>
        <v>1</v>
      </c>
      <c r="D611" s="15" t="n">
        <f aca="false">INDEX(Grid!$J$6:$P$156,C611+1,B611+1)</f>
        <v>1</v>
      </c>
      <c r="E611" s="16" t="n">
        <f aca="false">IF(D611=1,INDEX(Grid!$B$6:$H$156,C611+1,B611+1),"")</f>
        <v>259.971482777054</v>
      </c>
      <c r="F611" s="13" t="n">
        <f aca="false">Val_pt*(Ceiling_e-E_zero)*(1-(1-Half_gap)^B611)</f>
        <v>131.25</v>
      </c>
      <c r="G611" s="15" t="n">
        <f aca="false">C611</f>
        <v>1</v>
      </c>
      <c r="H611" s="15" t="n">
        <f aca="false">IF(D611=1,INDEX(Grid!$R$6:$X$156,C611+1,B611+1),"")</f>
        <v>57</v>
      </c>
      <c r="I611" s="2" t="str">
        <f aca="false">IF(D611=1,INDEX(Sch_label,H611+1),"")</f>
        <v>1–3, 6</v>
      </c>
      <c r="J611" s="15" t="n">
        <f aca="false">IF(D611=1,INDEX(Grid!$Z$6:$AF$156,C611+1,B611+1),0)</f>
        <v>1</v>
      </c>
      <c r="K611" s="16" t="n">
        <f aca="false">IF(J611=1,E611,0)</f>
        <v>259.971482777054</v>
      </c>
      <c r="L611" s="17" t="n">
        <f aca="false">IF(D611=1,E611+W_board*F611,"")</f>
        <v>1000.84351597264</v>
      </c>
      <c r="M611" s="24" t="n">
        <v>1</v>
      </c>
      <c r="N611" s="25" t="n">
        <v>0.219944509271636</v>
      </c>
      <c r="O611" s="25" t="n">
        <v>0.697229795554421</v>
      </c>
      <c r="P611" s="25" t="n">
        <v>0.0828256951739424</v>
      </c>
      <c r="Z611" s="12" t="n">
        <f aca="false">IF(AND($J611=1,$M611=1),N611*E611/Span_P+O611*F611/Span_S+P611*G611/Span_B,"")</f>
        <v>1.50793286605523</v>
      </c>
      <c r="AA611" s="12" t="n">
        <f aca="false">IF(AND($J611=1,$M611=1),SUMPRODUCT(MAX($J$6:$J$1062*(N611*$K$6:$K$1062/Span_P+O611*$F$6:$F$1062/Span_S+P611*$G$6:$G$1062/Span_B)-(1-$J$6:$J$1062)*1000000000)),"")</f>
        <v>1.50793286605523</v>
      </c>
      <c r="AB611" s="15" t="n">
        <f aca="false">IF(AND($J611=1,$M611=1),IF(AA611-Z611&lt;=0.000000001,1,0),"")</f>
        <v>1</v>
      </c>
      <c r="AC611" s="13" t="str">
        <f aca="false">IF(AND($J611=1,$M611=0),IF(S611="",0,S611*INDEX(Grid!$B$6:$H$156,R611+1,Q611+1))+IF(V611="",0,V611*INDEX(Grid!$B$6:$H$156,U611+1,T611+1))+IF(Y611="",0,Y611*INDEX(Grid!$B$6:$H$156,X611+1,W611+1)),"")</f>
        <v/>
      </c>
      <c r="AD611" s="13" t="str">
        <f aca="false">IF(AND($J611=1,$M611=0),IF(S611="",0,S611*Val_pt*(Ceiling_e-E_zero)*(1-(1-Half_gap)^Q611))+IF(V611="",0,V611*Val_pt*(Ceiling_e-E_zero)*(1-(1-Half_gap)^T611))+IF(Y611="",0,Y611*Val_pt*(Ceiling_e-E_zero)*(1-(1-Half_gap)^W611)),"")</f>
        <v/>
      </c>
      <c r="AE611" s="13" t="str">
        <f aca="false">IF(AND($J611=1,$M611=0),IF(S611="",0,S611*R611)+IF(V611="",0,V611*U611)+IF(Y611="",0,Y611*X611),"")</f>
        <v/>
      </c>
      <c r="AF611" s="12" t="str">
        <f aca="false">IF(AND($J611=1,$M611=0),MIN((AC611-E611)/Span_P,(AD611-F611)/Span_S,(AE611-G611)/Span_B),"")</f>
        <v/>
      </c>
      <c r="AG611" s="15" t="str">
        <f aca="false">IF(AND($J611=1,$M611=0),IF(AF611&gt;0.0000001,1,0),"")</f>
        <v/>
      </c>
      <c r="AH611" s="15" t="n">
        <f aca="false">IF($J611=1,IF($M611=1,AB611,AG611),"")</f>
        <v>1</v>
      </c>
      <c r="AI611" s="13" t="n">
        <f aca="false">IF($J611=1,(Ideal_P-E611)/Span_P,"")</f>
        <v>0.342990008167462</v>
      </c>
      <c r="AJ611" s="13" t="n">
        <f aca="false">IF($J611=1,(Ideal_S-F611)/Span_S,"")</f>
        <v>0.0967741935483871</v>
      </c>
      <c r="AK611" s="13" t="n">
        <f aca="false">IF($J611=1,(Ideal_B-G611)/Span_B,"")</f>
        <v>0.993333333333333</v>
      </c>
      <c r="AL611" s="12" t="n">
        <f aca="false">IF($J611=1,MAX(ChA_1*AI611,ChA_2*AJ611,ChA_3*AK611)+Rho*(ChA_1*AI611+ChA_2*AJ611+ChA_3*AK611),"")</f>
        <v>0.993476643086838</v>
      </c>
      <c r="AM611" s="12" t="n">
        <f aca="false">IF($J611=1,MAX(ChB_1*AI611,ChB_2*AJ611,ChB_3*AK611)+Rho*(ChB_1*AI611+ChB_2*AJ611+ChB_3*AK611),"")</f>
        <v>0.993510942087655</v>
      </c>
      <c r="AN611" s="12" t="n">
        <f aca="false">IF($J611=1,MAX(Cx_1*(Ref_P-E611)/Span_P,Cx_2*(Ref_S-F611)/Span_S,Cx_3*(Ref_B-G611)/Span_B),"")</f>
        <v>2.52941176470588</v>
      </c>
    </row>
    <row r="612" customFormat="false" ht="15" hidden="false" customHeight="false" outlineLevel="0" collapsed="false">
      <c r="A612" s="2" t="n">
        <v>606</v>
      </c>
      <c r="B612" s="15" t="n">
        <f aca="false">INT(A612/151)</f>
        <v>4</v>
      </c>
      <c r="C612" s="15" t="n">
        <f aca="false">MOD(A612,151)</f>
        <v>2</v>
      </c>
      <c r="D612" s="15" t="n">
        <f aca="false">INDEX(Grid!$J$6:$P$156,C612+1,B612+1)</f>
        <v>1</v>
      </c>
      <c r="E612" s="16" t="n">
        <f aca="false">IF(D612=1,INDEX(Grid!$B$6:$H$156,C612+1,B612+1),"")</f>
        <v>259.062391867963</v>
      </c>
      <c r="F612" s="13" t="n">
        <f aca="false">Val_pt*(Ceiling_e-E_zero)*(1-(1-Half_gap)^B612)</f>
        <v>131.25</v>
      </c>
      <c r="G612" s="15" t="n">
        <f aca="false">C612</f>
        <v>2</v>
      </c>
      <c r="H612" s="15" t="n">
        <f aca="false">IF(D612=1,INDEX(Grid!$R$6:$X$156,C612+1,B612+1),"")</f>
        <v>57</v>
      </c>
      <c r="I612" s="2" t="str">
        <f aca="false">IF(D612=1,INDEX(Sch_label,H612+1),"")</f>
        <v>1–3, 6</v>
      </c>
      <c r="J612" s="15" t="n">
        <f aca="false">IF(D612=1,INDEX(Grid!$Z$6:$AF$156,C612+1,B612+1),0)</f>
        <v>1</v>
      </c>
      <c r="K612" s="16" t="n">
        <f aca="false">IF(J612=1,E612,0)</f>
        <v>259.062391867963</v>
      </c>
      <c r="L612" s="17" t="n">
        <f aca="false">IF(D612=1,E612+W_board*F612,"")</f>
        <v>999.934425063546</v>
      </c>
      <c r="M612" s="24" t="n">
        <v>1</v>
      </c>
      <c r="N612" s="25" t="n">
        <v>0.219944509271655</v>
      </c>
      <c r="O612" s="25" t="n">
        <v>0.697229795554385</v>
      </c>
      <c r="P612" s="25" t="n">
        <v>0.0828256951739603</v>
      </c>
      <c r="Z612" s="12" t="n">
        <f aca="false">IF(AND($J612=1,$M612=1),N612*E612/Span_P+O612*F612/Span_S+P612*G612/Span_B,"")</f>
        <v>1.50793286605517</v>
      </c>
      <c r="AA612" s="12" t="n">
        <f aca="false">IF(AND($J612=1,$M612=1),SUMPRODUCT(MAX($J$6:$J$1062*(N612*$K$6:$K$1062/Span_P+O612*$F$6:$F$1062/Span_S+P612*$G$6:$G$1062/Span_B)-(1-$J$6:$J$1062)*1000000000)),"")</f>
        <v>1.50793286605518</v>
      </c>
      <c r="AB612" s="15" t="n">
        <f aca="false">IF(AND($J612=1,$M612=1),IF(AA612-Z612&lt;=0.000000001,1,0),"")</f>
        <v>1</v>
      </c>
      <c r="AC612" s="13" t="str">
        <f aca="false">IF(AND($J612=1,$M612=0),IF(S612="",0,S612*INDEX(Grid!$B$6:$H$156,R612+1,Q612+1))+IF(V612="",0,V612*INDEX(Grid!$B$6:$H$156,U612+1,T612+1))+IF(Y612="",0,Y612*INDEX(Grid!$B$6:$H$156,X612+1,W612+1)),"")</f>
        <v/>
      </c>
      <c r="AD612" s="13" t="str">
        <f aca="false">IF(AND($J612=1,$M612=0),IF(S612="",0,S612*Val_pt*(Ceiling_e-E_zero)*(1-(1-Half_gap)^Q612))+IF(V612="",0,V612*Val_pt*(Ceiling_e-E_zero)*(1-(1-Half_gap)^T612))+IF(Y612="",0,Y612*Val_pt*(Ceiling_e-E_zero)*(1-(1-Half_gap)^W612)),"")</f>
        <v/>
      </c>
      <c r="AE612" s="13" t="str">
        <f aca="false">IF(AND($J612=1,$M612=0),IF(S612="",0,S612*R612)+IF(V612="",0,V612*U612)+IF(Y612="",0,Y612*X612),"")</f>
        <v/>
      </c>
      <c r="AF612" s="12" t="str">
        <f aca="false">IF(AND($J612=1,$M612=0),MIN((AC612-E612)/Span_P,(AD612-F612)/Span_S,(AE612-G612)/Span_B),"")</f>
        <v/>
      </c>
      <c r="AG612" s="15" t="str">
        <f aca="false">IF(AND($J612=1,$M612=0),IF(AF612&gt;0.0000001,1,0),"")</f>
        <v/>
      </c>
      <c r="AH612" s="15" t="n">
        <f aca="false">IF($J612=1,IF($M612=1,AB612,AG612),"")</f>
        <v>1</v>
      </c>
      <c r="AI612" s="13" t="n">
        <f aca="false">IF($J612=1,(Ideal_P-E612)/Span_P,"")</f>
        <v>0.345500510943768</v>
      </c>
      <c r="AJ612" s="13" t="n">
        <f aca="false">IF($J612=1,(Ideal_S-F612)/Span_S,"")</f>
        <v>0.0967741935483871</v>
      </c>
      <c r="AK612" s="13" t="n">
        <f aca="false">IF($J612=1,(Ideal_B-G612)/Span_B,"")</f>
        <v>0.986666666666667</v>
      </c>
      <c r="AL612" s="12" t="n">
        <f aca="false">IF($J612=1,MAX(ChA_1*AI612,ChA_2*AJ612,ChA_3*AK612)+Rho*(ChA_1*AI612+ChA_2*AJ612+ChA_3*AK612),"")</f>
        <v>0.986809560803783</v>
      </c>
      <c r="AM612" s="12" t="n">
        <f aca="false">IF($J612=1,MAX(ChB_1*AI612,ChB_2*AJ612,ChB_3*AK612)+Rho*(ChB_1*AI612+ChB_2*AJ612+ChB_3*AK612),"")</f>
        <v>0.986844110854877</v>
      </c>
      <c r="AN612" s="12" t="n">
        <f aca="false">IF($J612=1,MAX(Cx_1*(Ref_P-E612)/Span_P,Cx_2*(Ref_S-F612)/Span_S,Cx_3*(Ref_B-G612)/Span_B),"")</f>
        <v>2.51260504201681</v>
      </c>
    </row>
    <row r="613" customFormat="false" ht="15" hidden="false" customHeight="false" outlineLevel="0" collapsed="false">
      <c r="A613" s="2" t="n">
        <v>607</v>
      </c>
      <c r="B613" s="15" t="n">
        <f aca="false">INT(A613/151)</f>
        <v>4</v>
      </c>
      <c r="C613" s="15" t="n">
        <f aca="false">MOD(A613,151)</f>
        <v>3</v>
      </c>
      <c r="D613" s="15" t="n">
        <f aca="false">INDEX(Grid!$J$6:$P$156,C613+1,B613+1)</f>
        <v>1</v>
      </c>
      <c r="E613" s="16" t="n">
        <f aca="false">IF(D613=1,INDEX(Grid!$B$6:$H$156,C613+1,B613+1),"")</f>
        <v>258.153300958872</v>
      </c>
      <c r="F613" s="13" t="n">
        <f aca="false">Val_pt*(Ceiling_e-E_zero)*(1-(1-Half_gap)^B613)</f>
        <v>131.25</v>
      </c>
      <c r="G613" s="15" t="n">
        <f aca="false">C613</f>
        <v>3</v>
      </c>
      <c r="H613" s="15" t="n">
        <f aca="false">IF(D613=1,INDEX(Grid!$R$6:$X$156,C613+1,B613+1),"")</f>
        <v>57</v>
      </c>
      <c r="I613" s="2" t="str">
        <f aca="false">IF(D613=1,INDEX(Sch_label,H613+1),"")</f>
        <v>1–3, 6</v>
      </c>
      <c r="J613" s="15" t="n">
        <f aca="false">IF(D613=1,INDEX(Grid!$Z$6:$AF$156,C613+1,B613+1),0)</f>
        <v>1</v>
      </c>
      <c r="K613" s="16" t="n">
        <f aca="false">IF(J613=1,E613,0)</f>
        <v>258.153300958872</v>
      </c>
      <c r="L613" s="17" t="n">
        <f aca="false">IF(D613=1,E613+W_board*F613,"")</f>
        <v>999.025334154455</v>
      </c>
      <c r="M613" s="24" t="n">
        <v>1</v>
      </c>
      <c r="N613" s="25" t="n">
        <v>0.219944509271637</v>
      </c>
      <c r="O613" s="25" t="n">
        <v>0.697229795554421</v>
      </c>
      <c r="P613" s="25" t="n">
        <v>0.0828256951739425</v>
      </c>
      <c r="Z613" s="12" t="n">
        <f aca="false">IF(AND($J613=1,$M613=1),N613*E613/Span_P+O613*F613/Span_S+P613*G613/Span_B,"")</f>
        <v>1.50793286605523</v>
      </c>
      <c r="AA613" s="12" t="n">
        <f aca="false">IF(AND($J613=1,$M613=1),SUMPRODUCT(MAX($J$6:$J$1062*(N613*$K$6:$K$1062/Span_P+O613*$F$6:$F$1062/Span_S+P613*$G$6:$G$1062/Span_B)-(1-$J$6:$J$1062)*1000000000)),"")</f>
        <v>1.50793286605523</v>
      </c>
      <c r="AB613" s="15" t="n">
        <f aca="false">IF(AND($J613=1,$M613=1),IF(AA613-Z613&lt;=0.000000001,1,0),"")</f>
        <v>1</v>
      </c>
      <c r="AC613" s="13" t="str">
        <f aca="false">IF(AND($J613=1,$M613=0),IF(S613="",0,S613*INDEX(Grid!$B$6:$H$156,R613+1,Q613+1))+IF(V613="",0,V613*INDEX(Grid!$B$6:$H$156,U613+1,T613+1))+IF(Y613="",0,Y613*INDEX(Grid!$B$6:$H$156,X613+1,W613+1)),"")</f>
        <v/>
      </c>
      <c r="AD613" s="13" t="str">
        <f aca="false">IF(AND($J613=1,$M613=0),IF(S613="",0,S613*Val_pt*(Ceiling_e-E_zero)*(1-(1-Half_gap)^Q613))+IF(V613="",0,V613*Val_pt*(Ceiling_e-E_zero)*(1-(1-Half_gap)^T613))+IF(Y613="",0,Y613*Val_pt*(Ceiling_e-E_zero)*(1-(1-Half_gap)^W613)),"")</f>
        <v/>
      </c>
      <c r="AE613" s="13" t="str">
        <f aca="false">IF(AND($J613=1,$M613=0),IF(S613="",0,S613*R613)+IF(V613="",0,V613*U613)+IF(Y613="",0,Y613*X613),"")</f>
        <v/>
      </c>
      <c r="AF613" s="12" t="str">
        <f aca="false">IF(AND($J613=1,$M613=0),MIN((AC613-E613)/Span_P,(AD613-F613)/Span_S,(AE613-G613)/Span_B),"")</f>
        <v/>
      </c>
      <c r="AG613" s="15" t="str">
        <f aca="false">IF(AND($J613=1,$M613=0),IF(AF613&gt;0.0000001,1,0),"")</f>
        <v/>
      </c>
      <c r="AH613" s="15" t="n">
        <f aca="false">IF($J613=1,IF($M613=1,AB613,AG613),"")</f>
        <v>1</v>
      </c>
      <c r="AI613" s="13" t="n">
        <f aca="false">IF($J613=1,(Ideal_P-E613)/Span_P,"")</f>
        <v>0.348011013720074</v>
      </c>
      <c r="AJ613" s="13" t="n">
        <f aca="false">IF($J613=1,(Ideal_S-F613)/Span_S,"")</f>
        <v>0.0967741935483871</v>
      </c>
      <c r="AK613" s="13" t="n">
        <f aca="false">IF($J613=1,(Ideal_B-G613)/Span_B,"")</f>
        <v>0.98</v>
      </c>
      <c r="AL613" s="12" t="n">
        <f aca="false">IF($J613=1,MAX(ChA_1*AI613,ChA_2*AJ613,ChA_3*AK613)+Rho*(ChA_1*AI613+ChA_2*AJ613+ChA_3*AK613),"")</f>
        <v>0.980142478520727</v>
      </c>
      <c r="AM613" s="12" t="n">
        <f aca="false">IF($J613=1,MAX(ChB_1*AI613,ChB_2*AJ613,ChB_3*AK613)+Rho*(ChB_1*AI613+ChB_2*AJ613+ChB_3*AK613),"")</f>
        <v>0.980177279622099</v>
      </c>
      <c r="AN613" s="12" t="n">
        <f aca="false">IF($J613=1,MAX(Cx_1*(Ref_P-E613)/Span_P,Cx_2*(Ref_S-F613)/Span_S,Cx_3*(Ref_B-G613)/Span_B),"")</f>
        <v>2.49579831932773</v>
      </c>
    </row>
    <row r="614" customFormat="false" ht="15" hidden="false" customHeight="false" outlineLevel="0" collapsed="false">
      <c r="A614" s="2" t="n">
        <v>608</v>
      </c>
      <c r="B614" s="15" t="n">
        <f aca="false">INT(A614/151)</f>
        <v>4</v>
      </c>
      <c r="C614" s="15" t="n">
        <f aca="false">MOD(A614,151)</f>
        <v>4</v>
      </c>
      <c r="D614" s="15" t="n">
        <f aca="false">INDEX(Grid!$J$6:$P$156,C614+1,B614+1)</f>
        <v>1</v>
      </c>
      <c r="E614" s="16" t="n">
        <f aca="false">IF(D614=1,INDEX(Grid!$B$6:$H$156,C614+1,B614+1),"")</f>
        <v>257.244210049781</v>
      </c>
      <c r="F614" s="13" t="n">
        <f aca="false">Val_pt*(Ceiling_e-E_zero)*(1-(1-Half_gap)^B614)</f>
        <v>131.25</v>
      </c>
      <c r="G614" s="15" t="n">
        <f aca="false">C614</f>
        <v>4</v>
      </c>
      <c r="H614" s="15" t="n">
        <f aca="false">IF(D614=1,INDEX(Grid!$R$6:$X$156,C614+1,B614+1),"")</f>
        <v>57</v>
      </c>
      <c r="I614" s="2" t="str">
        <f aca="false">IF(D614=1,INDEX(Sch_label,H614+1),"")</f>
        <v>1–3, 6</v>
      </c>
      <c r="J614" s="15" t="n">
        <f aca="false">IF(D614=1,INDEX(Grid!$Z$6:$AF$156,C614+1,B614+1),0)</f>
        <v>1</v>
      </c>
      <c r="K614" s="16" t="n">
        <f aca="false">IF(J614=1,E614,0)</f>
        <v>257.244210049781</v>
      </c>
      <c r="L614" s="17" t="n">
        <f aca="false">IF(D614=1,E614+W_board*F614,"")</f>
        <v>998.116243245364</v>
      </c>
      <c r="M614" s="24" t="n">
        <v>1</v>
      </c>
      <c r="N614" s="25" t="n">
        <v>0.219944509271654</v>
      </c>
      <c r="O614" s="25" t="n">
        <v>0.697229795554386</v>
      </c>
      <c r="P614" s="25" t="n">
        <v>0.0828256951739602</v>
      </c>
      <c r="Z614" s="12" t="n">
        <f aca="false">IF(AND($J614=1,$M614=1),N614*E614/Span_P+O614*F614/Span_S+P614*G614/Span_B,"")</f>
        <v>1.50793286605517</v>
      </c>
      <c r="AA614" s="12" t="n">
        <f aca="false">IF(AND($J614=1,$M614=1),SUMPRODUCT(MAX($J$6:$J$1062*(N614*$K$6:$K$1062/Span_P+O614*$F$6:$F$1062/Span_S+P614*$G$6:$G$1062/Span_B)-(1-$J$6:$J$1062)*1000000000)),"")</f>
        <v>1.50793286605518</v>
      </c>
      <c r="AB614" s="15" t="n">
        <f aca="false">IF(AND($J614=1,$M614=1),IF(AA614-Z614&lt;=0.000000001,1,0),"")</f>
        <v>1</v>
      </c>
      <c r="AC614" s="13" t="str">
        <f aca="false">IF(AND($J614=1,$M614=0),IF(S614="",0,S614*INDEX(Grid!$B$6:$H$156,R614+1,Q614+1))+IF(V614="",0,V614*INDEX(Grid!$B$6:$H$156,U614+1,T614+1))+IF(Y614="",0,Y614*INDEX(Grid!$B$6:$H$156,X614+1,W614+1)),"")</f>
        <v/>
      </c>
      <c r="AD614" s="13" t="str">
        <f aca="false">IF(AND($J614=1,$M614=0),IF(S614="",0,S614*Val_pt*(Ceiling_e-E_zero)*(1-(1-Half_gap)^Q614))+IF(V614="",0,V614*Val_pt*(Ceiling_e-E_zero)*(1-(1-Half_gap)^T614))+IF(Y614="",0,Y614*Val_pt*(Ceiling_e-E_zero)*(1-(1-Half_gap)^W614)),"")</f>
        <v/>
      </c>
      <c r="AE614" s="13" t="str">
        <f aca="false">IF(AND($J614=1,$M614=0),IF(S614="",0,S614*R614)+IF(V614="",0,V614*U614)+IF(Y614="",0,Y614*X614),"")</f>
        <v/>
      </c>
      <c r="AF614" s="12" t="str">
        <f aca="false">IF(AND($J614=1,$M614=0),MIN((AC614-E614)/Span_P,(AD614-F614)/Span_S,(AE614-G614)/Span_B),"")</f>
        <v/>
      </c>
      <c r="AG614" s="15" t="str">
        <f aca="false">IF(AND($J614=1,$M614=0),IF(AF614&gt;0.0000001,1,0),"")</f>
        <v/>
      </c>
      <c r="AH614" s="15" t="n">
        <f aca="false">IF($J614=1,IF($M614=1,AB614,AG614),"")</f>
        <v>1</v>
      </c>
      <c r="AI614" s="13" t="n">
        <f aca="false">IF($J614=1,(Ideal_P-E614)/Span_P,"")</f>
        <v>0.350521516496379</v>
      </c>
      <c r="AJ614" s="13" t="n">
        <f aca="false">IF($J614=1,(Ideal_S-F614)/Span_S,"")</f>
        <v>0.0967741935483871</v>
      </c>
      <c r="AK614" s="13" t="n">
        <f aca="false">IF($J614=1,(Ideal_B-G614)/Span_B,"")</f>
        <v>0.973333333333333</v>
      </c>
      <c r="AL614" s="12" t="n">
        <f aca="false">IF($J614=1,MAX(ChA_1*AI614,ChA_2*AJ614,ChA_3*AK614)+Rho*(ChA_1*AI614+ChA_2*AJ614+ChA_3*AK614),"")</f>
        <v>0.973475396237671</v>
      </c>
      <c r="AM614" s="12" t="n">
        <f aca="false">IF($J614=1,MAX(ChB_1*AI614,ChB_2*AJ614,ChB_3*AK614)+Rho*(ChB_1*AI614+ChB_2*AJ614+ChB_3*AK614),"")</f>
        <v>0.973510448389321</v>
      </c>
      <c r="AN614" s="12" t="n">
        <f aca="false">IF($J614=1,MAX(Cx_1*(Ref_P-E614)/Span_P,Cx_2*(Ref_S-F614)/Span_S,Cx_3*(Ref_B-G614)/Span_B),"")</f>
        <v>2.47899159663866</v>
      </c>
    </row>
    <row r="615" customFormat="false" ht="15" hidden="false" customHeight="false" outlineLevel="0" collapsed="false">
      <c r="A615" s="2" t="n">
        <v>609</v>
      </c>
      <c r="B615" s="15" t="n">
        <f aca="false">INT(A615/151)</f>
        <v>4</v>
      </c>
      <c r="C615" s="15" t="n">
        <f aca="false">MOD(A615,151)</f>
        <v>5</v>
      </c>
      <c r="D615" s="15" t="n">
        <f aca="false">INDEX(Grid!$J$6:$P$156,C615+1,B615+1)</f>
        <v>1</v>
      </c>
      <c r="E615" s="16" t="n">
        <f aca="false">IF(D615=1,INDEX(Grid!$B$6:$H$156,C615+1,B615+1),"")</f>
        <v>256.33511914069</v>
      </c>
      <c r="F615" s="13" t="n">
        <f aca="false">Val_pt*(Ceiling_e-E_zero)*(1-(1-Half_gap)^B615)</f>
        <v>131.25</v>
      </c>
      <c r="G615" s="15" t="n">
        <f aca="false">C615</f>
        <v>5</v>
      </c>
      <c r="H615" s="15" t="n">
        <f aca="false">IF(D615=1,INDEX(Grid!$R$6:$X$156,C615+1,B615+1),"")</f>
        <v>57</v>
      </c>
      <c r="I615" s="2" t="str">
        <f aca="false">IF(D615=1,INDEX(Sch_label,H615+1),"")</f>
        <v>1–3, 6</v>
      </c>
      <c r="J615" s="15" t="n">
        <f aca="false">IF(D615=1,INDEX(Grid!$Z$6:$AF$156,C615+1,B615+1),0)</f>
        <v>1</v>
      </c>
      <c r="K615" s="16" t="n">
        <f aca="false">IF(J615=1,E615,0)</f>
        <v>256.33511914069</v>
      </c>
      <c r="L615" s="17" t="n">
        <f aca="false">IF(D615=1,E615+W_board*F615,"")</f>
        <v>997.207152336273</v>
      </c>
      <c r="M615" s="24" t="n">
        <v>1</v>
      </c>
      <c r="N615" s="25" t="n">
        <v>0.219944509271649</v>
      </c>
      <c r="O615" s="25" t="n">
        <v>0.697229795554397</v>
      </c>
      <c r="P615" s="25" t="n">
        <v>0.0828256951739543</v>
      </c>
      <c r="Z615" s="12" t="n">
        <f aca="false">IF(AND($J615=1,$M615=1),N615*E615/Span_P+O615*F615/Span_S+P615*G615/Span_B,"")</f>
        <v>1.50793286605519</v>
      </c>
      <c r="AA615" s="12" t="n">
        <f aca="false">IF(AND($J615=1,$M615=1),SUMPRODUCT(MAX($J$6:$J$1062*(N615*$K$6:$K$1062/Span_P+O615*$F$6:$F$1062/Span_S+P615*$G$6:$G$1062/Span_B)-(1-$J$6:$J$1062)*1000000000)),"")</f>
        <v>1.50793286605519</v>
      </c>
      <c r="AB615" s="15" t="n">
        <f aca="false">IF(AND($J615=1,$M615=1),IF(AA615-Z615&lt;=0.000000001,1,0),"")</f>
        <v>1</v>
      </c>
      <c r="AC615" s="13" t="str">
        <f aca="false">IF(AND($J615=1,$M615=0),IF(S615="",0,S615*INDEX(Grid!$B$6:$H$156,R615+1,Q615+1))+IF(V615="",0,V615*INDEX(Grid!$B$6:$H$156,U615+1,T615+1))+IF(Y615="",0,Y615*INDEX(Grid!$B$6:$H$156,X615+1,W615+1)),"")</f>
        <v/>
      </c>
      <c r="AD615" s="13" t="str">
        <f aca="false">IF(AND($J615=1,$M615=0),IF(S615="",0,S615*Val_pt*(Ceiling_e-E_zero)*(1-(1-Half_gap)^Q615))+IF(V615="",0,V615*Val_pt*(Ceiling_e-E_zero)*(1-(1-Half_gap)^T615))+IF(Y615="",0,Y615*Val_pt*(Ceiling_e-E_zero)*(1-(1-Half_gap)^W615)),"")</f>
        <v/>
      </c>
      <c r="AE615" s="13" t="str">
        <f aca="false">IF(AND($J615=1,$M615=0),IF(S615="",0,S615*R615)+IF(V615="",0,V615*U615)+IF(Y615="",0,Y615*X615),"")</f>
        <v/>
      </c>
      <c r="AF615" s="12" t="str">
        <f aca="false">IF(AND($J615=1,$M615=0),MIN((AC615-E615)/Span_P,(AD615-F615)/Span_S,(AE615-G615)/Span_B),"")</f>
        <v/>
      </c>
      <c r="AG615" s="15" t="str">
        <f aca="false">IF(AND($J615=1,$M615=0),IF(AF615&gt;0.0000001,1,0),"")</f>
        <v/>
      </c>
      <c r="AH615" s="15" t="n">
        <f aca="false">IF($J615=1,IF($M615=1,AB615,AG615),"")</f>
        <v>1</v>
      </c>
      <c r="AI615" s="13" t="n">
        <f aca="false">IF($J615=1,(Ideal_P-E615)/Span_P,"")</f>
        <v>0.353032019272685</v>
      </c>
      <c r="AJ615" s="13" t="n">
        <f aca="false">IF($J615=1,(Ideal_S-F615)/Span_S,"")</f>
        <v>0.0967741935483871</v>
      </c>
      <c r="AK615" s="13" t="n">
        <f aca="false">IF($J615=1,(Ideal_B-G615)/Span_B,"")</f>
        <v>0.966666666666667</v>
      </c>
      <c r="AL615" s="12" t="n">
        <f aca="false">IF($J615=1,MAX(ChA_1*AI615,ChA_2*AJ615,ChA_3*AK615)+Rho*(ChA_1*AI615+ChA_2*AJ615+ChA_3*AK615),"")</f>
        <v>0.966808313954615</v>
      </c>
      <c r="AM615" s="12" t="n">
        <f aca="false">IF($J615=1,MAX(ChB_1*AI615,ChB_2*AJ615,ChB_3*AK615)+Rho*(ChB_1*AI615+ChB_2*AJ615+ChB_3*AK615),"")</f>
        <v>0.966843617156543</v>
      </c>
      <c r="AN615" s="12" t="n">
        <f aca="false">IF($J615=1,MAX(Cx_1*(Ref_P-E615)/Span_P,Cx_2*(Ref_S-F615)/Span_S,Cx_3*(Ref_B-G615)/Span_B),"")</f>
        <v>2.46218487394958</v>
      </c>
    </row>
    <row r="616" customFormat="false" ht="15" hidden="false" customHeight="false" outlineLevel="0" collapsed="false">
      <c r="A616" s="2" t="n">
        <v>610</v>
      </c>
      <c r="B616" s="15" t="n">
        <f aca="false">INT(A616/151)</f>
        <v>4</v>
      </c>
      <c r="C616" s="15" t="n">
        <f aca="false">MOD(A616,151)</f>
        <v>6</v>
      </c>
      <c r="D616" s="15" t="n">
        <f aca="false">INDEX(Grid!$J$6:$P$156,C616+1,B616+1)</f>
        <v>1</v>
      </c>
      <c r="E616" s="16" t="n">
        <f aca="false">IF(D616=1,INDEX(Grid!$B$6:$H$156,C616+1,B616+1),"")</f>
        <v>255.426028231599</v>
      </c>
      <c r="F616" s="13" t="n">
        <f aca="false">Val_pt*(Ceiling_e-E_zero)*(1-(1-Half_gap)^B616)</f>
        <v>131.25</v>
      </c>
      <c r="G616" s="15" t="n">
        <f aca="false">C616</f>
        <v>6</v>
      </c>
      <c r="H616" s="15" t="n">
        <f aca="false">IF(D616=1,INDEX(Grid!$R$6:$X$156,C616+1,B616+1),"")</f>
        <v>57</v>
      </c>
      <c r="I616" s="2" t="str">
        <f aca="false">IF(D616=1,INDEX(Sch_label,H616+1),"")</f>
        <v>1–3, 6</v>
      </c>
      <c r="J616" s="15" t="n">
        <f aca="false">IF(D616=1,INDEX(Grid!$Z$6:$AF$156,C616+1,B616+1),0)</f>
        <v>1</v>
      </c>
      <c r="K616" s="16" t="n">
        <f aca="false">IF(J616=1,E616,0)</f>
        <v>255.426028231599</v>
      </c>
      <c r="L616" s="17" t="n">
        <f aca="false">IF(D616=1,E616+W_board*F616,"")</f>
        <v>996.298061427182</v>
      </c>
      <c r="M616" s="24" t="n">
        <v>1</v>
      </c>
      <c r="N616" s="25" t="n">
        <v>0.219944509271643</v>
      </c>
      <c r="O616" s="25" t="n">
        <v>0.697229795554409</v>
      </c>
      <c r="P616" s="25" t="n">
        <v>0.0828256951739484</v>
      </c>
      <c r="Z616" s="12" t="n">
        <f aca="false">IF(AND($J616=1,$M616=1),N616*E616/Span_P+O616*F616/Span_S+P616*G616/Span_B,"")</f>
        <v>1.50793286605521</v>
      </c>
      <c r="AA616" s="12" t="n">
        <f aca="false">IF(AND($J616=1,$M616=1),SUMPRODUCT(MAX($J$6:$J$1062*(N616*$K$6:$K$1062/Span_P+O616*$F$6:$F$1062/Span_S+P616*$G$6:$G$1062/Span_B)-(1-$J$6:$J$1062)*1000000000)),"")</f>
        <v>1.50793286605521</v>
      </c>
      <c r="AB616" s="15" t="n">
        <f aca="false">IF(AND($J616=1,$M616=1),IF(AA616-Z616&lt;=0.000000001,1,0),"")</f>
        <v>1</v>
      </c>
      <c r="AC616" s="13" t="str">
        <f aca="false">IF(AND($J616=1,$M616=0),IF(S616="",0,S616*INDEX(Grid!$B$6:$H$156,R616+1,Q616+1))+IF(V616="",0,V616*INDEX(Grid!$B$6:$H$156,U616+1,T616+1))+IF(Y616="",0,Y616*INDEX(Grid!$B$6:$H$156,X616+1,W616+1)),"")</f>
        <v/>
      </c>
      <c r="AD616" s="13" t="str">
        <f aca="false">IF(AND($J616=1,$M616=0),IF(S616="",0,S616*Val_pt*(Ceiling_e-E_zero)*(1-(1-Half_gap)^Q616))+IF(V616="",0,V616*Val_pt*(Ceiling_e-E_zero)*(1-(1-Half_gap)^T616))+IF(Y616="",0,Y616*Val_pt*(Ceiling_e-E_zero)*(1-(1-Half_gap)^W616)),"")</f>
        <v/>
      </c>
      <c r="AE616" s="13" t="str">
        <f aca="false">IF(AND($J616=1,$M616=0),IF(S616="",0,S616*R616)+IF(V616="",0,V616*U616)+IF(Y616="",0,Y616*X616),"")</f>
        <v/>
      </c>
      <c r="AF616" s="12" t="str">
        <f aca="false">IF(AND($J616=1,$M616=0),MIN((AC616-E616)/Span_P,(AD616-F616)/Span_S,(AE616-G616)/Span_B),"")</f>
        <v/>
      </c>
      <c r="AG616" s="15" t="str">
        <f aca="false">IF(AND($J616=1,$M616=0),IF(AF616&gt;0.0000001,1,0),"")</f>
        <v/>
      </c>
      <c r="AH616" s="15" t="n">
        <f aca="false">IF($J616=1,IF($M616=1,AB616,AG616),"")</f>
        <v>1</v>
      </c>
      <c r="AI616" s="13" t="n">
        <f aca="false">IF($J616=1,(Ideal_P-E616)/Span_P,"")</f>
        <v>0.355542522048991</v>
      </c>
      <c r="AJ616" s="13" t="n">
        <f aca="false">IF($J616=1,(Ideal_S-F616)/Span_S,"")</f>
        <v>0.0967741935483871</v>
      </c>
      <c r="AK616" s="13" t="n">
        <f aca="false">IF($J616=1,(Ideal_B-G616)/Span_B,"")</f>
        <v>0.96</v>
      </c>
      <c r="AL616" s="12" t="n">
        <f aca="false">IF($J616=1,MAX(ChA_1*AI616,ChA_2*AJ616,ChA_3*AK616)+Rho*(ChA_1*AI616+ChA_2*AJ616+ChA_3*AK616),"")</f>
        <v>0.96014123167156</v>
      </c>
      <c r="AM616" s="12" t="n">
        <f aca="false">IF($J616=1,MAX(ChB_1*AI616,ChB_2*AJ616,ChB_3*AK616)+Rho*(ChB_1*AI616+ChB_2*AJ616+ChB_3*AK616),"")</f>
        <v>0.960176785923765</v>
      </c>
      <c r="AN616" s="12" t="n">
        <f aca="false">IF($J616=1,MAX(Cx_1*(Ref_P-E616)/Span_P,Cx_2*(Ref_S-F616)/Span_S,Cx_3*(Ref_B-G616)/Span_B),"")</f>
        <v>2.4453781512605</v>
      </c>
    </row>
    <row r="617" customFormat="false" ht="15" hidden="false" customHeight="false" outlineLevel="0" collapsed="false">
      <c r="A617" s="2" t="n">
        <v>611</v>
      </c>
      <c r="B617" s="15" t="n">
        <f aca="false">INT(A617/151)</f>
        <v>4</v>
      </c>
      <c r="C617" s="15" t="n">
        <f aca="false">MOD(A617,151)</f>
        <v>7</v>
      </c>
      <c r="D617" s="15" t="n">
        <f aca="false">INDEX(Grid!$J$6:$P$156,C617+1,B617+1)</f>
        <v>1</v>
      </c>
      <c r="E617" s="16" t="n">
        <f aca="false">IF(D617=1,INDEX(Grid!$B$6:$H$156,C617+1,B617+1),"")</f>
        <v>254.516937322508</v>
      </c>
      <c r="F617" s="13" t="n">
        <f aca="false">Val_pt*(Ceiling_e-E_zero)*(1-(1-Half_gap)^B617)</f>
        <v>131.25</v>
      </c>
      <c r="G617" s="15" t="n">
        <f aca="false">C617</f>
        <v>7</v>
      </c>
      <c r="H617" s="15" t="n">
        <f aca="false">IF(D617=1,INDEX(Grid!$R$6:$X$156,C617+1,B617+1),"")</f>
        <v>57</v>
      </c>
      <c r="I617" s="2" t="str">
        <f aca="false">IF(D617=1,INDEX(Sch_label,H617+1),"")</f>
        <v>1–3, 6</v>
      </c>
      <c r="J617" s="15" t="n">
        <f aca="false">IF(D617=1,INDEX(Grid!$Z$6:$AF$156,C617+1,B617+1),0)</f>
        <v>1</v>
      </c>
      <c r="K617" s="16" t="n">
        <f aca="false">IF(J617=1,E617,0)</f>
        <v>254.516937322508</v>
      </c>
      <c r="L617" s="17" t="n">
        <f aca="false">IF(D617=1,E617+W_board*F617,"")</f>
        <v>995.388970518091</v>
      </c>
      <c r="M617" s="24" t="n">
        <v>1</v>
      </c>
      <c r="N617" s="25" t="n">
        <v>0.219944509271648</v>
      </c>
      <c r="O617" s="25" t="n">
        <v>0.697229795554397</v>
      </c>
      <c r="P617" s="25" t="n">
        <v>0.0828256951739543</v>
      </c>
      <c r="Z617" s="12" t="n">
        <f aca="false">IF(AND($J617=1,$M617=1),N617*E617/Span_P+O617*F617/Span_S+P617*G617/Span_B,"")</f>
        <v>1.50793286605519</v>
      </c>
      <c r="AA617" s="12" t="n">
        <f aca="false">IF(AND($J617=1,$M617=1),SUMPRODUCT(MAX($J$6:$J$1062*(N617*$K$6:$K$1062/Span_P+O617*$F$6:$F$1062/Span_S+P617*$G$6:$G$1062/Span_B)-(1-$J$6:$J$1062)*1000000000)),"")</f>
        <v>1.50793286605519</v>
      </c>
      <c r="AB617" s="15" t="n">
        <f aca="false">IF(AND($J617=1,$M617=1),IF(AA617-Z617&lt;=0.000000001,1,0),"")</f>
        <v>1</v>
      </c>
      <c r="AC617" s="13" t="str">
        <f aca="false">IF(AND($J617=1,$M617=0),IF(S617="",0,S617*INDEX(Grid!$B$6:$H$156,R617+1,Q617+1))+IF(V617="",0,V617*INDEX(Grid!$B$6:$H$156,U617+1,T617+1))+IF(Y617="",0,Y617*INDEX(Grid!$B$6:$H$156,X617+1,W617+1)),"")</f>
        <v/>
      </c>
      <c r="AD617" s="13" t="str">
        <f aca="false">IF(AND($J617=1,$M617=0),IF(S617="",0,S617*Val_pt*(Ceiling_e-E_zero)*(1-(1-Half_gap)^Q617))+IF(V617="",0,V617*Val_pt*(Ceiling_e-E_zero)*(1-(1-Half_gap)^T617))+IF(Y617="",0,Y617*Val_pt*(Ceiling_e-E_zero)*(1-(1-Half_gap)^W617)),"")</f>
        <v/>
      </c>
      <c r="AE617" s="13" t="str">
        <f aca="false">IF(AND($J617=1,$M617=0),IF(S617="",0,S617*R617)+IF(V617="",0,V617*U617)+IF(Y617="",0,Y617*X617),"")</f>
        <v/>
      </c>
      <c r="AF617" s="12" t="str">
        <f aca="false">IF(AND($J617=1,$M617=0),MIN((AC617-E617)/Span_P,(AD617-F617)/Span_S,(AE617-G617)/Span_B),"")</f>
        <v/>
      </c>
      <c r="AG617" s="15" t="str">
        <f aca="false">IF(AND($J617=1,$M617=0),IF(AF617&gt;0.0000001,1,0),"")</f>
        <v/>
      </c>
      <c r="AH617" s="15" t="n">
        <f aca="false">IF($J617=1,IF($M617=1,AB617,AG617),"")</f>
        <v>1</v>
      </c>
      <c r="AI617" s="13" t="n">
        <f aca="false">IF($J617=1,(Ideal_P-E617)/Span_P,"")</f>
        <v>0.358053024825297</v>
      </c>
      <c r="AJ617" s="13" t="n">
        <f aca="false">IF($J617=1,(Ideal_S-F617)/Span_S,"")</f>
        <v>0.0967741935483871</v>
      </c>
      <c r="AK617" s="13" t="n">
        <f aca="false">IF($J617=1,(Ideal_B-G617)/Span_B,"")</f>
        <v>0.953333333333333</v>
      </c>
      <c r="AL617" s="12" t="n">
        <f aca="false">IF($J617=1,MAX(ChA_1*AI617,ChA_2*AJ617,ChA_3*AK617)+Rho*(ChA_1*AI617+ChA_2*AJ617+ChA_3*AK617),"")</f>
        <v>0.953474149388504</v>
      </c>
      <c r="AM617" s="12" t="n">
        <f aca="false">IF($J617=1,MAX(ChB_1*AI617,ChB_2*AJ617,ChB_3*AK617)+Rho*(ChB_1*AI617+ChB_2*AJ617+ChB_3*AK617),"")</f>
        <v>0.953509954690987</v>
      </c>
      <c r="AN617" s="12" t="n">
        <f aca="false">IF($J617=1,MAX(Cx_1*(Ref_P-E617)/Span_P,Cx_2*(Ref_S-F617)/Span_S,Cx_3*(Ref_B-G617)/Span_B),"")</f>
        <v>2.42857142857143</v>
      </c>
    </row>
    <row r="618" customFormat="false" ht="15" hidden="false" customHeight="false" outlineLevel="0" collapsed="false">
      <c r="A618" s="2" t="n">
        <v>612</v>
      </c>
      <c r="B618" s="15" t="n">
        <f aca="false">INT(A618/151)</f>
        <v>4</v>
      </c>
      <c r="C618" s="15" t="n">
        <f aca="false">MOD(A618,151)</f>
        <v>8</v>
      </c>
      <c r="D618" s="15" t="n">
        <f aca="false">INDEX(Grid!$J$6:$P$156,C618+1,B618+1)</f>
        <v>1</v>
      </c>
      <c r="E618" s="16" t="n">
        <f aca="false">IF(D618=1,INDEX(Grid!$B$6:$H$156,C618+1,B618+1),"")</f>
        <v>253.607846413417</v>
      </c>
      <c r="F618" s="13" t="n">
        <f aca="false">Val_pt*(Ceiling_e-E_zero)*(1-(1-Half_gap)^B618)</f>
        <v>131.25</v>
      </c>
      <c r="G618" s="15" t="n">
        <f aca="false">C618</f>
        <v>8</v>
      </c>
      <c r="H618" s="15" t="n">
        <f aca="false">IF(D618=1,INDEX(Grid!$R$6:$X$156,C618+1,B618+1),"")</f>
        <v>57</v>
      </c>
      <c r="I618" s="2" t="str">
        <f aca="false">IF(D618=1,INDEX(Sch_label,H618+1),"")</f>
        <v>1–3, 6</v>
      </c>
      <c r="J618" s="15" t="n">
        <f aca="false">IF(D618=1,INDEX(Grid!$Z$6:$AF$156,C618+1,B618+1),0)</f>
        <v>1</v>
      </c>
      <c r="K618" s="16" t="n">
        <f aca="false">IF(J618=1,E618,0)</f>
        <v>253.607846413417</v>
      </c>
      <c r="L618" s="17" t="n">
        <f aca="false">IF(D618=1,E618+W_board*F618,"")</f>
        <v>994.479879609</v>
      </c>
      <c r="M618" s="24" t="n">
        <v>1</v>
      </c>
      <c r="N618" s="25" t="n">
        <v>0.219944509271637</v>
      </c>
      <c r="O618" s="25" t="n">
        <v>0.69722979555442</v>
      </c>
      <c r="P618" s="25" t="n">
        <v>0.0828256951739428</v>
      </c>
      <c r="Z618" s="12" t="n">
        <f aca="false">IF(AND($J618=1,$M618=1),N618*E618/Span_P+O618*F618/Span_S+P618*G618/Span_B,"")</f>
        <v>1.50793286605523</v>
      </c>
      <c r="AA618" s="12" t="n">
        <f aca="false">IF(AND($J618=1,$M618=1),SUMPRODUCT(MAX($J$6:$J$1062*(N618*$K$6:$K$1062/Span_P+O618*$F$6:$F$1062/Span_S+P618*$G$6:$G$1062/Span_B)-(1-$J$6:$J$1062)*1000000000)),"")</f>
        <v>1.50793286605523</v>
      </c>
      <c r="AB618" s="15" t="n">
        <f aca="false">IF(AND($J618=1,$M618=1),IF(AA618-Z618&lt;=0.000000001,1,0),"")</f>
        <v>1</v>
      </c>
      <c r="AC618" s="13" t="str">
        <f aca="false">IF(AND($J618=1,$M618=0),IF(S618="",0,S618*INDEX(Grid!$B$6:$H$156,R618+1,Q618+1))+IF(V618="",0,V618*INDEX(Grid!$B$6:$H$156,U618+1,T618+1))+IF(Y618="",0,Y618*INDEX(Grid!$B$6:$H$156,X618+1,W618+1)),"")</f>
        <v/>
      </c>
      <c r="AD618" s="13" t="str">
        <f aca="false">IF(AND($J618=1,$M618=0),IF(S618="",0,S618*Val_pt*(Ceiling_e-E_zero)*(1-(1-Half_gap)^Q618))+IF(V618="",0,V618*Val_pt*(Ceiling_e-E_zero)*(1-(1-Half_gap)^T618))+IF(Y618="",0,Y618*Val_pt*(Ceiling_e-E_zero)*(1-(1-Half_gap)^W618)),"")</f>
        <v/>
      </c>
      <c r="AE618" s="13" t="str">
        <f aca="false">IF(AND($J618=1,$M618=0),IF(S618="",0,S618*R618)+IF(V618="",0,V618*U618)+IF(Y618="",0,Y618*X618),"")</f>
        <v/>
      </c>
      <c r="AF618" s="12" t="str">
        <f aca="false">IF(AND($J618=1,$M618=0),MIN((AC618-E618)/Span_P,(AD618-F618)/Span_S,(AE618-G618)/Span_B),"")</f>
        <v/>
      </c>
      <c r="AG618" s="15" t="str">
        <f aca="false">IF(AND($J618=1,$M618=0),IF(AF618&gt;0.0000001,1,0),"")</f>
        <v/>
      </c>
      <c r="AH618" s="15" t="n">
        <f aca="false">IF($J618=1,IF($M618=1,AB618,AG618),"")</f>
        <v>1</v>
      </c>
      <c r="AI618" s="13" t="n">
        <f aca="false">IF($J618=1,(Ideal_P-E618)/Span_P,"")</f>
        <v>0.360563527601602</v>
      </c>
      <c r="AJ618" s="13" t="n">
        <f aca="false">IF($J618=1,(Ideal_S-F618)/Span_S,"")</f>
        <v>0.0967741935483871</v>
      </c>
      <c r="AK618" s="13" t="n">
        <f aca="false">IF($J618=1,(Ideal_B-G618)/Span_B,"")</f>
        <v>0.946666666666667</v>
      </c>
      <c r="AL618" s="12" t="n">
        <f aca="false">IF($J618=1,MAX(ChA_1*AI618,ChA_2*AJ618,ChA_3*AK618)+Rho*(ChA_1*AI618+ChA_2*AJ618+ChA_3*AK618),"")</f>
        <v>0.946807067105448</v>
      </c>
      <c r="AM618" s="12" t="n">
        <f aca="false">IF($J618=1,MAX(ChB_1*AI618,ChB_2*AJ618,ChB_3*AK618)+Rho*(ChB_1*AI618+ChB_2*AJ618+ChB_3*AK618),"")</f>
        <v>0.946843123458209</v>
      </c>
      <c r="AN618" s="12" t="n">
        <f aca="false">IF($J618=1,MAX(Cx_1*(Ref_P-E618)/Span_P,Cx_2*(Ref_S-F618)/Span_S,Cx_3*(Ref_B-G618)/Span_B),"")</f>
        <v>2.41176470588235</v>
      </c>
    </row>
    <row r="619" customFormat="false" ht="15" hidden="false" customHeight="false" outlineLevel="0" collapsed="false">
      <c r="A619" s="2" t="n">
        <v>613</v>
      </c>
      <c r="B619" s="15" t="n">
        <f aca="false">INT(A619/151)</f>
        <v>4</v>
      </c>
      <c r="C619" s="15" t="n">
        <f aca="false">MOD(A619,151)</f>
        <v>9</v>
      </c>
      <c r="D619" s="15" t="n">
        <f aca="false">INDEX(Grid!$J$6:$P$156,C619+1,B619+1)</f>
        <v>1</v>
      </c>
      <c r="E619" s="16" t="n">
        <f aca="false">IF(D619=1,INDEX(Grid!$B$6:$H$156,C619+1,B619+1),"")</f>
        <v>252.698755504326</v>
      </c>
      <c r="F619" s="13" t="n">
        <f aca="false">Val_pt*(Ceiling_e-E_zero)*(1-(1-Half_gap)^B619)</f>
        <v>131.25</v>
      </c>
      <c r="G619" s="15" t="n">
        <f aca="false">C619</f>
        <v>9</v>
      </c>
      <c r="H619" s="15" t="n">
        <f aca="false">IF(D619=1,INDEX(Grid!$R$6:$X$156,C619+1,B619+1),"")</f>
        <v>57</v>
      </c>
      <c r="I619" s="2" t="str">
        <f aca="false">IF(D619=1,INDEX(Sch_label,H619+1),"")</f>
        <v>1–3, 6</v>
      </c>
      <c r="J619" s="15" t="n">
        <f aca="false">IF(D619=1,INDEX(Grid!$Z$6:$AF$156,C619+1,B619+1),0)</f>
        <v>1</v>
      </c>
      <c r="K619" s="16" t="n">
        <f aca="false">IF(J619=1,E619,0)</f>
        <v>252.698755504326</v>
      </c>
      <c r="L619" s="17" t="n">
        <f aca="false">IF(D619=1,E619+W_board*F619,"")</f>
        <v>993.570788699909</v>
      </c>
      <c r="M619" s="24" t="n">
        <v>1</v>
      </c>
      <c r="N619" s="25" t="n">
        <v>0.219944509271654</v>
      </c>
      <c r="O619" s="25" t="n">
        <v>0.697229795554386</v>
      </c>
      <c r="P619" s="25" t="n">
        <v>0.08282569517396</v>
      </c>
      <c r="Z619" s="12" t="n">
        <f aca="false">IF(AND($J619=1,$M619=1),N619*E619/Span_P+O619*F619/Span_S+P619*G619/Span_B,"")</f>
        <v>1.50793286605517</v>
      </c>
      <c r="AA619" s="12" t="n">
        <f aca="false">IF(AND($J619=1,$M619=1),SUMPRODUCT(MAX($J$6:$J$1062*(N619*$K$6:$K$1062/Span_P+O619*$F$6:$F$1062/Span_S+P619*$G$6:$G$1062/Span_B)-(1-$J$6:$J$1062)*1000000000)),"")</f>
        <v>1.50793286605518</v>
      </c>
      <c r="AB619" s="15" t="n">
        <f aca="false">IF(AND($J619=1,$M619=1),IF(AA619-Z619&lt;=0.000000001,1,0),"")</f>
        <v>1</v>
      </c>
      <c r="AC619" s="13" t="str">
        <f aca="false">IF(AND($J619=1,$M619=0),IF(S619="",0,S619*INDEX(Grid!$B$6:$H$156,R619+1,Q619+1))+IF(V619="",0,V619*INDEX(Grid!$B$6:$H$156,U619+1,T619+1))+IF(Y619="",0,Y619*INDEX(Grid!$B$6:$H$156,X619+1,W619+1)),"")</f>
        <v/>
      </c>
      <c r="AD619" s="13" t="str">
        <f aca="false">IF(AND($J619=1,$M619=0),IF(S619="",0,S619*Val_pt*(Ceiling_e-E_zero)*(1-(1-Half_gap)^Q619))+IF(V619="",0,V619*Val_pt*(Ceiling_e-E_zero)*(1-(1-Half_gap)^T619))+IF(Y619="",0,Y619*Val_pt*(Ceiling_e-E_zero)*(1-(1-Half_gap)^W619)),"")</f>
        <v/>
      </c>
      <c r="AE619" s="13" t="str">
        <f aca="false">IF(AND($J619=1,$M619=0),IF(S619="",0,S619*R619)+IF(V619="",0,V619*U619)+IF(Y619="",0,Y619*X619),"")</f>
        <v/>
      </c>
      <c r="AF619" s="12" t="str">
        <f aca="false">IF(AND($J619=1,$M619=0),MIN((AC619-E619)/Span_P,(AD619-F619)/Span_S,(AE619-G619)/Span_B),"")</f>
        <v/>
      </c>
      <c r="AG619" s="15" t="str">
        <f aca="false">IF(AND($J619=1,$M619=0),IF(AF619&gt;0.0000001,1,0),"")</f>
        <v/>
      </c>
      <c r="AH619" s="15" t="n">
        <f aca="false">IF($J619=1,IF($M619=1,AB619,AG619),"")</f>
        <v>1</v>
      </c>
      <c r="AI619" s="13" t="n">
        <f aca="false">IF($J619=1,(Ideal_P-E619)/Span_P,"")</f>
        <v>0.363074030377908</v>
      </c>
      <c r="AJ619" s="13" t="n">
        <f aca="false">IF($J619=1,(Ideal_S-F619)/Span_S,"")</f>
        <v>0.0967741935483871</v>
      </c>
      <c r="AK619" s="13" t="n">
        <f aca="false">IF($J619=1,(Ideal_B-G619)/Span_B,"")</f>
        <v>0.94</v>
      </c>
      <c r="AL619" s="12" t="n">
        <f aca="false">IF($J619=1,MAX(ChA_1*AI619,ChA_2*AJ619,ChA_3*AK619)+Rho*(ChA_1*AI619+ChA_2*AJ619+ChA_3*AK619),"")</f>
        <v>0.940139984822393</v>
      </c>
      <c r="AM619" s="12" t="n">
        <f aca="false">IF($J619=1,MAX(ChB_1*AI619,ChB_2*AJ619,ChB_3*AK619)+Rho*(ChB_1*AI619+ChB_2*AJ619+ChB_3*AK619),"")</f>
        <v>0.94017629222543</v>
      </c>
      <c r="AN619" s="12" t="n">
        <f aca="false">IF($J619=1,MAX(Cx_1*(Ref_P-E619)/Span_P,Cx_2*(Ref_S-F619)/Span_S,Cx_3*(Ref_B-G619)/Span_B),"")</f>
        <v>2.39495798319328</v>
      </c>
    </row>
    <row r="620" customFormat="false" ht="15" hidden="false" customHeight="false" outlineLevel="0" collapsed="false">
      <c r="A620" s="2" t="n">
        <v>614</v>
      </c>
      <c r="B620" s="15" t="n">
        <f aca="false">INT(A620/151)</f>
        <v>4</v>
      </c>
      <c r="C620" s="15" t="n">
        <f aca="false">MOD(A620,151)</f>
        <v>10</v>
      </c>
      <c r="D620" s="15" t="n">
        <f aca="false">INDEX(Grid!$J$6:$P$156,C620+1,B620+1)</f>
        <v>1</v>
      </c>
      <c r="E620" s="16" t="n">
        <f aca="false">IF(D620=1,INDEX(Grid!$B$6:$H$156,C620+1,B620+1),"")</f>
        <v>251.789664595236</v>
      </c>
      <c r="F620" s="13" t="n">
        <f aca="false">Val_pt*(Ceiling_e-E_zero)*(1-(1-Half_gap)^B620)</f>
        <v>131.25</v>
      </c>
      <c r="G620" s="15" t="n">
        <f aca="false">C620</f>
        <v>10</v>
      </c>
      <c r="H620" s="15" t="n">
        <f aca="false">IF(D620=1,INDEX(Grid!$R$6:$X$156,C620+1,B620+1),"")</f>
        <v>57</v>
      </c>
      <c r="I620" s="2" t="str">
        <f aca="false">IF(D620=1,INDEX(Sch_label,H620+1),"")</f>
        <v>1–3, 6</v>
      </c>
      <c r="J620" s="15" t="n">
        <f aca="false">IF(D620=1,INDEX(Grid!$Z$6:$AF$156,C620+1,B620+1),0)</f>
        <v>1</v>
      </c>
      <c r="K620" s="16" t="n">
        <f aca="false">IF(J620=1,E620,0)</f>
        <v>251.789664595236</v>
      </c>
      <c r="L620" s="17" t="n">
        <f aca="false">IF(D620=1,E620+W_board*F620,"")</f>
        <v>992.661697790818</v>
      </c>
      <c r="M620" s="24" t="n">
        <v>1</v>
      </c>
      <c r="N620" s="25" t="n">
        <v>0.219944509271643</v>
      </c>
      <c r="O620" s="25" t="n">
        <v>0.697229795554408</v>
      </c>
      <c r="P620" s="25" t="n">
        <v>0.0828256951739485</v>
      </c>
      <c r="Z620" s="12" t="n">
        <f aca="false">IF(AND($J620=1,$M620=1),N620*E620/Span_P+O620*F620/Span_S+P620*G620/Span_B,"")</f>
        <v>1.50793286605521</v>
      </c>
      <c r="AA620" s="12" t="n">
        <f aca="false">IF(AND($J620=1,$M620=1),SUMPRODUCT(MAX($J$6:$J$1062*(N620*$K$6:$K$1062/Span_P+O620*$F$6:$F$1062/Span_S+P620*$G$6:$G$1062/Span_B)-(1-$J$6:$J$1062)*1000000000)),"")</f>
        <v>1.50793286605521</v>
      </c>
      <c r="AB620" s="15" t="n">
        <f aca="false">IF(AND($J620=1,$M620=1),IF(AA620-Z620&lt;=0.000000001,1,0),"")</f>
        <v>1</v>
      </c>
      <c r="AC620" s="13" t="str">
        <f aca="false">IF(AND($J620=1,$M620=0),IF(S620="",0,S620*INDEX(Grid!$B$6:$H$156,R620+1,Q620+1))+IF(V620="",0,V620*INDEX(Grid!$B$6:$H$156,U620+1,T620+1))+IF(Y620="",0,Y620*INDEX(Grid!$B$6:$H$156,X620+1,W620+1)),"")</f>
        <v/>
      </c>
      <c r="AD620" s="13" t="str">
        <f aca="false">IF(AND($J620=1,$M620=0),IF(S620="",0,S620*Val_pt*(Ceiling_e-E_zero)*(1-(1-Half_gap)^Q620))+IF(V620="",0,V620*Val_pt*(Ceiling_e-E_zero)*(1-(1-Half_gap)^T620))+IF(Y620="",0,Y620*Val_pt*(Ceiling_e-E_zero)*(1-(1-Half_gap)^W620)),"")</f>
        <v/>
      </c>
      <c r="AE620" s="13" t="str">
        <f aca="false">IF(AND($J620=1,$M620=0),IF(S620="",0,S620*R620)+IF(V620="",0,V620*U620)+IF(Y620="",0,Y620*X620),"")</f>
        <v/>
      </c>
      <c r="AF620" s="12" t="str">
        <f aca="false">IF(AND($J620=1,$M620=0),MIN((AC620-E620)/Span_P,(AD620-F620)/Span_S,(AE620-G620)/Span_B),"")</f>
        <v/>
      </c>
      <c r="AG620" s="15" t="str">
        <f aca="false">IF(AND($J620=1,$M620=0),IF(AF620&gt;0.0000001,1,0),"")</f>
        <v/>
      </c>
      <c r="AH620" s="15" t="n">
        <f aca="false">IF($J620=1,IF($M620=1,AB620,AG620),"")</f>
        <v>1</v>
      </c>
      <c r="AI620" s="13" t="n">
        <f aca="false">IF($J620=1,(Ideal_P-E620)/Span_P,"")</f>
        <v>0.365584533154214</v>
      </c>
      <c r="AJ620" s="13" t="n">
        <f aca="false">IF($J620=1,(Ideal_S-F620)/Span_S,"")</f>
        <v>0.0967741935483871</v>
      </c>
      <c r="AK620" s="13" t="n">
        <f aca="false">IF($J620=1,(Ideal_B-G620)/Span_B,"")</f>
        <v>0.933333333333333</v>
      </c>
      <c r="AL620" s="12" t="n">
        <f aca="false">IF($J620=1,MAX(ChA_1*AI620,ChA_2*AJ620,ChA_3*AK620)+Rho*(ChA_1*AI620+ChA_2*AJ620+ChA_3*AK620),"")</f>
        <v>0.933472902539337</v>
      </c>
      <c r="AM620" s="12" t="n">
        <f aca="false">IF($J620=1,MAX(ChB_1*AI620,ChB_2*AJ620,ChB_3*AK620)+Rho*(ChB_1*AI620+ChB_2*AJ620+ChB_3*AK620),"")</f>
        <v>0.933509460992652</v>
      </c>
      <c r="AN620" s="12" t="n">
        <f aca="false">IF($J620=1,MAX(Cx_1*(Ref_P-E620)/Span_P,Cx_2*(Ref_S-F620)/Span_S,Cx_3*(Ref_B-G620)/Span_B),"")</f>
        <v>2.3781512605042</v>
      </c>
    </row>
    <row r="621" customFormat="false" ht="15" hidden="false" customHeight="false" outlineLevel="0" collapsed="false">
      <c r="A621" s="2" t="n">
        <v>615</v>
      </c>
      <c r="B621" s="15" t="n">
        <f aca="false">INT(A621/151)</f>
        <v>4</v>
      </c>
      <c r="C621" s="15" t="n">
        <f aca="false">MOD(A621,151)</f>
        <v>11</v>
      </c>
      <c r="D621" s="15" t="n">
        <f aca="false">INDEX(Grid!$J$6:$P$156,C621+1,B621+1)</f>
        <v>1</v>
      </c>
      <c r="E621" s="16" t="n">
        <f aca="false">IF(D621=1,INDEX(Grid!$B$6:$H$156,C621+1,B621+1),"")</f>
        <v>250.880573686145</v>
      </c>
      <c r="F621" s="13" t="n">
        <f aca="false">Val_pt*(Ceiling_e-E_zero)*(1-(1-Half_gap)^B621)</f>
        <v>131.25</v>
      </c>
      <c r="G621" s="15" t="n">
        <f aca="false">C621</f>
        <v>11</v>
      </c>
      <c r="H621" s="15" t="n">
        <f aca="false">IF(D621=1,INDEX(Grid!$R$6:$X$156,C621+1,B621+1),"")</f>
        <v>57</v>
      </c>
      <c r="I621" s="2" t="str">
        <f aca="false">IF(D621=1,INDEX(Sch_label,H621+1),"")</f>
        <v>1–3, 6</v>
      </c>
      <c r="J621" s="15" t="n">
        <f aca="false">IF(D621=1,INDEX(Grid!$Z$6:$AF$156,C621+1,B621+1),0)</f>
        <v>1</v>
      </c>
      <c r="K621" s="16" t="n">
        <f aca="false">IF(J621=1,E621,0)</f>
        <v>250.880573686145</v>
      </c>
      <c r="L621" s="17" t="n">
        <f aca="false">IF(D621=1,E621+W_board*F621,"")</f>
        <v>991.752606881727</v>
      </c>
      <c r="M621" s="24" t="n">
        <v>1</v>
      </c>
      <c r="N621" s="25" t="n">
        <v>0.219944509271648</v>
      </c>
      <c r="O621" s="25" t="n">
        <v>0.697229795554397</v>
      </c>
      <c r="P621" s="25" t="n">
        <v>0.0828256951739542</v>
      </c>
      <c r="Z621" s="12" t="n">
        <f aca="false">IF(AND($J621=1,$M621=1),N621*E621/Span_P+O621*F621/Span_S+P621*G621/Span_B,"")</f>
        <v>1.50793286605519</v>
      </c>
      <c r="AA621" s="12" t="n">
        <f aca="false">IF(AND($J621=1,$M621=1),SUMPRODUCT(MAX($J$6:$J$1062*(N621*$K$6:$K$1062/Span_P+O621*$F$6:$F$1062/Span_S+P621*$G$6:$G$1062/Span_B)-(1-$J$6:$J$1062)*1000000000)),"")</f>
        <v>1.50793286605519</v>
      </c>
      <c r="AB621" s="15" t="n">
        <f aca="false">IF(AND($J621=1,$M621=1),IF(AA621-Z621&lt;=0.000000001,1,0),"")</f>
        <v>1</v>
      </c>
      <c r="AC621" s="13" t="str">
        <f aca="false">IF(AND($J621=1,$M621=0),IF(S621="",0,S621*INDEX(Grid!$B$6:$H$156,R621+1,Q621+1))+IF(V621="",0,V621*INDEX(Grid!$B$6:$H$156,U621+1,T621+1))+IF(Y621="",0,Y621*INDEX(Grid!$B$6:$H$156,X621+1,W621+1)),"")</f>
        <v/>
      </c>
      <c r="AD621" s="13" t="str">
        <f aca="false">IF(AND($J621=1,$M621=0),IF(S621="",0,S621*Val_pt*(Ceiling_e-E_zero)*(1-(1-Half_gap)^Q621))+IF(V621="",0,V621*Val_pt*(Ceiling_e-E_zero)*(1-(1-Half_gap)^T621))+IF(Y621="",0,Y621*Val_pt*(Ceiling_e-E_zero)*(1-(1-Half_gap)^W621)),"")</f>
        <v/>
      </c>
      <c r="AE621" s="13" t="str">
        <f aca="false">IF(AND($J621=1,$M621=0),IF(S621="",0,S621*R621)+IF(V621="",0,V621*U621)+IF(Y621="",0,Y621*X621),"")</f>
        <v/>
      </c>
      <c r="AF621" s="12" t="str">
        <f aca="false">IF(AND($J621=1,$M621=0),MIN((AC621-E621)/Span_P,(AD621-F621)/Span_S,(AE621-G621)/Span_B),"")</f>
        <v/>
      </c>
      <c r="AG621" s="15" t="str">
        <f aca="false">IF(AND($J621=1,$M621=0),IF(AF621&gt;0.0000001,1,0),"")</f>
        <v/>
      </c>
      <c r="AH621" s="15" t="n">
        <f aca="false">IF($J621=1,IF($M621=1,AB621,AG621),"")</f>
        <v>1</v>
      </c>
      <c r="AI621" s="13" t="n">
        <f aca="false">IF($J621=1,(Ideal_P-E621)/Span_P,"")</f>
        <v>0.36809503593052</v>
      </c>
      <c r="AJ621" s="13" t="n">
        <f aca="false">IF($J621=1,(Ideal_S-F621)/Span_S,"")</f>
        <v>0.0967741935483871</v>
      </c>
      <c r="AK621" s="13" t="n">
        <f aca="false">IF($J621=1,(Ideal_B-G621)/Span_B,"")</f>
        <v>0.926666666666667</v>
      </c>
      <c r="AL621" s="12" t="n">
        <f aca="false">IF($J621=1,MAX(ChA_1*AI621,ChA_2*AJ621,ChA_3*AK621)+Rho*(ChA_1*AI621+ChA_2*AJ621+ChA_3*AK621),"")</f>
        <v>0.926805820256281</v>
      </c>
      <c r="AM621" s="12" t="n">
        <f aca="false">IF($J621=1,MAX(ChB_1*AI621,ChB_2*AJ621,ChB_3*AK621)+Rho*(ChB_1*AI621+ChB_2*AJ621+ChB_3*AK621),"")</f>
        <v>0.926842629759874</v>
      </c>
      <c r="AN621" s="12" t="n">
        <f aca="false">IF($J621=1,MAX(Cx_1*(Ref_P-E621)/Span_P,Cx_2*(Ref_S-F621)/Span_S,Cx_3*(Ref_B-G621)/Span_B),"")</f>
        <v>2.36134453781513</v>
      </c>
    </row>
    <row r="622" customFormat="false" ht="15" hidden="false" customHeight="false" outlineLevel="0" collapsed="false">
      <c r="A622" s="2" t="n">
        <v>616</v>
      </c>
      <c r="B622" s="15" t="n">
        <f aca="false">INT(A622/151)</f>
        <v>4</v>
      </c>
      <c r="C622" s="15" t="n">
        <f aca="false">MOD(A622,151)</f>
        <v>12</v>
      </c>
      <c r="D622" s="15" t="n">
        <f aca="false">INDEX(Grid!$J$6:$P$156,C622+1,B622+1)</f>
        <v>1</v>
      </c>
      <c r="E622" s="16" t="n">
        <f aca="false">IF(D622=1,INDEX(Grid!$B$6:$H$156,C622+1,B622+1),"")</f>
        <v>249.971482777054</v>
      </c>
      <c r="F622" s="13" t="n">
        <f aca="false">Val_pt*(Ceiling_e-E_zero)*(1-(1-Half_gap)^B622)</f>
        <v>131.25</v>
      </c>
      <c r="G622" s="15" t="n">
        <f aca="false">C622</f>
        <v>12</v>
      </c>
      <c r="H622" s="15" t="n">
        <f aca="false">IF(D622=1,INDEX(Grid!$R$6:$X$156,C622+1,B622+1),"")</f>
        <v>57</v>
      </c>
      <c r="I622" s="2" t="str">
        <f aca="false">IF(D622=1,INDEX(Sch_label,H622+1),"")</f>
        <v>1–3, 6</v>
      </c>
      <c r="J622" s="15" t="n">
        <f aca="false">IF(D622=1,INDEX(Grid!$Z$6:$AF$156,C622+1,B622+1),0)</f>
        <v>1</v>
      </c>
      <c r="K622" s="16" t="n">
        <f aca="false">IF(J622=1,E622,0)</f>
        <v>249.971482777054</v>
      </c>
      <c r="L622" s="17" t="n">
        <f aca="false">IF(D622=1,E622+W_board*F622,"")</f>
        <v>990.843515972636</v>
      </c>
      <c r="M622" s="24" t="n">
        <v>1</v>
      </c>
      <c r="N622" s="25" t="n">
        <v>0.219944509271643</v>
      </c>
      <c r="O622" s="25" t="n">
        <v>0.697229795554408</v>
      </c>
      <c r="P622" s="25" t="n">
        <v>0.0828256951739485</v>
      </c>
      <c r="Z622" s="12" t="n">
        <f aca="false">IF(AND($J622=1,$M622=1),N622*E622/Span_P+O622*F622/Span_S+P622*G622/Span_B,"")</f>
        <v>1.50793286605521</v>
      </c>
      <c r="AA622" s="12" t="n">
        <f aca="false">IF(AND($J622=1,$M622=1),SUMPRODUCT(MAX($J$6:$J$1062*(N622*$K$6:$K$1062/Span_P+O622*$F$6:$F$1062/Span_S+P622*$G$6:$G$1062/Span_B)-(1-$J$6:$J$1062)*1000000000)),"")</f>
        <v>1.50793286605521</v>
      </c>
      <c r="AB622" s="15" t="n">
        <f aca="false">IF(AND($J622=1,$M622=1),IF(AA622-Z622&lt;=0.000000001,1,0),"")</f>
        <v>1</v>
      </c>
      <c r="AC622" s="13" t="str">
        <f aca="false">IF(AND($J622=1,$M622=0),IF(S622="",0,S622*INDEX(Grid!$B$6:$H$156,R622+1,Q622+1))+IF(V622="",0,V622*INDEX(Grid!$B$6:$H$156,U622+1,T622+1))+IF(Y622="",0,Y622*INDEX(Grid!$B$6:$H$156,X622+1,W622+1)),"")</f>
        <v/>
      </c>
      <c r="AD622" s="13" t="str">
        <f aca="false">IF(AND($J622=1,$M622=0),IF(S622="",0,S622*Val_pt*(Ceiling_e-E_zero)*(1-(1-Half_gap)^Q622))+IF(V622="",0,V622*Val_pt*(Ceiling_e-E_zero)*(1-(1-Half_gap)^T622))+IF(Y622="",0,Y622*Val_pt*(Ceiling_e-E_zero)*(1-(1-Half_gap)^W622)),"")</f>
        <v/>
      </c>
      <c r="AE622" s="13" t="str">
        <f aca="false">IF(AND($J622=1,$M622=0),IF(S622="",0,S622*R622)+IF(V622="",0,V622*U622)+IF(Y622="",0,Y622*X622),"")</f>
        <v/>
      </c>
      <c r="AF622" s="12" t="str">
        <f aca="false">IF(AND($J622=1,$M622=0),MIN((AC622-E622)/Span_P,(AD622-F622)/Span_S,(AE622-G622)/Span_B),"")</f>
        <v/>
      </c>
      <c r="AG622" s="15" t="str">
        <f aca="false">IF(AND($J622=1,$M622=0),IF(AF622&gt;0.0000001,1,0),"")</f>
        <v/>
      </c>
      <c r="AH622" s="15" t="n">
        <f aca="false">IF($J622=1,IF($M622=1,AB622,AG622),"")</f>
        <v>1</v>
      </c>
      <c r="AI622" s="13" t="n">
        <f aca="false">IF($J622=1,(Ideal_P-E622)/Span_P,"")</f>
        <v>0.370605538706825</v>
      </c>
      <c r="AJ622" s="13" t="n">
        <f aca="false">IF($J622=1,(Ideal_S-F622)/Span_S,"")</f>
        <v>0.0967741935483871</v>
      </c>
      <c r="AK622" s="13" t="n">
        <f aca="false">IF($J622=1,(Ideal_B-G622)/Span_B,"")</f>
        <v>0.92</v>
      </c>
      <c r="AL622" s="12" t="n">
        <f aca="false">IF($J622=1,MAX(ChA_1*AI622,ChA_2*AJ622,ChA_3*AK622)+Rho*(ChA_1*AI622+ChA_2*AJ622+ChA_3*AK622),"")</f>
        <v>0.920138737973226</v>
      </c>
      <c r="AM622" s="12" t="n">
        <f aca="false">IF($J622=1,MAX(ChB_1*AI622,ChB_2*AJ622,ChB_3*AK622)+Rho*(ChB_1*AI622+ChB_2*AJ622+ChB_3*AK622),"")</f>
        <v>0.920175798527096</v>
      </c>
      <c r="AN622" s="12" t="n">
        <f aca="false">IF($J622=1,MAX(Cx_1*(Ref_P-E622)/Span_P,Cx_2*(Ref_S-F622)/Span_S,Cx_3*(Ref_B-G622)/Span_B),"")</f>
        <v>2.34453781512605</v>
      </c>
    </row>
    <row r="623" customFormat="false" ht="15" hidden="false" customHeight="false" outlineLevel="0" collapsed="false">
      <c r="A623" s="2" t="n">
        <v>617</v>
      </c>
      <c r="B623" s="15" t="n">
        <f aca="false">INT(A623/151)</f>
        <v>4</v>
      </c>
      <c r="C623" s="15" t="n">
        <f aca="false">MOD(A623,151)</f>
        <v>13</v>
      </c>
      <c r="D623" s="15" t="n">
        <f aca="false">INDEX(Grid!$J$6:$P$156,C623+1,B623+1)</f>
        <v>1</v>
      </c>
      <c r="E623" s="16" t="n">
        <f aca="false">IF(D623=1,INDEX(Grid!$B$6:$H$156,C623+1,B623+1),"")</f>
        <v>249.062391867963</v>
      </c>
      <c r="F623" s="13" t="n">
        <f aca="false">Val_pt*(Ceiling_e-E_zero)*(1-(1-Half_gap)^B623)</f>
        <v>131.25</v>
      </c>
      <c r="G623" s="15" t="n">
        <f aca="false">C623</f>
        <v>13</v>
      </c>
      <c r="H623" s="15" t="n">
        <f aca="false">IF(D623=1,INDEX(Grid!$R$6:$X$156,C623+1,B623+1),"")</f>
        <v>57</v>
      </c>
      <c r="I623" s="2" t="str">
        <f aca="false">IF(D623=1,INDEX(Sch_label,H623+1),"")</f>
        <v>1–3, 6</v>
      </c>
      <c r="J623" s="15" t="n">
        <f aca="false">IF(D623=1,INDEX(Grid!$Z$6:$AF$156,C623+1,B623+1),0)</f>
        <v>1</v>
      </c>
      <c r="K623" s="16" t="n">
        <f aca="false">IF(J623=1,E623,0)</f>
        <v>249.062391867963</v>
      </c>
      <c r="L623" s="17" t="n">
        <f aca="false">IF(D623=1,E623+W_board*F623,"")</f>
        <v>989.934425063546</v>
      </c>
      <c r="M623" s="24" t="n">
        <v>1</v>
      </c>
      <c r="N623" s="25" t="n">
        <v>0.219944509271648</v>
      </c>
      <c r="O623" s="25" t="n">
        <v>0.697229795554398</v>
      </c>
      <c r="P623" s="25" t="n">
        <v>0.0828256951739542</v>
      </c>
      <c r="Z623" s="12" t="n">
        <f aca="false">IF(AND($J623=1,$M623=1),N623*E623/Span_P+O623*F623/Span_S+P623*G623/Span_B,"")</f>
        <v>1.50793286605519</v>
      </c>
      <c r="AA623" s="12" t="n">
        <f aca="false">IF(AND($J623=1,$M623=1),SUMPRODUCT(MAX($J$6:$J$1062*(N623*$K$6:$K$1062/Span_P+O623*$F$6:$F$1062/Span_S+P623*$G$6:$G$1062/Span_B)-(1-$J$6:$J$1062)*1000000000)),"")</f>
        <v>1.50793286605519</v>
      </c>
      <c r="AB623" s="15" t="n">
        <f aca="false">IF(AND($J623=1,$M623=1),IF(AA623-Z623&lt;=0.000000001,1,0),"")</f>
        <v>1</v>
      </c>
      <c r="AC623" s="13" t="str">
        <f aca="false">IF(AND($J623=1,$M623=0),IF(S623="",0,S623*INDEX(Grid!$B$6:$H$156,R623+1,Q623+1))+IF(V623="",0,V623*INDEX(Grid!$B$6:$H$156,U623+1,T623+1))+IF(Y623="",0,Y623*INDEX(Grid!$B$6:$H$156,X623+1,W623+1)),"")</f>
        <v/>
      </c>
      <c r="AD623" s="13" t="str">
        <f aca="false">IF(AND($J623=1,$M623=0),IF(S623="",0,S623*Val_pt*(Ceiling_e-E_zero)*(1-(1-Half_gap)^Q623))+IF(V623="",0,V623*Val_pt*(Ceiling_e-E_zero)*(1-(1-Half_gap)^T623))+IF(Y623="",0,Y623*Val_pt*(Ceiling_e-E_zero)*(1-(1-Half_gap)^W623)),"")</f>
        <v/>
      </c>
      <c r="AE623" s="13" t="str">
        <f aca="false">IF(AND($J623=1,$M623=0),IF(S623="",0,S623*R623)+IF(V623="",0,V623*U623)+IF(Y623="",0,Y623*X623),"")</f>
        <v/>
      </c>
      <c r="AF623" s="12" t="str">
        <f aca="false">IF(AND($J623=1,$M623=0),MIN((AC623-E623)/Span_P,(AD623-F623)/Span_S,(AE623-G623)/Span_B),"")</f>
        <v/>
      </c>
      <c r="AG623" s="15" t="str">
        <f aca="false">IF(AND($J623=1,$M623=0),IF(AF623&gt;0.0000001,1,0),"")</f>
        <v/>
      </c>
      <c r="AH623" s="15" t="n">
        <f aca="false">IF($J623=1,IF($M623=1,AB623,AG623),"")</f>
        <v>1</v>
      </c>
      <c r="AI623" s="13" t="n">
        <f aca="false">IF($J623=1,(Ideal_P-E623)/Span_P,"")</f>
        <v>0.373116041483131</v>
      </c>
      <c r="AJ623" s="13" t="n">
        <f aca="false">IF($J623=1,(Ideal_S-F623)/Span_S,"")</f>
        <v>0.0967741935483871</v>
      </c>
      <c r="AK623" s="13" t="n">
        <f aca="false">IF($J623=1,(Ideal_B-G623)/Span_B,"")</f>
        <v>0.913333333333333</v>
      </c>
      <c r="AL623" s="12" t="n">
        <f aca="false">IF($J623=1,MAX(ChA_1*AI623,ChA_2*AJ623,ChA_3*AK623)+Rho*(ChA_1*AI623+ChA_2*AJ623+ChA_3*AK623),"")</f>
        <v>0.91347165569017</v>
      </c>
      <c r="AM623" s="12" t="n">
        <f aca="false">IF($J623=1,MAX(ChB_1*AI623,ChB_2*AJ623,ChB_3*AK623)+Rho*(ChB_1*AI623+ChB_2*AJ623+ChB_3*AK623),"")</f>
        <v>0.913508967294318</v>
      </c>
      <c r="AN623" s="12" t="n">
        <f aca="false">IF($J623=1,MAX(Cx_1*(Ref_P-E623)/Span_P,Cx_2*(Ref_S-F623)/Span_S,Cx_3*(Ref_B-G623)/Span_B),"")</f>
        <v>2.32773109243698</v>
      </c>
    </row>
    <row r="624" customFormat="false" ht="15" hidden="false" customHeight="false" outlineLevel="0" collapsed="false">
      <c r="A624" s="2" t="n">
        <v>618</v>
      </c>
      <c r="B624" s="15" t="n">
        <f aca="false">INT(A624/151)</f>
        <v>4</v>
      </c>
      <c r="C624" s="15" t="n">
        <f aca="false">MOD(A624,151)</f>
        <v>14</v>
      </c>
      <c r="D624" s="15" t="n">
        <f aca="false">INDEX(Grid!$J$6:$P$156,C624+1,B624+1)</f>
        <v>1</v>
      </c>
      <c r="E624" s="16" t="n">
        <f aca="false">IF(D624=1,INDEX(Grid!$B$6:$H$156,C624+1,B624+1),"")</f>
        <v>248.153300958872</v>
      </c>
      <c r="F624" s="13" t="n">
        <f aca="false">Val_pt*(Ceiling_e-E_zero)*(1-(1-Half_gap)^B624)</f>
        <v>131.25</v>
      </c>
      <c r="G624" s="15" t="n">
        <f aca="false">C624</f>
        <v>14</v>
      </c>
      <c r="H624" s="15" t="n">
        <f aca="false">IF(D624=1,INDEX(Grid!$R$6:$X$156,C624+1,B624+1),"")</f>
        <v>57</v>
      </c>
      <c r="I624" s="2" t="str">
        <f aca="false">IF(D624=1,INDEX(Sch_label,H624+1),"")</f>
        <v>1–3, 6</v>
      </c>
      <c r="J624" s="15" t="n">
        <f aca="false">IF(D624=1,INDEX(Grid!$Z$6:$AF$156,C624+1,B624+1),0)</f>
        <v>1</v>
      </c>
      <c r="K624" s="16" t="n">
        <f aca="false">IF(J624=1,E624,0)</f>
        <v>248.153300958872</v>
      </c>
      <c r="L624" s="17" t="n">
        <f aca="false">IF(D624=1,E624+W_board*F624,"")</f>
        <v>989.025334154455</v>
      </c>
      <c r="M624" s="24" t="n">
        <v>1</v>
      </c>
      <c r="N624" s="25" t="n">
        <v>0.219944509271643</v>
      </c>
      <c r="O624" s="25" t="n">
        <v>0.697229795554408</v>
      </c>
      <c r="P624" s="25" t="n">
        <v>0.0828256951739486</v>
      </c>
      <c r="Z624" s="12" t="n">
        <f aca="false">IF(AND($J624=1,$M624=1),N624*E624/Span_P+O624*F624/Span_S+P624*G624/Span_B,"")</f>
        <v>1.50793286605521</v>
      </c>
      <c r="AA624" s="12" t="n">
        <f aca="false">IF(AND($J624=1,$M624=1),SUMPRODUCT(MAX($J$6:$J$1062*(N624*$K$6:$K$1062/Span_P+O624*$F$6:$F$1062/Span_S+P624*$G$6:$G$1062/Span_B)-(1-$J$6:$J$1062)*1000000000)),"")</f>
        <v>1.50793286605521</v>
      </c>
      <c r="AB624" s="15" t="n">
        <f aca="false">IF(AND($J624=1,$M624=1),IF(AA624-Z624&lt;=0.000000001,1,0),"")</f>
        <v>1</v>
      </c>
      <c r="AC624" s="13" t="str">
        <f aca="false">IF(AND($J624=1,$M624=0),IF(S624="",0,S624*INDEX(Grid!$B$6:$H$156,R624+1,Q624+1))+IF(V624="",0,V624*INDEX(Grid!$B$6:$H$156,U624+1,T624+1))+IF(Y624="",0,Y624*INDEX(Grid!$B$6:$H$156,X624+1,W624+1)),"")</f>
        <v/>
      </c>
      <c r="AD624" s="13" t="str">
        <f aca="false">IF(AND($J624=1,$M624=0),IF(S624="",0,S624*Val_pt*(Ceiling_e-E_zero)*(1-(1-Half_gap)^Q624))+IF(V624="",0,V624*Val_pt*(Ceiling_e-E_zero)*(1-(1-Half_gap)^T624))+IF(Y624="",0,Y624*Val_pt*(Ceiling_e-E_zero)*(1-(1-Half_gap)^W624)),"")</f>
        <v/>
      </c>
      <c r="AE624" s="13" t="str">
        <f aca="false">IF(AND($J624=1,$M624=0),IF(S624="",0,S624*R624)+IF(V624="",0,V624*U624)+IF(Y624="",0,Y624*X624),"")</f>
        <v/>
      </c>
      <c r="AF624" s="12" t="str">
        <f aca="false">IF(AND($J624=1,$M624=0),MIN((AC624-E624)/Span_P,(AD624-F624)/Span_S,(AE624-G624)/Span_B),"")</f>
        <v/>
      </c>
      <c r="AG624" s="15" t="str">
        <f aca="false">IF(AND($J624=1,$M624=0),IF(AF624&gt;0.0000001,1,0),"")</f>
        <v/>
      </c>
      <c r="AH624" s="15" t="n">
        <f aca="false">IF($J624=1,IF($M624=1,AB624,AG624),"")</f>
        <v>1</v>
      </c>
      <c r="AI624" s="13" t="n">
        <f aca="false">IF($J624=1,(Ideal_P-E624)/Span_P,"")</f>
        <v>0.375626544259437</v>
      </c>
      <c r="AJ624" s="13" t="n">
        <f aca="false">IF($J624=1,(Ideal_S-F624)/Span_S,"")</f>
        <v>0.0967741935483871</v>
      </c>
      <c r="AK624" s="13" t="n">
        <f aca="false">IF($J624=1,(Ideal_B-G624)/Span_B,"")</f>
        <v>0.906666666666667</v>
      </c>
      <c r="AL624" s="12" t="n">
        <f aca="false">IF($J624=1,MAX(ChA_1*AI624,ChA_2*AJ624,ChA_3*AK624)+Rho*(ChA_1*AI624+ChA_2*AJ624+ChA_3*AK624),"")</f>
        <v>0.906804573407114</v>
      </c>
      <c r="AM624" s="12" t="n">
        <f aca="false">IF($J624=1,MAX(ChB_1*AI624,ChB_2*AJ624,ChB_3*AK624)+Rho*(ChB_1*AI624+ChB_2*AJ624+ChB_3*AK624),"")</f>
        <v>0.90684213606154</v>
      </c>
      <c r="AN624" s="12" t="n">
        <f aca="false">IF($J624=1,MAX(Cx_1*(Ref_P-E624)/Span_P,Cx_2*(Ref_S-F624)/Span_S,Cx_3*(Ref_B-G624)/Span_B),"")</f>
        <v>2.3109243697479</v>
      </c>
    </row>
    <row r="625" customFormat="false" ht="15" hidden="false" customHeight="false" outlineLevel="0" collapsed="false">
      <c r="A625" s="2" t="n">
        <v>619</v>
      </c>
      <c r="B625" s="15" t="n">
        <f aca="false">INT(A625/151)</f>
        <v>4</v>
      </c>
      <c r="C625" s="15" t="n">
        <f aca="false">MOD(A625,151)</f>
        <v>15</v>
      </c>
      <c r="D625" s="15" t="n">
        <f aca="false">INDEX(Grid!$J$6:$P$156,C625+1,B625+1)</f>
        <v>1</v>
      </c>
      <c r="E625" s="16" t="n">
        <f aca="false">IF(D625=1,INDEX(Grid!$B$6:$H$156,C625+1,B625+1),"")</f>
        <v>247.244210049781</v>
      </c>
      <c r="F625" s="13" t="n">
        <f aca="false">Val_pt*(Ceiling_e-E_zero)*(1-(1-Half_gap)^B625)</f>
        <v>131.25</v>
      </c>
      <c r="G625" s="15" t="n">
        <f aca="false">C625</f>
        <v>15</v>
      </c>
      <c r="H625" s="15" t="n">
        <f aca="false">IF(D625=1,INDEX(Grid!$R$6:$X$156,C625+1,B625+1),"")</f>
        <v>57</v>
      </c>
      <c r="I625" s="2" t="str">
        <f aca="false">IF(D625=1,INDEX(Sch_label,H625+1),"")</f>
        <v>1–3, 6</v>
      </c>
      <c r="J625" s="15" t="n">
        <f aca="false">IF(D625=1,INDEX(Grid!$Z$6:$AF$156,C625+1,B625+1),0)</f>
        <v>1</v>
      </c>
      <c r="K625" s="16" t="n">
        <f aca="false">IF(J625=1,E625,0)</f>
        <v>247.244210049781</v>
      </c>
      <c r="L625" s="17" t="n">
        <f aca="false">IF(D625=1,E625+W_board*F625,"")</f>
        <v>988.116243245364</v>
      </c>
      <c r="M625" s="24" t="n">
        <v>1</v>
      </c>
      <c r="N625" s="25" t="n">
        <v>0.219944509271643</v>
      </c>
      <c r="O625" s="25" t="n">
        <v>0.697229795554408</v>
      </c>
      <c r="P625" s="25" t="n">
        <v>0.0828256951739486</v>
      </c>
      <c r="Z625" s="12" t="n">
        <f aca="false">IF(AND($J625=1,$M625=1),N625*E625/Span_P+O625*F625/Span_S+P625*G625/Span_B,"")</f>
        <v>1.50793286605521</v>
      </c>
      <c r="AA625" s="12" t="n">
        <f aca="false">IF(AND($J625=1,$M625=1),SUMPRODUCT(MAX($J$6:$J$1062*(N625*$K$6:$K$1062/Span_P+O625*$F$6:$F$1062/Span_S+P625*$G$6:$G$1062/Span_B)-(1-$J$6:$J$1062)*1000000000)),"")</f>
        <v>1.50793286605521</v>
      </c>
      <c r="AB625" s="15" t="n">
        <f aca="false">IF(AND($J625=1,$M625=1),IF(AA625-Z625&lt;=0.000000001,1,0),"")</f>
        <v>1</v>
      </c>
      <c r="AC625" s="13" t="str">
        <f aca="false">IF(AND($J625=1,$M625=0),IF(S625="",0,S625*INDEX(Grid!$B$6:$H$156,R625+1,Q625+1))+IF(V625="",0,V625*INDEX(Grid!$B$6:$H$156,U625+1,T625+1))+IF(Y625="",0,Y625*INDEX(Grid!$B$6:$H$156,X625+1,W625+1)),"")</f>
        <v/>
      </c>
      <c r="AD625" s="13" t="str">
        <f aca="false">IF(AND($J625=1,$M625=0),IF(S625="",0,S625*Val_pt*(Ceiling_e-E_zero)*(1-(1-Half_gap)^Q625))+IF(V625="",0,V625*Val_pt*(Ceiling_e-E_zero)*(1-(1-Half_gap)^T625))+IF(Y625="",0,Y625*Val_pt*(Ceiling_e-E_zero)*(1-(1-Half_gap)^W625)),"")</f>
        <v/>
      </c>
      <c r="AE625" s="13" t="str">
        <f aca="false">IF(AND($J625=1,$M625=0),IF(S625="",0,S625*R625)+IF(V625="",0,V625*U625)+IF(Y625="",0,Y625*X625),"")</f>
        <v/>
      </c>
      <c r="AF625" s="12" t="str">
        <f aca="false">IF(AND($J625=1,$M625=0),MIN((AC625-E625)/Span_P,(AD625-F625)/Span_S,(AE625-G625)/Span_B),"")</f>
        <v/>
      </c>
      <c r="AG625" s="15" t="str">
        <f aca="false">IF(AND($J625=1,$M625=0),IF(AF625&gt;0.0000001,1,0),"")</f>
        <v/>
      </c>
      <c r="AH625" s="15" t="n">
        <f aca="false">IF($J625=1,IF($M625=1,AB625,AG625),"")</f>
        <v>1</v>
      </c>
      <c r="AI625" s="13" t="n">
        <f aca="false">IF($J625=1,(Ideal_P-E625)/Span_P,"")</f>
        <v>0.378137047035743</v>
      </c>
      <c r="AJ625" s="13" t="n">
        <f aca="false">IF($J625=1,(Ideal_S-F625)/Span_S,"")</f>
        <v>0.0967741935483871</v>
      </c>
      <c r="AK625" s="13" t="n">
        <f aca="false">IF($J625=1,(Ideal_B-G625)/Span_B,"")</f>
        <v>0.9</v>
      </c>
      <c r="AL625" s="12" t="n">
        <f aca="false">IF($J625=1,MAX(ChA_1*AI625,ChA_2*AJ625,ChA_3*AK625)+Rho*(ChA_1*AI625+ChA_2*AJ625+ChA_3*AK625),"")</f>
        <v>0.900137491124058</v>
      </c>
      <c r="AM625" s="12" t="n">
        <f aca="false">IF($J625=1,MAX(ChB_1*AI625,ChB_2*AJ625,ChB_3*AK625)+Rho*(ChB_1*AI625+ChB_2*AJ625+ChB_3*AK625),"")</f>
        <v>0.900175304828762</v>
      </c>
      <c r="AN625" s="12" t="n">
        <f aca="false">IF($J625=1,MAX(Cx_1*(Ref_P-E625)/Span_P,Cx_2*(Ref_S-F625)/Span_S,Cx_3*(Ref_B-G625)/Span_B),"")</f>
        <v>2.29411764705882</v>
      </c>
    </row>
    <row r="626" customFormat="false" ht="15" hidden="false" customHeight="false" outlineLevel="0" collapsed="false">
      <c r="A626" s="2" t="n">
        <v>620</v>
      </c>
      <c r="B626" s="15" t="n">
        <f aca="false">INT(A626/151)</f>
        <v>4</v>
      </c>
      <c r="C626" s="15" t="n">
        <f aca="false">MOD(A626,151)</f>
        <v>16</v>
      </c>
      <c r="D626" s="15" t="n">
        <f aca="false">INDEX(Grid!$J$6:$P$156,C626+1,B626+1)</f>
        <v>1</v>
      </c>
      <c r="E626" s="16" t="n">
        <f aca="false">IF(D626=1,INDEX(Grid!$B$6:$H$156,C626+1,B626+1),"")</f>
        <v>246.33511914069</v>
      </c>
      <c r="F626" s="13" t="n">
        <f aca="false">Val_pt*(Ceiling_e-E_zero)*(1-(1-Half_gap)^B626)</f>
        <v>131.25</v>
      </c>
      <c r="G626" s="15" t="n">
        <f aca="false">C626</f>
        <v>16</v>
      </c>
      <c r="H626" s="15" t="n">
        <f aca="false">IF(D626=1,INDEX(Grid!$R$6:$X$156,C626+1,B626+1),"")</f>
        <v>57</v>
      </c>
      <c r="I626" s="2" t="str">
        <f aca="false">IF(D626=1,INDEX(Sch_label,H626+1),"")</f>
        <v>1–3, 6</v>
      </c>
      <c r="J626" s="15" t="n">
        <f aca="false">IF(D626=1,INDEX(Grid!$Z$6:$AF$156,C626+1,B626+1),0)</f>
        <v>1</v>
      </c>
      <c r="K626" s="16" t="n">
        <f aca="false">IF(J626=1,E626,0)</f>
        <v>246.33511914069</v>
      </c>
      <c r="L626" s="17" t="n">
        <f aca="false">IF(D626=1,E626+W_board*F626,"")</f>
        <v>987.207152336273</v>
      </c>
      <c r="M626" s="24" t="n">
        <v>1</v>
      </c>
      <c r="N626" s="25" t="n">
        <v>0.219944509271653</v>
      </c>
      <c r="O626" s="25" t="n">
        <v>0.697229795554387</v>
      </c>
      <c r="P626" s="25" t="n">
        <v>0.0828256951739599</v>
      </c>
      <c r="Z626" s="12" t="n">
        <f aca="false">IF(AND($J626=1,$M626=1),N626*E626/Span_P+O626*F626/Span_S+P626*G626/Span_B,"")</f>
        <v>1.50793286605518</v>
      </c>
      <c r="AA626" s="12" t="n">
        <f aca="false">IF(AND($J626=1,$M626=1),SUMPRODUCT(MAX($J$6:$J$1062*(N626*$K$6:$K$1062/Span_P+O626*$F$6:$F$1062/Span_S+P626*$G$6:$G$1062/Span_B)-(1-$J$6:$J$1062)*1000000000)),"")</f>
        <v>1.50793286605518</v>
      </c>
      <c r="AB626" s="15" t="n">
        <f aca="false">IF(AND($J626=1,$M626=1),IF(AA626-Z626&lt;=0.000000001,1,0),"")</f>
        <v>1</v>
      </c>
      <c r="AC626" s="13" t="str">
        <f aca="false">IF(AND($J626=1,$M626=0),IF(S626="",0,S626*INDEX(Grid!$B$6:$H$156,R626+1,Q626+1))+IF(V626="",0,V626*INDEX(Grid!$B$6:$H$156,U626+1,T626+1))+IF(Y626="",0,Y626*INDEX(Grid!$B$6:$H$156,X626+1,W626+1)),"")</f>
        <v/>
      </c>
      <c r="AD626" s="13" t="str">
        <f aca="false">IF(AND($J626=1,$M626=0),IF(S626="",0,S626*Val_pt*(Ceiling_e-E_zero)*(1-(1-Half_gap)^Q626))+IF(V626="",0,V626*Val_pt*(Ceiling_e-E_zero)*(1-(1-Half_gap)^T626))+IF(Y626="",0,Y626*Val_pt*(Ceiling_e-E_zero)*(1-(1-Half_gap)^W626)),"")</f>
        <v/>
      </c>
      <c r="AE626" s="13" t="str">
        <f aca="false">IF(AND($J626=1,$M626=0),IF(S626="",0,S626*R626)+IF(V626="",0,V626*U626)+IF(Y626="",0,Y626*X626),"")</f>
        <v/>
      </c>
      <c r="AF626" s="12" t="str">
        <f aca="false">IF(AND($J626=1,$M626=0),MIN((AC626-E626)/Span_P,(AD626-F626)/Span_S,(AE626-G626)/Span_B),"")</f>
        <v/>
      </c>
      <c r="AG626" s="15" t="str">
        <f aca="false">IF(AND($J626=1,$M626=0),IF(AF626&gt;0.0000001,1,0),"")</f>
        <v/>
      </c>
      <c r="AH626" s="15" t="n">
        <f aca="false">IF($J626=1,IF($M626=1,AB626,AG626),"")</f>
        <v>1</v>
      </c>
      <c r="AI626" s="13" t="n">
        <f aca="false">IF($J626=1,(Ideal_P-E626)/Span_P,"")</f>
        <v>0.380647549812048</v>
      </c>
      <c r="AJ626" s="13" t="n">
        <f aca="false">IF($J626=1,(Ideal_S-F626)/Span_S,"")</f>
        <v>0.0967741935483871</v>
      </c>
      <c r="AK626" s="13" t="n">
        <f aca="false">IF($J626=1,(Ideal_B-G626)/Span_B,"")</f>
        <v>0.893333333333333</v>
      </c>
      <c r="AL626" s="12" t="n">
        <f aca="false">IF($J626=1,MAX(ChA_1*AI626,ChA_2*AJ626,ChA_3*AK626)+Rho*(ChA_1*AI626+ChA_2*AJ626+ChA_3*AK626),"")</f>
        <v>0.893470408841003</v>
      </c>
      <c r="AM626" s="12" t="n">
        <f aca="false">IF($J626=1,MAX(ChB_1*AI626,ChB_2*AJ626,ChB_3*AK626)+Rho*(ChB_1*AI626+ChB_2*AJ626+ChB_3*AK626),"")</f>
        <v>0.893508473595984</v>
      </c>
      <c r="AN626" s="12" t="n">
        <f aca="false">IF($J626=1,MAX(Cx_1*(Ref_P-E626)/Span_P,Cx_2*(Ref_S-F626)/Span_S,Cx_3*(Ref_B-G626)/Span_B),"")</f>
        <v>2.27731092436975</v>
      </c>
    </row>
    <row r="627" customFormat="false" ht="15" hidden="false" customHeight="false" outlineLevel="0" collapsed="false">
      <c r="A627" s="2" t="n">
        <v>621</v>
      </c>
      <c r="B627" s="15" t="n">
        <f aca="false">INT(A627/151)</f>
        <v>4</v>
      </c>
      <c r="C627" s="15" t="n">
        <f aca="false">MOD(A627,151)</f>
        <v>17</v>
      </c>
      <c r="D627" s="15" t="n">
        <f aca="false">INDEX(Grid!$J$6:$P$156,C627+1,B627+1)</f>
        <v>1</v>
      </c>
      <c r="E627" s="16" t="n">
        <f aca="false">IF(D627=1,INDEX(Grid!$B$6:$H$156,C627+1,B627+1),"")</f>
        <v>245.426028231599</v>
      </c>
      <c r="F627" s="13" t="n">
        <f aca="false">Val_pt*(Ceiling_e-E_zero)*(1-(1-Half_gap)^B627)</f>
        <v>131.25</v>
      </c>
      <c r="G627" s="15" t="n">
        <f aca="false">C627</f>
        <v>17</v>
      </c>
      <c r="H627" s="15" t="n">
        <f aca="false">IF(D627=1,INDEX(Grid!$R$6:$X$156,C627+1,B627+1),"")</f>
        <v>57</v>
      </c>
      <c r="I627" s="2" t="str">
        <f aca="false">IF(D627=1,INDEX(Sch_label,H627+1),"")</f>
        <v>1–3, 6</v>
      </c>
      <c r="J627" s="15" t="n">
        <f aca="false">IF(D627=1,INDEX(Grid!$Z$6:$AF$156,C627+1,B627+1),0)</f>
        <v>1</v>
      </c>
      <c r="K627" s="16" t="n">
        <f aca="false">IF(J627=1,E627,0)</f>
        <v>245.426028231599</v>
      </c>
      <c r="L627" s="17" t="n">
        <f aca="false">IF(D627=1,E627+W_board*F627,"")</f>
        <v>986.298061427182</v>
      </c>
      <c r="M627" s="24" t="n">
        <v>1</v>
      </c>
      <c r="N627" s="25" t="n">
        <v>0.219944509271638</v>
      </c>
      <c r="O627" s="25" t="n">
        <v>0.697229795554418</v>
      </c>
      <c r="P627" s="25" t="n">
        <v>0.0828256951739431</v>
      </c>
      <c r="Z627" s="12" t="n">
        <f aca="false">IF(AND($J627=1,$M627=1),N627*E627/Span_P+O627*F627/Span_S+P627*G627/Span_B,"")</f>
        <v>1.50793286605522</v>
      </c>
      <c r="AA627" s="12" t="n">
        <f aca="false">IF(AND($J627=1,$M627=1),SUMPRODUCT(MAX($J$6:$J$1062*(N627*$K$6:$K$1062/Span_P+O627*$F$6:$F$1062/Span_S+P627*$G$6:$G$1062/Span_B)-(1-$J$6:$J$1062)*1000000000)),"")</f>
        <v>1.50793286605523</v>
      </c>
      <c r="AB627" s="15" t="n">
        <f aca="false">IF(AND($J627=1,$M627=1),IF(AA627-Z627&lt;=0.000000001,1,0),"")</f>
        <v>1</v>
      </c>
      <c r="AC627" s="13" t="str">
        <f aca="false">IF(AND($J627=1,$M627=0),IF(S627="",0,S627*INDEX(Grid!$B$6:$H$156,R627+1,Q627+1))+IF(V627="",0,V627*INDEX(Grid!$B$6:$H$156,U627+1,T627+1))+IF(Y627="",0,Y627*INDEX(Grid!$B$6:$H$156,X627+1,W627+1)),"")</f>
        <v/>
      </c>
      <c r="AD627" s="13" t="str">
        <f aca="false">IF(AND($J627=1,$M627=0),IF(S627="",0,S627*Val_pt*(Ceiling_e-E_zero)*(1-(1-Half_gap)^Q627))+IF(V627="",0,V627*Val_pt*(Ceiling_e-E_zero)*(1-(1-Half_gap)^T627))+IF(Y627="",0,Y627*Val_pt*(Ceiling_e-E_zero)*(1-(1-Half_gap)^W627)),"")</f>
        <v/>
      </c>
      <c r="AE627" s="13" t="str">
        <f aca="false">IF(AND($J627=1,$M627=0),IF(S627="",0,S627*R627)+IF(V627="",0,V627*U627)+IF(Y627="",0,Y627*X627),"")</f>
        <v/>
      </c>
      <c r="AF627" s="12" t="str">
        <f aca="false">IF(AND($J627=1,$M627=0),MIN((AC627-E627)/Span_P,(AD627-F627)/Span_S,(AE627-G627)/Span_B),"")</f>
        <v/>
      </c>
      <c r="AG627" s="15" t="str">
        <f aca="false">IF(AND($J627=1,$M627=0),IF(AF627&gt;0.0000001,1,0),"")</f>
        <v/>
      </c>
      <c r="AH627" s="15" t="n">
        <f aca="false">IF($J627=1,IF($M627=1,AB627,AG627),"")</f>
        <v>1</v>
      </c>
      <c r="AI627" s="13" t="n">
        <f aca="false">IF($J627=1,(Ideal_P-E627)/Span_P,"")</f>
        <v>0.383158052588354</v>
      </c>
      <c r="AJ627" s="13" t="n">
        <f aca="false">IF($J627=1,(Ideal_S-F627)/Span_S,"")</f>
        <v>0.0967741935483871</v>
      </c>
      <c r="AK627" s="13" t="n">
        <f aca="false">IF($J627=1,(Ideal_B-G627)/Span_B,"")</f>
        <v>0.886666666666667</v>
      </c>
      <c r="AL627" s="12" t="n">
        <f aca="false">IF($J627=1,MAX(ChA_1*AI627,ChA_2*AJ627,ChA_3*AK627)+Rho*(ChA_1*AI627+ChA_2*AJ627+ChA_3*AK627),"")</f>
        <v>0.886803326557947</v>
      </c>
      <c r="AM627" s="12" t="n">
        <f aca="false">IF($J627=1,MAX(ChB_1*AI627,ChB_2*AJ627,ChB_3*AK627)+Rho*(ChB_1*AI627+ChB_2*AJ627+ChB_3*AK627),"")</f>
        <v>0.886841642363206</v>
      </c>
      <c r="AN627" s="12" t="n">
        <f aca="false">IF($J627=1,MAX(Cx_1*(Ref_P-E627)/Span_P,Cx_2*(Ref_S-F627)/Span_S,Cx_3*(Ref_B-G627)/Span_B),"")</f>
        <v>2.26050420168067</v>
      </c>
    </row>
    <row r="628" customFormat="false" ht="15" hidden="false" customHeight="false" outlineLevel="0" collapsed="false">
      <c r="A628" s="2" t="n">
        <v>622</v>
      </c>
      <c r="B628" s="15" t="n">
        <f aca="false">INT(A628/151)</f>
        <v>4</v>
      </c>
      <c r="C628" s="15" t="n">
        <f aca="false">MOD(A628,151)</f>
        <v>18</v>
      </c>
      <c r="D628" s="15" t="n">
        <f aca="false">INDEX(Grid!$J$6:$P$156,C628+1,B628+1)</f>
        <v>1</v>
      </c>
      <c r="E628" s="16" t="n">
        <f aca="false">IF(D628=1,INDEX(Grid!$B$6:$H$156,C628+1,B628+1),"")</f>
        <v>244.516937322508</v>
      </c>
      <c r="F628" s="13" t="n">
        <f aca="false">Val_pt*(Ceiling_e-E_zero)*(1-(1-Half_gap)^B628)</f>
        <v>131.25</v>
      </c>
      <c r="G628" s="15" t="n">
        <f aca="false">C628</f>
        <v>18</v>
      </c>
      <c r="H628" s="15" t="n">
        <f aca="false">IF(D628=1,INDEX(Grid!$R$6:$X$156,C628+1,B628+1),"")</f>
        <v>57</v>
      </c>
      <c r="I628" s="2" t="str">
        <f aca="false">IF(D628=1,INDEX(Sch_label,H628+1),"")</f>
        <v>1–3, 6</v>
      </c>
      <c r="J628" s="15" t="n">
        <f aca="false">IF(D628=1,INDEX(Grid!$Z$6:$AF$156,C628+1,B628+1),0)</f>
        <v>1</v>
      </c>
      <c r="K628" s="16" t="n">
        <f aca="false">IF(J628=1,E628,0)</f>
        <v>244.516937322508</v>
      </c>
      <c r="L628" s="17" t="n">
        <f aca="false">IF(D628=1,E628+W_board*F628,"")</f>
        <v>985.388970518091</v>
      </c>
      <c r="M628" s="24" t="n">
        <v>1</v>
      </c>
      <c r="N628" s="25" t="n">
        <v>0.219944509271653</v>
      </c>
      <c r="O628" s="25" t="n">
        <v>0.697229795554389</v>
      </c>
      <c r="P628" s="25" t="n">
        <v>0.0828256951739593</v>
      </c>
      <c r="Z628" s="12" t="n">
        <f aca="false">IF(AND($J628=1,$M628=1),N628*E628/Span_P+O628*F628/Span_S+P628*G628/Span_B,"")</f>
        <v>1.50793286605518</v>
      </c>
      <c r="AA628" s="12" t="n">
        <f aca="false">IF(AND($J628=1,$M628=1),SUMPRODUCT(MAX($J$6:$J$1062*(N628*$K$6:$K$1062/Span_P+O628*$F$6:$F$1062/Span_S+P628*$G$6:$G$1062/Span_B)-(1-$J$6:$J$1062)*1000000000)),"")</f>
        <v>1.50793286605518</v>
      </c>
      <c r="AB628" s="15" t="n">
        <f aca="false">IF(AND($J628=1,$M628=1),IF(AA628-Z628&lt;=0.000000001,1,0),"")</f>
        <v>1</v>
      </c>
      <c r="AC628" s="13" t="str">
        <f aca="false">IF(AND($J628=1,$M628=0),IF(S628="",0,S628*INDEX(Grid!$B$6:$H$156,R628+1,Q628+1))+IF(V628="",0,V628*INDEX(Grid!$B$6:$H$156,U628+1,T628+1))+IF(Y628="",0,Y628*INDEX(Grid!$B$6:$H$156,X628+1,W628+1)),"")</f>
        <v/>
      </c>
      <c r="AD628" s="13" t="str">
        <f aca="false">IF(AND($J628=1,$M628=0),IF(S628="",0,S628*Val_pt*(Ceiling_e-E_zero)*(1-(1-Half_gap)^Q628))+IF(V628="",0,V628*Val_pt*(Ceiling_e-E_zero)*(1-(1-Half_gap)^T628))+IF(Y628="",0,Y628*Val_pt*(Ceiling_e-E_zero)*(1-(1-Half_gap)^W628)),"")</f>
        <v/>
      </c>
      <c r="AE628" s="13" t="str">
        <f aca="false">IF(AND($J628=1,$M628=0),IF(S628="",0,S628*R628)+IF(V628="",0,V628*U628)+IF(Y628="",0,Y628*X628),"")</f>
        <v/>
      </c>
      <c r="AF628" s="12" t="str">
        <f aca="false">IF(AND($J628=1,$M628=0),MIN((AC628-E628)/Span_P,(AD628-F628)/Span_S,(AE628-G628)/Span_B),"")</f>
        <v/>
      </c>
      <c r="AG628" s="15" t="str">
        <f aca="false">IF(AND($J628=1,$M628=0),IF(AF628&gt;0.0000001,1,0),"")</f>
        <v/>
      </c>
      <c r="AH628" s="15" t="n">
        <f aca="false">IF($J628=1,IF($M628=1,AB628,AG628),"")</f>
        <v>1</v>
      </c>
      <c r="AI628" s="13" t="n">
        <f aca="false">IF($J628=1,(Ideal_P-E628)/Span_P,"")</f>
        <v>0.38566855536466</v>
      </c>
      <c r="AJ628" s="13" t="n">
        <f aca="false">IF($J628=1,(Ideal_S-F628)/Span_S,"")</f>
        <v>0.0967741935483871</v>
      </c>
      <c r="AK628" s="13" t="n">
        <f aca="false">IF($J628=1,(Ideal_B-G628)/Span_B,"")</f>
        <v>0.88</v>
      </c>
      <c r="AL628" s="12" t="n">
        <f aca="false">IF($J628=1,MAX(ChA_1*AI628,ChA_2*AJ628,ChA_3*AK628)+Rho*(ChA_1*AI628+ChA_2*AJ628+ChA_3*AK628),"")</f>
        <v>0.880136244274891</v>
      </c>
      <c r="AM628" s="12" t="n">
        <f aca="false">IF($J628=1,MAX(ChB_1*AI628,ChB_2*AJ628,ChB_3*AK628)+Rho*(ChB_1*AI628+ChB_2*AJ628+ChB_3*AK628),"")</f>
        <v>0.880174811130428</v>
      </c>
      <c r="AN628" s="12" t="n">
        <f aca="false">IF($J628=1,MAX(Cx_1*(Ref_P-E628)/Span_P,Cx_2*(Ref_S-F628)/Span_S,Cx_3*(Ref_B-G628)/Span_B),"")</f>
        <v>2.2436974789916</v>
      </c>
    </row>
    <row r="629" customFormat="false" ht="15" hidden="false" customHeight="false" outlineLevel="0" collapsed="false">
      <c r="A629" s="2" t="n">
        <v>623</v>
      </c>
      <c r="B629" s="15" t="n">
        <f aca="false">INT(A629/151)</f>
        <v>4</v>
      </c>
      <c r="C629" s="15" t="n">
        <f aca="false">MOD(A629,151)</f>
        <v>19</v>
      </c>
      <c r="D629" s="15" t="n">
        <f aca="false">INDEX(Grid!$J$6:$P$156,C629+1,B629+1)</f>
        <v>1</v>
      </c>
      <c r="E629" s="16" t="n">
        <f aca="false">IF(D629=1,INDEX(Grid!$B$6:$H$156,C629+1,B629+1),"")</f>
        <v>243.607846413417</v>
      </c>
      <c r="F629" s="13" t="n">
        <f aca="false">Val_pt*(Ceiling_e-E_zero)*(1-(1-Half_gap)^B629)</f>
        <v>131.25</v>
      </c>
      <c r="G629" s="15" t="n">
        <f aca="false">C629</f>
        <v>19</v>
      </c>
      <c r="H629" s="15" t="n">
        <f aca="false">IF(D629=1,INDEX(Grid!$R$6:$X$156,C629+1,B629+1),"")</f>
        <v>57</v>
      </c>
      <c r="I629" s="2" t="str">
        <f aca="false">IF(D629=1,INDEX(Sch_label,H629+1),"")</f>
        <v>1–3, 6</v>
      </c>
      <c r="J629" s="15" t="n">
        <f aca="false">IF(D629=1,INDEX(Grid!$Z$6:$AF$156,C629+1,B629+1),0)</f>
        <v>1</v>
      </c>
      <c r="K629" s="16" t="n">
        <f aca="false">IF(J629=1,E629,0)</f>
        <v>243.607846413417</v>
      </c>
      <c r="L629" s="17" t="n">
        <f aca="false">IF(D629=1,E629+W_board*F629,"")</f>
        <v>984.479879609</v>
      </c>
      <c r="M629" s="24" t="n">
        <v>1</v>
      </c>
      <c r="N629" s="25" t="n">
        <v>0.219944509271644</v>
      </c>
      <c r="O629" s="25" t="n">
        <v>0.697229795554408</v>
      </c>
      <c r="P629" s="25" t="n">
        <v>0.0828256951739489</v>
      </c>
      <c r="Z629" s="12" t="n">
        <f aca="false">IF(AND($J629=1,$M629=1),N629*E629/Span_P+O629*F629/Span_S+P629*G629/Span_B,"")</f>
        <v>1.50793286605521</v>
      </c>
      <c r="AA629" s="12" t="n">
        <f aca="false">IF(AND($J629=1,$M629=1),SUMPRODUCT(MAX($J$6:$J$1062*(N629*$K$6:$K$1062/Span_P+O629*$F$6:$F$1062/Span_S+P629*$G$6:$G$1062/Span_B)-(1-$J$6:$J$1062)*1000000000)),"")</f>
        <v>1.50793286605521</v>
      </c>
      <c r="AB629" s="15" t="n">
        <f aca="false">IF(AND($J629=1,$M629=1),IF(AA629-Z629&lt;=0.000000001,1,0),"")</f>
        <v>1</v>
      </c>
      <c r="AC629" s="13" t="str">
        <f aca="false">IF(AND($J629=1,$M629=0),IF(S629="",0,S629*INDEX(Grid!$B$6:$H$156,R629+1,Q629+1))+IF(V629="",0,V629*INDEX(Grid!$B$6:$H$156,U629+1,T629+1))+IF(Y629="",0,Y629*INDEX(Grid!$B$6:$H$156,X629+1,W629+1)),"")</f>
        <v/>
      </c>
      <c r="AD629" s="13" t="str">
        <f aca="false">IF(AND($J629=1,$M629=0),IF(S629="",0,S629*Val_pt*(Ceiling_e-E_zero)*(1-(1-Half_gap)^Q629))+IF(V629="",0,V629*Val_pt*(Ceiling_e-E_zero)*(1-(1-Half_gap)^T629))+IF(Y629="",0,Y629*Val_pt*(Ceiling_e-E_zero)*(1-(1-Half_gap)^W629)),"")</f>
        <v/>
      </c>
      <c r="AE629" s="13" t="str">
        <f aca="false">IF(AND($J629=1,$M629=0),IF(S629="",0,S629*R629)+IF(V629="",0,V629*U629)+IF(Y629="",0,Y629*X629),"")</f>
        <v/>
      </c>
      <c r="AF629" s="12" t="str">
        <f aca="false">IF(AND($J629=1,$M629=0),MIN((AC629-E629)/Span_P,(AD629-F629)/Span_S,(AE629-G629)/Span_B),"")</f>
        <v/>
      </c>
      <c r="AG629" s="15" t="str">
        <f aca="false">IF(AND($J629=1,$M629=0),IF(AF629&gt;0.0000001,1,0),"")</f>
        <v/>
      </c>
      <c r="AH629" s="15" t="n">
        <f aca="false">IF($J629=1,IF($M629=1,AB629,AG629),"")</f>
        <v>1</v>
      </c>
      <c r="AI629" s="13" t="n">
        <f aca="false">IF($J629=1,(Ideal_P-E629)/Span_P,"")</f>
        <v>0.388179058140966</v>
      </c>
      <c r="AJ629" s="13" t="n">
        <f aca="false">IF($J629=1,(Ideal_S-F629)/Span_S,"")</f>
        <v>0.0967741935483871</v>
      </c>
      <c r="AK629" s="13" t="n">
        <f aca="false">IF($J629=1,(Ideal_B-G629)/Span_B,"")</f>
        <v>0.873333333333333</v>
      </c>
      <c r="AL629" s="12" t="n">
        <f aca="false">IF($J629=1,MAX(ChA_1*AI629,ChA_2*AJ629,ChA_3*AK629)+Rho*(ChA_1*AI629+ChA_2*AJ629+ChA_3*AK629),"")</f>
        <v>0.873469161991836</v>
      </c>
      <c r="AM629" s="12" t="n">
        <f aca="false">IF($J629=1,MAX(ChB_1*AI629,ChB_2*AJ629,ChB_3*AK629)+Rho*(ChB_1*AI629+ChB_2*AJ629+ChB_3*AK629),"")</f>
        <v>0.87350797989765</v>
      </c>
      <c r="AN629" s="12" t="n">
        <f aca="false">IF($J629=1,MAX(Cx_1*(Ref_P-E629)/Span_P,Cx_2*(Ref_S-F629)/Span_S,Cx_3*(Ref_B-G629)/Span_B),"")</f>
        <v>2.22689075630252</v>
      </c>
    </row>
    <row r="630" customFormat="false" ht="15" hidden="false" customHeight="false" outlineLevel="0" collapsed="false">
      <c r="A630" s="2" t="n">
        <v>624</v>
      </c>
      <c r="B630" s="15" t="n">
        <f aca="false">INT(A630/151)</f>
        <v>4</v>
      </c>
      <c r="C630" s="15" t="n">
        <f aca="false">MOD(A630,151)</f>
        <v>20</v>
      </c>
      <c r="D630" s="15" t="n">
        <f aca="false">INDEX(Grid!$J$6:$P$156,C630+1,B630+1)</f>
        <v>1</v>
      </c>
      <c r="E630" s="16" t="n">
        <f aca="false">IF(D630=1,INDEX(Grid!$B$6:$H$156,C630+1,B630+1),"")</f>
        <v>242.698755504326</v>
      </c>
      <c r="F630" s="13" t="n">
        <f aca="false">Val_pt*(Ceiling_e-E_zero)*(1-(1-Half_gap)^B630)</f>
        <v>131.25</v>
      </c>
      <c r="G630" s="15" t="n">
        <f aca="false">C630</f>
        <v>20</v>
      </c>
      <c r="H630" s="15" t="n">
        <f aca="false">IF(D630=1,INDEX(Grid!$R$6:$X$156,C630+1,B630+1),"")</f>
        <v>57</v>
      </c>
      <c r="I630" s="2" t="str">
        <f aca="false">IF(D630=1,INDEX(Sch_label,H630+1),"")</f>
        <v>1–3, 6</v>
      </c>
      <c r="J630" s="15" t="n">
        <f aca="false">IF(D630=1,INDEX(Grid!$Z$6:$AF$156,C630+1,B630+1),0)</f>
        <v>1</v>
      </c>
      <c r="K630" s="16" t="n">
        <f aca="false">IF(J630=1,E630,0)</f>
        <v>242.698755504326</v>
      </c>
      <c r="L630" s="17" t="n">
        <f aca="false">IF(D630=1,E630+W_board*F630,"")</f>
        <v>983.570788699909</v>
      </c>
      <c r="M630" s="24" t="n">
        <v>1</v>
      </c>
      <c r="N630" s="25" t="n">
        <v>0.219944509271648</v>
      </c>
      <c r="O630" s="25" t="n">
        <v>0.697229795554399</v>
      </c>
      <c r="P630" s="25" t="n">
        <v>0.0828256951739538</v>
      </c>
      <c r="Z630" s="12" t="n">
        <f aca="false">IF(AND($J630=1,$M630=1),N630*E630/Span_P+O630*F630/Span_S+P630*G630/Span_B,"")</f>
        <v>1.50793286605519</v>
      </c>
      <c r="AA630" s="12" t="n">
        <f aca="false">IF(AND($J630=1,$M630=1),SUMPRODUCT(MAX($J$6:$J$1062*(N630*$K$6:$K$1062/Span_P+O630*$F$6:$F$1062/Span_S+P630*$G$6:$G$1062/Span_B)-(1-$J$6:$J$1062)*1000000000)),"")</f>
        <v>1.50793286605519</v>
      </c>
      <c r="AB630" s="15" t="n">
        <f aca="false">IF(AND($J630=1,$M630=1),IF(AA630-Z630&lt;=0.000000001,1,0),"")</f>
        <v>1</v>
      </c>
      <c r="AC630" s="13" t="str">
        <f aca="false">IF(AND($J630=1,$M630=0),IF(S630="",0,S630*INDEX(Grid!$B$6:$H$156,R630+1,Q630+1))+IF(V630="",0,V630*INDEX(Grid!$B$6:$H$156,U630+1,T630+1))+IF(Y630="",0,Y630*INDEX(Grid!$B$6:$H$156,X630+1,W630+1)),"")</f>
        <v/>
      </c>
      <c r="AD630" s="13" t="str">
        <f aca="false">IF(AND($J630=1,$M630=0),IF(S630="",0,S630*Val_pt*(Ceiling_e-E_zero)*(1-(1-Half_gap)^Q630))+IF(V630="",0,V630*Val_pt*(Ceiling_e-E_zero)*(1-(1-Half_gap)^T630))+IF(Y630="",0,Y630*Val_pt*(Ceiling_e-E_zero)*(1-(1-Half_gap)^W630)),"")</f>
        <v/>
      </c>
      <c r="AE630" s="13" t="str">
        <f aca="false">IF(AND($J630=1,$M630=0),IF(S630="",0,S630*R630)+IF(V630="",0,V630*U630)+IF(Y630="",0,Y630*X630),"")</f>
        <v/>
      </c>
      <c r="AF630" s="12" t="str">
        <f aca="false">IF(AND($J630=1,$M630=0),MIN((AC630-E630)/Span_P,(AD630-F630)/Span_S,(AE630-G630)/Span_B),"")</f>
        <v/>
      </c>
      <c r="AG630" s="15" t="str">
        <f aca="false">IF(AND($J630=1,$M630=0),IF(AF630&gt;0.0000001,1,0),"")</f>
        <v/>
      </c>
      <c r="AH630" s="15" t="n">
        <f aca="false">IF($J630=1,IF($M630=1,AB630,AG630),"")</f>
        <v>1</v>
      </c>
      <c r="AI630" s="13" t="n">
        <f aca="false">IF($J630=1,(Ideal_P-E630)/Span_P,"")</f>
        <v>0.390689560917272</v>
      </c>
      <c r="AJ630" s="13" t="n">
        <f aca="false">IF($J630=1,(Ideal_S-F630)/Span_S,"")</f>
        <v>0.0967741935483871</v>
      </c>
      <c r="AK630" s="13" t="n">
        <f aca="false">IF($J630=1,(Ideal_B-G630)/Span_B,"")</f>
        <v>0.866666666666667</v>
      </c>
      <c r="AL630" s="12" t="n">
        <f aca="false">IF($J630=1,MAX(ChA_1*AI630,ChA_2*AJ630,ChA_3*AK630)+Rho*(ChA_1*AI630+ChA_2*AJ630+ChA_3*AK630),"")</f>
        <v>0.86680207970878</v>
      </c>
      <c r="AM630" s="12" t="n">
        <f aca="false">IF($J630=1,MAX(ChB_1*AI630,ChB_2*AJ630,ChB_3*AK630)+Rho*(ChB_1*AI630+ChB_2*AJ630+ChB_3*AK630),"")</f>
        <v>0.866841148664872</v>
      </c>
      <c r="AN630" s="12" t="n">
        <f aca="false">IF($J630=1,MAX(Cx_1*(Ref_P-E630)/Span_P,Cx_2*(Ref_S-F630)/Span_S,Cx_3*(Ref_B-G630)/Span_B),"")</f>
        <v>2.21008403361345</v>
      </c>
    </row>
    <row r="631" customFormat="false" ht="15" hidden="false" customHeight="false" outlineLevel="0" collapsed="false">
      <c r="A631" s="2" t="n">
        <v>625</v>
      </c>
      <c r="B631" s="15" t="n">
        <f aca="false">INT(A631/151)</f>
        <v>4</v>
      </c>
      <c r="C631" s="15" t="n">
        <f aca="false">MOD(A631,151)</f>
        <v>21</v>
      </c>
      <c r="D631" s="15" t="n">
        <f aca="false">INDEX(Grid!$J$6:$P$156,C631+1,B631+1)</f>
        <v>1</v>
      </c>
      <c r="E631" s="16" t="n">
        <f aca="false">IF(D631=1,INDEX(Grid!$B$6:$H$156,C631+1,B631+1),"")</f>
        <v>241.789664595236</v>
      </c>
      <c r="F631" s="13" t="n">
        <f aca="false">Val_pt*(Ceiling_e-E_zero)*(1-(1-Half_gap)^B631)</f>
        <v>131.25</v>
      </c>
      <c r="G631" s="15" t="n">
        <f aca="false">C631</f>
        <v>21</v>
      </c>
      <c r="H631" s="15" t="n">
        <f aca="false">IF(D631=1,INDEX(Grid!$R$6:$X$156,C631+1,B631+1),"")</f>
        <v>57</v>
      </c>
      <c r="I631" s="2" t="str">
        <f aca="false">IF(D631=1,INDEX(Sch_label,H631+1),"")</f>
        <v>1–3, 6</v>
      </c>
      <c r="J631" s="15" t="n">
        <f aca="false">IF(D631=1,INDEX(Grid!$Z$6:$AF$156,C631+1,B631+1),0)</f>
        <v>1</v>
      </c>
      <c r="K631" s="16" t="n">
        <f aca="false">IF(J631=1,E631,0)</f>
        <v>241.789664595236</v>
      </c>
      <c r="L631" s="17" t="n">
        <f aca="false">IF(D631=1,E631+W_board*F631,"")</f>
        <v>982.661697790818</v>
      </c>
      <c r="M631" s="24" t="n">
        <v>1</v>
      </c>
      <c r="N631" s="25" t="n">
        <v>0.219944509271644</v>
      </c>
      <c r="O631" s="25" t="n">
        <v>0.697229795554407</v>
      </c>
      <c r="P631" s="25" t="n">
        <v>0.0828256951739489</v>
      </c>
      <c r="Z631" s="12" t="n">
        <f aca="false">IF(AND($J631=1,$M631=1),N631*E631/Span_P+O631*F631/Span_S+P631*G631/Span_B,"")</f>
        <v>1.50793286605521</v>
      </c>
      <c r="AA631" s="12" t="n">
        <f aca="false">IF(AND($J631=1,$M631=1),SUMPRODUCT(MAX($J$6:$J$1062*(N631*$K$6:$K$1062/Span_P+O631*$F$6:$F$1062/Span_S+P631*$G$6:$G$1062/Span_B)-(1-$J$6:$J$1062)*1000000000)),"")</f>
        <v>1.50793286605521</v>
      </c>
      <c r="AB631" s="15" t="n">
        <f aca="false">IF(AND($J631=1,$M631=1),IF(AA631-Z631&lt;=0.000000001,1,0),"")</f>
        <v>1</v>
      </c>
      <c r="AC631" s="13" t="str">
        <f aca="false">IF(AND($J631=1,$M631=0),IF(S631="",0,S631*INDEX(Grid!$B$6:$H$156,R631+1,Q631+1))+IF(V631="",0,V631*INDEX(Grid!$B$6:$H$156,U631+1,T631+1))+IF(Y631="",0,Y631*INDEX(Grid!$B$6:$H$156,X631+1,W631+1)),"")</f>
        <v/>
      </c>
      <c r="AD631" s="13" t="str">
        <f aca="false">IF(AND($J631=1,$M631=0),IF(S631="",0,S631*Val_pt*(Ceiling_e-E_zero)*(1-(1-Half_gap)^Q631))+IF(V631="",0,V631*Val_pt*(Ceiling_e-E_zero)*(1-(1-Half_gap)^T631))+IF(Y631="",0,Y631*Val_pt*(Ceiling_e-E_zero)*(1-(1-Half_gap)^W631)),"")</f>
        <v/>
      </c>
      <c r="AE631" s="13" t="str">
        <f aca="false">IF(AND($J631=1,$M631=0),IF(S631="",0,S631*R631)+IF(V631="",0,V631*U631)+IF(Y631="",0,Y631*X631),"")</f>
        <v/>
      </c>
      <c r="AF631" s="12" t="str">
        <f aca="false">IF(AND($J631=1,$M631=0),MIN((AC631-E631)/Span_P,(AD631-F631)/Span_S,(AE631-G631)/Span_B),"")</f>
        <v/>
      </c>
      <c r="AG631" s="15" t="str">
        <f aca="false">IF(AND($J631=1,$M631=0),IF(AF631&gt;0.0000001,1,0),"")</f>
        <v/>
      </c>
      <c r="AH631" s="15" t="n">
        <f aca="false">IF($J631=1,IF($M631=1,AB631,AG631),"")</f>
        <v>1</v>
      </c>
      <c r="AI631" s="13" t="n">
        <f aca="false">IF($J631=1,(Ideal_P-E631)/Span_P,"")</f>
        <v>0.393200063693577</v>
      </c>
      <c r="AJ631" s="13" t="n">
        <f aca="false">IF($J631=1,(Ideal_S-F631)/Span_S,"")</f>
        <v>0.0967741935483871</v>
      </c>
      <c r="AK631" s="13" t="n">
        <f aca="false">IF($J631=1,(Ideal_B-G631)/Span_B,"")</f>
        <v>0.86</v>
      </c>
      <c r="AL631" s="12" t="n">
        <f aca="false">IF($J631=1,MAX(ChA_1*AI631,ChA_2*AJ631,ChA_3*AK631)+Rho*(ChA_1*AI631+ChA_2*AJ631+ChA_3*AK631),"")</f>
        <v>0.860134997425724</v>
      </c>
      <c r="AM631" s="12" t="n">
        <f aca="false">IF($J631=1,MAX(ChB_1*AI631,ChB_2*AJ631,ChB_3*AK631)+Rho*(ChB_1*AI631+ChB_2*AJ631+ChB_3*AK631),"")</f>
        <v>0.860174317432094</v>
      </c>
      <c r="AN631" s="12" t="n">
        <f aca="false">IF($J631=1,MAX(Cx_1*(Ref_P-E631)/Span_P,Cx_2*(Ref_S-F631)/Span_S,Cx_3*(Ref_B-G631)/Span_B),"")</f>
        <v>2.19327731092437</v>
      </c>
    </row>
    <row r="632" customFormat="false" ht="15" hidden="false" customHeight="false" outlineLevel="0" collapsed="false">
      <c r="A632" s="2" t="n">
        <v>626</v>
      </c>
      <c r="B632" s="15" t="n">
        <f aca="false">INT(A632/151)</f>
        <v>4</v>
      </c>
      <c r="C632" s="15" t="n">
        <f aca="false">MOD(A632,151)</f>
        <v>22</v>
      </c>
      <c r="D632" s="15" t="n">
        <f aca="false">INDEX(Grid!$J$6:$P$156,C632+1,B632+1)</f>
        <v>1</v>
      </c>
      <c r="E632" s="16" t="n">
        <f aca="false">IF(D632=1,INDEX(Grid!$B$6:$H$156,C632+1,B632+1),"")</f>
        <v>240.880573686145</v>
      </c>
      <c r="F632" s="13" t="n">
        <f aca="false">Val_pt*(Ceiling_e-E_zero)*(1-(1-Half_gap)^B632)</f>
        <v>131.25</v>
      </c>
      <c r="G632" s="15" t="n">
        <f aca="false">C632</f>
        <v>22</v>
      </c>
      <c r="H632" s="15" t="n">
        <f aca="false">IF(D632=1,INDEX(Grid!$R$6:$X$156,C632+1,B632+1),"")</f>
        <v>57</v>
      </c>
      <c r="I632" s="2" t="str">
        <f aca="false">IF(D632=1,INDEX(Sch_label,H632+1),"")</f>
        <v>1–3, 6</v>
      </c>
      <c r="J632" s="15" t="n">
        <f aca="false">IF(D632=1,INDEX(Grid!$Z$6:$AF$156,C632+1,B632+1),0)</f>
        <v>1</v>
      </c>
      <c r="K632" s="16" t="n">
        <f aca="false">IF(J632=1,E632,0)</f>
        <v>240.880573686145</v>
      </c>
      <c r="L632" s="17" t="n">
        <f aca="false">IF(D632=1,E632+W_board*F632,"")</f>
        <v>981.752606881727</v>
      </c>
      <c r="M632" s="24" t="n">
        <v>1</v>
      </c>
      <c r="N632" s="25" t="n">
        <v>0.219944509271644</v>
      </c>
      <c r="O632" s="25" t="n">
        <v>0.697229795554407</v>
      </c>
      <c r="P632" s="25" t="n">
        <v>0.082825695173949</v>
      </c>
      <c r="Z632" s="12" t="n">
        <f aca="false">IF(AND($J632=1,$M632=1),N632*E632/Span_P+O632*F632/Span_S+P632*G632/Span_B,"")</f>
        <v>1.50793286605521</v>
      </c>
      <c r="AA632" s="12" t="n">
        <f aca="false">IF(AND($J632=1,$M632=1),SUMPRODUCT(MAX($J$6:$J$1062*(N632*$K$6:$K$1062/Span_P+O632*$F$6:$F$1062/Span_S+P632*$G$6:$G$1062/Span_B)-(1-$J$6:$J$1062)*1000000000)),"")</f>
        <v>1.50793286605521</v>
      </c>
      <c r="AB632" s="15" t="n">
        <f aca="false">IF(AND($J632=1,$M632=1),IF(AA632-Z632&lt;=0.000000001,1,0),"")</f>
        <v>1</v>
      </c>
      <c r="AC632" s="13" t="str">
        <f aca="false">IF(AND($J632=1,$M632=0),IF(S632="",0,S632*INDEX(Grid!$B$6:$H$156,R632+1,Q632+1))+IF(V632="",0,V632*INDEX(Grid!$B$6:$H$156,U632+1,T632+1))+IF(Y632="",0,Y632*INDEX(Grid!$B$6:$H$156,X632+1,W632+1)),"")</f>
        <v/>
      </c>
      <c r="AD632" s="13" t="str">
        <f aca="false">IF(AND($J632=1,$M632=0),IF(S632="",0,S632*Val_pt*(Ceiling_e-E_zero)*(1-(1-Half_gap)^Q632))+IF(V632="",0,V632*Val_pt*(Ceiling_e-E_zero)*(1-(1-Half_gap)^T632))+IF(Y632="",0,Y632*Val_pt*(Ceiling_e-E_zero)*(1-(1-Half_gap)^W632)),"")</f>
        <v/>
      </c>
      <c r="AE632" s="13" t="str">
        <f aca="false">IF(AND($J632=1,$M632=0),IF(S632="",0,S632*R632)+IF(V632="",0,V632*U632)+IF(Y632="",0,Y632*X632),"")</f>
        <v/>
      </c>
      <c r="AF632" s="12" t="str">
        <f aca="false">IF(AND($J632=1,$M632=0),MIN((AC632-E632)/Span_P,(AD632-F632)/Span_S,(AE632-G632)/Span_B),"")</f>
        <v/>
      </c>
      <c r="AG632" s="15" t="str">
        <f aca="false">IF(AND($J632=1,$M632=0),IF(AF632&gt;0.0000001,1,0),"")</f>
        <v/>
      </c>
      <c r="AH632" s="15" t="n">
        <f aca="false">IF($J632=1,IF($M632=1,AB632,AG632),"")</f>
        <v>1</v>
      </c>
      <c r="AI632" s="13" t="n">
        <f aca="false">IF($J632=1,(Ideal_P-E632)/Span_P,"")</f>
        <v>0.395710566469883</v>
      </c>
      <c r="AJ632" s="13" t="n">
        <f aca="false">IF($J632=1,(Ideal_S-F632)/Span_S,"")</f>
        <v>0.0967741935483871</v>
      </c>
      <c r="AK632" s="13" t="n">
        <f aca="false">IF($J632=1,(Ideal_B-G632)/Span_B,"")</f>
        <v>0.853333333333333</v>
      </c>
      <c r="AL632" s="12" t="n">
        <f aca="false">IF($J632=1,MAX(ChA_1*AI632,ChA_2*AJ632,ChA_3*AK632)+Rho*(ChA_1*AI632+ChA_2*AJ632+ChA_3*AK632),"")</f>
        <v>0.853467915142669</v>
      </c>
      <c r="AM632" s="12" t="n">
        <f aca="false">IF($J632=1,MAX(ChB_1*AI632,ChB_2*AJ632,ChB_3*AK632)+Rho*(ChB_1*AI632+ChB_2*AJ632+ChB_3*AK632),"")</f>
        <v>0.853507486199316</v>
      </c>
      <c r="AN632" s="12" t="n">
        <f aca="false">IF($J632=1,MAX(Cx_1*(Ref_P-E632)/Span_P,Cx_2*(Ref_S-F632)/Span_S,Cx_3*(Ref_B-G632)/Span_B),"")</f>
        <v>2.17647058823529</v>
      </c>
    </row>
    <row r="633" customFormat="false" ht="15" hidden="false" customHeight="false" outlineLevel="0" collapsed="false">
      <c r="A633" s="2" t="n">
        <v>627</v>
      </c>
      <c r="B633" s="15" t="n">
        <f aca="false">INT(A633/151)</f>
        <v>4</v>
      </c>
      <c r="C633" s="15" t="n">
        <f aca="false">MOD(A633,151)</f>
        <v>23</v>
      </c>
      <c r="D633" s="15" t="n">
        <f aca="false">INDEX(Grid!$J$6:$P$156,C633+1,B633+1)</f>
        <v>1</v>
      </c>
      <c r="E633" s="16" t="n">
        <f aca="false">IF(D633=1,INDEX(Grid!$B$6:$H$156,C633+1,B633+1),"")</f>
        <v>239.971482777054</v>
      </c>
      <c r="F633" s="13" t="n">
        <f aca="false">Val_pt*(Ceiling_e-E_zero)*(1-(1-Half_gap)^B633)</f>
        <v>131.25</v>
      </c>
      <c r="G633" s="15" t="n">
        <f aca="false">C633</f>
        <v>23</v>
      </c>
      <c r="H633" s="15" t="n">
        <f aca="false">IF(D633=1,INDEX(Grid!$R$6:$X$156,C633+1,B633+1),"")</f>
        <v>57</v>
      </c>
      <c r="I633" s="2" t="str">
        <f aca="false">IF(D633=1,INDEX(Sch_label,H633+1),"")</f>
        <v>1–3, 6</v>
      </c>
      <c r="J633" s="15" t="n">
        <f aca="false">IF(D633=1,INDEX(Grid!$Z$6:$AF$156,C633+1,B633+1),0)</f>
        <v>1</v>
      </c>
      <c r="K633" s="16" t="n">
        <f aca="false">IF(J633=1,E633,0)</f>
        <v>239.971482777054</v>
      </c>
      <c r="L633" s="17" t="n">
        <f aca="false">IF(D633=1,E633+W_board*F633,"")</f>
        <v>980.843515972636</v>
      </c>
      <c r="M633" s="24" t="n">
        <v>1</v>
      </c>
      <c r="N633" s="25" t="n">
        <v>0.219944509271648</v>
      </c>
      <c r="O633" s="25" t="n">
        <v>0.697229795554399</v>
      </c>
      <c r="P633" s="25" t="n">
        <v>0.0828256951739538</v>
      </c>
      <c r="Z633" s="12" t="n">
        <f aca="false">IF(AND($J633=1,$M633=1),N633*E633/Span_P+O633*F633/Span_S+P633*G633/Span_B,"")</f>
        <v>1.50793286605519</v>
      </c>
      <c r="AA633" s="12" t="n">
        <f aca="false">IF(AND($J633=1,$M633=1),SUMPRODUCT(MAX($J$6:$J$1062*(N633*$K$6:$K$1062/Span_P+O633*$F$6:$F$1062/Span_S+P633*$G$6:$G$1062/Span_B)-(1-$J$6:$J$1062)*1000000000)),"")</f>
        <v>1.50793286605519</v>
      </c>
      <c r="AB633" s="15" t="n">
        <f aca="false">IF(AND($J633=1,$M633=1),IF(AA633-Z633&lt;=0.000000001,1,0),"")</f>
        <v>1</v>
      </c>
      <c r="AC633" s="13" t="str">
        <f aca="false">IF(AND($J633=1,$M633=0),IF(S633="",0,S633*INDEX(Grid!$B$6:$H$156,R633+1,Q633+1))+IF(V633="",0,V633*INDEX(Grid!$B$6:$H$156,U633+1,T633+1))+IF(Y633="",0,Y633*INDEX(Grid!$B$6:$H$156,X633+1,W633+1)),"")</f>
        <v/>
      </c>
      <c r="AD633" s="13" t="str">
        <f aca="false">IF(AND($J633=1,$M633=0),IF(S633="",0,S633*Val_pt*(Ceiling_e-E_zero)*(1-(1-Half_gap)^Q633))+IF(V633="",0,V633*Val_pt*(Ceiling_e-E_zero)*(1-(1-Half_gap)^T633))+IF(Y633="",0,Y633*Val_pt*(Ceiling_e-E_zero)*(1-(1-Half_gap)^W633)),"")</f>
        <v/>
      </c>
      <c r="AE633" s="13" t="str">
        <f aca="false">IF(AND($J633=1,$M633=0),IF(S633="",0,S633*R633)+IF(V633="",0,V633*U633)+IF(Y633="",0,Y633*X633),"")</f>
        <v/>
      </c>
      <c r="AF633" s="12" t="str">
        <f aca="false">IF(AND($J633=1,$M633=0),MIN((AC633-E633)/Span_P,(AD633-F633)/Span_S,(AE633-G633)/Span_B),"")</f>
        <v/>
      </c>
      <c r="AG633" s="15" t="str">
        <f aca="false">IF(AND($J633=1,$M633=0),IF(AF633&gt;0.0000001,1,0),"")</f>
        <v/>
      </c>
      <c r="AH633" s="15" t="n">
        <f aca="false">IF($J633=1,IF($M633=1,AB633,AG633),"")</f>
        <v>1</v>
      </c>
      <c r="AI633" s="13" t="n">
        <f aca="false">IF($J633=1,(Ideal_P-E633)/Span_P,"")</f>
        <v>0.398221069246189</v>
      </c>
      <c r="AJ633" s="13" t="n">
        <f aca="false">IF($J633=1,(Ideal_S-F633)/Span_S,"")</f>
        <v>0.0967741935483871</v>
      </c>
      <c r="AK633" s="13" t="n">
        <f aca="false">IF($J633=1,(Ideal_B-G633)/Span_B,"")</f>
        <v>0.846666666666667</v>
      </c>
      <c r="AL633" s="12" t="n">
        <f aca="false">IF($J633=1,MAX(ChA_1*AI633,ChA_2*AJ633,ChA_3*AK633)+Rho*(ChA_1*AI633+ChA_2*AJ633+ChA_3*AK633),"")</f>
        <v>0.846800832859613</v>
      </c>
      <c r="AM633" s="12" t="n">
        <f aca="false">IF($J633=1,MAX(ChB_1*AI633,ChB_2*AJ633,ChB_3*AK633)+Rho*(ChB_1*AI633+ChB_2*AJ633+ChB_3*AK633),"")</f>
        <v>0.846840654966537</v>
      </c>
      <c r="AN633" s="12" t="n">
        <f aca="false">IF($J633=1,MAX(Cx_1*(Ref_P-E633)/Span_P,Cx_2*(Ref_S-F633)/Span_S,Cx_3*(Ref_B-G633)/Span_B),"")</f>
        <v>2.15966386554622</v>
      </c>
    </row>
    <row r="634" customFormat="false" ht="15" hidden="false" customHeight="false" outlineLevel="0" collapsed="false">
      <c r="A634" s="2" t="n">
        <v>628</v>
      </c>
      <c r="B634" s="15" t="n">
        <f aca="false">INT(A634/151)</f>
        <v>4</v>
      </c>
      <c r="C634" s="15" t="n">
        <f aca="false">MOD(A634,151)</f>
        <v>24</v>
      </c>
      <c r="D634" s="15" t="n">
        <f aca="false">INDEX(Grid!$J$6:$P$156,C634+1,B634+1)</f>
        <v>1</v>
      </c>
      <c r="E634" s="16" t="n">
        <f aca="false">IF(D634=1,INDEX(Grid!$B$6:$H$156,C634+1,B634+1),"")</f>
        <v>239.062391867963</v>
      </c>
      <c r="F634" s="13" t="n">
        <f aca="false">Val_pt*(Ceiling_e-E_zero)*(1-(1-Half_gap)^B634)</f>
        <v>131.25</v>
      </c>
      <c r="G634" s="15" t="n">
        <f aca="false">C634</f>
        <v>24</v>
      </c>
      <c r="H634" s="15" t="n">
        <f aca="false">IF(D634=1,INDEX(Grid!$R$6:$X$156,C634+1,B634+1),"")</f>
        <v>57</v>
      </c>
      <c r="I634" s="2" t="str">
        <f aca="false">IF(D634=1,INDEX(Sch_label,H634+1),"")</f>
        <v>1–3, 6</v>
      </c>
      <c r="J634" s="15" t="n">
        <f aca="false">IF(D634=1,INDEX(Grid!$Z$6:$AF$156,C634+1,B634+1),0)</f>
        <v>1</v>
      </c>
      <c r="K634" s="16" t="n">
        <f aca="false">IF(J634=1,E634,0)</f>
        <v>239.062391867963</v>
      </c>
      <c r="L634" s="17" t="n">
        <f aca="false">IF(D634=1,E634+W_board*F634,"")</f>
        <v>979.934425063546</v>
      </c>
      <c r="M634" s="24" t="n">
        <v>1</v>
      </c>
      <c r="N634" s="25" t="n">
        <v>0.219944509271644</v>
      </c>
      <c r="O634" s="25" t="n">
        <v>0.697229795554407</v>
      </c>
      <c r="P634" s="25" t="n">
        <v>0.082825695173949</v>
      </c>
      <c r="Z634" s="12" t="n">
        <f aca="false">IF(AND($J634=1,$M634=1),N634*E634/Span_P+O634*F634/Span_S+P634*G634/Span_B,"")</f>
        <v>1.50793286605521</v>
      </c>
      <c r="AA634" s="12" t="n">
        <f aca="false">IF(AND($J634=1,$M634=1),SUMPRODUCT(MAX($J$6:$J$1062*(N634*$K$6:$K$1062/Span_P+O634*$F$6:$F$1062/Span_S+P634*$G$6:$G$1062/Span_B)-(1-$J$6:$J$1062)*1000000000)),"")</f>
        <v>1.50793286605521</v>
      </c>
      <c r="AB634" s="15" t="n">
        <f aca="false">IF(AND($J634=1,$M634=1),IF(AA634-Z634&lt;=0.000000001,1,0),"")</f>
        <v>1</v>
      </c>
      <c r="AC634" s="13" t="str">
        <f aca="false">IF(AND($J634=1,$M634=0),IF(S634="",0,S634*INDEX(Grid!$B$6:$H$156,R634+1,Q634+1))+IF(V634="",0,V634*INDEX(Grid!$B$6:$H$156,U634+1,T634+1))+IF(Y634="",0,Y634*INDEX(Grid!$B$6:$H$156,X634+1,W634+1)),"")</f>
        <v/>
      </c>
      <c r="AD634" s="13" t="str">
        <f aca="false">IF(AND($J634=1,$M634=0),IF(S634="",0,S634*Val_pt*(Ceiling_e-E_zero)*(1-(1-Half_gap)^Q634))+IF(V634="",0,V634*Val_pt*(Ceiling_e-E_zero)*(1-(1-Half_gap)^T634))+IF(Y634="",0,Y634*Val_pt*(Ceiling_e-E_zero)*(1-(1-Half_gap)^W634)),"")</f>
        <v/>
      </c>
      <c r="AE634" s="13" t="str">
        <f aca="false">IF(AND($J634=1,$M634=0),IF(S634="",0,S634*R634)+IF(V634="",0,V634*U634)+IF(Y634="",0,Y634*X634),"")</f>
        <v/>
      </c>
      <c r="AF634" s="12" t="str">
        <f aca="false">IF(AND($J634=1,$M634=0),MIN((AC634-E634)/Span_P,(AD634-F634)/Span_S,(AE634-G634)/Span_B),"")</f>
        <v/>
      </c>
      <c r="AG634" s="15" t="str">
        <f aca="false">IF(AND($J634=1,$M634=0),IF(AF634&gt;0.0000001,1,0),"")</f>
        <v/>
      </c>
      <c r="AH634" s="15" t="n">
        <f aca="false">IF($J634=1,IF($M634=1,AB634,AG634),"")</f>
        <v>1</v>
      </c>
      <c r="AI634" s="13" t="n">
        <f aca="false">IF($J634=1,(Ideal_P-E634)/Span_P,"")</f>
        <v>0.400731572022495</v>
      </c>
      <c r="AJ634" s="13" t="n">
        <f aca="false">IF($J634=1,(Ideal_S-F634)/Span_S,"")</f>
        <v>0.0967741935483871</v>
      </c>
      <c r="AK634" s="13" t="n">
        <f aca="false">IF($J634=1,(Ideal_B-G634)/Span_B,"")</f>
        <v>0.84</v>
      </c>
      <c r="AL634" s="12" t="n">
        <f aca="false">IF($J634=1,MAX(ChA_1*AI634,ChA_2*AJ634,ChA_3*AK634)+Rho*(ChA_1*AI634+ChA_2*AJ634+ChA_3*AK634),"")</f>
        <v>0.840133750576557</v>
      </c>
      <c r="AM634" s="12" t="n">
        <f aca="false">IF($J634=1,MAX(ChB_1*AI634,ChB_2*AJ634,ChB_3*AK634)+Rho*(ChB_1*AI634+ChB_2*AJ634+ChB_3*AK634),"")</f>
        <v>0.840173823733759</v>
      </c>
      <c r="AN634" s="12" t="n">
        <f aca="false">IF($J634=1,MAX(Cx_1*(Ref_P-E634)/Span_P,Cx_2*(Ref_S-F634)/Span_S,Cx_3*(Ref_B-G634)/Span_B),"")</f>
        <v>2.14285714285714</v>
      </c>
    </row>
    <row r="635" customFormat="false" ht="15" hidden="false" customHeight="false" outlineLevel="0" collapsed="false">
      <c r="A635" s="2" t="n">
        <v>629</v>
      </c>
      <c r="B635" s="15" t="n">
        <f aca="false">INT(A635/151)</f>
        <v>4</v>
      </c>
      <c r="C635" s="15" t="n">
        <f aca="false">MOD(A635,151)</f>
        <v>25</v>
      </c>
      <c r="D635" s="15" t="n">
        <f aca="false">INDEX(Grid!$J$6:$P$156,C635+1,B635+1)</f>
        <v>1</v>
      </c>
      <c r="E635" s="16" t="n">
        <f aca="false">IF(D635=1,INDEX(Grid!$B$6:$H$156,C635+1,B635+1),"")</f>
        <v>238.153300958872</v>
      </c>
      <c r="F635" s="13" t="n">
        <f aca="false">Val_pt*(Ceiling_e-E_zero)*(1-(1-Half_gap)^B635)</f>
        <v>131.25</v>
      </c>
      <c r="G635" s="15" t="n">
        <f aca="false">C635</f>
        <v>25</v>
      </c>
      <c r="H635" s="15" t="n">
        <f aca="false">IF(D635=1,INDEX(Grid!$R$6:$X$156,C635+1,B635+1),"")</f>
        <v>57</v>
      </c>
      <c r="I635" s="2" t="str">
        <f aca="false">IF(D635=1,INDEX(Sch_label,H635+1),"")</f>
        <v>1–3, 6</v>
      </c>
      <c r="J635" s="15" t="n">
        <f aca="false">IF(D635=1,INDEX(Grid!$Z$6:$AF$156,C635+1,B635+1),0)</f>
        <v>1</v>
      </c>
      <c r="K635" s="16" t="n">
        <f aca="false">IF(J635=1,E635,0)</f>
        <v>238.153300958872</v>
      </c>
      <c r="L635" s="17" t="n">
        <f aca="false">IF(D635=1,E635+W_board*F635,"")</f>
        <v>979.025334154455</v>
      </c>
      <c r="M635" s="24" t="n">
        <v>1</v>
      </c>
      <c r="N635" s="25" t="n">
        <v>0.219944509271648</v>
      </c>
      <c r="O635" s="25" t="n">
        <v>0.697229795554399</v>
      </c>
      <c r="P635" s="25" t="n">
        <v>0.0828256951739537</v>
      </c>
      <c r="Z635" s="12" t="n">
        <f aca="false">IF(AND($J635=1,$M635=1),N635*E635/Span_P+O635*F635/Span_S+P635*G635/Span_B,"")</f>
        <v>1.50793286605519</v>
      </c>
      <c r="AA635" s="12" t="n">
        <f aca="false">IF(AND($J635=1,$M635=1),SUMPRODUCT(MAX($J$6:$J$1062*(N635*$K$6:$K$1062/Span_P+O635*$F$6:$F$1062/Span_S+P635*$G$6:$G$1062/Span_B)-(1-$J$6:$J$1062)*1000000000)),"")</f>
        <v>1.5079328660552</v>
      </c>
      <c r="AB635" s="15" t="n">
        <f aca="false">IF(AND($J635=1,$M635=1),IF(AA635-Z635&lt;=0.000000001,1,0),"")</f>
        <v>1</v>
      </c>
      <c r="AC635" s="13" t="str">
        <f aca="false">IF(AND($J635=1,$M635=0),IF(S635="",0,S635*INDEX(Grid!$B$6:$H$156,R635+1,Q635+1))+IF(V635="",0,V635*INDEX(Grid!$B$6:$H$156,U635+1,T635+1))+IF(Y635="",0,Y635*INDEX(Grid!$B$6:$H$156,X635+1,W635+1)),"")</f>
        <v/>
      </c>
      <c r="AD635" s="13" t="str">
        <f aca="false">IF(AND($J635=1,$M635=0),IF(S635="",0,S635*Val_pt*(Ceiling_e-E_zero)*(1-(1-Half_gap)^Q635))+IF(V635="",0,V635*Val_pt*(Ceiling_e-E_zero)*(1-(1-Half_gap)^T635))+IF(Y635="",0,Y635*Val_pt*(Ceiling_e-E_zero)*(1-(1-Half_gap)^W635)),"")</f>
        <v/>
      </c>
      <c r="AE635" s="13" t="str">
        <f aca="false">IF(AND($J635=1,$M635=0),IF(S635="",0,S635*R635)+IF(V635="",0,V635*U635)+IF(Y635="",0,Y635*X635),"")</f>
        <v/>
      </c>
      <c r="AF635" s="12" t="str">
        <f aca="false">IF(AND($J635=1,$M635=0),MIN((AC635-E635)/Span_P,(AD635-F635)/Span_S,(AE635-G635)/Span_B),"")</f>
        <v/>
      </c>
      <c r="AG635" s="15" t="str">
        <f aca="false">IF(AND($J635=1,$M635=0),IF(AF635&gt;0.0000001,1,0),"")</f>
        <v/>
      </c>
      <c r="AH635" s="15" t="n">
        <f aca="false">IF($J635=1,IF($M635=1,AB635,AG635),"")</f>
        <v>1</v>
      </c>
      <c r="AI635" s="13" t="n">
        <f aca="false">IF($J635=1,(Ideal_P-E635)/Span_P,"")</f>
        <v>0.4032420747988</v>
      </c>
      <c r="AJ635" s="13" t="n">
        <f aca="false">IF($J635=1,(Ideal_S-F635)/Span_S,"")</f>
        <v>0.0967741935483871</v>
      </c>
      <c r="AK635" s="13" t="n">
        <f aca="false">IF($J635=1,(Ideal_B-G635)/Span_B,"")</f>
        <v>0.833333333333333</v>
      </c>
      <c r="AL635" s="12" t="n">
        <f aca="false">IF($J635=1,MAX(ChA_1*AI635,ChA_2*AJ635,ChA_3*AK635)+Rho*(ChA_1*AI635+ChA_2*AJ635+ChA_3*AK635),"")</f>
        <v>0.833466668293502</v>
      </c>
      <c r="AM635" s="12" t="n">
        <f aca="false">IF($J635=1,MAX(ChB_1*AI635,ChB_2*AJ635,ChB_3*AK635)+Rho*(ChB_1*AI635+ChB_2*AJ635+ChB_3*AK635),"")</f>
        <v>0.833506992500981</v>
      </c>
      <c r="AN635" s="12" t="n">
        <f aca="false">IF($J635=1,MAX(Cx_1*(Ref_P-E635)/Span_P,Cx_2*(Ref_S-F635)/Span_S,Cx_3*(Ref_B-G635)/Span_B),"")</f>
        <v>2.12605042016807</v>
      </c>
    </row>
    <row r="636" customFormat="false" ht="15" hidden="false" customHeight="false" outlineLevel="0" collapsed="false">
      <c r="A636" s="2" t="n">
        <v>630</v>
      </c>
      <c r="B636" s="15" t="n">
        <f aca="false">INT(A636/151)</f>
        <v>4</v>
      </c>
      <c r="C636" s="15" t="n">
        <f aca="false">MOD(A636,151)</f>
        <v>26</v>
      </c>
      <c r="D636" s="15" t="n">
        <f aca="false">INDEX(Grid!$J$6:$P$156,C636+1,B636+1)</f>
        <v>1</v>
      </c>
      <c r="E636" s="16" t="n">
        <f aca="false">IF(D636=1,INDEX(Grid!$B$6:$H$156,C636+1,B636+1),"")</f>
        <v>237.244210049781</v>
      </c>
      <c r="F636" s="13" t="n">
        <f aca="false">Val_pt*(Ceiling_e-E_zero)*(1-(1-Half_gap)^B636)</f>
        <v>131.25</v>
      </c>
      <c r="G636" s="15" t="n">
        <f aca="false">C636</f>
        <v>26</v>
      </c>
      <c r="H636" s="15" t="n">
        <f aca="false">IF(D636=1,INDEX(Grid!$R$6:$X$156,C636+1,B636+1),"")</f>
        <v>57</v>
      </c>
      <c r="I636" s="2" t="str">
        <f aca="false">IF(D636=1,INDEX(Sch_label,H636+1),"")</f>
        <v>1–3, 6</v>
      </c>
      <c r="J636" s="15" t="n">
        <f aca="false">IF(D636=1,INDEX(Grid!$Z$6:$AF$156,C636+1,B636+1),0)</f>
        <v>1</v>
      </c>
      <c r="K636" s="16" t="n">
        <f aca="false">IF(J636=1,E636,0)</f>
        <v>237.244210049781</v>
      </c>
      <c r="L636" s="17" t="n">
        <f aca="false">IF(D636=1,E636+W_board*F636,"")</f>
        <v>978.116243245364</v>
      </c>
      <c r="M636" s="24" t="n">
        <v>1</v>
      </c>
      <c r="N636" s="25" t="n">
        <v>0.219944509271644</v>
      </c>
      <c r="O636" s="25" t="n">
        <v>0.697229795554407</v>
      </c>
      <c r="P636" s="25" t="n">
        <v>0.082825695173949</v>
      </c>
      <c r="Z636" s="12" t="n">
        <f aca="false">IF(AND($J636=1,$M636=1),N636*E636/Span_P+O636*F636/Span_S+P636*G636/Span_B,"")</f>
        <v>1.50793286605521</v>
      </c>
      <c r="AA636" s="12" t="n">
        <f aca="false">IF(AND($J636=1,$M636=1),SUMPRODUCT(MAX($J$6:$J$1062*(N636*$K$6:$K$1062/Span_P+O636*$F$6:$F$1062/Span_S+P636*$G$6:$G$1062/Span_B)-(1-$J$6:$J$1062)*1000000000)),"")</f>
        <v>1.50793286605521</v>
      </c>
      <c r="AB636" s="15" t="n">
        <f aca="false">IF(AND($J636=1,$M636=1),IF(AA636-Z636&lt;=0.000000001,1,0),"")</f>
        <v>1</v>
      </c>
      <c r="AC636" s="13" t="str">
        <f aca="false">IF(AND($J636=1,$M636=0),IF(S636="",0,S636*INDEX(Grid!$B$6:$H$156,R636+1,Q636+1))+IF(V636="",0,V636*INDEX(Grid!$B$6:$H$156,U636+1,T636+1))+IF(Y636="",0,Y636*INDEX(Grid!$B$6:$H$156,X636+1,W636+1)),"")</f>
        <v/>
      </c>
      <c r="AD636" s="13" t="str">
        <f aca="false">IF(AND($J636=1,$M636=0),IF(S636="",0,S636*Val_pt*(Ceiling_e-E_zero)*(1-(1-Half_gap)^Q636))+IF(V636="",0,V636*Val_pt*(Ceiling_e-E_zero)*(1-(1-Half_gap)^T636))+IF(Y636="",0,Y636*Val_pt*(Ceiling_e-E_zero)*(1-(1-Half_gap)^W636)),"")</f>
        <v/>
      </c>
      <c r="AE636" s="13" t="str">
        <f aca="false">IF(AND($J636=1,$M636=0),IF(S636="",0,S636*R636)+IF(V636="",0,V636*U636)+IF(Y636="",0,Y636*X636),"")</f>
        <v/>
      </c>
      <c r="AF636" s="12" t="str">
        <f aca="false">IF(AND($J636=1,$M636=0),MIN((AC636-E636)/Span_P,(AD636-F636)/Span_S,(AE636-G636)/Span_B),"")</f>
        <v/>
      </c>
      <c r="AG636" s="15" t="str">
        <f aca="false">IF(AND($J636=1,$M636=0),IF(AF636&gt;0.0000001,1,0),"")</f>
        <v/>
      </c>
      <c r="AH636" s="15" t="n">
        <f aca="false">IF($J636=1,IF($M636=1,AB636,AG636),"")</f>
        <v>1</v>
      </c>
      <c r="AI636" s="13" t="n">
        <f aca="false">IF($J636=1,(Ideal_P-E636)/Span_P,"")</f>
        <v>0.405752577575106</v>
      </c>
      <c r="AJ636" s="13" t="n">
        <f aca="false">IF($J636=1,(Ideal_S-F636)/Span_S,"")</f>
        <v>0.0967741935483871</v>
      </c>
      <c r="AK636" s="13" t="n">
        <f aca="false">IF($J636=1,(Ideal_B-G636)/Span_B,"")</f>
        <v>0.826666666666667</v>
      </c>
      <c r="AL636" s="12" t="n">
        <f aca="false">IF($J636=1,MAX(ChA_1*AI636,ChA_2*AJ636,ChA_3*AK636)+Rho*(ChA_1*AI636+ChA_2*AJ636+ChA_3*AK636),"")</f>
        <v>0.826799586010446</v>
      </c>
      <c r="AM636" s="12" t="n">
        <f aca="false">IF($J636=1,MAX(ChB_1*AI636,ChB_2*AJ636,ChB_3*AK636)+Rho*(ChB_1*AI636+ChB_2*AJ636+ChB_3*AK636),"")</f>
        <v>0.826840161268203</v>
      </c>
      <c r="AN636" s="12" t="n">
        <f aca="false">IF($J636=1,MAX(Cx_1*(Ref_P-E636)/Span_P,Cx_2*(Ref_S-F636)/Span_S,Cx_3*(Ref_B-G636)/Span_B),"")</f>
        <v>2.10924369747899</v>
      </c>
    </row>
    <row r="637" customFormat="false" ht="15" hidden="false" customHeight="false" outlineLevel="0" collapsed="false">
      <c r="A637" s="2" t="n">
        <v>631</v>
      </c>
      <c r="B637" s="15" t="n">
        <f aca="false">INT(A637/151)</f>
        <v>4</v>
      </c>
      <c r="C637" s="15" t="n">
        <f aca="false">MOD(A637,151)</f>
        <v>27</v>
      </c>
      <c r="D637" s="15" t="n">
        <f aca="false">INDEX(Grid!$J$6:$P$156,C637+1,B637+1)</f>
        <v>1</v>
      </c>
      <c r="E637" s="16" t="n">
        <f aca="false">IF(D637=1,INDEX(Grid!$B$6:$H$156,C637+1,B637+1),"")</f>
        <v>236.33511914069</v>
      </c>
      <c r="F637" s="13" t="n">
        <f aca="false">Val_pt*(Ceiling_e-E_zero)*(1-(1-Half_gap)^B637)</f>
        <v>131.25</v>
      </c>
      <c r="G637" s="15" t="n">
        <f aca="false">C637</f>
        <v>27</v>
      </c>
      <c r="H637" s="15" t="n">
        <f aca="false">IF(D637=1,INDEX(Grid!$R$6:$X$156,C637+1,B637+1),"")</f>
        <v>57</v>
      </c>
      <c r="I637" s="2" t="str">
        <f aca="false">IF(D637=1,INDEX(Sch_label,H637+1),"")</f>
        <v>1–3, 6</v>
      </c>
      <c r="J637" s="15" t="n">
        <f aca="false">IF(D637=1,INDEX(Grid!$Z$6:$AF$156,C637+1,B637+1),0)</f>
        <v>1</v>
      </c>
      <c r="K637" s="16" t="n">
        <f aca="false">IF(J637=1,E637,0)</f>
        <v>236.33511914069</v>
      </c>
      <c r="L637" s="17" t="n">
        <f aca="false">IF(D637=1,E637+W_board*F637,"")</f>
        <v>977.207152336273</v>
      </c>
      <c r="M637" s="24" t="n">
        <v>1</v>
      </c>
      <c r="N637" s="25" t="n">
        <v>0.219944509271651</v>
      </c>
      <c r="O637" s="25" t="n">
        <v>0.69722979555439</v>
      </c>
      <c r="P637" s="25" t="n">
        <v>0.0828256951739589</v>
      </c>
      <c r="Z637" s="12" t="n">
        <f aca="false">IF(AND($J637=1,$M637=1),N637*E637/Span_P+O637*F637/Span_S+P637*G637/Span_B,"")</f>
        <v>1.50793286605518</v>
      </c>
      <c r="AA637" s="12" t="n">
        <f aca="false">IF(AND($J637=1,$M637=1),SUMPRODUCT(MAX($J$6:$J$1062*(N637*$K$6:$K$1062/Span_P+O637*$F$6:$F$1062/Span_S+P637*$G$6:$G$1062/Span_B)-(1-$J$6:$J$1062)*1000000000)),"")</f>
        <v>1.50793286605518</v>
      </c>
      <c r="AB637" s="15" t="n">
        <f aca="false">IF(AND($J637=1,$M637=1),IF(AA637-Z637&lt;=0.000000001,1,0),"")</f>
        <v>1</v>
      </c>
      <c r="AC637" s="13" t="str">
        <f aca="false">IF(AND($J637=1,$M637=0),IF(S637="",0,S637*INDEX(Grid!$B$6:$H$156,R637+1,Q637+1))+IF(V637="",0,V637*INDEX(Grid!$B$6:$H$156,U637+1,T637+1))+IF(Y637="",0,Y637*INDEX(Grid!$B$6:$H$156,X637+1,W637+1)),"")</f>
        <v/>
      </c>
      <c r="AD637" s="13" t="str">
        <f aca="false">IF(AND($J637=1,$M637=0),IF(S637="",0,S637*Val_pt*(Ceiling_e-E_zero)*(1-(1-Half_gap)^Q637))+IF(V637="",0,V637*Val_pt*(Ceiling_e-E_zero)*(1-(1-Half_gap)^T637))+IF(Y637="",0,Y637*Val_pt*(Ceiling_e-E_zero)*(1-(1-Half_gap)^W637)),"")</f>
        <v/>
      </c>
      <c r="AE637" s="13" t="str">
        <f aca="false">IF(AND($J637=1,$M637=0),IF(S637="",0,S637*R637)+IF(V637="",0,V637*U637)+IF(Y637="",0,Y637*X637),"")</f>
        <v/>
      </c>
      <c r="AF637" s="12" t="str">
        <f aca="false">IF(AND($J637=1,$M637=0),MIN((AC637-E637)/Span_P,(AD637-F637)/Span_S,(AE637-G637)/Span_B),"")</f>
        <v/>
      </c>
      <c r="AG637" s="15" t="str">
        <f aca="false">IF(AND($J637=1,$M637=0),IF(AF637&gt;0.0000001,1,0),"")</f>
        <v/>
      </c>
      <c r="AH637" s="15" t="n">
        <f aca="false">IF($J637=1,IF($M637=1,AB637,AG637),"")</f>
        <v>1</v>
      </c>
      <c r="AI637" s="13" t="n">
        <f aca="false">IF($J637=1,(Ideal_P-E637)/Span_P,"")</f>
        <v>0.408263080351412</v>
      </c>
      <c r="AJ637" s="13" t="n">
        <f aca="false">IF($J637=1,(Ideal_S-F637)/Span_S,"")</f>
        <v>0.0967741935483871</v>
      </c>
      <c r="AK637" s="13" t="n">
        <f aca="false">IF($J637=1,(Ideal_B-G637)/Span_B,"")</f>
        <v>0.82</v>
      </c>
      <c r="AL637" s="12" t="n">
        <f aca="false">IF($J637=1,MAX(ChA_1*AI637,ChA_2*AJ637,ChA_3*AK637)+Rho*(ChA_1*AI637+ChA_2*AJ637+ChA_3*AK637),"")</f>
        <v>0.82013250372739</v>
      </c>
      <c r="AM637" s="12" t="n">
        <f aca="false">IF($J637=1,MAX(ChB_1*AI637,ChB_2*AJ637,ChB_3*AK637)+Rho*(ChB_1*AI637+ChB_2*AJ637+ChB_3*AK637),"")</f>
        <v>0.820173330035425</v>
      </c>
      <c r="AN637" s="12" t="n">
        <f aca="false">IF($J637=1,MAX(Cx_1*(Ref_P-E637)/Span_P,Cx_2*(Ref_S-F637)/Span_S,Cx_3*(Ref_B-G637)/Span_B),"")</f>
        <v>2.09243697478992</v>
      </c>
    </row>
    <row r="638" customFormat="false" ht="15" hidden="false" customHeight="false" outlineLevel="0" collapsed="false">
      <c r="A638" s="2" t="n">
        <v>632</v>
      </c>
      <c r="B638" s="15" t="n">
        <f aca="false">INT(A638/151)</f>
        <v>4</v>
      </c>
      <c r="C638" s="15" t="n">
        <f aca="false">MOD(A638,151)</f>
        <v>28</v>
      </c>
      <c r="D638" s="15" t="n">
        <f aca="false">INDEX(Grid!$J$6:$P$156,C638+1,B638+1)</f>
        <v>1</v>
      </c>
      <c r="E638" s="16" t="n">
        <f aca="false">IF(D638=1,INDEX(Grid!$B$6:$H$156,C638+1,B638+1),"")</f>
        <v>235.426028231599</v>
      </c>
      <c r="F638" s="13" t="n">
        <f aca="false">Val_pt*(Ceiling_e-E_zero)*(1-(1-Half_gap)^B638)</f>
        <v>131.25</v>
      </c>
      <c r="G638" s="15" t="n">
        <f aca="false">C638</f>
        <v>28</v>
      </c>
      <c r="H638" s="15" t="n">
        <f aca="false">IF(D638=1,INDEX(Grid!$R$6:$X$156,C638+1,B638+1),"")</f>
        <v>57</v>
      </c>
      <c r="I638" s="2" t="str">
        <f aca="false">IF(D638=1,INDEX(Sch_label,H638+1),"")</f>
        <v>1–3, 6</v>
      </c>
      <c r="J638" s="15" t="n">
        <f aca="false">IF(D638=1,INDEX(Grid!$Z$6:$AF$156,C638+1,B638+1),0)</f>
        <v>1</v>
      </c>
      <c r="K638" s="16" t="n">
        <f aca="false">IF(J638=1,E638,0)</f>
        <v>235.426028231599</v>
      </c>
      <c r="L638" s="17" t="n">
        <f aca="false">IF(D638=1,E638+W_board*F638,"")</f>
        <v>976.298061427182</v>
      </c>
      <c r="M638" s="24" t="n">
        <v>1</v>
      </c>
      <c r="N638" s="25" t="n">
        <v>0.21994450927164</v>
      </c>
      <c r="O638" s="25" t="n">
        <v>0.697229795554416</v>
      </c>
      <c r="P638" s="25" t="n">
        <v>0.0828256951739439</v>
      </c>
      <c r="Z638" s="12" t="n">
        <f aca="false">IF(AND($J638=1,$M638=1),N638*E638/Span_P+O638*F638/Span_S+P638*G638/Span_B,"")</f>
        <v>1.50793286605522</v>
      </c>
      <c r="AA638" s="12" t="n">
        <f aca="false">IF(AND($J638=1,$M638=1),SUMPRODUCT(MAX($J$6:$J$1062*(N638*$K$6:$K$1062/Span_P+O638*$F$6:$F$1062/Span_S+P638*$G$6:$G$1062/Span_B)-(1-$J$6:$J$1062)*1000000000)),"")</f>
        <v>1.50793286605522</v>
      </c>
      <c r="AB638" s="15" t="n">
        <f aca="false">IF(AND($J638=1,$M638=1),IF(AA638-Z638&lt;=0.000000001,1,0),"")</f>
        <v>1</v>
      </c>
      <c r="AC638" s="13" t="str">
        <f aca="false">IF(AND($J638=1,$M638=0),IF(S638="",0,S638*INDEX(Grid!$B$6:$H$156,R638+1,Q638+1))+IF(V638="",0,V638*INDEX(Grid!$B$6:$H$156,U638+1,T638+1))+IF(Y638="",0,Y638*INDEX(Grid!$B$6:$H$156,X638+1,W638+1)),"")</f>
        <v/>
      </c>
      <c r="AD638" s="13" t="str">
        <f aca="false">IF(AND($J638=1,$M638=0),IF(S638="",0,S638*Val_pt*(Ceiling_e-E_zero)*(1-(1-Half_gap)^Q638))+IF(V638="",0,V638*Val_pt*(Ceiling_e-E_zero)*(1-(1-Half_gap)^T638))+IF(Y638="",0,Y638*Val_pt*(Ceiling_e-E_zero)*(1-(1-Half_gap)^W638)),"")</f>
        <v/>
      </c>
      <c r="AE638" s="13" t="str">
        <f aca="false">IF(AND($J638=1,$M638=0),IF(S638="",0,S638*R638)+IF(V638="",0,V638*U638)+IF(Y638="",0,Y638*X638),"")</f>
        <v/>
      </c>
      <c r="AF638" s="12" t="str">
        <f aca="false">IF(AND($J638=1,$M638=0),MIN((AC638-E638)/Span_P,(AD638-F638)/Span_S,(AE638-G638)/Span_B),"")</f>
        <v/>
      </c>
      <c r="AG638" s="15" t="str">
        <f aca="false">IF(AND($J638=1,$M638=0),IF(AF638&gt;0.0000001,1,0),"")</f>
        <v/>
      </c>
      <c r="AH638" s="15" t="n">
        <f aca="false">IF($J638=1,IF($M638=1,AB638,AG638),"")</f>
        <v>1</v>
      </c>
      <c r="AI638" s="13" t="n">
        <f aca="false">IF($J638=1,(Ideal_P-E638)/Span_P,"")</f>
        <v>0.410773583127718</v>
      </c>
      <c r="AJ638" s="13" t="n">
        <f aca="false">IF($J638=1,(Ideal_S-F638)/Span_S,"")</f>
        <v>0.0967741935483871</v>
      </c>
      <c r="AK638" s="13" t="n">
        <f aca="false">IF($J638=1,(Ideal_B-G638)/Span_B,"")</f>
        <v>0.813333333333333</v>
      </c>
      <c r="AL638" s="12" t="n">
        <f aca="false">IF($J638=1,MAX(ChA_1*AI638,ChA_2*AJ638,ChA_3*AK638)+Rho*(ChA_1*AI638+ChA_2*AJ638+ChA_3*AK638),"")</f>
        <v>0.813465421444334</v>
      </c>
      <c r="AM638" s="12" t="n">
        <f aca="false">IF($J638=1,MAX(ChB_1*AI638,ChB_2*AJ638,ChB_3*AK638)+Rho*(ChB_1*AI638+ChB_2*AJ638+ChB_3*AK638),"")</f>
        <v>0.821720331724749</v>
      </c>
      <c r="AN638" s="12" t="n">
        <f aca="false">IF($J638=1,MAX(Cx_1*(Ref_P-E638)/Span_P,Cx_2*(Ref_S-F638)/Span_S,Cx_3*(Ref_B-G638)/Span_B),"")</f>
        <v>2.07563025210084</v>
      </c>
    </row>
    <row r="639" customFormat="false" ht="15" hidden="false" customHeight="false" outlineLevel="0" collapsed="false">
      <c r="A639" s="2" t="n">
        <v>633</v>
      </c>
      <c r="B639" s="15" t="n">
        <f aca="false">INT(A639/151)</f>
        <v>4</v>
      </c>
      <c r="C639" s="15" t="n">
        <f aca="false">MOD(A639,151)</f>
        <v>29</v>
      </c>
      <c r="D639" s="15" t="n">
        <f aca="false">INDEX(Grid!$J$6:$P$156,C639+1,B639+1)</f>
        <v>1</v>
      </c>
      <c r="E639" s="16" t="n">
        <f aca="false">IF(D639=1,INDEX(Grid!$B$6:$H$156,C639+1,B639+1),"")</f>
        <v>234.516937322508</v>
      </c>
      <c r="F639" s="13" t="n">
        <f aca="false">Val_pt*(Ceiling_e-E_zero)*(1-(1-Half_gap)^B639)</f>
        <v>131.25</v>
      </c>
      <c r="G639" s="15" t="n">
        <f aca="false">C639</f>
        <v>29</v>
      </c>
      <c r="H639" s="15" t="n">
        <f aca="false">IF(D639=1,INDEX(Grid!$R$6:$X$156,C639+1,B639+1),"")</f>
        <v>57</v>
      </c>
      <c r="I639" s="2" t="str">
        <f aca="false">IF(D639=1,INDEX(Sch_label,H639+1),"")</f>
        <v>1–3, 6</v>
      </c>
      <c r="J639" s="15" t="n">
        <f aca="false">IF(D639=1,INDEX(Grid!$Z$6:$AF$156,C639+1,B639+1),0)</f>
        <v>1</v>
      </c>
      <c r="K639" s="16" t="n">
        <f aca="false">IF(J639=1,E639,0)</f>
        <v>234.516937322508</v>
      </c>
      <c r="L639" s="17" t="n">
        <f aca="false">IF(D639=1,E639+W_board*F639,"")</f>
        <v>975.388970518091</v>
      </c>
      <c r="M639" s="24" t="n">
        <v>1</v>
      </c>
      <c r="N639" s="25" t="n">
        <v>0.219944509271647</v>
      </c>
      <c r="O639" s="25" t="n">
        <v>0.697229795554399</v>
      </c>
      <c r="P639" s="25" t="n">
        <v>0.0828256951739537</v>
      </c>
      <c r="Z639" s="12" t="n">
        <f aca="false">IF(AND($J639=1,$M639=1),N639*E639/Span_P+O639*F639/Span_S+P639*G639/Span_B,"")</f>
        <v>1.5079328660552</v>
      </c>
      <c r="AA639" s="12" t="n">
        <f aca="false">IF(AND($J639=1,$M639=1),SUMPRODUCT(MAX($J$6:$J$1062*(N639*$K$6:$K$1062/Span_P+O639*$F$6:$F$1062/Span_S+P639*$G$6:$G$1062/Span_B)-(1-$J$6:$J$1062)*1000000000)),"")</f>
        <v>1.5079328660552</v>
      </c>
      <c r="AB639" s="15" t="n">
        <f aca="false">IF(AND($J639=1,$M639=1),IF(AA639-Z639&lt;=0.000000001,1,0),"")</f>
        <v>1</v>
      </c>
      <c r="AC639" s="13" t="str">
        <f aca="false">IF(AND($J639=1,$M639=0),IF(S639="",0,S639*INDEX(Grid!$B$6:$H$156,R639+1,Q639+1))+IF(V639="",0,V639*INDEX(Grid!$B$6:$H$156,U639+1,T639+1))+IF(Y639="",0,Y639*INDEX(Grid!$B$6:$H$156,X639+1,W639+1)),"")</f>
        <v/>
      </c>
      <c r="AD639" s="13" t="str">
        <f aca="false">IF(AND($J639=1,$M639=0),IF(S639="",0,S639*Val_pt*(Ceiling_e-E_zero)*(1-(1-Half_gap)^Q639))+IF(V639="",0,V639*Val_pt*(Ceiling_e-E_zero)*(1-(1-Half_gap)^T639))+IF(Y639="",0,Y639*Val_pt*(Ceiling_e-E_zero)*(1-(1-Half_gap)^W639)),"")</f>
        <v/>
      </c>
      <c r="AE639" s="13" t="str">
        <f aca="false">IF(AND($J639=1,$M639=0),IF(S639="",0,S639*R639)+IF(V639="",0,V639*U639)+IF(Y639="",0,Y639*X639),"")</f>
        <v/>
      </c>
      <c r="AF639" s="12" t="str">
        <f aca="false">IF(AND($J639=1,$M639=0),MIN((AC639-E639)/Span_P,(AD639-F639)/Span_S,(AE639-G639)/Span_B),"")</f>
        <v/>
      </c>
      <c r="AG639" s="15" t="str">
        <f aca="false">IF(AND($J639=1,$M639=0),IF(AF639&gt;0.0000001,1,0),"")</f>
        <v/>
      </c>
      <c r="AH639" s="15" t="n">
        <f aca="false">IF($J639=1,IF($M639=1,AB639,AG639),"")</f>
        <v>1</v>
      </c>
      <c r="AI639" s="13" t="n">
        <f aca="false">IF($J639=1,(Ideal_P-E639)/Span_P,"")</f>
        <v>0.413284085904024</v>
      </c>
      <c r="AJ639" s="13" t="n">
        <f aca="false">IF($J639=1,(Ideal_S-F639)/Span_S,"")</f>
        <v>0.0967741935483871</v>
      </c>
      <c r="AK639" s="13" t="n">
        <f aca="false">IF($J639=1,(Ideal_B-G639)/Span_B,"")</f>
        <v>0.806666666666667</v>
      </c>
      <c r="AL639" s="12" t="n">
        <f aca="false">IF($J639=1,MAX(ChA_1*AI639,ChA_2*AJ639,ChA_3*AK639)+Rho*(ChA_1*AI639+ChA_2*AJ639+ChA_3*AK639),"")</f>
        <v>0.806798339161279</v>
      </c>
      <c r="AM639" s="12" t="n">
        <f aca="false">IF($J639=1,MAX(ChB_1*AI639,ChB_2*AJ639,ChB_3*AK639)+Rho*(ChB_1*AI639+ChB_2*AJ639+ChB_3*AK639),"")</f>
        <v>0.826741172711249</v>
      </c>
      <c r="AN639" s="12" t="n">
        <f aca="false">IF($J639=1,MAX(Cx_1*(Ref_P-E639)/Span_P,Cx_2*(Ref_S-F639)/Span_S,Cx_3*(Ref_B-G639)/Span_B),"")</f>
        <v>2.05882352941176</v>
      </c>
    </row>
    <row r="640" customFormat="false" ht="15" hidden="false" customHeight="false" outlineLevel="0" collapsed="false">
      <c r="A640" s="2" t="n">
        <v>634</v>
      </c>
      <c r="B640" s="15" t="n">
        <f aca="false">INT(A640/151)</f>
        <v>4</v>
      </c>
      <c r="C640" s="15" t="n">
        <f aca="false">MOD(A640,151)</f>
        <v>30</v>
      </c>
      <c r="D640" s="15" t="n">
        <f aca="false">INDEX(Grid!$J$6:$P$156,C640+1,B640+1)</f>
        <v>1</v>
      </c>
      <c r="E640" s="16" t="n">
        <f aca="false">IF(D640=1,INDEX(Grid!$B$6:$H$156,C640+1,B640+1),"")</f>
        <v>233.607846413417</v>
      </c>
      <c r="F640" s="13" t="n">
        <f aca="false">Val_pt*(Ceiling_e-E_zero)*(1-(1-Half_gap)^B640)</f>
        <v>131.25</v>
      </c>
      <c r="G640" s="15" t="n">
        <f aca="false">C640</f>
        <v>30</v>
      </c>
      <c r="H640" s="15" t="n">
        <f aca="false">IF(D640=1,INDEX(Grid!$R$6:$X$156,C640+1,B640+1),"")</f>
        <v>57</v>
      </c>
      <c r="I640" s="2" t="str">
        <f aca="false">IF(D640=1,INDEX(Sch_label,H640+1),"")</f>
        <v>1–3, 6</v>
      </c>
      <c r="J640" s="15" t="n">
        <f aca="false">IF(D640=1,INDEX(Grid!$Z$6:$AF$156,C640+1,B640+1),0)</f>
        <v>1</v>
      </c>
      <c r="K640" s="16" t="n">
        <f aca="false">IF(J640=1,E640,0)</f>
        <v>233.607846413417</v>
      </c>
      <c r="L640" s="17" t="n">
        <f aca="false">IF(D640=1,E640+W_board*F640,"")</f>
        <v>974.479879609</v>
      </c>
      <c r="M640" s="24" t="n">
        <v>1</v>
      </c>
      <c r="N640" s="25" t="n">
        <v>0.219944509271648</v>
      </c>
      <c r="O640" s="25" t="n">
        <v>0.697229795554398</v>
      </c>
      <c r="P640" s="25" t="n">
        <v>0.0828256951739542</v>
      </c>
      <c r="Z640" s="12" t="n">
        <f aca="false">IF(AND($J640=1,$M640=1),N640*E640/Span_P+O640*F640/Span_S+P640*G640/Span_B,"")</f>
        <v>1.50793286605519</v>
      </c>
      <c r="AA640" s="12" t="n">
        <f aca="false">IF(AND($J640=1,$M640=1),SUMPRODUCT(MAX($J$6:$J$1062*(N640*$K$6:$K$1062/Span_P+O640*$F$6:$F$1062/Span_S+P640*$G$6:$G$1062/Span_B)-(1-$J$6:$J$1062)*1000000000)),"")</f>
        <v>1.50793286605519</v>
      </c>
      <c r="AB640" s="15" t="n">
        <f aca="false">IF(AND($J640=1,$M640=1),IF(AA640-Z640&lt;=0.000000001,1,0),"")</f>
        <v>1</v>
      </c>
      <c r="AC640" s="13" t="str">
        <f aca="false">IF(AND($J640=1,$M640=0),IF(S640="",0,S640*INDEX(Grid!$B$6:$H$156,R640+1,Q640+1))+IF(V640="",0,V640*INDEX(Grid!$B$6:$H$156,U640+1,T640+1))+IF(Y640="",0,Y640*INDEX(Grid!$B$6:$H$156,X640+1,W640+1)),"")</f>
        <v/>
      </c>
      <c r="AD640" s="13" t="str">
        <f aca="false">IF(AND($J640=1,$M640=0),IF(S640="",0,S640*Val_pt*(Ceiling_e-E_zero)*(1-(1-Half_gap)^Q640))+IF(V640="",0,V640*Val_pt*(Ceiling_e-E_zero)*(1-(1-Half_gap)^T640))+IF(Y640="",0,Y640*Val_pt*(Ceiling_e-E_zero)*(1-(1-Half_gap)^W640)),"")</f>
        <v/>
      </c>
      <c r="AE640" s="13" t="str">
        <f aca="false">IF(AND($J640=1,$M640=0),IF(S640="",0,S640*R640)+IF(V640="",0,V640*U640)+IF(Y640="",0,Y640*X640),"")</f>
        <v/>
      </c>
      <c r="AF640" s="12" t="str">
        <f aca="false">IF(AND($J640=1,$M640=0),MIN((AC640-E640)/Span_P,(AD640-F640)/Span_S,(AE640-G640)/Span_B),"")</f>
        <v/>
      </c>
      <c r="AG640" s="15" t="str">
        <f aca="false">IF(AND($J640=1,$M640=0),IF(AF640&gt;0.0000001,1,0),"")</f>
        <v/>
      </c>
      <c r="AH640" s="15" t="n">
        <f aca="false">IF($J640=1,IF($M640=1,AB640,AG640),"")</f>
        <v>1</v>
      </c>
      <c r="AI640" s="13" t="n">
        <f aca="false">IF($J640=1,(Ideal_P-E640)/Span_P,"")</f>
        <v>0.415794588680329</v>
      </c>
      <c r="AJ640" s="13" t="n">
        <f aca="false">IF($J640=1,(Ideal_S-F640)/Span_S,"")</f>
        <v>0.0967741935483871</v>
      </c>
      <c r="AK640" s="13" t="n">
        <f aca="false">IF($J640=1,(Ideal_B-G640)/Span_B,"")</f>
        <v>0.8</v>
      </c>
      <c r="AL640" s="12" t="n">
        <f aca="false">IF($J640=1,MAX(ChA_1*AI640,ChA_2*AJ640,ChA_3*AK640)+Rho*(ChA_1*AI640+ChA_2*AJ640+ChA_3*AK640),"")</f>
        <v>0.800131256878223</v>
      </c>
      <c r="AM640" s="12" t="n">
        <f aca="false">IF($J640=1,MAX(ChB_1*AI640,ChB_2*AJ640,ChB_3*AK640)+Rho*(ChB_1*AI640+ChB_2*AJ640+ChB_3*AK640),"")</f>
        <v>0.83176201369775</v>
      </c>
      <c r="AN640" s="12" t="n">
        <f aca="false">IF($J640=1,MAX(Cx_1*(Ref_P-E640)/Span_P,Cx_2*(Ref_S-F640)/Span_S,Cx_3*(Ref_B-G640)/Span_B),"")</f>
        <v>2.04201680672269</v>
      </c>
    </row>
    <row r="641" customFormat="false" ht="15" hidden="false" customHeight="false" outlineLevel="0" collapsed="false">
      <c r="A641" s="2" t="n">
        <v>635</v>
      </c>
      <c r="B641" s="15" t="n">
        <f aca="false">INT(A641/151)</f>
        <v>4</v>
      </c>
      <c r="C641" s="15" t="n">
        <f aca="false">MOD(A641,151)</f>
        <v>31</v>
      </c>
      <c r="D641" s="15" t="n">
        <f aca="false">INDEX(Grid!$J$6:$P$156,C641+1,B641+1)</f>
        <v>1</v>
      </c>
      <c r="E641" s="16" t="n">
        <f aca="false">IF(D641=1,INDEX(Grid!$B$6:$H$156,C641+1,B641+1),"")</f>
        <v>232.698755504326</v>
      </c>
      <c r="F641" s="13" t="n">
        <f aca="false">Val_pt*(Ceiling_e-E_zero)*(1-(1-Half_gap)^B641)</f>
        <v>131.25</v>
      </c>
      <c r="G641" s="15" t="n">
        <f aca="false">C641</f>
        <v>31</v>
      </c>
      <c r="H641" s="15" t="n">
        <f aca="false">IF(D641=1,INDEX(Grid!$R$6:$X$156,C641+1,B641+1),"")</f>
        <v>57</v>
      </c>
      <c r="I641" s="2" t="str">
        <f aca="false">IF(D641=1,INDEX(Sch_label,H641+1),"")</f>
        <v>1–3, 6</v>
      </c>
      <c r="J641" s="15" t="n">
        <f aca="false">IF(D641=1,INDEX(Grid!$Z$6:$AF$156,C641+1,B641+1),0)</f>
        <v>1</v>
      </c>
      <c r="K641" s="16" t="n">
        <f aca="false">IF(J641=1,E641,0)</f>
        <v>232.698755504326</v>
      </c>
      <c r="L641" s="17" t="n">
        <f aca="false">IF(D641=1,E641+W_board*F641,"")</f>
        <v>973.570788699909</v>
      </c>
      <c r="M641" s="24" t="n">
        <v>1</v>
      </c>
      <c r="N641" s="25" t="n">
        <v>0.219944509271644</v>
      </c>
      <c r="O641" s="25" t="n">
        <v>0.697229795554408</v>
      </c>
      <c r="P641" s="25" t="n">
        <v>0.0828256951739486</v>
      </c>
      <c r="Z641" s="12" t="n">
        <f aca="false">IF(AND($J641=1,$M641=1),N641*E641/Span_P+O641*F641/Span_S+P641*G641/Span_B,"")</f>
        <v>1.50793286605521</v>
      </c>
      <c r="AA641" s="12" t="n">
        <f aca="false">IF(AND($J641=1,$M641=1),SUMPRODUCT(MAX($J$6:$J$1062*(N641*$K$6:$K$1062/Span_P+O641*$F$6:$F$1062/Span_S+P641*$G$6:$G$1062/Span_B)-(1-$J$6:$J$1062)*1000000000)),"")</f>
        <v>1.50793286605521</v>
      </c>
      <c r="AB641" s="15" t="n">
        <f aca="false">IF(AND($J641=1,$M641=1),IF(AA641-Z641&lt;=0.000000001,1,0),"")</f>
        <v>1</v>
      </c>
      <c r="AC641" s="13" t="str">
        <f aca="false">IF(AND($J641=1,$M641=0),IF(S641="",0,S641*INDEX(Grid!$B$6:$H$156,R641+1,Q641+1))+IF(V641="",0,V641*INDEX(Grid!$B$6:$H$156,U641+1,T641+1))+IF(Y641="",0,Y641*INDEX(Grid!$B$6:$H$156,X641+1,W641+1)),"")</f>
        <v/>
      </c>
      <c r="AD641" s="13" t="str">
        <f aca="false">IF(AND($J641=1,$M641=0),IF(S641="",0,S641*Val_pt*(Ceiling_e-E_zero)*(1-(1-Half_gap)^Q641))+IF(V641="",0,V641*Val_pt*(Ceiling_e-E_zero)*(1-(1-Half_gap)^T641))+IF(Y641="",0,Y641*Val_pt*(Ceiling_e-E_zero)*(1-(1-Half_gap)^W641)),"")</f>
        <v/>
      </c>
      <c r="AE641" s="13" t="str">
        <f aca="false">IF(AND($J641=1,$M641=0),IF(S641="",0,S641*R641)+IF(V641="",0,V641*U641)+IF(Y641="",0,Y641*X641),"")</f>
        <v/>
      </c>
      <c r="AF641" s="12" t="str">
        <f aca="false">IF(AND($J641=1,$M641=0),MIN((AC641-E641)/Span_P,(AD641-F641)/Span_S,(AE641-G641)/Span_B),"")</f>
        <v/>
      </c>
      <c r="AG641" s="15" t="str">
        <f aca="false">IF(AND($J641=1,$M641=0),IF(AF641&gt;0.0000001,1,0),"")</f>
        <v/>
      </c>
      <c r="AH641" s="15" t="n">
        <f aca="false">IF($J641=1,IF($M641=1,AB641,AG641),"")</f>
        <v>1</v>
      </c>
      <c r="AI641" s="13" t="n">
        <f aca="false">IF($J641=1,(Ideal_P-E641)/Span_P,"")</f>
        <v>0.418305091456635</v>
      </c>
      <c r="AJ641" s="13" t="n">
        <f aca="false">IF($J641=1,(Ideal_S-F641)/Span_S,"")</f>
        <v>0.0967741935483871</v>
      </c>
      <c r="AK641" s="13" t="n">
        <f aca="false">IF($J641=1,(Ideal_B-G641)/Span_B,"")</f>
        <v>0.793333333333333</v>
      </c>
      <c r="AL641" s="12" t="n">
        <f aca="false">IF($J641=1,MAX(ChA_1*AI641,ChA_2*AJ641,ChA_3*AK641)+Rho*(ChA_1*AI641+ChA_2*AJ641+ChA_3*AK641),"")</f>
        <v>0.793464174595167</v>
      </c>
      <c r="AM641" s="12" t="n">
        <f aca="false">IF($J641=1,MAX(ChB_1*AI641,ChB_2*AJ641,ChB_3*AK641)+Rho*(ChB_1*AI641+ChB_2*AJ641+ChB_3*AK641),"")</f>
        <v>0.83678285468425</v>
      </c>
      <c r="AN641" s="12" t="n">
        <f aca="false">IF($J641=1,MAX(Cx_1*(Ref_P-E641)/Span_P,Cx_2*(Ref_S-F641)/Span_S,Cx_3*(Ref_B-G641)/Span_B),"")</f>
        <v>2.02521008403361</v>
      </c>
    </row>
    <row r="642" customFormat="false" ht="15" hidden="false" customHeight="false" outlineLevel="0" collapsed="false">
      <c r="A642" s="2" t="n">
        <v>636</v>
      </c>
      <c r="B642" s="15" t="n">
        <f aca="false">INT(A642/151)</f>
        <v>4</v>
      </c>
      <c r="C642" s="15" t="n">
        <f aca="false">MOD(A642,151)</f>
        <v>32</v>
      </c>
      <c r="D642" s="15" t="n">
        <f aca="false">INDEX(Grid!$J$6:$P$156,C642+1,B642+1)</f>
        <v>1</v>
      </c>
      <c r="E642" s="16" t="n">
        <f aca="false">IF(D642=1,INDEX(Grid!$B$6:$H$156,C642+1,B642+1),"")</f>
        <v>231.789664595236</v>
      </c>
      <c r="F642" s="13" t="n">
        <f aca="false">Val_pt*(Ceiling_e-E_zero)*(1-(1-Half_gap)^B642)</f>
        <v>131.25</v>
      </c>
      <c r="G642" s="15" t="n">
        <f aca="false">C642</f>
        <v>32</v>
      </c>
      <c r="H642" s="15" t="n">
        <f aca="false">IF(D642=1,INDEX(Grid!$R$6:$X$156,C642+1,B642+1),"")</f>
        <v>57</v>
      </c>
      <c r="I642" s="2" t="str">
        <f aca="false">IF(D642=1,INDEX(Sch_label,H642+1),"")</f>
        <v>1–3, 6</v>
      </c>
      <c r="J642" s="15" t="n">
        <f aca="false">IF(D642=1,INDEX(Grid!$Z$6:$AF$156,C642+1,B642+1),0)</f>
        <v>1</v>
      </c>
      <c r="K642" s="16" t="n">
        <f aca="false">IF(J642=1,E642,0)</f>
        <v>231.789664595236</v>
      </c>
      <c r="L642" s="17" t="n">
        <f aca="false">IF(D642=1,E642+W_board*F642,"")</f>
        <v>972.661697790818</v>
      </c>
      <c r="M642" s="24" t="n">
        <v>1</v>
      </c>
      <c r="N642" s="25" t="n">
        <v>0.219944509271648</v>
      </c>
      <c r="O642" s="25" t="n">
        <v>0.697229795554398</v>
      </c>
      <c r="P642" s="25" t="n">
        <v>0.0828256951739541</v>
      </c>
      <c r="Z642" s="12" t="n">
        <f aca="false">IF(AND($J642=1,$M642=1),N642*E642/Span_P+O642*F642/Span_S+P642*G642/Span_B,"")</f>
        <v>1.50793286605519</v>
      </c>
      <c r="AA642" s="12" t="n">
        <f aca="false">IF(AND($J642=1,$M642=1),SUMPRODUCT(MAX($J$6:$J$1062*(N642*$K$6:$K$1062/Span_P+O642*$F$6:$F$1062/Span_S+P642*$G$6:$G$1062/Span_B)-(1-$J$6:$J$1062)*1000000000)),"")</f>
        <v>1.50793286605519</v>
      </c>
      <c r="AB642" s="15" t="n">
        <f aca="false">IF(AND($J642=1,$M642=1),IF(AA642-Z642&lt;=0.000000001,1,0),"")</f>
        <v>1</v>
      </c>
      <c r="AC642" s="13" t="str">
        <f aca="false">IF(AND($J642=1,$M642=0),IF(S642="",0,S642*INDEX(Grid!$B$6:$H$156,R642+1,Q642+1))+IF(V642="",0,V642*INDEX(Grid!$B$6:$H$156,U642+1,T642+1))+IF(Y642="",0,Y642*INDEX(Grid!$B$6:$H$156,X642+1,W642+1)),"")</f>
        <v/>
      </c>
      <c r="AD642" s="13" t="str">
        <f aca="false">IF(AND($J642=1,$M642=0),IF(S642="",0,S642*Val_pt*(Ceiling_e-E_zero)*(1-(1-Half_gap)^Q642))+IF(V642="",0,V642*Val_pt*(Ceiling_e-E_zero)*(1-(1-Half_gap)^T642))+IF(Y642="",0,Y642*Val_pt*(Ceiling_e-E_zero)*(1-(1-Half_gap)^W642)),"")</f>
        <v/>
      </c>
      <c r="AE642" s="13" t="str">
        <f aca="false">IF(AND($J642=1,$M642=0),IF(S642="",0,S642*R642)+IF(V642="",0,V642*U642)+IF(Y642="",0,Y642*X642),"")</f>
        <v/>
      </c>
      <c r="AF642" s="12" t="str">
        <f aca="false">IF(AND($J642=1,$M642=0),MIN((AC642-E642)/Span_P,(AD642-F642)/Span_S,(AE642-G642)/Span_B),"")</f>
        <v/>
      </c>
      <c r="AG642" s="15" t="str">
        <f aca="false">IF(AND($J642=1,$M642=0),IF(AF642&gt;0.0000001,1,0),"")</f>
        <v/>
      </c>
      <c r="AH642" s="15" t="n">
        <f aca="false">IF($J642=1,IF($M642=1,AB642,AG642),"")</f>
        <v>1</v>
      </c>
      <c r="AI642" s="13" t="n">
        <f aca="false">IF($J642=1,(Ideal_P-E642)/Span_P,"")</f>
        <v>0.420815594232941</v>
      </c>
      <c r="AJ642" s="13" t="n">
        <f aca="false">IF($J642=1,(Ideal_S-F642)/Span_S,"")</f>
        <v>0.0967741935483871</v>
      </c>
      <c r="AK642" s="13" t="n">
        <f aca="false">IF($J642=1,(Ideal_B-G642)/Span_B,"")</f>
        <v>0.786666666666667</v>
      </c>
      <c r="AL642" s="12" t="n">
        <f aca="false">IF($J642=1,MAX(ChA_1*AI642,ChA_2*AJ642,ChA_3*AK642)+Rho*(ChA_1*AI642+ChA_2*AJ642+ChA_3*AK642),"")</f>
        <v>0.786797092312112</v>
      </c>
      <c r="AM642" s="12" t="n">
        <f aca="false">IF($J642=1,MAX(ChB_1*AI642,ChB_2*AJ642,ChB_3*AK642)+Rho*(ChB_1*AI642+ChB_2*AJ642+ChB_3*AK642),"")</f>
        <v>0.84180369567075</v>
      </c>
      <c r="AN642" s="12" t="n">
        <f aca="false">IF($J642=1,MAX(Cx_1*(Ref_P-E642)/Span_P,Cx_2*(Ref_S-F642)/Span_S,Cx_3*(Ref_B-G642)/Span_B),"")</f>
        <v>2.00840336134454</v>
      </c>
    </row>
    <row r="643" customFormat="false" ht="15" hidden="false" customHeight="false" outlineLevel="0" collapsed="false">
      <c r="A643" s="2" t="n">
        <v>637</v>
      </c>
      <c r="B643" s="15" t="n">
        <f aca="false">INT(A643/151)</f>
        <v>4</v>
      </c>
      <c r="C643" s="15" t="n">
        <f aca="false">MOD(A643,151)</f>
        <v>33</v>
      </c>
      <c r="D643" s="15" t="n">
        <f aca="false">INDEX(Grid!$J$6:$P$156,C643+1,B643+1)</f>
        <v>1</v>
      </c>
      <c r="E643" s="16" t="n">
        <f aca="false">IF(D643=1,INDEX(Grid!$B$6:$H$156,C643+1,B643+1),"")</f>
        <v>230.880573686145</v>
      </c>
      <c r="F643" s="13" t="n">
        <f aca="false">Val_pt*(Ceiling_e-E_zero)*(1-(1-Half_gap)^B643)</f>
        <v>131.25</v>
      </c>
      <c r="G643" s="15" t="n">
        <f aca="false">C643</f>
        <v>33</v>
      </c>
      <c r="H643" s="15" t="n">
        <f aca="false">IF(D643=1,INDEX(Grid!$R$6:$X$156,C643+1,B643+1),"")</f>
        <v>57</v>
      </c>
      <c r="I643" s="2" t="str">
        <f aca="false">IF(D643=1,INDEX(Sch_label,H643+1),"")</f>
        <v>1–3, 6</v>
      </c>
      <c r="J643" s="15" t="n">
        <f aca="false">IF(D643=1,INDEX(Grid!$Z$6:$AF$156,C643+1,B643+1),0)</f>
        <v>1</v>
      </c>
      <c r="K643" s="16" t="n">
        <f aca="false">IF(J643=1,E643,0)</f>
        <v>230.880573686145</v>
      </c>
      <c r="L643" s="17" t="n">
        <f aca="false">IF(D643=1,E643+W_board*F643,"")</f>
        <v>971.752606881727</v>
      </c>
      <c r="M643" s="24" t="n">
        <v>1</v>
      </c>
      <c r="N643" s="25" t="n">
        <v>0.219944509271644</v>
      </c>
      <c r="O643" s="25" t="n">
        <v>0.697229795554407</v>
      </c>
      <c r="P643" s="25" t="n">
        <v>0.0828256951739491</v>
      </c>
      <c r="Z643" s="12" t="n">
        <f aca="false">IF(AND($J643=1,$M643=1),N643*E643/Span_P+O643*F643/Span_S+P643*G643/Span_B,"")</f>
        <v>1.50793286605521</v>
      </c>
      <c r="AA643" s="12" t="n">
        <f aca="false">IF(AND($J643=1,$M643=1),SUMPRODUCT(MAX($J$6:$J$1062*(N643*$K$6:$K$1062/Span_P+O643*$F$6:$F$1062/Span_S+P643*$G$6:$G$1062/Span_B)-(1-$J$6:$J$1062)*1000000000)),"")</f>
        <v>1.50793286605521</v>
      </c>
      <c r="AB643" s="15" t="n">
        <f aca="false">IF(AND($J643=1,$M643=1),IF(AA643-Z643&lt;=0.000000001,1,0),"")</f>
        <v>1</v>
      </c>
      <c r="AC643" s="13" t="str">
        <f aca="false">IF(AND($J643=1,$M643=0),IF(S643="",0,S643*INDEX(Grid!$B$6:$H$156,R643+1,Q643+1))+IF(V643="",0,V643*INDEX(Grid!$B$6:$H$156,U643+1,T643+1))+IF(Y643="",0,Y643*INDEX(Grid!$B$6:$H$156,X643+1,W643+1)),"")</f>
        <v/>
      </c>
      <c r="AD643" s="13" t="str">
        <f aca="false">IF(AND($J643=1,$M643=0),IF(S643="",0,S643*Val_pt*(Ceiling_e-E_zero)*(1-(1-Half_gap)^Q643))+IF(V643="",0,V643*Val_pt*(Ceiling_e-E_zero)*(1-(1-Half_gap)^T643))+IF(Y643="",0,Y643*Val_pt*(Ceiling_e-E_zero)*(1-(1-Half_gap)^W643)),"")</f>
        <v/>
      </c>
      <c r="AE643" s="13" t="str">
        <f aca="false">IF(AND($J643=1,$M643=0),IF(S643="",0,S643*R643)+IF(V643="",0,V643*U643)+IF(Y643="",0,Y643*X643),"")</f>
        <v/>
      </c>
      <c r="AF643" s="12" t="str">
        <f aca="false">IF(AND($J643=1,$M643=0),MIN((AC643-E643)/Span_P,(AD643-F643)/Span_S,(AE643-G643)/Span_B),"")</f>
        <v/>
      </c>
      <c r="AG643" s="15" t="str">
        <f aca="false">IF(AND($J643=1,$M643=0),IF(AF643&gt;0.0000001,1,0),"")</f>
        <v/>
      </c>
      <c r="AH643" s="15" t="n">
        <f aca="false">IF($J643=1,IF($M643=1,AB643,AG643),"")</f>
        <v>1</v>
      </c>
      <c r="AI643" s="13" t="n">
        <f aca="false">IF($J643=1,(Ideal_P-E643)/Span_P,"")</f>
        <v>0.423326097009247</v>
      </c>
      <c r="AJ643" s="13" t="n">
        <f aca="false">IF($J643=1,(Ideal_S-F643)/Span_S,"")</f>
        <v>0.0967741935483871</v>
      </c>
      <c r="AK643" s="13" t="n">
        <f aca="false">IF($J643=1,(Ideal_B-G643)/Span_B,"")</f>
        <v>0.78</v>
      </c>
      <c r="AL643" s="12" t="n">
        <f aca="false">IF($J643=1,MAX(ChA_1*AI643,ChA_2*AJ643,ChA_3*AK643)+Rho*(ChA_1*AI643+ChA_2*AJ643+ChA_3*AK643),"")</f>
        <v>0.780130010029056</v>
      </c>
      <c r="AM643" s="12" t="n">
        <f aca="false">IF($J643=1,MAX(ChB_1*AI643,ChB_2*AJ643,ChB_3*AK643)+Rho*(ChB_1*AI643+ChB_2*AJ643+ChB_3*AK643),"")</f>
        <v>0.84682453665725</v>
      </c>
      <c r="AN643" s="12" t="n">
        <f aca="false">IF($J643=1,MAX(Cx_1*(Ref_P-E643)/Span_P,Cx_2*(Ref_S-F643)/Span_S,Cx_3*(Ref_B-G643)/Span_B),"")</f>
        <v>1.99159663865546</v>
      </c>
    </row>
    <row r="644" customFormat="false" ht="15" hidden="false" customHeight="false" outlineLevel="0" collapsed="false">
      <c r="A644" s="2" t="n">
        <v>638</v>
      </c>
      <c r="B644" s="15" t="n">
        <f aca="false">INT(A644/151)</f>
        <v>4</v>
      </c>
      <c r="C644" s="15" t="n">
        <f aca="false">MOD(A644,151)</f>
        <v>34</v>
      </c>
      <c r="D644" s="15" t="n">
        <f aca="false">INDEX(Grid!$J$6:$P$156,C644+1,B644+1)</f>
        <v>1</v>
      </c>
      <c r="E644" s="16" t="n">
        <f aca="false">IF(D644=1,INDEX(Grid!$B$6:$H$156,C644+1,B644+1),"")</f>
        <v>229.971482777054</v>
      </c>
      <c r="F644" s="13" t="n">
        <f aca="false">Val_pt*(Ceiling_e-E_zero)*(1-(1-Half_gap)^B644)</f>
        <v>131.25</v>
      </c>
      <c r="G644" s="15" t="n">
        <f aca="false">C644</f>
        <v>34</v>
      </c>
      <c r="H644" s="15" t="n">
        <f aca="false">IF(D644=1,INDEX(Grid!$R$6:$X$156,C644+1,B644+1),"")</f>
        <v>57</v>
      </c>
      <c r="I644" s="2" t="str">
        <f aca="false">IF(D644=1,INDEX(Sch_label,H644+1),"")</f>
        <v>1–3, 6</v>
      </c>
      <c r="J644" s="15" t="n">
        <f aca="false">IF(D644=1,INDEX(Grid!$Z$6:$AF$156,C644+1,B644+1),0)</f>
        <v>1</v>
      </c>
      <c r="K644" s="16" t="n">
        <f aca="false">IF(J644=1,E644,0)</f>
        <v>229.971482777054</v>
      </c>
      <c r="L644" s="17" t="n">
        <f aca="false">IF(D644=1,E644+W_board*F644,"")</f>
        <v>970.843515972636</v>
      </c>
      <c r="M644" s="24" t="n">
        <v>1</v>
      </c>
      <c r="N644" s="25" t="n">
        <v>0.219944509271647</v>
      </c>
      <c r="O644" s="25" t="n">
        <v>0.697229795554399</v>
      </c>
      <c r="P644" s="25" t="n">
        <v>0.0828256951739536</v>
      </c>
      <c r="Z644" s="12" t="n">
        <f aca="false">IF(AND($J644=1,$M644=1),N644*E644/Span_P+O644*F644/Span_S+P644*G644/Span_B,"")</f>
        <v>1.5079328660552</v>
      </c>
      <c r="AA644" s="12" t="n">
        <f aca="false">IF(AND($J644=1,$M644=1),SUMPRODUCT(MAX($J$6:$J$1062*(N644*$K$6:$K$1062/Span_P+O644*$F$6:$F$1062/Span_S+P644*$G$6:$G$1062/Span_B)-(1-$J$6:$J$1062)*1000000000)),"")</f>
        <v>1.5079328660552</v>
      </c>
      <c r="AB644" s="15" t="n">
        <f aca="false">IF(AND($J644=1,$M644=1),IF(AA644-Z644&lt;=0.000000001,1,0),"")</f>
        <v>1</v>
      </c>
      <c r="AC644" s="13" t="str">
        <f aca="false">IF(AND($J644=1,$M644=0),IF(S644="",0,S644*INDEX(Grid!$B$6:$H$156,R644+1,Q644+1))+IF(V644="",0,V644*INDEX(Grid!$B$6:$H$156,U644+1,T644+1))+IF(Y644="",0,Y644*INDEX(Grid!$B$6:$H$156,X644+1,W644+1)),"")</f>
        <v/>
      </c>
      <c r="AD644" s="13" t="str">
        <f aca="false">IF(AND($J644=1,$M644=0),IF(S644="",0,S644*Val_pt*(Ceiling_e-E_zero)*(1-(1-Half_gap)^Q644))+IF(V644="",0,V644*Val_pt*(Ceiling_e-E_zero)*(1-(1-Half_gap)^T644))+IF(Y644="",0,Y644*Val_pt*(Ceiling_e-E_zero)*(1-(1-Half_gap)^W644)),"")</f>
        <v/>
      </c>
      <c r="AE644" s="13" t="str">
        <f aca="false">IF(AND($J644=1,$M644=0),IF(S644="",0,S644*R644)+IF(V644="",0,V644*U644)+IF(Y644="",0,Y644*X644),"")</f>
        <v/>
      </c>
      <c r="AF644" s="12" t="str">
        <f aca="false">IF(AND($J644=1,$M644=0),MIN((AC644-E644)/Span_P,(AD644-F644)/Span_S,(AE644-G644)/Span_B),"")</f>
        <v/>
      </c>
      <c r="AG644" s="15" t="str">
        <f aca="false">IF(AND($J644=1,$M644=0),IF(AF644&gt;0.0000001,1,0),"")</f>
        <v/>
      </c>
      <c r="AH644" s="15" t="n">
        <f aca="false">IF($J644=1,IF($M644=1,AB644,AG644),"")</f>
        <v>1</v>
      </c>
      <c r="AI644" s="13" t="n">
        <f aca="false">IF($J644=1,(Ideal_P-E644)/Span_P,"")</f>
        <v>0.425836599785552</v>
      </c>
      <c r="AJ644" s="13" t="n">
        <f aca="false">IF($J644=1,(Ideal_S-F644)/Span_S,"")</f>
        <v>0.0967741935483871</v>
      </c>
      <c r="AK644" s="13" t="n">
        <f aca="false">IF($J644=1,(Ideal_B-G644)/Span_B,"")</f>
        <v>0.773333333333333</v>
      </c>
      <c r="AL644" s="12" t="n">
        <f aca="false">IF($J644=1,MAX(ChA_1*AI644,ChA_2*AJ644,ChA_3*AK644)+Rho*(ChA_1*AI644+ChA_2*AJ644+ChA_3*AK644),"")</f>
        <v>0.773462927746</v>
      </c>
      <c r="AM644" s="12" t="n">
        <f aca="false">IF($J644=1,MAX(ChB_1*AI644,ChB_2*AJ644,ChB_3*AK644)+Rho*(ChB_1*AI644+ChB_2*AJ644+ChB_3*AK644),"")</f>
        <v>0.85184537764375</v>
      </c>
      <c r="AN644" s="12" t="n">
        <f aca="false">IF($J644=1,MAX(Cx_1*(Ref_P-E644)/Span_P,Cx_2*(Ref_S-F644)/Span_S,Cx_3*(Ref_B-G644)/Span_B),"")</f>
        <v>1.97478991596639</v>
      </c>
    </row>
    <row r="645" customFormat="false" ht="15" hidden="false" customHeight="false" outlineLevel="0" collapsed="false">
      <c r="A645" s="2" t="n">
        <v>639</v>
      </c>
      <c r="B645" s="15" t="n">
        <f aca="false">INT(A645/151)</f>
        <v>4</v>
      </c>
      <c r="C645" s="15" t="n">
        <f aca="false">MOD(A645,151)</f>
        <v>35</v>
      </c>
      <c r="D645" s="15" t="n">
        <f aca="false">INDEX(Grid!$J$6:$P$156,C645+1,B645+1)</f>
        <v>1</v>
      </c>
      <c r="E645" s="16" t="n">
        <f aca="false">IF(D645=1,INDEX(Grid!$B$6:$H$156,C645+1,B645+1),"")</f>
        <v>229.062391867963</v>
      </c>
      <c r="F645" s="13" t="n">
        <f aca="false">Val_pt*(Ceiling_e-E_zero)*(1-(1-Half_gap)^B645)</f>
        <v>131.25</v>
      </c>
      <c r="G645" s="15" t="n">
        <f aca="false">C645</f>
        <v>35</v>
      </c>
      <c r="H645" s="15" t="n">
        <f aca="false">IF(D645=1,INDEX(Grid!$R$6:$X$156,C645+1,B645+1),"")</f>
        <v>57</v>
      </c>
      <c r="I645" s="2" t="str">
        <f aca="false">IF(D645=1,INDEX(Sch_label,H645+1),"")</f>
        <v>1–3, 6</v>
      </c>
      <c r="J645" s="15" t="n">
        <f aca="false">IF(D645=1,INDEX(Grid!$Z$6:$AF$156,C645+1,B645+1),0)</f>
        <v>1</v>
      </c>
      <c r="K645" s="16" t="n">
        <f aca="false">IF(J645=1,E645,0)</f>
        <v>229.062391867963</v>
      </c>
      <c r="L645" s="17" t="n">
        <f aca="false">IF(D645=1,E645+W_board*F645,"")</f>
        <v>969.934425063546</v>
      </c>
      <c r="M645" s="24" t="n">
        <v>1</v>
      </c>
      <c r="N645" s="25" t="n">
        <v>0.219944509271644</v>
      </c>
      <c r="O645" s="25" t="n">
        <v>0.697229795554407</v>
      </c>
      <c r="P645" s="25" t="n">
        <v>0.0828256951739492</v>
      </c>
      <c r="Z645" s="12" t="n">
        <f aca="false">IF(AND($J645=1,$M645=1),N645*E645/Span_P+O645*F645/Span_S+P645*G645/Span_B,"")</f>
        <v>1.50793286605521</v>
      </c>
      <c r="AA645" s="12" t="n">
        <f aca="false">IF(AND($J645=1,$M645=1),SUMPRODUCT(MAX($J$6:$J$1062*(N645*$K$6:$K$1062/Span_P+O645*$F$6:$F$1062/Span_S+P645*$G$6:$G$1062/Span_B)-(1-$J$6:$J$1062)*1000000000)),"")</f>
        <v>1.50793286605521</v>
      </c>
      <c r="AB645" s="15" t="n">
        <f aca="false">IF(AND($J645=1,$M645=1),IF(AA645-Z645&lt;=0.000000001,1,0),"")</f>
        <v>1</v>
      </c>
      <c r="AC645" s="13" t="str">
        <f aca="false">IF(AND($J645=1,$M645=0),IF(S645="",0,S645*INDEX(Grid!$B$6:$H$156,R645+1,Q645+1))+IF(V645="",0,V645*INDEX(Grid!$B$6:$H$156,U645+1,T645+1))+IF(Y645="",0,Y645*INDEX(Grid!$B$6:$H$156,X645+1,W645+1)),"")</f>
        <v/>
      </c>
      <c r="AD645" s="13" t="str">
        <f aca="false">IF(AND($J645=1,$M645=0),IF(S645="",0,S645*Val_pt*(Ceiling_e-E_zero)*(1-(1-Half_gap)^Q645))+IF(V645="",0,V645*Val_pt*(Ceiling_e-E_zero)*(1-(1-Half_gap)^T645))+IF(Y645="",0,Y645*Val_pt*(Ceiling_e-E_zero)*(1-(1-Half_gap)^W645)),"")</f>
        <v/>
      </c>
      <c r="AE645" s="13" t="str">
        <f aca="false">IF(AND($J645=1,$M645=0),IF(S645="",0,S645*R645)+IF(V645="",0,V645*U645)+IF(Y645="",0,Y645*X645),"")</f>
        <v/>
      </c>
      <c r="AF645" s="12" t="str">
        <f aca="false">IF(AND($J645=1,$M645=0),MIN((AC645-E645)/Span_P,(AD645-F645)/Span_S,(AE645-G645)/Span_B),"")</f>
        <v/>
      </c>
      <c r="AG645" s="15" t="str">
        <f aca="false">IF(AND($J645=1,$M645=0),IF(AF645&gt;0.0000001,1,0),"")</f>
        <v/>
      </c>
      <c r="AH645" s="15" t="n">
        <f aca="false">IF($J645=1,IF($M645=1,AB645,AG645),"")</f>
        <v>1</v>
      </c>
      <c r="AI645" s="13" t="n">
        <f aca="false">IF($J645=1,(Ideal_P-E645)/Span_P,"")</f>
        <v>0.428347102561858</v>
      </c>
      <c r="AJ645" s="13" t="n">
        <f aca="false">IF($J645=1,(Ideal_S-F645)/Span_S,"")</f>
        <v>0.0967741935483871</v>
      </c>
      <c r="AK645" s="13" t="n">
        <f aca="false">IF($J645=1,(Ideal_B-G645)/Span_B,"")</f>
        <v>0.766666666666667</v>
      </c>
      <c r="AL645" s="12" t="n">
        <f aca="false">IF($J645=1,MAX(ChA_1*AI645,ChA_2*AJ645,ChA_3*AK645)+Rho*(ChA_1*AI645+ChA_2*AJ645+ChA_3*AK645),"")</f>
        <v>0.766795845462944</v>
      </c>
      <c r="AM645" s="12" t="n">
        <f aca="false">IF($J645=1,MAX(ChB_1*AI645,ChB_2*AJ645,ChB_3*AK645)+Rho*(ChB_1*AI645+ChB_2*AJ645+ChB_3*AK645),"")</f>
        <v>0.85686621863025</v>
      </c>
      <c r="AN645" s="12" t="n">
        <f aca="false">IF($J645=1,MAX(Cx_1*(Ref_P-E645)/Span_P,Cx_2*(Ref_S-F645)/Span_S,Cx_3*(Ref_B-G645)/Span_B),"")</f>
        <v>1.95798319327731</v>
      </c>
    </row>
    <row r="646" customFormat="false" ht="15" hidden="false" customHeight="false" outlineLevel="0" collapsed="false">
      <c r="A646" s="2" t="n">
        <v>640</v>
      </c>
      <c r="B646" s="15" t="n">
        <f aca="false">INT(A646/151)</f>
        <v>4</v>
      </c>
      <c r="C646" s="15" t="n">
        <f aca="false">MOD(A646,151)</f>
        <v>36</v>
      </c>
      <c r="D646" s="15" t="n">
        <f aca="false">INDEX(Grid!$J$6:$P$156,C646+1,B646+1)</f>
        <v>1</v>
      </c>
      <c r="E646" s="16" t="n">
        <f aca="false">IF(D646=1,INDEX(Grid!$B$6:$H$156,C646+1,B646+1),"")</f>
        <v>228.153300958872</v>
      </c>
      <c r="F646" s="13" t="n">
        <f aca="false">Val_pt*(Ceiling_e-E_zero)*(1-(1-Half_gap)^B646)</f>
        <v>131.25</v>
      </c>
      <c r="G646" s="15" t="n">
        <f aca="false">C646</f>
        <v>36</v>
      </c>
      <c r="H646" s="15" t="n">
        <f aca="false">IF(D646=1,INDEX(Grid!$R$6:$X$156,C646+1,B646+1),"")</f>
        <v>57</v>
      </c>
      <c r="I646" s="2" t="str">
        <f aca="false">IF(D646=1,INDEX(Sch_label,H646+1),"")</f>
        <v>1–3, 6</v>
      </c>
      <c r="J646" s="15" t="n">
        <f aca="false">IF(D646=1,INDEX(Grid!$Z$6:$AF$156,C646+1,B646+1),0)</f>
        <v>1</v>
      </c>
      <c r="K646" s="16" t="n">
        <f aca="false">IF(J646=1,E646,0)</f>
        <v>228.153300958872</v>
      </c>
      <c r="L646" s="17" t="n">
        <f aca="false">IF(D646=1,E646+W_board*F646,"")</f>
        <v>969.025334154455</v>
      </c>
      <c r="M646" s="24" t="n">
        <v>1</v>
      </c>
      <c r="N646" s="25" t="n">
        <v>0.219944509271647</v>
      </c>
      <c r="O646" s="25" t="n">
        <v>0.697229795554399</v>
      </c>
      <c r="P646" s="25" t="n">
        <v>0.0828256951739536</v>
      </c>
      <c r="Z646" s="12" t="n">
        <f aca="false">IF(AND($J646=1,$M646=1),N646*E646/Span_P+O646*F646/Span_S+P646*G646/Span_B,"")</f>
        <v>1.5079328660552</v>
      </c>
      <c r="AA646" s="12" t="n">
        <f aca="false">IF(AND($J646=1,$M646=1),SUMPRODUCT(MAX($J$6:$J$1062*(N646*$K$6:$K$1062/Span_P+O646*$F$6:$F$1062/Span_S+P646*$G$6:$G$1062/Span_B)-(1-$J$6:$J$1062)*1000000000)),"")</f>
        <v>1.5079328660552</v>
      </c>
      <c r="AB646" s="15" t="n">
        <f aca="false">IF(AND($J646=1,$M646=1),IF(AA646-Z646&lt;=0.000000001,1,0),"")</f>
        <v>1</v>
      </c>
      <c r="AC646" s="13" t="str">
        <f aca="false">IF(AND($J646=1,$M646=0),IF(S646="",0,S646*INDEX(Grid!$B$6:$H$156,R646+1,Q646+1))+IF(V646="",0,V646*INDEX(Grid!$B$6:$H$156,U646+1,T646+1))+IF(Y646="",0,Y646*INDEX(Grid!$B$6:$H$156,X646+1,W646+1)),"")</f>
        <v/>
      </c>
      <c r="AD646" s="13" t="str">
        <f aca="false">IF(AND($J646=1,$M646=0),IF(S646="",0,S646*Val_pt*(Ceiling_e-E_zero)*(1-(1-Half_gap)^Q646))+IF(V646="",0,V646*Val_pt*(Ceiling_e-E_zero)*(1-(1-Half_gap)^T646))+IF(Y646="",0,Y646*Val_pt*(Ceiling_e-E_zero)*(1-(1-Half_gap)^W646)),"")</f>
        <v/>
      </c>
      <c r="AE646" s="13" t="str">
        <f aca="false">IF(AND($J646=1,$M646=0),IF(S646="",0,S646*R646)+IF(V646="",0,V646*U646)+IF(Y646="",0,Y646*X646),"")</f>
        <v/>
      </c>
      <c r="AF646" s="12" t="str">
        <f aca="false">IF(AND($J646=1,$M646=0),MIN((AC646-E646)/Span_P,(AD646-F646)/Span_S,(AE646-G646)/Span_B),"")</f>
        <v/>
      </c>
      <c r="AG646" s="15" t="str">
        <f aca="false">IF(AND($J646=1,$M646=0),IF(AF646&gt;0.0000001,1,0),"")</f>
        <v/>
      </c>
      <c r="AH646" s="15" t="n">
        <f aca="false">IF($J646=1,IF($M646=1,AB646,AG646),"")</f>
        <v>1</v>
      </c>
      <c r="AI646" s="13" t="n">
        <f aca="false">IF($J646=1,(Ideal_P-E646)/Span_P,"")</f>
        <v>0.430857605338164</v>
      </c>
      <c r="AJ646" s="13" t="n">
        <f aca="false">IF($J646=1,(Ideal_S-F646)/Span_S,"")</f>
        <v>0.0967741935483871</v>
      </c>
      <c r="AK646" s="13" t="n">
        <f aca="false">IF($J646=1,(Ideal_B-G646)/Span_B,"")</f>
        <v>0.76</v>
      </c>
      <c r="AL646" s="12" t="n">
        <f aca="false">IF($J646=1,MAX(ChA_1*AI646,ChA_2*AJ646,ChA_3*AK646)+Rho*(ChA_1*AI646+ChA_2*AJ646+ChA_3*AK646),"")</f>
        <v>0.760128763179889</v>
      </c>
      <c r="AM646" s="12" t="n">
        <f aca="false">IF($J646=1,MAX(ChB_1*AI646,ChB_2*AJ646,ChB_3*AK646)+Rho*(ChB_1*AI646+ChB_2*AJ646+ChB_3*AK646),"")</f>
        <v>0.86188705961675</v>
      </c>
      <c r="AN646" s="12" t="n">
        <f aca="false">IF($J646=1,MAX(Cx_1*(Ref_P-E646)/Span_P,Cx_2*(Ref_S-F646)/Span_S,Cx_3*(Ref_B-G646)/Span_B),"")</f>
        <v>1.94117647058824</v>
      </c>
    </row>
    <row r="647" customFormat="false" ht="15" hidden="false" customHeight="false" outlineLevel="0" collapsed="false">
      <c r="A647" s="2" t="n">
        <v>641</v>
      </c>
      <c r="B647" s="15" t="n">
        <f aca="false">INT(A647/151)</f>
        <v>4</v>
      </c>
      <c r="C647" s="15" t="n">
        <f aca="false">MOD(A647,151)</f>
        <v>37</v>
      </c>
      <c r="D647" s="15" t="n">
        <f aca="false">INDEX(Grid!$J$6:$P$156,C647+1,B647+1)</f>
        <v>1</v>
      </c>
      <c r="E647" s="16" t="n">
        <f aca="false">IF(D647=1,INDEX(Grid!$B$6:$H$156,C647+1,B647+1),"")</f>
        <v>227.244210049781</v>
      </c>
      <c r="F647" s="13" t="n">
        <f aca="false">Val_pt*(Ceiling_e-E_zero)*(1-(1-Half_gap)^B647)</f>
        <v>131.25</v>
      </c>
      <c r="G647" s="15" t="n">
        <f aca="false">C647</f>
        <v>37</v>
      </c>
      <c r="H647" s="15" t="n">
        <f aca="false">IF(D647=1,INDEX(Grid!$R$6:$X$156,C647+1,B647+1),"")</f>
        <v>57</v>
      </c>
      <c r="I647" s="2" t="str">
        <f aca="false">IF(D647=1,INDEX(Sch_label,H647+1),"")</f>
        <v>1–3, 6</v>
      </c>
      <c r="J647" s="15" t="n">
        <f aca="false">IF(D647=1,INDEX(Grid!$Z$6:$AF$156,C647+1,B647+1),0)</f>
        <v>1</v>
      </c>
      <c r="K647" s="16" t="n">
        <f aca="false">IF(J647=1,E647,0)</f>
        <v>227.244210049781</v>
      </c>
      <c r="L647" s="17" t="n">
        <f aca="false">IF(D647=1,E647+W_board*F647,"")</f>
        <v>968.116243245364</v>
      </c>
      <c r="M647" s="24" t="n">
        <v>1</v>
      </c>
      <c r="N647" s="25" t="n">
        <v>0.219944509271644</v>
      </c>
      <c r="O647" s="25" t="n">
        <v>0.697229795554407</v>
      </c>
      <c r="P647" s="25" t="n">
        <v>0.0828256951739487</v>
      </c>
      <c r="Z647" s="12" t="n">
        <f aca="false">IF(AND($J647=1,$M647=1),N647*E647/Span_P+O647*F647/Span_S+P647*G647/Span_B,"")</f>
        <v>1.50793286605521</v>
      </c>
      <c r="AA647" s="12" t="n">
        <f aca="false">IF(AND($J647=1,$M647=1),SUMPRODUCT(MAX($J$6:$J$1062*(N647*$K$6:$K$1062/Span_P+O647*$F$6:$F$1062/Span_S+P647*$G$6:$G$1062/Span_B)-(1-$J$6:$J$1062)*1000000000)),"")</f>
        <v>1.50793286605521</v>
      </c>
      <c r="AB647" s="15" t="n">
        <f aca="false">IF(AND($J647=1,$M647=1),IF(AA647-Z647&lt;=0.000000001,1,0),"")</f>
        <v>1</v>
      </c>
      <c r="AC647" s="13" t="str">
        <f aca="false">IF(AND($J647=1,$M647=0),IF(S647="",0,S647*INDEX(Grid!$B$6:$H$156,R647+1,Q647+1))+IF(V647="",0,V647*INDEX(Grid!$B$6:$H$156,U647+1,T647+1))+IF(Y647="",0,Y647*INDEX(Grid!$B$6:$H$156,X647+1,W647+1)),"")</f>
        <v/>
      </c>
      <c r="AD647" s="13" t="str">
        <f aca="false">IF(AND($J647=1,$M647=0),IF(S647="",0,S647*Val_pt*(Ceiling_e-E_zero)*(1-(1-Half_gap)^Q647))+IF(V647="",0,V647*Val_pt*(Ceiling_e-E_zero)*(1-(1-Half_gap)^T647))+IF(Y647="",0,Y647*Val_pt*(Ceiling_e-E_zero)*(1-(1-Half_gap)^W647)),"")</f>
        <v/>
      </c>
      <c r="AE647" s="13" t="str">
        <f aca="false">IF(AND($J647=1,$M647=0),IF(S647="",0,S647*R647)+IF(V647="",0,V647*U647)+IF(Y647="",0,Y647*X647),"")</f>
        <v/>
      </c>
      <c r="AF647" s="12" t="str">
        <f aca="false">IF(AND($J647=1,$M647=0),MIN((AC647-E647)/Span_P,(AD647-F647)/Span_S,(AE647-G647)/Span_B),"")</f>
        <v/>
      </c>
      <c r="AG647" s="15" t="str">
        <f aca="false">IF(AND($J647=1,$M647=0),IF(AF647&gt;0.0000001,1,0),"")</f>
        <v/>
      </c>
      <c r="AH647" s="15" t="n">
        <f aca="false">IF($J647=1,IF($M647=1,AB647,AG647),"")</f>
        <v>1</v>
      </c>
      <c r="AI647" s="13" t="n">
        <f aca="false">IF($J647=1,(Ideal_P-E647)/Span_P,"")</f>
        <v>0.43336810811447</v>
      </c>
      <c r="AJ647" s="13" t="n">
        <f aca="false">IF($J647=1,(Ideal_S-F647)/Span_S,"")</f>
        <v>0.0967741935483871</v>
      </c>
      <c r="AK647" s="13" t="n">
        <f aca="false">IF($J647=1,(Ideal_B-G647)/Span_B,"")</f>
        <v>0.753333333333333</v>
      </c>
      <c r="AL647" s="12" t="n">
        <f aca="false">IF($J647=1,MAX(ChA_1*AI647,ChA_2*AJ647,ChA_3*AK647)+Rho*(ChA_1*AI647+ChA_2*AJ647+ChA_3*AK647),"")</f>
        <v>0.753461680896833</v>
      </c>
      <c r="AM647" s="12" t="n">
        <f aca="false">IF($J647=1,MAX(ChB_1*AI647,ChB_2*AJ647,ChB_3*AK647)+Rho*(ChB_1*AI647+ChB_2*AJ647+ChB_3*AK647),"")</f>
        <v>0.86690790060325</v>
      </c>
      <c r="AN647" s="12" t="n">
        <f aca="false">IF($J647=1,MAX(Cx_1*(Ref_P-E647)/Span_P,Cx_2*(Ref_S-F647)/Span_S,Cx_3*(Ref_B-G647)/Span_B),"")</f>
        <v>1.92436974789916</v>
      </c>
    </row>
    <row r="648" customFormat="false" ht="15" hidden="false" customHeight="false" outlineLevel="0" collapsed="false">
      <c r="A648" s="2" t="n">
        <v>642</v>
      </c>
      <c r="B648" s="15" t="n">
        <f aca="false">INT(A648/151)</f>
        <v>4</v>
      </c>
      <c r="C648" s="15" t="n">
        <f aca="false">MOD(A648,151)</f>
        <v>38</v>
      </c>
      <c r="D648" s="15" t="n">
        <f aca="false">INDEX(Grid!$J$6:$P$156,C648+1,B648+1)</f>
        <v>1</v>
      </c>
      <c r="E648" s="16" t="n">
        <f aca="false">IF(D648=1,INDEX(Grid!$B$6:$H$156,C648+1,B648+1),"")</f>
        <v>226.33511914069</v>
      </c>
      <c r="F648" s="13" t="n">
        <f aca="false">Val_pt*(Ceiling_e-E_zero)*(1-(1-Half_gap)^B648)</f>
        <v>131.25</v>
      </c>
      <c r="G648" s="15" t="n">
        <f aca="false">C648</f>
        <v>38</v>
      </c>
      <c r="H648" s="15" t="n">
        <f aca="false">IF(D648=1,INDEX(Grid!$R$6:$X$156,C648+1,B648+1),"")</f>
        <v>57</v>
      </c>
      <c r="I648" s="2" t="str">
        <f aca="false">IF(D648=1,INDEX(Sch_label,H648+1),"")</f>
        <v>1–3, 6</v>
      </c>
      <c r="J648" s="15" t="n">
        <f aca="false">IF(D648=1,INDEX(Grid!$Z$6:$AF$156,C648+1,B648+1),0)</f>
        <v>1</v>
      </c>
      <c r="K648" s="16" t="n">
        <f aca="false">IF(J648=1,E648,0)</f>
        <v>226.33511914069</v>
      </c>
      <c r="L648" s="17" t="n">
        <f aca="false">IF(D648=1,E648+W_board*F648,"")</f>
        <v>967.207152336273</v>
      </c>
      <c r="M648" s="24" t="n">
        <v>1</v>
      </c>
      <c r="N648" s="25" t="n">
        <v>0.219944509271647</v>
      </c>
      <c r="O648" s="25" t="n">
        <v>0.697229795554399</v>
      </c>
      <c r="P648" s="25" t="n">
        <v>0.082825695173954</v>
      </c>
      <c r="Z648" s="12" t="n">
        <f aca="false">IF(AND($J648=1,$M648=1),N648*E648/Span_P+O648*F648/Span_S+P648*G648/Span_B,"")</f>
        <v>1.50793286605519</v>
      </c>
      <c r="AA648" s="12" t="n">
        <f aca="false">IF(AND($J648=1,$M648=1),SUMPRODUCT(MAX($J$6:$J$1062*(N648*$K$6:$K$1062/Span_P+O648*$F$6:$F$1062/Span_S+P648*$G$6:$G$1062/Span_B)-(1-$J$6:$J$1062)*1000000000)),"")</f>
        <v>1.50793286605519</v>
      </c>
      <c r="AB648" s="15" t="n">
        <f aca="false">IF(AND($J648=1,$M648=1),IF(AA648-Z648&lt;=0.000000001,1,0),"")</f>
        <v>1</v>
      </c>
      <c r="AC648" s="13" t="str">
        <f aca="false">IF(AND($J648=1,$M648=0),IF(S648="",0,S648*INDEX(Grid!$B$6:$H$156,R648+1,Q648+1))+IF(V648="",0,V648*INDEX(Grid!$B$6:$H$156,U648+1,T648+1))+IF(Y648="",0,Y648*INDEX(Grid!$B$6:$H$156,X648+1,W648+1)),"")</f>
        <v/>
      </c>
      <c r="AD648" s="13" t="str">
        <f aca="false">IF(AND($J648=1,$M648=0),IF(S648="",0,S648*Val_pt*(Ceiling_e-E_zero)*(1-(1-Half_gap)^Q648))+IF(V648="",0,V648*Val_pt*(Ceiling_e-E_zero)*(1-(1-Half_gap)^T648))+IF(Y648="",0,Y648*Val_pt*(Ceiling_e-E_zero)*(1-(1-Half_gap)^W648)),"")</f>
        <v/>
      </c>
      <c r="AE648" s="13" t="str">
        <f aca="false">IF(AND($J648=1,$M648=0),IF(S648="",0,S648*R648)+IF(V648="",0,V648*U648)+IF(Y648="",0,Y648*X648),"")</f>
        <v/>
      </c>
      <c r="AF648" s="12" t="str">
        <f aca="false">IF(AND($J648=1,$M648=0),MIN((AC648-E648)/Span_P,(AD648-F648)/Span_S,(AE648-G648)/Span_B),"")</f>
        <v/>
      </c>
      <c r="AG648" s="15" t="str">
        <f aca="false">IF(AND($J648=1,$M648=0),IF(AF648&gt;0.0000001,1,0),"")</f>
        <v/>
      </c>
      <c r="AH648" s="15" t="n">
        <f aca="false">IF($J648=1,IF($M648=1,AB648,AG648),"")</f>
        <v>1</v>
      </c>
      <c r="AI648" s="13" t="n">
        <f aca="false">IF($J648=1,(Ideal_P-E648)/Span_P,"")</f>
        <v>0.435878610890776</v>
      </c>
      <c r="AJ648" s="13" t="n">
        <f aca="false">IF($J648=1,(Ideal_S-F648)/Span_S,"")</f>
        <v>0.0967741935483871</v>
      </c>
      <c r="AK648" s="13" t="n">
        <f aca="false">IF($J648=1,(Ideal_B-G648)/Span_B,"")</f>
        <v>0.746666666666667</v>
      </c>
      <c r="AL648" s="12" t="n">
        <f aca="false">IF($J648=1,MAX(ChA_1*AI648,ChA_2*AJ648,ChA_3*AK648)+Rho*(ChA_1*AI648+ChA_2*AJ648+ChA_3*AK648),"")</f>
        <v>0.746794598613777</v>
      </c>
      <c r="AM648" s="12" t="n">
        <f aca="false">IF($J648=1,MAX(ChB_1*AI648,ChB_2*AJ648,ChB_3*AK648)+Rho*(ChB_1*AI648+ChB_2*AJ648+ChB_3*AK648),"")</f>
        <v>0.871928741589751</v>
      </c>
      <c r="AN648" s="12" t="n">
        <f aca="false">IF($J648=1,MAX(Cx_1*(Ref_P-E648)/Span_P,Cx_2*(Ref_S-F648)/Span_S,Cx_3*(Ref_B-G648)/Span_B),"")</f>
        <v>1.90756302521008</v>
      </c>
    </row>
    <row r="649" customFormat="false" ht="15" hidden="false" customHeight="false" outlineLevel="0" collapsed="false">
      <c r="A649" s="2" t="n">
        <v>643</v>
      </c>
      <c r="B649" s="15" t="n">
        <f aca="false">INT(A649/151)</f>
        <v>4</v>
      </c>
      <c r="C649" s="15" t="n">
        <f aca="false">MOD(A649,151)</f>
        <v>39</v>
      </c>
      <c r="D649" s="15" t="n">
        <f aca="false">INDEX(Grid!$J$6:$P$156,C649+1,B649+1)</f>
        <v>1</v>
      </c>
      <c r="E649" s="16" t="n">
        <f aca="false">IF(D649=1,INDEX(Grid!$B$6:$H$156,C649+1,B649+1),"")</f>
        <v>225.426028231599</v>
      </c>
      <c r="F649" s="13" t="n">
        <f aca="false">Val_pt*(Ceiling_e-E_zero)*(1-(1-Half_gap)^B649)</f>
        <v>131.25</v>
      </c>
      <c r="G649" s="15" t="n">
        <f aca="false">C649</f>
        <v>39</v>
      </c>
      <c r="H649" s="15" t="n">
        <f aca="false">IF(D649=1,INDEX(Grid!$R$6:$X$156,C649+1,B649+1),"")</f>
        <v>57</v>
      </c>
      <c r="I649" s="2" t="str">
        <f aca="false">IF(D649=1,INDEX(Sch_label,H649+1),"")</f>
        <v>1–3, 6</v>
      </c>
      <c r="J649" s="15" t="n">
        <f aca="false">IF(D649=1,INDEX(Grid!$Z$6:$AF$156,C649+1,B649+1),0)</f>
        <v>1</v>
      </c>
      <c r="K649" s="16" t="n">
        <f aca="false">IF(J649=1,E649,0)</f>
        <v>225.426028231599</v>
      </c>
      <c r="L649" s="17" t="n">
        <f aca="false">IF(D649=1,E649+W_board*F649,"")</f>
        <v>966.298061427182</v>
      </c>
      <c r="M649" s="24" t="n">
        <v>1</v>
      </c>
      <c r="N649" s="25" t="n">
        <v>0.219944509271644</v>
      </c>
      <c r="O649" s="25" t="n">
        <v>0.697229795554407</v>
      </c>
      <c r="P649" s="25" t="n">
        <v>0.0828256951739492</v>
      </c>
      <c r="Z649" s="12" t="n">
        <f aca="false">IF(AND($J649=1,$M649=1),N649*E649/Span_P+O649*F649/Span_S+P649*G649/Span_B,"")</f>
        <v>1.50793286605521</v>
      </c>
      <c r="AA649" s="12" t="n">
        <f aca="false">IF(AND($J649=1,$M649=1),SUMPRODUCT(MAX($J$6:$J$1062*(N649*$K$6:$K$1062/Span_P+O649*$F$6:$F$1062/Span_S+P649*$G$6:$G$1062/Span_B)-(1-$J$6:$J$1062)*1000000000)),"")</f>
        <v>1.50793286605521</v>
      </c>
      <c r="AB649" s="15" t="n">
        <f aca="false">IF(AND($J649=1,$M649=1),IF(AA649-Z649&lt;=0.000000001,1,0),"")</f>
        <v>1</v>
      </c>
      <c r="AC649" s="13" t="str">
        <f aca="false">IF(AND($J649=1,$M649=0),IF(S649="",0,S649*INDEX(Grid!$B$6:$H$156,R649+1,Q649+1))+IF(V649="",0,V649*INDEX(Grid!$B$6:$H$156,U649+1,T649+1))+IF(Y649="",0,Y649*INDEX(Grid!$B$6:$H$156,X649+1,W649+1)),"")</f>
        <v/>
      </c>
      <c r="AD649" s="13" t="str">
        <f aca="false">IF(AND($J649=1,$M649=0),IF(S649="",0,S649*Val_pt*(Ceiling_e-E_zero)*(1-(1-Half_gap)^Q649))+IF(V649="",0,V649*Val_pt*(Ceiling_e-E_zero)*(1-(1-Half_gap)^T649))+IF(Y649="",0,Y649*Val_pt*(Ceiling_e-E_zero)*(1-(1-Half_gap)^W649)),"")</f>
        <v/>
      </c>
      <c r="AE649" s="13" t="str">
        <f aca="false">IF(AND($J649=1,$M649=0),IF(S649="",0,S649*R649)+IF(V649="",0,V649*U649)+IF(Y649="",0,Y649*X649),"")</f>
        <v/>
      </c>
      <c r="AF649" s="12" t="str">
        <f aca="false">IF(AND($J649=1,$M649=0),MIN((AC649-E649)/Span_P,(AD649-F649)/Span_S,(AE649-G649)/Span_B),"")</f>
        <v/>
      </c>
      <c r="AG649" s="15" t="str">
        <f aca="false">IF(AND($J649=1,$M649=0),IF(AF649&gt;0.0000001,1,0),"")</f>
        <v/>
      </c>
      <c r="AH649" s="15" t="n">
        <f aca="false">IF($J649=1,IF($M649=1,AB649,AG649),"")</f>
        <v>1</v>
      </c>
      <c r="AI649" s="13" t="n">
        <f aca="false">IF($J649=1,(Ideal_P-E649)/Span_P,"")</f>
        <v>0.438389113667081</v>
      </c>
      <c r="AJ649" s="13" t="n">
        <f aca="false">IF($J649=1,(Ideal_S-F649)/Span_S,"")</f>
        <v>0.0967741935483871</v>
      </c>
      <c r="AK649" s="13" t="n">
        <f aca="false">IF($J649=1,(Ideal_B-G649)/Span_B,"")</f>
        <v>0.74</v>
      </c>
      <c r="AL649" s="12" t="n">
        <f aca="false">IF($J649=1,MAX(ChA_1*AI649,ChA_2*AJ649,ChA_3*AK649)+Rho*(ChA_1*AI649+ChA_2*AJ649+ChA_3*AK649),"")</f>
        <v>0.740127516330722</v>
      </c>
      <c r="AM649" s="12" t="n">
        <f aca="false">IF($J649=1,MAX(ChB_1*AI649,ChB_2*AJ649,ChB_3*AK649)+Rho*(ChB_1*AI649+ChB_2*AJ649+ChB_3*AK649),"")</f>
        <v>0.876949582576251</v>
      </c>
      <c r="AN649" s="12" t="n">
        <f aca="false">IF($J649=1,MAX(Cx_1*(Ref_P-E649)/Span_P,Cx_2*(Ref_S-F649)/Span_S,Cx_3*(Ref_B-G649)/Span_B),"")</f>
        <v>1.89075630252101</v>
      </c>
    </row>
    <row r="650" customFormat="false" ht="15" hidden="false" customHeight="false" outlineLevel="0" collapsed="false">
      <c r="A650" s="2" t="n">
        <v>644</v>
      </c>
      <c r="B650" s="15" t="n">
        <f aca="false">INT(A650/151)</f>
        <v>4</v>
      </c>
      <c r="C650" s="15" t="n">
        <f aca="false">MOD(A650,151)</f>
        <v>40</v>
      </c>
      <c r="D650" s="15" t="n">
        <f aca="false">INDEX(Grid!$J$6:$P$156,C650+1,B650+1)</f>
        <v>1</v>
      </c>
      <c r="E650" s="16" t="n">
        <f aca="false">IF(D650=1,INDEX(Grid!$B$6:$H$156,C650+1,B650+1),"")</f>
        <v>224.516937322508</v>
      </c>
      <c r="F650" s="13" t="n">
        <f aca="false">Val_pt*(Ceiling_e-E_zero)*(1-(1-Half_gap)^B650)</f>
        <v>131.25</v>
      </c>
      <c r="G650" s="15" t="n">
        <f aca="false">C650</f>
        <v>40</v>
      </c>
      <c r="H650" s="15" t="n">
        <f aca="false">IF(D650=1,INDEX(Grid!$R$6:$X$156,C650+1,B650+1),"")</f>
        <v>57</v>
      </c>
      <c r="I650" s="2" t="str">
        <f aca="false">IF(D650=1,INDEX(Sch_label,H650+1),"")</f>
        <v>1–3, 6</v>
      </c>
      <c r="J650" s="15" t="n">
        <f aca="false">IF(D650=1,INDEX(Grid!$Z$6:$AF$156,C650+1,B650+1),0)</f>
        <v>1</v>
      </c>
      <c r="K650" s="16" t="n">
        <f aca="false">IF(J650=1,E650,0)</f>
        <v>224.516937322508</v>
      </c>
      <c r="L650" s="17" t="n">
        <f aca="false">IF(D650=1,E650+W_board*F650,"")</f>
        <v>965.388970518091</v>
      </c>
      <c r="M650" s="24" t="n">
        <v>1</v>
      </c>
      <c r="N650" s="25" t="n">
        <v>0.219944509271647</v>
      </c>
      <c r="O650" s="25" t="n">
        <v>0.697229795554399</v>
      </c>
      <c r="P650" s="25" t="n">
        <v>0.082825695173954</v>
      </c>
      <c r="Z650" s="12" t="n">
        <f aca="false">IF(AND($J650=1,$M650=1),N650*E650/Span_P+O650*F650/Span_S+P650*G650/Span_B,"")</f>
        <v>1.50793286605519</v>
      </c>
      <c r="AA650" s="12" t="n">
        <f aca="false">IF(AND($J650=1,$M650=1),SUMPRODUCT(MAX($J$6:$J$1062*(N650*$K$6:$K$1062/Span_P+O650*$F$6:$F$1062/Span_S+P650*$G$6:$G$1062/Span_B)-(1-$J$6:$J$1062)*1000000000)),"")</f>
        <v>1.50793286605519</v>
      </c>
      <c r="AB650" s="15" t="n">
        <f aca="false">IF(AND($J650=1,$M650=1),IF(AA650-Z650&lt;=0.000000001,1,0),"")</f>
        <v>1</v>
      </c>
      <c r="AC650" s="13" t="str">
        <f aca="false">IF(AND($J650=1,$M650=0),IF(S650="",0,S650*INDEX(Grid!$B$6:$H$156,R650+1,Q650+1))+IF(V650="",0,V650*INDEX(Grid!$B$6:$H$156,U650+1,T650+1))+IF(Y650="",0,Y650*INDEX(Grid!$B$6:$H$156,X650+1,W650+1)),"")</f>
        <v/>
      </c>
      <c r="AD650" s="13" t="str">
        <f aca="false">IF(AND($J650=1,$M650=0),IF(S650="",0,S650*Val_pt*(Ceiling_e-E_zero)*(1-(1-Half_gap)^Q650))+IF(V650="",0,V650*Val_pt*(Ceiling_e-E_zero)*(1-(1-Half_gap)^T650))+IF(Y650="",0,Y650*Val_pt*(Ceiling_e-E_zero)*(1-(1-Half_gap)^W650)),"")</f>
        <v/>
      </c>
      <c r="AE650" s="13" t="str">
        <f aca="false">IF(AND($J650=1,$M650=0),IF(S650="",0,S650*R650)+IF(V650="",0,V650*U650)+IF(Y650="",0,Y650*X650),"")</f>
        <v/>
      </c>
      <c r="AF650" s="12" t="str">
        <f aca="false">IF(AND($J650=1,$M650=0),MIN((AC650-E650)/Span_P,(AD650-F650)/Span_S,(AE650-G650)/Span_B),"")</f>
        <v/>
      </c>
      <c r="AG650" s="15" t="str">
        <f aca="false">IF(AND($J650=1,$M650=0),IF(AF650&gt;0.0000001,1,0),"")</f>
        <v/>
      </c>
      <c r="AH650" s="15" t="n">
        <f aca="false">IF($J650=1,IF($M650=1,AB650,AG650),"")</f>
        <v>1</v>
      </c>
      <c r="AI650" s="13" t="n">
        <f aca="false">IF($J650=1,(Ideal_P-E650)/Span_P,"")</f>
        <v>0.440899616443387</v>
      </c>
      <c r="AJ650" s="13" t="n">
        <f aca="false">IF($J650=1,(Ideal_S-F650)/Span_S,"")</f>
        <v>0.0967741935483871</v>
      </c>
      <c r="AK650" s="13" t="n">
        <f aca="false">IF($J650=1,(Ideal_B-G650)/Span_B,"")</f>
        <v>0.733333333333333</v>
      </c>
      <c r="AL650" s="12" t="n">
        <f aca="false">IF($J650=1,MAX(ChA_1*AI650,ChA_2*AJ650,ChA_3*AK650)+Rho*(ChA_1*AI650+ChA_2*AJ650+ChA_3*AK650),"")</f>
        <v>0.733460434047666</v>
      </c>
      <c r="AM650" s="12" t="n">
        <f aca="false">IF($J650=1,MAX(ChB_1*AI650,ChB_2*AJ650,ChB_3*AK650)+Rho*(ChB_1*AI650+ChB_2*AJ650+ChB_3*AK650),"")</f>
        <v>0.881970423562751</v>
      </c>
      <c r="AN650" s="12" t="n">
        <f aca="false">IF($J650=1,MAX(Cx_1*(Ref_P-E650)/Span_P,Cx_2*(Ref_S-F650)/Span_S,Cx_3*(Ref_B-G650)/Span_B),"")</f>
        <v>1.87394957983193</v>
      </c>
    </row>
    <row r="651" customFormat="false" ht="15" hidden="false" customHeight="false" outlineLevel="0" collapsed="false">
      <c r="A651" s="2" t="n">
        <v>645</v>
      </c>
      <c r="B651" s="15" t="n">
        <f aca="false">INT(A651/151)</f>
        <v>4</v>
      </c>
      <c r="C651" s="15" t="n">
        <f aca="false">MOD(A651,151)</f>
        <v>41</v>
      </c>
      <c r="D651" s="15" t="n">
        <f aca="false">INDEX(Grid!$J$6:$P$156,C651+1,B651+1)</f>
        <v>1</v>
      </c>
      <c r="E651" s="16" t="n">
        <f aca="false">IF(D651=1,INDEX(Grid!$B$6:$H$156,C651+1,B651+1),"")</f>
        <v>223.607846413417</v>
      </c>
      <c r="F651" s="13" t="n">
        <f aca="false">Val_pt*(Ceiling_e-E_zero)*(1-(1-Half_gap)^B651)</f>
        <v>131.25</v>
      </c>
      <c r="G651" s="15" t="n">
        <f aca="false">C651</f>
        <v>41</v>
      </c>
      <c r="H651" s="15" t="n">
        <f aca="false">IF(D651=1,INDEX(Grid!$R$6:$X$156,C651+1,B651+1),"")</f>
        <v>57</v>
      </c>
      <c r="I651" s="2" t="str">
        <f aca="false">IF(D651=1,INDEX(Sch_label,H651+1),"")</f>
        <v>1–3, 6</v>
      </c>
      <c r="J651" s="15" t="n">
        <f aca="false">IF(D651=1,INDEX(Grid!$Z$6:$AF$156,C651+1,B651+1),0)</f>
        <v>1</v>
      </c>
      <c r="K651" s="16" t="n">
        <f aca="false">IF(J651=1,E651,0)</f>
        <v>223.607846413417</v>
      </c>
      <c r="L651" s="17" t="n">
        <f aca="false">IF(D651=1,E651+W_board*F651,"")</f>
        <v>964.479879609</v>
      </c>
      <c r="M651" s="24" t="n">
        <v>1</v>
      </c>
      <c r="N651" s="25" t="n">
        <v>0.219944509271647</v>
      </c>
      <c r="O651" s="25" t="n">
        <v>0.6972297955544</v>
      </c>
      <c r="P651" s="25" t="n">
        <v>0.0828256951739531</v>
      </c>
      <c r="Z651" s="12" t="n">
        <f aca="false">IF(AND($J651=1,$M651=1),N651*E651/Span_P+O651*F651/Span_S+P651*G651/Span_B,"")</f>
        <v>1.5079328660552</v>
      </c>
      <c r="AA651" s="12" t="n">
        <f aca="false">IF(AND($J651=1,$M651=1),SUMPRODUCT(MAX($J$6:$J$1062*(N651*$K$6:$K$1062/Span_P+O651*$F$6:$F$1062/Span_S+P651*$G$6:$G$1062/Span_B)-(1-$J$6:$J$1062)*1000000000)),"")</f>
        <v>1.5079328660552</v>
      </c>
      <c r="AB651" s="15" t="n">
        <f aca="false">IF(AND($J651=1,$M651=1),IF(AA651-Z651&lt;=0.000000001,1,0),"")</f>
        <v>1</v>
      </c>
      <c r="AC651" s="13" t="str">
        <f aca="false">IF(AND($J651=1,$M651=0),IF(S651="",0,S651*INDEX(Grid!$B$6:$H$156,R651+1,Q651+1))+IF(V651="",0,V651*INDEX(Grid!$B$6:$H$156,U651+1,T651+1))+IF(Y651="",0,Y651*INDEX(Grid!$B$6:$H$156,X651+1,W651+1)),"")</f>
        <v/>
      </c>
      <c r="AD651" s="13" t="str">
        <f aca="false">IF(AND($J651=1,$M651=0),IF(S651="",0,S651*Val_pt*(Ceiling_e-E_zero)*(1-(1-Half_gap)^Q651))+IF(V651="",0,V651*Val_pt*(Ceiling_e-E_zero)*(1-(1-Half_gap)^T651))+IF(Y651="",0,Y651*Val_pt*(Ceiling_e-E_zero)*(1-(1-Half_gap)^W651)),"")</f>
        <v/>
      </c>
      <c r="AE651" s="13" t="str">
        <f aca="false">IF(AND($J651=1,$M651=0),IF(S651="",0,S651*R651)+IF(V651="",0,V651*U651)+IF(Y651="",0,Y651*X651),"")</f>
        <v/>
      </c>
      <c r="AF651" s="12" t="str">
        <f aca="false">IF(AND($J651=1,$M651=0),MIN((AC651-E651)/Span_P,(AD651-F651)/Span_S,(AE651-G651)/Span_B),"")</f>
        <v/>
      </c>
      <c r="AG651" s="15" t="str">
        <f aca="false">IF(AND($J651=1,$M651=0),IF(AF651&gt;0.0000001,1,0),"")</f>
        <v/>
      </c>
      <c r="AH651" s="15" t="n">
        <f aca="false">IF($J651=1,IF($M651=1,AB651,AG651),"")</f>
        <v>1</v>
      </c>
      <c r="AI651" s="13" t="n">
        <f aca="false">IF($J651=1,(Ideal_P-E651)/Span_P,"")</f>
        <v>0.443410119219693</v>
      </c>
      <c r="AJ651" s="13" t="n">
        <f aca="false">IF($J651=1,(Ideal_S-F651)/Span_S,"")</f>
        <v>0.0967741935483871</v>
      </c>
      <c r="AK651" s="13" t="n">
        <f aca="false">IF($J651=1,(Ideal_B-G651)/Span_B,"")</f>
        <v>0.726666666666667</v>
      </c>
      <c r="AL651" s="12" t="n">
        <f aca="false">IF($J651=1,MAX(ChA_1*AI651,ChA_2*AJ651,ChA_3*AK651)+Rho*(ChA_1*AI651+ChA_2*AJ651+ChA_3*AK651),"")</f>
        <v>0.72679335176461</v>
      </c>
      <c r="AM651" s="12" t="n">
        <f aca="false">IF($J651=1,MAX(ChB_1*AI651,ChB_2*AJ651,ChB_3*AK651)+Rho*(ChB_1*AI651+ChB_2*AJ651+ChB_3*AK651),"")</f>
        <v>0.886991264549251</v>
      </c>
      <c r="AN651" s="12" t="n">
        <f aca="false">IF($J651=1,MAX(Cx_1*(Ref_P-E651)/Span_P,Cx_2*(Ref_S-F651)/Span_S,Cx_3*(Ref_B-G651)/Span_B),"")</f>
        <v>1.85714285714286</v>
      </c>
    </row>
    <row r="652" customFormat="false" ht="15" hidden="false" customHeight="false" outlineLevel="0" collapsed="false">
      <c r="A652" s="2" t="n">
        <v>646</v>
      </c>
      <c r="B652" s="15" t="n">
        <f aca="false">INT(A652/151)</f>
        <v>4</v>
      </c>
      <c r="C652" s="15" t="n">
        <f aca="false">MOD(A652,151)</f>
        <v>42</v>
      </c>
      <c r="D652" s="15" t="n">
        <f aca="false">INDEX(Grid!$J$6:$P$156,C652+1,B652+1)</f>
        <v>1</v>
      </c>
      <c r="E652" s="16" t="n">
        <f aca="false">IF(D652=1,INDEX(Grid!$B$6:$H$156,C652+1,B652+1),"")</f>
        <v>222.698755504326</v>
      </c>
      <c r="F652" s="13" t="n">
        <f aca="false">Val_pt*(Ceiling_e-E_zero)*(1-(1-Half_gap)^B652)</f>
        <v>131.25</v>
      </c>
      <c r="G652" s="15" t="n">
        <f aca="false">C652</f>
        <v>42</v>
      </c>
      <c r="H652" s="15" t="n">
        <f aca="false">IF(D652=1,INDEX(Grid!$R$6:$X$156,C652+1,B652+1),"")</f>
        <v>57</v>
      </c>
      <c r="I652" s="2" t="str">
        <f aca="false">IF(D652=1,INDEX(Sch_label,H652+1),"")</f>
        <v>1–3, 6</v>
      </c>
      <c r="J652" s="15" t="n">
        <f aca="false">IF(D652=1,INDEX(Grid!$Z$6:$AF$156,C652+1,B652+1),0)</f>
        <v>1</v>
      </c>
      <c r="K652" s="16" t="n">
        <f aca="false">IF(J652=1,E652,0)</f>
        <v>222.698755504326</v>
      </c>
      <c r="L652" s="17" t="n">
        <f aca="false">IF(D652=1,E652+W_board*F652,"")</f>
        <v>963.570788699909</v>
      </c>
      <c r="M652" s="24" t="n">
        <v>1</v>
      </c>
      <c r="N652" s="25" t="n">
        <v>0.219944509271644</v>
      </c>
      <c r="O652" s="25" t="n">
        <v>0.697229795554406</v>
      </c>
      <c r="P652" s="25" t="n">
        <v>0.0828256951739493</v>
      </c>
      <c r="Z652" s="12" t="n">
        <f aca="false">IF(AND($J652=1,$M652=1),N652*E652/Span_P+O652*F652/Span_S+P652*G652/Span_B,"")</f>
        <v>1.50793286605521</v>
      </c>
      <c r="AA652" s="12" t="n">
        <f aca="false">IF(AND($J652=1,$M652=1),SUMPRODUCT(MAX($J$6:$J$1062*(N652*$K$6:$K$1062/Span_P+O652*$F$6:$F$1062/Span_S+P652*$G$6:$G$1062/Span_B)-(1-$J$6:$J$1062)*1000000000)),"")</f>
        <v>1.50793286605521</v>
      </c>
      <c r="AB652" s="15" t="n">
        <f aca="false">IF(AND($J652=1,$M652=1),IF(AA652-Z652&lt;=0.000000001,1,0),"")</f>
        <v>1</v>
      </c>
      <c r="AC652" s="13" t="str">
        <f aca="false">IF(AND($J652=1,$M652=0),IF(S652="",0,S652*INDEX(Grid!$B$6:$H$156,R652+1,Q652+1))+IF(V652="",0,V652*INDEX(Grid!$B$6:$H$156,U652+1,T652+1))+IF(Y652="",0,Y652*INDEX(Grid!$B$6:$H$156,X652+1,W652+1)),"")</f>
        <v/>
      </c>
      <c r="AD652" s="13" t="str">
        <f aca="false">IF(AND($J652=1,$M652=0),IF(S652="",0,S652*Val_pt*(Ceiling_e-E_zero)*(1-(1-Half_gap)^Q652))+IF(V652="",0,V652*Val_pt*(Ceiling_e-E_zero)*(1-(1-Half_gap)^T652))+IF(Y652="",0,Y652*Val_pt*(Ceiling_e-E_zero)*(1-(1-Half_gap)^W652)),"")</f>
        <v/>
      </c>
      <c r="AE652" s="13" t="str">
        <f aca="false">IF(AND($J652=1,$M652=0),IF(S652="",0,S652*R652)+IF(V652="",0,V652*U652)+IF(Y652="",0,Y652*X652),"")</f>
        <v/>
      </c>
      <c r="AF652" s="12" t="str">
        <f aca="false">IF(AND($J652=1,$M652=0),MIN((AC652-E652)/Span_P,(AD652-F652)/Span_S,(AE652-G652)/Span_B),"")</f>
        <v/>
      </c>
      <c r="AG652" s="15" t="str">
        <f aca="false">IF(AND($J652=1,$M652=0),IF(AF652&gt;0.0000001,1,0),"")</f>
        <v/>
      </c>
      <c r="AH652" s="15" t="n">
        <f aca="false">IF($J652=1,IF($M652=1,AB652,AG652),"")</f>
        <v>1</v>
      </c>
      <c r="AI652" s="13" t="n">
        <f aca="false">IF($J652=1,(Ideal_P-E652)/Span_P,"")</f>
        <v>0.445920621995999</v>
      </c>
      <c r="AJ652" s="13" t="n">
        <f aca="false">IF($J652=1,(Ideal_S-F652)/Span_S,"")</f>
        <v>0.0967741935483871</v>
      </c>
      <c r="AK652" s="13" t="n">
        <f aca="false">IF($J652=1,(Ideal_B-G652)/Span_B,"")</f>
        <v>0.72</v>
      </c>
      <c r="AL652" s="12" t="n">
        <f aca="false">IF($J652=1,MAX(ChA_1*AI652,ChA_2*AJ652,ChA_3*AK652)+Rho*(ChA_1*AI652+ChA_2*AJ652+ChA_3*AK652),"")</f>
        <v>0.720126269481554</v>
      </c>
      <c r="AM652" s="12" t="n">
        <f aca="false">IF($J652=1,MAX(ChB_1*AI652,ChB_2*AJ652,ChB_3*AK652)+Rho*(ChB_1*AI652+ChB_2*AJ652+ChB_3*AK652),"")</f>
        <v>0.892012105535751</v>
      </c>
      <c r="AN652" s="12" t="n">
        <f aca="false">IF($J652=1,MAX(Cx_1*(Ref_P-E652)/Span_P,Cx_2*(Ref_S-F652)/Span_S,Cx_3*(Ref_B-G652)/Span_B),"")</f>
        <v>1.84033613445378</v>
      </c>
    </row>
    <row r="653" customFormat="false" ht="15" hidden="false" customHeight="false" outlineLevel="0" collapsed="false">
      <c r="A653" s="2" t="n">
        <v>647</v>
      </c>
      <c r="B653" s="15" t="n">
        <f aca="false">INT(A653/151)</f>
        <v>4</v>
      </c>
      <c r="C653" s="15" t="n">
        <f aca="false">MOD(A653,151)</f>
        <v>43</v>
      </c>
      <c r="D653" s="15" t="n">
        <f aca="false">INDEX(Grid!$J$6:$P$156,C653+1,B653+1)</f>
        <v>1</v>
      </c>
      <c r="E653" s="16" t="n">
        <f aca="false">IF(D653=1,INDEX(Grid!$B$6:$H$156,C653+1,B653+1),"")</f>
        <v>221.789664595236</v>
      </c>
      <c r="F653" s="13" t="n">
        <f aca="false">Val_pt*(Ceiling_e-E_zero)*(1-(1-Half_gap)^B653)</f>
        <v>131.25</v>
      </c>
      <c r="G653" s="15" t="n">
        <f aca="false">C653</f>
        <v>43</v>
      </c>
      <c r="H653" s="15" t="n">
        <f aca="false">IF(D653=1,INDEX(Grid!$R$6:$X$156,C653+1,B653+1),"")</f>
        <v>57</v>
      </c>
      <c r="I653" s="2" t="str">
        <f aca="false">IF(D653=1,INDEX(Sch_label,H653+1),"")</f>
        <v>1–3, 6</v>
      </c>
      <c r="J653" s="15" t="n">
        <f aca="false">IF(D653=1,INDEX(Grid!$Z$6:$AF$156,C653+1,B653+1),0)</f>
        <v>1</v>
      </c>
      <c r="K653" s="16" t="n">
        <f aca="false">IF(J653=1,E653,0)</f>
        <v>221.789664595236</v>
      </c>
      <c r="L653" s="17" t="n">
        <f aca="false">IF(D653=1,E653+W_board*F653,"")</f>
        <v>962.661697790818</v>
      </c>
      <c r="M653" s="24" t="n">
        <v>1</v>
      </c>
      <c r="N653" s="25" t="n">
        <v>0.219944509271647</v>
      </c>
      <c r="O653" s="25" t="n">
        <v>0.697229795554399</v>
      </c>
      <c r="P653" s="25" t="n">
        <v>0.0828256951739539</v>
      </c>
      <c r="Z653" s="12" t="n">
        <f aca="false">IF(AND($J653=1,$M653=1),N653*E653/Span_P+O653*F653/Span_S+P653*G653/Span_B,"")</f>
        <v>1.50793286605519</v>
      </c>
      <c r="AA653" s="12" t="n">
        <f aca="false">IF(AND($J653=1,$M653=1),SUMPRODUCT(MAX($J$6:$J$1062*(N653*$K$6:$K$1062/Span_P+O653*$F$6:$F$1062/Span_S+P653*$G$6:$G$1062/Span_B)-(1-$J$6:$J$1062)*1000000000)),"")</f>
        <v>1.5079328660552</v>
      </c>
      <c r="AB653" s="15" t="n">
        <f aca="false">IF(AND($J653=1,$M653=1),IF(AA653-Z653&lt;=0.000000001,1,0),"")</f>
        <v>1</v>
      </c>
      <c r="AC653" s="13" t="str">
        <f aca="false">IF(AND($J653=1,$M653=0),IF(S653="",0,S653*INDEX(Grid!$B$6:$H$156,R653+1,Q653+1))+IF(V653="",0,V653*INDEX(Grid!$B$6:$H$156,U653+1,T653+1))+IF(Y653="",0,Y653*INDEX(Grid!$B$6:$H$156,X653+1,W653+1)),"")</f>
        <v/>
      </c>
      <c r="AD653" s="13" t="str">
        <f aca="false">IF(AND($J653=1,$M653=0),IF(S653="",0,S653*Val_pt*(Ceiling_e-E_zero)*(1-(1-Half_gap)^Q653))+IF(V653="",0,V653*Val_pt*(Ceiling_e-E_zero)*(1-(1-Half_gap)^T653))+IF(Y653="",0,Y653*Val_pt*(Ceiling_e-E_zero)*(1-(1-Half_gap)^W653)),"")</f>
        <v/>
      </c>
      <c r="AE653" s="13" t="str">
        <f aca="false">IF(AND($J653=1,$M653=0),IF(S653="",0,S653*R653)+IF(V653="",0,V653*U653)+IF(Y653="",0,Y653*X653),"")</f>
        <v/>
      </c>
      <c r="AF653" s="12" t="str">
        <f aca="false">IF(AND($J653=1,$M653=0),MIN((AC653-E653)/Span_P,(AD653-F653)/Span_S,(AE653-G653)/Span_B),"")</f>
        <v/>
      </c>
      <c r="AG653" s="15" t="str">
        <f aca="false">IF(AND($J653=1,$M653=0),IF(AF653&gt;0.0000001,1,0),"")</f>
        <v/>
      </c>
      <c r="AH653" s="15" t="n">
        <f aca="false">IF($J653=1,IF($M653=1,AB653,AG653),"")</f>
        <v>1</v>
      </c>
      <c r="AI653" s="13" t="n">
        <f aca="false">IF($J653=1,(Ideal_P-E653)/Span_P,"")</f>
        <v>0.448431124772304</v>
      </c>
      <c r="AJ653" s="13" t="n">
        <f aca="false">IF($J653=1,(Ideal_S-F653)/Span_S,"")</f>
        <v>0.0967741935483871</v>
      </c>
      <c r="AK653" s="13" t="n">
        <f aca="false">IF($J653=1,(Ideal_B-G653)/Span_B,"")</f>
        <v>0.713333333333333</v>
      </c>
      <c r="AL653" s="12" t="n">
        <f aca="false">IF($J653=1,MAX(ChA_1*AI653,ChA_2*AJ653,ChA_3*AK653)+Rho*(ChA_1*AI653+ChA_2*AJ653+ChA_3*AK653),"")</f>
        <v>0.713459187198499</v>
      </c>
      <c r="AM653" s="12" t="n">
        <f aca="false">IF($J653=1,MAX(ChB_1*AI653,ChB_2*AJ653,ChB_3*AK653)+Rho*(ChB_1*AI653+ChB_2*AJ653+ChB_3*AK653),"")</f>
        <v>0.897032946522251</v>
      </c>
      <c r="AN653" s="12" t="n">
        <f aca="false">IF($J653=1,MAX(Cx_1*(Ref_P-E653)/Span_P,Cx_2*(Ref_S-F653)/Span_S,Cx_3*(Ref_B-G653)/Span_B),"")</f>
        <v>1.82352941176471</v>
      </c>
    </row>
    <row r="654" customFormat="false" ht="15" hidden="false" customHeight="false" outlineLevel="0" collapsed="false">
      <c r="A654" s="2" t="n">
        <v>648</v>
      </c>
      <c r="B654" s="15" t="n">
        <f aca="false">INT(A654/151)</f>
        <v>4</v>
      </c>
      <c r="C654" s="15" t="n">
        <f aca="false">MOD(A654,151)</f>
        <v>44</v>
      </c>
      <c r="D654" s="15" t="n">
        <f aca="false">INDEX(Grid!$J$6:$P$156,C654+1,B654+1)</f>
        <v>1</v>
      </c>
      <c r="E654" s="16" t="n">
        <f aca="false">IF(D654=1,INDEX(Grid!$B$6:$H$156,C654+1,B654+1),"")</f>
        <v>220.880573686145</v>
      </c>
      <c r="F654" s="13" t="n">
        <f aca="false">Val_pt*(Ceiling_e-E_zero)*(1-(1-Half_gap)^B654)</f>
        <v>131.25</v>
      </c>
      <c r="G654" s="15" t="n">
        <f aca="false">C654</f>
        <v>44</v>
      </c>
      <c r="H654" s="15" t="n">
        <f aca="false">IF(D654=1,INDEX(Grid!$R$6:$X$156,C654+1,B654+1),"")</f>
        <v>57</v>
      </c>
      <c r="I654" s="2" t="str">
        <f aca="false">IF(D654=1,INDEX(Sch_label,H654+1),"")</f>
        <v>1–3, 6</v>
      </c>
      <c r="J654" s="15" t="n">
        <f aca="false">IF(D654=1,INDEX(Grid!$Z$6:$AF$156,C654+1,B654+1),0)</f>
        <v>1</v>
      </c>
      <c r="K654" s="16" t="n">
        <f aca="false">IF(J654=1,E654,0)</f>
        <v>220.880573686145</v>
      </c>
      <c r="L654" s="17" t="n">
        <f aca="false">IF(D654=1,E654+W_board*F654,"")</f>
        <v>961.752606881727</v>
      </c>
      <c r="M654" s="24" t="n">
        <v>1</v>
      </c>
      <c r="N654" s="25" t="n">
        <v>0.219944509271645</v>
      </c>
      <c r="O654" s="25" t="n">
        <v>0.697229795554406</v>
      </c>
      <c r="P654" s="25" t="n">
        <v>0.0828256951739493</v>
      </c>
      <c r="Z654" s="12" t="n">
        <f aca="false">IF(AND($J654=1,$M654=1),N654*E654/Span_P+O654*F654/Span_S+P654*G654/Span_B,"")</f>
        <v>1.50793286605521</v>
      </c>
      <c r="AA654" s="12" t="n">
        <f aca="false">IF(AND($J654=1,$M654=1),SUMPRODUCT(MAX($J$6:$J$1062*(N654*$K$6:$K$1062/Span_P+O654*$F$6:$F$1062/Span_S+P654*$G$6:$G$1062/Span_B)-(1-$J$6:$J$1062)*1000000000)),"")</f>
        <v>1.50793286605521</v>
      </c>
      <c r="AB654" s="15" t="n">
        <f aca="false">IF(AND($J654=1,$M654=1),IF(AA654-Z654&lt;=0.000000001,1,0),"")</f>
        <v>1</v>
      </c>
      <c r="AC654" s="13" t="str">
        <f aca="false">IF(AND($J654=1,$M654=0),IF(S654="",0,S654*INDEX(Grid!$B$6:$H$156,R654+1,Q654+1))+IF(V654="",0,V654*INDEX(Grid!$B$6:$H$156,U654+1,T654+1))+IF(Y654="",0,Y654*INDEX(Grid!$B$6:$H$156,X654+1,W654+1)),"")</f>
        <v/>
      </c>
      <c r="AD654" s="13" t="str">
        <f aca="false">IF(AND($J654=1,$M654=0),IF(S654="",0,S654*Val_pt*(Ceiling_e-E_zero)*(1-(1-Half_gap)^Q654))+IF(V654="",0,V654*Val_pt*(Ceiling_e-E_zero)*(1-(1-Half_gap)^T654))+IF(Y654="",0,Y654*Val_pt*(Ceiling_e-E_zero)*(1-(1-Half_gap)^W654)),"")</f>
        <v/>
      </c>
      <c r="AE654" s="13" t="str">
        <f aca="false">IF(AND($J654=1,$M654=0),IF(S654="",0,S654*R654)+IF(V654="",0,V654*U654)+IF(Y654="",0,Y654*X654),"")</f>
        <v/>
      </c>
      <c r="AF654" s="12" t="str">
        <f aca="false">IF(AND($J654=1,$M654=0),MIN((AC654-E654)/Span_P,(AD654-F654)/Span_S,(AE654-G654)/Span_B),"")</f>
        <v/>
      </c>
      <c r="AG654" s="15" t="str">
        <f aca="false">IF(AND($J654=1,$M654=0),IF(AF654&gt;0.0000001,1,0),"")</f>
        <v/>
      </c>
      <c r="AH654" s="15" t="n">
        <f aca="false">IF($J654=1,IF($M654=1,AB654,AG654),"")</f>
        <v>1</v>
      </c>
      <c r="AI654" s="13" t="n">
        <f aca="false">IF($J654=1,(Ideal_P-E654)/Span_P,"")</f>
        <v>0.45094162754861</v>
      </c>
      <c r="AJ654" s="13" t="n">
        <f aca="false">IF($J654=1,(Ideal_S-F654)/Span_S,"")</f>
        <v>0.0967741935483871</v>
      </c>
      <c r="AK654" s="13" t="n">
        <f aca="false">IF($J654=1,(Ideal_B-G654)/Span_B,"")</f>
        <v>0.706666666666667</v>
      </c>
      <c r="AL654" s="12" t="n">
        <f aca="false">IF($J654=1,MAX(ChA_1*AI654,ChA_2*AJ654,ChA_3*AK654)+Rho*(ChA_1*AI654+ChA_2*AJ654+ChA_3*AK654),"")</f>
        <v>0.706792104915443</v>
      </c>
      <c r="AM654" s="12" t="n">
        <f aca="false">IF($J654=1,MAX(ChB_1*AI654,ChB_2*AJ654,ChB_3*AK654)+Rho*(ChB_1*AI654+ChB_2*AJ654+ChB_3*AK654),"")</f>
        <v>0.902053787508751</v>
      </c>
      <c r="AN654" s="12" t="n">
        <f aca="false">IF($J654=1,MAX(Cx_1*(Ref_P-E654)/Span_P,Cx_2*(Ref_S-F654)/Span_S,Cx_3*(Ref_B-G654)/Span_B),"")</f>
        <v>1.80672268907563</v>
      </c>
    </row>
    <row r="655" customFormat="false" ht="15" hidden="false" customHeight="false" outlineLevel="0" collapsed="false">
      <c r="A655" s="2" t="n">
        <v>649</v>
      </c>
      <c r="B655" s="15" t="n">
        <f aca="false">INT(A655/151)</f>
        <v>4</v>
      </c>
      <c r="C655" s="15" t="n">
        <f aca="false">MOD(A655,151)</f>
        <v>45</v>
      </c>
      <c r="D655" s="15" t="n">
        <f aca="false">INDEX(Grid!$J$6:$P$156,C655+1,B655+1)</f>
        <v>1</v>
      </c>
      <c r="E655" s="16" t="n">
        <f aca="false">IF(D655=1,INDEX(Grid!$B$6:$H$156,C655+1,B655+1),"")</f>
        <v>219.971482777054</v>
      </c>
      <c r="F655" s="13" t="n">
        <f aca="false">Val_pt*(Ceiling_e-E_zero)*(1-(1-Half_gap)^B655)</f>
        <v>131.25</v>
      </c>
      <c r="G655" s="15" t="n">
        <f aca="false">C655</f>
        <v>45</v>
      </c>
      <c r="H655" s="15" t="n">
        <f aca="false">IF(D655=1,INDEX(Grid!$R$6:$X$156,C655+1,B655+1),"")</f>
        <v>57</v>
      </c>
      <c r="I655" s="2" t="str">
        <f aca="false">IF(D655=1,INDEX(Sch_label,H655+1),"")</f>
        <v>1–3, 6</v>
      </c>
      <c r="J655" s="15" t="n">
        <f aca="false">IF(D655=1,INDEX(Grid!$Z$6:$AF$156,C655+1,B655+1),0)</f>
        <v>1</v>
      </c>
      <c r="K655" s="16" t="n">
        <f aca="false">IF(J655=1,E655,0)</f>
        <v>219.971482777054</v>
      </c>
      <c r="L655" s="17" t="n">
        <f aca="false">IF(D655=1,E655+W_board*F655,"")</f>
        <v>960.843515972636</v>
      </c>
      <c r="M655" s="24" t="n">
        <v>1</v>
      </c>
      <c r="N655" s="25" t="n">
        <v>0.219944509271647</v>
      </c>
      <c r="O655" s="25" t="n">
        <v>0.697229795554399</v>
      </c>
      <c r="P655" s="25" t="n">
        <v>0.0828256951739539</v>
      </c>
      <c r="Z655" s="12" t="n">
        <f aca="false">IF(AND($J655=1,$M655=1),N655*E655/Span_P+O655*F655/Span_S+P655*G655/Span_B,"")</f>
        <v>1.50793286605519</v>
      </c>
      <c r="AA655" s="12" t="n">
        <f aca="false">IF(AND($J655=1,$M655=1),SUMPRODUCT(MAX($J$6:$J$1062*(N655*$K$6:$K$1062/Span_P+O655*$F$6:$F$1062/Span_S+P655*$G$6:$G$1062/Span_B)-(1-$J$6:$J$1062)*1000000000)),"")</f>
        <v>1.5079328660552</v>
      </c>
      <c r="AB655" s="15" t="n">
        <f aca="false">IF(AND($J655=1,$M655=1),IF(AA655-Z655&lt;=0.000000001,1,0),"")</f>
        <v>1</v>
      </c>
      <c r="AC655" s="13" t="str">
        <f aca="false">IF(AND($J655=1,$M655=0),IF(S655="",0,S655*INDEX(Grid!$B$6:$H$156,R655+1,Q655+1))+IF(V655="",0,V655*INDEX(Grid!$B$6:$H$156,U655+1,T655+1))+IF(Y655="",0,Y655*INDEX(Grid!$B$6:$H$156,X655+1,W655+1)),"")</f>
        <v/>
      </c>
      <c r="AD655" s="13" t="str">
        <f aca="false">IF(AND($J655=1,$M655=0),IF(S655="",0,S655*Val_pt*(Ceiling_e-E_zero)*(1-(1-Half_gap)^Q655))+IF(V655="",0,V655*Val_pt*(Ceiling_e-E_zero)*(1-(1-Half_gap)^T655))+IF(Y655="",0,Y655*Val_pt*(Ceiling_e-E_zero)*(1-(1-Half_gap)^W655)),"")</f>
        <v/>
      </c>
      <c r="AE655" s="13" t="str">
        <f aca="false">IF(AND($J655=1,$M655=0),IF(S655="",0,S655*R655)+IF(V655="",0,V655*U655)+IF(Y655="",0,Y655*X655),"")</f>
        <v/>
      </c>
      <c r="AF655" s="12" t="str">
        <f aca="false">IF(AND($J655=1,$M655=0),MIN((AC655-E655)/Span_P,(AD655-F655)/Span_S,(AE655-G655)/Span_B),"")</f>
        <v/>
      </c>
      <c r="AG655" s="15" t="str">
        <f aca="false">IF(AND($J655=1,$M655=0),IF(AF655&gt;0.0000001,1,0),"")</f>
        <v/>
      </c>
      <c r="AH655" s="15" t="n">
        <f aca="false">IF($J655=1,IF($M655=1,AB655,AG655),"")</f>
        <v>1</v>
      </c>
      <c r="AI655" s="13" t="n">
        <f aca="false">IF($J655=1,(Ideal_P-E655)/Span_P,"")</f>
        <v>0.453452130324916</v>
      </c>
      <c r="AJ655" s="13" t="n">
        <f aca="false">IF($J655=1,(Ideal_S-F655)/Span_S,"")</f>
        <v>0.0967741935483871</v>
      </c>
      <c r="AK655" s="13" t="n">
        <f aca="false">IF($J655=1,(Ideal_B-G655)/Span_B,"")</f>
        <v>0.7</v>
      </c>
      <c r="AL655" s="12" t="n">
        <f aca="false">IF($J655=1,MAX(ChA_1*AI655,ChA_2*AJ655,ChA_3*AK655)+Rho*(ChA_1*AI655+ChA_2*AJ655+ChA_3*AK655),"")</f>
        <v>0.700125022632387</v>
      </c>
      <c r="AM655" s="12" t="n">
        <f aca="false">IF($J655=1,MAX(ChB_1*AI655,ChB_2*AJ655,ChB_3*AK655)+Rho*(ChB_1*AI655+ChB_2*AJ655+ChB_3*AK655),"")</f>
        <v>0.907074628495252</v>
      </c>
      <c r="AN655" s="12" t="n">
        <f aca="false">IF($J655=1,MAX(Cx_1*(Ref_P-E655)/Span_P,Cx_2*(Ref_S-F655)/Span_S,Cx_3*(Ref_B-G655)/Span_B),"")</f>
        <v>1.78991596638655</v>
      </c>
    </row>
    <row r="656" customFormat="false" ht="15" hidden="false" customHeight="false" outlineLevel="0" collapsed="false">
      <c r="A656" s="2" t="n">
        <v>650</v>
      </c>
      <c r="B656" s="15" t="n">
        <f aca="false">INT(A656/151)</f>
        <v>4</v>
      </c>
      <c r="C656" s="15" t="n">
        <f aca="false">MOD(A656,151)</f>
        <v>46</v>
      </c>
      <c r="D656" s="15" t="n">
        <f aca="false">INDEX(Grid!$J$6:$P$156,C656+1,B656+1)</f>
        <v>1</v>
      </c>
      <c r="E656" s="16" t="n">
        <f aca="false">IF(D656=1,INDEX(Grid!$B$6:$H$156,C656+1,B656+1),"")</f>
        <v>219.062391867963</v>
      </c>
      <c r="F656" s="13" t="n">
        <f aca="false">Val_pt*(Ceiling_e-E_zero)*(1-(1-Half_gap)^B656)</f>
        <v>131.25</v>
      </c>
      <c r="G656" s="15" t="n">
        <f aca="false">C656</f>
        <v>46</v>
      </c>
      <c r="H656" s="15" t="n">
        <f aca="false">IF(D656=1,INDEX(Grid!$R$6:$X$156,C656+1,B656+1),"")</f>
        <v>57</v>
      </c>
      <c r="I656" s="2" t="str">
        <f aca="false">IF(D656=1,INDEX(Sch_label,H656+1),"")</f>
        <v>1–3, 6</v>
      </c>
      <c r="J656" s="15" t="n">
        <f aca="false">IF(D656=1,INDEX(Grid!$Z$6:$AF$156,C656+1,B656+1),0)</f>
        <v>1</v>
      </c>
      <c r="K656" s="16" t="n">
        <f aca="false">IF(J656=1,E656,0)</f>
        <v>219.062391867963</v>
      </c>
      <c r="L656" s="17" t="n">
        <f aca="false">IF(D656=1,E656+W_board*F656,"")</f>
        <v>959.934425063546</v>
      </c>
      <c r="M656" s="24" t="n">
        <v>1</v>
      </c>
      <c r="N656" s="25" t="n">
        <v>0.219944509271644</v>
      </c>
      <c r="O656" s="25" t="n">
        <v>0.697229795554407</v>
      </c>
      <c r="P656" s="25" t="n">
        <v>0.0828256951739485</v>
      </c>
      <c r="Z656" s="12" t="n">
        <f aca="false">IF(AND($J656=1,$M656=1),N656*E656/Span_P+O656*F656/Span_S+P656*G656/Span_B,"")</f>
        <v>1.50793286605521</v>
      </c>
      <c r="AA656" s="12" t="n">
        <f aca="false">IF(AND($J656=1,$M656=1),SUMPRODUCT(MAX($J$6:$J$1062*(N656*$K$6:$K$1062/Span_P+O656*$F$6:$F$1062/Span_S+P656*$G$6:$G$1062/Span_B)-(1-$J$6:$J$1062)*1000000000)),"")</f>
        <v>1.50793286605521</v>
      </c>
      <c r="AB656" s="15" t="n">
        <f aca="false">IF(AND($J656=1,$M656=1),IF(AA656-Z656&lt;=0.000000001,1,0),"")</f>
        <v>1</v>
      </c>
      <c r="AC656" s="13" t="str">
        <f aca="false">IF(AND($J656=1,$M656=0),IF(S656="",0,S656*INDEX(Grid!$B$6:$H$156,R656+1,Q656+1))+IF(V656="",0,V656*INDEX(Grid!$B$6:$H$156,U656+1,T656+1))+IF(Y656="",0,Y656*INDEX(Grid!$B$6:$H$156,X656+1,W656+1)),"")</f>
        <v/>
      </c>
      <c r="AD656" s="13" t="str">
        <f aca="false">IF(AND($J656=1,$M656=0),IF(S656="",0,S656*Val_pt*(Ceiling_e-E_zero)*(1-(1-Half_gap)^Q656))+IF(V656="",0,V656*Val_pt*(Ceiling_e-E_zero)*(1-(1-Half_gap)^T656))+IF(Y656="",0,Y656*Val_pt*(Ceiling_e-E_zero)*(1-(1-Half_gap)^W656)),"")</f>
        <v/>
      </c>
      <c r="AE656" s="13" t="str">
        <f aca="false">IF(AND($J656=1,$M656=0),IF(S656="",0,S656*R656)+IF(V656="",0,V656*U656)+IF(Y656="",0,Y656*X656),"")</f>
        <v/>
      </c>
      <c r="AF656" s="12" t="str">
        <f aca="false">IF(AND($J656=1,$M656=0),MIN((AC656-E656)/Span_P,(AD656-F656)/Span_S,(AE656-G656)/Span_B),"")</f>
        <v/>
      </c>
      <c r="AG656" s="15" t="str">
        <f aca="false">IF(AND($J656=1,$M656=0),IF(AF656&gt;0.0000001,1,0),"")</f>
        <v/>
      </c>
      <c r="AH656" s="15" t="n">
        <f aca="false">IF($J656=1,IF($M656=1,AB656,AG656),"")</f>
        <v>1</v>
      </c>
      <c r="AI656" s="13" t="n">
        <f aca="false">IF($J656=1,(Ideal_P-E656)/Span_P,"")</f>
        <v>0.455962633101222</v>
      </c>
      <c r="AJ656" s="13" t="n">
        <f aca="false">IF($J656=1,(Ideal_S-F656)/Span_S,"")</f>
        <v>0.0967741935483871</v>
      </c>
      <c r="AK656" s="13" t="n">
        <f aca="false">IF($J656=1,(Ideal_B-G656)/Span_B,"")</f>
        <v>0.693333333333333</v>
      </c>
      <c r="AL656" s="12" t="n">
        <f aca="false">IF($J656=1,MAX(ChA_1*AI656,ChA_2*AJ656,ChA_3*AK656)+Rho*(ChA_1*AI656+ChA_2*AJ656+ChA_3*AK656),"")</f>
        <v>0.693457940349332</v>
      </c>
      <c r="AM656" s="12" t="n">
        <f aca="false">IF($J656=1,MAX(ChB_1*AI656,ChB_2*AJ656,ChB_3*AK656)+Rho*(ChB_1*AI656+ChB_2*AJ656+ChB_3*AK656),"")</f>
        <v>0.912095469481752</v>
      </c>
      <c r="AN656" s="12" t="n">
        <f aca="false">IF($J656=1,MAX(Cx_1*(Ref_P-E656)/Span_P,Cx_2*(Ref_S-F656)/Span_S,Cx_3*(Ref_B-G656)/Span_B),"")</f>
        <v>1.77310924369748</v>
      </c>
    </row>
    <row r="657" customFormat="false" ht="15" hidden="false" customHeight="false" outlineLevel="0" collapsed="false">
      <c r="A657" s="2" t="n">
        <v>651</v>
      </c>
      <c r="B657" s="15" t="n">
        <f aca="false">INT(A657/151)</f>
        <v>4</v>
      </c>
      <c r="C657" s="15" t="n">
        <f aca="false">MOD(A657,151)</f>
        <v>47</v>
      </c>
      <c r="D657" s="15" t="n">
        <f aca="false">INDEX(Grid!$J$6:$P$156,C657+1,B657+1)</f>
        <v>1</v>
      </c>
      <c r="E657" s="16" t="n">
        <f aca="false">IF(D657=1,INDEX(Grid!$B$6:$H$156,C657+1,B657+1),"")</f>
        <v>218.153300958872</v>
      </c>
      <c r="F657" s="13" t="n">
        <f aca="false">Val_pt*(Ceiling_e-E_zero)*(1-(1-Half_gap)^B657)</f>
        <v>131.25</v>
      </c>
      <c r="G657" s="15" t="n">
        <f aca="false">C657</f>
        <v>47</v>
      </c>
      <c r="H657" s="15" t="n">
        <f aca="false">IF(D657=1,INDEX(Grid!$R$6:$X$156,C657+1,B657+1),"")</f>
        <v>57</v>
      </c>
      <c r="I657" s="2" t="str">
        <f aca="false">IF(D657=1,INDEX(Sch_label,H657+1),"")</f>
        <v>1–3, 6</v>
      </c>
      <c r="J657" s="15" t="n">
        <f aca="false">IF(D657=1,INDEX(Grid!$Z$6:$AF$156,C657+1,B657+1),0)</f>
        <v>1</v>
      </c>
      <c r="K657" s="16" t="n">
        <f aca="false">IF(J657=1,E657,0)</f>
        <v>218.153300958872</v>
      </c>
      <c r="L657" s="17" t="n">
        <f aca="false">IF(D657=1,E657+W_board*F657,"")</f>
        <v>959.025334154455</v>
      </c>
      <c r="M657" s="24" t="n">
        <v>1</v>
      </c>
      <c r="N657" s="25" t="n">
        <v>0.219944509271647</v>
      </c>
      <c r="O657" s="25" t="n">
        <v>0.697229795554399</v>
      </c>
      <c r="P657" s="25" t="n">
        <v>0.0828256951739539</v>
      </c>
      <c r="Z657" s="12" t="n">
        <f aca="false">IF(AND($J657=1,$M657=1),N657*E657/Span_P+O657*F657/Span_S+P657*G657/Span_B,"")</f>
        <v>1.5079328660552</v>
      </c>
      <c r="AA657" s="12" t="n">
        <f aca="false">IF(AND($J657=1,$M657=1),SUMPRODUCT(MAX($J$6:$J$1062*(N657*$K$6:$K$1062/Span_P+O657*$F$6:$F$1062/Span_S+P657*$G$6:$G$1062/Span_B)-(1-$J$6:$J$1062)*1000000000)),"")</f>
        <v>1.5079328660552</v>
      </c>
      <c r="AB657" s="15" t="n">
        <f aca="false">IF(AND($J657=1,$M657=1),IF(AA657-Z657&lt;=0.000000001,1,0),"")</f>
        <v>1</v>
      </c>
      <c r="AC657" s="13" t="str">
        <f aca="false">IF(AND($J657=1,$M657=0),IF(S657="",0,S657*INDEX(Grid!$B$6:$H$156,R657+1,Q657+1))+IF(V657="",0,V657*INDEX(Grid!$B$6:$H$156,U657+1,T657+1))+IF(Y657="",0,Y657*INDEX(Grid!$B$6:$H$156,X657+1,W657+1)),"")</f>
        <v/>
      </c>
      <c r="AD657" s="13" t="str">
        <f aca="false">IF(AND($J657=1,$M657=0),IF(S657="",0,S657*Val_pt*(Ceiling_e-E_zero)*(1-(1-Half_gap)^Q657))+IF(V657="",0,V657*Val_pt*(Ceiling_e-E_zero)*(1-(1-Half_gap)^T657))+IF(Y657="",0,Y657*Val_pt*(Ceiling_e-E_zero)*(1-(1-Half_gap)^W657)),"")</f>
        <v/>
      </c>
      <c r="AE657" s="13" t="str">
        <f aca="false">IF(AND($J657=1,$M657=0),IF(S657="",0,S657*R657)+IF(V657="",0,V657*U657)+IF(Y657="",0,Y657*X657),"")</f>
        <v/>
      </c>
      <c r="AF657" s="12" t="str">
        <f aca="false">IF(AND($J657=1,$M657=0),MIN((AC657-E657)/Span_P,(AD657-F657)/Span_S,(AE657-G657)/Span_B),"")</f>
        <v/>
      </c>
      <c r="AG657" s="15" t="str">
        <f aca="false">IF(AND($J657=1,$M657=0),IF(AF657&gt;0.0000001,1,0),"")</f>
        <v/>
      </c>
      <c r="AH657" s="15" t="n">
        <f aca="false">IF($J657=1,IF($M657=1,AB657,AG657),"")</f>
        <v>1</v>
      </c>
      <c r="AI657" s="13" t="n">
        <f aca="false">IF($J657=1,(Ideal_P-E657)/Span_P,"")</f>
        <v>0.458473135877527</v>
      </c>
      <c r="AJ657" s="13" t="n">
        <f aca="false">IF($J657=1,(Ideal_S-F657)/Span_S,"")</f>
        <v>0.0967741935483871</v>
      </c>
      <c r="AK657" s="13" t="n">
        <f aca="false">IF($J657=1,(Ideal_B-G657)/Span_B,"")</f>
        <v>0.686666666666667</v>
      </c>
      <c r="AL657" s="12" t="n">
        <f aca="false">IF($J657=1,MAX(ChA_1*AI657,ChA_2*AJ657,ChA_3*AK657)+Rho*(ChA_1*AI657+ChA_2*AJ657+ChA_3*AK657),"")</f>
        <v>0.686790858066276</v>
      </c>
      <c r="AM657" s="12" t="n">
        <f aca="false">IF($J657=1,MAX(ChB_1*AI657,ChB_2*AJ657,ChB_3*AK657)+Rho*(ChB_1*AI657+ChB_2*AJ657+ChB_3*AK657),"")</f>
        <v>0.917116310468252</v>
      </c>
      <c r="AN657" s="12" t="n">
        <f aca="false">IF($J657=1,MAX(Cx_1*(Ref_P-E657)/Span_P,Cx_2*(Ref_S-F657)/Span_S,Cx_3*(Ref_B-G657)/Span_B),"")</f>
        <v>1.7563025210084</v>
      </c>
    </row>
    <row r="658" customFormat="false" ht="15" hidden="false" customHeight="false" outlineLevel="0" collapsed="false">
      <c r="A658" s="2" t="n">
        <v>652</v>
      </c>
      <c r="B658" s="15" t="n">
        <f aca="false">INT(A658/151)</f>
        <v>4</v>
      </c>
      <c r="C658" s="15" t="n">
        <f aca="false">MOD(A658,151)</f>
        <v>48</v>
      </c>
      <c r="D658" s="15" t="n">
        <f aca="false">INDEX(Grid!$J$6:$P$156,C658+1,B658+1)</f>
        <v>1</v>
      </c>
      <c r="E658" s="16" t="n">
        <f aca="false">IF(D658=1,INDEX(Grid!$B$6:$H$156,C658+1,B658+1),"")</f>
        <v>217.244210049781</v>
      </c>
      <c r="F658" s="13" t="n">
        <f aca="false">Val_pt*(Ceiling_e-E_zero)*(1-(1-Half_gap)^B658)</f>
        <v>131.25</v>
      </c>
      <c r="G658" s="15" t="n">
        <f aca="false">C658</f>
        <v>48</v>
      </c>
      <c r="H658" s="15" t="n">
        <f aca="false">IF(D658=1,INDEX(Grid!$R$6:$X$156,C658+1,B658+1),"")</f>
        <v>57</v>
      </c>
      <c r="I658" s="2" t="str">
        <f aca="false">IF(D658=1,INDEX(Sch_label,H658+1),"")</f>
        <v>1–3, 6</v>
      </c>
      <c r="J658" s="15" t="n">
        <f aca="false">IF(D658=1,INDEX(Grid!$Z$6:$AF$156,C658+1,B658+1),0)</f>
        <v>1</v>
      </c>
      <c r="K658" s="16" t="n">
        <f aca="false">IF(J658=1,E658,0)</f>
        <v>217.244210049781</v>
      </c>
      <c r="L658" s="17" t="n">
        <f aca="false">IF(D658=1,E658+W_board*F658,"")</f>
        <v>958.116243245364</v>
      </c>
      <c r="M658" s="24" t="n">
        <v>1</v>
      </c>
      <c r="N658" s="25" t="n">
        <v>0.219944509271645</v>
      </c>
      <c r="O658" s="25" t="n">
        <v>0.697229795554406</v>
      </c>
      <c r="P658" s="25" t="n">
        <v>0.0828256951739494</v>
      </c>
      <c r="Z658" s="12" t="n">
        <f aca="false">IF(AND($J658=1,$M658=1),N658*E658/Span_P+O658*F658/Span_S+P658*G658/Span_B,"")</f>
        <v>1.50793286605521</v>
      </c>
      <c r="AA658" s="12" t="n">
        <f aca="false">IF(AND($J658=1,$M658=1),SUMPRODUCT(MAX($J$6:$J$1062*(N658*$K$6:$K$1062/Span_P+O658*$F$6:$F$1062/Span_S+P658*$G$6:$G$1062/Span_B)-(1-$J$6:$J$1062)*1000000000)),"")</f>
        <v>1.50793286605521</v>
      </c>
      <c r="AB658" s="15" t="n">
        <f aca="false">IF(AND($J658=1,$M658=1),IF(AA658-Z658&lt;=0.000000001,1,0),"")</f>
        <v>1</v>
      </c>
      <c r="AC658" s="13" t="str">
        <f aca="false">IF(AND($J658=1,$M658=0),IF(S658="",0,S658*INDEX(Grid!$B$6:$H$156,R658+1,Q658+1))+IF(V658="",0,V658*INDEX(Grid!$B$6:$H$156,U658+1,T658+1))+IF(Y658="",0,Y658*INDEX(Grid!$B$6:$H$156,X658+1,W658+1)),"")</f>
        <v/>
      </c>
      <c r="AD658" s="13" t="str">
        <f aca="false">IF(AND($J658=1,$M658=0),IF(S658="",0,S658*Val_pt*(Ceiling_e-E_zero)*(1-(1-Half_gap)^Q658))+IF(V658="",0,V658*Val_pt*(Ceiling_e-E_zero)*(1-(1-Half_gap)^T658))+IF(Y658="",0,Y658*Val_pt*(Ceiling_e-E_zero)*(1-(1-Half_gap)^W658)),"")</f>
        <v/>
      </c>
      <c r="AE658" s="13" t="str">
        <f aca="false">IF(AND($J658=1,$M658=0),IF(S658="",0,S658*R658)+IF(V658="",0,V658*U658)+IF(Y658="",0,Y658*X658),"")</f>
        <v/>
      </c>
      <c r="AF658" s="12" t="str">
        <f aca="false">IF(AND($J658=1,$M658=0),MIN((AC658-E658)/Span_P,(AD658-F658)/Span_S,(AE658-G658)/Span_B),"")</f>
        <v/>
      </c>
      <c r="AG658" s="15" t="str">
        <f aca="false">IF(AND($J658=1,$M658=0),IF(AF658&gt;0.0000001,1,0),"")</f>
        <v/>
      </c>
      <c r="AH658" s="15" t="n">
        <f aca="false">IF($J658=1,IF($M658=1,AB658,AG658),"")</f>
        <v>1</v>
      </c>
      <c r="AI658" s="13" t="n">
        <f aca="false">IF($J658=1,(Ideal_P-E658)/Span_P,"")</f>
        <v>0.460983638653833</v>
      </c>
      <c r="AJ658" s="13" t="n">
        <f aca="false">IF($J658=1,(Ideal_S-F658)/Span_S,"")</f>
        <v>0.0967741935483871</v>
      </c>
      <c r="AK658" s="13" t="n">
        <f aca="false">IF($J658=1,(Ideal_B-G658)/Span_B,"")</f>
        <v>0.68</v>
      </c>
      <c r="AL658" s="12" t="n">
        <f aca="false">IF($J658=1,MAX(ChA_1*AI658,ChA_2*AJ658,ChA_3*AK658)+Rho*(ChA_1*AI658+ChA_2*AJ658+ChA_3*AK658),"")</f>
        <v>0.68012377578322</v>
      </c>
      <c r="AM658" s="12" t="n">
        <f aca="false">IF($J658=1,MAX(ChB_1*AI658,ChB_2*AJ658,ChB_3*AK658)+Rho*(ChB_1*AI658+ChB_2*AJ658+ChB_3*AK658),"")</f>
        <v>0.922137151454752</v>
      </c>
      <c r="AN658" s="12" t="n">
        <f aca="false">IF($J658=1,MAX(Cx_1*(Ref_P-E658)/Span_P,Cx_2*(Ref_S-F658)/Span_S,Cx_3*(Ref_B-G658)/Span_B),"")</f>
        <v>1.73949579831933</v>
      </c>
    </row>
    <row r="659" customFormat="false" ht="15" hidden="false" customHeight="false" outlineLevel="0" collapsed="false">
      <c r="A659" s="2" t="n">
        <v>653</v>
      </c>
      <c r="B659" s="15" t="n">
        <f aca="false">INT(A659/151)</f>
        <v>4</v>
      </c>
      <c r="C659" s="15" t="n">
        <f aca="false">MOD(A659,151)</f>
        <v>49</v>
      </c>
      <c r="D659" s="15" t="n">
        <f aca="false">INDEX(Grid!$J$6:$P$156,C659+1,B659+1)</f>
        <v>1</v>
      </c>
      <c r="E659" s="16" t="n">
        <f aca="false">IF(D659=1,INDEX(Grid!$B$6:$H$156,C659+1,B659+1),"")</f>
        <v>216.33511914069</v>
      </c>
      <c r="F659" s="13" t="n">
        <f aca="false">Val_pt*(Ceiling_e-E_zero)*(1-(1-Half_gap)^B659)</f>
        <v>131.25</v>
      </c>
      <c r="G659" s="15" t="n">
        <f aca="false">C659</f>
        <v>49</v>
      </c>
      <c r="H659" s="15" t="n">
        <f aca="false">IF(D659=1,INDEX(Grid!$R$6:$X$156,C659+1,B659+1),"")</f>
        <v>57</v>
      </c>
      <c r="I659" s="2" t="str">
        <f aca="false">IF(D659=1,INDEX(Sch_label,H659+1),"")</f>
        <v>1–3, 6</v>
      </c>
      <c r="J659" s="15" t="n">
        <f aca="false">IF(D659=1,INDEX(Grid!$Z$6:$AF$156,C659+1,B659+1),0)</f>
        <v>1</v>
      </c>
      <c r="K659" s="16" t="n">
        <f aca="false">IF(J659=1,E659,0)</f>
        <v>216.33511914069</v>
      </c>
      <c r="L659" s="17" t="n">
        <f aca="false">IF(D659=1,E659+W_board*F659,"")</f>
        <v>957.207152336273</v>
      </c>
      <c r="M659" s="24" t="n">
        <v>1</v>
      </c>
      <c r="N659" s="25" t="n">
        <v>0.219944509271647</v>
      </c>
      <c r="O659" s="25" t="n">
        <v>0.697229795554399</v>
      </c>
      <c r="P659" s="25" t="n">
        <v>0.0828256951739538</v>
      </c>
      <c r="Z659" s="12" t="n">
        <f aca="false">IF(AND($J659=1,$M659=1),N659*E659/Span_P+O659*F659/Span_S+P659*G659/Span_B,"")</f>
        <v>1.50793286605519</v>
      </c>
      <c r="AA659" s="12" t="n">
        <f aca="false">IF(AND($J659=1,$M659=1),SUMPRODUCT(MAX($J$6:$J$1062*(N659*$K$6:$K$1062/Span_P+O659*$F$6:$F$1062/Span_S+P659*$G$6:$G$1062/Span_B)-(1-$J$6:$J$1062)*1000000000)),"")</f>
        <v>1.5079328660552</v>
      </c>
      <c r="AB659" s="15" t="n">
        <f aca="false">IF(AND($J659=1,$M659=1),IF(AA659-Z659&lt;=0.000000001,1,0),"")</f>
        <v>1</v>
      </c>
      <c r="AC659" s="13" t="str">
        <f aca="false">IF(AND($J659=1,$M659=0),IF(S659="",0,S659*INDEX(Grid!$B$6:$H$156,R659+1,Q659+1))+IF(V659="",0,V659*INDEX(Grid!$B$6:$H$156,U659+1,T659+1))+IF(Y659="",0,Y659*INDEX(Grid!$B$6:$H$156,X659+1,W659+1)),"")</f>
        <v/>
      </c>
      <c r="AD659" s="13" t="str">
        <f aca="false">IF(AND($J659=1,$M659=0),IF(S659="",0,S659*Val_pt*(Ceiling_e-E_zero)*(1-(1-Half_gap)^Q659))+IF(V659="",0,V659*Val_pt*(Ceiling_e-E_zero)*(1-(1-Half_gap)^T659))+IF(Y659="",0,Y659*Val_pt*(Ceiling_e-E_zero)*(1-(1-Half_gap)^W659)),"")</f>
        <v/>
      </c>
      <c r="AE659" s="13" t="str">
        <f aca="false">IF(AND($J659=1,$M659=0),IF(S659="",0,S659*R659)+IF(V659="",0,V659*U659)+IF(Y659="",0,Y659*X659),"")</f>
        <v/>
      </c>
      <c r="AF659" s="12" t="str">
        <f aca="false">IF(AND($J659=1,$M659=0),MIN((AC659-E659)/Span_P,(AD659-F659)/Span_S,(AE659-G659)/Span_B),"")</f>
        <v/>
      </c>
      <c r="AG659" s="15" t="str">
        <f aca="false">IF(AND($J659=1,$M659=0),IF(AF659&gt;0.0000001,1,0),"")</f>
        <v/>
      </c>
      <c r="AH659" s="15" t="n">
        <f aca="false">IF($J659=1,IF($M659=1,AB659,AG659),"")</f>
        <v>1</v>
      </c>
      <c r="AI659" s="13" t="n">
        <f aca="false">IF($J659=1,(Ideal_P-E659)/Span_P,"")</f>
        <v>0.463494141430139</v>
      </c>
      <c r="AJ659" s="13" t="n">
        <f aca="false">IF($J659=1,(Ideal_S-F659)/Span_S,"")</f>
        <v>0.0967741935483871</v>
      </c>
      <c r="AK659" s="13" t="n">
        <f aca="false">IF($J659=1,(Ideal_B-G659)/Span_B,"")</f>
        <v>0.673333333333333</v>
      </c>
      <c r="AL659" s="12" t="n">
        <f aca="false">IF($J659=1,MAX(ChA_1*AI659,ChA_2*AJ659,ChA_3*AK659)+Rho*(ChA_1*AI659+ChA_2*AJ659+ChA_3*AK659),"")</f>
        <v>0.673456693500165</v>
      </c>
      <c r="AM659" s="12" t="n">
        <f aca="false">IF($J659=1,MAX(ChB_1*AI659,ChB_2*AJ659,ChB_3*AK659)+Rho*(ChB_1*AI659+ChB_2*AJ659+ChB_3*AK659),"")</f>
        <v>0.927157992441252</v>
      </c>
      <c r="AN659" s="12" t="n">
        <f aca="false">IF($J659=1,MAX(Cx_1*(Ref_P-E659)/Span_P,Cx_2*(Ref_S-F659)/Span_S,Cx_3*(Ref_B-G659)/Span_B),"")</f>
        <v>1.72268907563025</v>
      </c>
    </row>
    <row r="660" customFormat="false" ht="15" hidden="false" customHeight="false" outlineLevel="0" collapsed="false">
      <c r="A660" s="2" t="n">
        <v>654</v>
      </c>
      <c r="B660" s="15" t="n">
        <f aca="false">INT(A660/151)</f>
        <v>4</v>
      </c>
      <c r="C660" s="15" t="n">
        <f aca="false">MOD(A660,151)</f>
        <v>50</v>
      </c>
      <c r="D660" s="15" t="n">
        <f aca="false">INDEX(Grid!$J$6:$P$156,C660+1,B660+1)</f>
        <v>1</v>
      </c>
      <c r="E660" s="16" t="n">
        <f aca="false">IF(D660=1,INDEX(Grid!$B$6:$H$156,C660+1,B660+1),"")</f>
        <v>215.426028231599</v>
      </c>
      <c r="F660" s="13" t="n">
        <f aca="false">Val_pt*(Ceiling_e-E_zero)*(1-(1-Half_gap)^B660)</f>
        <v>131.25</v>
      </c>
      <c r="G660" s="15" t="n">
        <f aca="false">C660</f>
        <v>50</v>
      </c>
      <c r="H660" s="15" t="n">
        <f aca="false">IF(D660=1,INDEX(Grid!$R$6:$X$156,C660+1,B660+1),"")</f>
        <v>57</v>
      </c>
      <c r="I660" s="2" t="str">
        <f aca="false">IF(D660=1,INDEX(Sch_label,H660+1),"")</f>
        <v>1–3, 6</v>
      </c>
      <c r="J660" s="15" t="n">
        <f aca="false">IF(D660=1,INDEX(Grid!$Z$6:$AF$156,C660+1,B660+1),0)</f>
        <v>1</v>
      </c>
      <c r="K660" s="16" t="n">
        <f aca="false">IF(J660=1,E660,0)</f>
        <v>215.426028231599</v>
      </c>
      <c r="L660" s="17" t="n">
        <f aca="false">IF(D660=1,E660+W_board*F660,"")</f>
        <v>956.298061427182</v>
      </c>
      <c r="M660" s="24" t="n">
        <v>1</v>
      </c>
      <c r="N660" s="25" t="n">
        <v>0.219944509271644</v>
      </c>
      <c r="O660" s="25" t="n">
        <v>0.697229795554407</v>
      </c>
      <c r="P660" s="25" t="n">
        <v>0.0828256951739486</v>
      </c>
      <c r="Z660" s="12" t="n">
        <f aca="false">IF(AND($J660=1,$M660=1),N660*E660/Span_P+O660*F660/Span_S+P660*G660/Span_B,"")</f>
        <v>1.50793286605521</v>
      </c>
      <c r="AA660" s="12" t="n">
        <f aca="false">IF(AND($J660=1,$M660=1),SUMPRODUCT(MAX($J$6:$J$1062*(N660*$K$6:$K$1062/Span_P+O660*$F$6:$F$1062/Span_S+P660*$G$6:$G$1062/Span_B)-(1-$J$6:$J$1062)*1000000000)),"")</f>
        <v>1.50793286605521</v>
      </c>
      <c r="AB660" s="15" t="n">
        <f aca="false">IF(AND($J660=1,$M660=1),IF(AA660-Z660&lt;=0.000000001,1,0),"")</f>
        <v>1</v>
      </c>
      <c r="AC660" s="13" t="str">
        <f aca="false">IF(AND($J660=1,$M660=0),IF(S660="",0,S660*INDEX(Grid!$B$6:$H$156,R660+1,Q660+1))+IF(V660="",0,V660*INDEX(Grid!$B$6:$H$156,U660+1,T660+1))+IF(Y660="",0,Y660*INDEX(Grid!$B$6:$H$156,X660+1,W660+1)),"")</f>
        <v/>
      </c>
      <c r="AD660" s="13" t="str">
        <f aca="false">IF(AND($J660=1,$M660=0),IF(S660="",0,S660*Val_pt*(Ceiling_e-E_zero)*(1-(1-Half_gap)^Q660))+IF(V660="",0,V660*Val_pt*(Ceiling_e-E_zero)*(1-(1-Half_gap)^T660))+IF(Y660="",0,Y660*Val_pt*(Ceiling_e-E_zero)*(1-(1-Half_gap)^W660)),"")</f>
        <v/>
      </c>
      <c r="AE660" s="13" t="str">
        <f aca="false">IF(AND($J660=1,$M660=0),IF(S660="",0,S660*R660)+IF(V660="",0,V660*U660)+IF(Y660="",0,Y660*X660),"")</f>
        <v/>
      </c>
      <c r="AF660" s="12" t="str">
        <f aca="false">IF(AND($J660=1,$M660=0),MIN((AC660-E660)/Span_P,(AD660-F660)/Span_S,(AE660-G660)/Span_B),"")</f>
        <v/>
      </c>
      <c r="AG660" s="15" t="str">
        <f aca="false">IF(AND($J660=1,$M660=0),IF(AF660&gt;0.0000001,1,0),"")</f>
        <v/>
      </c>
      <c r="AH660" s="15" t="n">
        <f aca="false">IF($J660=1,IF($M660=1,AB660,AG660),"")</f>
        <v>1</v>
      </c>
      <c r="AI660" s="13" t="n">
        <f aca="false">IF($J660=1,(Ideal_P-E660)/Span_P,"")</f>
        <v>0.466004644206445</v>
      </c>
      <c r="AJ660" s="13" t="n">
        <f aca="false">IF($J660=1,(Ideal_S-F660)/Span_S,"")</f>
        <v>0.0967741935483871</v>
      </c>
      <c r="AK660" s="13" t="n">
        <f aca="false">IF($J660=1,(Ideal_B-G660)/Span_B,"")</f>
        <v>0.666666666666667</v>
      </c>
      <c r="AL660" s="12" t="n">
        <f aca="false">IF($J660=1,MAX(ChA_1*AI660,ChA_2*AJ660,ChA_3*AK660)+Rho*(ChA_1*AI660+ChA_2*AJ660+ChA_3*AK660),"")</f>
        <v>0.666789611217109</v>
      </c>
      <c r="AM660" s="12" t="n">
        <f aca="false">IF($J660=1,MAX(ChB_1*AI660,ChB_2*AJ660,ChB_3*AK660)+Rho*(ChB_1*AI660+ChB_2*AJ660+ChB_3*AK660),"")</f>
        <v>0.932178833427752</v>
      </c>
      <c r="AN660" s="12" t="n">
        <f aca="false">IF($J660=1,MAX(Cx_1*(Ref_P-E660)/Span_P,Cx_2*(Ref_S-F660)/Span_S,Cx_3*(Ref_B-G660)/Span_B),"")</f>
        <v>1.70588235294118</v>
      </c>
    </row>
    <row r="661" customFormat="false" ht="15" hidden="false" customHeight="false" outlineLevel="0" collapsed="false">
      <c r="A661" s="2" t="n">
        <v>655</v>
      </c>
      <c r="B661" s="15" t="n">
        <f aca="false">INT(A661/151)</f>
        <v>4</v>
      </c>
      <c r="C661" s="15" t="n">
        <f aca="false">MOD(A661,151)</f>
        <v>51</v>
      </c>
      <c r="D661" s="15" t="n">
        <f aca="false">INDEX(Grid!$J$6:$P$156,C661+1,B661+1)</f>
        <v>1</v>
      </c>
      <c r="E661" s="16" t="n">
        <f aca="false">IF(D661=1,INDEX(Grid!$B$6:$H$156,C661+1,B661+1),"")</f>
        <v>214.516937322508</v>
      </c>
      <c r="F661" s="13" t="n">
        <f aca="false">Val_pt*(Ceiling_e-E_zero)*(1-(1-Half_gap)^B661)</f>
        <v>131.25</v>
      </c>
      <c r="G661" s="15" t="n">
        <f aca="false">C661</f>
        <v>51</v>
      </c>
      <c r="H661" s="15" t="n">
        <f aca="false">IF(D661=1,INDEX(Grid!$R$6:$X$156,C661+1,B661+1),"")</f>
        <v>57</v>
      </c>
      <c r="I661" s="2" t="str">
        <f aca="false">IF(D661=1,INDEX(Sch_label,H661+1),"")</f>
        <v>1–3, 6</v>
      </c>
      <c r="J661" s="15" t="n">
        <f aca="false">IF(D661=1,INDEX(Grid!$Z$6:$AF$156,C661+1,B661+1),0)</f>
        <v>1</v>
      </c>
      <c r="K661" s="16" t="n">
        <f aca="false">IF(J661=1,E661,0)</f>
        <v>214.516937322508</v>
      </c>
      <c r="L661" s="17" t="n">
        <f aca="false">IF(D661=1,E661+W_board*F661,"")</f>
        <v>955.388970518091</v>
      </c>
      <c r="M661" s="24" t="n">
        <v>1</v>
      </c>
      <c r="N661" s="25" t="n">
        <v>0.219944509271647</v>
      </c>
      <c r="O661" s="25" t="n">
        <v>0.697229795554399</v>
      </c>
      <c r="P661" s="25" t="n">
        <v>0.0828256951739538</v>
      </c>
      <c r="Z661" s="12" t="n">
        <f aca="false">IF(AND($J661=1,$M661=1),N661*E661/Span_P+O661*F661/Span_S+P661*G661/Span_B,"")</f>
        <v>1.5079328660552</v>
      </c>
      <c r="AA661" s="12" t="n">
        <f aca="false">IF(AND($J661=1,$M661=1),SUMPRODUCT(MAX($J$6:$J$1062*(N661*$K$6:$K$1062/Span_P+O661*$F$6:$F$1062/Span_S+P661*$G$6:$G$1062/Span_B)-(1-$J$6:$J$1062)*1000000000)),"")</f>
        <v>1.5079328660552</v>
      </c>
      <c r="AB661" s="15" t="n">
        <f aca="false">IF(AND($J661=1,$M661=1),IF(AA661-Z661&lt;=0.000000001,1,0),"")</f>
        <v>1</v>
      </c>
      <c r="AC661" s="13" t="str">
        <f aca="false">IF(AND($J661=1,$M661=0),IF(S661="",0,S661*INDEX(Grid!$B$6:$H$156,R661+1,Q661+1))+IF(V661="",0,V661*INDEX(Grid!$B$6:$H$156,U661+1,T661+1))+IF(Y661="",0,Y661*INDEX(Grid!$B$6:$H$156,X661+1,W661+1)),"")</f>
        <v/>
      </c>
      <c r="AD661" s="13" t="str">
        <f aca="false">IF(AND($J661=1,$M661=0),IF(S661="",0,S661*Val_pt*(Ceiling_e-E_zero)*(1-(1-Half_gap)^Q661))+IF(V661="",0,V661*Val_pt*(Ceiling_e-E_zero)*(1-(1-Half_gap)^T661))+IF(Y661="",0,Y661*Val_pt*(Ceiling_e-E_zero)*(1-(1-Half_gap)^W661)),"")</f>
        <v/>
      </c>
      <c r="AE661" s="13" t="str">
        <f aca="false">IF(AND($J661=1,$M661=0),IF(S661="",0,S661*R661)+IF(V661="",0,V661*U661)+IF(Y661="",0,Y661*X661),"")</f>
        <v/>
      </c>
      <c r="AF661" s="12" t="str">
        <f aca="false">IF(AND($J661=1,$M661=0),MIN((AC661-E661)/Span_P,(AD661-F661)/Span_S,(AE661-G661)/Span_B),"")</f>
        <v/>
      </c>
      <c r="AG661" s="15" t="str">
        <f aca="false">IF(AND($J661=1,$M661=0),IF(AF661&gt;0.0000001,1,0),"")</f>
        <v/>
      </c>
      <c r="AH661" s="15" t="n">
        <f aca="false">IF($J661=1,IF($M661=1,AB661,AG661),"")</f>
        <v>1</v>
      </c>
      <c r="AI661" s="13" t="n">
        <f aca="false">IF($J661=1,(Ideal_P-E661)/Span_P,"")</f>
        <v>0.468515146982751</v>
      </c>
      <c r="AJ661" s="13" t="n">
        <f aca="false">IF($J661=1,(Ideal_S-F661)/Span_S,"")</f>
        <v>0.0967741935483871</v>
      </c>
      <c r="AK661" s="13" t="n">
        <f aca="false">IF($J661=1,(Ideal_B-G661)/Span_B,"")</f>
        <v>0.66</v>
      </c>
      <c r="AL661" s="12" t="n">
        <f aca="false">IF($J661=1,MAX(ChA_1*AI661,ChA_2*AJ661,ChA_3*AK661)+Rho*(ChA_1*AI661+ChA_2*AJ661+ChA_3*AK661),"")</f>
        <v>0.660122528934053</v>
      </c>
      <c r="AM661" s="12" t="n">
        <f aca="false">IF($J661=1,MAX(ChB_1*AI661,ChB_2*AJ661,ChB_3*AK661)+Rho*(ChB_1*AI661+ChB_2*AJ661+ChB_3*AK661),"")</f>
        <v>0.937199674414252</v>
      </c>
      <c r="AN661" s="12" t="n">
        <f aca="false">IF($J661=1,MAX(Cx_1*(Ref_P-E661)/Span_P,Cx_2*(Ref_S-F661)/Span_S,Cx_3*(Ref_B-G661)/Span_B),"")</f>
        <v>1.6890756302521</v>
      </c>
    </row>
    <row r="662" customFormat="false" ht="15" hidden="false" customHeight="false" outlineLevel="0" collapsed="false">
      <c r="A662" s="2" t="n">
        <v>656</v>
      </c>
      <c r="B662" s="15" t="n">
        <f aca="false">INT(A662/151)</f>
        <v>4</v>
      </c>
      <c r="C662" s="15" t="n">
        <f aca="false">MOD(A662,151)</f>
        <v>52</v>
      </c>
      <c r="D662" s="15" t="n">
        <f aca="false">INDEX(Grid!$J$6:$P$156,C662+1,B662+1)</f>
        <v>1</v>
      </c>
      <c r="E662" s="16" t="n">
        <f aca="false">IF(D662=1,INDEX(Grid!$B$6:$H$156,C662+1,B662+1),"")</f>
        <v>213.607846413417</v>
      </c>
      <c r="F662" s="13" t="n">
        <f aca="false">Val_pt*(Ceiling_e-E_zero)*(1-(1-Half_gap)^B662)</f>
        <v>131.25</v>
      </c>
      <c r="G662" s="15" t="n">
        <f aca="false">C662</f>
        <v>52</v>
      </c>
      <c r="H662" s="15" t="n">
        <f aca="false">IF(D662=1,INDEX(Grid!$R$6:$X$156,C662+1,B662+1),"")</f>
        <v>57</v>
      </c>
      <c r="I662" s="2" t="str">
        <f aca="false">IF(D662=1,INDEX(Sch_label,H662+1),"")</f>
        <v>1–3, 6</v>
      </c>
      <c r="J662" s="15" t="n">
        <f aca="false">IF(D662=1,INDEX(Grid!$Z$6:$AF$156,C662+1,B662+1),0)</f>
        <v>1</v>
      </c>
      <c r="K662" s="16" t="n">
        <f aca="false">IF(J662=1,E662,0)</f>
        <v>213.607846413417</v>
      </c>
      <c r="L662" s="17" t="n">
        <f aca="false">IF(D662=1,E662+W_board*F662,"")</f>
        <v>954.479879609</v>
      </c>
      <c r="M662" s="24" t="n">
        <v>1</v>
      </c>
      <c r="N662" s="25" t="n">
        <v>0.219944509271645</v>
      </c>
      <c r="O662" s="25" t="n">
        <v>0.697229795554406</v>
      </c>
      <c r="P662" s="25" t="n">
        <v>0.0828256951739494</v>
      </c>
      <c r="Z662" s="12" t="n">
        <f aca="false">IF(AND($J662=1,$M662=1),N662*E662/Span_P+O662*F662/Span_S+P662*G662/Span_B,"")</f>
        <v>1.50793286605521</v>
      </c>
      <c r="AA662" s="12" t="n">
        <f aca="false">IF(AND($J662=1,$M662=1),SUMPRODUCT(MAX($J$6:$J$1062*(N662*$K$6:$K$1062/Span_P+O662*$F$6:$F$1062/Span_S+P662*$G$6:$G$1062/Span_B)-(1-$J$6:$J$1062)*1000000000)),"")</f>
        <v>1.50793286605521</v>
      </c>
      <c r="AB662" s="15" t="n">
        <f aca="false">IF(AND($J662=1,$M662=1),IF(AA662-Z662&lt;=0.000000001,1,0),"")</f>
        <v>1</v>
      </c>
      <c r="AC662" s="13" t="str">
        <f aca="false">IF(AND($J662=1,$M662=0),IF(S662="",0,S662*INDEX(Grid!$B$6:$H$156,R662+1,Q662+1))+IF(V662="",0,V662*INDEX(Grid!$B$6:$H$156,U662+1,T662+1))+IF(Y662="",0,Y662*INDEX(Grid!$B$6:$H$156,X662+1,W662+1)),"")</f>
        <v/>
      </c>
      <c r="AD662" s="13" t="str">
        <f aca="false">IF(AND($J662=1,$M662=0),IF(S662="",0,S662*Val_pt*(Ceiling_e-E_zero)*(1-(1-Half_gap)^Q662))+IF(V662="",0,V662*Val_pt*(Ceiling_e-E_zero)*(1-(1-Half_gap)^T662))+IF(Y662="",0,Y662*Val_pt*(Ceiling_e-E_zero)*(1-(1-Half_gap)^W662)),"")</f>
        <v/>
      </c>
      <c r="AE662" s="13" t="str">
        <f aca="false">IF(AND($J662=1,$M662=0),IF(S662="",0,S662*R662)+IF(V662="",0,V662*U662)+IF(Y662="",0,Y662*X662),"")</f>
        <v/>
      </c>
      <c r="AF662" s="12" t="str">
        <f aca="false">IF(AND($J662=1,$M662=0),MIN((AC662-E662)/Span_P,(AD662-F662)/Span_S,(AE662-G662)/Span_B),"")</f>
        <v/>
      </c>
      <c r="AG662" s="15" t="str">
        <f aca="false">IF(AND($J662=1,$M662=0),IF(AF662&gt;0.0000001,1,0),"")</f>
        <v/>
      </c>
      <c r="AH662" s="15" t="n">
        <f aca="false">IF($J662=1,IF($M662=1,AB662,AG662),"")</f>
        <v>1</v>
      </c>
      <c r="AI662" s="13" t="n">
        <f aca="false">IF($J662=1,(Ideal_P-E662)/Span_P,"")</f>
        <v>0.471025649759056</v>
      </c>
      <c r="AJ662" s="13" t="n">
        <f aca="false">IF($J662=1,(Ideal_S-F662)/Span_S,"")</f>
        <v>0.0967741935483871</v>
      </c>
      <c r="AK662" s="13" t="n">
        <f aca="false">IF($J662=1,(Ideal_B-G662)/Span_B,"")</f>
        <v>0.653333333333333</v>
      </c>
      <c r="AL662" s="12" t="n">
        <f aca="false">IF($J662=1,MAX(ChA_1*AI662,ChA_2*AJ662,ChA_3*AK662)+Rho*(ChA_1*AI662+ChA_2*AJ662+ChA_3*AK662),"")</f>
        <v>0.653455446650997</v>
      </c>
      <c r="AM662" s="12" t="n">
        <f aca="false">IF($J662=1,MAX(ChB_1*AI662,ChB_2*AJ662,ChB_3*AK662)+Rho*(ChB_1*AI662+ChB_2*AJ662+ChB_3*AK662),"")</f>
        <v>0.942220515400753</v>
      </c>
      <c r="AN662" s="12" t="n">
        <f aca="false">IF($J662=1,MAX(Cx_1*(Ref_P-E662)/Span_P,Cx_2*(Ref_S-F662)/Span_S,Cx_3*(Ref_B-G662)/Span_B),"")</f>
        <v>1.67226890756303</v>
      </c>
    </row>
    <row r="663" customFormat="false" ht="15" hidden="false" customHeight="false" outlineLevel="0" collapsed="false">
      <c r="A663" s="2" t="n">
        <v>657</v>
      </c>
      <c r="B663" s="15" t="n">
        <f aca="false">INT(A663/151)</f>
        <v>4</v>
      </c>
      <c r="C663" s="15" t="n">
        <f aca="false">MOD(A663,151)</f>
        <v>53</v>
      </c>
      <c r="D663" s="15" t="n">
        <f aca="false">INDEX(Grid!$J$6:$P$156,C663+1,B663+1)</f>
        <v>1</v>
      </c>
      <c r="E663" s="16" t="n">
        <f aca="false">IF(D663=1,INDEX(Grid!$B$6:$H$156,C663+1,B663+1),"")</f>
        <v>212.698755504326</v>
      </c>
      <c r="F663" s="13" t="n">
        <f aca="false">Val_pt*(Ceiling_e-E_zero)*(1-(1-Half_gap)^B663)</f>
        <v>131.25</v>
      </c>
      <c r="G663" s="15" t="n">
        <f aca="false">C663</f>
        <v>53</v>
      </c>
      <c r="H663" s="15" t="n">
        <f aca="false">IF(D663=1,INDEX(Grid!$R$6:$X$156,C663+1,B663+1),"")</f>
        <v>57</v>
      </c>
      <c r="I663" s="2" t="str">
        <f aca="false">IF(D663=1,INDEX(Sch_label,H663+1),"")</f>
        <v>1–3, 6</v>
      </c>
      <c r="J663" s="15" t="n">
        <f aca="false">IF(D663=1,INDEX(Grid!$Z$6:$AF$156,C663+1,B663+1),0)</f>
        <v>1</v>
      </c>
      <c r="K663" s="16" t="n">
        <f aca="false">IF(J663=1,E663,0)</f>
        <v>212.698755504326</v>
      </c>
      <c r="L663" s="17" t="n">
        <f aca="false">IF(D663=1,E663+W_board*F663,"")</f>
        <v>953.570788699909</v>
      </c>
      <c r="M663" s="24" t="n">
        <v>1</v>
      </c>
      <c r="N663" s="25" t="n">
        <v>0.219944509271647</v>
      </c>
      <c r="O663" s="25" t="n">
        <v>0.6972297955544</v>
      </c>
      <c r="P663" s="25" t="n">
        <v>0.0828256951739538</v>
      </c>
      <c r="Z663" s="12" t="n">
        <f aca="false">IF(AND($J663=1,$M663=1),N663*E663/Span_P+O663*F663/Span_S+P663*G663/Span_B,"")</f>
        <v>1.5079328660552</v>
      </c>
      <c r="AA663" s="12" t="n">
        <f aca="false">IF(AND($J663=1,$M663=1),SUMPRODUCT(MAX($J$6:$J$1062*(N663*$K$6:$K$1062/Span_P+O663*$F$6:$F$1062/Span_S+P663*$G$6:$G$1062/Span_B)-(1-$J$6:$J$1062)*1000000000)),"")</f>
        <v>1.5079328660552</v>
      </c>
      <c r="AB663" s="15" t="n">
        <f aca="false">IF(AND($J663=1,$M663=1),IF(AA663-Z663&lt;=0.000000001,1,0),"")</f>
        <v>1</v>
      </c>
      <c r="AC663" s="13" t="str">
        <f aca="false">IF(AND($J663=1,$M663=0),IF(S663="",0,S663*INDEX(Grid!$B$6:$H$156,R663+1,Q663+1))+IF(V663="",0,V663*INDEX(Grid!$B$6:$H$156,U663+1,T663+1))+IF(Y663="",0,Y663*INDEX(Grid!$B$6:$H$156,X663+1,W663+1)),"")</f>
        <v/>
      </c>
      <c r="AD663" s="13" t="str">
        <f aca="false">IF(AND($J663=1,$M663=0),IF(S663="",0,S663*Val_pt*(Ceiling_e-E_zero)*(1-(1-Half_gap)^Q663))+IF(V663="",0,V663*Val_pt*(Ceiling_e-E_zero)*(1-(1-Half_gap)^T663))+IF(Y663="",0,Y663*Val_pt*(Ceiling_e-E_zero)*(1-(1-Half_gap)^W663)),"")</f>
        <v/>
      </c>
      <c r="AE663" s="13" t="str">
        <f aca="false">IF(AND($J663=1,$M663=0),IF(S663="",0,S663*R663)+IF(V663="",0,V663*U663)+IF(Y663="",0,Y663*X663),"")</f>
        <v/>
      </c>
      <c r="AF663" s="12" t="str">
        <f aca="false">IF(AND($J663=1,$M663=0),MIN((AC663-E663)/Span_P,(AD663-F663)/Span_S,(AE663-G663)/Span_B),"")</f>
        <v/>
      </c>
      <c r="AG663" s="15" t="str">
        <f aca="false">IF(AND($J663=1,$M663=0),IF(AF663&gt;0.0000001,1,0),"")</f>
        <v/>
      </c>
      <c r="AH663" s="15" t="n">
        <f aca="false">IF($J663=1,IF($M663=1,AB663,AG663),"")</f>
        <v>1</v>
      </c>
      <c r="AI663" s="13" t="n">
        <f aca="false">IF($J663=1,(Ideal_P-E663)/Span_P,"")</f>
        <v>0.473536152535362</v>
      </c>
      <c r="AJ663" s="13" t="n">
        <f aca="false">IF($J663=1,(Ideal_S-F663)/Span_S,"")</f>
        <v>0.0967741935483871</v>
      </c>
      <c r="AK663" s="13" t="n">
        <f aca="false">IF($J663=1,(Ideal_B-G663)/Span_B,"")</f>
        <v>0.646666666666667</v>
      </c>
      <c r="AL663" s="12" t="n">
        <f aca="false">IF($J663=1,MAX(ChA_1*AI663,ChA_2*AJ663,ChA_3*AK663)+Rho*(ChA_1*AI663+ChA_2*AJ663+ChA_3*AK663),"")</f>
        <v>0.646788364367942</v>
      </c>
      <c r="AM663" s="12" t="n">
        <f aca="false">IF($J663=1,MAX(ChB_1*AI663,ChB_2*AJ663,ChB_3*AK663)+Rho*(ChB_1*AI663+ChB_2*AJ663+ChB_3*AK663),"")</f>
        <v>0.947241356387253</v>
      </c>
      <c r="AN663" s="12" t="n">
        <f aca="false">IF($J663=1,MAX(Cx_1*(Ref_P-E663)/Span_P,Cx_2*(Ref_S-F663)/Span_S,Cx_3*(Ref_B-G663)/Span_B),"")</f>
        <v>1.65546218487395</v>
      </c>
    </row>
    <row r="664" customFormat="false" ht="15" hidden="false" customHeight="false" outlineLevel="0" collapsed="false">
      <c r="A664" s="2" t="n">
        <v>658</v>
      </c>
      <c r="B664" s="15" t="n">
        <f aca="false">INT(A664/151)</f>
        <v>4</v>
      </c>
      <c r="C664" s="15" t="n">
        <f aca="false">MOD(A664,151)</f>
        <v>54</v>
      </c>
      <c r="D664" s="15" t="n">
        <f aca="false">INDEX(Grid!$J$6:$P$156,C664+1,B664+1)</f>
        <v>1</v>
      </c>
      <c r="E664" s="16" t="n">
        <f aca="false">IF(D664=1,INDEX(Grid!$B$6:$H$156,C664+1,B664+1),"")</f>
        <v>211.789664595236</v>
      </c>
      <c r="F664" s="13" t="n">
        <f aca="false">Val_pt*(Ceiling_e-E_zero)*(1-(1-Half_gap)^B664)</f>
        <v>131.25</v>
      </c>
      <c r="G664" s="15" t="n">
        <f aca="false">C664</f>
        <v>54</v>
      </c>
      <c r="H664" s="15" t="n">
        <f aca="false">IF(D664=1,INDEX(Grid!$R$6:$X$156,C664+1,B664+1),"")</f>
        <v>57</v>
      </c>
      <c r="I664" s="2" t="str">
        <f aca="false">IF(D664=1,INDEX(Sch_label,H664+1),"")</f>
        <v>1–3, 6</v>
      </c>
      <c r="J664" s="15" t="n">
        <f aca="false">IF(D664=1,INDEX(Grid!$Z$6:$AF$156,C664+1,B664+1),0)</f>
        <v>1</v>
      </c>
      <c r="K664" s="16" t="n">
        <f aca="false">IF(J664=1,E664,0)</f>
        <v>211.789664595236</v>
      </c>
      <c r="L664" s="17" t="n">
        <f aca="false">IF(D664=1,E664+W_board*F664,"")</f>
        <v>952.661697790818</v>
      </c>
      <c r="M664" s="24" t="n">
        <v>1</v>
      </c>
      <c r="N664" s="25" t="n">
        <v>0.219944509271647</v>
      </c>
      <c r="O664" s="25" t="n">
        <v>0.6972297955544</v>
      </c>
      <c r="P664" s="25" t="n">
        <v>0.0828256951739538</v>
      </c>
      <c r="Z664" s="12" t="n">
        <f aca="false">IF(AND($J664=1,$M664=1),N664*E664/Span_P+O664*F664/Span_S+P664*G664/Span_B,"")</f>
        <v>1.5079328660552</v>
      </c>
      <c r="AA664" s="12" t="n">
        <f aca="false">IF(AND($J664=1,$M664=1),SUMPRODUCT(MAX($J$6:$J$1062*(N664*$K$6:$K$1062/Span_P+O664*$F$6:$F$1062/Span_S+P664*$G$6:$G$1062/Span_B)-(1-$J$6:$J$1062)*1000000000)),"")</f>
        <v>1.5079328660552</v>
      </c>
      <c r="AB664" s="15" t="n">
        <f aca="false">IF(AND($J664=1,$M664=1),IF(AA664-Z664&lt;=0.000000001,1,0),"")</f>
        <v>1</v>
      </c>
      <c r="AC664" s="13" t="str">
        <f aca="false">IF(AND($J664=1,$M664=0),IF(S664="",0,S664*INDEX(Grid!$B$6:$H$156,R664+1,Q664+1))+IF(V664="",0,V664*INDEX(Grid!$B$6:$H$156,U664+1,T664+1))+IF(Y664="",0,Y664*INDEX(Grid!$B$6:$H$156,X664+1,W664+1)),"")</f>
        <v/>
      </c>
      <c r="AD664" s="13" t="str">
        <f aca="false">IF(AND($J664=1,$M664=0),IF(S664="",0,S664*Val_pt*(Ceiling_e-E_zero)*(1-(1-Half_gap)^Q664))+IF(V664="",0,V664*Val_pt*(Ceiling_e-E_zero)*(1-(1-Half_gap)^T664))+IF(Y664="",0,Y664*Val_pt*(Ceiling_e-E_zero)*(1-(1-Half_gap)^W664)),"")</f>
        <v/>
      </c>
      <c r="AE664" s="13" t="str">
        <f aca="false">IF(AND($J664=1,$M664=0),IF(S664="",0,S664*R664)+IF(V664="",0,V664*U664)+IF(Y664="",0,Y664*X664),"")</f>
        <v/>
      </c>
      <c r="AF664" s="12" t="str">
        <f aca="false">IF(AND($J664=1,$M664=0),MIN((AC664-E664)/Span_P,(AD664-F664)/Span_S,(AE664-G664)/Span_B),"")</f>
        <v/>
      </c>
      <c r="AG664" s="15" t="str">
        <f aca="false">IF(AND($J664=1,$M664=0),IF(AF664&gt;0.0000001,1,0),"")</f>
        <v/>
      </c>
      <c r="AH664" s="15" t="n">
        <f aca="false">IF($J664=1,IF($M664=1,AB664,AG664),"")</f>
        <v>1</v>
      </c>
      <c r="AI664" s="13" t="n">
        <f aca="false">IF($J664=1,(Ideal_P-E664)/Span_P,"")</f>
        <v>0.476046655311668</v>
      </c>
      <c r="AJ664" s="13" t="n">
        <f aca="false">IF($J664=1,(Ideal_S-F664)/Span_S,"")</f>
        <v>0.0967741935483871</v>
      </c>
      <c r="AK664" s="13" t="n">
        <f aca="false">IF($J664=1,(Ideal_B-G664)/Span_B,"")</f>
        <v>0.64</v>
      </c>
      <c r="AL664" s="12" t="n">
        <f aca="false">IF($J664=1,MAX(ChA_1*AI664,ChA_2*AJ664,ChA_3*AK664)+Rho*(ChA_1*AI664+ChA_2*AJ664+ChA_3*AK664),"")</f>
        <v>0.640121282084886</v>
      </c>
      <c r="AM664" s="12" t="n">
        <f aca="false">IF($J664=1,MAX(ChB_1*AI664,ChB_2*AJ664,ChB_3*AK664)+Rho*(ChB_1*AI664+ChB_2*AJ664+ChB_3*AK664),"")</f>
        <v>0.952262197373753</v>
      </c>
      <c r="AN664" s="12" t="n">
        <f aca="false">IF($J664=1,MAX(Cx_1*(Ref_P-E664)/Span_P,Cx_2*(Ref_S-F664)/Span_S,Cx_3*(Ref_B-G664)/Span_B),"")</f>
        <v>1.63865546218487</v>
      </c>
    </row>
    <row r="665" customFormat="false" ht="15" hidden="false" customHeight="false" outlineLevel="0" collapsed="false">
      <c r="A665" s="2" t="n">
        <v>659</v>
      </c>
      <c r="B665" s="15" t="n">
        <f aca="false">INT(A665/151)</f>
        <v>4</v>
      </c>
      <c r="C665" s="15" t="n">
        <f aca="false">MOD(A665,151)</f>
        <v>55</v>
      </c>
      <c r="D665" s="15" t="n">
        <f aca="false">INDEX(Grid!$J$6:$P$156,C665+1,B665+1)</f>
        <v>1</v>
      </c>
      <c r="E665" s="16" t="n">
        <f aca="false">IF(D665=1,INDEX(Grid!$B$6:$H$156,C665+1,B665+1),"")</f>
        <v>210.880573686145</v>
      </c>
      <c r="F665" s="13" t="n">
        <f aca="false">Val_pt*(Ceiling_e-E_zero)*(1-(1-Half_gap)^B665)</f>
        <v>131.25</v>
      </c>
      <c r="G665" s="15" t="n">
        <f aca="false">C665</f>
        <v>55</v>
      </c>
      <c r="H665" s="15" t="n">
        <f aca="false">IF(D665=1,INDEX(Grid!$R$6:$X$156,C665+1,B665+1),"")</f>
        <v>57</v>
      </c>
      <c r="I665" s="2" t="str">
        <f aca="false">IF(D665=1,INDEX(Sch_label,H665+1),"")</f>
        <v>1–3, 6</v>
      </c>
      <c r="J665" s="15" t="n">
        <f aca="false">IF(D665=1,INDEX(Grid!$Z$6:$AF$156,C665+1,B665+1),0)</f>
        <v>1</v>
      </c>
      <c r="K665" s="16" t="n">
        <f aca="false">IF(J665=1,E665,0)</f>
        <v>210.880573686145</v>
      </c>
      <c r="L665" s="17" t="n">
        <f aca="false">IF(D665=1,E665+W_board*F665,"")</f>
        <v>951.752606881727</v>
      </c>
      <c r="M665" s="24" t="n">
        <v>1</v>
      </c>
      <c r="N665" s="25" t="n">
        <v>0.219944509271645</v>
      </c>
      <c r="O665" s="25" t="n">
        <v>0.697229795554407</v>
      </c>
      <c r="P665" s="25" t="n">
        <v>0.0828256951739487</v>
      </c>
      <c r="Z665" s="12" t="n">
        <f aca="false">IF(AND($J665=1,$M665=1),N665*E665/Span_P+O665*F665/Span_S+P665*G665/Span_B,"")</f>
        <v>1.50793286605521</v>
      </c>
      <c r="AA665" s="12" t="n">
        <f aca="false">IF(AND($J665=1,$M665=1),SUMPRODUCT(MAX($J$6:$J$1062*(N665*$K$6:$K$1062/Span_P+O665*$F$6:$F$1062/Span_S+P665*$G$6:$G$1062/Span_B)-(1-$J$6:$J$1062)*1000000000)),"")</f>
        <v>1.50793286605521</v>
      </c>
      <c r="AB665" s="15" t="n">
        <f aca="false">IF(AND($J665=1,$M665=1),IF(AA665-Z665&lt;=0.000000001,1,0),"")</f>
        <v>1</v>
      </c>
      <c r="AC665" s="13" t="str">
        <f aca="false">IF(AND($J665=1,$M665=0),IF(S665="",0,S665*INDEX(Grid!$B$6:$H$156,R665+1,Q665+1))+IF(V665="",0,V665*INDEX(Grid!$B$6:$H$156,U665+1,T665+1))+IF(Y665="",0,Y665*INDEX(Grid!$B$6:$H$156,X665+1,W665+1)),"")</f>
        <v/>
      </c>
      <c r="AD665" s="13" t="str">
        <f aca="false">IF(AND($J665=1,$M665=0),IF(S665="",0,S665*Val_pt*(Ceiling_e-E_zero)*(1-(1-Half_gap)^Q665))+IF(V665="",0,V665*Val_pt*(Ceiling_e-E_zero)*(1-(1-Half_gap)^T665))+IF(Y665="",0,Y665*Val_pt*(Ceiling_e-E_zero)*(1-(1-Half_gap)^W665)),"")</f>
        <v/>
      </c>
      <c r="AE665" s="13" t="str">
        <f aca="false">IF(AND($J665=1,$M665=0),IF(S665="",0,S665*R665)+IF(V665="",0,V665*U665)+IF(Y665="",0,Y665*X665),"")</f>
        <v/>
      </c>
      <c r="AF665" s="12" t="str">
        <f aca="false">IF(AND($J665=1,$M665=0),MIN((AC665-E665)/Span_P,(AD665-F665)/Span_S,(AE665-G665)/Span_B),"")</f>
        <v/>
      </c>
      <c r="AG665" s="15" t="str">
        <f aca="false">IF(AND($J665=1,$M665=0),IF(AF665&gt;0.0000001,1,0),"")</f>
        <v/>
      </c>
      <c r="AH665" s="15" t="n">
        <f aca="false">IF($J665=1,IF($M665=1,AB665,AG665),"")</f>
        <v>1</v>
      </c>
      <c r="AI665" s="13" t="n">
        <f aca="false">IF($J665=1,(Ideal_P-E665)/Span_P,"")</f>
        <v>0.478557158087974</v>
      </c>
      <c r="AJ665" s="13" t="n">
        <f aca="false">IF($J665=1,(Ideal_S-F665)/Span_S,"")</f>
        <v>0.0967741935483871</v>
      </c>
      <c r="AK665" s="13" t="n">
        <f aca="false">IF($J665=1,(Ideal_B-G665)/Span_B,"")</f>
        <v>0.633333333333333</v>
      </c>
      <c r="AL665" s="12" t="n">
        <f aca="false">IF($J665=1,MAX(ChA_1*AI665,ChA_2*AJ665,ChA_3*AK665)+Rho*(ChA_1*AI665+ChA_2*AJ665+ChA_3*AK665),"")</f>
        <v>0.63345419980183</v>
      </c>
      <c r="AM665" s="12" t="n">
        <f aca="false">IF($J665=1,MAX(ChB_1*AI665,ChB_2*AJ665,ChB_3*AK665)+Rho*(ChB_1*AI665+ChB_2*AJ665+ChB_3*AK665),"")</f>
        <v>0.957283038360253</v>
      </c>
      <c r="AN665" s="12" t="n">
        <f aca="false">IF($J665=1,MAX(Cx_1*(Ref_P-E665)/Span_P,Cx_2*(Ref_S-F665)/Span_S,Cx_3*(Ref_B-G665)/Span_B),"")</f>
        <v>1.6218487394958</v>
      </c>
    </row>
    <row r="666" customFormat="false" ht="15" hidden="false" customHeight="false" outlineLevel="0" collapsed="false">
      <c r="A666" s="2" t="n">
        <v>660</v>
      </c>
      <c r="B666" s="15" t="n">
        <f aca="false">INT(A666/151)</f>
        <v>4</v>
      </c>
      <c r="C666" s="15" t="n">
        <f aca="false">MOD(A666,151)</f>
        <v>56</v>
      </c>
      <c r="D666" s="15" t="n">
        <f aca="false">INDEX(Grid!$J$6:$P$156,C666+1,B666+1)</f>
        <v>1</v>
      </c>
      <c r="E666" s="16" t="n">
        <f aca="false">IF(D666=1,INDEX(Grid!$B$6:$H$156,C666+1,B666+1),"")</f>
        <v>209.971482777054</v>
      </c>
      <c r="F666" s="13" t="n">
        <f aca="false">Val_pt*(Ceiling_e-E_zero)*(1-(1-Half_gap)^B666)</f>
        <v>131.25</v>
      </c>
      <c r="G666" s="15" t="n">
        <f aca="false">C666</f>
        <v>56</v>
      </c>
      <c r="H666" s="15" t="n">
        <f aca="false">IF(D666=1,INDEX(Grid!$R$6:$X$156,C666+1,B666+1),"")</f>
        <v>57</v>
      </c>
      <c r="I666" s="2" t="str">
        <f aca="false">IF(D666=1,INDEX(Sch_label,H666+1),"")</f>
        <v>1–3, 6</v>
      </c>
      <c r="J666" s="15" t="n">
        <f aca="false">IF(D666=1,INDEX(Grid!$Z$6:$AF$156,C666+1,B666+1),0)</f>
        <v>1</v>
      </c>
      <c r="K666" s="16" t="n">
        <f aca="false">IF(J666=1,E666,0)</f>
        <v>209.971482777054</v>
      </c>
      <c r="L666" s="17" t="n">
        <f aca="false">IF(D666=1,E666+W_board*F666,"")</f>
        <v>950.843515972636</v>
      </c>
      <c r="M666" s="24" t="n">
        <v>1</v>
      </c>
      <c r="N666" s="25" t="n">
        <v>0.219944509271647</v>
      </c>
      <c r="O666" s="25" t="n">
        <v>0.6972297955544</v>
      </c>
      <c r="P666" s="25" t="n">
        <v>0.0828256951739538</v>
      </c>
      <c r="Z666" s="12" t="n">
        <f aca="false">IF(AND($J666=1,$M666=1),N666*E666/Span_P+O666*F666/Span_S+P666*G666/Span_B,"")</f>
        <v>1.5079328660552</v>
      </c>
      <c r="AA666" s="12" t="n">
        <f aca="false">IF(AND($J666=1,$M666=1),SUMPRODUCT(MAX($J$6:$J$1062*(N666*$K$6:$K$1062/Span_P+O666*$F$6:$F$1062/Span_S+P666*$G$6:$G$1062/Span_B)-(1-$J$6:$J$1062)*1000000000)),"")</f>
        <v>1.5079328660552</v>
      </c>
      <c r="AB666" s="15" t="n">
        <f aca="false">IF(AND($J666=1,$M666=1),IF(AA666-Z666&lt;=0.000000001,1,0),"")</f>
        <v>1</v>
      </c>
      <c r="AC666" s="13" t="str">
        <f aca="false">IF(AND($J666=1,$M666=0),IF(S666="",0,S666*INDEX(Grid!$B$6:$H$156,R666+1,Q666+1))+IF(V666="",0,V666*INDEX(Grid!$B$6:$H$156,U666+1,T666+1))+IF(Y666="",0,Y666*INDEX(Grid!$B$6:$H$156,X666+1,W666+1)),"")</f>
        <v/>
      </c>
      <c r="AD666" s="13" t="str">
        <f aca="false">IF(AND($J666=1,$M666=0),IF(S666="",0,S666*Val_pt*(Ceiling_e-E_zero)*(1-(1-Half_gap)^Q666))+IF(V666="",0,V666*Val_pt*(Ceiling_e-E_zero)*(1-(1-Half_gap)^T666))+IF(Y666="",0,Y666*Val_pt*(Ceiling_e-E_zero)*(1-(1-Half_gap)^W666)),"")</f>
        <v/>
      </c>
      <c r="AE666" s="13" t="str">
        <f aca="false">IF(AND($J666=1,$M666=0),IF(S666="",0,S666*R666)+IF(V666="",0,V666*U666)+IF(Y666="",0,Y666*X666),"")</f>
        <v/>
      </c>
      <c r="AF666" s="12" t="str">
        <f aca="false">IF(AND($J666=1,$M666=0),MIN((AC666-E666)/Span_P,(AD666-F666)/Span_S,(AE666-G666)/Span_B),"")</f>
        <v/>
      </c>
      <c r="AG666" s="15" t="str">
        <f aca="false">IF(AND($J666=1,$M666=0),IF(AF666&gt;0.0000001,1,0),"")</f>
        <v/>
      </c>
      <c r="AH666" s="15" t="n">
        <f aca="false">IF($J666=1,IF($M666=1,AB666,AG666),"")</f>
        <v>1</v>
      </c>
      <c r="AI666" s="13" t="n">
        <f aca="false">IF($J666=1,(Ideal_P-E666)/Span_P,"")</f>
        <v>0.481067660864279</v>
      </c>
      <c r="AJ666" s="13" t="n">
        <f aca="false">IF($J666=1,(Ideal_S-F666)/Span_S,"")</f>
        <v>0.0967741935483871</v>
      </c>
      <c r="AK666" s="13" t="n">
        <f aca="false">IF($J666=1,(Ideal_B-G666)/Span_B,"")</f>
        <v>0.626666666666667</v>
      </c>
      <c r="AL666" s="12" t="n">
        <f aca="false">IF($J666=1,MAX(ChA_1*AI666,ChA_2*AJ666,ChA_3*AK666)+Rho*(ChA_1*AI666+ChA_2*AJ666+ChA_3*AK666),"")</f>
        <v>0.626787117518775</v>
      </c>
      <c r="AM666" s="12" t="n">
        <f aca="false">IF($J666=1,MAX(ChB_1*AI666,ChB_2*AJ666,ChB_3*AK666)+Rho*(ChB_1*AI666+ChB_2*AJ666+ChB_3*AK666),"")</f>
        <v>0.962303879346753</v>
      </c>
      <c r="AN666" s="12" t="n">
        <f aca="false">IF($J666=1,MAX(Cx_1*(Ref_P-E666)/Span_P,Cx_2*(Ref_S-F666)/Span_S,Cx_3*(Ref_B-G666)/Span_B),"")</f>
        <v>1.60504201680672</v>
      </c>
    </row>
    <row r="667" customFormat="false" ht="15" hidden="false" customHeight="false" outlineLevel="0" collapsed="false">
      <c r="A667" s="2" t="n">
        <v>661</v>
      </c>
      <c r="B667" s="15" t="n">
        <f aca="false">INT(A667/151)</f>
        <v>4</v>
      </c>
      <c r="C667" s="15" t="n">
        <f aca="false">MOD(A667,151)</f>
        <v>57</v>
      </c>
      <c r="D667" s="15" t="n">
        <f aca="false">INDEX(Grid!$J$6:$P$156,C667+1,B667+1)</f>
        <v>1</v>
      </c>
      <c r="E667" s="16" t="n">
        <f aca="false">IF(D667=1,INDEX(Grid!$B$6:$H$156,C667+1,B667+1),"")</f>
        <v>209.062391867963</v>
      </c>
      <c r="F667" s="13" t="n">
        <f aca="false">Val_pt*(Ceiling_e-E_zero)*(1-(1-Half_gap)^B667)</f>
        <v>131.25</v>
      </c>
      <c r="G667" s="15" t="n">
        <f aca="false">C667</f>
        <v>57</v>
      </c>
      <c r="H667" s="15" t="n">
        <f aca="false">IF(D667=1,INDEX(Grid!$R$6:$X$156,C667+1,B667+1),"")</f>
        <v>57</v>
      </c>
      <c r="I667" s="2" t="str">
        <f aca="false">IF(D667=1,INDEX(Sch_label,H667+1),"")</f>
        <v>1–3, 6</v>
      </c>
      <c r="J667" s="15" t="n">
        <f aca="false">IF(D667=1,INDEX(Grid!$Z$6:$AF$156,C667+1,B667+1),0)</f>
        <v>1</v>
      </c>
      <c r="K667" s="16" t="n">
        <f aca="false">IF(J667=1,E667,0)</f>
        <v>209.062391867963</v>
      </c>
      <c r="L667" s="17" t="n">
        <f aca="false">IF(D667=1,E667+W_board*F667,"")</f>
        <v>949.934425063546</v>
      </c>
      <c r="M667" s="24" t="n">
        <v>1</v>
      </c>
      <c r="N667" s="25" t="n">
        <v>0.219944509271645</v>
      </c>
      <c r="O667" s="25" t="n">
        <v>0.697229795554406</v>
      </c>
      <c r="P667" s="25" t="n">
        <v>0.0828256951739495</v>
      </c>
      <c r="Z667" s="12" t="n">
        <f aca="false">IF(AND($J667=1,$M667=1),N667*E667/Span_P+O667*F667/Span_S+P667*G667/Span_B,"")</f>
        <v>1.5079328660552</v>
      </c>
      <c r="AA667" s="12" t="n">
        <f aca="false">IF(AND($J667=1,$M667=1),SUMPRODUCT(MAX($J$6:$J$1062*(N667*$K$6:$K$1062/Span_P+O667*$F$6:$F$1062/Span_S+P667*$G$6:$G$1062/Span_B)-(1-$J$6:$J$1062)*1000000000)),"")</f>
        <v>1.50793286605521</v>
      </c>
      <c r="AB667" s="15" t="n">
        <f aca="false">IF(AND($J667=1,$M667=1),IF(AA667-Z667&lt;=0.000000001,1,0),"")</f>
        <v>1</v>
      </c>
      <c r="AC667" s="13" t="str">
        <f aca="false">IF(AND($J667=1,$M667=0),IF(S667="",0,S667*INDEX(Grid!$B$6:$H$156,R667+1,Q667+1))+IF(V667="",0,V667*INDEX(Grid!$B$6:$H$156,U667+1,T667+1))+IF(Y667="",0,Y667*INDEX(Grid!$B$6:$H$156,X667+1,W667+1)),"")</f>
        <v/>
      </c>
      <c r="AD667" s="13" t="str">
        <f aca="false">IF(AND($J667=1,$M667=0),IF(S667="",0,S667*Val_pt*(Ceiling_e-E_zero)*(1-(1-Half_gap)^Q667))+IF(V667="",0,V667*Val_pt*(Ceiling_e-E_zero)*(1-(1-Half_gap)^T667))+IF(Y667="",0,Y667*Val_pt*(Ceiling_e-E_zero)*(1-(1-Half_gap)^W667)),"")</f>
        <v/>
      </c>
      <c r="AE667" s="13" t="str">
        <f aca="false">IF(AND($J667=1,$M667=0),IF(S667="",0,S667*R667)+IF(V667="",0,V667*U667)+IF(Y667="",0,Y667*X667),"")</f>
        <v/>
      </c>
      <c r="AF667" s="12" t="str">
        <f aca="false">IF(AND($J667=1,$M667=0),MIN((AC667-E667)/Span_P,(AD667-F667)/Span_S,(AE667-G667)/Span_B),"")</f>
        <v/>
      </c>
      <c r="AG667" s="15" t="str">
        <f aca="false">IF(AND($J667=1,$M667=0),IF(AF667&gt;0.0000001,1,0),"")</f>
        <v/>
      </c>
      <c r="AH667" s="15" t="n">
        <f aca="false">IF($J667=1,IF($M667=1,AB667,AG667),"")</f>
        <v>1</v>
      </c>
      <c r="AI667" s="13" t="n">
        <f aca="false">IF($J667=1,(Ideal_P-E667)/Span_P,"")</f>
        <v>0.483578163640585</v>
      </c>
      <c r="AJ667" s="13" t="n">
        <f aca="false">IF($J667=1,(Ideal_S-F667)/Span_S,"")</f>
        <v>0.0967741935483871</v>
      </c>
      <c r="AK667" s="13" t="n">
        <f aca="false">IF($J667=1,(Ideal_B-G667)/Span_B,"")</f>
        <v>0.62</v>
      </c>
      <c r="AL667" s="12" t="n">
        <f aca="false">IF($J667=1,MAX(ChA_1*AI667,ChA_2*AJ667,ChA_3*AK667)+Rho*(ChA_1*AI667+ChA_2*AJ667+ChA_3*AK667),"")</f>
        <v>0.620120035235719</v>
      </c>
      <c r="AM667" s="12" t="n">
        <f aca="false">IF($J667=1,MAX(ChB_1*AI667,ChB_2*AJ667,ChB_3*AK667)+Rho*(ChB_1*AI667+ChB_2*AJ667+ChB_3*AK667),"")</f>
        <v>0.967324720333253</v>
      </c>
      <c r="AN667" s="12" t="n">
        <f aca="false">IF($J667=1,MAX(Cx_1*(Ref_P-E667)/Span_P,Cx_2*(Ref_S-F667)/Span_S,Cx_3*(Ref_B-G667)/Span_B),"")</f>
        <v>1.58823529411765</v>
      </c>
    </row>
    <row r="668" customFormat="false" ht="15" hidden="false" customHeight="false" outlineLevel="0" collapsed="false">
      <c r="A668" s="2" t="n">
        <v>662</v>
      </c>
      <c r="B668" s="15" t="n">
        <f aca="false">INT(A668/151)</f>
        <v>4</v>
      </c>
      <c r="C668" s="15" t="n">
        <f aca="false">MOD(A668,151)</f>
        <v>58</v>
      </c>
      <c r="D668" s="15" t="n">
        <f aca="false">INDEX(Grid!$J$6:$P$156,C668+1,B668+1)</f>
        <v>1</v>
      </c>
      <c r="E668" s="16" t="n">
        <f aca="false">IF(D668=1,INDEX(Grid!$B$6:$H$156,C668+1,B668+1),"")</f>
        <v>208.153300958872</v>
      </c>
      <c r="F668" s="13" t="n">
        <f aca="false">Val_pt*(Ceiling_e-E_zero)*(1-(1-Half_gap)^B668)</f>
        <v>131.25</v>
      </c>
      <c r="G668" s="15" t="n">
        <f aca="false">C668</f>
        <v>58</v>
      </c>
      <c r="H668" s="15" t="n">
        <f aca="false">IF(D668=1,INDEX(Grid!$R$6:$X$156,C668+1,B668+1),"")</f>
        <v>57</v>
      </c>
      <c r="I668" s="2" t="str">
        <f aca="false">IF(D668=1,INDEX(Sch_label,H668+1),"")</f>
        <v>1–3, 6</v>
      </c>
      <c r="J668" s="15" t="n">
        <f aca="false">IF(D668=1,INDEX(Grid!$Z$6:$AF$156,C668+1,B668+1),0)</f>
        <v>1</v>
      </c>
      <c r="K668" s="16" t="n">
        <f aca="false">IF(J668=1,E668,0)</f>
        <v>208.153300958872</v>
      </c>
      <c r="L668" s="17" t="n">
        <f aca="false">IF(D668=1,E668+W_board*F668,"")</f>
        <v>949.025334154455</v>
      </c>
      <c r="M668" s="24" t="n">
        <v>1</v>
      </c>
      <c r="N668" s="25" t="n">
        <v>0.219944509271647</v>
      </c>
      <c r="O668" s="25" t="n">
        <v>0.6972297955544</v>
      </c>
      <c r="P668" s="25" t="n">
        <v>0.0828256951739537</v>
      </c>
      <c r="Z668" s="12" t="n">
        <f aca="false">IF(AND($J668=1,$M668=1),N668*E668/Span_P+O668*F668/Span_S+P668*G668/Span_B,"")</f>
        <v>1.5079328660552</v>
      </c>
      <c r="AA668" s="12" t="n">
        <f aca="false">IF(AND($J668=1,$M668=1),SUMPRODUCT(MAX($J$6:$J$1062*(N668*$K$6:$K$1062/Span_P+O668*$F$6:$F$1062/Span_S+P668*$G$6:$G$1062/Span_B)-(1-$J$6:$J$1062)*1000000000)),"")</f>
        <v>1.5079328660552</v>
      </c>
      <c r="AB668" s="15" t="n">
        <f aca="false">IF(AND($J668=1,$M668=1),IF(AA668-Z668&lt;=0.000000001,1,0),"")</f>
        <v>1</v>
      </c>
      <c r="AC668" s="13" t="str">
        <f aca="false">IF(AND($J668=1,$M668=0),IF(S668="",0,S668*INDEX(Grid!$B$6:$H$156,R668+1,Q668+1))+IF(V668="",0,V668*INDEX(Grid!$B$6:$H$156,U668+1,T668+1))+IF(Y668="",0,Y668*INDEX(Grid!$B$6:$H$156,X668+1,W668+1)),"")</f>
        <v/>
      </c>
      <c r="AD668" s="13" t="str">
        <f aca="false">IF(AND($J668=1,$M668=0),IF(S668="",0,S668*Val_pt*(Ceiling_e-E_zero)*(1-(1-Half_gap)^Q668))+IF(V668="",0,V668*Val_pt*(Ceiling_e-E_zero)*(1-(1-Half_gap)^T668))+IF(Y668="",0,Y668*Val_pt*(Ceiling_e-E_zero)*(1-(1-Half_gap)^W668)),"")</f>
        <v/>
      </c>
      <c r="AE668" s="13" t="str">
        <f aca="false">IF(AND($J668=1,$M668=0),IF(S668="",0,S668*R668)+IF(V668="",0,V668*U668)+IF(Y668="",0,Y668*X668),"")</f>
        <v/>
      </c>
      <c r="AF668" s="12" t="str">
        <f aca="false">IF(AND($J668=1,$M668=0),MIN((AC668-E668)/Span_P,(AD668-F668)/Span_S,(AE668-G668)/Span_B),"")</f>
        <v/>
      </c>
      <c r="AG668" s="15" t="str">
        <f aca="false">IF(AND($J668=1,$M668=0),IF(AF668&gt;0.0000001,1,0),"")</f>
        <v/>
      </c>
      <c r="AH668" s="15" t="n">
        <f aca="false">IF($J668=1,IF($M668=1,AB668,AG668),"")</f>
        <v>1</v>
      </c>
      <c r="AI668" s="13" t="n">
        <f aca="false">IF($J668=1,(Ideal_P-E668)/Span_P,"")</f>
        <v>0.486088666416891</v>
      </c>
      <c r="AJ668" s="13" t="n">
        <f aca="false">IF($J668=1,(Ideal_S-F668)/Span_S,"")</f>
        <v>0.0967741935483871</v>
      </c>
      <c r="AK668" s="13" t="n">
        <f aca="false">IF($J668=1,(Ideal_B-G668)/Span_B,"")</f>
        <v>0.613333333333333</v>
      </c>
      <c r="AL668" s="12" t="n">
        <f aca="false">IF($J668=1,MAX(ChA_1*AI668,ChA_2*AJ668,ChA_3*AK668)+Rho*(ChA_1*AI668+ChA_2*AJ668+ChA_3*AK668),"")</f>
        <v>0.613452952952663</v>
      </c>
      <c r="AM668" s="12" t="n">
        <f aca="false">IF($J668=1,MAX(ChB_1*AI668,ChB_2*AJ668,ChB_3*AK668)+Rho*(ChB_1*AI668+ChB_2*AJ668+ChB_3*AK668),"")</f>
        <v>0.972345561319753</v>
      </c>
      <c r="AN668" s="12" t="n">
        <f aca="false">IF($J668=1,MAX(Cx_1*(Ref_P-E668)/Span_P,Cx_2*(Ref_S-F668)/Span_S,Cx_3*(Ref_B-G668)/Span_B),"")</f>
        <v>1.57142857142857</v>
      </c>
    </row>
    <row r="669" customFormat="false" ht="15" hidden="false" customHeight="false" outlineLevel="0" collapsed="false">
      <c r="A669" s="2" t="n">
        <v>663</v>
      </c>
      <c r="B669" s="15" t="n">
        <f aca="false">INT(A669/151)</f>
        <v>4</v>
      </c>
      <c r="C669" s="15" t="n">
        <f aca="false">MOD(A669,151)</f>
        <v>59</v>
      </c>
      <c r="D669" s="15" t="n">
        <f aca="false">INDEX(Grid!$J$6:$P$156,C669+1,B669+1)</f>
        <v>1</v>
      </c>
      <c r="E669" s="16" t="n">
        <f aca="false">IF(D669=1,INDEX(Grid!$B$6:$H$156,C669+1,B669+1),"")</f>
        <v>207.244210049781</v>
      </c>
      <c r="F669" s="13" t="n">
        <f aca="false">Val_pt*(Ceiling_e-E_zero)*(1-(1-Half_gap)^B669)</f>
        <v>131.25</v>
      </c>
      <c r="G669" s="15" t="n">
        <f aca="false">C669</f>
        <v>59</v>
      </c>
      <c r="H669" s="15" t="n">
        <f aca="false">IF(D669=1,INDEX(Grid!$R$6:$X$156,C669+1,B669+1),"")</f>
        <v>57</v>
      </c>
      <c r="I669" s="2" t="str">
        <f aca="false">IF(D669=1,INDEX(Sch_label,H669+1),"")</f>
        <v>1–3, 6</v>
      </c>
      <c r="J669" s="15" t="n">
        <f aca="false">IF(D669=1,INDEX(Grid!$Z$6:$AF$156,C669+1,B669+1),0)</f>
        <v>1</v>
      </c>
      <c r="K669" s="16" t="n">
        <f aca="false">IF(J669=1,E669,0)</f>
        <v>207.244210049781</v>
      </c>
      <c r="L669" s="17" t="n">
        <f aca="false">IF(D669=1,E669+W_board*F669,"")</f>
        <v>948.116243245364</v>
      </c>
      <c r="M669" s="24" t="n">
        <v>1</v>
      </c>
      <c r="N669" s="25" t="n">
        <v>0.219944509271645</v>
      </c>
      <c r="O669" s="25" t="n">
        <v>0.697229795554406</v>
      </c>
      <c r="P669" s="25" t="n">
        <v>0.0828256951739487</v>
      </c>
      <c r="Z669" s="12" t="n">
        <f aca="false">IF(AND($J669=1,$M669=1),N669*E669/Span_P+O669*F669/Span_S+P669*G669/Span_B,"")</f>
        <v>1.50793286605521</v>
      </c>
      <c r="AA669" s="12" t="n">
        <f aca="false">IF(AND($J669=1,$M669=1),SUMPRODUCT(MAX($J$6:$J$1062*(N669*$K$6:$K$1062/Span_P+O669*$F$6:$F$1062/Span_S+P669*$G$6:$G$1062/Span_B)-(1-$J$6:$J$1062)*1000000000)),"")</f>
        <v>1.50793286605521</v>
      </c>
      <c r="AB669" s="15" t="n">
        <f aca="false">IF(AND($J669=1,$M669=1),IF(AA669-Z669&lt;=0.000000001,1,0),"")</f>
        <v>1</v>
      </c>
      <c r="AC669" s="13" t="str">
        <f aca="false">IF(AND($J669=1,$M669=0),IF(S669="",0,S669*INDEX(Grid!$B$6:$H$156,R669+1,Q669+1))+IF(V669="",0,V669*INDEX(Grid!$B$6:$H$156,U669+1,T669+1))+IF(Y669="",0,Y669*INDEX(Grid!$B$6:$H$156,X669+1,W669+1)),"")</f>
        <v/>
      </c>
      <c r="AD669" s="13" t="str">
        <f aca="false">IF(AND($J669=1,$M669=0),IF(S669="",0,S669*Val_pt*(Ceiling_e-E_zero)*(1-(1-Half_gap)^Q669))+IF(V669="",0,V669*Val_pt*(Ceiling_e-E_zero)*(1-(1-Half_gap)^T669))+IF(Y669="",0,Y669*Val_pt*(Ceiling_e-E_zero)*(1-(1-Half_gap)^W669)),"")</f>
        <v/>
      </c>
      <c r="AE669" s="13" t="str">
        <f aca="false">IF(AND($J669=1,$M669=0),IF(S669="",0,S669*R669)+IF(V669="",0,V669*U669)+IF(Y669="",0,Y669*X669),"")</f>
        <v/>
      </c>
      <c r="AF669" s="12" t="str">
        <f aca="false">IF(AND($J669=1,$M669=0),MIN((AC669-E669)/Span_P,(AD669-F669)/Span_S,(AE669-G669)/Span_B),"")</f>
        <v/>
      </c>
      <c r="AG669" s="15" t="str">
        <f aca="false">IF(AND($J669=1,$M669=0),IF(AF669&gt;0.0000001,1,0),"")</f>
        <v/>
      </c>
      <c r="AH669" s="15" t="n">
        <f aca="false">IF($J669=1,IF($M669=1,AB669,AG669),"")</f>
        <v>1</v>
      </c>
      <c r="AI669" s="13" t="n">
        <f aca="false">IF($J669=1,(Ideal_P-E669)/Span_P,"")</f>
        <v>0.488599169193197</v>
      </c>
      <c r="AJ669" s="13" t="n">
        <f aca="false">IF($J669=1,(Ideal_S-F669)/Span_S,"")</f>
        <v>0.0967741935483871</v>
      </c>
      <c r="AK669" s="13" t="n">
        <f aca="false">IF($J669=1,(Ideal_B-G669)/Span_B,"")</f>
        <v>0.606666666666667</v>
      </c>
      <c r="AL669" s="12" t="n">
        <f aca="false">IF($J669=1,MAX(ChA_1*AI669,ChA_2*AJ669,ChA_3*AK669)+Rho*(ChA_1*AI669+ChA_2*AJ669+ChA_3*AK669),"")</f>
        <v>0.606785870669608</v>
      </c>
      <c r="AM669" s="12" t="n">
        <f aca="false">IF($J669=1,MAX(ChB_1*AI669,ChB_2*AJ669,ChB_3*AK669)+Rho*(ChB_1*AI669+ChB_2*AJ669+ChB_3*AK669),"")</f>
        <v>0.977366402306253</v>
      </c>
      <c r="AN669" s="12" t="n">
        <f aca="false">IF($J669=1,MAX(Cx_1*(Ref_P-E669)/Span_P,Cx_2*(Ref_S-F669)/Span_S,Cx_3*(Ref_B-G669)/Span_B),"")</f>
        <v>1.5546218487395</v>
      </c>
    </row>
    <row r="670" customFormat="false" ht="15" hidden="false" customHeight="false" outlineLevel="0" collapsed="false">
      <c r="A670" s="2" t="n">
        <v>664</v>
      </c>
      <c r="B670" s="15" t="n">
        <f aca="false">INT(A670/151)</f>
        <v>4</v>
      </c>
      <c r="C670" s="15" t="n">
        <f aca="false">MOD(A670,151)</f>
        <v>60</v>
      </c>
      <c r="D670" s="15" t="n">
        <f aca="false">INDEX(Grid!$J$6:$P$156,C670+1,B670+1)</f>
        <v>1</v>
      </c>
      <c r="E670" s="16" t="n">
        <f aca="false">IF(D670=1,INDEX(Grid!$B$6:$H$156,C670+1,B670+1),"")</f>
        <v>206.33511914069</v>
      </c>
      <c r="F670" s="13" t="n">
        <f aca="false">Val_pt*(Ceiling_e-E_zero)*(1-(1-Half_gap)^B670)</f>
        <v>131.25</v>
      </c>
      <c r="G670" s="15" t="n">
        <f aca="false">C670</f>
        <v>60</v>
      </c>
      <c r="H670" s="15" t="n">
        <f aca="false">IF(D670=1,INDEX(Grid!$R$6:$X$156,C670+1,B670+1),"")</f>
        <v>57</v>
      </c>
      <c r="I670" s="2" t="str">
        <f aca="false">IF(D670=1,INDEX(Sch_label,H670+1),"")</f>
        <v>1–3, 6</v>
      </c>
      <c r="J670" s="15" t="n">
        <f aca="false">IF(D670=1,INDEX(Grid!$Z$6:$AF$156,C670+1,B670+1),0)</f>
        <v>1</v>
      </c>
      <c r="K670" s="16" t="n">
        <f aca="false">IF(J670=1,E670,0)</f>
        <v>206.33511914069</v>
      </c>
      <c r="L670" s="17" t="n">
        <f aca="false">IF(D670=1,E670+W_board*F670,"")</f>
        <v>947.207152336273</v>
      </c>
      <c r="M670" s="24" t="n">
        <v>1</v>
      </c>
      <c r="N670" s="25" t="n">
        <v>0.219944509271646</v>
      </c>
      <c r="O670" s="25" t="n">
        <v>0.6972297955544</v>
      </c>
      <c r="P670" s="25" t="n">
        <v>0.0828256951739537</v>
      </c>
      <c r="Z670" s="12" t="n">
        <f aca="false">IF(AND($J670=1,$M670=1),N670*E670/Span_P+O670*F670/Span_S+P670*G670/Span_B,"")</f>
        <v>1.5079328660552</v>
      </c>
      <c r="AA670" s="12" t="n">
        <f aca="false">IF(AND($J670=1,$M670=1),SUMPRODUCT(MAX($J$6:$J$1062*(N670*$K$6:$K$1062/Span_P+O670*$F$6:$F$1062/Span_S+P670*$G$6:$G$1062/Span_B)-(1-$J$6:$J$1062)*1000000000)),"")</f>
        <v>1.5079328660552</v>
      </c>
      <c r="AB670" s="15" t="n">
        <f aca="false">IF(AND($J670=1,$M670=1),IF(AA670-Z670&lt;=0.000000001,1,0),"")</f>
        <v>1</v>
      </c>
      <c r="AC670" s="13" t="str">
        <f aca="false">IF(AND($J670=1,$M670=0),IF(S670="",0,S670*INDEX(Grid!$B$6:$H$156,R670+1,Q670+1))+IF(V670="",0,V670*INDEX(Grid!$B$6:$H$156,U670+1,T670+1))+IF(Y670="",0,Y670*INDEX(Grid!$B$6:$H$156,X670+1,W670+1)),"")</f>
        <v/>
      </c>
      <c r="AD670" s="13" t="str">
        <f aca="false">IF(AND($J670=1,$M670=0),IF(S670="",0,S670*Val_pt*(Ceiling_e-E_zero)*(1-(1-Half_gap)^Q670))+IF(V670="",0,V670*Val_pt*(Ceiling_e-E_zero)*(1-(1-Half_gap)^T670))+IF(Y670="",0,Y670*Val_pt*(Ceiling_e-E_zero)*(1-(1-Half_gap)^W670)),"")</f>
        <v/>
      </c>
      <c r="AE670" s="13" t="str">
        <f aca="false">IF(AND($J670=1,$M670=0),IF(S670="",0,S670*R670)+IF(V670="",0,V670*U670)+IF(Y670="",0,Y670*X670),"")</f>
        <v/>
      </c>
      <c r="AF670" s="12" t="str">
        <f aca="false">IF(AND($J670=1,$M670=0),MIN((AC670-E670)/Span_P,(AD670-F670)/Span_S,(AE670-G670)/Span_B),"")</f>
        <v/>
      </c>
      <c r="AG670" s="15" t="str">
        <f aca="false">IF(AND($J670=1,$M670=0),IF(AF670&gt;0.0000001,1,0),"")</f>
        <v/>
      </c>
      <c r="AH670" s="15" t="n">
        <f aca="false">IF($J670=1,IF($M670=1,AB670,AG670),"")</f>
        <v>1</v>
      </c>
      <c r="AI670" s="13" t="n">
        <f aca="false">IF($J670=1,(Ideal_P-E670)/Span_P,"")</f>
        <v>0.491109671969503</v>
      </c>
      <c r="AJ670" s="13" t="n">
        <f aca="false">IF($J670=1,(Ideal_S-F670)/Span_S,"")</f>
        <v>0.0967741935483871</v>
      </c>
      <c r="AK670" s="13" t="n">
        <f aca="false">IF($J670=1,(Ideal_B-G670)/Span_B,"")</f>
        <v>0.6</v>
      </c>
      <c r="AL670" s="12" t="n">
        <f aca="false">IF($J670=1,MAX(ChA_1*AI670,ChA_2*AJ670,ChA_3*AK670)+Rho*(ChA_1*AI670+ChA_2*AJ670+ChA_3*AK670),"")</f>
        <v>0.600118788386552</v>
      </c>
      <c r="AM670" s="12" t="n">
        <f aca="false">IF($J670=1,MAX(ChB_1*AI670,ChB_2*AJ670,ChB_3*AK670)+Rho*(ChB_1*AI670+ChB_2*AJ670+ChB_3*AK670),"")</f>
        <v>0.982387243292754</v>
      </c>
      <c r="AN670" s="12" t="n">
        <f aca="false">IF($J670=1,MAX(Cx_1*(Ref_P-E670)/Span_P,Cx_2*(Ref_S-F670)/Span_S,Cx_3*(Ref_B-G670)/Span_B),"")</f>
        <v>1.53781512605042</v>
      </c>
    </row>
    <row r="671" customFormat="false" ht="15" hidden="false" customHeight="false" outlineLevel="0" collapsed="false">
      <c r="A671" s="2" t="n">
        <v>665</v>
      </c>
      <c r="B671" s="15" t="n">
        <f aca="false">INT(A671/151)</f>
        <v>4</v>
      </c>
      <c r="C671" s="15" t="n">
        <f aca="false">MOD(A671,151)</f>
        <v>61</v>
      </c>
      <c r="D671" s="15" t="n">
        <f aca="false">INDEX(Grid!$J$6:$P$156,C671+1,B671+1)</f>
        <v>1</v>
      </c>
      <c r="E671" s="16" t="n">
        <f aca="false">IF(D671=1,INDEX(Grid!$B$6:$H$156,C671+1,B671+1),"")</f>
        <v>205.426028231599</v>
      </c>
      <c r="F671" s="13" t="n">
        <f aca="false">Val_pt*(Ceiling_e-E_zero)*(1-(1-Half_gap)^B671)</f>
        <v>131.25</v>
      </c>
      <c r="G671" s="15" t="n">
        <f aca="false">C671</f>
        <v>61</v>
      </c>
      <c r="H671" s="15" t="n">
        <f aca="false">IF(D671=1,INDEX(Grid!$R$6:$X$156,C671+1,B671+1),"")</f>
        <v>57</v>
      </c>
      <c r="I671" s="2" t="str">
        <f aca="false">IF(D671=1,INDEX(Sch_label,H671+1),"")</f>
        <v>1–3, 6</v>
      </c>
      <c r="J671" s="15" t="n">
        <f aca="false">IF(D671=1,INDEX(Grid!$Z$6:$AF$156,C671+1,B671+1),0)</f>
        <v>1</v>
      </c>
      <c r="K671" s="16" t="n">
        <f aca="false">IF(J671=1,E671,0)</f>
        <v>205.426028231599</v>
      </c>
      <c r="L671" s="17" t="n">
        <f aca="false">IF(D671=1,E671+W_board*F671,"")</f>
        <v>946.298061427182</v>
      </c>
      <c r="M671" s="24" t="n">
        <v>1</v>
      </c>
      <c r="N671" s="25" t="n">
        <v>0.219944509271645</v>
      </c>
      <c r="O671" s="25" t="n">
        <v>0.697229795554405</v>
      </c>
      <c r="P671" s="25" t="n">
        <v>0.0828256951739496</v>
      </c>
      <c r="Z671" s="12" t="n">
        <f aca="false">IF(AND($J671=1,$M671=1),N671*E671/Span_P+O671*F671/Span_S+P671*G671/Span_B,"")</f>
        <v>1.5079328660552</v>
      </c>
      <c r="AA671" s="12" t="n">
        <f aca="false">IF(AND($J671=1,$M671=1),SUMPRODUCT(MAX($J$6:$J$1062*(N671*$K$6:$K$1062/Span_P+O671*$F$6:$F$1062/Span_S+P671*$G$6:$G$1062/Span_B)-(1-$J$6:$J$1062)*1000000000)),"")</f>
        <v>1.50793286605521</v>
      </c>
      <c r="AB671" s="15" t="n">
        <f aca="false">IF(AND($J671=1,$M671=1),IF(AA671-Z671&lt;=0.000000001,1,0),"")</f>
        <v>1</v>
      </c>
      <c r="AC671" s="13" t="str">
        <f aca="false">IF(AND($J671=1,$M671=0),IF(S671="",0,S671*INDEX(Grid!$B$6:$H$156,R671+1,Q671+1))+IF(V671="",0,V671*INDEX(Grid!$B$6:$H$156,U671+1,T671+1))+IF(Y671="",0,Y671*INDEX(Grid!$B$6:$H$156,X671+1,W671+1)),"")</f>
        <v/>
      </c>
      <c r="AD671" s="13" t="str">
        <f aca="false">IF(AND($J671=1,$M671=0),IF(S671="",0,S671*Val_pt*(Ceiling_e-E_zero)*(1-(1-Half_gap)^Q671))+IF(V671="",0,V671*Val_pt*(Ceiling_e-E_zero)*(1-(1-Half_gap)^T671))+IF(Y671="",0,Y671*Val_pt*(Ceiling_e-E_zero)*(1-(1-Half_gap)^W671)),"")</f>
        <v/>
      </c>
      <c r="AE671" s="13" t="str">
        <f aca="false">IF(AND($J671=1,$M671=0),IF(S671="",0,S671*R671)+IF(V671="",0,V671*U671)+IF(Y671="",0,Y671*X671),"")</f>
        <v/>
      </c>
      <c r="AF671" s="12" t="str">
        <f aca="false">IF(AND($J671=1,$M671=0),MIN((AC671-E671)/Span_P,(AD671-F671)/Span_S,(AE671-G671)/Span_B),"")</f>
        <v/>
      </c>
      <c r="AG671" s="15" t="str">
        <f aca="false">IF(AND($J671=1,$M671=0),IF(AF671&gt;0.0000001,1,0),"")</f>
        <v/>
      </c>
      <c r="AH671" s="15" t="n">
        <f aca="false">IF($J671=1,IF($M671=1,AB671,AG671),"")</f>
        <v>1</v>
      </c>
      <c r="AI671" s="13" t="n">
        <f aca="false">IF($J671=1,(Ideal_P-E671)/Span_P,"")</f>
        <v>0.493620174745808</v>
      </c>
      <c r="AJ671" s="13" t="n">
        <f aca="false">IF($J671=1,(Ideal_S-F671)/Span_S,"")</f>
        <v>0.0967741935483871</v>
      </c>
      <c r="AK671" s="13" t="n">
        <f aca="false">IF($J671=1,(Ideal_B-G671)/Span_B,"")</f>
        <v>0.593333333333333</v>
      </c>
      <c r="AL671" s="12" t="n">
        <f aca="false">IF($J671=1,MAX(ChA_1*AI671,ChA_2*AJ671,ChA_3*AK671)+Rho*(ChA_1*AI671+ChA_2*AJ671+ChA_3*AK671),"")</f>
        <v>0.593451706103496</v>
      </c>
      <c r="AM671" s="12" t="n">
        <f aca="false">IF($J671=1,MAX(ChB_1*AI671,ChB_2*AJ671,ChB_3*AK671)+Rho*(ChB_1*AI671+ChB_2*AJ671+ChB_3*AK671),"")</f>
        <v>0.987408084279254</v>
      </c>
      <c r="AN671" s="12" t="n">
        <f aca="false">IF($J671=1,MAX(Cx_1*(Ref_P-E671)/Span_P,Cx_2*(Ref_S-F671)/Span_S,Cx_3*(Ref_B-G671)/Span_B),"")</f>
        <v>1.52100840336134</v>
      </c>
    </row>
    <row r="672" customFormat="false" ht="15" hidden="false" customHeight="false" outlineLevel="0" collapsed="false">
      <c r="A672" s="2" t="n">
        <v>666</v>
      </c>
      <c r="B672" s="15" t="n">
        <f aca="false">INT(A672/151)</f>
        <v>4</v>
      </c>
      <c r="C672" s="15" t="n">
        <f aca="false">MOD(A672,151)</f>
        <v>62</v>
      </c>
      <c r="D672" s="15" t="n">
        <f aca="false">INDEX(Grid!$J$6:$P$156,C672+1,B672+1)</f>
        <v>1</v>
      </c>
      <c r="E672" s="16" t="n">
        <f aca="false">IF(D672=1,INDEX(Grid!$B$6:$H$156,C672+1,B672+1),"")</f>
        <v>204.516937322508</v>
      </c>
      <c r="F672" s="13" t="n">
        <f aca="false">Val_pt*(Ceiling_e-E_zero)*(1-(1-Half_gap)^B672)</f>
        <v>131.25</v>
      </c>
      <c r="G672" s="15" t="n">
        <f aca="false">C672</f>
        <v>62</v>
      </c>
      <c r="H672" s="15" t="n">
        <f aca="false">IF(D672=1,INDEX(Grid!$R$6:$X$156,C672+1,B672+1),"")</f>
        <v>57</v>
      </c>
      <c r="I672" s="2" t="str">
        <f aca="false">IF(D672=1,INDEX(Sch_label,H672+1),"")</f>
        <v>1–3, 6</v>
      </c>
      <c r="J672" s="15" t="n">
        <f aca="false">IF(D672=1,INDEX(Grid!$Z$6:$AF$156,C672+1,B672+1),0)</f>
        <v>1</v>
      </c>
      <c r="K672" s="16" t="n">
        <f aca="false">IF(J672=1,E672,0)</f>
        <v>204.516937322508</v>
      </c>
      <c r="L672" s="17" t="n">
        <f aca="false">IF(D672=1,E672+W_board*F672,"")</f>
        <v>945.388970518091</v>
      </c>
      <c r="M672" s="24" t="n">
        <v>1</v>
      </c>
      <c r="N672" s="25" t="n">
        <v>0.219944509271646</v>
      </c>
      <c r="O672" s="25" t="n">
        <v>0.6972297955544</v>
      </c>
      <c r="P672" s="25" t="n">
        <v>0.0828256951739537</v>
      </c>
      <c r="Z672" s="12" t="n">
        <f aca="false">IF(AND($J672=1,$M672=1),N672*E672/Span_P+O672*F672/Span_S+P672*G672/Span_B,"")</f>
        <v>1.5079328660552</v>
      </c>
      <c r="AA672" s="12" t="n">
        <f aca="false">IF(AND($J672=1,$M672=1),SUMPRODUCT(MAX($J$6:$J$1062*(N672*$K$6:$K$1062/Span_P+O672*$F$6:$F$1062/Span_S+P672*$G$6:$G$1062/Span_B)-(1-$J$6:$J$1062)*1000000000)),"")</f>
        <v>1.5079328660552</v>
      </c>
      <c r="AB672" s="15" t="n">
        <f aca="false">IF(AND($J672=1,$M672=1),IF(AA672-Z672&lt;=0.000000001,1,0),"")</f>
        <v>1</v>
      </c>
      <c r="AC672" s="13" t="str">
        <f aca="false">IF(AND($J672=1,$M672=0),IF(S672="",0,S672*INDEX(Grid!$B$6:$H$156,R672+1,Q672+1))+IF(V672="",0,V672*INDEX(Grid!$B$6:$H$156,U672+1,T672+1))+IF(Y672="",0,Y672*INDEX(Grid!$B$6:$H$156,X672+1,W672+1)),"")</f>
        <v/>
      </c>
      <c r="AD672" s="13" t="str">
        <f aca="false">IF(AND($J672=1,$M672=0),IF(S672="",0,S672*Val_pt*(Ceiling_e-E_zero)*(1-(1-Half_gap)^Q672))+IF(V672="",0,V672*Val_pt*(Ceiling_e-E_zero)*(1-(1-Half_gap)^T672))+IF(Y672="",0,Y672*Val_pt*(Ceiling_e-E_zero)*(1-(1-Half_gap)^W672)),"")</f>
        <v/>
      </c>
      <c r="AE672" s="13" t="str">
        <f aca="false">IF(AND($J672=1,$M672=0),IF(S672="",0,S672*R672)+IF(V672="",0,V672*U672)+IF(Y672="",0,Y672*X672),"")</f>
        <v/>
      </c>
      <c r="AF672" s="12" t="str">
        <f aca="false">IF(AND($J672=1,$M672=0),MIN((AC672-E672)/Span_P,(AD672-F672)/Span_S,(AE672-G672)/Span_B),"")</f>
        <v/>
      </c>
      <c r="AG672" s="15" t="str">
        <f aca="false">IF(AND($J672=1,$M672=0),IF(AF672&gt;0.0000001,1,0),"")</f>
        <v/>
      </c>
      <c r="AH672" s="15" t="n">
        <f aca="false">IF($J672=1,IF($M672=1,AB672,AG672),"")</f>
        <v>1</v>
      </c>
      <c r="AI672" s="13" t="n">
        <f aca="false">IF($J672=1,(Ideal_P-E672)/Span_P,"")</f>
        <v>0.496130677522114</v>
      </c>
      <c r="AJ672" s="13" t="n">
        <f aca="false">IF($J672=1,(Ideal_S-F672)/Span_S,"")</f>
        <v>0.0967741935483871</v>
      </c>
      <c r="AK672" s="13" t="n">
        <f aca="false">IF($J672=1,(Ideal_B-G672)/Span_B,"")</f>
        <v>0.586666666666667</v>
      </c>
      <c r="AL672" s="12" t="n">
        <f aca="false">IF($J672=1,MAX(ChA_1*AI672,ChA_2*AJ672,ChA_3*AK672)+Rho*(ChA_1*AI672+ChA_2*AJ672+ChA_3*AK672),"")</f>
        <v>0.58678462382044</v>
      </c>
      <c r="AM672" s="12" t="n">
        <f aca="false">IF($J672=1,MAX(ChB_1*AI672,ChB_2*AJ672,ChB_3*AK672)+Rho*(ChB_1*AI672+ChB_2*AJ672+ChB_3*AK672),"")</f>
        <v>0.992428925265754</v>
      </c>
      <c r="AN672" s="12" t="n">
        <f aca="false">IF($J672=1,MAX(Cx_1*(Ref_P-E672)/Span_P,Cx_2*(Ref_S-F672)/Span_S,Cx_3*(Ref_B-G672)/Span_B),"")</f>
        <v>1.50420168067227</v>
      </c>
    </row>
    <row r="673" customFormat="false" ht="15" hidden="false" customHeight="false" outlineLevel="0" collapsed="false">
      <c r="A673" s="2" t="n">
        <v>667</v>
      </c>
      <c r="B673" s="15" t="n">
        <f aca="false">INT(A673/151)</f>
        <v>4</v>
      </c>
      <c r="C673" s="15" t="n">
        <f aca="false">MOD(A673,151)</f>
        <v>63</v>
      </c>
      <c r="D673" s="15" t="n">
        <f aca="false">INDEX(Grid!$J$6:$P$156,C673+1,B673+1)</f>
        <v>1</v>
      </c>
      <c r="E673" s="16" t="n">
        <f aca="false">IF(D673=1,INDEX(Grid!$B$6:$H$156,C673+1,B673+1),"")</f>
        <v>203.607846413417</v>
      </c>
      <c r="F673" s="13" t="n">
        <f aca="false">Val_pt*(Ceiling_e-E_zero)*(1-(1-Half_gap)^B673)</f>
        <v>131.25</v>
      </c>
      <c r="G673" s="15" t="n">
        <f aca="false">C673</f>
        <v>63</v>
      </c>
      <c r="H673" s="15" t="n">
        <f aca="false">IF(D673=1,INDEX(Grid!$R$6:$X$156,C673+1,B673+1),"")</f>
        <v>57</v>
      </c>
      <c r="I673" s="2" t="str">
        <f aca="false">IF(D673=1,INDEX(Sch_label,H673+1),"")</f>
        <v>1–3, 6</v>
      </c>
      <c r="J673" s="15" t="n">
        <f aca="false">IF(D673=1,INDEX(Grid!$Z$6:$AF$156,C673+1,B673+1),0)</f>
        <v>1</v>
      </c>
      <c r="K673" s="16" t="n">
        <f aca="false">IF(J673=1,E673,0)</f>
        <v>203.607846413417</v>
      </c>
      <c r="L673" s="17" t="n">
        <f aca="false">IF(D673=1,E673+W_board*F673,"")</f>
        <v>944.479879609</v>
      </c>
      <c r="M673" s="24" t="n">
        <v>1</v>
      </c>
      <c r="N673" s="25" t="n">
        <v>0.219944509271645</v>
      </c>
      <c r="O673" s="25" t="n">
        <v>0.697229795554406</v>
      </c>
      <c r="P673" s="25" t="n">
        <v>0.0828256951739489</v>
      </c>
      <c r="Z673" s="12" t="n">
        <f aca="false">IF(AND($J673=1,$M673=1),N673*E673/Span_P+O673*F673/Span_S+P673*G673/Span_B,"")</f>
        <v>1.50793286605521</v>
      </c>
      <c r="AA673" s="12" t="n">
        <f aca="false">IF(AND($J673=1,$M673=1),SUMPRODUCT(MAX($J$6:$J$1062*(N673*$K$6:$K$1062/Span_P+O673*$F$6:$F$1062/Span_S+P673*$G$6:$G$1062/Span_B)-(1-$J$6:$J$1062)*1000000000)),"")</f>
        <v>1.50793286605521</v>
      </c>
      <c r="AB673" s="15" t="n">
        <f aca="false">IF(AND($J673=1,$M673=1),IF(AA673-Z673&lt;=0.000000001,1,0),"")</f>
        <v>1</v>
      </c>
      <c r="AC673" s="13" t="str">
        <f aca="false">IF(AND($J673=1,$M673=0),IF(S673="",0,S673*INDEX(Grid!$B$6:$H$156,R673+1,Q673+1))+IF(V673="",0,V673*INDEX(Grid!$B$6:$H$156,U673+1,T673+1))+IF(Y673="",0,Y673*INDEX(Grid!$B$6:$H$156,X673+1,W673+1)),"")</f>
        <v/>
      </c>
      <c r="AD673" s="13" t="str">
        <f aca="false">IF(AND($J673=1,$M673=0),IF(S673="",0,S673*Val_pt*(Ceiling_e-E_zero)*(1-(1-Half_gap)^Q673))+IF(V673="",0,V673*Val_pt*(Ceiling_e-E_zero)*(1-(1-Half_gap)^T673))+IF(Y673="",0,Y673*Val_pt*(Ceiling_e-E_zero)*(1-(1-Half_gap)^W673)),"")</f>
        <v/>
      </c>
      <c r="AE673" s="13" t="str">
        <f aca="false">IF(AND($J673=1,$M673=0),IF(S673="",0,S673*R673)+IF(V673="",0,V673*U673)+IF(Y673="",0,Y673*X673),"")</f>
        <v/>
      </c>
      <c r="AF673" s="12" t="str">
        <f aca="false">IF(AND($J673=1,$M673=0),MIN((AC673-E673)/Span_P,(AD673-F673)/Span_S,(AE673-G673)/Span_B),"")</f>
        <v/>
      </c>
      <c r="AG673" s="15" t="str">
        <f aca="false">IF(AND($J673=1,$M673=0),IF(AF673&gt;0.0000001,1,0),"")</f>
        <v/>
      </c>
      <c r="AH673" s="15" t="n">
        <f aca="false">IF($J673=1,IF($M673=1,AB673,AG673),"")</f>
        <v>1</v>
      </c>
      <c r="AI673" s="13" t="n">
        <f aca="false">IF($J673=1,(Ideal_P-E673)/Span_P,"")</f>
        <v>0.49864118029842</v>
      </c>
      <c r="AJ673" s="13" t="n">
        <f aca="false">IF($J673=1,(Ideal_S-F673)/Span_S,"")</f>
        <v>0.0967741935483871</v>
      </c>
      <c r="AK673" s="13" t="n">
        <f aca="false">IF($J673=1,(Ideal_B-G673)/Span_B,"")</f>
        <v>0.58</v>
      </c>
      <c r="AL673" s="12" t="n">
        <f aca="false">IF($J673=1,MAX(ChA_1*AI673,ChA_2*AJ673,ChA_3*AK673)+Rho*(ChA_1*AI673+ChA_2*AJ673+ChA_3*AK673),"")</f>
        <v>0.580117541537385</v>
      </c>
      <c r="AM673" s="12" t="n">
        <f aca="false">IF($J673=1,MAX(ChB_1*AI673,ChB_2*AJ673,ChB_3*AK673)+Rho*(ChB_1*AI673+ChB_2*AJ673+ChB_3*AK673),"")</f>
        <v>0.997449766252254</v>
      </c>
      <c r="AN673" s="12" t="n">
        <f aca="false">IF($J673=1,MAX(Cx_1*(Ref_P-E673)/Span_P,Cx_2*(Ref_S-F673)/Span_S,Cx_3*(Ref_B-G673)/Span_B),"")</f>
        <v>1.48739495798319</v>
      </c>
    </row>
    <row r="674" customFormat="false" ht="15" hidden="false" customHeight="false" outlineLevel="0" collapsed="false">
      <c r="A674" s="2" t="n">
        <v>668</v>
      </c>
      <c r="B674" s="15" t="n">
        <f aca="false">INT(A674/151)</f>
        <v>4</v>
      </c>
      <c r="C674" s="15" t="n">
        <f aca="false">MOD(A674,151)</f>
        <v>64</v>
      </c>
      <c r="D674" s="15" t="n">
        <f aca="false">INDEX(Grid!$J$6:$P$156,C674+1,B674+1)</f>
        <v>1</v>
      </c>
      <c r="E674" s="16" t="n">
        <f aca="false">IF(D674=1,INDEX(Grid!$B$6:$H$156,C674+1,B674+1),"")</f>
        <v>202.698755504326</v>
      </c>
      <c r="F674" s="13" t="n">
        <f aca="false">Val_pt*(Ceiling_e-E_zero)*(1-(1-Half_gap)^B674)</f>
        <v>131.25</v>
      </c>
      <c r="G674" s="15" t="n">
        <f aca="false">C674</f>
        <v>64</v>
      </c>
      <c r="H674" s="15" t="n">
        <f aca="false">IF(D674=1,INDEX(Grid!$R$6:$X$156,C674+1,B674+1),"")</f>
        <v>57</v>
      </c>
      <c r="I674" s="2" t="str">
        <f aca="false">IF(D674=1,INDEX(Sch_label,H674+1),"")</f>
        <v>1–3, 6</v>
      </c>
      <c r="J674" s="15" t="n">
        <f aca="false">IF(D674=1,INDEX(Grid!$Z$6:$AF$156,C674+1,B674+1),0)</f>
        <v>1</v>
      </c>
      <c r="K674" s="16" t="n">
        <f aca="false">IF(J674=1,E674,0)</f>
        <v>202.698755504326</v>
      </c>
      <c r="L674" s="17" t="n">
        <f aca="false">IF(D674=1,E674+W_board*F674,"")</f>
        <v>943.570788699909</v>
      </c>
      <c r="M674" s="24" t="n">
        <v>1</v>
      </c>
      <c r="N674" s="25" t="n">
        <v>0.219944509271646</v>
      </c>
      <c r="O674" s="25" t="n">
        <v>0.6972297955544</v>
      </c>
      <c r="P674" s="25" t="n">
        <v>0.0828256951739536</v>
      </c>
      <c r="Z674" s="12" t="n">
        <f aca="false">IF(AND($J674=1,$M674=1),N674*E674/Span_P+O674*F674/Span_S+P674*G674/Span_B,"")</f>
        <v>1.5079328660552</v>
      </c>
      <c r="AA674" s="12" t="n">
        <f aca="false">IF(AND($J674=1,$M674=1),SUMPRODUCT(MAX($J$6:$J$1062*(N674*$K$6:$K$1062/Span_P+O674*$F$6:$F$1062/Span_S+P674*$G$6:$G$1062/Span_B)-(1-$J$6:$J$1062)*1000000000)),"")</f>
        <v>1.5079328660552</v>
      </c>
      <c r="AB674" s="15" t="n">
        <f aca="false">IF(AND($J674=1,$M674=1),IF(AA674-Z674&lt;=0.000000001,1,0),"")</f>
        <v>1</v>
      </c>
      <c r="AC674" s="13" t="str">
        <f aca="false">IF(AND($J674=1,$M674=0),IF(S674="",0,S674*INDEX(Grid!$B$6:$H$156,R674+1,Q674+1))+IF(V674="",0,V674*INDEX(Grid!$B$6:$H$156,U674+1,T674+1))+IF(Y674="",0,Y674*INDEX(Grid!$B$6:$H$156,X674+1,W674+1)),"")</f>
        <v/>
      </c>
      <c r="AD674" s="13" t="str">
        <f aca="false">IF(AND($J674=1,$M674=0),IF(S674="",0,S674*Val_pt*(Ceiling_e-E_zero)*(1-(1-Half_gap)^Q674))+IF(V674="",0,V674*Val_pt*(Ceiling_e-E_zero)*(1-(1-Half_gap)^T674))+IF(Y674="",0,Y674*Val_pt*(Ceiling_e-E_zero)*(1-(1-Half_gap)^W674)),"")</f>
        <v/>
      </c>
      <c r="AE674" s="13" t="str">
        <f aca="false">IF(AND($J674=1,$M674=0),IF(S674="",0,S674*R674)+IF(V674="",0,V674*U674)+IF(Y674="",0,Y674*X674),"")</f>
        <v/>
      </c>
      <c r="AF674" s="12" t="str">
        <f aca="false">IF(AND($J674=1,$M674=0),MIN((AC674-E674)/Span_P,(AD674-F674)/Span_S,(AE674-G674)/Span_B),"")</f>
        <v/>
      </c>
      <c r="AG674" s="15" t="str">
        <f aca="false">IF(AND($J674=1,$M674=0),IF(AF674&gt;0.0000001,1,0),"")</f>
        <v/>
      </c>
      <c r="AH674" s="15" t="n">
        <f aca="false">IF($J674=1,IF($M674=1,AB674,AG674),"")</f>
        <v>1</v>
      </c>
      <c r="AI674" s="13" t="n">
        <f aca="false">IF($J674=1,(Ideal_P-E674)/Span_P,"")</f>
        <v>0.501151683074726</v>
      </c>
      <c r="AJ674" s="13" t="n">
        <f aca="false">IF($J674=1,(Ideal_S-F674)/Span_S,"")</f>
        <v>0.0967741935483871</v>
      </c>
      <c r="AK674" s="13" t="n">
        <f aca="false">IF($J674=1,(Ideal_B-G674)/Span_B,"")</f>
        <v>0.573333333333333</v>
      </c>
      <c r="AL674" s="12" t="n">
        <f aca="false">IF($J674=1,MAX(ChA_1*AI674,ChA_2*AJ674,ChA_3*AK674)+Rho*(ChA_1*AI674+ChA_2*AJ674+ChA_3*AK674),"")</f>
        <v>0.573450459254329</v>
      </c>
      <c r="AM674" s="12" t="n">
        <f aca="false">IF($J674=1,MAX(ChB_1*AI674,ChB_2*AJ674,ChB_3*AK674)+Rho*(ChB_1*AI674+ChB_2*AJ674+ChB_3*AK674),"")</f>
        <v>1.00247060723875</v>
      </c>
      <c r="AN674" s="12" t="n">
        <f aca="false">IF($J674=1,MAX(Cx_1*(Ref_P-E674)/Span_P,Cx_2*(Ref_S-F674)/Span_S,Cx_3*(Ref_B-G674)/Span_B),"")</f>
        <v>1.47058823529412</v>
      </c>
    </row>
    <row r="675" customFormat="false" ht="15" hidden="false" customHeight="false" outlineLevel="0" collapsed="false">
      <c r="A675" s="2" t="n">
        <v>669</v>
      </c>
      <c r="B675" s="15" t="n">
        <f aca="false">INT(A675/151)</f>
        <v>4</v>
      </c>
      <c r="C675" s="15" t="n">
        <f aca="false">MOD(A675,151)</f>
        <v>65</v>
      </c>
      <c r="D675" s="15" t="n">
        <f aca="false">INDEX(Grid!$J$6:$P$156,C675+1,B675+1)</f>
        <v>1</v>
      </c>
      <c r="E675" s="16" t="n">
        <f aca="false">IF(D675=1,INDEX(Grid!$B$6:$H$156,C675+1,B675+1),"")</f>
        <v>201.789664595236</v>
      </c>
      <c r="F675" s="13" t="n">
        <f aca="false">Val_pt*(Ceiling_e-E_zero)*(1-(1-Half_gap)^B675)</f>
        <v>131.25</v>
      </c>
      <c r="G675" s="15" t="n">
        <f aca="false">C675</f>
        <v>65</v>
      </c>
      <c r="H675" s="15" t="n">
        <f aca="false">IF(D675=1,INDEX(Grid!$R$6:$X$156,C675+1,B675+1),"")</f>
        <v>57</v>
      </c>
      <c r="I675" s="2" t="str">
        <f aca="false">IF(D675=1,INDEX(Sch_label,H675+1),"")</f>
        <v>1–3, 6</v>
      </c>
      <c r="J675" s="15" t="n">
        <f aca="false">IF(D675=1,INDEX(Grid!$Z$6:$AF$156,C675+1,B675+1),0)</f>
        <v>1</v>
      </c>
      <c r="K675" s="16" t="n">
        <f aca="false">IF(J675=1,E675,0)</f>
        <v>201.789664595236</v>
      </c>
      <c r="L675" s="17" t="n">
        <f aca="false">IF(D675=1,E675+W_board*F675,"")</f>
        <v>942.661697790818</v>
      </c>
      <c r="M675" s="24" t="n">
        <v>1</v>
      </c>
      <c r="N675" s="25" t="n">
        <v>0.219944509271646</v>
      </c>
      <c r="O675" s="25" t="n">
        <v>0.6972297955544</v>
      </c>
      <c r="P675" s="25" t="n">
        <v>0.0828256951739536</v>
      </c>
      <c r="Z675" s="12" t="n">
        <f aca="false">IF(AND($J675=1,$M675=1),N675*E675/Span_P+O675*F675/Span_S+P675*G675/Span_B,"")</f>
        <v>1.5079328660552</v>
      </c>
      <c r="AA675" s="12" t="n">
        <f aca="false">IF(AND($J675=1,$M675=1),SUMPRODUCT(MAX($J$6:$J$1062*(N675*$K$6:$K$1062/Span_P+O675*$F$6:$F$1062/Span_S+P675*$G$6:$G$1062/Span_B)-(1-$J$6:$J$1062)*1000000000)),"")</f>
        <v>1.5079328660552</v>
      </c>
      <c r="AB675" s="15" t="n">
        <f aca="false">IF(AND($J675=1,$M675=1),IF(AA675-Z675&lt;=0.000000001,1,0),"")</f>
        <v>1</v>
      </c>
      <c r="AC675" s="13" t="str">
        <f aca="false">IF(AND($J675=1,$M675=0),IF(S675="",0,S675*INDEX(Grid!$B$6:$H$156,R675+1,Q675+1))+IF(V675="",0,V675*INDEX(Grid!$B$6:$H$156,U675+1,T675+1))+IF(Y675="",0,Y675*INDEX(Grid!$B$6:$H$156,X675+1,W675+1)),"")</f>
        <v/>
      </c>
      <c r="AD675" s="13" t="str">
        <f aca="false">IF(AND($J675=1,$M675=0),IF(S675="",0,S675*Val_pt*(Ceiling_e-E_zero)*(1-(1-Half_gap)^Q675))+IF(V675="",0,V675*Val_pt*(Ceiling_e-E_zero)*(1-(1-Half_gap)^T675))+IF(Y675="",0,Y675*Val_pt*(Ceiling_e-E_zero)*(1-(1-Half_gap)^W675)),"")</f>
        <v/>
      </c>
      <c r="AE675" s="13" t="str">
        <f aca="false">IF(AND($J675=1,$M675=0),IF(S675="",0,S675*R675)+IF(V675="",0,V675*U675)+IF(Y675="",0,Y675*X675),"")</f>
        <v/>
      </c>
      <c r="AF675" s="12" t="str">
        <f aca="false">IF(AND($J675=1,$M675=0),MIN((AC675-E675)/Span_P,(AD675-F675)/Span_S,(AE675-G675)/Span_B),"")</f>
        <v/>
      </c>
      <c r="AG675" s="15" t="str">
        <f aca="false">IF(AND($J675=1,$M675=0),IF(AF675&gt;0.0000001,1,0),"")</f>
        <v/>
      </c>
      <c r="AH675" s="15" t="n">
        <f aca="false">IF($J675=1,IF($M675=1,AB675,AG675),"")</f>
        <v>1</v>
      </c>
      <c r="AI675" s="13" t="n">
        <f aca="false">IF($J675=1,(Ideal_P-E675)/Span_P,"")</f>
        <v>0.503662185851031</v>
      </c>
      <c r="AJ675" s="13" t="n">
        <f aca="false">IF($J675=1,(Ideal_S-F675)/Span_S,"")</f>
        <v>0.0967741935483871</v>
      </c>
      <c r="AK675" s="13" t="n">
        <f aca="false">IF($J675=1,(Ideal_B-G675)/Span_B,"")</f>
        <v>0.566666666666667</v>
      </c>
      <c r="AL675" s="12" t="n">
        <f aca="false">IF($J675=1,MAX(ChA_1*AI675,ChA_2*AJ675,ChA_3*AK675)+Rho*(ChA_1*AI675+ChA_2*AJ675+ChA_3*AK675),"")</f>
        <v>0.566783376971273</v>
      </c>
      <c r="AM675" s="12" t="n">
        <f aca="false">IF($J675=1,MAX(ChB_1*AI675,ChB_2*AJ675,ChB_3*AK675)+Rho*(ChB_1*AI675+ChB_2*AJ675+ChB_3*AK675),"")</f>
        <v>1.00749144822525</v>
      </c>
      <c r="AN675" s="12" t="n">
        <f aca="false">IF($J675=1,MAX(Cx_1*(Ref_P-E675)/Span_P,Cx_2*(Ref_S-F675)/Span_S,Cx_3*(Ref_B-G675)/Span_B),"")</f>
        <v>1.45378151260504</v>
      </c>
    </row>
    <row r="676" customFormat="false" ht="15" hidden="false" customHeight="false" outlineLevel="0" collapsed="false">
      <c r="A676" s="2" t="n">
        <v>670</v>
      </c>
      <c r="B676" s="15" t="n">
        <f aca="false">INT(A676/151)</f>
        <v>4</v>
      </c>
      <c r="C676" s="15" t="n">
        <f aca="false">MOD(A676,151)</f>
        <v>66</v>
      </c>
      <c r="D676" s="15" t="n">
        <f aca="false">INDEX(Grid!$J$6:$P$156,C676+1,B676+1)</f>
        <v>1</v>
      </c>
      <c r="E676" s="16" t="n">
        <f aca="false">IF(D676=1,INDEX(Grid!$B$6:$H$156,C676+1,B676+1),"")</f>
        <v>200.880573686145</v>
      </c>
      <c r="F676" s="13" t="n">
        <f aca="false">Val_pt*(Ceiling_e-E_zero)*(1-(1-Half_gap)^B676)</f>
        <v>131.25</v>
      </c>
      <c r="G676" s="15" t="n">
        <f aca="false">C676</f>
        <v>66</v>
      </c>
      <c r="H676" s="15" t="n">
        <f aca="false">IF(D676=1,INDEX(Grid!$R$6:$X$156,C676+1,B676+1),"")</f>
        <v>57</v>
      </c>
      <c r="I676" s="2" t="str">
        <f aca="false">IF(D676=1,INDEX(Sch_label,H676+1),"")</f>
        <v>1–3, 6</v>
      </c>
      <c r="J676" s="15" t="n">
        <f aca="false">IF(D676=1,INDEX(Grid!$Z$6:$AF$156,C676+1,B676+1),0)</f>
        <v>1</v>
      </c>
      <c r="K676" s="16" t="n">
        <f aca="false">IF(J676=1,E676,0)</f>
        <v>200.880573686145</v>
      </c>
      <c r="L676" s="17" t="n">
        <f aca="false">IF(D676=1,E676+W_board*F676,"")</f>
        <v>941.752606881727</v>
      </c>
      <c r="M676" s="24" t="n">
        <v>1</v>
      </c>
      <c r="N676" s="25" t="n">
        <v>0.219944509271646</v>
      </c>
      <c r="O676" s="25" t="n">
        <v>0.697229795554405</v>
      </c>
      <c r="P676" s="25" t="n">
        <v>0.0828256951739497</v>
      </c>
      <c r="Z676" s="12" t="n">
        <f aca="false">IF(AND($J676=1,$M676=1),N676*E676/Span_P+O676*F676/Span_S+P676*G676/Span_B,"")</f>
        <v>1.5079328660552</v>
      </c>
      <c r="AA676" s="12" t="n">
        <f aca="false">IF(AND($J676=1,$M676=1),SUMPRODUCT(MAX($J$6:$J$1062*(N676*$K$6:$K$1062/Span_P+O676*$F$6:$F$1062/Span_S+P676*$G$6:$G$1062/Span_B)-(1-$J$6:$J$1062)*1000000000)),"")</f>
        <v>1.5079328660552</v>
      </c>
      <c r="AB676" s="15" t="n">
        <f aca="false">IF(AND($J676=1,$M676=1),IF(AA676-Z676&lt;=0.000000001,1,0),"")</f>
        <v>1</v>
      </c>
      <c r="AC676" s="13" t="str">
        <f aca="false">IF(AND($J676=1,$M676=0),IF(S676="",0,S676*INDEX(Grid!$B$6:$H$156,R676+1,Q676+1))+IF(V676="",0,V676*INDEX(Grid!$B$6:$H$156,U676+1,T676+1))+IF(Y676="",0,Y676*INDEX(Grid!$B$6:$H$156,X676+1,W676+1)),"")</f>
        <v/>
      </c>
      <c r="AD676" s="13" t="str">
        <f aca="false">IF(AND($J676=1,$M676=0),IF(S676="",0,S676*Val_pt*(Ceiling_e-E_zero)*(1-(1-Half_gap)^Q676))+IF(V676="",0,V676*Val_pt*(Ceiling_e-E_zero)*(1-(1-Half_gap)^T676))+IF(Y676="",0,Y676*Val_pt*(Ceiling_e-E_zero)*(1-(1-Half_gap)^W676)),"")</f>
        <v/>
      </c>
      <c r="AE676" s="13" t="str">
        <f aca="false">IF(AND($J676=1,$M676=0),IF(S676="",0,S676*R676)+IF(V676="",0,V676*U676)+IF(Y676="",0,Y676*X676),"")</f>
        <v/>
      </c>
      <c r="AF676" s="12" t="str">
        <f aca="false">IF(AND($J676=1,$M676=0),MIN((AC676-E676)/Span_P,(AD676-F676)/Span_S,(AE676-G676)/Span_B),"")</f>
        <v/>
      </c>
      <c r="AG676" s="15" t="str">
        <f aca="false">IF(AND($J676=1,$M676=0),IF(AF676&gt;0.0000001,1,0),"")</f>
        <v/>
      </c>
      <c r="AH676" s="15" t="n">
        <f aca="false">IF($J676=1,IF($M676=1,AB676,AG676),"")</f>
        <v>1</v>
      </c>
      <c r="AI676" s="13" t="n">
        <f aca="false">IF($J676=1,(Ideal_P-E676)/Span_P,"")</f>
        <v>0.506172688627337</v>
      </c>
      <c r="AJ676" s="13" t="n">
        <f aca="false">IF($J676=1,(Ideal_S-F676)/Span_S,"")</f>
        <v>0.0967741935483871</v>
      </c>
      <c r="AK676" s="13" t="n">
        <f aca="false">IF($J676=1,(Ideal_B-G676)/Span_B,"")</f>
        <v>0.56</v>
      </c>
      <c r="AL676" s="12" t="n">
        <f aca="false">IF($J676=1,MAX(ChA_1*AI676,ChA_2*AJ676,ChA_3*AK676)+Rho*(ChA_1*AI676+ChA_2*AJ676+ChA_3*AK676),"")</f>
        <v>0.560116294688218</v>
      </c>
      <c r="AM676" s="12" t="n">
        <f aca="false">IF($J676=1,MAX(ChB_1*AI676,ChB_2*AJ676,ChB_3*AK676)+Rho*(ChB_1*AI676+ChB_2*AJ676+ChB_3*AK676),"")</f>
        <v>1.01251228921175</v>
      </c>
      <c r="AN676" s="12" t="n">
        <f aca="false">IF($J676=1,MAX(Cx_1*(Ref_P-E676)/Span_P,Cx_2*(Ref_S-F676)/Span_S,Cx_3*(Ref_B-G676)/Span_B),"")</f>
        <v>1.43697478991597</v>
      </c>
    </row>
    <row r="677" customFormat="false" ht="15" hidden="false" customHeight="false" outlineLevel="0" collapsed="false">
      <c r="A677" s="2" t="n">
        <v>671</v>
      </c>
      <c r="B677" s="15" t="n">
        <f aca="false">INT(A677/151)</f>
        <v>4</v>
      </c>
      <c r="C677" s="15" t="n">
        <f aca="false">MOD(A677,151)</f>
        <v>67</v>
      </c>
      <c r="D677" s="15" t="n">
        <f aca="false">INDEX(Grid!$J$6:$P$156,C677+1,B677+1)</f>
        <v>1</v>
      </c>
      <c r="E677" s="16" t="n">
        <f aca="false">IF(D677=1,INDEX(Grid!$B$6:$H$156,C677+1,B677+1),"")</f>
        <v>199.971482777054</v>
      </c>
      <c r="F677" s="13" t="n">
        <f aca="false">Val_pt*(Ceiling_e-E_zero)*(1-(1-Half_gap)^B677)</f>
        <v>131.25</v>
      </c>
      <c r="G677" s="15" t="n">
        <f aca="false">C677</f>
        <v>67</v>
      </c>
      <c r="H677" s="15" t="n">
        <f aca="false">IF(D677=1,INDEX(Grid!$R$6:$X$156,C677+1,B677+1),"")</f>
        <v>57</v>
      </c>
      <c r="I677" s="2" t="str">
        <f aca="false">IF(D677=1,INDEX(Sch_label,H677+1),"")</f>
        <v>1–3, 6</v>
      </c>
      <c r="J677" s="15" t="n">
        <f aca="false">IF(D677=1,INDEX(Grid!$Z$6:$AF$156,C677+1,B677+1),0)</f>
        <v>1</v>
      </c>
      <c r="K677" s="16" t="n">
        <f aca="false">IF(J677=1,E677,0)</f>
        <v>199.971482777054</v>
      </c>
      <c r="L677" s="17" t="n">
        <f aca="false">IF(D677=1,E677+W_board*F677,"")</f>
        <v>940.843515972636</v>
      </c>
      <c r="M677" s="24" t="n">
        <v>1</v>
      </c>
      <c r="N677" s="25" t="n">
        <v>0.219944509271646</v>
      </c>
      <c r="O677" s="25" t="n">
        <v>0.6972297955544</v>
      </c>
      <c r="P677" s="25" t="n">
        <v>0.0828256951739536</v>
      </c>
      <c r="Z677" s="12" t="n">
        <f aca="false">IF(AND($J677=1,$M677=1),N677*E677/Span_P+O677*F677/Span_S+P677*G677/Span_B,"")</f>
        <v>1.5079328660552</v>
      </c>
      <c r="AA677" s="12" t="n">
        <f aca="false">IF(AND($J677=1,$M677=1),SUMPRODUCT(MAX($J$6:$J$1062*(N677*$K$6:$K$1062/Span_P+O677*$F$6:$F$1062/Span_S+P677*$G$6:$G$1062/Span_B)-(1-$J$6:$J$1062)*1000000000)),"")</f>
        <v>1.5079328660552</v>
      </c>
      <c r="AB677" s="15" t="n">
        <f aca="false">IF(AND($J677=1,$M677=1),IF(AA677-Z677&lt;=0.000000001,1,0),"")</f>
        <v>1</v>
      </c>
      <c r="AC677" s="13" t="str">
        <f aca="false">IF(AND($J677=1,$M677=0),IF(S677="",0,S677*INDEX(Grid!$B$6:$H$156,R677+1,Q677+1))+IF(V677="",0,V677*INDEX(Grid!$B$6:$H$156,U677+1,T677+1))+IF(Y677="",0,Y677*INDEX(Grid!$B$6:$H$156,X677+1,W677+1)),"")</f>
        <v/>
      </c>
      <c r="AD677" s="13" t="str">
        <f aca="false">IF(AND($J677=1,$M677=0),IF(S677="",0,S677*Val_pt*(Ceiling_e-E_zero)*(1-(1-Half_gap)^Q677))+IF(V677="",0,V677*Val_pt*(Ceiling_e-E_zero)*(1-(1-Half_gap)^T677))+IF(Y677="",0,Y677*Val_pt*(Ceiling_e-E_zero)*(1-(1-Half_gap)^W677)),"")</f>
        <v/>
      </c>
      <c r="AE677" s="13" t="str">
        <f aca="false">IF(AND($J677=1,$M677=0),IF(S677="",0,S677*R677)+IF(V677="",0,V677*U677)+IF(Y677="",0,Y677*X677),"")</f>
        <v/>
      </c>
      <c r="AF677" s="12" t="str">
        <f aca="false">IF(AND($J677=1,$M677=0),MIN((AC677-E677)/Span_P,(AD677-F677)/Span_S,(AE677-G677)/Span_B),"")</f>
        <v/>
      </c>
      <c r="AG677" s="15" t="str">
        <f aca="false">IF(AND($J677=1,$M677=0),IF(AF677&gt;0.0000001,1,0),"")</f>
        <v/>
      </c>
      <c r="AH677" s="15" t="n">
        <f aca="false">IF($J677=1,IF($M677=1,AB677,AG677),"")</f>
        <v>1</v>
      </c>
      <c r="AI677" s="13" t="n">
        <f aca="false">IF($J677=1,(Ideal_P-E677)/Span_P,"")</f>
        <v>0.508683191403643</v>
      </c>
      <c r="AJ677" s="13" t="n">
        <f aca="false">IF($J677=1,(Ideal_S-F677)/Span_S,"")</f>
        <v>0.0967741935483871</v>
      </c>
      <c r="AK677" s="13" t="n">
        <f aca="false">IF($J677=1,(Ideal_B-G677)/Span_B,"")</f>
        <v>0.553333333333333</v>
      </c>
      <c r="AL677" s="12" t="n">
        <f aca="false">IF($J677=1,MAX(ChA_1*AI677,ChA_2*AJ677,ChA_3*AK677)+Rho*(ChA_1*AI677+ChA_2*AJ677+ChA_3*AK677),"")</f>
        <v>0.553449212405162</v>
      </c>
      <c r="AM677" s="12" t="n">
        <f aca="false">IF($J677=1,MAX(ChB_1*AI677,ChB_2*AJ677,ChB_3*AK677)+Rho*(ChB_1*AI677+ChB_2*AJ677+ChB_3*AK677),"")</f>
        <v>1.01753313019825</v>
      </c>
      <c r="AN677" s="12" t="n">
        <f aca="false">IF($J677=1,MAX(Cx_1*(Ref_P-E677)/Span_P,Cx_2*(Ref_S-F677)/Span_S,Cx_3*(Ref_B-G677)/Span_B),"")</f>
        <v>1.42016806722689</v>
      </c>
    </row>
    <row r="678" customFormat="false" ht="15" hidden="false" customHeight="false" outlineLevel="0" collapsed="false">
      <c r="A678" s="2" t="n">
        <v>672</v>
      </c>
      <c r="B678" s="15" t="n">
        <f aca="false">INT(A678/151)</f>
        <v>4</v>
      </c>
      <c r="C678" s="15" t="n">
        <f aca="false">MOD(A678,151)</f>
        <v>68</v>
      </c>
      <c r="D678" s="15" t="n">
        <f aca="false">INDEX(Grid!$J$6:$P$156,C678+1,B678+1)</f>
        <v>1</v>
      </c>
      <c r="E678" s="16" t="n">
        <f aca="false">IF(D678=1,INDEX(Grid!$B$6:$H$156,C678+1,B678+1),"")</f>
        <v>199.062391867963</v>
      </c>
      <c r="F678" s="13" t="n">
        <f aca="false">Val_pt*(Ceiling_e-E_zero)*(1-(1-Half_gap)^B678)</f>
        <v>131.25</v>
      </c>
      <c r="G678" s="15" t="n">
        <f aca="false">C678</f>
        <v>68</v>
      </c>
      <c r="H678" s="15" t="n">
        <f aca="false">IF(D678=1,INDEX(Grid!$R$6:$X$156,C678+1,B678+1),"")</f>
        <v>57</v>
      </c>
      <c r="I678" s="2" t="str">
        <f aca="false">IF(D678=1,INDEX(Sch_label,H678+1),"")</f>
        <v>1–3, 6</v>
      </c>
      <c r="J678" s="15" t="n">
        <f aca="false">IF(D678=1,INDEX(Grid!$Z$6:$AF$156,C678+1,B678+1),0)</f>
        <v>1</v>
      </c>
      <c r="K678" s="16" t="n">
        <f aca="false">IF(J678=1,E678,0)</f>
        <v>199.062391867963</v>
      </c>
      <c r="L678" s="17" t="n">
        <f aca="false">IF(D678=1,E678+W_board*F678,"")</f>
        <v>939.934425063546</v>
      </c>
      <c r="M678" s="24" t="n">
        <v>1</v>
      </c>
      <c r="N678" s="25" t="n">
        <v>0.219944509271645</v>
      </c>
      <c r="O678" s="25" t="n">
        <v>0.697229795554406</v>
      </c>
      <c r="P678" s="25" t="n">
        <v>0.082825695173949</v>
      </c>
      <c r="Z678" s="12" t="n">
        <f aca="false">IF(AND($J678=1,$M678=1),N678*E678/Span_P+O678*F678/Span_S+P678*G678/Span_B,"")</f>
        <v>1.5079328660552</v>
      </c>
      <c r="AA678" s="12" t="n">
        <f aca="false">IF(AND($J678=1,$M678=1),SUMPRODUCT(MAX($J$6:$J$1062*(N678*$K$6:$K$1062/Span_P+O678*$F$6:$F$1062/Span_S+P678*$G$6:$G$1062/Span_B)-(1-$J$6:$J$1062)*1000000000)),"")</f>
        <v>1.50793286605521</v>
      </c>
      <c r="AB678" s="15" t="n">
        <f aca="false">IF(AND($J678=1,$M678=1),IF(AA678-Z678&lt;=0.000000001,1,0),"")</f>
        <v>1</v>
      </c>
      <c r="AC678" s="13" t="str">
        <f aca="false">IF(AND($J678=1,$M678=0),IF(S678="",0,S678*INDEX(Grid!$B$6:$H$156,R678+1,Q678+1))+IF(V678="",0,V678*INDEX(Grid!$B$6:$H$156,U678+1,T678+1))+IF(Y678="",0,Y678*INDEX(Grid!$B$6:$H$156,X678+1,W678+1)),"")</f>
        <v/>
      </c>
      <c r="AD678" s="13" t="str">
        <f aca="false">IF(AND($J678=1,$M678=0),IF(S678="",0,S678*Val_pt*(Ceiling_e-E_zero)*(1-(1-Half_gap)^Q678))+IF(V678="",0,V678*Val_pt*(Ceiling_e-E_zero)*(1-(1-Half_gap)^T678))+IF(Y678="",0,Y678*Val_pt*(Ceiling_e-E_zero)*(1-(1-Half_gap)^W678)),"")</f>
        <v/>
      </c>
      <c r="AE678" s="13" t="str">
        <f aca="false">IF(AND($J678=1,$M678=0),IF(S678="",0,S678*R678)+IF(V678="",0,V678*U678)+IF(Y678="",0,Y678*X678),"")</f>
        <v/>
      </c>
      <c r="AF678" s="12" t="str">
        <f aca="false">IF(AND($J678=1,$M678=0),MIN((AC678-E678)/Span_P,(AD678-F678)/Span_S,(AE678-G678)/Span_B),"")</f>
        <v/>
      </c>
      <c r="AG678" s="15" t="str">
        <f aca="false">IF(AND($J678=1,$M678=0),IF(AF678&gt;0.0000001,1,0),"")</f>
        <v/>
      </c>
      <c r="AH678" s="15" t="n">
        <f aca="false">IF($J678=1,IF($M678=1,AB678,AG678),"")</f>
        <v>1</v>
      </c>
      <c r="AI678" s="13" t="n">
        <f aca="false">IF($J678=1,(Ideal_P-E678)/Span_P,"")</f>
        <v>0.511193694179949</v>
      </c>
      <c r="AJ678" s="13" t="n">
        <f aca="false">IF($J678=1,(Ideal_S-F678)/Span_S,"")</f>
        <v>0.0967741935483871</v>
      </c>
      <c r="AK678" s="13" t="n">
        <f aca="false">IF($J678=1,(Ideal_B-G678)/Span_B,"")</f>
        <v>0.546666666666667</v>
      </c>
      <c r="AL678" s="12" t="n">
        <f aca="false">IF($J678=1,MAX(ChA_1*AI678,ChA_2*AJ678,ChA_3*AK678)+Rho*(ChA_1*AI678+ChA_2*AJ678+ChA_3*AK678),"")</f>
        <v>0.546782130122106</v>
      </c>
      <c r="AM678" s="12" t="n">
        <f aca="false">IF($J678=1,MAX(ChB_1*AI678,ChB_2*AJ678,ChB_3*AK678)+Rho*(ChB_1*AI678+ChB_2*AJ678+ChB_3*AK678),"")</f>
        <v>1.02255397118475</v>
      </c>
      <c r="AN678" s="12" t="n">
        <f aca="false">IF($J678=1,MAX(Cx_1*(Ref_P-E678)/Span_P,Cx_2*(Ref_S-F678)/Span_S,Cx_3*(Ref_B-G678)/Span_B),"")</f>
        <v>1.40336134453782</v>
      </c>
    </row>
    <row r="679" customFormat="false" ht="15" hidden="false" customHeight="false" outlineLevel="0" collapsed="false">
      <c r="A679" s="2" t="n">
        <v>673</v>
      </c>
      <c r="B679" s="15" t="n">
        <f aca="false">INT(A679/151)</f>
        <v>4</v>
      </c>
      <c r="C679" s="15" t="n">
        <f aca="false">MOD(A679,151)</f>
        <v>69</v>
      </c>
      <c r="D679" s="15" t="n">
        <f aca="false">INDEX(Grid!$J$6:$P$156,C679+1,B679+1)</f>
        <v>1</v>
      </c>
      <c r="E679" s="16" t="n">
        <f aca="false">IF(D679=1,INDEX(Grid!$B$6:$H$156,C679+1,B679+1),"")</f>
        <v>198.153300958872</v>
      </c>
      <c r="F679" s="13" t="n">
        <f aca="false">Val_pt*(Ceiling_e-E_zero)*(1-(1-Half_gap)^B679)</f>
        <v>131.25</v>
      </c>
      <c r="G679" s="15" t="n">
        <f aca="false">C679</f>
        <v>69</v>
      </c>
      <c r="H679" s="15" t="n">
        <f aca="false">IF(D679=1,INDEX(Grid!$R$6:$X$156,C679+1,B679+1),"")</f>
        <v>57</v>
      </c>
      <c r="I679" s="2" t="str">
        <f aca="false">IF(D679=1,INDEX(Sch_label,H679+1),"")</f>
        <v>1–3, 6</v>
      </c>
      <c r="J679" s="15" t="n">
        <f aca="false">IF(D679=1,INDEX(Grid!$Z$6:$AF$156,C679+1,B679+1),0)</f>
        <v>1</v>
      </c>
      <c r="K679" s="16" t="n">
        <f aca="false">IF(J679=1,E679,0)</f>
        <v>198.153300958872</v>
      </c>
      <c r="L679" s="17" t="n">
        <f aca="false">IF(D679=1,E679+W_board*F679,"")</f>
        <v>939.025334154455</v>
      </c>
      <c r="M679" s="24" t="n">
        <v>1</v>
      </c>
      <c r="N679" s="25" t="n">
        <v>0.219944509271646</v>
      </c>
      <c r="O679" s="25" t="n">
        <v>0.6972297955544</v>
      </c>
      <c r="P679" s="25" t="n">
        <v>0.0828256951739535</v>
      </c>
      <c r="Z679" s="12" t="n">
        <f aca="false">IF(AND($J679=1,$M679=1),N679*E679/Span_P+O679*F679/Span_S+P679*G679/Span_B,"")</f>
        <v>1.5079328660552</v>
      </c>
      <c r="AA679" s="12" t="n">
        <f aca="false">IF(AND($J679=1,$M679=1),SUMPRODUCT(MAX($J$6:$J$1062*(N679*$K$6:$K$1062/Span_P+O679*$F$6:$F$1062/Span_S+P679*$G$6:$G$1062/Span_B)-(1-$J$6:$J$1062)*1000000000)),"")</f>
        <v>1.5079328660552</v>
      </c>
      <c r="AB679" s="15" t="n">
        <f aca="false">IF(AND($J679=1,$M679=1),IF(AA679-Z679&lt;=0.000000001,1,0),"")</f>
        <v>1</v>
      </c>
      <c r="AC679" s="13" t="str">
        <f aca="false">IF(AND($J679=1,$M679=0),IF(S679="",0,S679*INDEX(Grid!$B$6:$H$156,R679+1,Q679+1))+IF(V679="",0,V679*INDEX(Grid!$B$6:$H$156,U679+1,T679+1))+IF(Y679="",0,Y679*INDEX(Grid!$B$6:$H$156,X679+1,W679+1)),"")</f>
        <v/>
      </c>
      <c r="AD679" s="13" t="str">
        <f aca="false">IF(AND($J679=1,$M679=0),IF(S679="",0,S679*Val_pt*(Ceiling_e-E_zero)*(1-(1-Half_gap)^Q679))+IF(V679="",0,V679*Val_pt*(Ceiling_e-E_zero)*(1-(1-Half_gap)^T679))+IF(Y679="",0,Y679*Val_pt*(Ceiling_e-E_zero)*(1-(1-Half_gap)^W679)),"")</f>
        <v/>
      </c>
      <c r="AE679" s="13" t="str">
        <f aca="false">IF(AND($J679=1,$M679=0),IF(S679="",0,S679*R679)+IF(V679="",0,V679*U679)+IF(Y679="",0,Y679*X679),"")</f>
        <v/>
      </c>
      <c r="AF679" s="12" t="str">
        <f aca="false">IF(AND($J679=1,$M679=0),MIN((AC679-E679)/Span_P,(AD679-F679)/Span_S,(AE679-G679)/Span_B),"")</f>
        <v/>
      </c>
      <c r="AG679" s="15" t="str">
        <f aca="false">IF(AND($J679=1,$M679=0),IF(AF679&gt;0.0000001,1,0),"")</f>
        <v/>
      </c>
      <c r="AH679" s="15" t="n">
        <f aca="false">IF($J679=1,IF($M679=1,AB679,AG679),"")</f>
        <v>1</v>
      </c>
      <c r="AI679" s="13" t="n">
        <f aca="false">IF($J679=1,(Ideal_P-E679)/Span_P,"")</f>
        <v>0.513704196956254</v>
      </c>
      <c r="AJ679" s="13" t="n">
        <f aca="false">IF($J679=1,(Ideal_S-F679)/Span_S,"")</f>
        <v>0.0967741935483871</v>
      </c>
      <c r="AK679" s="13" t="n">
        <f aca="false">IF($J679=1,(Ideal_B-G679)/Span_B,"")</f>
        <v>0.54</v>
      </c>
      <c r="AL679" s="12" t="n">
        <f aca="false">IF($J679=1,MAX(ChA_1*AI679,ChA_2*AJ679,ChA_3*AK679)+Rho*(ChA_1*AI679+ChA_2*AJ679+ChA_3*AK679),"")</f>
        <v>0.540115047839051</v>
      </c>
      <c r="AM679" s="12" t="n">
        <f aca="false">IF($J679=1,MAX(ChB_1*AI679,ChB_2*AJ679,ChB_3*AK679)+Rho*(ChB_1*AI679+ChB_2*AJ679+ChB_3*AK679),"")</f>
        <v>1.02757481217126</v>
      </c>
      <c r="AN679" s="12" t="n">
        <f aca="false">IF($J679=1,MAX(Cx_1*(Ref_P-E679)/Span_P,Cx_2*(Ref_S-F679)/Span_S,Cx_3*(Ref_B-G679)/Span_B),"")</f>
        <v>1.38655462184874</v>
      </c>
    </row>
    <row r="680" customFormat="false" ht="15" hidden="false" customHeight="false" outlineLevel="0" collapsed="false">
      <c r="A680" s="2" t="n">
        <v>674</v>
      </c>
      <c r="B680" s="15" t="n">
        <f aca="false">INT(A680/151)</f>
        <v>4</v>
      </c>
      <c r="C680" s="15" t="n">
        <f aca="false">MOD(A680,151)</f>
        <v>70</v>
      </c>
      <c r="D680" s="15" t="n">
        <f aca="false">INDEX(Grid!$J$6:$P$156,C680+1,B680+1)</f>
        <v>1</v>
      </c>
      <c r="E680" s="16" t="n">
        <f aca="false">IF(D680=1,INDEX(Grid!$B$6:$H$156,C680+1,B680+1),"")</f>
        <v>197.244210049781</v>
      </c>
      <c r="F680" s="13" t="n">
        <f aca="false">Val_pt*(Ceiling_e-E_zero)*(1-(1-Half_gap)^B680)</f>
        <v>131.25</v>
      </c>
      <c r="G680" s="15" t="n">
        <f aca="false">C680</f>
        <v>70</v>
      </c>
      <c r="H680" s="15" t="n">
        <f aca="false">IF(D680=1,INDEX(Grid!$R$6:$X$156,C680+1,B680+1),"")</f>
        <v>57</v>
      </c>
      <c r="I680" s="2" t="str">
        <f aca="false">IF(D680=1,INDEX(Sch_label,H680+1),"")</f>
        <v>1–3, 6</v>
      </c>
      <c r="J680" s="15" t="n">
        <f aca="false">IF(D680=1,INDEX(Grid!$Z$6:$AF$156,C680+1,B680+1),0)</f>
        <v>1</v>
      </c>
      <c r="K680" s="16" t="n">
        <f aca="false">IF(J680=1,E680,0)</f>
        <v>197.244210049781</v>
      </c>
      <c r="L680" s="17" t="n">
        <f aca="false">IF(D680=1,E680+W_board*F680,"")</f>
        <v>938.116243245364</v>
      </c>
      <c r="M680" s="24" t="n">
        <v>1</v>
      </c>
      <c r="N680" s="25" t="n">
        <v>0.219944509271646</v>
      </c>
      <c r="O680" s="25" t="n">
        <v>0.697229795554405</v>
      </c>
      <c r="P680" s="25" t="n">
        <v>0.0828256951739497</v>
      </c>
      <c r="Z680" s="12" t="n">
        <f aca="false">IF(AND($J680=1,$M680=1),N680*E680/Span_P+O680*F680/Span_S+P680*G680/Span_B,"")</f>
        <v>1.5079328660552</v>
      </c>
      <c r="AA680" s="12" t="n">
        <f aca="false">IF(AND($J680=1,$M680=1),SUMPRODUCT(MAX($J$6:$J$1062*(N680*$K$6:$K$1062/Span_P+O680*$F$6:$F$1062/Span_S+P680*$G$6:$G$1062/Span_B)-(1-$J$6:$J$1062)*1000000000)),"")</f>
        <v>1.5079328660552</v>
      </c>
      <c r="AB680" s="15" t="n">
        <f aca="false">IF(AND($J680=1,$M680=1),IF(AA680-Z680&lt;=0.000000001,1,0),"")</f>
        <v>1</v>
      </c>
      <c r="AC680" s="13" t="str">
        <f aca="false">IF(AND($J680=1,$M680=0),IF(S680="",0,S680*INDEX(Grid!$B$6:$H$156,R680+1,Q680+1))+IF(V680="",0,V680*INDEX(Grid!$B$6:$H$156,U680+1,T680+1))+IF(Y680="",0,Y680*INDEX(Grid!$B$6:$H$156,X680+1,W680+1)),"")</f>
        <v/>
      </c>
      <c r="AD680" s="13" t="str">
        <f aca="false">IF(AND($J680=1,$M680=0),IF(S680="",0,S680*Val_pt*(Ceiling_e-E_zero)*(1-(1-Half_gap)^Q680))+IF(V680="",0,V680*Val_pt*(Ceiling_e-E_zero)*(1-(1-Half_gap)^T680))+IF(Y680="",0,Y680*Val_pt*(Ceiling_e-E_zero)*(1-(1-Half_gap)^W680)),"")</f>
        <v/>
      </c>
      <c r="AE680" s="13" t="str">
        <f aca="false">IF(AND($J680=1,$M680=0),IF(S680="",0,S680*R680)+IF(V680="",0,V680*U680)+IF(Y680="",0,Y680*X680),"")</f>
        <v/>
      </c>
      <c r="AF680" s="12" t="str">
        <f aca="false">IF(AND($J680=1,$M680=0),MIN((AC680-E680)/Span_P,(AD680-F680)/Span_S,(AE680-G680)/Span_B),"")</f>
        <v/>
      </c>
      <c r="AG680" s="15" t="str">
        <f aca="false">IF(AND($J680=1,$M680=0),IF(AF680&gt;0.0000001,1,0),"")</f>
        <v/>
      </c>
      <c r="AH680" s="15" t="n">
        <f aca="false">IF($J680=1,IF($M680=1,AB680,AG680),"")</f>
        <v>1</v>
      </c>
      <c r="AI680" s="13" t="n">
        <f aca="false">IF($J680=1,(Ideal_P-E680)/Span_P,"")</f>
        <v>0.51621469973256</v>
      </c>
      <c r="AJ680" s="13" t="n">
        <f aca="false">IF($J680=1,(Ideal_S-F680)/Span_S,"")</f>
        <v>0.0967741935483871</v>
      </c>
      <c r="AK680" s="13" t="n">
        <f aca="false">IF($J680=1,(Ideal_B-G680)/Span_B,"")</f>
        <v>0.533333333333333</v>
      </c>
      <c r="AL680" s="12" t="n">
        <f aca="false">IF($J680=1,MAX(ChA_1*AI680,ChA_2*AJ680,ChA_3*AK680)+Rho*(ChA_1*AI680+ChA_2*AJ680+ChA_3*AK680),"")</f>
        <v>0.533447965555995</v>
      </c>
      <c r="AM680" s="12" t="n">
        <f aca="false">IF($J680=1,MAX(ChB_1*AI680,ChB_2*AJ680,ChB_3*AK680)+Rho*(ChB_1*AI680+ChB_2*AJ680+ChB_3*AK680),"")</f>
        <v>1.03259565315776</v>
      </c>
      <c r="AN680" s="12" t="n">
        <f aca="false">IF($J680=1,MAX(Cx_1*(Ref_P-E680)/Span_P,Cx_2*(Ref_S-F680)/Span_S,Cx_3*(Ref_B-G680)/Span_B),"")</f>
        <v>1.36974789915966</v>
      </c>
    </row>
    <row r="681" customFormat="false" ht="15" hidden="false" customHeight="false" outlineLevel="0" collapsed="false">
      <c r="A681" s="2" t="n">
        <v>675</v>
      </c>
      <c r="B681" s="15" t="n">
        <f aca="false">INT(A681/151)</f>
        <v>4</v>
      </c>
      <c r="C681" s="15" t="n">
        <f aca="false">MOD(A681,151)</f>
        <v>71</v>
      </c>
      <c r="D681" s="15" t="n">
        <f aca="false">INDEX(Grid!$J$6:$P$156,C681+1,B681+1)</f>
        <v>1</v>
      </c>
      <c r="E681" s="16" t="n">
        <f aca="false">IF(D681=1,INDEX(Grid!$B$6:$H$156,C681+1,B681+1),"")</f>
        <v>196.33511914069</v>
      </c>
      <c r="F681" s="13" t="n">
        <f aca="false">Val_pt*(Ceiling_e-E_zero)*(1-(1-Half_gap)^B681)</f>
        <v>131.25</v>
      </c>
      <c r="G681" s="15" t="n">
        <f aca="false">C681</f>
        <v>71</v>
      </c>
      <c r="H681" s="15" t="n">
        <f aca="false">IF(D681=1,INDEX(Grid!$R$6:$X$156,C681+1,B681+1),"")</f>
        <v>57</v>
      </c>
      <c r="I681" s="2" t="str">
        <f aca="false">IF(D681=1,INDEX(Sch_label,H681+1),"")</f>
        <v>1–3, 6</v>
      </c>
      <c r="J681" s="15" t="n">
        <f aca="false">IF(D681=1,INDEX(Grid!$Z$6:$AF$156,C681+1,B681+1),0)</f>
        <v>1</v>
      </c>
      <c r="K681" s="16" t="n">
        <f aca="false">IF(J681=1,E681,0)</f>
        <v>196.33511914069</v>
      </c>
      <c r="L681" s="17" t="n">
        <f aca="false">IF(D681=1,E681+W_board*F681,"")</f>
        <v>937.207152336273</v>
      </c>
      <c r="M681" s="24" t="n">
        <v>1</v>
      </c>
      <c r="N681" s="25" t="n">
        <v>0.219944509271646</v>
      </c>
      <c r="O681" s="25" t="n">
        <v>0.697229795554401</v>
      </c>
      <c r="P681" s="25" t="n">
        <v>0.0828256951739535</v>
      </c>
      <c r="Z681" s="12" t="n">
        <f aca="false">IF(AND($J681=1,$M681=1),N681*E681/Span_P+O681*F681/Span_S+P681*G681/Span_B,"")</f>
        <v>1.5079328660552</v>
      </c>
      <c r="AA681" s="12" t="n">
        <f aca="false">IF(AND($J681=1,$M681=1),SUMPRODUCT(MAX($J$6:$J$1062*(N681*$K$6:$K$1062/Span_P+O681*$F$6:$F$1062/Span_S+P681*$G$6:$G$1062/Span_B)-(1-$J$6:$J$1062)*1000000000)),"")</f>
        <v>1.5079328660552</v>
      </c>
      <c r="AB681" s="15" t="n">
        <f aca="false">IF(AND($J681=1,$M681=1),IF(AA681-Z681&lt;=0.000000001,1,0),"")</f>
        <v>1</v>
      </c>
      <c r="AC681" s="13" t="str">
        <f aca="false">IF(AND($J681=1,$M681=0),IF(S681="",0,S681*INDEX(Grid!$B$6:$H$156,R681+1,Q681+1))+IF(V681="",0,V681*INDEX(Grid!$B$6:$H$156,U681+1,T681+1))+IF(Y681="",0,Y681*INDEX(Grid!$B$6:$H$156,X681+1,W681+1)),"")</f>
        <v/>
      </c>
      <c r="AD681" s="13" t="str">
        <f aca="false">IF(AND($J681=1,$M681=0),IF(S681="",0,S681*Val_pt*(Ceiling_e-E_zero)*(1-(1-Half_gap)^Q681))+IF(V681="",0,V681*Val_pt*(Ceiling_e-E_zero)*(1-(1-Half_gap)^T681))+IF(Y681="",0,Y681*Val_pt*(Ceiling_e-E_zero)*(1-(1-Half_gap)^W681)),"")</f>
        <v/>
      </c>
      <c r="AE681" s="13" t="str">
        <f aca="false">IF(AND($J681=1,$M681=0),IF(S681="",0,S681*R681)+IF(V681="",0,V681*U681)+IF(Y681="",0,Y681*X681),"")</f>
        <v/>
      </c>
      <c r="AF681" s="12" t="str">
        <f aca="false">IF(AND($J681=1,$M681=0),MIN((AC681-E681)/Span_P,(AD681-F681)/Span_S,(AE681-G681)/Span_B),"")</f>
        <v/>
      </c>
      <c r="AG681" s="15" t="str">
        <f aca="false">IF(AND($J681=1,$M681=0),IF(AF681&gt;0.0000001,1,0),"")</f>
        <v/>
      </c>
      <c r="AH681" s="15" t="n">
        <f aca="false">IF($J681=1,IF($M681=1,AB681,AG681),"")</f>
        <v>1</v>
      </c>
      <c r="AI681" s="13" t="n">
        <f aca="false">IF($J681=1,(Ideal_P-E681)/Span_P,"")</f>
        <v>0.518725202508866</v>
      </c>
      <c r="AJ681" s="13" t="n">
        <f aca="false">IF($J681=1,(Ideal_S-F681)/Span_S,"")</f>
        <v>0.0967741935483871</v>
      </c>
      <c r="AK681" s="13" t="n">
        <f aca="false">IF($J681=1,(Ideal_B-G681)/Span_B,"")</f>
        <v>0.526666666666667</v>
      </c>
      <c r="AL681" s="12" t="n">
        <f aca="false">IF($J681=1,MAX(ChA_1*AI681,ChA_2*AJ681,ChA_3*AK681)+Rho*(ChA_1*AI681+ChA_2*AJ681+ChA_3*AK681),"")</f>
        <v>0.526780883272939</v>
      </c>
      <c r="AM681" s="12" t="n">
        <f aca="false">IF($J681=1,MAX(ChB_1*AI681,ChB_2*AJ681,ChB_3*AK681)+Rho*(ChB_1*AI681+ChB_2*AJ681+ChB_3*AK681),"")</f>
        <v>1.03761649414426</v>
      </c>
      <c r="AN681" s="12" t="n">
        <f aca="false">IF($J681=1,MAX(Cx_1*(Ref_P-E681)/Span_P,Cx_2*(Ref_S-F681)/Span_S,Cx_3*(Ref_B-G681)/Span_B),"")</f>
        <v>1.35294117647059</v>
      </c>
    </row>
    <row r="682" customFormat="false" ht="15" hidden="false" customHeight="false" outlineLevel="0" collapsed="false">
      <c r="A682" s="2" t="n">
        <v>676</v>
      </c>
      <c r="B682" s="15" t="n">
        <f aca="false">INT(A682/151)</f>
        <v>4</v>
      </c>
      <c r="C682" s="15" t="n">
        <f aca="false">MOD(A682,151)</f>
        <v>72</v>
      </c>
      <c r="D682" s="15" t="n">
        <f aca="false">INDEX(Grid!$J$6:$P$156,C682+1,B682+1)</f>
        <v>1</v>
      </c>
      <c r="E682" s="16" t="n">
        <f aca="false">IF(D682=1,INDEX(Grid!$B$6:$H$156,C682+1,B682+1),"")</f>
        <v>195.426028231599</v>
      </c>
      <c r="F682" s="13" t="n">
        <f aca="false">Val_pt*(Ceiling_e-E_zero)*(1-(1-Half_gap)^B682)</f>
        <v>131.25</v>
      </c>
      <c r="G682" s="15" t="n">
        <f aca="false">C682</f>
        <v>72</v>
      </c>
      <c r="H682" s="15" t="n">
        <f aca="false">IF(D682=1,INDEX(Grid!$R$6:$X$156,C682+1,B682+1),"")</f>
        <v>57</v>
      </c>
      <c r="I682" s="2" t="str">
        <f aca="false">IF(D682=1,INDEX(Sch_label,H682+1),"")</f>
        <v>1–3, 6</v>
      </c>
      <c r="J682" s="15" t="n">
        <f aca="false">IF(D682=1,INDEX(Grid!$Z$6:$AF$156,C682+1,B682+1),0)</f>
        <v>1</v>
      </c>
      <c r="K682" s="16" t="n">
        <f aca="false">IF(J682=1,E682,0)</f>
        <v>195.426028231599</v>
      </c>
      <c r="L682" s="17" t="n">
        <f aca="false">IF(D682=1,E682+W_board*F682,"")</f>
        <v>936.298061427182</v>
      </c>
      <c r="M682" s="24" t="n">
        <v>1</v>
      </c>
      <c r="N682" s="25" t="n">
        <v>0.219944509271646</v>
      </c>
      <c r="O682" s="25" t="n">
        <v>0.697229795554405</v>
      </c>
      <c r="P682" s="25" t="n">
        <v>0.082825695173949</v>
      </c>
      <c r="Z682" s="12" t="n">
        <f aca="false">IF(AND($J682=1,$M682=1),N682*E682/Span_P+O682*F682/Span_S+P682*G682/Span_B,"")</f>
        <v>1.5079328660552</v>
      </c>
      <c r="AA682" s="12" t="n">
        <f aca="false">IF(AND($J682=1,$M682=1),SUMPRODUCT(MAX($J$6:$J$1062*(N682*$K$6:$K$1062/Span_P+O682*$F$6:$F$1062/Span_S+P682*$G$6:$G$1062/Span_B)-(1-$J$6:$J$1062)*1000000000)),"")</f>
        <v>1.50793286605521</v>
      </c>
      <c r="AB682" s="15" t="n">
        <f aca="false">IF(AND($J682=1,$M682=1),IF(AA682-Z682&lt;=0.000000001,1,0),"")</f>
        <v>1</v>
      </c>
      <c r="AC682" s="13" t="str">
        <f aca="false">IF(AND($J682=1,$M682=0),IF(S682="",0,S682*INDEX(Grid!$B$6:$H$156,R682+1,Q682+1))+IF(V682="",0,V682*INDEX(Grid!$B$6:$H$156,U682+1,T682+1))+IF(Y682="",0,Y682*INDEX(Grid!$B$6:$H$156,X682+1,W682+1)),"")</f>
        <v/>
      </c>
      <c r="AD682" s="13" t="str">
        <f aca="false">IF(AND($J682=1,$M682=0),IF(S682="",0,S682*Val_pt*(Ceiling_e-E_zero)*(1-(1-Half_gap)^Q682))+IF(V682="",0,V682*Val_pt*(Ceiling_e-E_zero)*(1-(1-Half_gap)^T682))+IF(Y682="",0,Y682*Val_pt*(Ceiling_e-E_zero)*(1-(1-Half_gap)^W682)),"")</f>
        <v/>
      </c>
      <c r="AE682" s="13" t="str">
        <f aca="false">IF(AND($J682=1,$M682=0),IF(S682="",0,S682*R682)+IF(V682="",0,V682*U682)+IF(Y682="",0,Y682*X682),"")</f>
        <v/>
      </c>
      <c r="AF682" s="12" t="str">
        <f aca="false">IF(AND($J682=1,$M682=0),MIN((AC682-E682)/Span_P,(AD682-F682)/Span_S,(AE682-G682)/Span_B),"")</f>
        <v/>
      </c>
      <c r="AG682" s="15" t="str">
        <f aca="false">IF(AND($J682=1,$M682=0),IF(AF682&gt;0.0000001,1,0),"")</f>
        <v/>
      </c>
      <c r="AH682" s="15" t="n">
        <f aca="false">IF($J682=1,IF($M682=1,AB682,AG682),"")</f>
        <v>1</v>
      </c>
      <c r="AI682" s="13" t="n">
        <f aca="false">IF($J682=1,(Ideal_P-E682)/Span_P,"")</f>
        <v>0.521235705285172</v>
      </c>
      <c r="AJ682" s="13" t="n">
        <f aca="false">IF($J682=1,(Ideal_S-F682)/Span_S,"")</f>
        <v>0.0967741935483871</v>
      </c>
      <c r="AK682" s="13" t="n">
        <f aca="false">IF($J682=1,(Ideal_B-G682)/Span_B,"")</f>
        <v>0.52</v>
      </c>
      <c r="AL682" s="12" t="n">
        <f aca="false">IF($J682=1,MAX(ChA_1*AI682,ChA_2*AJ682,ChA_3*AK682)+Rho*(ChA_1*AI682+ChA_2*AJ682+ChA_3*AK682),"")</f>
        <v>0.521349506275055</v>
      </c>
      <c r="AM682" s="12" t="n">
        <f aca="false">IF($J682=1,MAX(ChB_1*AI682,ChB_2*AJ682,ChB_3*AK682)+Rho*(ChB_1*AI682+ChB_2*AJ682+ChB_3*AK682),"")</f>
        <v>1.04263733513076</v>
      </c>
      <c r="AN682" s="12" t="n">
        <f aca="false">IF($J682=1,MAX(Cx_1*(Ref_P-E682)/Span_P,Cx_2*(Ref_S-F682)/Span_S,Cx_3*(Ref_B-G682)/Span_B),"")</f>
        <v>1.33613445378151</v>
      </c>
    </row>
    <row r="683" customFormat="false" ht="15" hidden="false" customHeight="false" outlineLevel="0" collapsed="false">
      <c r="A683" s="2" t="n">
        <v>677</v>
      </c>
      <c r="B683" s="15" t="n">
        <f aca="false">INT(A683/151)</f>
        <v>4</v>
      </c>
      <c r="C683" s="15" t="n">
        <f aca="false">MOD(A683,151)</f>
        <v>73</v>
      </c>
      <c r="D683" s="15" t="n">
        <f aca="false">INDEX(Grid!$J$6:$P$156,C683+1,B683+1)</f>
        <v>1</v>
      </c>
      <c r="E683" s="16" t="n">
        <f aca="false">IF(D683=1,INDEX(Grid!$B$6:$H$156,C683+1,B683+1),"")</f>
        <v>194.516937322508</v>
      </c>
      <c r="F683" s="13" t="n">
        <f aca="false">Val_pt*(Ceiling_e-E_zero)*(1-(1-Half_gap)^B683)</f>
        <v>131.25</v>
      </c>
      <c r="G683" s="15" t="n">
        <f aca="false">C683</f>
        <v>73</v>
      </c>
      <c r="H683" s="15" t="n">
        <f aca="false">IF(D683=1,INDEX(Grid!$R$6:$X$156,C683+1,B683+1),"")</f>
        <v>57</v>
      </c>
      <c r="I683" s="2" t="str">
        <f aca="false">IF(D683=1,INDEX(Sch_label,H683+1),"")</f>
        <v>1–3, 6</v>
      </c>
      <c r="J683" s="15" t="n">
        <f aca="false">IF(D683=1,INDEX(Grid!$Z$6:$AF$156,C683+1,B683+1),0)</f>
        <v>1</v>
      </c>
      <c r="K683" s="16" t="n">
        <f aca="false">IF(J683=1,E683,0)</f>
        <v>194.516937322508</v>
      </c>
      <c r="L683" s="17" t="n">
        <f aca="false">IF(D683=1,E683+W_board*F683,"")</f>
        <v>935.388970518091</v>
      </c>
      <c r="M683" s="24" t="n">
        <v>1</v>
      </c>
      <c r="N683" s="25" t="n">
        <v>0.219944509271646</v>
      </c>
      <c r="O683" s="25" t="n">
        <v>0.697229795554401</v>
      </c>
      <c r="P683" s="25" t="n">
        <v>0.0828256951739535</v>
      </c>
      <c r="Z683" s="12" t="n">
        <f aca="false">IF(AND($J683=1,$M683=1),N683*E683/Span_P+O683*F683/Span_S+P683*G683/Span_B,"")</f>
        <v>1.5079328660552</v>
      </c>
      <c r="AA683" s="12" t="n">
        <f aca="false">IF(AND($J683=1,$M683=1),SUMPRODUCT(MAX($J$6:$J$1062*(N683*$K$6:$K$1062/Span_P+O683*$F$6:$F$1062/Span_S+P683*$G$6:$G$1062/Span_B)-(1-$J$6:$J$1062)*1000000000)),"")</f>
        <v>1.5079328660552</v>
      </c>
      <c r="AB683" s="15" t="n">
        <f aca="false">IF(AND($J683=1,$M683=1),IF(AA683-Z683&lt;=0.000000001,1,0),"")</f>
        <v>1</v>
      </c>
      <c r="AC683" s="13" t="str">
        <f aca="false">IF(AND($J683=1,$M683=0),IF(S683="",0,S683*INDEX(Grid!$B$6:$H$156,R683+1,Q683+1))+IF(V683="",0,V683*INDEX(Grid!$B$6:$H$156,U683+1,T683+1))+IF(Y683="",0,Y683*INDEX(Grid!$B$6:$H$156,X683+1,W683+1)),"")</f>
        <v/>
      </c>
      <c r="AD683" s="13" t="str">
        <f aca="false">IF(AND($J683=1,$M683=0),IF(S683="",0,S683*Val_pt*(Ceiling_e-E_zero)*(1-(1-Half_gap)^Q683))+IF(V683="",0,V683*Val_pt*(Ceiling_e-E_zero)*(1-(1-Half_gap)^T683))+IF(Y683="",0,Y683*Val_pt*(Ceiling_e-E_zero)*(1-(1-Half_gap)^W683)),"")</f>
        <v/>
      </c>
      <c r="AE683" s="13" t="str">
        <f aca="false">IF(AND($J683=1,$M683=0),IF(S683="",0,S683*R683)+IF(V683="",0,V683*U683)+IF(Y683="",0,Y683*X683),"")</f>
        <v/>
      </c>
      <c r="AF683" s="12" t="str">
        <f aca="false">IF(AND($J683=1,$M683=0),MIN((AC683-E683)/Span_P,(AD683-F683)/Span_S,(AE683-G683)/Span_B),"")</f>
        <v/>
      </c>
      <c r="AG683" s="15" t="str">
        <f aca="false">IF(AND($J683=1,$M683=0),IF(AF683&gt;0.0000001,1,0),"")</f>
        <v/>
      </c>
      <c r="AH683" s="15" t="n">
        <f aca="false">IF($J683=1,IF($M683=1,AB683,AG683),"")</f>
        <v>1</v>
      </c>
      <c r="AI683" s="13" t="n">
        <f aca="false">IF($J683=1,(Ideal_P-E683)/Span_P,"")</f>
        <v>0.523746208061478</v>
      </c>
      <c r="AJ683" s="13" t="n">
        <f aca="false">IF($J683=1,(Ideal_S-F683)/Span_S,"")</f>
        <v>0.0967741935483871</v>
      </c>
      <c r="AK683" s="13" t="n">
        <f aca="false">IF($J683=1,(Ideal_B-G683)/Span_B,"")</f>
        <v>0.513333333333333</v>
      </c>
      <c r="AL683" s="12" t="n">
        <f aca="false">IF($J683=1,MAX(ChA_1*AI683,ChA_2*AJ683,ChA_3*AK683)+Rho*(ChA_1*AI683+ChA_2*AJ683+ChA_3*AK683),"")</f>
        <v>0.523859593434972</v>
      </c>
      <c r="AM683" s="12" t="n">
        <f aca="false">IF($J683=1,MAX(ChB_1*AI683,ChB_2*AJ683,ChB_3*AK683)+Rho*(ChB_1*AI683+ChB_2*AJ683+ChB_3*AK683),"")</f>
        <v>1.04765817611726</v>
      </c>
      <c r="AN683" s="12" t="n">
        <f aca="false">IF($J683=1,MAX(Cx_1*(Ref_P-E683)/Span_P,Cx_2*(Ref_S-F683)/Span_S,Cx_3*(Ref_B-G683)/Span_B),"")</f>
        <v>1.33296333345732</v>
      </c>
    </row>
    <row r="684" customFormat="false" ht="15" hidden="false" customHeight="false" outlineLevel="0" collapsed="false">
      <c r="A684" s="2" t="n">
        <v>678</v>
      </c>
      <c r="B684" s="15" t="n">
        <f aca="false">INT(A684/151)</f>
        <v>4</v>
      </c>
      <c r="C684" s="15" t="n">
        <f aca="false">MOD(A684,151)</f>
        <v>74</v>
      </c>
      <c r="D684" s="15" t="n">
        <f aca="false">INDEX(Grid!$J$6:$P$156,C684+1,B684+1)</f>
        <v>1</v>
      </c>
      <c r="E684" s="16" t="n">
        <f aca="false">IF(D684=1,INDEX(Grid!$B$6:$H$156,C684+1,B684+1),"")</f>
        <v>193.607846413417</v>
      </c>
      <c r="F684" s="13" t="n">
        <f aca="false">Val_pt*(Ceiling_e-E_zero)*(1-(1-Half_gap)^B684)</f>
        <v>131.25</v>
      </c>
      <c r="G684" s="15" t="n">
        <f aca="false">C684</f>
        <v>74</v>
      </c>
      <c r="H684" s="15" t="n">
        <f aca="false">IF(D684=1,INDEX(Grid!$R$6:$X$156,C684+1,B684+1),"")</f>
        <v>57</v>
      </c>
      <c r="I684" s="2" t="str">
        <f aca="false">IF(D684=1,INDEX(Sch_label,H684+1),"")</f>
        <v>1–3, 6</v>
      </c>
      <c r="J684" s="15" t="n">
        <f aca="false">IF(D684=1,INDEX(Grid!$Z$6:$AF$156,C684+1,B684+1),0)</f>
        <v>1</v>
      </c>
      <c r="K684" s="16" t="n">
        <f aca="false">IF(J684=1,E684,0)</f>
        <v>193.607846413417</v>
      </c>
      <c r="L684" s="17" t="n">
        <f aca="false">IF(D684=1,E684+W_board*F684,"")</f>
        <v>934.479879609</v>
      </c>
      <c r="M684" s="24" t="n">
        <v>1</v>
      </c>
      <c r="N684" s="25" t="n">
        <v>0.219944509271646</v>
      </c>
      <c r="O684" s="25" t="n">
        <v>0.697229795554405</v>
      </c>
      <c r="P684" s="25" t="n">
        <v>0.0828256951739498</v>
      </c>
      <c r="Z684" s="12" t="n">
        <f aca="false">IF(AND($J684=1,$M684=1),N684*E684/Span_P+O684*F684/Span_S+P684*G684/Span_B,"")</f>
        <v>1.5079328660552</v>
      </c>
      <c r="AA684" s="12" t="n">
        <f aca="false">IF(AND($J684=1,$M684=1),SUMPRODUCT(MAX($J$6:$J$1062*(N684*$K$6:$K$1062/Span_P+O684*$F$6:$F$1062/Span_S+P684*$G$6:$G$1062/Span_B)-(1-$J$6:$J$1062)*1000000000)),"")</f>
        <v>1.5079328660552</v>
      </c>
      <c r="AB684" s="15" t="n">
        <f aca="false">IF(AND($J684=1,$M684=1),IF(AA684-Z684&lt;=0.000000001,1,0),"")</f>
        <v>1</v>
      </c>
      <c r="AC684" s="13" t="str">
        <f aca="false">IF(AND($J684=1,$M684=0),IF(S684="",0,S684*INDEX(Grid!$B$6:$H$156,R684+1,Q684+1))+IF(V684="",0,V684*INDEX(Grid!$B$6:$H$156,U684+1,T684+1))+IF(Y684="",0,Y684*INDEX(Grid!$B$6:$H$156,X684+1,W684+1)),"")</f>
        <v/>
      </c>
      <c r="AD684" s="13" t="str">
        <f aca="false">IF(AND($J684=1,$M684=0),IF(S684="",0,S684*Val_pt*(Ceiling_e-E_zero)*(1-(1-Half_gap)^Q684))+IF(V684="",0,V684*Val_pt*(Ceiling_e-E_zero)*(1-(1-Half_gap)^T684))+IF(Y684="",0,Y684*Val_pt*(Ceiling_e-E_zero)*(1-(1-Half_gap)^W684)),"")</f>
        <v/>
      </c>
      <c r="AE684" s="13" t="str">
        <f aca="false">IF(AND($J684=1,$M684=0),IF(S684="",0,S684*R684)+IF(V684="",0,V684*U684)+IF(Y684="",0,Y684*X684),"")</f>
        <v/>
      </c>
      <c r="AF684" s="12" t="str">
        <f aca="false">IF(AND($J684=1,$M684=0),MIN((AC684-E684)/Span_P,(AD684-F684)/Span_S,(AE684-G684)/Span_B),"")</f>
        <v/>
      </c>
      <c r="AG684" s="15" t="str">
        <f aca="false">IF(AND($J684=1,$M684=0),IF(AF684&gt;0.0000001,1,0),"")</f>
        <v/>
      </c>
      <c r="AH684" s="15" t="n">
        <f aca="false">IF($J684=1,IF($M684=1,AB684,AG684),"")</f>
        <v>1</v>
      </c>
      <c r="AI684" s="13" t="n">
        <f aca="false">IF($J684=1,(Ideal_P-E684)/Span_P,"")</f>
        <v>0.526256710837783</v>
      </c>
      <c r="AJ684" s="13" t="n">
        <f aca="false">IF($J684=1,(Ideal_S-F684)/Span_S,"")</f>
        <v>0.0967741935483871</v>
      </c>
      <c r="AK684" s="13" t="n">
        <f aca="false">IF($J684=1,(Ideal_B-G684)/Span_B,"")</f>
        <v>0.506666666666667</v>
      </c>
      <c r="AL684" s="12" t="n">
        <f aca="false">IF($J684=1,MAX(ChA_1*AI684,ChA_2*AJ684,ChA_3*AK684)+Rho*(ChA_1*AI684+ChA_2*AJ684+ChA_3*AK684),"")</f>
        <v>0.526369680594888</v>
      </c>
      <c r="AM684" s="12" t="n">
        <f aca="false">IF($J684=1,MAX(ChB_1*AI684,ChB_2*AJ684,ChB_3*AK684)+Rho*(ChB_1*AI684+ChB_2*AJ684+ChB_3*AK684),"")</f>
        <v>1.05267901710376</v>
      </c>
      <c r="AN684" s="12" t="n">
        <f aca="false">IF($J684=1,MAX(Cx_1*(Ref_P-E684)/Span_P,Cx_2*(Ref_S-F684)/Span_S,Cx_3*(Ref_B-G684)/Span_B),"")</f>
        <v>1.33923299514075</v>
      </c>
    </row>
    <row r="685" customFormat="false" ht="15" hidden="false" customHeight="false" outlineLevel="0" collapsed="false">
      <c r="A685" s="2" t="n">
        <v>679</v>
      </c>
      <c r="B685" s="15" t="n">
        <f aca="false">INT(A685/151)</f>
        <v>4</v>
      </c>
      <c r="C685" s="15" t="n">
        <f aca="false">MOD(A685,151)</f>
        <v>75</v>
      </c>
      <c r="D685" s="15" t="n">
        <f aca="false">INDEX(Grid!$J$6:$P$156,C685+1,B685+1)</f>
        <v>1</v>
      </c>
      <c r="E685" s="16" t="n">
        <f aca="false">IF(D685=1,INDEX(Grid!$B$6:$H$156,C685+1,B685+1),"")</f>
        <v>192.698755504326</v>
      </c>
      <c r="F685" s="13" t="n">
        <f aca="false">Val_pt*(Ceiling_e-E_zero)*(1-(1-Half_gap)^B685)</f>
        <v>131.25</v>
      </c>
      <c r="G685" s="15" t="n">
        <f aca="false">C685</f>
        <v>75</v>
      </c>
      <c r="H685" s="15" t="n">
        <f aca="false">IF(D685=1,INDEX(Grid!$R$6:$X$156,C685+1,B685+1),"")</f>
        <v>57</v>
      </c>
      <c r="I685" s="2" t="str">
        <f aca="false">IF(D685=1,INDEX(Sch_label,H685+1),"")</f>
        <v>1–3, 6</v>
      </c>
      <c r="J685" s="15" t="n">
        <f aca="false">IF(D685=1,INDEX(Grid!$Z$6:$AF$156,C685+1,B685+1),0)</f>
        <v>1</v>
      </c>
      <c r="K685" s="16" t="n">
        <f aca="false">IF(J685=1,E685,0)</f>
        <v>192.698755504326</v>
      </c>
      <c r="L685" s="17" t="n">
        <f aca="false">IF(D685=1,E685+W_board*F685,"")</f>
        <v>933.570788699909</v>
      </c>
      <c r="M685" s="24" t="n">
        <v>1</v>
      </c>
      <c r="N685" s="25" t="n">
        <v>0.219944509271646</v>
      </c>
      <c r="O685" s="25" t="n">
        <v>0.697229795554402</v>
      </c>
      <c r="P685" s="25" t="n">
        <v>0.0828256951739528</v>
      </c>
      <c r="Z685" s="12" t="n">
        <f aca="false">IF(AND($J685=1,$M685=1),N685*E685/Span_P+O685*F685/Span_S+P685*G685/Span_B,"")</f>
        <v>1.5079328660552</v>
      </c>
      <c r="AA685" s="12" t="n">
        <f aca="false">IF(AND($J685=1,$M685=1),SUMPRODUCT(MAX($J$6:$J$1062*(N685*$K$6:$K$1062/Span_P+O685*$F$6:$F$1062/Span_S+P685*$G$6:$G$1062/Span_B)-(1-$J$6:$J$1062)*1000000000)),"")</f>
        <v>1.5079328660552</v>
      </c>
      <c r="AB685" s="15" t="n">
        <f aca="false">IF(AND($J685=1,$M685=1),IF(AA685-Z685&lt;=0.000000001,1,0),"")</f>
        <v>1</v>
      </c>
      <c r="AC685" s="13" t="str">
        <f aca="false">IF(AND($J685=1,$M685=0),IF(S685="",0,S685*INDEX(Grid!$B$6:$H$156,R685+1,Q685+1))+IF(V685="",0,V685*INDEX(Grid!$B$6:$H$156,U685+1,T685+1))+IF(Y685="",0,Y685*INDEX(Grid!$B$6:$H$156,X685+1,W685+1)),"")</f>
        <v/>
      </c>
      <c r="AD685" s="13" t="str">
        <f aca="false">IF(AND($J685=1,$M685=0),IF(S685="",0,S685*Val_pt*(Ceiling_e-E_zero)*(1-(1-Half_gap)^Q685))+IF(V685="",0,V685*Val_pt*(Ceiling_e-E_zero)*(1-(1-Half_gap)^T685))+IF(Y685="",0,Y685*Val_pt*(Ceiling_e-E_zero)*(1-(1-Half_gap)^W685)),"")</f>
        <v/>
      </c>
      <c r="AE685" s="13" t="str">
        <f aca="false">IF(AND($J685=1,$M685=0),IF(S685="",0,S685*R685)+IF(V685="",0,V685*U685)+IF(Y685="",0,Y685*X685),"")</f>
        <v/>
      </c>
      <c r="AF685" s="12" t="str">
        <f aca="false">IF(AND($J685=1,$M685=0),MIN((AC685-E685)/Span_P,(AD685-F685)/Span_S,(AE685-G685)/Span_B),"")</f>
        <v/>
      </c>
      <c r="AG685" s="15" t="str">
        <f aca="false">IF(AND($J685=1,$M685=0),IF(AF685&gt;0.0000001,1,0),"")</f>
        <v/>
      </c>
      <c r="AH685" s="15" t="n">
        <f aca="false">IF($J685=1,IF($M685=1,AB685,AG685),"")</f>
        <v>1</v>
      </c>
      <c r="AI685" s="13" t="n">
        <f aca="false">IF($J685=1,(Ideal_P-E685)/Span_P,"")</f>
        <v>0.528767213614089</v>
      </c>
      <c r="AJ685" s="13" t="n">
        <f aca="false">IF($J685=1,(Ideal_S-F685)/Span_S,"")</f>
        <v>0.0967741935483871</v>
      </c>
      <c r="AK685" s="13" t="n">
        <f aca="false">IF($J685=1,(Ideal_B-G685)/Span_B,"")</f>
        <v>0.5</v>
      </c>
      <c r="AL685" s="12" t="n">
        <f aca="false">IF($J685=1,MAX(ChA_1*AI685,ChA_2*AJ685,ChA_3*AK685)+Rho*(ChA_1*AI685+ChA_2*AJ685+ChA_3*AK685),"")</f>
        <v>0.528879767754805</v>
      </c>
      <c r="AM685" s="12" t="n">
        <f aca="false">IF($J685=1,MAX(ChB_1*AI685,ChB_2*AJ685,ChB_3*AK685)+Rho*(ChB_1*AI685+ChB_2*AJ685+ChB_3*AK685),"")</f>
        <v>1.05769985809026</v>
      </c>
      <c r="AN685" s="12" t="n">
        <f aca="false">IF($J685=1,MAX(Cx_1*(Ref_P-E685)/Span_P,Cx_2*(Ref_S-F685)/Span_S,Cx_3*(Ref_B-G685)/Span_B),"")</f>
        <v>1.34550265682418</v>
      </c>
    </row>
    <row r="686" customFormat="false" ht="15" hidden="false" customHeight="false" outlineLevel="0" collapsed="false">
      <c r="A686" s="2" t="n">
        <v>680</v>
      </c>
      <c r="B686" s="15" t="n">
        <f aca="false">INT(A686/151)</f>
        <v>4</v>
      </c>
      <c r="C686" s="15" t="n">
        <f aca="false">MOD(A686,151)</f>
        <v>76</v>
      </c>
      <c r="D686" s="15" t="n">
        <f aca="false">INDEX(Grid!$J$6:$P$156,C686+1,B686+1)</f>
        <v>1</v>
      </c>
      <c r="E686" s="16" t="n">
        <f aca="false">IF(D686=1,INDEX(Grid!$B$6:$H$156,C686+1,B686+1),"")</f>
        <v>191.789664595236</v>
      </c>
      <c r="F686" s="13" t="n">
        <f aca="false">Val_pt*(Ceiling_e-E_zero)*(1-(1-Half_gap)^B686)</f>
        <v>131.25</v>
      </c>
      <c r="G686" s="15" t="n">
        <f aca="false">C686</f>
        <v>76</v>
      </c>
      <c r="H686" s="15" t="n">
        <f aca="false">IF(D686=1,INDEX(Grid!$R$6:$X$156,C686+1,B686+1),"")</f>
        <v>57</v>
      </c>
      <c r="I686" s="2" t="str">
        <f aca="false">IF(D686=1,INDEX(Sch_label,H686+1),"")</f>
        <v>1–3, 6</v>
      </c>
      <c r="J686" s="15" t="n">
        <f aca="false">IF(D686=1,INDEX(Grid!$Z$6:$AF$156,C686+1,B686+1),0)</f>
        <v>1</v>
      </c>
      <c r="K686" s="16" t="n">
        <f aca="false">IF(J686=1,E686,0)</f>
        <v>191.789664595236</v>
      </c>
      <c r="L686" s="17" t="n">
        <f aca="false">IF(D686=1,E686+W_board*F686,"")</f>
        <v>932.661697790818</v>
      </c>
      <c r="M686" s="24" t="n">
        <v>1</v>
      </c>
      <c r="N686" s="25" t="n">
        <v>0.219944509271646</v>
      </c>
      <c r="O686" s="25" t="n">
        <v>0.6972297955544</v>
      </c>
      <c r="P686" s="25" t="n">
        <v>0.0828256951739541</v>
      </c>
      <c r="Z686" s="12" t="n">
        <f aca="false">IF(AND($J686=1,$M686=1),N686*E686/Span_P+O686*F686/Span_S+P686*G686/Span_B,"")</f>
        <v>1.5079328660552</v>
      </c>
      <c r="AA686" s="12" t="n">
        <f aca="false">IF(AND($J686=1,$M686=1),SUMPRODUCT(MAX($J$6:$J$1062*(N686*$K$6:$K$1062/Span_P+O686*$F$6:$F$1062/Span_S+P686*$G$6:$G$1062/Span_B)-(1-$J$6:$J$1062)*1000000000)),"")</f>
        <v>1.5079328660552</v>
      </c>
      <c r="AB686" s="15" t="n">
        <f aca="false">IF(AND($J686=1,$M686=1),IF(AA686-Z686&lt;=0.000000001,1,0),"")</f>
        <v>1</v>
      </c>
      <c r="AC686" s="13" t="str">
        <f aca="false">IF(AND($J686=1,$M686=0),IF(S686="",0,S686*INDEX(Grid!$B$6:$H$156,R686+1,Q686+1))+IF(V686="",0,V686*INDEX(Grid!$B$6:$H$156,U686+1,T686+1))+IF(Y686="",0,Y686*INDEX(Grid!$B$6:$H$156,X686+1,W686+1)),"")</f>
        <v/>
      </c>
      <c r="AD686" s="13" t="str">
        <f aca="false">IF(AND($J686=1,$M686=0),IF(S686="",0,S686*Val_pt*(Ceiling_e-E_zero)*(1-(1-Half_gap)^Q686))+IF(V686="",0,V686*Val_pt*(Ceiling_e-E_zero)*(1-(1-Half_gap)^T686))+IF(Y686="",0,Y686*Val_pt*(Ceiling_e-E_zero)*(1-(1-Half_gap)^W686)),"")</f>
        <v/>
      </c>
      <c r="AE686" s="13" t="str">
        <f aca="false">IF(AND($J686=1,$M686=0),IF(S686="",0,S686*R686)+IF(V686="",0,V686*U686)+IF(Y686="",0,Y686*X686),"")</f>
        <v/>
      </c>
      <c r="AF686" s="12" t="str">
        <f aca="false">IF(AND($J686=1,$M686=0),MIN((AC686-E686)/Span_P,(AD686-F686)/Span_S,(AE686-G686)/Span_B),"")</f>
        <v/>
      </c>
      <c r="AG686" s="15" t="str">
        <f aca="false">IF(AND($J686=1,$M686=0),IF(AF686&gt;0.0000001,1,0),"")</f>
        <v/>
      </c>
      <c r="AH686" s="15" t="n">
        <f aca="false">IF($J686=1,IF($M686=1,AB686,AG686),"")</f>
        <v>1</v>
      </c>
      <c r="AI686" s="13" t="n">
        <f aca="false">IF($J686=1,(Ideal_P-E686)/Span_P,"")</f>
        <v>0.531277716390395</v>
      </c>
      <c r="AJ686" s="13" t="n">
        <f aca="false">IF($J686=1,(Ideal_S-F686)/Span_S,"")</f>
        <v>0.0967741935483871</v>
      </c>
      <c r="AK686" s="13" t="n">
        <f aca="false">IF($J686=1,(Ideal_B-G686)/Span_B,"")</f>
        <v>0.493333333333333</v>
      </c>
      <c r="AL686" s="12" t="n">
        <f aca="false">IF($J686=1,MAX(ChA_1*AI686,ChA_2*AJ686,ChA_3*AK686)+Rho*(ChA_1*AI686+ChA_2*AJ686+ChA_3*AK686),"")</f>
        <v>0.531389854914722</v>
      </c>
      <c r="AM686" s="12" t="n">
        <f aca="false">IF($J686=1,MAX(ChB_1*AI686,ChB_2*AJ686,ChB_3*AK686)+Rho*(ChB_1*AI686+ChB_2*AJ686+ChB_3*AK686),"")</f>
        <v>1.06272069907676</v>
      </c>
      <c r="AN686" s="12" t="n">
        <f aca="false">IF($J686=1,MAX(Cx_1*(Ref_P-E686)/Span_P,Cx_2*(Ref_S-F686)/Span_S,Cx_3*(Ref_B-G686)/Span_B),"")</f>
        <v>1.3517723185076</v>
      </c>
    </row>
    <row r="687" customFormat="false" ht="15" hidden="false" customHeight="false" outlineLevel="0" collapsed="false">
      <c r="A687" s="2" t="n">
        <v>681</v>
      </c>
      <c r="B687" s="15" t="n">
        <f aca="false">INT(A687/151)</f>
        <v>4</v>
      </c>
      <c r="C687" s="15" t="n">
        <f aca="false">MOD(A687,151)</f>
        <v>77</v>
      </c>
      <c r="D687" s="15" t="n">
        <f aca="false">INDEX(Grid!$J$6:$P$156,C687+1,B687+1)</f>
        <v>1</v>
      </c>
      <c r="E687" s="16" t="n">
        <f aca="false">IF(D687=1,INDEX(Grid!$B$6:$H$156,C687+1,B687+1),"")</f>
        <v>190.880573686145</v>
      </c>
      <c r="F687" s="13" t="n">
        <f aca="false">Val_pt*(Ceiling_e-E_zero)*(1-(1-Half_gap)^B687)</f>
        <v>131.25</v>
      </c>
      <c r="G687" s="15" t="n">
        <f aca="false">C687</f>
        <v>77</v>
      </c>
      <c r="H687" s="15" t="n">
        <f aca="false">IF(D687=1,INDEX(Grid!$R$6:$X$156,C687+1,B687+1),"")</f>
        <v>57</v>
      </c>
      <c r="I687" s="2" t="str">
        <f aca="false">IF(D687=1,INDEX(Sch_label,H687+1),"")</f>
        <v>1–3, 6</v>
      </c>
      <c r="J687" s="15" t="n">
        <f aca="false">IF(D687=1,INDEX(Grid!$Z$6:$AF$156,C687+1,B687+1),0)</f>
        <v>1</v>
      </c>
      <c r="K687" s="16" t="n">
        <f aca="false">IF(J687=1,E687,0)</f>
        <v>190.880573686145</v>
      </c>
      <c r="L687" s="17" t="n">
        <f aca="false">IF(D687=1,E687+W_board*F687,"")</f>
        <v>931.752606881727</v>
      </c>
      <c r="M687" s="24" t="n">
        <v>1</v>
      </c>
      <c r="N687" s="25" t="n">
        <v>0.219944509271646</v>
      </c>
      <c r="O687" s="25" t="n">
        <v>0.697229795554405</v>
      </c>
      <c r="P687" s="25" t="n">
        <v>0.0828256951739492</v>
      </c>
      <c r="Z687" s="12" t="n">
        <f aca="false">IF(AND($J687=1,$M687=1),N687*E687/Span_P+O687*F687/Span_S+P687*G687/Span_B,"")</f>
        <v>1.5079328660552</v>
      </c>
      <c r="AA687" s="12" t="n">
        <f aca="false">IF(AND($J687=1,$M687=1),SUMPRODUCT(MAX($J$6:$J$1062*(N687*$K$6:$K$1062/Span_P+O687*$F$6:$F$1062/Span_S+P687*$G$6:$G$1062/Span_B)-(1-$J$6:$J$1062)*1000000000)),"")</f>
        <v>1.50793286605521</v>
      </c>
      <c r="AB687" s="15" t="n">
        <f aca="false">IF(AND($J687=1,$M687=1),IF(AA687-Z687&lt;=0.000000001,1,0),"")</f>
        <v>1</v>
      </c>
      <c r="AC687" s="13" t="str">
        <f aca="false">IF(AND($J687=1,$M687=0),IF(S687="",0,S687*INDEX(Grid!$B$6:$H$156,R687+1,Q687+1))+IF(V687="",0,V687*INDEX(Grid!$B$6:$H$156,U687+1,T687+1))+IF(Y687="",0,Y687*INDEX(Grid!$B$6:$H$156,X687+1,W687+1)),"")</f>
        <v/>
      </c>
      <c r="AD687" s="13" t="str">
        <f aca="false">IF(AND($J687=1,$M687=0),IF(S687="",0,S687*Val_pt*(Ceiling_e-E_zero)*(1-(1-Half_gap)^Q687))+IF(V687="",0,V687*Val_pt*(Ceiling_e-E_zero)*(1-(1-Half_gap)^T687))+IF(Y687="",0,Y687*Val_pt*(Ceiling_e-E_zero)*(1-(1-Half_gap)^W687)),"")</f>
        <v/>
      </c>
      <c r="AE687" s="13" t="str">
        <f aca="false">IF(AND($J687=1,$M687=0),IF(S687="",0,S687*R687)+IF(V687="",0,V687*U687)+IF(Y687="",0,Y687*X687),"")</f>
        <v/>
      </c>
      <c r="AF687" s="12" t="str">
        <f aca="false">IF(AND($J687=1,$M687=0),MIN((AC687-E687)/Span_P,(AD687-F687)/Span_S,(AE687-G687)/Span_B),"")</f>
        <v/>
      </c>
      <c r="AG687" s="15" t="str">
        <f aca="false">IF(AND($J687=1,$M687=0),IF(AF687&gt;0.0000001,1,0),"")</f>
        <v/>
      </c>
      <c r="AH687" s="15" t="n">
        <f aca="false">IF($J687=1,IF($M687=1,AB687,AG687),"")</f>
        <v>1</v>
      </c>
      <c r="AI687" s="13" t="n">
        <f aca="false">IF($J687=1,(Ideal_P-E687)/Span_P,"")</f>
        <v>0.533788219166701</v>
      </c>
      <c r="AJ687" s="13" t="n">
        <f aca="false">IF($J687=1,(Ideal_S-F687)/Span_S,"")</f>
        <v>0.0967741935483871</v>
      </c>
      <c r="AK687" s="13" t="n">
        <f aca="false">IF($J687=1,(Ideal_B-G687)/Span_B,"")</f>
        <v>0.486666666666667</v>
      </c>
      <c r="AL687" s="12" t="n">
        <f aca="false">IF($J687=1,MAX(ChA_1*AI687,ChA_2*AJ687,ChA_3*AK687)+Rho*(ChA_1*AI687+ChA_2*AJ687+ChA_3*AK687),"")</f>
        <v>0.533899942074639</v>
      </c>
      <c r="AM687" s="12" t="n">
        <f aca="false">IF($J687=1,MAX(ChB_1*AI687,ChB_2*AJ687,ChB_3*AK687)+Rho*(ChB_1*AI687+ChB_2*AJ687+ChB_3*AK687),"")</f>
        <v>1.06774154006326</v>
      </c>
      <c r="AN687" s="12" t="n">
        <f aca="false">IF($J687=1,MAX(Cx_1*(Ref_P-E687)/Span_P,Cx_2*(Ref_S-F687)/Span_S,Cx_3*(Ref_B-G687)/Span_B),"")</f>
        <v>1.35804198019103</v>
      </c>
    </row>
    <row r="688" customFormat="false" ht="15" hidden="false" customHeight="false" outlineLevel="0" collapsed="false">
      <c r="A688" s="2" t="n">
        <v>682</v>
      </c>
      <c r="B688" s="15" t="n">
        <f aca="false">INT(A688/151)</f>
        <v>4</v>
      </c>
      <c r="C688" s="15" t="n">
        <f aca="false">MOD(A688,151)</f>
        <v>78</v>
      </c>
      <c r="D688" s="15" t="n">
        <f aca="false">INDEX(Grid!$J$6:$P$156,C688+1,B688+1)</f>
        <v>1</v>
      </c>
      <c r="E688" s="16" t="n">
        <f aca="false">IF(D688=1,INDEX(Grid!$B$6:$H$156,C688+1,B688+1),"")</f>
        <v>189.971482777054</v>
      </c>
      <c r="F688" s="13" t="n">
        <f aca="false">Val_pt*(Ceiling_e-E_zero)*(1-(1-Half_gap)^B688)</f>
        <v>131.25</v>
      </c>
      <c r="G688" s="15" t="n">
        <f aca="false">C688</f>
        <v>78</v>
      </c>
      <c r="H688" s="15" t="n">
        <f aca="false">IF(D688=1,INDEX(Grid!$R$6:$X$156,C688+1,B688+1),"")</f>
        <v>57</v>
      </c>
      <c r="I688" s="2" t="str">
        <f aca="false">IF(D688=1,INDEX(Sch_label,H688+1),"")</f>
        <v>1–3, 6</v>
      </c>
      <c r="J688" s="15" t="n">
        <f aca="false">IF(D688=1,INDEX(Grid!$Z$6:$AF$156,C688+1,B688+1),0)</f>
        <v>1</v>
      </c>
      <c r="K688" s="16" t="n">
        <f aca="false">IF(J688=1,E688,0)</f>
        <v>189.971482777054</v>
      </c>
      <c r="L688" s="17" t="n">
        <f aca="false">IF(D688=1,E688+W_board*F688,"")</f>
        <v>930.843515972636</v>
      </c>
      <c r="M688" s="24" t="n">
        <v>1</v>
      </c>
      <c r="N688" s="25" t="n">
        <v>0.219944509271646</v>
      </c>
      <c r="O688" s="25" t="n">
        <v>0.697229795554404</v>
      </c>
      <c r="P688" s="25" t="n">
        <v>0.0828256951739505</v>
      </c>
      <c r="Z688" s="12" t="n">
        <f aca="false">IF(AND($J688=1,$M688=1),N688*E688/Span_P+O688*F688/Span_S+P688*G688/Span_B,"")</f>
        <v>1.5079328660552</v>
      </c>
      <c r="AA688" s="12" t="n">
        <f aca="false">IF(AND($J688=1,$M688=1),SUMPRODUCT(MAX($J$6:$J$1062*(N688*$K$6:$K$1062/Span_P+O688*$F$6:$F$1062/Span_S+P688*$G$6:$G$1062/Span_B)-(1-$J$6:$J$1062)*1000000000)),"")</f>
        <v>1.5079328660552</v>
      </c>
      <c r="AB688" s="15" t="n">
        <f aca="false">IF(AND($J688=1,$M688=1),IF(AA688-Z688&lt;=0.000000001,1,0),"")</f>
        <v>1</v>
      </c>
      <c r="AC688" s="13" t="str">
        <f aca="false">IF(AND($J688=1,$M688=0),IF(S688="",0,S688*INDEX(Grid!$B$6:$H$156,R688+1,Q688+1))+IF(V688="",0,V688*INDEX(Grid!$B$6:$H$156,U688+1,T688+1))+IF(Y688="",0,Y688*INDEX(Grid!$B$6:$H$156,X688+1,W688+1)),"")</f>
        <v/>
      </c>
      <c r="AD688" s="13" t="str">
        <f aca="false">IF(AND($J688=1,$M688=0),IF(S688="",0,S688*Val_pt*(Ceiling_e-E_zero)*(1-(1-Half_gap)^Q688))+IF(V688="",0,V688*Val_pt*(Ceiling_e-E_zero)*(1-(1-Half_gap)^T688))+IF(Y688="",0,Y688*Val_pt*(Ceiling_e-E_zero)*(1-(1-Half_gap)^W688)),"")</f>
        <v/>
      </c>
      <c r="AE688" s="13" t="str">
        <f aca="false">IF(AND($J688=1,$M688=0),IF(S688="",0,S688*R688)+IF(V688="",0,V688*U688)+IF(Y688="",0,Y688*X688),"")</f>
        <v/>
      </c>
      <c r="AF688" s="12" t="str">
        <f aca="false">IF(AND($J688=1,$M688=0),MIN((AC688-E688)/Span_P,(AD688-F688)/Span_S,(AE688-G688)/Span_B),"")</f>
        <v/>
      </c>
      <c r="AG688" s="15" t="str">
        <f aca="false">IF(AND($J688=1,$M688=0),IF(AF688&gt;0.0000001,1,0),"")</f>
        <v/>
      </c>
      <c r="AH688" s="15" t="n">
        <f aca="false">IF($J688=1,IF($M688=1,AB688,AG688),"")</f>
        <v>1</v>
      </c>
      <c r="AI688" s="13" t="n">
        <f aca="false">IF($J688=1,(Ideal_P-E688)/Span_P,"")</f>
        <v>0.536298721943006</v>
      </c>
      <c r="AJ688" s="13" t="n">
        <f aca="false">IF($J688=1,(Ideal_S-F688)/Span_S,"")</f>
        <v>0.0967741935483871</v>
      </c>
      <c r="AK688" s="13" t="n">
        <f aca="false">IF($J688=1,(Ideal_B-G688)/Span_B,"")</f>
        <v>0.48</v>
      </c>
      <c r="AL688" s="12" t="n">
        <f aca="false">IF($J688=1,MAX(ChA_1*AI688,ChA_2*AJ688,ChA_3*AK688)+Rho*(ChA_1*AI688+ChA_2*AJ688+ChA_3*AK688),"")</f>
        <v>0.536410029234556</v>
      </c>
      <c r="AM688" s="12" t="n">
        <f aca="false">IF($J688=1,MAX(ChB_1*AI688,ChB_2*AJ688,ChB_3*AK688)+Rho*(ChB_1*AI688+ChB_2*AJ688+ChB_3*AK688),"")</f>
        <v>1.07276238104976</v>
      </c>
      <c r="AN688" s="12" t="n">
        <f aca="false">IF($J688=1,MAX(Cx_1*(Ref_P-E688)/Span_P,Cx_2*(Ref_S-F688)/Span_S,Cx_3*(Ref_B-G688)/Span_B),"")</f>
        <v>1.36431164187446</v>
      </c>
    </row>
    <row r="689" customFormat="false" ht="15" hidden="false" customHeight="false" outlineLevel="0" collapsed="false">
      <c r="A689" s="2" t="n">
        <v>683</v>
      </c>
      <c r="B689" s="15" t="n">
        <f aca="false">INT(A689/151)</f>
        <v>4</v>
      </c>
      <c r="C689" s="15" t="n">
        <f aca="false">MOD(A689,151)</f>
        <v>79</v>
      </c>
      <c r="D689" s="15" t="n">
        <f aca="false">INDEX(Grid!$J$6:$P$156,C689+1,B689+1)</f>
        <v>1</v>
      </c>
      <c r="E689" s="16" t="n">
        <f aca="false">IF(D689=1,INDEX(Grid!$B$6:$H$156,C689+1,B689+1),"")</f>
        <v>189.062391867963</v>
      </c>
      <c r="F689" s="13" t="n">
        <f aca="false">Val_pt*(Ceiling_e-E_zero)*(1-(1-Half_gap)^B689)</f>
        <v>131.25</v>
      </c>
      <c r="G689" s="15" t="n">
        <f aca="false">C689</f>
        <v>79</v>
      </c>
      <c r="H689" s="15" t="n">
        <f aca="false">IF(D689=1,INDEX(Grid!$R$6:$X$156,C689+1,B689+1),"")</f>
        <v>57</v>
      </c>
      <c r="I689" s="2" t="str">
        <f aca="false">IF(D689=1,INDEX(Sch_label,H689+1),"")</f>
        <v>1–3, 6</v>
      </c>
      <c r="J689" s="15" t="n">
        <f aca="false">IF(D689=1,INDEX(Grid!$Z$6:$AF$156,C689+1,B689+1),0)</f>
        <v>1</v>
      </c>
      <c r="K689" s="16" t="n">
        <f aca="false">IF(J689=1,E689,0)</f>
        <v>189.062391867963</v>
      </c>
      <c r="L689" s="17" t="n">
        <f aca="false">IF(D689=1,E689+W_board*F689,"")</f>
        <v>929.934425063546</v>
      </c>
      <c r="M689" s="24" t="n">
        <v>1</v>
      </c>
      <c r="N689" s="25" t="n">
        <v>0.219944509271646</v>
      </c>
      <c r="O689" s="25" t="n">
        <v>0.697229795554402</v>
      </c>
      <c r="P689" s="25" t="n">
        <v>0.0828256951739527</v>
      </c>
      <c r="Z689" s="12" t="n">
        <f aca="false">IF(AND($J689=1,$M689=1),N689*E689/Span_P+O689*F689/Span_S+P689*G689/Span_B,"")</f>
        <v>1.5079328660552</v>
      </c>
      <c r="AA689" s="12" t="n">
        <f aca="false">IF(AND($J689=1,$M689=1),SUMPRODUCT(MAX($J$6:$J$1062*(N689*$K$6:$K$1062/Span_P+O689*$F$6:$F$1062/Span_S+P689*$G$6:$G$1062/Span_B)-(1-$J$6:$J$1062)*1000000000)),"")</f>
        <v>1.5079328660552</v>
      </c>
      <c r="AB689" s="15" t="n">
        <f aca="false">IF(AND($J689=1,$M689=1),IF(AA689-Z689&lt;=0.000000001,1,0),"")</f>
        <v>1</v>
      </c>
      <c r="AC689" s="13" t="str">
        <f aca="false">IF(AND($J689=1,$M689=0),IF(S689="",0,S689*INDEX(Grid!$B$6:$H$156,R689+1,Q689+1))+IF(V689="",0,V689*INDEX(Grid!$B$6:$H$156,U689+1,T689+1))+IF(Y689="",0,Y689*INDEX(Grid!$B$6:$H$156,X689+1,W689+1)),"")</f>
        <v/>
      </c>
      <c r="AD689" s="13" t="str">
        <f aca="false">IF(AND($J689=1,$M689=0),IF(S689="",0,S689*Val_pt*(Ceiling_e-E_zero)*(1-(1-Half_gap)^Q689))+IF(V689="",0,V689*Val_pt*(Ceiling_e-E_zero)*(1-(1-Half_gap)^T689))+IF(Y689="",0,Y689*Val_pt*(Ceiling_e-E_zero)*(1-(1-Half_gap)^W689)),"")</f>
        <v/>
      </c>
      <c r="AE689" s="13" t="str">
        <f aca="false">IF(AND($J689=1,$M689=0),IF(S689="",0,S689*R689)+IF(V689="",0,V689*U689)+IF(Y689="",0,Y689*X689),"")</f>
        <v/>
      </c>
      <c r="AF689" s="12" t="str">
        <f aca="false">IF(AND($J689=1,$M689=0),MIN((AC689-E689)/Span_P,(AD689-F689)/Span_S,(AE689-G689)/Span_B),"")</f>
        <v/>
      </c>
      <c r="AG689" s="15" t="str">
        <f aca="false">IF(AND($J689=1,$M689=0),IF(AF689&gt;0.0000001,1,0),"")</f>
        <v/>
      </c>
      <c r="AH689" s="15" t="n">
        <f aca="false">IF($J689=1,IF($M689=1,AB689,AG689),"")</f>
        <v>1</v>
      </c>
      <c r="AI689" s="13" t="n">
        <f aca="false">IF($J689=1,(Ideal_P-E689)/Span_P,"")</f>
        <v>0.538809224719312</v>
      </c>
      <c r="AJ689" s="13" t="n">
        <f aca="false">IF($J689=1,(Ideal_S-F689)/Span_S,"")</f>
        <v>0.0967741935483871</v>
      </c>
      <c r="AK689" s="13" t="n">
        <f aca="false">IF($J689=1,(Ideal_B-G689)/Span_B,"")</f>
        <v>0.473333333333333</v>
      </c>
      <c r="AL689" s="12" t="n">
        <f aca="false">IF($J689=1,MAX(ChA_1*AI689,ChA_2*AJ689,ChA_3*AK689)+Rho*(ChA_1*AI689+ChA_2*AJ689+ChA_3*AK689),"")</f>
        <v>0.538920116394472</v>
      </c>
      <c r="AM689" s="12" t="n">
        <f aca="false">IF($J689=1,MAX(ChB_1*AI689,ChB_2*AJ689,ChB_3*AK689)+Rho*(ChB_1*AI689+ChB_2*AJ689+ChB_3*AK689),"")</f>
        <v>1.07778322203626</v>
      </c>
      <c r="AN689" s="12" t="n">
        <f aca="false">IF($J689=1,MAX(Cx_1*(Ref_P-E689)/Span_P,Cx_2*(Ref_S-F689)/Span_S,Cx_3*(Ref_B-G689)/Span_B),"")</f>
        <v>1.37058130355789</v>
      </c>
    </row>
    <row r="690" customFormat="false" ht="15" hidden="false" customHeight="false" outlineLevel="0" collapsed="false">
      <c r="A690" s="2" t="n">
        <v>684</v>
      </c>
      <c r="B690" s="15" t="n">
        <f aca="false">INT(A690/151)</f>
        <v>4</v>
      </c>
      <c r="C690" s="15" t="n">
        <f aca="false">MOD(A690,151)</f>
        <v>80</v>
      </c>
      <c r="D690" s="15" t="n">
        <f aca="false">INDEX(Grid!$J$6:$P$156,C690+1,B690+1)</f>
        <v>1</v>
      </c>
      <c r="E690" s="16" t="n">
        <f aca="false">IF(D690=1,INDEX(Grid!$B$6:$H$156,C690+1,B690+1),"")</f>
        <v>188.153300958872</v>
      </c>
      <c r="F690" s="13" t="n">
        <f aca="false">Val_pt*(Ceiling_e-E_zero)*(1-(1-Half_gap)^B690)</f>
        <v>131.25</v>
      </c>
      <c r="G690" s="15" t="n">
        <f aca="false">C690</f>
        <v>80</v>
      </c>
      <c r="H690" s="15" t="n">
        <f aca="false">IF(D690=1,INDEX(Grid!$R$6:$X$156,C690+1,B690+1),"")</f>
        <v>57</v>
      </c>
      <c r="I690" s="2" t="str">
        <f aca="false">IF(D690=1,INDEX(Sch_label,H690+1),"")</f>
        <v>1–3, 6</v>
      </c>
      <c r="J690" s="15" t="n">
        <f aca="false">IF(D690=1,INDEX(Grid!$Z$6:$AF$156,C690+1,B690+1),0)</f>
        <v>1</v>
      </c>
      <c r="K690" s="16" t="n">
        <f aca="false">IF(J690=1,E690,0)</f>
        <v>188.153300958872</v>
      </c>
      <c r="L690" s="17" t="n">
        <f aca="false">IF(D690=1,E690+W_board*F690,"")</f>
        <v>929.025334154455</v>
      </c>
      <c r="M690" s="24" t="n">
        <v>1</v>
      </c>
      <c r="N690" s="25" t="n">
        <v>0.219944509271646</v>
      </c>
      <c r="O690" s="25" t="n">
        <v>0.697229795554405</v>
      </c>
      <c r="P690" s="25" t="n">
        <v>0.0828256951739492</v>
      </c>
      <c r="Z690" s="12" t="n">
        <f aca="false">IF(AND($J690=1,$M690=1),N690*E690/Span_P+O690*F690/Span_S+P690*G690/Span_B,"")</f>
        <v>1.5079328660552</v>
      </c>
      <c r="AA690" s="12" t="n">
        <f aca="false">IF(AND($J690=1,$M690=1),SUMPRODUCT(MAX($J$6:$J$1062*(N690*$K$6:$K$1062/Span_P+O690*$F$6:$F$1062/Span_S+P690*$G$6:$G$1062/Span_B)-(1-$J$6:$J$1062)*1000000000)),"")</f>
        <v>1.5079328660552</v>
      </c>
      <c r="AB690" s="15" t="n">
        <f aca="false">IF(AND($J690=1,$M690=1),IF(AA690-Z690&lt;=0.000000001,1,0),"")</f>
        <v>1</v>
      </c>
      <c r="AC690" s="13" t="str">
        <f aca="false">IF(AND($J690=1,$M690=0),IF(S690="",0,S690*INDEX(Grid!$B$6:$H$156,R690+1,Q690+1))+IF(V690="",0,V690*INDEX(Grid!$B$6:$H$156,U690+1,T690+1))+IF(Y690="",0,Y690*INDEX(Grid!$B$6:$H$156,X690+1,W690+1)),"")</f>
        <v/>
      </c>
      <c r="AD690" s="13" t="str">
        <f aca="false">IF(AND($J690=1,$M690=0),IF(S690="",0,S690*Val_pt*(Ceiling_e-E_zero)*(1-(1-Half_gap)^Q690))+IF(V690="",0,V690*Val_pt*(Ceiling_e-E_zero)*(1-(1-Half_gap)^T690))+IF(Y690="",0,Y690*Val_pt*(Ceiling_e-E_zero)*(1-(1-Half_gap)^W690)),"")</f>
        <v/>
      </c>
      <c r="AE690" s="13" t="str">
        <f aca="false">IF(AND($J690=1,$M690=0),IF(S690="",0,S690*R690)+IF(V690="",0,V690*U690)+IF(Y690="",0,Y690*X690),"")</f>
        <v/>
      </c>
      <c r="AF690" s="12" t="str">
        <f aca="false">IF(AND($J690=1,$M690=0),MIN((AC690-E690)/Span_P,(AD690-F690)/Span_S,(AE690-G690)/Span_B),"")</f>
        <v/>
      </c>
      <c r="AG690" s="15" t="str">
        <f aca="false">IF(AND($J690=1,$M690=0),IF(AF690&gt;0.0000001,1,0),"")</f>
        <v/>
      </c>
      <c r="AH690" s="15" t="n">
        <f aca="false">IF($J690=1,IF($M690=1,AB690,AG690),"")</f>
        <v>1</v>
      </c>
      <c r="AI690" s="13" t="n">
        <f aca="false">IF($J690=1,(Ideal_P-E690)/Span_P,"")</f>
        <v>0.541319727495618</v>
      </c>
      <c r="AJ690" s="13" t="n">
        <f aca="false">IF($J690=1,(Ideal_S-F690)/Span_S,"")</f>
        <v>0.0967741935483871</v>
      </c>
      <c r="AK690" s="13" t="n">
        <f aca="false">IF($J690=1,(Ideal_B-G690)/Span_B,"")</f>
        <v>0.466666666666667</v>
      </c>
      <c r="AL690" s="12" t="n">
        <f aca="false">IF($J690=1,MAX(ChA_1*AI690,ChA_2*AJ690,ChA_3*AK690)+Rho*(ChA_1*AI690+ChA_2*AJ690+ChA_3*AK690),"")</f>
        <v>0.541430203554389</v>
      </c>
      <c r="AM690" s="12" t="n">
        <f aca="false">IF($J690=1,MAX(ChB_1*AI690,ChB_2*AJ690,ChB_3*AK690)+Rho*(ChB_1*AI690+ChB_2*AJ690+ChB_3*AK690),"")</f>
        <v>1.08280406302276</v>
      </c>
      <c r="AN690" s="12" t="n">
        <f aca="false">IF($J690=1,MAX(Cx_1*(Ref_P-E690)/Span_P,Cx_2*(Ref_S-F690)/Span_S,Cx_3*(Ref_B-G690)/Span_B),"")</f>
        <v>1.37685096524132</v>
      </c>
    </row>
    <row r="691" customFormat="false" ht="15" hidden="false" customHeight="false" outlineLevel="0" collapsed="false">
      <c r="A691" s="2" t="n">
        <v>685</v>
      </c>
      <c r="B691" s="15" t="n">
        <f aca="false">INT(A691/151)</f>
        <v>4</v>
      </c>
      <c r="C691" s="15" t="n">
        <f aca="false">MOD(A691,151)</f>
        <v>81</v>
      </c>
      <c r="D691" s="15" t="n">
        <f aca="false">INDEX(Grid!$J$6:$P$156,C691+1,B691+1)</f>
        <v>1</v>
      </c>
      <c r="E691" s="16" t="n">
        <f aca="false">IF(D691=1,INDEX(Grid!$B$6:$H$156,C691+1,B691+1),"")</f>
        <v>187.244210049781</v>
      </c>
      <c r="F691" s="13" t="n">
        <f aca="false">Val_pt*(Ceiling_e-E_zero)*(1-(1-Half_gap)^B691)</f>
        <v>131.25</v>
      </c>
      <c r="G691" s="15" t="n">
        <f aca="false">C691</f>
        <v>81</v>
      </c>
      <c r="H691" s="15" t="n">
        <f aca="false">IF(D691=1,INDEX(Grid!$R$6:$X$156,C691+1,B691+1),"")</f>
        <v>57</v>
      </c>
      <c r="I691" s="2" t="str">
        <f aca="false">IF(D691=1,INDEX(Sch_label,H691+1),"")</f>
        <v>1–3, 6</v>
      </c>
      <c r="J691" s="15" t="n">
        <f aca="false">IF(D691=1,INDEX(Grid!$Z$6:$AF$156,C691+1,B691+1),0)</f>
        <v>1</v>
      </c>
      <c r="K691" s="16" t="n">
        <f aca="false">IF(J691=1,E691,0)</f>
        <v>187.244210049781</v>
      </c>
      <c r="L691" s="17" t="n">
        <f aca="false">IF(D691=1,E691+W_board*F691,"")</f>
        <v>928.116243245364</v>
      </c>
      <c r="M691" s="24" t="n">
        <v>1</v>
      </c>
      <c r="N691" s="25" t="n">
        <v>0.219944509271645</v>
      </c>
      <c r="O691" s="25" t="n">
        <v>0.697229795554401</v>
      </c>
      <c r="P691" s="25" t="n">
        <v>0.082825695173954</v>
      </c>
      <c r="Z691" s="12" t="n">
        <f aca="false">IF(AND($J691=1,$M691=1),N691*E691/Span_P+O691*F691/Span_S+P691*G691/Span_B,"")</f>
        <v>1.5079328660552</v>
      </c>
      <c r="AA691" s="12" t="n">
        <f aca="false">IF(AND($J691=1,$M691=1),SUMPRODUCT(MAX($J$6:$J$1062*(N691*$K$6:$K$1062/Span_P+O691*$F$6:$F$1062/Span_S+P691*$G$6:$G$1062/Span_B)-(1-$J$6:$J$1062)*1000000000)),"")</f>
        <v>1.5079328660552</v>
      </c>
      <c r="AB691" s="15" t="n">
        <f aca="false">IF(AND($J691=1,$M691=1),IF(AA691-Z691&lt;=0.000000001,1,0),"")</f>
        <v>1</v>
      </c>
      <c r="AC691" s="13" t="str">
        <f aca="false">IF(AND($J691=1,$M691=0),IF(S691="",0,S691*INDEX(Grid!$B$6:$H$156,R691+1,Q691+1))+IF(V691="",0,V691*INDEX(Grid!$B$6:$H$156,U691+1,T691+1))+IF(Y691="",0,Y691*INDEX(Grid!$B$6:$H$156,X691+1,W691+1)),"")</f>
        <v/>
      </c>
      <c r="AD691" s="13" t="str">
        <f aca="false">IF(AND($J691=1,$M691=0),IF(S691="",0,S691*Val_pt*(Ceiling_e-E_zero)*(1-(1-Half_gap)^Q691))+IF(V691="",0,V691*Val_pt*(Ceiling_e-E_zero)*(1-(1-Half_gap)^T691))+IF(Y691="",0,Y691*Val_pt*(Ceiling_e-E_zero)*(1-(1-Half_gap)^W691)),"")</f>
        <v/>
      </c>
      <c r="AE691" s="13" t="str">
        <f aca="false">IF(AND($J691=1,$M691=0),IF(S691="",0,S691*R691)+IF(V691="",0,V691*U691)+IF(Y691="",0,Y691*X691),"")</f>
        <v/>
      </c>
      <c r="AF691" s="12" t="str">
        <f aca="false">IF(AND($J691=1,$M691=0),MIN((AC691-E691)/Span_P,(AD691-F691)/Span_S,(AE691-G691)/Span_B),"")</f>
        <v/>
      </c>
      <c r="AG691" s="15" t="str">
        <f aca="false">IF(AND($J691=1,$M691=0),IF(AF691&gt;0.0000001,1,0),"")</f>
        <v/>
      </c>
      <c r="AH691" s="15" t="n">
        <f aca="false">IF($J691=1,IF($M691=1,AB691,AG691),"")</f>
        <v>1</v>
      </c>
      <c r="AI691" s="13" t="n">
        <f aca="false">IF($J691=1,(Ideal_P-E691)/Span_P,"")</f>
        <v>0.543830230271924</v>
      </c>
      <c r="AJ691" s="13" t="n">
        <f aca="false">IF($J691=1,(Ideal_S-F691)/Span_S,"")</f>
        <v>0.0967741935483871</v>
      </c>
      <c r="AK691" s="13" t="n">
        <f aca="false">IF($J691=1,(Ideal_B-G691)/Span_B,"")</f>
        <v>0.46</v>
      </c>
      <c r="AL691" s="12" t="n">
        <f aca="false">IF($J691=1,MAX(ChA_1*AI691,ChA_2*AJ691,ChA_3*AK691)+Rho*(ChA_1*AI691+ChA_2*AJ691+ChA_3*AK691),"")</f>
        <v>0.543940290714306</v>
      </c>
      <c r="AM691" s="12" t="n">
        <f aca="false">IF($J691=1,MAX(ChB_1*AI691,ChB_2*AJ691,ChB_3*AK691)+Rho*(ChB_1*AI691+ChB_2*AJ691+ChB_3*AK691),"")</f>
        <v>1.08782490400926</v>
      </c>
      <c r="AN691" s="12" t="n">
        <f aca="false">IF($J691=1,MAX(Cx_1*(Ref_P-E691)/Span_P,Cx_2*(Ref_S-F691)/Span_S,Cx_3*(Ref_B-G691)/Span_B),"")</f>
        <v>1.38312062692475</v>
      </c>
    </row>
    <row r="692" customFormat="false" ht="15" hidden="false" customHeight="false" outlineLevel="0" collapsed="false">
      <c r="A692" s="2" t="n">
        <v>686</v>
      </c>
      <c r="B692" s="15" t="n">
        <f aca="false">INT(A692/151)</f>
        <v>4</v>
      </c>
      <c r="C692" s="15" t="n">
        <f aca="false">MOD(A692,151)</f>
        <v>82</v>
      </c>
      <c r="D692" s="15" t="n">
        <f aca="false">INDEX(Grid!$J$6:$P$156,C692+1,B692+1)</f>
        <v>1</v>
      </c>
      <c r="E692" s="16" t="n">
        <f aca="false">IF(D692=1,INDEX(Grid!$B$6:$H$156,C692+1,B692+1),"")</f>
        <v>186.33511914069</v>
      </c>
      <c r="F692" s="13" t="n">
        <f aca="false">Val_pt*(Ceiling_e-E_zero)*(1-(1-Half_gap)^B692)</f>
        <v>131.25</v>
      </c>
      <c r="G692" s="15" t="n">
        <f aca="false">C692</f>
        <v>82</v>
      </c>
      <c r="H692" s="15" t="n">
        <f aca="false">IF(D692=1,INDEX(Grid!$R$6:$X$156,C692+1,B692+1),"")</f>
        <v>57</v>
      </c>
      <c r="I692" s="2" t="str">
        <f aca="false">IF(D692=1,INDEX(Sch_label,H692+1),"")</f>
        <v>1–3, 6</v>
      </c>
      <c r="J692" s="15" t="n">
        <f aca="false">IF(D692=1,INDEX(Grid!$Z$6:$AF$156,C692+1,B692+1),0)</f>
        <v>1</v>
      </c>
      <c r="K692" s="16" t="n">
        <f aca="false">IF(J692=1,E692,0)</f>
        <v>186.33511914069</v>
      </c>
      <c r="L692" s="17" t="n">
        <f aca="false">IF(D692=1,E692+W_board*F692,"")</f>
        <v>927.207152336273</v>
      </c>
      <c r="M692" s="24" t="n">
        <v>1</v>
      </c>
      <c r="N692" s="25" t="n">
        <v>0.219944509271646</v>
      </c>
      <c r="O692" s="25" t="n">
        <v>0.697229795554402</v>
      </c>
      <c r="P692" s="25" t="n">
        <v>0.0828256951739527</v>
      </c>
      <c r="Z692" s="12" t="n">
        <f aca="false">IF(AND($J692=1,$M692=1),N692*E692/Span_P+O692*F692/Span_S+P692*G692/Span_B,"")</f>
        <v>1.5079328660552</v>
      </c>
      <c r="AA692" s="12" t="n">
        <f aca="false">IF(AND($J692=1,$M692=1),SUMPRODUCT(MAX($J$6:$J$1062*(N692*$K$6:$K$1062/Span_P+O692*$F$6:$F$1062/Span_S+P692*$G$6:$G$1062/Span_B)-(1-$J$6:$J$1062)*1000000000)),"")</f>
        <v>1.5079328660552</v>
      </c>
      <c r="AB692" s="15" t="n">
        <f aca="false">IF(AND($J692=1,$M692=1),IF(AA692-Z692&lt;=0.000000001,1,0),"")</f>
        <v>1</v>
      </c>
      <c r="AC692" s="13" t="str">
        <f aca="false">IF(AND($J692=1,$M692=0),IF(S692="",0,S692*INDEX(Grid!$B$6:$H$156,R692+1,Q692+1))+IF(V692="",0,V692*INDEX(Grid!$B$6:$H$156,U692+1,T692+1))+IF(Y692="",0,Y692*INDEX(Grid!$B$6:$H$156,X692+1,W692+1)),"")</f>
        <v/>
      </c>
      <c r="AD692" s="13" t="str">
        <f aca="false">IF(AND($J692=1,$M692=0),IF(S692="",0,S692*Val_pt*(Ceiling_e-E_zero)*(1-(1-Half_gap)^Q692))+IF(V692="",0,V692*Val_pt*(Ceiling_e-E_zero)*(1-(1-Half_gap)^T692))+IF(Y692="",0,Y692*Val_pt*(Ceiling_e-E_zero)*(1-(1-Half_gap)^W692)),"")</f>
        <v/>
      </c>
      <c r="AE692" s="13" t="str">
        <f aca="false">IF(AND($J692=1,$M692=0),IF(S692="",0,S692*R692)+IF(V692="",0,V692*U692)+IF(Y692="",0,Y692*X692),"")</f>
        <v/>
      </c>
      <c r="AF692" s="12" t="str">
        <f aca="false">IF(AND($J692=1,$M692=0),MIN((AC692-E692)/Span_P,(AD692-F692)/Span_S,(AE692-G692)/Span_B),"")</f>
        <v/>
      </c>
      <c r="AG692" s="15" t="str">
        <f aca="false">IF(AND($J692=1,$M692=0),IF(AF692&gt;0.0000001,1,0),"")</f>
        <v/>
      </c>
      <c r="AH692" s="15" t="n">
        <f aca="false">IF($J692=1,IF($M692=1,AB692,AG692),"")</f>
        <v>1</v>
      </c>
      <c r="AI692" s="13" t="n">
        <f aca="false">IF($J692=1,(Ideal_P-E692)/Span_P,"")</f>
        <v>0.54634073304823</v>
      </c>
      <c r="AJ692" s="13" t="n">
        <f aca="false">IF($J692=1,(Ideal_S-F692)/Span_S,"")</f>
        <v>0.0967741935483871</v>
      </c>
      <c r="AK692" s="13" t="n">
        <f aca="false">IF($J692=1,(Ideal_B-G692)/Span_B,"")</f>
        <v>0.453333333333333</v>
      </c>
      <c r="AL692" s="12" t="n">
        <f aca="false">IF($J692=1,MAX(ChA_1*AI692,ChA_2*AJ692,ChA_3*AK692)+Rho*(ChA_1*AI692+ChA_2*AJ692+ChA_3*AK692),"")</f>
        <v>0.546450377874223</v>
      </c>
      <c r="AM692" s="12" t="n">
        <f aca="false">IF($J692=1,MAX(ChB_1*AI692,ChB_2*AJ692,ChB_3*AK692)+Rho*(ChB_1*AI692+ChB_2*AJ692+ChB_3*AK692),"")</f>
        <v>1.09284574499576</v>
      </c>
      <c r="AN692" s="12" t="n">
        <f aca="false">IF($J692=1,MAX(Cx_1*(Ref_P-E692)/Span_P,Cx_2*(Ref_S-F692)/Span_S,Cx_3*(Ref_B-G692)/Span_B),"")</f>
        <v>1.38939028860818</v>
      </c>
    </row>
    <row r="693" customFormat="false" ht="15" hidden="false" customHeight="false" outlineLevel="0" collapsed="false">
      <c r="A693" s="2" t="n">
        <v>687</v>
      </c>
      <c r="B693" s="15" t="n">
        <f aca="false">INT(A693/151)</f>
        <v>4</v>
      </c>
      <c r="C693" s="15" t="n">
        <f aca="false">MOD(A693,151)</f>
        <v>83</v>
      </c>
      <c r="D693" s="15" t="n">
        <f aca="false">INDEX(Grid!$J$6:$P$156,C693+1,B693+1)</f>
        <v>1</v>
      </c>
      <c r="E693" s="16" t="n">
        <f aca="false">IF(D693=1,INDEX(Grid!$B$6:$H$156,C693+1,B693+1),"")</f>
        <v>185.426028231599</v>
      </c>
      <c r="F693" s="13" t="n">
        <f aca="false">Val_pt*(Ceiling_e-E_zero)*(1-(1-Half_gap)^B693)</f>
        <v>131.25</v>
      </c>
      <c r="G693" s="15" t="n">
        <f aca="false">C693</f>
        <v>83</v>
      </c>
      <c r="H693" s="15" t="n">
        <f aca="false">IF(D693=1,INDEX(Grid!$R$6:$X$156,C693+1,B693+1),"")</f>
        <v>57</v>
      </c>
      <c r="I693" s="2" t="str">
        <f aca="false">IF(D693=1,INDEX(Sch_label,H693+1),"")</f>
        <v>1–3, 6</v>
      </c>
      <c r="J693" s="15" t="n">
        <f aca="false">IF(D693=1,INDEX(Grid!$Z$6:$AF$156,C693+1,B693+1),0)</f>
        <v>1</v>
      </c>
      <c r="K693" s="16" t="n">
        <f aca="false">IF(J693=1,E693,0)</f>
        <v>185.426028231599</v>
      </c>
      <c r="L693" s="17" t="n">
        <f aca="false">IF(D693=1,E693+W_board*F693,"")</f>
        <v>926.298061427182</v>
      </c>
      <c r="M693" s="24" t="n">
        <v>1</v>
      </c>
      <c r="N693" s="25" t="n">
        <v>0.219944509271646</v>
      </c>
      <c r="O693" s="25" t="n">
        <v>0.697229795554405</v>
      </c>
      <c r="P693" s="25" t="n">
        <v>0.0828256951739493</v>
      </c>
      <c r="Z693" s="12" t="n">
        <f aca="false">IF(AND($J693=1,$M693=1),N693*E693/Span_P+O693*F693/Span_S+P693*G693/Span_B,"")</f>
        <v>1.5079328660552</v>
      </c>
      <c r="AA693" s="12" t="n">
        <f aca="false">IF(AND($J693=1,$M693=1),SUMPRODUCT(MAX($J$6:$J$1062*(N693*$K$6:$K$1062/Span_P+O693*$F$6:$F$1062/Span_S+P693*$G$6:$G$1062/Span_B)-(1-$J$6:$J$1062)*1000000000)),"")</f>
        <v>1.5079328660552</v>
      </c>
      <c r="AB693" s="15" t="n">
        <f aca="false">IF(AND($J693=1,$M693=1),IF(AA693-Z693&lt;=0.000000001,1,0),"")</f>
        <v>1</v>
      </c>
      <c r="AC693" s="13" t="str">
        <f aca="false">IF(AND($J693=1,$M693=0),IF(S693="",0,S693*INDEX(Grid!$B$6:$H$156,R693+1,Q693+1))+IF(V693="",0,V693*INDEX(Grid!$B$6:$H$156,U693+1,T693+1))+IF(Y693="",0,Y693*INDEX(Grid!$B$6:$H$156,X693+1,W693+1)),"")</f>
        <v/>
      </c>
      <c r="AD693" s="13" t="str">
        <f aca="false">IF(AND($J693=1,$M693=0),IF(S693="",0,S693*Val_pt*(Ceiling_e-E_zero)*(1-(1-Half_gap)^Q693))+IF(V693="",0,V693*Val_pt*(Ceiling_e-E_zero)*(1-(1-Half_gap)^T693))+IF(Y693="",0,Y693*Val_pt*(Ceiling_e-E_zero)*(1-(1-Half_gap)^W693)),"")</f>
        <v/>
      </c>
      <c r="AE693" s="13" t="str">
        <f aca="false">IF(AND($J693=1,$M693=0),IF(S693="",0,S693*R693)+IF(V693="",0,V693*U693)+IF(Y693="",0,Y693*X693),"")</f>
        <v/>
      </c>
      <c r="AF693" s="12" t="str">
        <f aca="false">IF(AND($J693=1,$M693=0),MIN((AC693-E693)/Span_P,(AD693-F693)/Span_S,(AE693-G693)/Span_B),"")</f>
        <v/>
      </c>
      <c r="AG693" s="15" t="str">
        <f aca="false">IF(AND($J693=1,$M693=0),IF(AF693&gt;0.0000001,1,0),"")</f>
        <v/>
      </c>
      <c r="AH693" s="15" t="n">
        <f aca="false">IF($J693=1,IF($M693=1,AB693,AG693),"")</f>
        <v>1</v>
      </c>
      <c r="AI693" s="13" t="n">
        <f aca="false">IF($J693=1,(Ideal_P-E693)/Span_P,"")</f>
        <v>0.548851235824535</v>
      </c>
      <c r="AJ693" s="13" t="n">
        <f aca="false">IF($J693=1,(Ideal_S-F693)/Span_S,"")</f>
        <v>0.0967741935483871</v>
      </c>
      <c r="AK693" s="13" t="n">
        <f aca="false">IF($J693=1,(Ideal_B-G693)/Span_B,"")</f>
        <v>0.446666666666667</v>
      </c>
      <c r="AL693" s="12" t="n">
        <f aca="false">IF($J693=1,MAX(ChA_1*AI693,ChA_2*AJ693,ChA_3*AK693)+Rho*(ChA_1*AI693+ChA_2*AJ693+ChA_3*AK693),"")</f>
        <v>0.548960465034139</v>
      </c>
      <c r="AM693" s="12" t="n">
        <f aca="false">IF($J693=1,MAX(ChB_1*AI693,ChB_2*AJ693,ChB_3*AK693)+Rho*(ChB_1*AI693+ChB_2*AJ693+ChB_3*AK693),"")</f>
        <v>1.09786658598226</v>
      </c>
      <c r="AN693" s="12" t="n">
        <f aca="false">IF($J693=1,MAX(Cx_1*(Ref_P-E693)/Span_P,Cx_2*(Ref_S-F693)/Span_S,Cx_3*(Ref_B-G693)/Span_B),"")</f>
        <v>1.3956599502916</v>
      </c>
    </row>
    <row r="694" customFormat="false" ht="15" hidden="false" customHeight="false" outlineLevel="0" collapsed="false">
      <c r="A694" s="2" t="n">
        <v>688</v>
      </c>
      <c r="B694" s="15" t="n">
        <f aca="false">INT(A694/151)</f>
        <v>4</v>
      </c>
      <c r="C694" s="15" t="n">
        <f aca="false">MOD(A694,151)</f>
        <v>84</v>
      </c>
      <c r="D694" s="15" t="n">
        <f aca="false">INDEX(Grid!$J$6:$P$156,C694+1,B694+1)</f>
        <v>1</v>
      </c>
      <c r="E694" s="16" t="n">
        <f aca="false">IF(D694=1,INDEX(Grid!$B$6:$H$156,C694+1,B694+1),"")</f>
        <v>184.516937322508</v>
      </c>
      <c r="F694" s="13" t="n">
        <f aca="false">Val_pt*(Ceiling_e-E_zero)*(1-(1-Half_gap)^B694)</f>
        <v>131.25</v>
      </c>
      <c r="G694" s="15" t="n">
        <f aca="false">C694</f>
        <v>84</v>
      </c>
      <c r="H694" s="15" t="n">
        <f aca="false">IF(D694=1,INDEX(Grid!$R$6:$X$156,C694+1,B694+1),"")</f>
        <v>57</v>
      </c>
      <c r="I694" s="2" t="str">
        <f aca="false">IF(D694=1,INDEX(Sch_label,H694+1),"")</f>
        <v>1–3, 6</v>
      </c>
      <c r="J694" s="15" t="n">
        <f aca="false">IF(D694=1,INDEX(Grid!$Z$6:$AF$156,C694+1,B694+1),0)</f>
        <v>1</v>
      </c>
      <c r="K694" s="16" t="n">
        <f aca="false">IF(J694=1,E694,0)</f>
        <v>184.516937322508</v>
      </c>
      <c r="L694" s="17" t="n">
        <f aca="false">IF(D694=1,E694+W_board*F694,"")</f>
        <v>925.388970518091</v>
      </c>
      <c r="M694" s="24" t="n">
        <v>1</v>
      </c>
      <c r="N694" s="25" t="n">
        <v>0.219944509271645</v>
      </c>
      <c r="O694" s="25" t="n">
        <v>0.697229795554401</v>
      </c>
      <c r="P694" s="25" t="n">
        <v>0.0828256951739539</v>
      </c>
      <c r="Z694" s="12" t="n">
        <f aca="false">IF(AND($J694=1,$M694=1),N694*E694/Span_P+O694*F694/Span_S+P694*G694/Span_B,"")</f>
        <v>1.5079328660552</v>
      </c>
      <c r="AA694" s="12" t="n">
        <f aca="false">IF(AND($J694=1,$M694=1),SUMPRODUCT(MAX($J$6:$J$1062*(N694*$K$6:$K$1062/Span_P+O694*$F$6:$F$1062/Span_S+P694*$G$6:$G$1062/Span_B)-(1-$J$6:$J$1062)*1000000000)),"")</f>
        <v>1.5079328660552</v>
      </c>
      <c r="AB694" s="15" t="n">
        <f aca="false">IF(AND($J694=1,$M694=1),IF(AA694-Z694&lt;=0.000000001,1,0),"")</f>
        <v>1</v>
      </c>
      <c r="AC694" s="13" t="str">
        <f aca="false">IF(AND($J694=1,$M694=0),IF(S694="",0,S694*INDEX(Grid!$B$6:$H$156,R694+1,Q694+1))+IF(V694="",0,V694*INDEX(Grid!$B$6:$H$156,U694+1,T694+1))+IF(Y694="",0,Y694*INDEX(Grid!$B$6:$H$156,X694+1,W694+1)),"")</f>
        <v/>
      </c>
      <c r="AD694" s="13" t="str">
        <f aca="false">IF(AND($J694=1,$M694=0),IF(S694="",0,S694*Val_pt*(Ceiling_e-E_zero)*(1-(1-Half_gap)^Q694))+IF(V694="",0,V694*Val_pt*(Ceiling_e-E_zero)*(1-(1-Half_gap)^T694))+IF(Y694="",0,Y694*Val_pt*(Ceiling_e-E_zero)*(1-(1-Half_gap)^W694)),"")</f>
        <v/>
      </c>
      <c r="AE694" s="13" t="str">
        <f aca="false">IF(AND($J694=1,$M694=0),IF(S694="",0,S694*R694)+IF(V694="",0,V694*U694)+IF(Y694="",0,Y694*X694),"")</f>
        <v/>
      </c>
      <c r="AF694" s="12" t="str">
        <f aca="false">IF(AND($J694=1,$M694=0),MIN((AC694-E694)/Span_P,(AD694-F694)/Span_S,(AE694-G694)/Span_B),"")</f>
        <v/>
      </c>
      <c r="AG694" s="15" t="str">
        <f aca="false">IF(AND($J694=1,$M694=0),IF(AF694&gt;0.0000001,1,0),"")</f>
        <v/>
      </c>
      <c r="AH694" s="15" t="n">
        <f aca="false">IF($J694=1,IF($M694=1,AB694,AG694),"")</f>
        <v>1</v>
      </c>
      <c r="AI694" s="13" t="n">
        <f aca="false">IF($J694=1,(Ideal_P-E694)/Span_P,"")</f>
        <v>0.551361738600841</v>
      </c>
      <c r="AJ694" s="13" t="n">
        <f aca="false">IF($J694=1,(Ideal_S-F694)/Span_S,"")</f>
        <v>0.0967741935483871</v>
      </c>
      <c r="AK694" s="13" t="n">
        <f aca="false">IF($J694=1,(Ideal_B-G694)/Span_B,"")</f>
        <v>0.44</v>
      </c>
      <c r="AL694" s="12" t="n">
        <f aca="false">IF($J694=1,MAX(ChA_1*AI694,ChA_2*AJ694,ChA_3*AK694)+Rho*(ChA_1*AI694+ChA_2*AJ694+ChA_3*AK694),"")</f>
        <v>0.551470552194056</v>
      </c>
      <c r="AM694" s="12" t="n">
        <f aca="false">IF($J694=1,MAX(ChB_1*AI694,ChB_2*AJ694,ChB_3*AK694)+Rho*(ChB_1*AI694+ChB_2*AJ694+ChB_3*AK694),"")</f>
        <v>1.10288742696876</v>
      </c>
      <c r="AN694" s="12" t="n">
        <f aca="false">IF($J694=1,MAX(Cx_1*(Ref_P-E694)/Span_P,Cx_2*(Ref_S-F694)/Span_S,Cx_3*(Ref_B-G694)/Span_B),"")</f>
        <v>1.40192961197503</v>
      </c>
    </row>
    <row r="695" customFormat="false" ht="15" hidden="false" customHeight="false" outlineLevel="0" collapsed="false">
      <c r="A695" s="2" t="n">
        <v>689</v>
      </c>
      <c r="B695" s="15" t="n">
        <f aca="false">INT(A695/151)</f>
        <v>4</v>
      </c>
      <c r="C695" s="15" t="n">
        <f aca="false">MOD(A695,151)</f>
        <v>85</v>
      </c>
      <c r="D695" s="15" t="n">
        <f aca="false">INDEX(Grid!$J$6:$P$156,C695+1,B695+1)</f>
        <v>1</v>
      </c>
      <c r="E695" s="16" t="n">
        <f aca="false">IF(D695=1,INDEX(Grid!$B$6:$H$156,C695+1,B695+1),"")</f>
        <v>183.607846413417</v>
      </c>
      <c r="F695" s="13" t="n">
        <f aca="false">Val_pt*(Ceiling_e-E_zero)*(1-(1-Half_gap)^B695)</f>
        <v>131.25</v>
      </c>
      <c r="G695" s="15" t="n">
        <f aca="false">C695</f>
        <v>85</v>
      </c>
      <c r="H695" s="15" t="n">
        <f aca="false">IF(D695=1,INDEX(Grid!$R$6:$X$156,C695+1,B695+1),"")</f>
        <v>57</v>
      </c>
      <c r="I695" s="2" t="str">
        <f aca="false">IF(D695=1,INDEX(Sch_label,H695+1),"")</f>
        <v>1–3, 6</v>
      </c>
      <c r="J695" s="15" t="n">
        <f aca="false">IF(D695=1,INDEX(Grid!$Z$6:$AF$156,C695+1,B695+1),0)</f>
        <v>1</v>
      </c>
      <c r="K695" s="16" t="n">
        <f aca="false">IF(J695=1,E695,0)</f>
        <v>183.607846413417</v>
      </c>
      <c r="L695" s="17" t="n">
        <f aca="false">IF(D695=1,E695+W_board*F695,"")</f>
        <v>924.479879609</v>
      </c>
      <c r="M695" s="24" t="n">
        <v>1</v>
      </c>
      <c r="N695" s="25" t="n">
        <v>0.219944509271646</v>
      </c>
      <c r="O695" s="25" t="n">
        <v>0.697229795554403</v>
      </c>
      <c r="P695" s="25" t="n">
        <v>0.0828256951739516</v>
      </c>
      <c r="Z695" s="12" t="n">
        <f aca="false">IF(AND($J695=1,$M695=1),N695*E695/Span_P+O695*F695/Span_S+P695*G695/Span_B,"")</f>
        <v>1.5079328660552</v>
      </c>
      <c r="AA695" s="12" t="n">
        <f aca="false">IF(AND($J695=1,$M695=1),SUMPRODUCT(MAX($J$6:$J$1062*(N695*$K$6:$K$1062/Span_P+O695*$F$6:$F$1062/Span_S+P695*$G$6:$G$1062/Span_B)-(1-$J$6:$J$1062)*1000000000)),"")</f>
        <v>1.5079328660552</v>
      </c>
      <c r="AB695" s="15" t="n">
        <f aca="false">IF(AND($J695=1,$M695=1),IF(AA695-Z695&lt;=0.000000001,1,0),"")</f>
        <v>1</v>
      </c>
      <c r="AC695" s="13" t="str">
        <f aca="false">IF(AND($J695=1,$M695=0),IF(S695="",0,S695*INDEX(Grid!$B$6:$H$156,R695+1,Q695+1))+IF(V695="",0,V695*INDEX(Grid!$B$6:$H$156,U695+1,T695+1))+IF(Y695="",0,Y695*INDEX(Grid!$B$6:$H$156,X695+1,W695+1)),"")</f>
        <v/>
      </c>
      <c r="AD695" s="13" t="str">
        <f aca="false">IF(AND($J695=1,$M695=0),IF(S695="",0,S695*Val_pt*(Ceiling_e-E_zero)*(1-(1-Half_gap)^Q695))+IF(V695="",0,V695*Val_pt*(Ceiling_e-E_zero)*(1-(1-Half_gap)^T695))+IF(Y695="",0,Y695*Val_pt*(Ceiling_e-E_zero)*(1-(1-Half_gap)^W695)),"")</f>
        <v/>
      </c>
      <c r="AE695" s="13" t="str">
        <f aca="false">IF(AND($J695=1,$M695=0),IF(S695="",0,S695*R695)+IF(V695="",0,V695*U695)+IF(Y695="",0,Y695*X695),"")</f>
        <v/>
      </c>
      <c r="AF695" s="12" t="str">
        <f aca="false">IF(AND($J695=1,$M695=0),MIN((AC695-E695)/Span_P,(AD695-F695)/Span_S,(AE695-G695)/Span_B),"")</f>
        <v/>
      </c>
      <c r="AG695" s="15" t="str">
        <f aca="false">IF(AND($J695=1,$M695=0),IF(AF695&gt;0.0000001,1,0),"")</f>
        <v/>
      </c>
      <c r="AH695" s="15" t="n">
        <f aca="false">IF($J695=1,IF($M695=1,AB695,AG695),"")</f>
        <v>1</v>
      </c>
      <c r="AI695" s="13" t="n">
        <f aca="false">IF($J695=1,(Ideal_P-E695)/Span_P,"")</f>
        <v>0.553872241377147</v>
      </c>
      <c r="AJ695" s="13" t="n">
        <f aca="false">IF($J695=1,(Ideal_S-F695)/Span_S,"")</f>
        <v>0.0967741935483871</v>
      </c>
      <c r="AK695" s="13" t="n">
        <f aca="false">IF($J695=1,(Ideal_B-G695)/Span_B,"")</f>
        <v>0.433333333333333</v>
      </c>
      <c r="AL695" s="12" t="n">
        <f aca="false">IF($J695=1,MAX(ChA_1*AI695,ChA_2*AJ695,ChA_3*AK695)+Rho*(ChA_1*AI695+ChA_2*AJ695+ChA_3*AK695),"")</f>
        <v>0.553980639353973</v>
      </c>
      <c r="AM695" s="12" t="n">
        <f aca="false">IF($J695=1,MAX(ChB_1*AI695,ChB_2*AJ695,ChB_3*AK695)+Rho*(ChB_1*AI695+ChB_2*AJ695+ChB_3*AK695),"")</f>
        <v>1.10790826795526</v>
      </c>
      <c r="AN695" s="12" t="n">
        <f aca="false">IF($J695=1,MAX(Cx_1*(Ref_P-E695)/Span_P,Cx_2*(Ref_S-F695)/Span_S,Cx_3*(Ref_B-G695)/Span_B),"")</f>
        <v>1.40819927365846</v>
      </c>
    </row>
    <row r="696" customFormat="false" ht="15" hidden="false" customHeight="false" outlineLevel="0" collapsed="false">
      <c r="A696" s="2" t="n">
        <v>690</v>
      </c>
      <c r="B696" s="15" t="n">
        <f aca="false">INT(A696/151)</f>
        <v>4</v>
      </c>
      <c r="C696" s="15" t="n">
        <f aca="false">MOD(A696,151)</f>
        <v>86</v>
      </c>
      <c r="D696" s="15" t="n">
        <f aca="false">INDEX(Grid!$J$6:$P$156,C696+1,B696+1)</f>
        <v>1</v>
      </c>
      <c r="E696" s="16" t="n">
        <f aca="false">IF(D696=1,INDEX(Grid!$B$6:$H$156,C696+1,B696+1),"")</f>
        <v>178.679221319503</v>
      </c>
      <c r="F696" s="13" t="n">
        <f aca="false">Val_pt*(Ceiling_e-E_zero)*(1-(1-Half_gap)^B696)</f>
        <v>131.25</v>
      </c>
      <c r="G696" s="15" t="n">
        <f aca="false">C696</f>
        <v>86</v>
      </c>
      <c r="H696" s="15" t="n">
        <f aca="false">IF(D696=1,INDEX(Grid!$R$6:$X$156,C696+1,B696+1),"")</f>
        <v>53</v>
      </c>
      <c r="I696" s="2" t="str">
        <f aca="false">IF(D696=1,INDEX(Sch_label,H696+1),"")</f>
        <v>1, 2, 4, 6</v>
      </c>
      <c r="J696" s="15" t="n">
        <f aca="false">IF(D696=1,INDEX(Grid!$Z$6:$AF$156,C696+1,B696+1),0)</f>
        <v>1</v>
      </c>
      <c r="K696" s="16" t="n">
        <f aca="false">IF(J696=1,E696,0)</f>
        <v>178.679221319503</v>
      </c>
      <c r="L696" s="17" t="n">
        <f aca="false">IF(D696=1,E696+W_board*F696,"")</f>
        <v>919.551254515086</v>
      </c>
      <c r="M696" s="24" t="n">
        <v>0</v>
      </c>
      <c r="Q696" s="24" t="n">
        <v>4</v>
      </c>
      <c r="R696" s="24" t="n">
        <v>85</v>
      </c>
      <c r="S696" s="25" t="n">
        <v>0.876612367718074</v>
      </c>
      <c r="T696" s="24" t="n">
        <v>4</v>
      </c>
      <c r="U696" s="24" t="n">
        <v>100</v>
      </c>
      <c r="V696" s="25" t="n">
        <v>0.0889101825942177</v>
      </c>
      <c r="W696" s="24" t="n">
        <v>5</v>
      </c>
      <c r="X696" s="24" t="n">
        <v>85</v>
      </c>
      <c r="Y696" s="25" t="n">
        <v>0.0344774496877092</v>
      </c>
      <c r="Z696" s="12" t="str">
        <f aca="false">IF(AND($J696=1,$M696=1),N696*E696/Span_P+O696*F696/Span_S+P696*G696/Span_B,"")</f>
        <v/>
      </c>
      <c r="AA696" s="12" t="str">
        <f aca="false">IF(AND($J696=1,$M696=1),SUMPRODUCT(MAX($J$6:$J$1062*(N696*$K$6:$K$1062/Span_P+O696*$F$6:$F$1062/Span_S+P696*$G$6:$G$1062/Span_B)-(1-$J$6:$J$1062)*1000000000)),"")</f>
        <v/>
      </c>
      <c r="AB696" s="15" t="str">
        <f aca="false">IF(AND($J696=1,$M696=1),IF(AA696-Z696&lt;=0.000000001,1,0),"")</f>
        <v/>
      </c>
      <c r="AC696" s="13" t="n">
        <f aca="false">IF(AND($J696=1,$M696=0),IF(S696="",0,S696*INDEX(Grid!$B$6:$H$156,R696+1,Q696+1))+IF(V696="",0,V696*INDEX(Grid!$B$6:$H$156,U696+1,T696+1))+IF(Y696="",0,Y696*INDEX(Grid!$B$6:$H$156,X696+1,W696+1)),"")</f>
        <v>179.484692570394</v>
      </c>
      <c r="AD696" s="13" t="n">
        <f aca="false">IF(AND($J696=1,$M696=0),IF(S696="",0,S696*Val_pt*(Ceiling_e-E_zero)*(1-(1-Half_gap)^Q696))+IF(V696="",0,V696*Val_pt*(Ceiling_e-E_zero)*(1-(1-Half_gap)^T696))+IF(Y696="",0,Y696*Val_pt*(Ceiling_e-E_zero)*(1-(1-Half_gap)^W696)),"")</f>
        <v>131.400838842384</v>
      </c>
      <c r="AE696" s="13" t="n">
        <f aca="false">IF(AND($J696=1,$M696=0),IF(S696="",0,S696*R696)+IF(V696="",0,V696*U696)+IF(Y696="",0,Y696*X696),"")</f>
        <v>86.3336527389133</v>
      </c>
      <c r="AF696" s="12" t="n">
        <f aca="false">IF(AND($J696=1,$M696=0),MIN((AC696-E696)/Span_P,(AD696-F696)/Span_S,(AE696-G696)/Span_B),"")</f>
        <v>0.00222435159275562</v>
      </c>
      <c r="AG696" s="15" t="n">
        <f aca="false">IF(AND($J696=1,$M696=0),IF(AF696&gt;0.0000001,1,0),"")</f>
        <v>1</v>
      </c>
      <c r="AH696" s="15" t="n">
        <f aca="false">IF($J696=1,IF($M696=1,AB696,AG696),"")</f>
        <v>1</v>
      </c>
      <c r="AI696" s="13" t="n">
        <f aca="false">IF($J696=1,(Ideal_P-E696)/Span_P,"")</f>
        <v>0.567482901056953</v>
      </c>
      <c r="AJ696" s="13" t="n">
        <f aca="false">IF($J696=1,(Ideal_S-F696)/Span_S,"")</f>
        <v>0.0967741935483871</v>
      </c>
      <c r="AK696" s="13" t="n">
        <f aca="false">IF($J696=1,(Ideal_B-G696)/Span_B,"")</f>
        <v>0.426666666666667</v>
      </c>
      <c r="AL696" s="12" t="n">
        <f aca="false">IF($J696=1,MAX(ChA_1*AI696,ChA_2*AJ696,ChA_3*AK696)+Rho*(ChA_1*AI696+ChA_2*AJ696+ChA_3*AK696),"")</f>
        <v>0.56759199343308</v>
      </c>
      <c r="AM696" s="12" t="n">
        <f aca="false">IF($J696=1,MAX(ChB_1*AI696,ChB_2*AJ696,ChB_3*AK696)+Rho*(ChB_1*AI696+ChB_2*AJ696+ChB_3*AK696),"")</f>
        <v>1.13513164278014</v>
      </c>
      <c r="AN696" s="12" t="n">
        <f aca="false">IF($J696=1,MAX(Cx_1*(Ref_P-E696)/Span_P,Cx_2*(Ref_S-F696)/Span_S,Cx_3*(Ref_B-G696)/Span_B),"")</f>
        <v>1.44219016675209</v>
      </c>
    </row>
    <row r="697" customFormat="false" ht="15" hidden="false" customHeight="false" outlineLevel="0" collapsed="false">
      <c r="A697" s="2" t="n">
        <v>691</v>
      </c>
      <c r="B697" s="15" t="n">
        <f aca="false">INT(A697/151)</f>
        <v>4</v>
      </c>
      <c r="C697" s="15" t="n">
        <f aca="false">MOD(A697,151)</f>
        <v>87</v>
      </c>
      <c r="D697" s="15" t="n">
        <f aca="false">INDEX(Grid!$J$6:$P$156,C697+1,B697+1)</f>
        <v>1</v>
      </c>
      <c r="E697" s="16" t="n">
        <f aca="false">IF(D697=1,INDEX(Grid!$B$6:$H$156,C697+1,B697+1),"")</f>
        <v>177.770130410412</v>
      </c>
      <c r="F697" s="13" t="n">
        <f aca="false">Val_pt*(Ceiling_e-E_zero)*(1-(1-Half_gap)^B697)</f>
        <v>131.25</v>
      </c>
      <c r="G697" s="15" t="n">
        <f aca="false">C697</f>
        <v>87</v>
      </c>
      <c r="H697" s="15" t="n">
        <f aca="false">IF(D697=1,INDEX(Grid!$R$6:$X$156,C697+1,B697+1),"")</f>
        <v>53</v>
      </c>
      <c r="I697" s="2" t="str">
        <f aca="false">IF(D697=1,INDEX(Sch_label,H697+1),"")</f>
        <v>1, 2, 4, 6</v>
      </c>
      <c r="J697" s="15" t="n">
        <f aca="false">IF(D697=1,INDEX(Grid!$Z$6:$AF$156,C697+1,B697+1),0)</f>
        <v>1</v>
      </c>
      <c r="K697" s="16" t="n">
        <f aca="false">IF(J697=1,E697,0)</f>
        <v>177.770130410412</v>
      </c>
      <c r="L697" s="17" t="n">
        <f aca="false">IF(D697=1,E697+W_board*F697,"")</f>
        <v>918.642163605995</v>
      </c>
      <c r="M697" s="24" t="n">
        <v>0</v>
      </c>
      <c r="Q697" s="24" t="n">
        <v>4</v>
      </c>
      <c r="R697" s="24" t="n">
        <v>85</v>
      </c>
      <c r="S697" s="25" t="n">
        <v>0.813997198595352</v>
      </c>
      <c r="T697" s="24" t="n">
        <v>4</v>
      </c>
      <c r="U697" s="24" t="n">
        <v>100</v>
      </c>
      <c r="V697" s="25" t="n">
        <v>0.153988026694633</v>
      </c>
      <c r="W697" s="24" t="n">
        <v>5</v>
      </c>
      <c r="X697" s="24" t="n">
        <v>85</v>
      </c>
      <c r="Y697" s="25" t="n">
        <v>0.0320147747100151</v>
      </c>
      <c r="Z697" s="12" t="str">
        <f aca="false">IF(AND($J697=1,$M697=1),N697*E697/Span_P+O697*F697/Span_S+P697*G697/Span_B,"")</f>
        <v/>
      </c>
      <c r="AA697" s="12" t="str">
        <f aca="false">IF(AND($J697=1,$M697=1),SUMPRODUCT(MAX($J$6:$J$1062*(N697*$K$6:$K$1062/Span_P+O697*$F$6:$F$1062/Span_S+P697*$G$6:$G$1062/Span_B)-(1-$J$6:$J$1062)*1000000000)),"")</f>
        <v/>
      </c>
      <c r="AB697" s="15" t="str">
        <f aca="false">IF(AND($J697=1,$M697=1),IF(AA697-Z697&lt;=0.000000001,1,0),"")</f>
        <v/>
      </c>
      <c r="AC697" s="13" t="n">
        <f aca="false">IF(AND($J697=1,$M697=0),IF(S697="",0,S697*INDEX(Grid!$B$6:$H$156,R697+1,Q697+1))+IF(V697="",0,V697*INDEX(Grid!$B$6:$H$156,U697+1,T697+1))+IF(Y697="",0,Y697*INDEX(Grid!$B$6:$H$156,X697+1,W697+1)),"")</f>
        <v>178.518068000525</v>
      </c>
      <c r="AD697" s="13" t="n">
        <f aca="false">IF(AND($J697=1,$M697=0),IF(S697="",0,S697*Val_pt*(Ceiling_e-E_zero)*(1-(1-Half_gap)^Q697))+IF(V697="",0,V697*Val_pt*(Ceiling_e-E_zero)*(1-(1-Half_gap)^T697))+IF(Y697="",0,Y697*Val_pt*(Ceiling_e-E_zero)*(1-(1-Half_gap)^W697)),"")</f>
        <v>131.390064639356</v>
      </c>
      <c r="AE697" s="13" t="n">
        <f aca="false">IF(AND($J697=1,$M697=0),IF(S697="",0,S697*R697)+IF(V697="",0,V697*U697)+IF(Y697="",0,Y697*X697),"")</f>
        <v>87.3098204004195</v>
      </c>
      <c r="AF697" s="12" t="n">
        <f aca="false">IF(AND($J697=1,$M697=0),MIN((AC697-E697)/Span_P,(AD697-F697)/Span_S,(AE697-G697)/Span_B),"")</f>
        <v>0.0020654693361293</v>
      </c>
      <c r="AG697" s="15" t="n">
        <f aca="false">IF(AND($J697=1,$M697=0),IF(AF697&gt;0.0000001,1,0),"")</f>
        <v>1</v>
      </c>
      <c r="AH697" s="15" t="n">
        <f aca="false">IF($J697=1,IF($M697=1,AB697,AG697),"")</f>
        <v>1</v>
      </c>
      <c r="AI697" s="13" t="n">
        <f aca="false">IF($J697=1,(Ideal_P-E697)/Span_P,"")</f>
        <v>0.569993403833259</v>
      </c>
      <c r="AJ697" s="13" t="n">
        <f aca="false">IF($J697=1,(Ideal_S-F697)/Span_S,"")</f>
        <v>0.0967741935483871</v>
      </c>
      <c r="AK697" s="13" t="n">
        <f aca="false">IF($J697=1,(Ideal_B-G697)/Span_B,"")</f>
        <v>0.42</v>
      </c>
      <c r="AL697" s="12" t="n">
        <f aca="false">IF($J697=1,MAX(ChA_1*AI697,ChA_2*AJ697,ChA_3*AK697)+Rho*(ChA_1*AI697+ChA_2*AJ697+ChA_3*AK697),"")</f>
        <v>0.570102080592997</v>
      </c>
      <c r="AM697" s="12" t="n">
        <f aca="false">IF($J697=1,MAX(ChB_1*AI697,ChB_2*AJ697,ChB_3*AK697)+Rho*(ChB_1*AI697+ChB_2*AJ697+ChB_3*AK697),"")</f>
        <v>1.14015248376664</v>
      </c>
      <c r="AN697" s="12" t="n">
        <f aca="false">IF($J697=1,MAX(Cx_1*(Ref_P-E697)/Span_P,Cx_2*(Ref_S-F697)/Span_S,Cx_3*(Ref_B-G697)/Span_B),"")</f>
        <v>1.44845982843552</v>
      </c>
    </row>
    <row r="698" customFormat="false" ht="15" hidden="false" customHeight="false" outlineLevel="0" collapsed="false">
      <c r="A698" s="2" t="n">
        <v>692</v>
      </c>
      <c r="B698" s="15" t="n">
        <f aca="false">INT(A698/151)</f>
        <v>4</v>
      </c>
      <c r="C698" s="15" t="n">
        <f aca="false">MOD(A698,151)</f>
        <v>88</v>
      </c>
      <c r="D698" s="15" t="n">
        <f aca="false">INDEX(Grid!$J$6:$P$156,C698+1,B698+1)</f>
        <v>1</v>
      </c>
      <c r="E698" s="16" t="n">
        <f aca="false">IF(D698=1,INDEX(Grid!$B$6:$H$156,C698+1,B698+1),"")</f>
        <v>176.861039501321</v>
      </c>
      <c r="F698" s="13" t="n">
        <f aca="false">Val_pt*(Ceiling_e-E_zero)*(1-(1-Half_gap)^B698)</f>
        <v>131.25</v>
      </c>
      <c r="G698" s="15" t="n">
        <f aca="false">C698</f>
        <v>88</v>
      </c>
      <c r="H698" s="15" t="n">
        <f aca="false">IF(D698=1,INDEX(Grid!$R$6:$X$156,C698+1,B698+1),"")</f>
        <v>53</v>
      </c>
      <c r="I698" s="2" t="str">
        <f aca="false">IF(D698=1,INDEX(Sch_label,H698+1),"")</f>
        <v>1, 2, 4, 6</v>
      </c>
      <c r="J698" s="15" t="n">
        <f aca="false">IF(D698=1,INDEX(Grid!$Z$6:$AF$156,C698+1,B698+1),0)</f>
        <v>1</v>
      </c>
      <c r="K698" s="16" t="n">
        <f aca="false">IF(J698=1,E698,0)</f>
        <v>176.861039501321</v>
      </c>
      <c r="L698" s="17" t="n">
        <f aca="false">IF(D698=1,E698+W_board*F698,"")</f>
        <v>917.733072696904</v>
      </c>
      <c r="M698" s="24" t="n">
        <v>0</v>
      </c>
      <c r="Q698" s="24" t="n">
        <v>4</v>
      </c>
      <c r="R698" s="24" t="n">
        <v>85</v>
      </c>
      <c r="S698" s="25" t="n">
        <v>0.751382029472631</v>
      </c>
      <c r="T698" s="24" t="n">
        <v>4</v>
      </c>
      <c r="U698" s="24" t="n">
        <v>100</v>
      </c>
      <c r="V698" s="25" t="n">
        <v>0.219065870795046</v>
      </c>
      <c r="W698" s="24" t="n">
        <v>5</v>
      </c>
      <c r="X698" s="24" t="n">
        <v>85</v>
      </c>
      <c r="Y698" s="25" t="n">
        <v>0.0295520997323221</v>
      </c>
      <c r="Z698" s="12" t="str">
        <f aca="false">IF(AND($J698=1,$M698=1),N698*E698/Span_P+O698*F698/Span_S+P698*G698/Span_B,"")</f>
        <v/>
      </c>
      <c r="AA698" s="12" t="str">
        <f aca="false">IF(AND($J698=1,$M698=1),SUMPRODUCT(MAX($J$6:$J$1062*(N698*$K$6:$K$1062/Span_P+O698*$F$6:$F$1062/Span_S+P698*$G$6:$G$1062/Span_B)-(1-$J$6:$J$1062)*1000000000)),"")</f>
        <v/>
      </c>
      <c r="AB698" s="15" t="str">
        <f aca="false">IF(AND($J698=1,$M698=1),IF(AA698-Z698&lt;=0.000000001,1,0),"")</f>
        <v/>
      </c>
      <c r="AC698" s="13" t="n">
        <f aca="false">IF(AND($J698=1,$M698=0),IF(S698="",0,S698*INDEX(Grid!$B$6:$H$156,R698+1,Q698+1))+IF(V698="",0,V698*INDEX(Grid!$B$6:$H$156,U698+1,T698+1))+IF(Y698="",0,Y698*INDEX(Grid!$B$6:$H$156,X698+1,W698+1)),"")</f>
        <v>177.551443430656</v>
      </c>
      <c r="AD698" s="13" t="n">
        <f aca="false">IF(AND($J698=1,$M698=0),IF(S698="",0,S698*Val_pt*(Ceiling_e-E_zero)*(1-(1-Half_gap)^Q698))+IF(V698="",0,V698*Val_pt*(Ceiling_e-E_zero)*(1-(1-Half_gap)^T698))+IF(Y698="",0,Y698*Val_pt*(Ceiling_e-E_zero)*(1-(1-Half_gap)^W698)),"")</f>
        <v>131.379290436329</v>
      </c>
      <c r="AE698" s="13" t="n">
        <f aca="false">IF(AND($J698=1,$M698=0),IF(S698="",0,S698*R698)+IF(V698="",0,V698*U698)+IF(Y698="",0,Y698*X698),"")</f>
        <v>88.2859880619256</v>
      </c>
      <c r="AF698" s="12" t="n">
        <f aca="false">IF(AND($J698=1,$M698=0),MIN((AC698-E698)/Span_P,(AD698-F698)/Span_S,(AE698-G698)/Span_B),"")</f>
        <v>0.00190658707950307</v>
      </c>
      <c r="AG698" s="15" t="n">
        <f aca="false">IF(AND($J698=1,$M698=0),IF(AF698&gt;0.0000001,1,0),"")</f>
        <v>1</v>
      </c>
      <c r="AH698" s="15" t="n">
        <f aca="false">IF($J698=1,IF($M698=1,AB698,AG698),"")</f>
        <v>1</v>
      </c>
      <c r="AI698" s="13" t="n">
        <f aca="false">IF($J698=1,(Ideal_P-E698)/Span_P,"")</f>
        <v>0.572503906609565</v>
      </c>
      <c r="AJ698" s="13" t="n">
        <f aca="false">IF($J698=1,(Ideal_S-F698)/Span_S,"")</f>
        <v>0.0967741935483871</v>
      </c>
      <c r="AK698" s="13" t="n">
        <f aca="false">IF($J698=1,(Ideal_B-G698)/Span_B,"")</f>
        <v>0.413333333333333</v>
      </c>
      <c r="AL698" s="12" t="n">
        <f aca="false">IF($J698=1,MAX(ChA_1*AI698,ChA_2*AJ698,ChA_3*AK698)+Rho*(ChA_1*AI698+ChA_2*AJ698+ChA_3*AK698),"")</f>
        <v>0.572612167752914</v>
      </c>
      <c r="AM698" s="12" t="n">
        <f aca="false">IF($J698=1,MAX(ChB_1*AI698,ChB_2*AJ698,ChB_3*AK698)+Rho*(ChB_1*AI698+ChB_2*AJ698+ChB_3*AK698),"")</f>
        <v>1.14517332475314</v>
      </c>
      <c r="AN698" s="12" t="n">
        <f aca="false">IF($J698=1,MAX(Cx_1*(Ref_P-E698)/Span_P,Cx_2*(Ref_S-F698)/Span_S,Cx_3*(Ref_B-G698)/Span_B),"")</f>
        <v>1.45472949011895</v>
      </c>
    </row>
    <row r="699" customFormat="false" ht="15" hidden="false" customHeight="false" outlineLevel="0" collapsed="false">
      <c r="A699" s="2" t="n">
        <v>693</v>
      </c>
      <c r="B699" s="15" t="n">
        <f aca="false">INT(A699/151)</f>
        <v>4</v>
      </c>
      <c r="C699" s="15" t="n">
        <f aca="false">MOD(A699,151)</f>
        <v>89</v>
      </c>
      <c r="D699" s="15" t="n">
        <f aca="false">INDEX(Grid!$J$6:$P$156,C699+1,B699+1)</f>
        <v>1</v>
      </c>
      <c r="E699" s="16" t="n">
        <f aca="false">IF(D699=1,INDEX(Grid!$B$6:$H$156,C699+1,B699+1),"")</f>
        <v>175.95194859223</v>
      </c>
      <c r="F699" s="13" t="n">
        <f aca="false">Val_pt*(Ceiling_e-E_zero)*(1-(1-Half_gap)^B699)</f>
        <v>131.25</v>
      </c>
      <c r="G699" s="15" t="n">
        <f aca="false">C699</f>
        <v>89</v>
      </c>
      <c r="H699" s="15" t="n">
        <f aca="false">IF(D699=1,INDEX(Grid!$R$6:$X$156,C699+1,B699+1),"")</f>
        <v>53</v>
      </c>
      <c r="I699" s="2" t="str">
        <f aca="false">IF(D699=1,INDEX(Sch_label,H699+1),"")</f>
        <v>1, 2, 4, 6</v>
      </c>
      <c r="J699" s="15" t="n">
        <f aca="false">IF(D699=1,INDEX(Grid!$Z$6:$AF$156,C699+1,B699+1),0)</f>
        <v>1</v>
      </c>
      <c r="K699" s="16" t="n">
        <f aca="false">IF(J699=1,E699,0)</f>
        <v>175.95194859223</v>
      </c>
      <c r="L699" s="17" t="n">
        <f aca="false">IF(D699=1,E699+W_board*F699,"")</f>
        <v>916.823981787813</v>
      </c>
      <c r="M699" s="24" t="n">
        <v>0</v>
      </c>
      <c r="Q699" s="24" t="n">
        <v>4</v>
      </c>
      <c r="R699" s="24" t="n">
        <v>85</v>
      </c>
      <c r="S699" s="25" t="n">
        <v>0.688766860349913</v>
      </c>
      <c r="T699" s="24" t="n">
        <v>4</v>
      </c>
      <c r="U699" s="24" t="n">
        <v>100</v>
      </c>
      <c r="V699" s="25" t="n">
        <v>0.284143714895459</v>
      </c>
      <c r="W699" s="24" t="n">
        <v>5</v>
      </c>
      <c r="X699" s="24" t="n">
        <v>85</v>
      </c>
      <c r="Y699" s="25" t="n">
        <v>0.0270894247546281</v>
      </c>
      <c r="Z699" s="12" t="str">
        <f aca="false">IF(AND($J699=1,$M699=1),N699*E699/Span_P+O699*F699/Span_S+P699*G699/Span_B,"")</f>
        <v/>
      </c>
      <c r="AA699" s="12" t="str">
        <f aca="false">IF(AND($J699=1,$M699=1),SUMPRODUCT(MAX($J$6:$J$1062*(N699*$K$6:$K$1062/Span_P+O699*$F$6:$F$1062/Span_S+P699*$G$6:$G$1062/Span_B)-(1-$J$6:$J$1062)*1000000000)),"")</f>
        <v/>
      </c>
      <c r="AB699" s="15" t="str">
        <f aca="false">IF(AND($J699=1,$M699=1),IF(AA699-Z699&lt;=0.000000001,1,0),"")</f>
        <v/>
      </c>
      <c r="AC699" s="13" t="n">
        <f aca="false">IF(AND($J699=1,$M699=0),IF(S699="",0,S699*INDEX(Grid!$B$6:$H$156,R699+1,Q699+1))+IF(V699="",0,V699*INDEX(Grid!$B$6:$H$156,U699+1,T699+1))+IF(Y699="",0,Y699*INDEX(Grid!$B$6:$H$156,X699+1,W699+1)),"")</f>
        <v>176.584818860787</v>
      </c>
      <c r="AD699" s="13" t="n">
        <f aca="false">IF(AND($J699=1,$M699=0),IF(S699="",0,S699*Val_pt*(Ceiling_e-E_zero)*(1-(1-Half_gap)^Q699))+IF(V699="",0,V699*Val_pt*(Ceiling_e-E_zero)*(1-(1-Half_gap)^T699))+IF(Y699="",0,Y699*Val_pt*(Ceiling_e-E_zero)*(1-(1-Half_gap)^W699)),"")</f>
        <v>131.368516233301</v>
      </c>
      <c r="AE699" s="13" t="n">
        <f aca="false">IF(AND($J699=1,$M699=0),IF(S699="",0,S699*R699)+IF(V699="",0,V699*U699)+IF(Y699="",0,Y699*X699),"")</f>
        <v>89.2621557234319</v>
      </c>
      <c r="AF699" s="12" t="n">
        <f aca="false">IF(AND($J699=1,$M699=0),MIN((AC699-E699)/Span_P,(AD699-F699)/Span_S,(AE699-G699)/Span_B),"")</f>
        <v>0.00174770482287893</v>
      </c>
      <c r="AG699" s="15" t="n">
        <f aca="false">IF(AND($J699=1,$M699=0),IF(AF699&gt;0.0000001,1,0),"")</f>
        <v>1</v>
      </c>
      <c r="AH699" s="15" t="n">
        <f aca="false">IF($J699=1,IF($M699=1,AB699,AG699),"")</f>
        <v>1</v>
      </c>
      <c r="AI699" s="13" t="n">
        <f aca="false">IF($J699=1,(Ideal_P-E699)/Span_P,"")</f>
        <v>0.575014409385871</v>
      </c>
      <c r="AJ699" s="13" t="n">
        <f aca="false">IF($J699=1,(Ideal_S-F699)/Span_S,"")</f>
        <v>0.0967741935483871</v>
      </c>
      <c r="AK699" s="13" t="n">
        <f aca="false">IF($J699=1,(Ideal_B-G699)/Span_B,"")</f>
        <v>0.406666666666667</v>
      </c>
      <c r="AL699" s="12" t="n">
        <f aca="false">IF($J699=1,MAX(ChA_1*AI699,ChA_2*AJ699,ChA_3*AK699)+Rho*(ChA_1*AI699+ChA_2*AJ699+ChA_3*AK699),"")</f>
        <v>0.575122254912831</v>
      </c>
      <c r="AM699" s="12" t="n">
        <f aca="false">IF($J699=1,MAX(ChB_1*AI699,ChB_2*AJ699,ChB_3*AK699)+Rho*(ChB_1*AI699+ChB_2*AJ699+ChB_3*AK699),"")</f>
        <v>1.15019416573964</v>
      </c>
      <c r="AN699" s="12" t="n">
        <f aca="false">IF($J699=1,MAX(Cx_1*(Ref_P-E699)/Span_P,Cx_2*(Ref_S-F699)/Span_S,Cx_3*(Ref_B-G699)/Span_B),"")</f>
        <v>1.46099915180238</v>
      </c>
    </row>
    <row r="700" customFormat="false" ht="15" hidden="false" customHeight="false" outlineLevel="0" collapsed="false">
      <c r="A700" s="2" t="n">
        <v>694</v>
      </c>
      <c r="B700" s="15" t="n">
        <f aca="false">INT(A700/151)</f>
        <v>4</v>
      </c>
      <c r="C700" s="15" t="n">
        <f aca="false">MOD(A700,151)</f>
        <v>90</v>
      </c>
      <c r="D700" s="15" t="n">
        <f aca="false">INDEX(Grid!$J$6:$P$156,C700+1,B700+1)</f>
        <v>1</v>
      </c>
      <c r="E700" s="16" t="n">
        <f aca="false">IF(D700=1,INDEX(Grid!$B$6:$H$156,C700+1,B700+1),"")</f>
        <v>175.042857683139</v>
      </c>
      <c r="F700" s="13" t="n">
        <f aca="false">Val_pt*(Ceiling_e-E_zero)*(1-(1-Half_gap)^B700)</f>
        <v>131.25</v>
      </c>
      <c r="G700" s="15" t="n">
        <f aca="false">C700</f>
        <v>90</v>
      </c>
      <c r="H700" s="15" t="n">
        <f aca="false">IF(D700=1,INDEX(Grid!$R$6:$X$156,C700+1,B700+1),"")</f>
        <v>53</v>
      </c>
      <c r="I700" s="2" t="str">
        <f aca="false">IF(D700=1,INDEX(Sch_label,H700+1),"")</f>
        <v>1, 2, 4, 6</v>
      </c>
      <c r="J700" s="15" t="n">
        <f aca="false">IF(D700=1,INDEX(Grid!$Z$6:$AF$156,C700+1,B700+1),0)</f>
        <v>1</v>
      </c>
      <c r="K700" s="16" t="n">
        <f aca="false">IF(J700=1,E700,0)</f>
        <v>175.042857683139</v>
      </c>
      <c r="L700" s="17" t="n">
        <f aca="false">IF(D700=1,E700+W_board*F700,"")</f>
        <v>915.914890878722</v>
      </c>
      <c r="M700" s="24" t="n">
        <v>0</v>
      </c>
      <c r="Q700" s="24" t="n">
        <v>4</v>
      </c>
      <c r="R700" s="24" t="n">
        <v>85</v>
      </c>
      <c r="S700" s="25" t="n">
        <v>0.626151691227194</v>
      </c>
      <c r="T700" s="24" t="n">
        <v>4</v>
      </c>
      <c r="U700" s="24" t="n">
        <v>100</v>
      </c>
      <c r="V700" s="25" t="n">
        <v>0.349221558995872</v>
      </c>
      <c r="W700" s="24" t="n">
        <v>5</v>
      </c>
      <c r="X700" s="24" t="n">
        <v>85</v>
      </c>
      <c r="Y700" s="25" t="n">
        <v>0.0246267497769339</v>
      </c>
      <c r="Z700" s="12" t="str">
        <f aca="false">IF(AND($J700=1,$M700=1),N700*E700/Span_P+O700*F700/Span_S+P700*G700/Span_B,"")</f>
        <v/>
      </c>
      <c r="AA700" s="12" t="str">
        <f aca="false">IF(AND($J700=1,$M700=1),SUMPRODUCT(MAX($J$6:$J$1062*(N700*$K$6:$K$1062/Span_P+O700*$F$6:$F$1062/Span_S+P700*$G$6:$G$1062/Span_B)-(1-$J$6:$J$1062)*1000000000)),"")</f>
        <v/>
      </c>
      <c r="AB700" s="15" t="str">
        <f aca="false">IF(AND($J700=1,$M700=1),IF(AA700-Z700&lt;=0.000000001,1,0),"")</f>
        <v/>
      </c>
      <c r="AC700" s="13" t="n">
        <f aca="false">IF(AND($J700=1,$M700=0),IF(S700="",0,S700*INDEX(Grid!$B$6:$H$156,R700+1,Q700+1))+IF(V700="",0,V700*INDEX(Grid!$B$6:$H$156,U700+1,T700+1))+IF(Y700="",0,Y700*INDEX(Grid!$B$6:$H$156,X700+1,W700+1)),"")</f>
        <v>175.618194290919</v>
      </c>
      <c r="AD700" s="13" t="n">
        <f aca="false">IF(AND($J700=1,$M700=0),IF(S700="",0,S700*Val_pt*(Ceiling_e-E_zero)*(1-(1-Half_gap)^Q700))+IF(V700="",0,V700*Val_pt*(Ceiling_e-E_zero)*(1-(1-Half_gap)^T700))+IF(Y700="",0,Y700*Val_pt*(Ceiling_e-E_zero)*(1-(1-Half_gap)^W700)),"")</f>
        <v>131.357742030274</v>
      </c>
      <c r="AE700" s="13" t="n">
        <f aca="false">IF(AND($J700=1,$M700=0),IF(S700="",0,S700*R700)+IF(V700="",0,V700*U700)+IF(Y700="",0,Y700*X700),"")</f>
        <v>90.2383233849381</v>
      </c>
      <c r="AF700" s="12" t="n">
        <f aca="false">IF(AND($J700=1,$M700=0),MIN((AC700-E700)/Span_P,(AD700-F700)/Span_S,(AE700-G700)/Span_B),"")</f>
        <v>0.00158882256625399</v>
      </c>
      <c r="AG700" s="15" t="n">
        <f aca="false">IF(AND($J700=1,$M700=0),IF(AF700&gt;0.0000001,1,0),"")</f>
        <v>1</v>
      </c>
      <c r="AH700" s="15" t="n">
        <f aca="false">IF($J700=1,IF($M700=1,AB700,AG700),"")</f>
        <v>1</v>
      </c>
      <c r="AI700" s="13" t="n">
        <f aca="false">IF($J700=1,(Ideal_P-E700)/Span_P,"")</f>
        <v>0.577524912162176</v>
      </c>
      <c r="AJ700" s="13" t="n">
        <f aca="false">IF($J700=1,(Ideal_S-F700)/Span_S,"")</f>
        <v>0.0967741935483871</v>
      </c>
      <c r="AK700" s="13" t="n">
        <f aca="false">IF($J700=1,(Ideal_B-G700)/Span_B,"")</f>
        <v>0.4</v>
      </c>
      <c r="AL700" s="12" t="n">
        <f aca="false">IF($J700=1,MAX(ChA_1*AI700,ChA_2*AJ700,ChA_3*AK700)+Rho*(ChA_1*AI700+ChA_2*AJ700+ChA_3*AK700),"")</f>
        <v>0.577632342072747</v>
      </c>
      <c r="AM700" s="12" t="n">
        <f aca="false">IF($J700=1,MAX(ChB_1*AI700,ChB_2*AJ700,ChB_3*AK700)+Rho*(ChB_1*AI700+ChB_2*AJ700+ChB_3*AK700),"")</f>
        <v>1.15521500672614</v>
      </c>
      <c r="AN700" s="12" t="n">
        <f aca="false">IF($J700=1,MAX(Cx_1*(Ref_P-E700)/Span_P,Cx_2*(Ref_S-F700)/Span_S,Cx_3*(Ref_B-G700)/Span_B),"")</f>
        <v>1.46726881348581</v>
      </c>
    </row>
    <row r="701" customFormat="false" ht="15" hidden="false" customHeight="false" outlineLevel="0" collapsed="false">
      <c r="A701" s="2" t="n">
        <v>695</v>
      </c>
      <c r="B701" s="15" t="n">
        <f aca="false">INT(A701/151)</f>
        <v>4</v>
      </c>
      <c r="C701" s="15" t="n">
        <f aca="false">MOD(A701,151)</f>
        <v>91</v>
      </c>
      <c r="D701" s="15" t="n">
        <f aca="false">INDEX(Grid!$J$6:$P$156,C701+1,B701+1)</f>
        <v>1</v>
      </c>
      <c r="E701" s="16" t="n">
        <f aca="false">IF(D701=1,INDEX(Grid!$B$6:$H$156,C701+1,B701+1),"")</f>
        <v>174.133766774048</v>
      </c>
      <c r="F701" s="13" t="n">
        <f aca="false">Val_pt*(Ceiling_e-E_zero)*(1-(1-Half_gap)^B701)</f>
        <v>131.25</v>
      </c>
      <c r="G701" s="15" t="n">
        <f aca="false">C701</f>
        <v>91</v>
      </c>
      <c r="H701" s="15" t="n">
        <f aca="false">IF(D701=1,INDEX(Grid!$R$6:$X$156,C701+1,B701+1),"")</f>
        <v>53</v>
      </c>
      <c r="I701" s="2" t="str">
        <f aca="false">IF(D701=1,INDEX(Sch_label,H701+1),"")</f>
        <v>1, 2, 4, 6</v>
      </c>
      <c r="J701" s="15" t="n">
        <f aca="false">IF(D701=1,INDEX(Grid!$Z$6:$AF$156,C701+1,B701+1),0)</f>
        <v>1</v>
      </c>
      <c r="K701" s="16" t="n">
        <f aca="false">IF(J701=1,E701,0)</f>
        <v>174.133766774048</v>
      </c>
      <c r="L701" s="17" t="n">
        <f aca="false">IF(D701=1,E701+W_board*F701,"")</f>
        <v>915.005799969631</v>
      </c>
      <c r="M701" s="24" t="n">
        <v>0</v>
      </c>
      <c r="Q701" s="24" t="n">
        <v>4</v>
      </c>
      <c r="R701" s="24" t="n">
        <v>85</v>
      </c>
      <c r="S701" s="25" t="n">
        <v>0.563536522104471</v>
      </c>
      <c r="T701" s="24" t="n">
        <v>4</v>
      </c>
      <c r="U701" s="24" t="n">
        <v>100</v>
      </c>
      <c r="V701" s="25" t="n">
        <v>0.414299403096284</v>
      </c>
      <c r="W701" s="24" t="n">
        <v>5</v>
      </c>
      <c r="X701" s="24" t="n">
        <v>85</v>
      </c>
      <c r="Y701" s="25" t="n">
        <v>0.022164074799243</v>
      </c>
      <c r="Z701" s="12" t="str">
        <f aca="false">IF(AND($J701=1,$M701=1),N701*E701/Span_P+O701*F701/Span_S+P701*G701/Span_B,"")</f>
        <v/>
      </c>
      <c r="AA701" s="12" t="str">
        <f aca="false">IF(AND($J701=1,$M701=1),SUMPRODUCT(MAX($J$6:$J$1062*(N701*$K$6:$K$1062/Span_P+O701*$F$6:$F$1062/Span_S+P701*$G$6:$G$1062/Span_B)-(1-$J$6:$J$1062)*1000000000)),"")</f>
        <v/>
      </c>
      <c r="AB701" s="15" t="str">
        <f aca="false">IF(AND($J701=1,$M701=1),IF(AA701-Z701&lt;=0.000000001,1,0),"")</f>
        <v/>
      </c>
      <c r="AC701" s="13" t="n">
        <f aca="false">IF(AND($J701=1,$M701=0),IF(S701="",0,S701*INDEX(Grid!$B$6:$H$156,R701+1,Q701+1))+IF(V701="",0,V701*INDEX(Grid!$B$6:$H$156,U701+1,T701+1))+IF(Y701="",0,Y701*INDEX(Grid!$B$6:$H$156,X701+1,W701+1)),"")</f>
        <v>174.651569721049</v>
      </c>
      <c r="AD701" s="13" t="n">
        <f aca="false">IF(AND($J701=1,$M701=0),IF(S701="",0,S701*Val_pt*(Ceiling_e-E_zero)*(1-(1-Half_gap)^Q701))+IF(V701="",0,V701*Val_pt*(Ceiling_e-E_zero)*(1-(1-Half_gap)^T701))+IF(Y701="",0,Y701*Val_pt*(Ceiling_e-E_zero)*(1-(1-Half_gap)^W701)),"")</f>
        <v>131.346967827246</v>
      </c>
      <c r="AE701" s="13" t="n">
        <f aca="false">IF(AND($J701=1,$M701=0),IF(S701="",0,S701*R701)+IF(V701="",0,V701*U701)+IF(Y701="",0,Y701*X701),"")</f>
        <v>91.2144910464441</v>
      </c>
      <c r="AF701" s="12" t="n">
        <f aca="false">IF(AND($J701=1,$M701=0),MIN((AC701-E701)/Span_P,(AD701-F701)/Span_S,(AE701-G701)/Span_B),"")</f>
        <v>0.00142994030962478</v>
      </c>
      <c r="AG701" s="15" t="n">
        <f aca="false">IF(AND($J701=1,$M701=0),IF(AF701&gt;0.0000001,1,0),"")</f>
        <v>1</v>
      </c>
      <c r="AH701" s="15" t="n">
        <f aca="false">IF($J701=1,IF($M701=1,AB701,AG701),"")</f>
        <v>1</v>
      </c>
      <c r="AI701" s="13" t="n">
        <f aca="false">IF($J701=1,(Ideal_P-E701)/Span_P,"")</f>
        <v>0.580035414938482</v>
      </c>
      <c r="AJ701" s="13" t="n">
        <f aca="false">IF($J701=1,(Ideal_S-F701)/Span_S,"")</f>
        <v>0.0967741935483871</v>
      </c>
      <c r="AK701" s="13" t="n">
        <f aca="false">IF($J701=1,(Ideal_B-G701)/Span_B,"")</f>
        <v>0.393333333333333</v>
      </c>
      <c r="AL701" s="12" t="n">
        <f aca="false">IF($J701=1,MAX(ChA_1*AI701,ChA_2*AJ701,ChA_3*AK701)+Rho*(ChA_1*AI701+ChA_2*AJ701+ChA_3*AK701),"")</f>
        <v>0.580142429232664</v>
      </c>
      <c r="AM701" s="12" t="n">
        <f aca="false">IF($J701=1,MAX(ChB_1*AI701,ChB_2*AJ701,ChB_3*AK701)+Rho*(ChB_1*AI701+ChB_2*AJ701+ChB_3*AK701),"")</f>
        <v>1.16023584771264</v>
      </c>
      <c r="AN701" s="12" t="n">
        <f aca="false">IF($J701=1,MAX(Cx_1*(Ref_P-E701)/Span_P,Cx_2*(Ref_S-F701)/Span_S,Cx_3*(Ref_B-G701)/Span_B),"")</f>
        <v>1.47353847516924</v>
      </c>
    </row>
    <row r="702" customFormat="false" ht="15" hidden="false" customHeight="false" outlineLevel="0" collapsed="false">
      <c r="A702" s="2" t="n">
        <v>696</v>
      </c>
      <c r="B702" s="15" t="n">
        <f aca="false">INT(A702/151)</f>
        <v>4</v>
      </c>
      <c r="C702" s="15" t="n">
        <f aca="false">MOD(A702,151)</f>
        <v>92</v>
      </c>
      <c r="D702" s="15" t="n">
        <f aca="false">INDEX(Grid!$J$6:$P$156,C702+1,B702+1)</f>
        <v>1</v>
      </c>
      <c r="E702" s="16" t="n">
        <f aca="false">IF(D702=1,INDEX(Grid!$B$6:$H$156,C702+1,B702+1),"")</f>
        <v>173.224675864958</v>
      </c>
      <c r="F702" s="13" t="n">
        <f aca="false">Val_pt*(Ceiling_e-E_zero)*(1-(1-Half_gap)^B702)</f>
        <v>131.25</v>
      </c>
      <c r="G702" s="15" t="n">
        <f aca="false">C702</f>
        <v>92</v>
      </c>
      <c r="H702" s="15" t="n">
        <f aca="false">IF(D702=1,INDEX(Grid!$R$6:$X$156,C702+1,B702+1),"")</f>
        <v>53</v>
      </c>
      <c r="I702" s="2" t="str">
        <f aca="false">IF(D702=1,INDEX(Sch_label,H702+1),"")</f>
        <v>1, 2, 4, 6</v>
      </c>
      <c r="J702" s="15" t="n">
        <f aca="false">IF(D702=1,INDEX(Grid!$Z$6:$AF$156,C702+1,B702+1),0)</f>
        <v>1</v>
      </c>
      <c r="K702" s="16" t="n">
        <f aca="false">IF(J702=1,E702,0)</f>
        <v>173.224675864958</v>
      </c>
      <c r="L702" s="17" t="n">
        <f aca="false">IF(D702=1,E702+W_board*F702,"")</f>
        <v>914.09670906054</v>
      </c>
      <c r="M702" s="24" t="n">
        <v>0</v>
      </c>
      <c r="Q702" s="24" t="n">
        <v>4</v>
      </c>
      <c r="R702" s="24" t="n">
        <v>85</v>
      </c>
      <c r="S702" s="25" t="n">
        <v>0.500921352981755</v>
      </c>
      <c r="T702" s="24" t="n">
        <v>4</v>
      </c>
      <c r="U702" s="24" t="n">
        <v>100</v>
      </c>
      <c r="V702" s="25" t="n">
        <v>0.479377247196697</v>
      </c>
      <c r="W702" s="24" t="n">
        <v>5</v>
      </c>
      <c r="X702" s="24" t="n">
        <v>85</v>
      </c>
      <c r="Y702" s="25" t="n">
        <v>0.0197013998215474</v>
      </c>
      <c r="Z702" s="12" t="str">
        <f aca="false">IF(AND($J702=1,$M702=1),N702*E702/Span_P+O702*F702/Span_S+P702*G702/Span_B,"")</f>
        <v/>
      </c>
      <c r="AA702" s="12" t="str">
        <f aca="false">IF(AND($J702=1,$M702=1),SUMPRODUCT(MAX($J$6:$J$1062*(N702*$K$6:$K$1062/Span_P+O702*$F$6:$F$1062/Span_S+P702*$G$6:$G$1062/Span_B)-(1-$J$6:$J$1062)*1000000000)),"")</f>
        <v/>
      </c>
      <c r="AB702" s="15" t="str">
        <f aca="false">IF(AND($J702=1,$M702=1),IF(AA702-Z702&lt;=0.000000001,1,0),"")</f>
        <v/>
      </c>
      <c r="AC702" s="13" t="n">
        <f aca="false">IF(AND($J702=1,$M702=0),IF(S702="",0,S702*INDEX(Grid!$B$6:$H$156,R702+1,Q702+1))+IF(V702="",0,V702*INDEX(Grid!$B$6:$H$156,U702+1,T702+1))+IF(Y702="",0,Y702*INDEX(Grid!$B$6:$H$156,X702+1,W702+1)),"")</f>
        <v>173.684945151181</v>
      </c>
      <c r="AD702" s="13" t="n">
        <f aca="false">IF(AND($J702=1,$M702=0),IF(S702="",0,S702*Val_pt*(Ceiling_e-E_zero)*(1-(1-Half_gap)^Q702))+IF(V702="",0,V702*Val_pt*(Ceiling_e-E_zero)*(1-(1-Half_gap)^T702))+IF(Y702="",0,Y702*Val_pt*(Ceiling_e-E_zero)*(1-(1-Half_gap)^W702)),"")</f>
        <v>131.336193624219</v>
      </c>
      <c r="AE702" s="13" t="n">
        <f aca="false">IF(AND($J702=1,$M702=0),IF(S702="",0,S702*R702)+IF(V702="",0,V702*U702)+IF(Y702="",0,Y702*X702),"")</f>
        <v>92.1906587079504</v>
      </c>
      <c r="AF702" s="12" t="n">
        <f aca="false">IF(AND($J702=1,$M702=0),MIN((AC702-E702)/Span_P,(AD702-F702)/Span_S,(AE702-G702)/Span_B),"")</f>
        <v>0.00127105805300149</v>
      </c>
      <c r="AG702" s="15" t="n">
        <f aca="false">IF(AND($J702=1,$M702=0),IF(AF702&gt;0.0000001,1,0),"")</f>
        <v>1</v>
      </c>
      <c r="AH702" s="15" t="n">
        <f aca="false">IF($J702=1,IF($M702=1,AB702,AG702),"")</f>
        <v>1</v>
      </c>
      <c r="AI702" s="13" t="n">
        <f aca="false">IF($J702=1,(Ideal_P-E702)/Span_P,"")</f>
        <v>0.582545917714788</v>
      </c>
      <c r="AJ702" s="13" t="n">
        <f aca="false">IF($J702=1,(Ideal_S-F702)/Span_S,"")</f>
        <v>0.0967741935483871</v>
      </c>
      <c r="AK702" s="13" t="n">
        <f aca="false">IF($J702=1,(Ideal_B-G702)/Span_B,"")</f>
        <v>0.386666666666667</v>
      </c>
      <c r="AL702" s="12" t="n">
        <f aca="false">IF($J702=1,MAX(ChA_1*AI702,ChA_2*AJ702,ChA_3*AK702)+Rho*(ChA_1*AI702+ChA_2*AJ702+ChA_3*AK702),"")</f>
        <v>0.582652516392581</v>
      </c>
      <c r="AM702" s="12" t="n">
        <f aca="false">IF($J702=1,MAX(ChB_1*AI702,ChB_2*AJ702,ChB_3*AK702)+Rho*(ChB_1*AI702+ChB_2*AJ702+ChB_3*AK702),"")</f>
        <v>1.16525668869914</v>
      </c>
      <c r="AN702" s="12" t="n">
        <f aca="false">IF($J702=1,MAX(Cx_1*(Ref_P-E702)/Span_P,Cx_2*(Ref_S-F702)/Span_S,Cx_3*(Ref_B-G702)/Span_B),"")</f>
        <v>1.47980813685266</v>
      </c>
    </row>
    <row r="703" customFormat="false" ht="15" hidden="false" customHeight="false" outlineLevel="0" collapsed="false">
      <c r="A703" s="2" t="n">
        <v>697</v>
      </c>
      <c r="B703" s="15" t="n">
        <f aca="false">INT(A703/151)</f>
        <v>4</v>
      </c>
      <c r="C703" s="15" t="n">
        <f aca="false">MOD(A703,151)</f>
        <v>93</v>
      </c>
      <c r="D703" s="15" t="n">
        <f aca="false">INDEX(Grid!$J$6:$P$156,C703+1,B703+1)</f>
        <v>1</v>
      </c>
      <c r="E703" s="16" t="n">
        <f aca="false">IF(D703=1,INDEX(Grid!$B$6:$H$156,C703+1,B703+1),"")</f>
        <v>172.315584955867</v>
      </c>
      <c r="F703" s="13" t="n">
        <f aca="false">Val_pt*(Ceiling_e-E_zero)*(1-(1-Half_gap)^B703)</f>
        <v>131.25</v>
      </c>
      <c r="G703" s="15" t="n">
        <f aca="false">C703</f>
        <v>93</v>
      </c>
      <c r="H703" s="15" t="n">
        <f aca="false">IF(D703=1,INDEX(Grid!$R$6:$X$156,C703+1,B703+1),"")</f>
        <v>53</v>
      </c>
      <c r="I703" s="2" t="str">
        <f aca="false">IF(D703=1,INDEX(Sch_label,H703+1),"")</f>
        <v>1, 2, 4, 6</v>
      </c>
      <c r="J703" s="15" t="n">
        <f aca="false">IF(D703=1,INDEX(Grid!$Z$6:$AF$156,C703+1,B703+1),0)</f>
        <v>1</v>
      </c>
      <c r="K703" s="16" t="n">
        <f aca="false">IF(J703=1,E703,0)</f>
        <v>172.315584955867</v>
      </c>
      <c r="L703" s="17" t="n">
        <f aca="false">IF(D703=1,E703+W_board*F703,"")</f>
        <v>913.187618151449</v>
      </c>
      <c r="M703" s="24" t="n">
        <v>0</v>
      </c>
      <c r="Q703" s="24" t="n">
        <v>4</v>
      </c>
      <c r="R703" s="24" t="n">
        <v>85</v>
      </c>
      <c r="S703" s="25" t="n">
        <v>0.438306183859036</v>
      </c>
      <c r="T703" s="24" t="n">
        <v>4</v>
      </c>
      <c r="U703" s="24" t="n">
        <v>100</v>
      </c>
      <c r="V703" s="25" t="n">
        <v>0.54445509129711</v>
      </c>
      <c r="W703" s="24" t="n">
        <v>5</v>
      </c>
      <c r="X703" s="24" t="n">
        <v>85</v>
      </c>
      <c r="Y703" s="25" t="n">
        <v>0.0172387248438539</v>
      </c>
      <c r="Z703" s="12" t="str">
        <f aca="false">IF(AND($J703=1,$M703=1),N703*E703/Span_P+O703*F703/Span_S+P703*G703/Span_B,"")</f>
        <v/>
      </c>
      <c r="AA703" s="12" t="str">
        <f aca="false">IF(AND($J703=1,$M703=1),SUMPRODUCT(MAX($J$6:$J$1062*(N703*$K$6:$K$1062/Span_P+O703*$F$6:$F$1062/Span_S+P703*$G$6:$G$1062/Span_B)-(1-$J$6:$J$1062)*1000000000)),"")</f>
        <v/>
      </c>
      <c r="AB703" s="15" t="str">
        <f aca="false">IF(AND($J703=1,$M703=1),IF(AA703-Z703&lt;=0.000000001,1,0),"")</f>
        <v/>
      </c>
      <c r="AC703" s="13" t="n">
        <f aca="false">IF(AND($J703=1,$M703=0),IF(S703="",0,S703*INDEX(Grid!$B$6:$H$156,R703+1,Q703+1))+IF(V703="",0,V703*INDEX(Grid!$B$6:$H$156,U703+1,T703+1))+IF(Y703="",0,Y703*INDEX(Grid!$B$6:$H$156,X703+1,W703+1)),"")</f>
        <v>172.718320581312</v>
      </c>
      <c r="AD703" s="13" t="n">
        <f aca="false">IF(AND($J703=1,$M703=0),IF(S703="",0,S703*Val_pt*(Ceiling_e-E_zero)*(1-(1-Half_gap)^Q703))+IF(V703="",0,V703*Val_pt*(Ceiling_e-E_zero)*(1-(1-Half_gap)^T703))+IF(Y703="",0,Y703*Val_pt*(Ceiling_e-E_zero)*(1-(1-Half_gap)^W703)),"")</f>
        <v>131.325419421192</v>
      </c>
      <c r="AE703" s="13" t="n">
        <f aca="false">IF(AND($J703=1,$M703=0),IF(S703="",0,S703*R703)+IF(V703="",0,V703*U703)+IF(Y703="",0,Y703*X703),"")</f>
        <v>93.1668263694567</v>
      </c>
      <c r="AF703" s="12" t="n">
        <f aca="false">IF(AND($J703=1,$M703=0),MIN((AC703-E703)/Span_P,(AD703-F703)/Span_S,(AE703-G703)/Span_B),"")</f>
        <v>0.00111217579637781</v>
      </c>
      <c r="AG703" s="15" t="n">
        <f aca="false">IF(AND($J703=1,$M703=0),IF(AF703&gt;0.0000001,1,0),"")</f>
        <v>1</v>
      </c>
      <c r="AH703" s="15" t="n">
        <f aca="false">IF($J703=1,IF($M703=1,AB703,AG703),"")</f>
        <v>1</v>
      </c>
      <c r="AI703" s="13" t="n">
        <f aca="false">IF($J703=1,(Ideal_P-E703)/Span_P,"")</f>
        <v>0.585056420491094</v>
      </c>
      <c r="AJ703" s="13" t="n">
        <f aca="false">IF($J703=1,(Ideal_S-F703)/Span_S,"")</f>
        <v>0.0967741935483871</v>
      </c>
      <c r="AK703" s="13" t="n">
        <f aca="false">IF($J703=1,(Ideal_B-G703)/Span_B,"")</f>
        <v>0.38</v>
      </c>
      <c r="AL703" s="12" t="n">
        <f aca="false">IF($J703=1,MAX(ChA_1*AI703,ChA_2*AJ703,ChA_3*AK703)+Rho*(ChA_1*AI703+ChA_2*AJ703+ChA_3*AK703),"")</f>
        <v>0.585162603552498</v>
      </c>
      <c r="AM703" s="12" t="n">
        <f aca="false">IF($J703=1,MAX(ChB_1*AI703,ChB_2*AJ703,ChB_3*AK703)+Rho*(ChB_1*AI703+ChB_2*AJ703+ChB_3*AK703),"")</f>
        <v>1.17027752968564</v>
      </c>
      <c r="AN703" s="12" t="n">
        <f aca="false">IF($J703=1,MAX(Cx_1*(Ref_P-E703)/Span_P,Cx_2*(Ref_S-F703)/Span_S,Cx_3*(Ref_B-G703)/Span_B),"")</f>
        <v>1.48607779853609</v>
      </c>
    </row>
    <row r="704" customFormat="false" ht="15" hidden="false" customHeight="false" outlineLevel="0" collapsed="false">
      <c r="A704" s="2" t="n">
        <v>698</v>
      </c>
      <c r="B704" s="15" t="n">
        <f aca="false">INT(A704/151)</f>
        <v>4</v>
      </c>
      <c r="C704" s="15" t="n">
        <f aca="false">MOD(A704,151)</f>
        <v>94</v>
      </c>
      <c r="D704" s="15" t="n">
        <f aca="false">INDEX(Grid!$J$6:$P$156,C704+1,B704+1)</f>
        <v>1</v>
      </c>
      <c r="E704" s="16" t="n">
        <f aca="false">IF(D704=1,INDEX(Grid!$B$6:$H$156,C704+1,B704+1),"")</f>
        <v>171.406494046776</v>
      </c>
      <c r="F704" s="13" t="n">
        <f aca="false">Val_pt*(Ceiling_e-E_zero)*(1-(1-Half_gap)^B704)</f>
        <v>131.25</v>
      </c>
      <c r="G704" s="15" t="n">
        <f aca="false">C704</f>
        <v>94</v>
      </c>
      <c r="H704" s="15" t="n">
        <f aca="false">IF(D704=1,INDEX(Grid!$R$6:$X$156,C704+1,B704+1),"")</f>
        <v>53</v>
      </c>
      <c r="I704" s="2" t="str">
        <f aca="false">IF(D704=1,INDEX(Sch_label,H704+1),"")</f>
        <v>1, 2, 4, 6</v>
      </c>
      <c r="J704" s="15" t="n">
        <f aca="false">IF(D704=1,INDEX(Grid!$Z$6:$AF$156,C704+1,B704+1),0)</f>
        <v>1</v>
      </c>
      <c r="K704" s="16" t="n">
        <f aca="false">IF(J704=1,E704,0)</f>
        <v>171.406494046776</v>
      </c>
      <c r="L704" s="17" t="n">
        <f aca="false">IF(D704=1,E704+W_board*F704,"")</f>
        <v>912.278527242359</v>
      </c>
      <c r="M704" s="24" t="n">
        <v>0</v>
      </c>
      <c r="Q704" s="24" t="n">
        <v>4</v>
      </c>
      <c r="R704" s="24" t="n">
        <v>85</v>
      </c>
      <c r="S704" s="25" t="n">
        <v>0.375691014736316</v>
      </c>
      <c r="T704" s="24" t="n">
        <v>4</v>
      </c>
      <c r="U704" s="24" t="n">
        <v>100</v>
      </c>
      <c r="V704" s="25" t="n">
        <v>0.609532935397524</v>
      </c>
      <c r="W704" s="24" t="n">
        <v>5</v>
      </c>
      <c r="X704" s="24" t="n">
        <v>85</v>
      </c>
      <c r="Y704" s="25" t="n">
        <v>0.0147760498661608</v>
      </c>
      <c r="Z704" s="12" t="str">
        <f aca="false">IF(AND($J704=1,$M704=1),N704*E704/Span_P+O704*F704/Span_S+P704*G704/Span_B,"")</f>
        <v/>
      </c>
      <c r="AA704" s="12" t="str">
        <f aca="false">IF(AND($J704=1,$M704=1),SUMPRODUCT(MAX($J$6:$J$1062*(N704*$K$6:$K$1062/Span_P+O704*$F$6:$F$1062/Span_S+P704*$G$6:$G$1062/Span_B)-(1-$J$6:$J$1062)*1000000000)),"")</f>
        <v/>
      </c>
      <c r="AB704" s="15" t="str">
        <f aca="false">IF(AND($J704=1,$M704=1),IF(AA704-Z704&lt;=0.000000001,1,0),"")</f>
        <v/>
      </c>
      <c r="AC704" s="13" t="n">
        <f aca="false">IF(AND($J704=1,$M704=0),IF(S704="",0,S704*INDEX(Grid!$B$6:$H$156,R704+1,Q704+1))+IF(V704="",0,V704*INDEX(Grid!$B$6:$H$156,U704+1,T704+1))+IF(Y704="",0,Y704*INDEX(Grid!$B$6:$H$156,X704+1,W704+1)),"")</f>
        <v>171.751696011443</v>
      </c>
      <c r="AD704" s="13" t="n">
        <f aca="false">IF(AND($J704=1,$M704=0),IF(S704="",0,S704*Val_pt*(Ceiling_e-E_zero)*(1-(1-Half_gap)^Q704))+IF(V704="",0,V704*Val_pt*(Ceiling_e-E_zero)*(1-(1-Half_gap)^T704))+IF(Y704="",0,Y704*Val_pt*(Ceiling_e-E_zero)*(1-(1-Half_gap)^W704)),"")</f>
        <v>131.314645218165</v>
      </c>
      <c r="AE704" s="13" t="n">
        <f aca="false">IF(AND($J704=1,$M704=0),IF(S704="",0,S704*R704)+IF(V704="",0,V704*U704)+IF(Y704="",0,Y704*X704),"")</f>
        <v>94.1429940309629</v>
      </c>
      <c r="AF704" s="12" t="n">
        <f aca="false">IF(AND($J704=1,$M704=0),MIN((AC704-E704)/Span_P,(AD704-F704)/Span_S,(AE704-G704)/Span_B),"")</f>
        <v>0.00095329353975235</v>
      </c>
      <c r="AG704" s="15" t="n">
        <f aca="false">IF(AND($J704=1,$M704=0),IF(AF704&gt;0.0000001,1,0),"")</f>
        <v>1</v>
      </c>
      <c r="AH704" s="15" t="n">
        <f aca="false">IF($J704=1,IF($M704=1,AB704,AG704),"")</f>
        <v>1</v>
      </c>
      <c r="AI704" s="13" t="n">
        <f aca="false">IF($J704=1,(Ideal_P-E704)/Span_P,"")</f>
        <v>0.587566923267399</v>
      </c>
      <c r="AJ704" s="13" t="n">
        <f aca="false">IF($J704=1,(Ideal_S-F704)/Span_S,"")</f>
        <v>0.0967741935483871</v>
      </c>
      <c r="AK704" s="13" t="n">
        <f aca="false">IF($J704=1,(Ideal_B-G704)/Span_B,"")</f>
        <v>0.373333333333333</v>
      </c>
      <c r="AL704" s="12" t="n">
        <f aca="false">IF($J704=1,MAX(ChA_1*AI704,ChA_2*AJ704,ChA_3*AK704)+Rho*(ChA_1*AI704+ChA_2*AJ704+ChA_3*AK704),"")</f>
        <v>0.587672690712414</v>
      </c>
      <c r="AM704" s="12" t="n">
        <f aca="false">IF($J704=1,MAX(ChB_1*AI704,ChB_2*AJ704,ChB_3*AK704)+Rho*(ChB_1*AI704+ChB_2*AJ704+ChB_3*AK704),"")</f>
        <v>1.17529837067214</v>
      </c>
      <c r="AN704" s="12" t="n">
        <f aca="false">IF($J704=1,MAX(Cx_1*(Ref_P-E704)/Span_P,Cx_2*(Ref_S-F704)/Span_S,Cx_3*(Ref_B-G704)/Span_B),"")</f>
        <v>1.49234746021952</v>
      </c>
    </row>
    <row r="705" customFormat="false" ht="15" hidden="false" customHeight="false" outlineLevel="0" collapsed="false">
      <c r="A705" s="2" t="n">
        <v>699</v>
      </c>
      <c r="B705" s="15" t="n">
        <f aca="false">INT(A705/151)</f>
        <v>4</v>
      </c>
      <c r="C705" s="15" t="n">
        <f aca="false">MOD(A705,151)</f>
        <v>95</v>
      </c>
      <c r="D705" s="15" t="n">
        <f aca="false">INDEX(Grid!$J$6:$P$156,C705+1,B705+1)</f>
        <v>1</v>
      </c>
      <c r="E705" s="16" t="n">
        <f aca="false">IF(D705=1,INDEX(Grid!$B$6:$H$156,C705+1,B705+1),"")</f>
        <v>170.497403137685</v>
      </c>
      <c r="F705" s="13" t="n">
        <f aca="false">Val_pt*(Ceiling_e-E_zero)*(1-(1-Half_gap)^B705)</f>
        <v>131.25</v>
      </c>
      <c r="G705" s="15" t="n">
        <f aca="false">C705</f>
        <v>95</v>
      </c>
      <c r="H705" s="15" t="n">
        <f aca="false">IF(D705=1,INDEX(Grid!$R$6:$X$156,C705+1,B705+1),"")</f>
        <v>53</v>
      </c>
      <c r="I705" s="2" t="str">
        <f aca="false">IF(D705=1,INDEX(Sch_label,H705+1),"")</f>
        <v>1, 2, 4, 6</v>
      </c>
      <c r="J705" s="15" t="n">
        <f aca="false">IF(D705=1,INDEX(Grid!$Z$6:$AF$156,C705+1,B705+1),0)</f>
        <v>1</v>
      </c>
      <c r="K705" s="16" t="n">
        <f aca="false">IF(J705=1,E705,0)</f>
        <v>170.497403137685</v>
      </c>
      <c r="L705" s="17" t="n">
        <f aca="false">IF(D705=1,E705+W_board*F705,"")</f>
        <v>911.369436333268</v>
      </c>
      <c r="M705" s="24" t="n">
        <v>0</v>
      </c>
      <c r="Q705" s="24" t="n">
        <v>4</v>
      </c>
      <c r="R705" s="24" t="n">
        <v>85</v>
      </c>
      <c r="S705" s="25" t="n">
        <v>0.313075845613599</v>
      </c>
      <c r="T705" s="24" t="n">
        <v>4</v>
      </c>
      <c r="U705" s="24" t="n">
        <v>100</v>
      </c>
      <c r="V705" s="25" t="n">
        <v>0.674610779497936</v>
      </c>
      <c r="W705" s="24" t="n">
        <v>5</v>
      </c>
      <c r="X705" s="24" t="n">
        <v>85</v>
      </c>
      <c r="Y705" s="25" t="n">
        <v>0.0123133748884671</v>
      </c>
      <c r="Z705" s="12" t="str">
        <f aca="false">IF(AND($J705=1,$M705=1),N705*E705/Span_P+O705*F705/Span_S+P705*G705/Span_B,"")</f>
        <v/>
      </c>
      <c r="AA705" s="12" t="str">
        <f aca="false">IF(AND($J705=1,$M705=1),SUMPRODUCT(MAX($J$6:$J$1062*(N705*$K$6:$K$1062/Span_P+O705*$F$6:$F$1062/Span_S+P705*$G$6:$G$1062/Span_B)-(1-$J$6:$J$1062)*1000000000)),"")</f>
        <v/>
      </c>
      <c r="AB705" s="15" t="str">
        <f aca="false">IF(AND($J705=1,$M705=1),IF(AA705-Z705&lt;=0.000000001,1,0),"")</f>
        <v/>
      </c>
      <c r="AC705" s="13" t="n">
        <f aca="false">IF(AND($J705=1,$M705=0),IF(S705="",0,S705*INDEX(Grid!$B$6:$H$156,R705+1,Q705+1))+IF(V705="",0,V705*INDEX(Grid!$B$6:$H$156,U705+1,T705+1))+IF(Y705="",0,Y705*INDEX(Grid!$B$6:$H$156,X705+1,W705+1)),"")</f>
        <v>170.785071441575</v>
      </c>
      <c r="AD705" s="13" t="n">
        <f aca="false">IF(AND($J705=1,$M705=0),IF(S705="",0,S705*Val_pt*(Ceiling_e-E_zero)*(1-(1-Half_gap)^Q705))+IF(V705="",0,V705*Val_pt*(Ceiling_e-E_zero)*(1-(1-Half_gap)^T705))+IF(Y705="",0,Y705*Val_pt*(Ceiling_e-E_zero)*(1-(1-Half_gap)^W705)),"")</f>
        <v>131.303871015137</v>
      </c>
      <c r="AE705" s="13" t="n">
        <f aca="false">IF(AND($J705=1,$M705=0),IF(S705="",0,S705*R705)+IF(V705="",0,V705*U705)+IF(Y705="",0,Y705*X705),"")</f>
        <v>95.1191616924692</v>
      </c>
      <c r="AF705" s="12" t="n">
        <f aca="false">IF(AND($J705=1,$M705=0),MIN((AC705-E705)/Span_P,(AD705-F705)/Span_S,(AE705-G705)/Span_B),"")</f>
        <v>0.000794411283127848</v>
      </c>
      <c r="AG705" s="15" t="n">
        <f aca="false">IF(AND($J705=1,$M705=0),IF(AF705&gt;0.0000001,1,0),"")</f>
        <v>1</v>
      </c>
      <c r="AH705" s="15" t="n">
        <f aca="false">IF($J705=1,IF($M705=1,AB705,AG705),"")</f>
        <v>1</v>
      </c>
      <c r="AI705" s="13" t="n">
        <f aca="false">IF($J705=1,(Ideal_P-E705)/Span_P,"")</f>
        <v>0.590077426043705</v>
      </c>
      <c r="AJ705" s="13" t="n">
        <f aca="false">IF($J705=1,(Ideal_S-F705)/Span_S,"")</f>
        <v>0.0967741935483871</v>
      </c>
      <c r="AK705" s="13" t="n">
        <f aca="false">IF($J705=1,(Ideal_B-G705)/Span_B,"")</f>
        <v>0.366666666666667</v>
      </c>
      <c r="AL705" s="12" t="n">
        <f aca="false">IF($J705=1,MAX(ChA_1*AI705,ChA_2*AJ705,ChA_3*AK705)+Rho*(ChA_1*AI705+ChA_2*AJ705+ChA_3*AK705),"")</f>
        <v>0.590182777872331</v>
      </c>
      <c r="AM705" s="12" t="n">
        <f aca="false">IF($J705=1,MAX(ChB_1*AI705,ChB_2*AJ705,ChB_3*AK705)+Rho*(ChB_1*AI705+ChB_2*AJ705+ChB_3*AK705),"")</f>
        <v>1.18031921165864</v>
      </c>
      <c r="AN705" s="12" t="n">
        <f aca="false">IF($J705=1,MAX(Cx_1*(Ref_P-E705)/Span_P,Cx_2*(Ref_S-F705)/Span_S,Cx_3*(Ref_B-G705)/Span_B),"")</f>
        <v>1.49861712190295</v>
      </c>
    </row>
    <row r="706" customFormat="false" ht="15" hidden="false" customHeight="false" outlineLevel="0" collapsed="false">
      <c r="A706" s="2" t="n">
        <v>700</v>
      </c>
      <c r="B706" s="15" t="n">
        <f aca="false">INT(A706/151)</f>
        <v>4</v>
      </c>
      <c r="C706" s="15" t="n">
        <f aca="false">MOD(A706,151)</f>
        <v>96</v>
      </c>
      <c r="D706" s="15" t="n">
        <f aca="false">INDEX(Grid!$J$6:$P$156,C706+1,B706+1)</f>
        <v>1</v>
      </c>
      <c r="E706" s="16" t="n">
        <f aca="false">IF(D706=1,INDEX(Grid!$B$6:$H$156,C706+1,B706+1),"")</f>
        <v>169.588312228594</v>
      </c>
      <c r="F706" s="13" t="n">
        <f aca="false">Val_pt*(Ceiling_e-E_zero)*(1-(1-Half_gap)^B706)</f>
        <v>131.25</v>
      </c>
      <c r="G706" s="15" t="n">
        <f aca="false">C706</f>
        <v>96</v>
      </c>
      <c r="H706" s="15" t="n">
        <f aca="false">IF(D706=1,INDEX(Grid!$R$6:$X$156,C706+1,B706+1),"")</f>
        <v>53</v>
      </c>
      <c r="I706" s="2" t="str">
        <f aca="false">IF(D706=1,INDEX(Sch_label,H706+1),"")</f>
        <v>1, 2, 4, 6</v>
      </c>
      <c r="J706" s="15" t="n">
        <f aca="false">IF(D706=1,INDEX(Grid!$Z$6:$AF$156,C706+1,B706+1),0)</f>
        <v>1</v>
      </c>
      <c r="K706" s="16" t="n">
        <f aca="false">IF(J706=1,E706,0)</f>
        <v>169.588312228594</v>
      </c>
      <c r="L706" s="17" t="n">
        <f aca="false">IF(D706=1,E706+W_board*F706,"")</f>
        <v>910.460345424177</v>
      </c>
      <c r="M706" s="24" t="n">
        <v>0</v>
      </c>
      <c r="Q706" s="24" t="n">
        <v>4</v>
      </c>
      <c r="R706" s="24" t="n">
        <v>85</v>
      </c>
      <c r="S706" s="25" t="n">
        <v>0.250460676490877</v>
      </c>
      <c r="T706" s="24" t="n">
        <v>4</v>
      </c>
      <c r="U706" s="24" t="n">
        <v>100</v>
      </c>
      <c r="V706" s="25" t="n">
        <v>0.739688623598349</v>
      </c>
      <c r="W706" s="24" t="n">
        <v>5</v>
      </c>
      <c r="X706" s="24" t="n">
        <v>85</v>
      </c>
      <c r="Y706" s="25" t="n">
        <v>0.00985069991077396</v>
      </c>
      <c r="Z706" s="12" t="str">
        <f aca="false">IF(AND($J706=1,$M706=1),N706*E706/Span_P+O706*F706/Span_S+P706*G706/Span_B,"")</f>
        <v/>
      </c>
      <c r="AA706" s="12" t="str">
        <f aca="false">IF(AND($J706=1,$M706=1),SUMPRODUCT(MAX($J$6:$J$1062*(N706*$K$6:$K$1062/Span_P+O706*$F$6:$F$1062/Span_S+P706*$G$6:$G$1062/Span_B)-(1-$J$6:$J$1062)*1000000000)),"")</f>
        <v/>
      </c>
      <c r="AB706" s="15" t="str">
        <f aca="false">IF(AND($J706=1,$M706=1),IF(AA706-Z706&lt;=0.000000001,1,0),"")</f>
        <v/>
      </c>
      <c r="AC706" s="13" t="n">
        <f aca="false">IF(AND($J706=1,$M706=0),IF(S706="",0,S706*INDEX(Grid!$B$6:$H$156,R706+1,Q706+1))+IF(V706="",0,V706*INDEX(Grid!$B$6:$H$156,U706+1,T706+1))+IF(Y706="",0,Y706*INDEX(Grid!$B$6:$H$156,X706+1,W706+1)),"")</f>
        <v>169.818446871706</v>
      </c>
      <c r="AD706" s="13" t="n">
        <f aca="false">IF(AND($J706=1,$M706=0),IF(S706="",0,S706*Val_pt*(Ceiling_e-E_zero)*(1-(1-Half_gap)^Q706))+IF(V706="",0,V706*Val_pt*(Ceiling_e-E_zero)*(1-(1-Half_gap)^T706))+IF(Y706="",0,Y706*Val_pt*(Ceiling_e-E_zero)*(1-(1-Half_gap)^W706)),"")</f>
        <v>131.29309681211</v>
      </c>
      <c r="AE706" s="13" t="n">
        <f aca="false">IF(AND($J706=1,$M706=0),IF(S706="",0,S706*R706)+IF(V706="",0,V706*U706)+IF(Y706="",0,Y706*X706),"")</f>
        <v>96.0953293539753</v>
      </c>
      <c r="AF706" s="12" t="n">
        <f aca="false">IF(AND($J706=1,$M706=0),MIN((AC706-E706)/Span_P,(AD706-F706)/Span_S,(AE706-G706)/Span_B),"")</f>
        <v>0.00063552902650154</v>
      </c>
      <c r="AG706" s="15" t="n">
        <f aca="false">IF(AND($J706=1,$M706=0),IF(AF706&gt;0.0000001,1,0),"")</f>
        <v>1</v>
      </c>
      <c r="AH706" s="15" t="n">
        <f aca="false">IF($J706=1,IF($M706=1,AB706,AG706),"")</f>
        <v>1</v>
      </c>
      <c r="AI706" s="13" t="n">
        <f aca="false">IF($J706=1,(Ideal_P-E706)/Span_P,"")</f>
        <v>0.592587928820011</v>
      </c>
      <c r="AJ706" s="13" t="n">
        <f aca="false">IF($J706=1,(Ideal_S-F706)/Span_S,"")</f>
        <v>0.0967741935483871</v>
      </c>
      <c r="AK706" s="13" t="n">
        <f aca="false">IF($J706=1,(Ideal_B-G706)/Span_B,"")</f>
        <v>0.36</v>
      </c>
      <c r="AL706" s="12" t="n">
        <f aca="false">IF($J706=1,MAX(ChA_1*AI706,ChA_2*AJ706,ChA_3*AK706)+Rho*(ChA_1*AI706+ChA_2*AJ706+ChA_3*AK706),"")</f>
        <v>0.592692865032248</v>
      </c>
      <c r="AM706" s="12" t="n">
        <f aca="false">IF($J706=1,MAX(ChB_1*AI706,ChB_2*AJ706,ChB_3*AK706)+Rho*(ChB_1*AI706+ChB_2*AJ706+ChB_3*AK706),"")</f>
        <v>1.18534005264514</v>
      </c>
      <c r="AN706" s="12" t="n">
        <f aca="false">IF($J706=1,MAX(Cx_1*(Ref_P-E706)/Span_P,Cx_2*(Ref_S-F706)/Span_S,Cx_3*(Ref_B-G706)/Span_B),"")</f>
        <v>1.50488678358638</v>
      </c>
    </row>
    <row r="707" customFormat="false" ht="15" hidden="false" customHeight="false" outlineLevel="0" collapsed="false">
      <c r="A707" s="2" t="n">
        <v>701</v>
      </c>
      <c r="B707" s="15" t="n">
        <f aca="false">INT(A707/151)</f>
        <v>4</v>
      </c>
      <c r="C707" s="15" t="n">
        <f aca="false">MOD(A707,151)</f>
        <v>97</v>
      </c>
      <c r="D707" s="15" t="n">
        <f aca="false">INDEX(Grid!$J$6:$P$156,C707+1,B707+1)</f>
        <v>1</v>
      </c>
      <c r="E707" s="16" t="n">
        <f aca="false">IF(D707=1,INDEX(Grid!$B$6:$H$156,C707+1,B707+1),"")</f>
        <v>168.679221319503</v>
      </c>
      <c r="F707" s="13" t="n">
        <f aca="false">Val_pt*(Ceiling_e-E_zero)*(1-(1-Half_gap)^B707)</f>
        <v>131.25</v>
      </c>
      <c r="G707" s="15" t="n">
        <f aca="false">C707</f>
        <v>97</v>
      </c>
      <c r="H707" s="15" t="n">
        <f aca="false">IF(D707=1,INDEX(Grid!$R$6:$X$156,C707+1,B707+1),"")</f>
        <v>53</v>
      </c>
      <c r="I707" s="2" t="str">
        <f aca="false">IF(D707=1,INDEX(Sch_label,H707+1),"")</f>
        <v>1, 2, 4, 6</v>
      </c>
      <c r="J707" s="15" t="n">
        <f aca="false">IF(D707=1,INDEX(Grid!$Z$6:$AF$156,C707+1,B707+1),0)</f>
        <v>1</v>
      </c>
      <c r="K707" s="16" t="n">
        <f aca="false">IF(J707=1,E707,0)</f>
        <v>168.679221319503</v>
      </c>
      <c r="L707" s="17" t="n">
        <f aca="false">IF(D707=1,E707+W_board*F707,"")</f>
        <v>909.551254515086</v>
      </c>
      <c r="M707" s="24" t="n">
        <v>0</v>
      </c>
      <c r="Q707" s="24" t="n">
        <v>4</v>
      </c>
      <c r="R707" s="24" t="n">
        <v>85</v>
      </c>
      <c r="S707" s="25" t="n">
        <v>0.187845507368159</v>
      </c>
      <c r="T707" s="24" t="n">
        <v>4</v>
      </c>
      <c r="U707" s="24" t="n">
        <v>100</v>
      </c>
      <c r="V707" s="25" t="n">
        <v>0.804766467698761</v>
      </c>
      <c r="W707" s="24" t="n">
        <v>5</v>
      </c>
      <c r="X707" s="24" t="n">
        <v>85</v>
      </c>
      <c r="Y707" s="25" t="n">
        <v>0.00738802493308004</v>
      </c>
      <c r="Z707" s="12" t="str">
        <f aca="false">IF(AND($J707=1,$M707=1),N707*E707/Span_P+O707*F707/Span_S+P707*G707/Span_B,"")</f>
        <v/>
      </c>
      <c r="AA707" s="12" t="str">
        <f aca="false">IF(AND($J707=1,$M707=1),SUMPRODUCT(MAX($J$6:$J$1062*(N707*$K$6:$K$1062/Span_P+O707*$F$6:$F$1062/Span_S+P707*$G$6:$G$1062/Span_B)-(1-$J$6:$J$1062)*1000000000)),"")</f>
        <v/>
      </c>
      <c r="AB707" s="15" t="str">
        <f aca="false">IF(AND($J707=1,$M707=1),IF(AA707-Z707&lt;=0.000000001,1,0),"")</f>
        <v/>
      </c>
      <c r="AC707" s="13" t="n">
        <f aca="false">IF(AND($J707=1,$M707=0),IF(S707="",0,S707*INDEX(Grid!$B$6:$H$156,R707+1,Q707+1))+IF(V707="",0,V707*INDEX(Grid!$B$6:$H$156,U707+1,T707+1))+IF(Y707="",0,Y707*INDEX(Grid!$B$6:$H$156,X707+1,W707+1)),"")</f>
        <v>168.851822301837</v>
      </c>
      <c r="AD707" s="13" t="n">
        <f aca="false">IF(AND($J707=1,$M707=0),IF(S707="",0,S707*Val_pt*(Ceiling_e-E_zero)*(1-(1-Half_gap)^Q707))+IF(V707="",0,V707*Val_pt*(Ceiling_e-E_zero)*(1-(1-Half_gap)^T707))+IF(Y707="",0,Y707*Val_pt*(Ceiling_e-E_zero)*(1-(1-Half_gap)^W707)),"")</f>
        <v>131.282322609082</v>
      </c>
      <c r="AE707" s="13" t="n">
        <f aca="false">IF(AND($J707=1,$M707=0),IF(S707="",0,S707*R707)+IF(V707="",0,V707*U707)+IF(Y707="",0,Y707*X707),"")</f>
        <v>97.0714970154814</v>
      </c>
      <c r="AF707" s="12" t="n">
        <f aca="false">IF(AND($J707=1,$M707=0),MIN((AC707-E707)/Span_P,(AD707-F707)/Span_S,(AE707-G707)/Span_B),"")</f>
        <v>0.000476646769876178</v>
      </c>
      <c r="AG707" s="15" t="n">
        <f aca="false">IF(AND($J707=1,$M707=0),IF(AF707&gt;0.0000001,1,0),"")</f>
        <v>1</v>
      </c>
      <c r="AH707" s="15" t="n">
        <f aca="false">IF($J707=1,IF($M707=1,AB707,AG707),"")</f>
        <v>1</v>
      </c>
      <c r="AI707" s="13" t="n">
        <f aca="false">IF($J707=1,(Ideal_P-E707)/Span_P,"")</f>
        <v>0.595098431596317</v>
      </c>
      <c r="AJ707" s="13" t="n">
        <f aca="false">IF($J707=1,(Ideal_S-F707)/Span_S,"")</f>
        <v>0.0967741935483871</v>
      </c>
      <c r="AK707" s="13" t="n">
        <f aca="false">IF($J707=1,(Ideal_B-G707)/Span_B,"")</f>
        <v>0.353333333333333</v>
      </c>
      <c r="AL707" s="12" t="n">
        <f aca="false">IF($J707=1,MAX(ChA_1*AI707,ChA_2*AJ707,ChA_3*AK707)+Rho*(ChA_1*AI707+ChA_2*AJ707+ChA_3*AK707),"")</f>
        <v>0.595202952192165</v>
      </c>
      <c r="AM707" s="12" t="n">
        <f aca="false">IF($J707=1,MAX(ChB_1*AI707,ChB_2*AJ707,ChB_3*AK707)+Rho*(ChB_1*AI707+ChB_2*AJ707+ChB_3*AK707),"")</f>
        <v>1.19036089363164</v>
      </c>
      <c r="AN707" s="12" t="n">
        <f aca="false">IF($J707=1,MAX(Cx_1*(Ref_P-E707)/Span_P,Cx_2*(Ref_S-F707)/Span_S,Cx_3*(Ref_B-G707)/Span_B),"")</f>
        <v>1.51115644526981</v>
      </c>
    </row>
    <row r="708" customFormat="false" ht="15" hidden="false" customHeight="false" outlineLevel="0" collapsed="false">
      <c r="A708" s="2" t="n">
        <v>702</v>
      </c>
      <c r="B708" s="15" t="n">
        <f aca="false">INT(A708/151)</f>
        <v>4</v>
      </c>
      <c r="C708" s="15" t="n">
        <f aca="false">MOD(A708,151)</f>
        <v>98</v>
      </c>
      <c r="D708" s="15" t="n">
        <f aca="false">INDEX(Grid!$J$6:$P$156,C708+1,B708+1)</f>
        <v>1</v>
      </c>
      <c r="E708" s="16" t="n">
        <f aca="false">IF(D708=1,INDEX(Grid!$B$6:$H$156,C708+1,B708+1),"")</f>
        <v>167.770130410412</v>
      </c>
      <c r="F708" s="13" t="n">
        <f aca="false">Val_pt*(Ceiling_e-E_zero)*(1-(1-Half_gap)^B708)</f>
        <v>131.25</v>
      </c>
      <c r="G708" s="15" t="n">
        <f aca="false">C708</f>
        <v>98</v>
      </c>
      <c r="H708" s="15" t="n">
        <f aca="false">IF(D708=1,INDEX(Grid!$R$6:$X$156,C708+1,B708+1),"")</f>
        <v>53</v>
      </c>
      <c r="I708" s="2" t="str">
        <f aca="false">IF(D708=1,INDEX(Sch_label,H708+1),"")</f>
        <v>1, 2, 4, 6</v>
      </c>
      <c r="J708" s="15" t="n">
        <f aca="false">IF(D708=1,INDEX(Grid!$Z$6:$AF$156,C708+1,B708+1),0)</f>
        <v>1</v>
      </c>
      <c r="K708" s="16" t="n">
        <f aca="false">IF(J708=1,E708,0)</f>
        <v>167.770130410412</v>
      </c>
      <c r="L708" s="17" t="n">
        <f aca="false">IF(D708=1,E708+W_board*F708,"")</f>
        <v>908.642163605995</v>
      </c>
      <c r="M708" s="24" t="n">
        <v>0</v>
      </c>
      <c r="Q708" s="24" t="n">
        <v>4</v>
      </c>
      <c r="R708" s="24" t="n">
        <v>85</v>
      </c>
      <c r="S708" s="25" t="n">
        <v>0.130155688200826</v>
      </c>
      <c r="T708" s="24" t="n">
        <v>4</v>
      </c>
      <c r="U708" s="24" t="n">
        <v>100</v>
      </c>
      <c r="V708" s="25" t="n">
        <v>0.864918961843787</v>
      </c>
      <c r="W708" s="24" t="n">
        <v>5</v>
      </c>
      <c r="X708" s="24" t="n">
        <v>100</v>
      </c>
      <c r="Y708" s="25" t="n">
        <v>0.00492534995538712</v>
      </c>
      <c r="Z708" s="12" t="str">
        <f aca="false">IF(AND($J708=1,$M708=1),N708*E708/Span_P+O708*F708/Span_S+P708*G708/Span_B,"")</f>
        <v/>
      </c>
      <c r="AA708" s="12" t="str">
        <f aca="false">IF(AND($J708=1,$M708=1),SUMPRODUCT(MAX($J$6:$J$1062*(N708*$K$6:$K$1062/Span_P+O708*$F$6:$F$1062/Span_S+P708*$G$6:$G$1062/Span_B)-(1-$J$6:$J$1062)*1000000000)),"")</f>
        <v/>
      </c>
      <c r="AB708" s="15" t="str">
        <f aca="false">IF(AND($J708=1,$M708=1),IF(AA708-Z708&lt;=0.000000001,1,0),"")</f>
        <v/>
      </c>
      <c r="AC708" s="13" t="n">
        <f aca="false">IF(AND($J708=1,$M708=0),IF(S708="",0,S708*INDEX(Grid!$B$6:$H$156,R708+1,Q708+1))+IF(V708="",0,V708*INDEX(Grid!$B$6:$H$156,U708+1,T708+1))+IF(Y708="",0,Y708*INDEX(Grid!$B$6:$H$156,X708+1,W708+1)),"")</f>
        <v>167.885197731968</v>
      </c>
      <c r="AD708" s="13" t="n">
        <f aca="false">IF(AND($J708=1,$M708=0),IF(S708="",0,S708*Val_pt*(Ceiling_e-E_zero)*(1-(1-Half_gap)^Q708))+IF(V708="",0,V708*Val_pt*(Ceiling_e-E_zero)*(1-(1-Half_gap)^T708))+IF(Y708="",0,Y708*Val_pt*(Ceiling_e-E_zero)*(1-(1-Half_gap)^W708)),"")</f>
        <v>131.271548406055</v>
      </c>
      <c r="AE708" s="13" t="n">
        <f aca="false">IF(AND($J708=1,$M708=0),IF(S708="",0,S708*R708)+IF(V708="",0,V708*U708)+IF(Y708="",0,Y708*X708),"")</f>
        <v>98.0476646769876</v>
      </c>
      <c r="AF708" s="12" t="n">
        <f aca="false">IF(AND($J708=1,$M708=0),MIN((AC708-E708)/Span_P,(AD708-F708)/Span_S,(AE708-G708)/Span_B),"")</f>
        <v>0.000317764513249952</v>
      </c>
      <c r="AG708" s="15" t="n">
        <f aca="false">IF(AND($J708=1,$M708=0),IF(AF708&gt;0.0000001,1,0),"")</f>
        <v>1</v>
      </c>
      <c r="AH708" s="15" t="n">
        <f aca="false">IF($J708=1,IF($M708=1,AB708,AG708),"")</f>
        <v>1</v>
      </c>
      <c r="AI708" s="13" t="n">
        <f aca="false">IF($J708=1,(Ideal_P-E708)/Span_P,"")</f>
        <v>0.597608934372623</v>
      </c>
      <c r="AJ708" s="13" t="n">
        <f aca="false">IF($J708=1,(Ideal_S-F708)/Span_S,"")</f>
        <v>0.0967741935483871</v>
      </c>
      <c r="AK708" s="13" t="n">
        <f aca="false">IF($J708=1,(Ideal_B-G708)/Span_B,"")</f>
        <v>0.346666666666667</v>
      </c>
      <c r="AL708" s="12" t="n">
        <f aca="false">IF($J708=1,MAX(ChA_1*AI708,ChA_2*AJ708,ChA_3*AK708)+Rho*(ChA_1*AI708+ChA_2*AJ708+ChA_3*AK708),"")</f>
        <v>0.597713039352081</v>
      </c>
      <c r="AM708" s="12" t="n">
        <f aca="false">IF($J708=1,MAX(ChB_1*AI708,ChB_2*AJ708,ChB_3*AK708)+Rho*(ChB_1*AI708+ChB_2*AJ708+ChB_3*AK708),"")</f>
        <v>1.19538173461814</v>
      </c>
      <c r="AN708" s="12" t="n">
        <f aca="false">IF($J708=1,MAX(Cx_1*(Ref_P-E708)/Span_P,Cx_2*(Ref_S-F708)/Span_S,Cx_3*(Ref_B-G708)/Span_B),"")</f>
        <v>1.51742610695324</v>
      </c>
    </row>
    <row r="709" customFormat="false" ht="15" hidden="false" customHeight="false" outlineLevel="0" collapsed="false">
      <c r="A709" s="2" t="n">
        <v>703</v>
      </c>
      <c r="B709" s="15" t="n">
        <f aca="false">INT(A709/151)</f>
        <v>4</v>
      </c>
      <c r="C709" s="15" t="n">
        <f aca="false">MOD(A709,151)</f>
        <v>99</v>
      </c>
      <c r="D709" s="15" t="n">
        <f aca="false">INDEX(Grid!$J$6:$P$156,C709+1,B709+1)</f>
        <v>1</v>
      </c>
      <c r="E709" s="16" t="n">
        <f aca="false">IF(D709=1,INDEX(Grid!$B$6:$H$156,C709+1,B709+1),"")</f>
        <v>166.861039501321</v>
      </c>
      <c r="F709" s="13" t="n">
        <f aca="false">Val_pt*(Ceiling_e-E_zero)*(1-(1-Half_gap)^B709)</f>
        <v>131.25</v>
      </c>
      <c r="G709" s="15" t="n">
        <f aca="false">C709</f>
        <v>99</v>
      </c>
      <c r="H709" s="15" t="n">
        <f aca="false">IF(D709=1,INDEX(Grid!$R$6:$X$156,C709+1,B709+1),"")</f>
        <v>53</v>
      </c>
      <c r="I709" s="2" t="str">
        <f aca="false">IF(D709=1,INDEX(Sch_label,H709+1),"")</f>
        <v>1, 2, 4, 6</v>
      </c>
      <c r="J709" s="15" t="n">
        <f aca="false">IF(D709=1,INDEX(Grid!$Z$6:$AF$156,C709+1,B709+1),0)</f>
        <v>1</v>
      </c>
      <c r="K709" s="16" t="n">
        <f aca="false">IF(J709=1,E709,0)</f>
        <v>166.861039501321</v>
      </c>
      <c r="L709" s="17" t="n">
        <f aca="false">IF(D709=1,E709+W_board*F709,"")</f>
        <v>907.733072696904</v>
      </c>
      <c r="M709" s="24" t="n">
        <v>0</v>
      </c>
      <c r="Q709" s="24" t="n">
        <v>4</v>
      </c>
      <c r="R709" s="24" t="n">
        <v>85</v>
      </c>
      <c r="S709" s="25" t="n">
        <v>0.0650778441004101</v>
      </c>
      <c r="T709" s="24" t="n">
        <v>4</v>
      </c>
      <c r="U709" s="24" t="n">
        <v>100</v>
      </c>
      <c r="V709" s="25" t="n">
        <v>0.932459480921896</v>
      </c>
      <c r="W709" s="24" t="n">
        <v>5</v>
      </c>
      <c r="X709" s="24" t="n">
        <v>100</v>
      </c>
      <c r="Y709" s="25" t="n">
        <v>0.00246267497769251</v>
      </c>
      <c r="Z709" s="12" t="str">
        <f aca="false">IF(AND($J709=1,$M709=1),N709*E709/Span_P+O709*F709/Span_S+P709*G709/Span_B,"")</f>
        <v/>
      </c>
      <c r="AA709" s="12" t="str">
        <f aca="false">IF(AND($J709=1,$M709=1),SUMPRODUCT(MAX($J$6:$J$1062*(N709*$K$6:$K$1062/Span_P+O709*$F$6:$F$1062/Span_S+P709*$G$6:$G$1062/Span_B)-(1-$J$6:$J$1062)*1000000000)),"")</f>
        <v/>
      </c>
      <c r="AB709" s="15" t="str">
        <f aca="false">IF(AND($J709=1,$M709=1),IF(AA709-Z709&lt;=0.000000001,1,0),"")</f>
        <v/>
      </c>
      <c r="AC709" s="13" t="n">
        <f aca="false">IF(AND($J709=1,$M709=0),IF(S709="",0,S709*INDEX(Grid!$B$6:$H$156,R709+1,Q709+1))+IF(V709="",0,V709*INDEX(Grid!$B$6:$H$156,U709+1,T709+1))+IF(Y709="",0,Y709*INDEX(Grid!$B$6:$H$156,X709+1,W709+1)),"")</f>
        <v>166.918573162099</v>
      </c>
      <c r="AD709" s="13" t="n">
        <f aca="false">IF(AND($J709=1,$M709=0),IF(S709="",0,S709*Val_pt*(Ceiling_e-E_zero)*(1-(1-Half_gap)^Q709))+IF(V709="",0,V709*Val_pt*(Ceiling_e-E_zero)*(1-(1-Half_gap)^T709))+IF(Y709="",0,Y709*Val_pt*(Ceiling_e-E_zero)*(1-(1-Half_gap)^W709)),"")</f>
        <v>131.260774203027</v>
      </c>
      <c r="AE709" s="13" t="n">
        <f aca="false">IF(AND($J709=1,$M709=0),IF(S709="",0,S709*R709)+IF(V709="",0,V709*U709)+IF(Y709="",0,Y709*X709),"")</f>
        <v>99.0238323384937</v>
      </c>
      <c r="AF709" s="12" t="n">
        <f aca="false">IF(AND($J709=1,$M709=0),MIN((AC709-E709)/Span_P,(AD709-F709)/Span_S,(AE709-G709)/Span_B),"")</f>
        <v>0.000158882256622461</v>
      </c>
      <c r="AG709" s="15" t="n">
        <f aca="false">IF(AND($J709=1,$M709=0),IF(AF709&gt;0.0000001,1,0),"")</f>
        <v>1</v>
      </c>
      <c r="AH709" s="15" t="n">
        <f aca="false">IF($J709=1,IF($M709=1,AB709,AG709),"")</f>
        <v>1</v>
      </c>
      <c r="AI709" s="13" t="n">
        <f aca="false">IF($J709=1,(Ideal_P-E709)/Span_P,"")</f>
        <v>0.600119437148928</v>
      </c>
      <c r="AJ709" s="13" t="n">
        <f aca="false">IF($J709=1,(Ideal_S-F709)/Span_S,"")</f>
        <v>0.0967741935483871</v>
      </c>
      <c r="AK709" s="13" t="n">
        <f aca="false">IF($J709=1,(Ideal_B-G709)/Span_B,"")</f>
        <v>0.34</v>
      </c>
      <c r="AL709" s="12" t="n">
        <f aca="false">IF($J709=1,MAX(ChA_1*AI709,ChA_2*AJ709,ChA_3*AK709)+Rho*(ChA_1*AI709+ChA_2*AJ709+ChA_3*AK709),"")</f>
        <v>0.600223126511998</v>
      </c>
      <c r="AM709" s="12" t="n">
        <f aca="false">IF($J709=1,MAX(ChB_1*AI709,ChB_2*AJ709,ChB_3*AK709)+Rho*(ChB_1*AI709+ChB_2*AJ709+ChB_3*AK709),"")</f>
        <v>1.20040257560464</v>
      </c>
      <c r="AN709" s="12" t="n">
        <f aca="false">IF($J709=1,MAX(Cx_1*(Ref_P-E709)/Span_P,Cx_2*(Ref_S-F709)/Span_S,Cx_3*(Ref_B-G709)/Span_B),"")</f>
        <v>1.52369576863666</v>
      </c>
    </row>
    <row r="710" customFormat="false" ht="15" hidden="false" customHeight="false" outlineLevel="0" collapsed="false">
      <c r="A710" s="2" t="n">
        <v>704</v>
      </c>
      <c r="B710" s="15" t="n">
        <f aca="false">INT(A710/151)</f>
        <v>4</v>
      </c>
      <c r="C710" s="15" t="n">
        <f aca="false">MOD(A710,151)</f>
        <v>100</v>
      </c>
      <c r="D710" s="15" t="n">
        <f aca="false">INDEX(Grid!$J$6:$P$156,C710+1,B710+1)</f>
        <v>1</v>
      </c>
      <c r="E710" s="16" t="n">
        <f aca="false">IF(D710=1,INDEX(Grid!$B$6:$H$156,C710+1,B710+1),"")</f>
        <v>165.95194859223</v>
      </c>
      <c r="F710" s="13" t="n">
        <f aca="false">Val_pt*(Ceiling_e-E_zero)*(1-(1-Half_gap)^B710)</f>
        <v>131.25</v>
      </c>
      <c r="G710" s="15" t="n">
        <f aca="false">C710</f>
        <v>100</v>
      </c>
      <c r="H710" s="15" t="n">
        <f aca="false">IF(D710=1,INDEX(Grid!$R$6:$X$156,C710+1,B710+1),"")</f>
        <v>53</v>
      </c>
      <c r="I710" s="2" t="str">
        <f aca="false">IF(D710=1,INDEX(Sch_label,H710+1),"")</f>
        <v>1, 2, 4, 6</v>
      </c>
      <c r="J710" s="15" t="n">
        <f aca="false">IF(D710=1,INDEX(Grid!$Z$6:$AF$156,C710+1,B710+1),0)</f>
        <v>1</v>
      </c>
      <c r="K710" s="16" t="n">
        <f aca="false">IF(J710=1,E710,0)</f>
        <v>165.95194859223</v>
      </c>
      <c r="L710" s="17" t="n">
        <f aca="false">IF(D710=1,E710+W_board*F710,"")</f>
        <v>906.823981787813</v>
      </c>
      <c r="M710" s="24" t="n">
        <v>1</v>
      </c>
      <c r="N710" s="25" t="n">
        <v>0.21470271727683</v>
      </c>
      <c r="O710" s="25" t="n">
        <v>0.680613179058782</v>
      </c>
      <c r="P710" s="25" t="n">
        <v>0.104684103664389</v>
      </c>
      <c r="Z710" s="12" t="n">
        <f aca="false">IF(AND($J710=1,$M710=1),N710*E710/Span_P+O710*F710/Span_S+P710*G710/Span_B,"")</f>
        <v>1.48550029137859</v>
      </c>
      <c r="AA710" s="12" t="n">
        <f aca="false">IF(AND($J710=1,$M710=1),SUMPRODUCT(MAX($J$6:$J$1062*(N710*$K$6:$K$1062/Span_P+O710*$F$6:$F$1062/Span_S+P710*$G$6:$G$1062/Span_B)-(1-$J$6:$J$1062)*1000000000)),"")</f>
        <v>1.48550029137859</v>
      </c>
      <c r="AB710" s="15" t="n">
        <f aca="false">IF(AND($J710=1,$M710=1),IF(AA710-Z710&lt;=0.000000001,1,0),"")</f>
        <v>1</v>
      </c>
      <c r="AC710" s="13" t="str">
        <f aca="false">IF(AND($J710=1,$M710=0),IF(S710="",0,S710*INDEX(Grid!$B$6:$H$156,R710+1,Q710+1))+IF(V710="",0,V710*INDEX(Grid!$B$6:$H$156,U710+1,T710+1))+IF(Y710="",0,Y710*INDEX(Grid!$B$6:$H$156,X710+1,W710+1)),"")</f>
        <v/>
      </c>
      <c r="AD710" s="13" t="str">
        <f aca="false">IF(AND($J710=1,$M710=0),IF(S710="",0,S710*Val_pt*(Ceiling_e-E_zero)*(1-(1-Half_gap)^Q710))+IF(V710="",0,V710*Val_pt*(Ceiling_e-E_zero)*(1-(1-Half_gap)^T710))+IF(Y710="",0,Y710*Val_pt*(Ceiling_e-E_zero)*(1-(1-Half_gap)^W710)),"")</f>
        <v/>
      </c>
      <c r="AE710" s="13" t="str">
        <f aca="false">IF(AND($J710=1,$M710=0),IF(S710="",0,S710*R710)+IF(V710="",0,V710*U710)+IF(Y710="",0,Y710*X710),"")</f>
        <v/>
      </c>
      <c r="AF710" s="12" t="str">
        <f aca="false">IF(AND($J710=1,$M710=0),MIN((AC710-E710)/Span_P,(AD710-F710)/Span_S,(AE710-G710)/Span_B),"")</f>
        <v/>
      </c>
      <c r="AG710" s="15" t="str">
        <f aca="false">IF(AND($J710=1,$M710=0),IF(AF710&gt;0.0000001,1,0),"")</f>
        <v/>
      </c>
      <c r="AH710" s="15" t="n">
        <f aca="false">IF($J710=1,IF($M710=1,AB710,AG710),"")</f>
        <v>1</v>
      </c>
      <c r="AI710" s="13" t="n">
        <f aca="false">IF($J710=1,(Ideal_P-E710)/Span_P,"")</f>
        <v>0.602629939925234</v>
      </c>
      <c r="AJ710" s="13" t="n">
        <f aca="false">IF($J710=1,(Ideal_S-F710)/Span_S,"")</f>
        <v>0.0967741935483871</v>
      </c>
      <c r="AK710" s="13" t="n">
        <f aca="false">IF($J710=1,(Ideal_B-G710)/Span_B,"")</f>
        <v>0.333333333333333</v>
      </c>
      <c r="AL710" s="12" t="n">
        <f aca="false">IF($J710=1,MAX(ChA_1*AI710,ChA_2*AJ710,ChA_3*AK710)+Rho*(ChA_1*AI710+ChA_2*AJ710+ChA_3*AK710),"")</f>
        <v>0.602733213671915</v>
      </c>
      <c r="AM710" s="12" t="n">
        <f aca="false">IF($J710=1,MAX(ChB_1*AI710,ChB_2*AJ710,ChB_3*AK710)+Rho*(ChB_1*AI710+ChB_2*AJ710+ChB_3*AK710),"")</f>
        <v>1.20542341659114</v>
      </c>
      <c r="AN710" s="12" t="n">
        <f aca="false">IF($J710=1,MAX(Cx_1*(Ref_P-E710)/Span_P,Cx_2*(Ref_S-F710)/Span_S,Cx_3*(Ref_B-G710)/Span_B),"")</f>
        <v>1.52996543032009</v>
      </c>
    </row>
    <row r="711" customFormat="false" ht="15" hidden="false" customHeight="false" outlineLevel="0" collapsed="false">
      <c r="A711" s="2" t="n">
        <v>705</v>
      </c>
      <c r="B711" s="15" t="n">
        <f aca="false">INT(A711/151)</f>
        <v>4</v>
      </c>
      <c r="C711" s="15" t="n">
        <f aca="false">MOD(A711,151)</f>
        <v>101</v>
      </c>
      <c r="D711" s="15" t="n">
        <f aca="false">INDEX(Grid!$J$6:$P$156,C711+1,B711+1)</f>
        <v>1</v>
      </c>
      <c r="E711" s="16" t="n">
        <f aca="false">IF(D711=1,INDEX(Grid!$B$6:$H$156,C711+1,B711+1),"")</f>
        <v>140.662692393883</v>
      </c>
      <c r="F711" s="13" t="n">
        <f aca="false">Val_pt*(Ceiling_e-E_zero)*(1-(1-Half_gap)^B711)</f>
        <v>131.25</v>
      </c>
      <c r="G711" s="15" t="n">
        <f aca="false">C711</f>
        <v>101</v>
      </c>
      <c r="H711" s="15" t="n">
        <f aca="false">IF(D711=1,INDEX(Grid!$R$6:$X$156,C711+1,B711+1),"")</f>
        <v>45</v>
      </c>
      <c r="I711" s="2" t="str">
        <f aca="false">IF(D711=1,INDEX(Sch_label,H711+1),"")</f>
        <v>1, 3, 4, 6</v>
      </c>
      <c r="J711" s="15" t="n">
        <f aca="false">IF(D711=1,INDEX(Grid!$Z$6:$AF$156,C711+1,B711+1),0)</f>
        <v>1</v>
      </c>
      <c r="K711" s="16" t="n">
        <f aca="false">IF(J711=1,E711,0)</f>
        <v>140.662692393883</v>
      </c>
      <c r="L711" s="17" t="n">
        <f aca="false">IF(D711=1,E711+W_board*F711,"")</f>
        <v>881.534725589466</v>
      </c>
      <c r="M711" s="24" t="n">
        <v>0</v>
      </c>
      <c r="Q711" s="24" t="n">
        <v>4</v>
      </c>
      <c r="R711" s="24" t="n">
        <v>100</v>
      </c>
      <c r="S711" s="25" t="n">
        <v>0.784630695794929</v>
      </c>
      <c r="T711" s="24" t="n">
        <v>5</v>
      </c>
      <c r="U711" s="24" t="n">
        <v>100</v>
      </c>
      <c r="V711" s="25" t="n">
        <v>0.153684922746025</v>
      </c>
      <c r="W711" s="24" t="n">
        <v>5</v>
      </c>
      <c r="X711" s="24" t="n">
        <v>150</v>
      </c>
      <c r="Y711" s="25" t="n">
        <v>0.0616843814590486</v>
      </c>
      <c r="Z711" s="12" t="str">
        <f aca="false">IF(AND($J711=1,$M711=1),N711*E711/Span_P+O711*F711/Span_S+P711*G711/Span_B,"")</f>
        <v/>
      </c>
      <c r="AA711" s="12" t="str">
        <f aca="false">IF(AND($J711=1,$M711=1),SUMPRODUCT(MAX($J$6:$J$1062*(N711*$K$6:$K$1062/Span_P+O711*$F$6:$F$1062/Span_S+P711*$G$6:$G$1062/Span_B)-(1-$J$6:$J$1062)*1000000000)),"")</f>
        <v/>
      </c>
      <c r="AB711" s="15" t="str">
        <f aca="false">IF(AND($J711=1,$M711=1),IF(AA711-Z711&lt;=0.000000001,1,0),"")</f>
        <v/>
      </c>
      <c r="AC711" s="13" t="n">
        <f aca="false">IF(AND($J711=1,$M711=0),IF(S711="",0,S711*INDEX(Grid!$B$6:$H$156,R711+1,Q711+1))+IF(V711="",0,V711*INDEX(Grid!$B$6:$H$156,U711+1,T711+1))+IF(Y711="",0,Y711*INDEX(Grid!$B$6:$H$156,X711+1,W711+1)),"")</f>
        <v>145.694206744073</v>
      </c>
      <c r="AD711" s="13" t="n">
        <f aca="false">IF(AND($J711=1,$M711=0),IF(S711="",0,S711*Val_pt*(Ceiling_e-E_zero)*(1-(1-Half_gap)^Q711))+IF(V711="",0,V711*Val_pt*(Ceiling_e-E_zero)*(1-(1-Half_gap)^T711))+IF(Y711="",0,Y711*Val_pt*(Ceiling_e-E_zero)*(1-(1-Half_gap)^W711)),"")</f>
        <v>132.192240705898</v>
      </c>
      <c r="AE711" s="13" t="n">
        <f aca="false">IF(AND($J711=1,$M711=0),IF(S711="",0,S711*R711)+IF(V711="",0,V711*U711)+IF(Y711="",0,Y711*X711),"")</f>
        <v>103.084219072953</v>
      </c>
      <c r="AF711" s="12" t="n">
        <f aca="false">IF(AND($J711=1,$M711=0),MIN((AC711-E711)/Span_P,(AD711-F711)/Span_S,(AE711-G711)/Span_B),"")</f>
        <v>0.0138947938196848</v>
      </c>
      <c r="AG711" s="15" t="n">
        <f aca="false">IF(AND($J711=1,$M711=0),IF(AF711&gt;0.0000001,1,0),"")</f>
        <v>1</v>
      </c>
      <c r="AH711" s="15" t="n">
        <f aca="false">IF($J711=1,IF($M711=1,AB711,AG711),"")</f>
        <v>1</v>
      </c>
      <c r="AI711" s="13" t="n">
        <f aca="false">IF($J711=1,(Ideal_P-E711)/Span_P,"")</f>
        <v>0.672467562611558</v>
      </c>
      <c r="AJ711" s="13" t="n">
        <f aca="false">IF($J711=1,(Ideal_S-F711)/Span_S,"")</f>
        <v>0.0967741935483871</v>
      </c>
      <c r="AK711" s="13" t="n">
        <f aca="false">IF($J711=1,(Ideal_B-G711)/Span_B,"")</f>
        <v>0.326666666666667</v>
      </c>
      <c r="AL711" s="12" t="n">
        <f aca="false">IF($J711=1,MAX(ChA_1*AI711,ChA_2*AJ711,ChA_3*AK711)+Rho*(ChA_1*AI711+ChA_2*AJ711+ChA_3*AK711),"")</f>
        <v>0.672577153453841</v>
      </c>
      <c r="AM711" s="12" t="n">
        <f aca="false">IF($J711=1,MAX(ChB_1*AI711,ChB_2*AJ711,ChB_3*AK711)+Rho*(ChB_1*AI711+ChB_2*AJ711+ChB_3*AK711),"")</f>
        <v>1.34511196282166</v>
      </c>
      <c r="AN711" s="12" t="n">
        <f aca="false">IF($J711=1,MAX(Cx_1*(Ref_P-E711)/Span_P,Cx_2*(Ref_S-F711)/Span_S,Cx_3*(Ref_B-G711)/Span_B),"")</f>
        <v>1.7043760189682</v>
      </c>
    </row>
    <row r="712" customFormat="false" ht="15" hidden="false" customHeight="false" outlineLevel="0" collapsed="false">
      <c r="A712" s="2" t="n">
        <v>706</v>
      </c>
      <c r="B712" s="15" t="n">
        <f aca="false">INT(A712/151)</f>
        <v>4</v>
      </c>
      <c r="C712" s="15" t="n">
        <f aca="false">MOD(A712,151)</f>
        <v>102</v>
      </c>
      <c r="D712" s="15" t="n">
        <f aca="false">INDEX(Grid!$J$6:$P$156,C712+1,B712+1)</f>
        <v>1</v>
      </c>
      <c r="E712" s="16" t="n">
        <f aca="false">IF(D712=1,INDEX(Grid!$B$6:$H$156,C712+1,B712+1),"")</f>
        <v>139.753601484792</v>
      </c>
      <c r="F712" s="13" t="n">
        <f aca="false">Val_pt*(Ceiling_e-E_zero)*(1-(1-Half_gap)^B712)</f>
        <v>131.25</v>
      </c>
      <c r="G712" s="15" t="n">
        <f aca="false">C712</f>
        <v>102</v>
      </c>
      <c r="H712" s="15" t="n">
        <f aca="false">IF(D712=1,INDEX(Grid!$R$6:$X$156,C712+1,B712+1),"")</f>
        <v>45</v>
      </c>
      <c r="I712" s="2" t="str">
        <f aca="false">IF(D712=1,INDEX(Sch_label,H712+1),"")</f>
        <v>1, 3, 4, 6</v>
      </c>
      <c r="J712" s="15" t="n">
        <f aca="false">IF(D712=1,INDEX(Grid!$Z$6:$AF$156,C712+1,B712+1),0)</f>
        <v>1</v>
      </c>
      <c r="K712" s="16" t="n">
        <f aca="false">IF(J712=1,E712,0)</f>
        <v>139.753601484792</v>
      </c>
      <c r="L712" s="17" t="n">
        <f aca="false">IF(D712=1,E712+W_board*F712,"")</f>
        <v>880.625634680375</v>
      </c>
      <c r="M712" s="24" t="n">
        <v>0</v>
      </c>
      <c r="Q712" s="24" t="n">
        <v>4</v>
      </c>
      <c r="R712" s="24" t="n">
        <v>100</v>
      </c>
      <c r="S712" s="25" t="n">
        <v>0.708192307920805</v>
      </c>
      <c r="T712" s="24" t="n">
        <v>4</v>
      </c>
      <c r="U712" s="24" t="n">
        <v>150</v>
      </c>
      <c r="V712" s="25" t="n">
        <v>0.0808336797966312</v>
      </c>
      <c r="W712" s="24" t="n">
        <v>5</v>
      </c>
      <c r="X712" s="24" t="n">
        <v>100</v>
      </c>
      <c r="Y712" s="25" t="n">
        <v>0.210974012282563</v>
      </c>
      <c r="Z712" s="12" t="str">
        <f aca="false">IF(AND($J712=1,$M712=1),N712*E712/Span_P+O712*F712/Span_S+P712*G712/Span_B,"")</f>
        <v/>
      </c>
      <c r="AA712" s="12" t="str">
        <f aca="false">IF(AND($J712=1,$M712=1),SUMPRODUCT(MAX($J$6:$J$1062*(N712*$K$6:$K$1062/Span_P+O712*$F$6:$F$1062/Span_S+P712*$G$6:$G$1062/Span_B)-(1-$J$6:$J$1062)*1000000000)),"")</f>
        <v/>
      </c>
      <c r="AB712" s="15" t="str">
        <f aca="false">IF(AND($J712=1,$M712=1),IF(AA712-Z712&lt;=0.000000001,1,0),"")</f>
        <v/>
      </c>
      <c r="AC712" s="13" t="n">
        <f aca="false">IF(AND($J712=1,$M712=0),IF(S712="",0,S712*INDEX(Grid!$B$6:$H$156,R712+1,Q712+1))+IF(V712="",0,V712*INDEX(Grid!$B$6:$H$156,U712+1,T712+1))+IF(Y712="",0,Y712*INDEX(Grid!$B$6:$H$156,X712+1,W712+1)),"")</f>
        <v>144.682431868647</v>
      </c>
      <c r="AD712" s="13" t="n">
        <f aca="false">IF(AND($J712=1,$M712=0),IF(S712="",0,S712*Val_pt*(Ceiling_e-E_zero)*(1-(1-Half_gap)^Q712))+IF(V712="",0,V712*Val_pt*(Ceiling_e-E_zero)*(1-(1-Half_gap)^T712))+IF(Y712="",0,Y712*Val_pt*(Ceiling_e-E_zero)*(1-(1-Half_gap)^W712)),"")</f>
        <v>132.173011303736</v>
      </c>
      <c r="AE712" s="13" t="n">
        <f aca="false">IF(AND($J712=1,$M712=0),IF(S712="",0,S712*R712)+IF(V712="",0,V712*U712)+IF(Y712="",0,Y712*X712),"")</f>
        <v>104.041683989832</v>
      </c>
      <c r="AF712" s="12" t="n">
        <f aca="false">IF(AND($J712=1,$M712=0),MIN((AC712-E712)/Span_P,(AD712-F712)/Span_S,(AE712-G712)/Span_B),"")</f>
        <v>0.0136112265988677</v>
      </c>
      <c r="AG712" s="15" t="n">
        <f aca="false">IF(AND($J712=1,$M712=0),IF(AF712&gt;0.0000001,1,0),"")</f>
        <v>1</v>
      </c>
      <c r="AH712" s="15" t="n">
        <f aca="false">IF($J712=1,IF($M712=1,AB712,AG712),"")</f>
        <v>1</v>
      </c>
      <c r="AI712" s="13" t="n">
        <f aca="false">IF($J712=1,(Ideal_P-E712)/Span_P,"")</f>
        <v>0.674978065387864</v>
      </c>
      <c r="AJ712" s="13" t="n">
        <f aca="false">IF($J712=1,(Ideal_S-F712)/Span_S,"")</f>
        <v>0.0967741935483871</v>
      </c>
      <c r="AK712" s="13" t="n">
        <f aca="false">IF($J712=1,(Ideal_B-G712)/Span_B,"")</f>
        <v>0.32</v>
      </c>
      <c r="AL712" s="12" t="n">
        <f aca="false">IF($J712=1,MAX(ChA_1*AI712,ChA_2*AJ712,ChA_3*AK712)+Rho*(ChA_1*AI712+ChA_2*AJ712+ChA_3*AK712),"")</f>
        <v>0.675087240613758</v>
      </c>
      <c r="AM712" s="12" t="n">
        <f aca="false">IF($J712=1,MAX(ChB_1*AI712,ChB_2*AJ712,ChB_3*AK712)+Rho*(ChB_1*AI712+ChB_2*AJ712+ChB_3*AK712),"")</f>
        <v>1.35013280380816</v>
      </c>
      <c r="AN712" s="12" t="n">
        <f aca="false">IF($J712=1,MAX(Cx_1*(Ref_P-E712)/Span_P,Cx_2*(Ref_S-F712)/Span_S,Cx_3*(Ref_B-G712)/Span_B),"")</f>
        <v>1.71064568065163</v>
      </c>
    </row>
    <row r="713" customFormat="false" ht="15" hidden="false" customHeight="false" outlineLevel="0" collapsed="false">
      <c r="A713" s="2" t="n">
        <v>707</v>
      </c>
      <c r="B713" s="15" t="n">
        <f aca="false">INT(A713/151)</f>
        <v>4</v>
      </c>
      <c r="C713" s="15" t="n">
        <f aca="false">MOD(A713,151)</f>
        <v>103</v>
      </c>
      <c r="D713" s="15" t="n">
        <f aca="false">INDEX(Grid!$J$6:$P$156,C713+1,B713+1)</f>
        <v>1</v>
      </c>
      <c r="E713" s="16" t="n">
        <f aca="false">IF(D713=1,INDEX(Grid!$B$6:$H$156,C713+1,B713+1),"")</f>
        <v>138.844510575701</v>
      </c>
      <c r="F713" s="13" t="n">
        <f aca="false">Val_pt*(Ceiling_e-E_zero)*(1-(1-Half_gap)^B713)</f>
        <v>131.25</v>
      </c>
      <c r="G713" s="15" t="n">
        <f aca="false">C713</f>
        <v>103</v>
      </c>
      <c r="H713" s="15" t="n">
        <f aca="false">IF(D713=1,INDEX(Grid!$R$6:$X$156,C713+1,B713+1),"")</f>
        <v>45</v>
      </c>
      <c r="I713" s="2" t="str">
        <f aca="false">IF(D713=1,INDEX(Sch_label,H713+1),"")</f>
        <v>1, 3, 4, 6</v>
      </c>
      <c r="J713" s="15" t="n">
        <f aca="false">IF(D713=1,INDEX(Grid!$Z$6:$AF$156,C713+1,B713+1),0)</f>
        <v>1</v>
      </c>
      <c r="K713" s="16" t="n">
        <f aca="false">IF(J713=1,E713,0)</f>
        <v>138.844510575701</v>
      </c>
      <c r="L713" s="17" t="n">
        <f aca="false">IF(D713=1,E713+W_board*F713,"")</f>
        <v>879.716543771284</v>
      </c>
      <c r="M713" s="24" t="n">
        <v>0</v>
      </c>
      <c r="Q713" s="24" t="n">
        <v>4</v>
      </c>
      <c r="R713" s="24" t="n">
        <v>100</v>
      </c>
      <c r="S713" s="25" t="n">
        <v>0.693438301505808</v>
      </c>
      <c r="T713" s="24" t="n">
        <v>4</v>
      </c>
      <c r="U713" s="24" t="n">
        <v>150</v>
      </c>
      <c r="V713" s="25" t="n">
        <v>0.0999829781341916</v>
      </c>
      <c r="W713" s="24" t="n">
        <v>5</v>
      </c>
      <c r="X713" s="24" t="n">
        <v>100</v>
      </c>
      <c r="Y713" s="25" t="n">
        <v>0.206578720360003</v>
      </c>
      <c r="Z713" s="12" t="str">
        <f aca="false">IF(AND($J713=1,$M713=1),N713*E713/Span_P+O713*F713/Span_S+P713*G713/Span_B,"")</f>
        <v/>
      </c>
      <c r="AA713" s="12" t="str">
        <f aca="false">IF(AND($J713=1,$M713=1),SUMPRODUCT(MAX($J$6:$J$1062*(N713*$K$6:$K$1062/Span_P+O713*$F$6:$F$1062/Span_S+P713*$G$6:$G$1062/Span_B)-(1-$J$6:$J$1062)*1000000000)),"")</f>
        <v/>
      </c>
      <c r="AB713" s="15" t="str">
        <f aca="false">IF(AND($J713=1,$M713=1),IF(AA713-Z713&lt;=0.000000001,1,0),"")</f>
        <v/>
      </c>
      <c r="AC713" s="13" t="n">
        <f aca="false">IF(AND($J713=1,$M713=0),IF(S713="",0,S713*INDEX(Grid!$B$6:$H$156,R713+1,Q713+1))+IF(V713="",0,V713*INDEX(Grid!$B$6:$H$156,U713+1,T713+1))+IF(Y713="",0,Y713*INDEX(Grid!$B$6:$H$156,X713+1,W713+1)),"")</f>
        <v>143.670656993227</v>
      </c>
      <c r="AD713" s="13" t="n">
        <f aca="false">IF(AND($J713=1,$M713=0),IF(S713="",0,S713*Val_pt*(Ceiling_e-E_zero)*(1-(1-Half_gap)^Q713))+IF(V713="",0,V713*Val_pt*(Ceiling_e-E_zero)*(1-(1-Half_gap)^T713))+IF(Y713="",0,Y713*Val_pt*(Ceiling_e-E_zero)*(1-(1-Half_gap)^W713)),"")</f>
        <v>132.153781901575</v>
      </c>
      <c r="AE713" s="13" t="n">
        <f aca="false">IF(AND($J713=1,$M713=0),IF(S713="",0,S713*R713)+IF(V713="",0,V713*U713)+IF(Y713="",0,Y713*X713),"")</f>
        <v>104.99914890671</v>
      </c>
      <c r="AF713" s="12" t="n">
        <f aca="false">IF(AND($J713=1,$M713=0),MIN((AC713-E713)/Span_P,(AD713-F713)/Span_S,(AE713-G713)/Span_B),"")</f>
        <v>0.0133276593780624</v>
      </c>
      <c r="AG713" s="15" t="n">
        <f aca="false">IF(AND($J713=1,$M713=0),IF(AF713&gt;0.0000001,1,0),"")</f>
        <v>1</v>
      </c>
      <c r="AH713" s="15" t="n">
        <f aca="false">IF($J713=1,IF($M713=1,AB713,AG713),"")</f>
        <v>1</v>
      </c>
      <c r="AI713" s="13" t="n">
        <f aca="false">IF($J713=1,(Ideal_P-E713)/Span_P,"")</f>
        <v>0.67748856816417</v>
      </c>
      <c r="AJ713" s="13" t="n">
        <f aca="false">IF($J713=1,(Ideal_S-F713)/Span_S,"")</f>
        <v>0.0967741935483871</v>
      </c>
      <c r="AK713" s="13" t="n">
        <f aca="false">IF($J713=1,(Ideal_B-G713)/Span_B,"")</f>
        <v>0.313333333333333</v>
      </c>
      <c r="AL713" s="12" t="n">
        <f aca="false">IF($J713=1,MAX(ChA_1*AI713,ChA_2*AJ713,ChA_3*AK713)+Rho*(ChA_1*AI713+ChA_2*AJ713+ChA_3*AK713),"")</f>
        <v>0.677597327773674</v>
      </c>
      <c r="AM713" s="12" t="n">
        <f aca="false">IF($J713=1,MAX(ChB_1*AI713,ChB_2*AJ713,ChB_3*AK713)+Rho*(ChB_1*AI713+ChB_2*AJ713+ChB_3*AK713),"")</f>
        <v>1.35515364479466</v>
      </c>
      <c r="AN713" s="12" t="n">
        <f aca="false">IF($J713=1,MAX(Cx_1*(Ref_P-E713)/Span_P,Cx_2*(Ref_S-F713)/Span_S,Cx_3*(Ref_B-G713)/Span_B),"")</f>
        <v>1.71691534233506</v>
      </c>
    </row>
    <row r="714" customFormat="false" ht="15" hidden="false" customHeight="false" outlineLevel="0" collapsed="false">
      <c r="A714" s="2" t="n">
        <v>708</v>
      </c>
      <c r="B714" s="15" t="n">
        <f aca="false">INT(A714/151)</f>
        <v>4</v>
      </c>
      <c r="C714" s="15" t="n">
        <f aca="false">MOD(A714,151)</f>
        <v>104</v>
      </c>
      <c r="D714" s="15" t="n">
        <f aca="false">INDEX(Grid!$J$6:$P$156,C714+1,B714+1)</f>
        <v>1</v>
      </c>
      <c r="E714" s="16" t="n">
        <f aca="false">IF(D714=1,INDEX(Grid!$B$6:$H$156,C714+1,B714+1),"")</f>
        <v>137.93541966661</v>
      </c>
      <c r="F714" s="13" t="n">
        <f aca="false">Val_pt*(Ceiling_e-E_zero)*(1-(1-Half_gap)^B714)</f>
        <v>131.25</v>
      </c>
      <c r="G714" s="15" t="n">
        <f aca="false">C714</f>
        <v>104</v>
      </c>
      <c r="H714" s="15" t="n">
        <f aca="false">IF(D714=1,INDEX(Grid!$R$6:$X$156,C714+1,B714+1),"")</f>
        <v>45</v>
      </c>
      <c r="I714" s="2" t="str">
        <f aca="false">IF(D714=1,INDEX(Sch_label,H714+1),"")</f>
        <v>1, 3, 4, 6</v>
      </c>
      <c r="J714" s="15" t="n">
        <f aca="false">IF(D714=1,INDEX(Grid!$Z$6:$AF$156,C714+1,B714+1),0)</f>
        <v>1</v>
      </c>
      <c r="K714" s="16" t="n">
        <f aca="false">IF(J714=1,E714,0)</f>
        <v>137.93541966661</v>
      </c>
      <c r="L714" s="17" t="n">
        <f aca="false">IF(D714=1,E714+W_board*F714,"")</f>
        <v>878.807452862193</v>
      </c>
      <c r="M714" s="24" t="n">
        <v>0</v>
      </c>
      <c r="Q714" s="24" t="n">
        <v>4</v>
      </c>
      <c r="R714" s="24" t="n">
        <v>100</v>
      </c>
      <c r="S714" s="25" t="n">
        <v>0.797816571562565</v>
      </c>
      <c r="T714" s="24" t="n">
        <v>5</v>
      </c>
      <c r="U714" s="24" t="n">
        <v>100</v>
      </c>
      <c r="V714" s="25" t="n">
        <v>0.0830511519656723</v>
      </c>
      <c r="W714" s="24" t="n">
        <v>5</v>
      </c>
      <c r="X714" s="24" t="n">
        <v>150</v>
      </c>
      <c r="Y714" s="25" t="n">
        <v>0.119132276471765</v>
      </c>
      <c r="Z714" s="12" t="str">
        <f aca="false">IF(AND($J714=1,$M714=1),N714*E714/Span_P+O714*F714/Span_S+P714*G714/Span_B,"")</f>
        <v/>
      </c>
      <c r="AA714" s="12" t="str">
        <f aca="false">IF(AND($J714=1,$M714=1),SUMPRODUCT(MAX($J$6:$J$1062*(N714*$K$6:$K$1062/Span_P+O714*$F$6:$F$1062/Span_S+P714*$G$6:$G$1062/Span_B)-(1-$J$6:$J$1062)*1000000000)),"")</f>
        <v/>
      </c>
      <c r="AB714" s="15" t="str">
        <f aca="false">IF(AND($J714=1,$M714=1),IF(AA714-Z714&lt;=0.000000001,1,0),"")</f>
        <v/>
      </c>
      <c r="AC714" s="13" t="n">
        <f aca="false">IF(AND($J714=1,$M714=0),IF(S714="",0,S714*INDEX(Grid!$B$6:$H$156,R714+1,Q714+1))+IF(V714="",0,V714*INDEX(Grid!$B$6:$H$156,U714+1,T714+1))+IF(Y714="",0,Y714*INDEX(Grid!$B$6:$H$156,X714+1,W714+1)),"")</f>
        <v>142.658882117807</v>
      </c>
      <c r="AD714" s="13" t="n">
        <f aca="false">IF(AND($J714=1,$M714=0),IF(S714="",0,S714*Val_pt*(Ceiling_e-E_zero)*(1-(1-Half_gap)^Q714))+IF(V714="",0,V714*Val_pt*(Ceiling_e-E_zero)*(1-(1-Half_gap)^T714))+IF(Y714="",0,Y714*Val_pt*(Ceiling_e-E_zero)*(1-(1-Half_gap)^W714)),"")</f>
        <v>132.134552499414</v>
      </c>
      <c r="AE714" s="13" t="n">
        <f aca="false">IF(AND($J714=1,$M714=0),IF(S714="",0,S714*R714)+IF(V714="",0,V714*U714)+IF(Y714="",0,Y714*X714),"")</f>
        <v>105.956613823589</v>
      </c>
      <c r="AF714" s="12" t="n">
        <f aca="false">IF(AND($J714=1,$M714=0),MIN((AC714-E714)/Span_P,(AD714-F714)/Span_S,(AE714-G714)/Span_B),"")</f>
        <v>0.0130440921572545</v>
      </c>
      <c r="AG714" s="15" t="n">
        <f aca="false">IF(AND($J714=1,$M714=0),IF(AF714&gt;0.0000001,1,0),"")</f>
        <v>1</v>
      </c>
      <c r="AH714" s="15" t="n">
        <f aca="false">IF($J714=1,IF($M714=1,AB714,AG714),"")</f>
        <v>1</v>
      </c>
      <c r="AI714" s="13" t="n">
        <f aca="false">IF($J714=1,(Ideal_P-E714)/Span_P,"")</f>
        <v>0.679999070940476</v>
      </c>
      <c r="AJ714" s="13" t="n">
        <f aca="false">IF($J714=1,(Ideal_S-F714)/Span_S,"")</f>
        <v>0.0967741935483871</v>
      </c>
      <c r="AK714" s="13" t="n">
        <f aca="false">IF($J714=1,(Ideal_B-G714)/Span_B,"")</f>
        <v>0.306666666666667</v>
      </c>
      <c r="AL714" s="12" t="n">
        <f aca="false">IF($J714=1,MAX(ChA_1*AI714,ChA_2*AJ714,ChA_3*AK714)+Rho*(ChA_1*AI714+ChA_2*AJ714+ChA_3*AK714),"")</f>
        <v>0.680107414933591</v>
      </c>
      <c r="AM714" s="12" t="n">
        <f aca="false">IF($J714=1,MAX(ChB_1*AI714,ChB_2*AJ714,ChB_3*AK714)+Rho*(ChB_1*AI714+ChB_2*AJ714+ChB_3*AK714),"")</f>
        <v>1.36017448578116</v>
      </c>
      <c r="AN714" s="12" t="n">
        <f aca="false">IF($J714=1,MAX(Cx_1*(Ref_P-E714)/Span_P,Cx_2*(Ref_S-F714)/Span_S,Cx_3*(Ref_B-G714)/Span_B),"")</f>
        <v>1.72318500401849</v>
      </c>
    </row>
    <row r="715" customFormat="false" ht="15" hidden="false" customHeight="false" outlineLevel="0" collapsed="false">
      <c r="A715" s="2" t="n">
        <v>709</v>
      </c>
      <c r="B715" s="15" t="n">
        <f aca="false">INT(A715/151)</f>
        <v>4</v>
      </c>
      <c r="C715" s="15" t="n">
        <f aca="false">MOD(A715,151)</f>
        <v>105</v>
      </c>
      <c r="D715" s="15" t="n">
        <f aca="false">INDEX(Grid!$J$6:$P$156,C715+1,B715+1)</f>
        <v>1</v>
      </c>
      <c r="E715" s="16" t="n">
        <f aca="false">IF(D715=1,INDEX(Grid!$B$6:$H$156,C715+1,B715+1),"")</f>
        <v>137.026328757519</v>
      </c>
      <c r="F715" s="13" t="n">
        <f aca="false">Val_pt*(Ceiling_e-E_zero)*(1-(1-Half_gap)^B715)</f>
        <v>131.25</v>
      </c>
      <c r="G715" s="15" t="n">
        <f aca="false">C715</f>
        <v>105</v>
      </c>
      <c r="H715" s="15" t="n">
        <f aca="false">IF(D715=1,INDEX(Grid!$R$6:$X$156,C715+1,B715+1),"")</f>
        <v>45</v>
      </c>
      <c r="I715" s="2" t="str">
        <f aca="false">IF(D715=1,INDEX(Sch_label,H715+1),"")</f>
        <v>1, 3, 4, 6</v>
      </c>
      <c r="J715" s="15" t="n">
        <f aca="false">IF(D715=1,INDEX(Grid!$Z$6:$AF$156,C715+1,B715+1),0)</f>
        <v>1</v>
      </c>
      <c r="K715" s="16" t="n">
        <f aca="false">IF(J715=1,E715,0)</f>
        <v>137.026328757519</v>
      </c>
      <c r="L715" s="17" t="n">
        <f aca="false">IF(D715=1,E715+W_board*F715,"")</f>
        <v>877.898361953102</v>
      </c>
      <c r="M715" s="24" t="n">
        <v>0</v>
      </c>
      <c r="Q715" s="24" t="n">
        <v>4</v>
      </c>
      <c r="R715" s="24" t="n">
        <v>100</v>
      </c>
      <c r="S715" s="25" t="n">
        <v>0.802211863485113</v>
      </c>
      <c r="T715" s="24" t="n">
        <v>5</v>
      </c>
      <c r="U715" s="24" t="n">
        <v>100</v>
      </c>
      <c r="V715" s="25" t="n">
        <v>0.0595065617055622</v>
      </c>
      <c r="W715" s="24" t="n">
        <v>5</v>
      </c>
      <c r="X715" s="24" t="n">
        <v>150</v>
      </c>
      <c r="Y715" s="25" t="n">
        <v>0.138281574809324</v>
      </c>
      <c r="Z715" s="12" t="str">
        <f aca="false">IF(AND($J715=1,$M715=1),N715*E715/Span_P+O715*F715/Span_S+P715*G715/Span_B,"")</f>
        <v/>
      </c>
      <c r="AA715" s="12" t="str">
        <f aca="false">IF(AND($J715=1,$M715=1),SUMPRODUCT(MAX($J$6:$J$1062*(N715*$K$6:$K$1062/Span_P+O715*$F$6:$F$1062/Span_S+P715*$G$6:$G$1062/Span_B)-(1-$J$6:$J$1062)*1000000000)),"")</f>
        <v/>
      </c>
      <c r="AB715" s="15" t="str">
        <f aca="false">IF(AND($J715=1,$M715=1),IF(AA715-Z715&lt;=0.000000001,1,0),"")</f>
        <v/>
      </c>
      <c r="AC715" s="13" t="n">
        <f aca="false">IF(AND($J715=1,$M715=0),IF(S715="",0,S715*INDEX(Grid!$B$6:$H$156,R715+1,Q715+1))+IF(V715="",0,V715*INDEX(Grid!$B$6:$H$156,U715+1,T715+1))+IF(Y715="",0,Y715*INDEX(Grid!$B$6:$H$156,X715+1,W715+1)),"")</f>
        <v>141.647107242385</v>
      </c>
      <c r="AD715" s="13" t="n">
        <f aca="false">IF(AND($J715=1,$M715=0),IF(S715="",0,S715*Val_pt*(Ceiling_e-E_zero)*(1-(1-Half_gap)^Q715))+IF(V715="",0,V715*Val_pt*(Ceiling_e-E_zero)*(1-(1-Half_gap)^T715))+IF(Y715="",0,Y715*Val_pt*(Ceiling_e-E_zero)*(1-(1-Half_gap)^W715)),"")</f>
        <v>132.115323097253</v>
      </c>
      <c r="AE715" s="13" t="n">
        <f aca="false">IF(AND($J715=1,$M715=0),IF(S715="",0,S715*R715)+IF(V715="",0,V715*U715)+IF(Y715="",0,Y715*X715),"")</f>
        <v>106.914078740466</v>
      </c>
      <c r="AF715" s="12" t="n">
        <f aca="false">IF(AND($J715=1,$M715=0),MIN((AC715-E715)/Span_P,(AD715-F715)/Span_S,(AE715-G715)/Span_B),"")</f>
        <v>0.0127605249364409</v>
      </c>
      <c r="AG715" s="15" t="n">
        <f aca="false">IF(AND($J715=1,$M715=0),IF(AF715&gt;0.0000001,1,0),"")</f>
        <v>1</v>
      </c>
      <c r="AH715" s="15" t="n">
        <f aca="false">IF($J715=1,IF($M715=1,AB715,AG715),"")</f>
        <v>1</v>
      </c>
      <c r="AI715" s="13" t="n">
        <f aca="false">IF($J715=1,(Ideal_P-E715)/Span_P,"")</f>
        <v>0.682509573716781</v>
      </c>
      <c r="AJ715" s="13" t="n">
        <f aca="false">IF($J715=1,(Ideal_S-F715)/Span_S,"")</f>
        <v>0.0967741935483871</v>
      </c>
      <c r="AK715" s="13" t="n">
        <f aca="false">IF($J715=1,(Ideal_B-G715)/Span_B,"")</f>
        <v>0.3</v>
      </c>
      <c r="AL715" s="12" t="n">
        <f aca="false">IF($J715=1,MAX(ChA_1*AI715,ChA_2*AJ715,ChA_3*AK715)+Rho*(ChA_1*AI715+ChA_2*AJ715+ChA_3*AK715),"")</f>
        <v>0.682617502093508</v>
      </c>
      <c r="AM715" s="12" t="n">
        <f aca="false">IF($J715=1,MAX(ChB_1*AI715,ChB_2*AJ715,ChB_3*AK715)+Rho*(ChB_1*AI715+ChB_2*AJ715+ChB_3*AK715),"")</f>
        <v>1.36519532676766</v>
      </c>
      <c r="AN715" s="12" t="n">
        <f aca="false">IF($J715=1,MAX(Cx_1*(Ref_P-E715)/Span_P,Cx_2*(Ref_S-F715)/Span_S,Cx_3*(Ref_B-G715)/Span_B),"")</f>
        <v>1.72945466570191</v>
      </c>
    </row>
    <row r="716" customFormat="false" ht="15" hidden="false" customHeight="false" outlineLevel="0" collapsed="false">
      <c r="A716" s="2" t="n">
        <v>710</v>
      </c>
      <c r="B716" s="15" t="n">
        <f aca="false">INT(A716/151)</f>
        <v>4</v>
      </c>
      <c r="C716" s="15" t="n">
        <f aca="false">MOD(A716,151)</f>
        <v>106</v>
      </c>
      <c r="D716" s="15" t="n">
        <f aca="false">INDEX(Grid!$J$6:$P$156,C716+1,B716+1)</f>
        <v>1</v>
      </c>
      <c r="E716" s="16" t="n">
        <f aca="false">IF(D716=1,INDEX(Grid!$B$6:$H$156,C716+1,B716+1),"")</f>
        <v>136.117237848429</v>
      </c>
      <c r="F716" s="13" t="n">
        <f aca="false">Val_pt*(Ceiling_e-E_zero)*(1-(1-Half_gap)^B716)</f>
        <v>131.25</v>
      </c>
      <c r="G716" s="15" t="n">
        <f aca="false">C716</f>
        <v>106</v>
      </c>
      <c r="H716" s="15" t="n">
        <f aca="false">IF(D716=1,INDEX(Grid!$R$6:$X$156,C716+1,B716+1),"")</f>
        <v>45</v>
      </c>
      <c r="I716" s="2" t="str">
        <f aca="false">IF(D716=1,INDEX(Sch_label,H716+1),"")</f>
        <v>1, 3, 4, 6</v>
      </c>
      <c r="J716" s="15" t="n">
        <f aca="false">IF(D716=1,INDEX(Grid!$Z$6:$AF$156,C716+1,B716+1),0)</f>
        <v>1</v>
      </c>
      <c r="K716" s="16" t="n">
        <f aca="false">IF(J716=1,E716,0)</f>
        <v>136.117237848429</v>
      </c>
      <c r="L716" s="17" t="n">
        <f aca="false">IF(D716=1,E716+W_board*F716,"")</f>
        <v>876.989271044011</v>
      </c>
      <c r="M716" s="24" t="n">
        <v>0</v>
      </c>
      <c r="Q716" s="24" t="n">
        <v>4</v>
      </c>
      <c r="R716" s="24" t="n">
        <v>100</v>
      </c>
      <c r="S716" s="25" t="n">
        <v>0.806607155407661</v>
      </c>
      <c r="T716" s="24" t="n">
        <v>5</v>
      </c>
      <c r="U716" s="24" t="n">
        <v>100</v>
      </c>
      <c r="V716" s="25" t="n">
        <v>0.0359619714454475</v>
      </c>
      <c r="W716" s="24" t="n">
        <v>5</v>
      </c>
      <c r="X716" s="24" t="n">
        <v>150</v>
      </c>
      <c r="Y716" s="25" t="n">
        <v>0.15743087314689</v>
      </c>
      <c r="Z716" s="12" t="str">
        <f aca="false">IF(AND($J716=1,$M716=1),N716*E716/Span_P+O716*F716/Span_S+P716*G716/Span_B,"")</f>
        <v/>
      </c>
      <c r="AA716" s="12" t="str">
        <f aca="false">IF(AND($J716=1,$M716=1),SUMPRODUCT(MAX($J$6:$J$1062*(N716*$K$6:$K$1062/Span_P+O716*$F$6:$F$1062/Span_S+P716*$G$6:$G$1062/Span_B)-(1-$J$6:$J$1062)*1000000000)),"")</f>
        <v/>
      </c>
      <c r="AB716" s="15" t="str">
        <f aca="false">IF(AND($J716=1,$M716=1),IF(AA716-Z716&lt;=0.000000001,1,0),"")</f>
        <v/>
      </c>
      <c r="AC716" s="13" t="n">
        <f aca="false">IF(AND($J716=1,$M716=0),IF(S716="",0,S716*INDEX(Grid!$B$6:$H$156,R716+1,Q716+1))+IF(V716="",0,V716*INDEX(Grid!$B$6:$H$156,U716+1,T716+1))+IF(Y716="",0,Y716*INDEX(Grid!$B$6:$H$156,X716+1,W716+1)),"")</f>
        <v>140.635332366964</v>
      </c>
      <c r="AD716" s="13" t="n">
        <f aca="false">IF(AND($J716=1,$M716=0),IF(S716="",0,S716*Val_pt*(Ceiling_e-E_zero)*(1-(1-Half_gap)^Q716))+IF(V716="",0,V716*Val_pt*(Ceiling_e-E_zero)*(1-(1-Half_gap)^T716))+IF(Y716="",0,Y716*Val_pt*(Ceiling_e-E_zero)*(1-(1-Half_gap)^W716)),"")</f>
        <v>132.096093695091</v>
      </c>
      <c r="AE716" s="13" t="n">
        <f aca="false">IF(AND($J716=1,$M716=0),IF(S716="",0,S716*R716)+IF(V716="",0,V716*U716)+IF(Y716="",0,Y716*X716),"")</f>
        <v>107.871543657344</v>
      </c>
      <c r="AF716" s="12" t="n">
        <f aca="false">IF(AND($J716=1,$M716=0),MIN((AC716-E716)/Span_P,(AD716-F716)/Span_S,(AE716-G716)/Span_B),"")</f>
        <v>0.0124769577156293</v>
      </c>
      <c r="AG716" s="15" t="n">
        <f aca="false">IF(AND($J716=1,$M716=0),IF(AF716&gt;0.0000001,1,0),"")</f>
        <v>1</v>
      </c>
      <c r="AH716" s="15" t="n">
        <f aca="false">IF($J716=1,IF($M716=1,AB716,AG716),"")</f>
        <v>1</v>
      </c>
      <c r="AI716" s="13" t="n">
        <f aca="false">IF($J716=1,(Ideal_P-E716)/Span_P,"")</f>
        <v>0.685020076493087</v>
      </c>
      <c r="AJ716" s="13" t="n">
        <f aca="false">IF($J716=1,(Ideal_S-F716)/Span_S,"")</f>
        <v>0.0967741935483871</v>
      </c>
      <c r="AK716" s="13" t="n">
        <f aca="false">IF($J716=1,(Ideal_B-G716)/Span_B,"")</f>
        <v>0.293333333333333</v>
      </c>
      <c r="AL716" s="12" t="n">
        <f aca="false">IF($J716=1,MAX(ChA_1*AI716,ChA_2*AJ716,ChA_3*AK716)+Rho*(ChA_1*AI716+ChA_2*AJ716+ChA_3*AK716),"")</f>
        <v>0.685127589253425</v>
      </c>
      <c r="AM716" s="12" t="n">
        <f aca="false">IF($J716=1,MAX(ChB_1*AI716,ChB_2*AJ716,ChB_3*AK716)+Rho*(ChB_1*AI716+ChB_2*AJ716+ChB_3*AK716),"")</f>
        <v>1.37021616775416</v>
      </c>
      <c r="AN716" s="12" t="n">
        <f aca="false">IF($J716=1,MAX(Cx_1*(Ref_P-E716)/Span_P,Cx_2*(Ref_S-F716)/Span_S,Cx_3*(Ref_B-G716)/Span_B),"")</f>
        <v>1.73572432738534</v>
      </c>
    </row>
    <row r="717" customFormat="false" ht="15" hidden="false" customHeight="false" outlineLevel="0" collapsed="false">
      <c r="A717" s="2" t="n">
        <v>711</v>
      </c>
      <c r="B717" s="15" t="n">
        <f aca="false">INT(A717/151)</f>
        <v>4</v>
      </c>
      <c r="C717" s="15" t="n">
        <f aca="false">MOD(A717,151)</f>
        <v>107</v>
      </c>
      <c r="D717" s="15" t="n">
        <f aca="false">INDEX(Grid!$J$6:$P$156,C717+1,B717+1)</f>
        <v>1</v>
      </c>
      <c r="E717" s="16" t="n">
        <f aca="false">IF(D717=1,INDEX(Grid!$B$6:$H$156,C717+1,B717+1),"")</f>
        <v>135.208146939338</v>
      </c>
      <c r="F717" s="13" t="n">
        <f aca="false">Val_pt*(Ceiling_e-E_zero)*(1-(1-Half_gap)^B717)</f>
        <v>131.25</v>
      </c>
      <c r="G717" s="15" t="n">
        <f aca="false">C717</f>
        <v>107</v>
      </c>
      <c r="H717" s="15" t="n">
        <f aca="false">IF(D717=1,INDEX(Grid!$R$6:$X$156,C717+1,B717+1),"")</f>
        <v>45</v>
      </c>
      <c r="I717" s="2" t="str">
        <f aca="false">IF(D717=1,INDEX(Sch_label,H717+1),"")</f>
        <v>1, 3, 4, 6</v>
      </c>
      <c r="J717" s="15" t="n">
        <f aca="false">IF(D717=1,INDEX(Grid!$Z$6:$AF$156,C717+1,B717+1),0)</f>
        <v>1</v>
      </c>
      <c r="K717" s="16" t="n">
        <f aca="false">IF(J717=1,E717,0)</f>
        <v>135.208146939338</v>
      </c>
      <c r="L717" s="17" t="n">
        <f aca="false">IF(D717=1,E717+W_board*F717,"")</f>
        <v>876.08018013492</v>
      </c>
      <c r="M717" s="24" t="n">
        <v>0</v>
      </c>
      <c r="Q717" s="24" t="n">
        <v>4</v>
      </c>
      <c r="R717" s="24" t="n">
        <v>100</v>
      </c>
      <c r="S717" s="25" t="n">
        <v>0.811002447330235</v>
      </c>
      <c r="T717" s="24" t="n">
        <v>5</v>
      </c>
      <c r="U717" s="24" t="n">
        <v>100</v>
      </c>
      <c r="V717" s="25" t="n">
        <v>0.0124173811852813</v>
      </c>
      <c r="W717" s="24" t="n">
        <v>5</v>
      </c>
      <c r="X717" s="24" t="n">
        <v>150</v>
      </c>
      <c r="Y717" s="25" t="n">
        <v>0.17658017148448</v>
      </c>
      <c r="Z717" s="12" t="str">
        <f aca="false">IF(AND($J717=1,$M717=1),N717*E717/Span_P+O717*F717/Span_S+P717*G717/Span_B,"")</f>
        <v/>
      </c>
      <c r="AA717" s="12" t="str">
        <f aca="false">IF(AND($J717=1,$M717=1),SUMPRODUCT(MAX($J$6:$J$1062*(N717*$K$6:$K$1062/Span_P+O717*$F$6:$F$1062/Span_S+P717*$G$6:$G$1062/Span_B)-(1-$J$6:$J$1062)*1000000000)),"")</f>
        <v/>
      </c>
      <c r="AB717" s="15" t="str">
        <f aca="false">IF(AND($J717=1,$M717=1),IF(AA717-Z717&lt;=0.000000001,1,0),"")</f>
        <v/>
      </c>
      <c r="AC717" s="13" t="n">
        <f aca="false">IF(AND($J717=1,$M717=0),IF(S717="",0,S717*INDEX(Grid!$B$6:$H$156,R717+1,Q717+1))+IF(V717="",0,V717*INDEX(Grid!$B$6:$H$156,U717+1,T717+1))+IF(Y717="",0,Y717*INDEX(Grid!$B$6:$H$156,X717+1,W717+1)),"")</f>
        <v>139.623557491543</v>
      </c>
      <c r="AD717" s="13" t="n">
        <f aca="false">IF(AND($J717=1,$M717=0),IF(S717="",0,S717*Val_pt*(Ceiling_e-E_zero)*(1-(1-Half_gap)^Q717))+IF(V717="",0,V717*Val_pt*(Ceiling_e-E_zero)*(1-(1-Half_gap)^T717))+IF(Y717="",0,Y717*Val_pt*(Ceiling_e-E_zero)*(1-(1-Half_gap)^W717)),"")</f>
        <v>132.07686429293</v>
      </c>
      <c r="AE717" s="13" t="n">
        <f aca="false">IF(AND($J717=1,$M717=0),IF(S717="",0,S717*R717)+IF(V717="",0,V717*U717)+IF(Y717="",0,Y717*X717),"")</f>
        <v>108.829008574224</v>
      </c>
      <c r="AF717" s="12" t="n">
        <f aca="false">IF(AND($J717=1,$M717=0),MIN((AC717-E717)/Span_P,(AD717-F717)/Span_S,(AE717-G717)/Span_B),"")</f>
        <v>0.0121933904948144</v>
      </c>
      <c r="AG717" s="15" t="n">
        <f aca="false">IF(AND($J717=1,$M717=0),IF(AF717&gt;0.0000001,1,0),"")</f>
        <v>1</v>
      </c>
      <c r="AH717" s="15" t="n">
        <f aca="false">IF($J717=1,IF($M717=1,AB717,AG717),"")</f>
        <v>1</v>
      </c>
      <c r="AI717" s="13" t="n">
        <f aca="false">IF($J717=1,(Ideal_P-E717)/Span_P,"")</f>
        <v>0.687530579269393</v>
      </c>
      <c r="AJ717" s="13" t="n">
        <f aca="false">IF($J717=1,(Ideal_S-F717)/Span_S,"")</f>
        <v>0.0967741935483871</v>
      </c>
      <c r="AK717" s="13" t="n">
        <f aca="false">IF($J717=1,(Ideal_B-G717)/Span_B,"")</f>
        <v>0.286666666666667</v>
      </c>
      <c r="AL717" s="12" t="n">
        <f aca="false">IF($J717=1,MAX(ChA_1*AI717,ChA_2*AJ717,ChA_3*AK717)+Rho*(ChA_1*AI717+ChA_2*AJ717+ChA_3*AK717),"")</f>
        <v>0.687637676413341</v>
      </c>
      <c r="AM717" s="12" t="n">
        <f aca="false">IF($J717=1,MAX(ChB_1*AI717,ChB_2*AJ717,ChB_3*AK717)+Rho*(ChB_1*AI717+ChB_2*AJ717+ChB_3*AK717),"")</f>
        <v>1.37523700874066</v>
      </c>
      <c r="AN717" s="12" t="n">
        <f aca="false">IF($J717=1,MAX(Cx_1*(Ref_P-E717)/Span_P,Cx_2*(Ref_S-F717)/Span_S,Cx_3*(Ref_B-G717)/Span_B),"")</f>
        <v>1.74199398906877</v>
      </c>
    </row>
    <row r="718" customFormat="false" ht="15" hidden="false" customHeight="false" outlineLevel="0" collapsed="false">
      <c r="A718" s="2" t="n">
        <v>712</v>
      </c>
      <c r="B718" s="15" t="n">
        <f aca="false">INT(A718/151)</f>
        <v>4</v>
      </c>
      <c r="C718" s="15" t="n">
        <f aca="false">MOD(A718,151)</f>
        <v>108</v>
      </c>
      <c r="D718" s="15" t="n">
        <f aca="false">INDEX(Grid!$J$6:$P$156,C718+1,B718+1)</f>
        <v>1</v>
      </c>
      <c r="E718" s="16" t="n">
        <f aca="false">IF(D718=1,INDEX(Grid!$B$6:$H$156,C718+1,B718+1),"")</f>
        <v>134.299056030247</v>
      </c>
      <c r="F718" s="13" t="n">
        <f aca="false">Val_pt*(Ceiling_e-E_zero)*(1-(1-Half_gap)^B718)</f>
        <v>131.25</v>
      </c>
      <c r="G718" s="15" t="n">
        <f aca="false">C718</f>
        <v>108</v>
      </c>
      <c r="H718" s="15" t="n">
        <f aca="false">IF(D718=1,INDEX(Grid!$R$6:$X$156,C718+1,B718+1),"")</f>
        <v>45</v>
      </c>
      <c r="I718" s="2" t="str">
        <f aca="false">IF(D718=1,INDEX(Sch_label,H718+1),"")</f>
        <v>1, 3, 4, 6</v>
      </c>
      <c r="J718" s="15" t="n">
        <f aca="false">IF(D718=1,INDEX(Grid!$Z$6:$AF$156,C718+1,B718+1),0)</f>
        <v>1</v>
      </c>
      <c r="K718" s="16" t="n">
        <f aca="false">IF(J718=1,E718,0)</f>
        <v>134.299056030247</v>
      </c>
      <c r="L718" s="17" t="n">
        <f aca="false">IF(D718=1,E718+W_board*F718,"")</f>
        <v>875.17108922583</v>
      </c>
      <c r="M718" s="24" t="n">
        <v>0</v>
      </c>
      <c r="Q718" s="24" t="n">
        <v>4</v>
      </c>
      <c r="R718" s="24" t="n">
        <v>100</v>
      </c>
      <c r="S718" s="25" t="n">
        <v>0.804270530177955</v>
      </c>
      <c r="T718" s="24" t="n">
        <v>4</v>
      </c>
      <c r="U718" s="24" t="n">
        <v>150</v>
      </c>
      <c r="V718" s="25" t="n">
        <v>0.011127209074928</v>
      </c>
      <c r="W718" s="24" t="n">
        <v>5</v>
      </c>
      <c r="X718" s="24" t="n">
        <v>150</v>
      </c>
      <c r="Y718" s="25" t="n">
        <v>0.184602260747151</v>
      </c>
      <c r="Z718" s="12" t="str">
        <f aca="false">IF(AND($J718=1,$M718=1),N718*E718/Span_P+O718*F718/Span_S+P718*G718/Span_B,"")</f>
        <v/>
      </c>
      <c r="AA718" s="12" t="str">
        <f aca="false">IF(AND($J718=1,$M718=1),SUMPRODUCT(MAX($J$6:$J$1062*(N718*$K$6:$K$1062/Span_P+O718*$F$6:$F$1062/Span_S+P718*$G$6:$G$1062/Span_B)-(1-$J$6:$J$1062)*1000000000)),"")</f>
        <v/>
      </c>
      <c r="AB718" s="15" t="str">
        <f aca="false">IF(AND($J718=1,$M718=1),IF(AA718-Z718&lt;=0.000000001,1,0),"")</f>
        <v/>
      </c>
      <c r="AC718" s="13" t="n">
        <f aca="false">IF(AND($J718=1,$M718=0),IF(S718="",0,S718*INDEX(Grid!$B$6:$H$156,R718+1,Q718+1))+IF(V718="",0,V718*INDEX(Grid!$B$6:$H$156,U718+1,T718+1))+IF(Y718="",0,Y718*INDEX(Grid!$B$6:$H$156,X718+1,W718+1)),"")</f>
        <v>138.61178261613</v>
      </c>
      <c r="AD718" s="13" t="n">
        <f aca="false">IF(AND($J718=1,$M718=0),IF(S718="",0,S718*Val_pt*(Ceiling_e-E_zero)*(1-(1-Half_gap)^Q718))+IF(V718="",0,V718*Val_pt*(Ceiling_e-E_zero)*(1-(1-Half_gap)^T718))+IF(Y718="",0,Y718*Val_pt*(Ceiling_e-E_zero)*(1-(1-Half_gap)^W718)),"")</f>
        <v>132.057634890773</v>
      </c>
      <c r="AE718" s="13" t="n">
        <f aca="false">IF(AND($J718=1,$M718=0),IF(S718="",0,S718*R718)+IF(V718="",0,V718*U718)+IF(Y718="",0,Y718*X718),"")</f>
        <v>109.786473491107</v>
      </c>
      <c r="AF718" s="12" t="n">
        <f aca="false">IF(AND($J718=1,$M718=0),MIN((AC718-E718)/Span_P,(AD718-F718)/Span_S,(AE718-G718)/Span_B),"")</f>
        <v>0.0119098232740386</v>
      </c>
      <c r="AG718" s="15" t="n">
        <f aca="false">IF(AND($J718=1,$M718=0),IF(AF718&gt;0.0000001,1,0),"")</f>
        <v>1</v>
      </c>
      <c r="AH718" s="15" t="n">
        <f aca="false">IF($J718=1,IF($M718=1,AB718,AG718),"")</f>
        <v>1</v>
      </c>
      <c r="AI718" s="13" t="n">
        <f aca="false">IF($J718=1,(Ideal_P-E718)/Span_P,"")</f>
        <v>0.690041082045699</v>
      </c>
      <c r="AJ718" s="13" t="n">
        <f aca="false">IF($J718=1,(Ideal_S-F718)/Span_S,"")</f>
        <v>0.0967741935483871</v>
      </c>
      <c r="AK718" s="13" t="n">
        <f aca="false">IF($J718=1,(Ideal_B-G718)/Span_B,"")</f>
        <v>0.28</v>
      </c>
      <c r="AL718" s="12" t="n">
        <f aca="false">IF($J718=1,MAX(ChA_1*AI718,ChA_2*AJ718,ChA_3*AK718)+Rho*(ChA_1*AI718+ChA_2*AJ718+ChA_3*AK718),"")</f>
        <v>0.690147763573258</v>
      </c>
      <c r="AM718" s="12" t="n">
        <f aca="false">IF($J718=1,MAX(ChB_1*AI718,ChB_2*AJ718,ChB_3*AK718)+Rho*(ChB_1*AI718+ChB_2*AJ718+ChB_3*AK718),"")</f>
        <v>1.38025784972716</v>
      </c>
      <c r="AN718" s="12" t="n">
        <f aca="false">IF($J718=1,MAX(Cx_1*(Ref_P-E718)/Span_P,Cx_2*(Ref_S-F718)/Span_S,Cx_3*(Ref_B-G718)/Span_B),"")</f>
        <v>1.7482636507522</v>
      </c>
    </row>
    <row r="719" customFormat="false" ht="15" hidden="false" customHeight="false" outlineLevel="0" collapsed="false">
      <c r="A719" s="2" t="n">
        <v>713</v>
      </c>
      <c r="B719" s="15" t="n">
        <f aca="false">INT(A719/151)</f>
        <v>4</v>
      </c>
      <c r="C719" s="15" t="n">
        <f aca="false">MOD(A719,151)</f>
        <v>109</v>
      </c>
      <c r="D719" s="15" t="n">
        <f aca="false">INDEX(Grid!$J$6:$P$156,C719+1,B719+1)</f>
        <v>1</v>
      </c>
      <c r="E719" s="16" t="n">
        <f aca="false">IF(D719=1,INDEX(Grid!$B$6:$H$156,C719+1,B719+1),"")</f>
        <v>133.389965121156</v>
      </c>
      <c r="F719" s="13" t="n">
        <f aca="false">Val_pt*(Ceiling_e-E_zero)*(1-(1-Half_gap)^B719)</f>
        <v>131.25</v>
      </c>
      <c r="G719" s="15" t="n">
        <f aca="false">C719</f>
        <v>109</v>
      </c>
      <c r="H719" s="15" t="n">
        <f aca="false">IF(D719=1,INDEX(Grid!$R$6:$X$156,C719+1,B719+1),"")</f>
        <v>45</v>
      </c>
      <c r="I719" s="2" t="str">
        <f aca="false">IF(D719=1,INDEX(Sch_label,H719+1),"")</f>
        <v>1, 3, 4, 6</v>
      </c>
      <c r="J719" s="15" t="n">
        <f aca="false">IF(D719=1,INDEX(Grid!$Z$6:$AF$156,C719+1,B719+1),0)</f>
        <v>1</v>
      </c>
      <c r="K719" s="16" t="n">
        <f aca="false">IF(J719=1,E719,0)</f>
        <v>133.389965121156</v>
      </c>
      <c r="L719" s="17" t="n">
        <f aca="false">IF(D719=1,E719+W_board*F719,"")</f>
        <v>874.261998316739</v>
      </c>
      <c r="M719" s="24" t="n">
        <v>0</v>
      </c>
      <c r="Q719" s="24" t="n">
        <v>4</v>
      </c>
      <c r="R719" s="24" t="n">
        <v>100</v>
      </c>
      <c r="S719" s="25" t="n">
        <v>0.785121231840399</v>
      </c>
      <c r="T719" s="24" t="n">
        <v>4</v>
      </c>
      <c r="U719" s="24" t="n">
        <v>150</v>
      </c>
      <c r="V719" s="25" t="n">
        <v>0.0346717993348835</v>
      </c>
      <c r="W719" s="24" t="n">
        <v>5</v>
      </c>
      <c r="X719" s="24" t="n">
        <v>150</v>
      </c>
      <c r="Y719" s="25" t="n">
        <v>0.180206968824711</v>
      </c>
      <c r="Z719" s="12" t="str">
        <f aca="false">IF(AND($J719=1,$M719=1),N719*E719/Span_P+O719*F719/Span_S+P719*G719/Span_B,"")</f>
        <v/>
      </c>
      <c r="AA719" s="12" t="str">
        <f aca="false">IF(AND($J719=1,$M719=1),SUMPRODUCT(MAX($J$6:$J$1062*(N719*$K$6:$K$1062/Span_P+O719*$F$6:$F$1062/Span_S+P719*$G$6:$G$1062/Span_B)-(1-$J$6:$J$1062)*1000000000)),"")</f>
        <v/>
      </c>
      <c r="AB719" s="15" t="str">
        <f aca="false">IF(AND($J719=1,$M719=1),IF(AA719-Z719&lt;=0.000000001,1,0),"")</f>
        <v/>
      </c>
      <c r="AC719" s="13" t="n">
        <f aca="false">IF(AND($J719=1,$M719=0),IF(S719="",0,S719*INDEX(Grid!$B$6:$H$156,R719+1,Q719+1))+IF(V719="",0,V719*INDEX(Grid!$B$6:$H$156,U719+1,T719+1))+IF(Y719="",0,Y719*INDEX(Grid!$B$6:$H$156,X719+1,W719+1)),"")</f>
        <v>137.600007740698</v>
      </c>
      <c r="AD719" s="13" t="n">
        <f aca="false">IF(AND($J719=1,$M719=0),IF(S719="",0,S719*Val_pt*(Ceiling_e-E_zero)*(1-(1-Half_gap)^Q719))+IF(V719="",0,V719*Val_pt*(Ceiling_e-E_zero)*(1-(1-Half_gap)^T719))+IF(Y719="",0,Y719*Val_pt*(Ceiling_e-E_zero)*(1-(1-Half_gap)^W719)),"")</f>
        <v>132.038405488607</v>
      </c>
      <c r="AE719" s="13" t="n">
        <f aca="false">IF(AND($J719=1,$M719=0),IF(S719="",0,S719*R719)+IF(V719="",0,V719*U719)+IF(Y719="",0,Y719*X719),"")</f>
        <v>110.743938407979</v>
      </c>
      <c r="AF719" s="12" t="n">
        <f aca="false">IF(AND($J719=1,$M719=0),MIN((AC719-E719)/Span_P,(AD719-F719)/Span_S,(AE719-G719)/Span_B),"")</f>
        <v>0.011626256053194</v>
      </c>
      <c r="AG719" s="15" t="n">
        <f aca="false">IF(AND($J719=1,$M719=0),IF(AF719&gt;0.0000001,1,0),"")</f>
        <v>1</v>
      </c>
      <c r="AH719" s="15" t="n">
        <f aca="false">IF($J719=1,IF($M719=1,AB719,AG719),"")</f>
        <v>1</v>
      </c>
      <c r="AI719" s="13" t="n">
        <f aca="false">IF($J719=1,(Ideal_P-E719)/Span_P,"")</f>
        <v>0.692551584822004</v>
      </c>
      <c r="AJ719" s="13" t="n">
        <f aca="false">IF($J719=1,(Ideal_S-F719)/Span_S,"")</f>
        <v>0.0967741935483871</v>
      </c>
      <c r="AK719" s="13" t="n">
        <f aca="false">IF($J719=1,(Ideal_B-G719)/Span_B,"")</f>
        <v>0.273333333333333</v>
      </c>
      <c r="AL719" s="12" t="n">
        <f aca="false">IF($J719=1,MAX(ChA_1*AI719,ChA_2*AJ719,ChA_3*AK719)+Rho*(ChA_1*AI719+ChA_2*AJ719+ChA_3*AK719),"")</f>
        <v>0.692657850733175</v>
      </c>
      <c r="AM719" s="12" t="n">
        <f aca="false">IF($J719=1,MAX(ChB_1*AI719,ChB_2*AJ719,ChB_3*AK719)+Rho*(ChB_1*AI719+ChB_2*AJ719+ChB_3*AK719),"")</f>
        <v>1.38527869071366</v>
      </c>
      <c r="AN719" s="12" t="n">
        <f aca="false">IF($J719=1,MAX(Cx_1*(Ref_P-E719)/Span_P,Cx_2*(Ref_S-F719)/Span_S,Cx_3*(Ref_B-G719)/Span_B),"")</f>
        <v>1.75453331243563</v>
      </c>
    </row>
    <row r="720" customFormat="false" ht="15" hidden="false" customHeight="false" outlineLevel="0" collapsed="false">
      <c r="A720" s="2" t="n">
        <v>714</v>
      </c>
      <c r="B720" s="15" t="n">
        <f aca="false">INT(A720/151)</f>
        <v>4</v>
      </c>
      <c r="C720" s="15" t="n">
        <f aca="false">MOD(A720,151)</f>
        <v>110</v>
      </c>
      <c r="D720" s="15" t="n">
        <f aca="false">INDEX(Grid!$J$6:$P$156,C720+1,B720+1)</f>
        <v>1</v>
      </c>
      <c r="E720" s="16" t="n">
        <f aca="false">IF(D720=1,INDEX(Grid!$B$6:$H$156,C720+1,B720+1),"")</f>
        <v>132.480874212065</v>
      </c>
      <c r="F720" s="13" t="n">
        <f aca="false">Val_pt*(Ceiling_e-E_zero)*(1-(1-Half_gap)^B720)</f>
        <v>131.25</v>
      </c>
      <c r="G720" s="15" t="n">
        <f aca="false">C720</f>
        <v>110</v>
      </c>
      <c r="H720" s="15" t="n">
        <f aca="false">IF(D720=1,INDEX(Grid!$R$6:$X$156,C720+1,B720+1),"")</f>
        <v>45</v>
      </c>
      <c r="I720" s="2" t="str">
        <f aca="false">IF(D720=1,INDEX(Sch_label,H720+1),"")</f>
        <v>1, 3, 4, 6</v>
      </c>
      <c r="J720" s="15" t="n">
        <f aca="false">IF(D720=1,INDEX(Grid!$Z$6:$AF$156,C720+1,B720+1),0)</f>
        <v>1</v>
      </c>
      <c r="K720" s="16" t="n">
        <f aca="false">IF(J720=1,E720,0)</f>
        <v>132.480874212065</v>
      </c>
      <c r="L720" s="17" t="n">
        <f aca="false">IF(D720=1,E720+W_board*F720,"")</f>
        <v>873.352907407648</v>
      </c>
      <c r="M720" s="24" t="n">
        <v>0</v>
      </c>
      <c r="Q720" s="24" t="n">
        <v>4</v>
      </c>
      <c r="R720" s="24" t="n">
        <v>100</v>
      </c>
      <c r="S720" s="25" t="n">
        <v>0.590160256600686</v>
      </c>
      <c r="T720" s="24" t="n">
        <v>4</v>
      </c>
      <c r="U720" s="24" t="n">
        <v>150</v>
      </c>
      <c r="V720" s="25" t="n">
        <v>0.23402806649702</v>
      </c>
      <c r="W720" s="24" t="n">
        <v>5</v>
      </c>
      <c r="X720" s="24" t="n">
        <v>100</v>
      </c>
      <c r="Y720" s="25" t="n">
        <v>0.175811676902215</v>
      </c>
      <c r="Z720" s="12" t="str">
        <f aca="false">IF(AND($J720=1,$M720=1),N720*E720/Span_P+O720*F720/Span_S+P720*G720/Span_B,"")</f>
        <v/>
      </c>
      <c r="AA720" s="12" t="str">
        <f aca="false">IF(AND($J720=1,$M720=1),SUMPRODUCT(MAX($J$6:$J$1062*(N720*$K$6:$K$1062/Span_P+O720*$F$6:$F$1062/Span_S+P720*$G$6:$G$1062/Span_B)-(1-$J$6:$J$1062)*1000000000)),"")</f>
        <v/>
      </c>
      <c r="AB720" s="15" t="str">
        <f aca="false">IF(AND($J720=1,$M720=1),IF(AA720-Z720&lt;=0.000000001,1,0),"")</f>
        <v/>
      </c>
      <c r="AC720" s="13" t="n">
        <f aca="false">IF(AND($J720=1,$M720=0),IF(S720="",0,S720*INDEX(Grid!$B$6:$H$156,R720+1,Q720+1))+IF(V720="",0,V720*INDEX(Grid!$B$6:$H$156,U720+1,T720+1))+IF(Y720="",0,Y720*INDEX(Grid!$B$6:$H$156,X720+1,W720+1)),"")</f>
        <v>136.58823286527</v>
      </c>
      <c r="AD720" s="13" t="n">
        <f aca="false">IF(AND($J720=1,$M720=0),IF(S720="",0,S720*Val_pt*(Ceiling_e-E_zero)*(1-(1-Half_gap)^Q720))+IF(V720="",0,V720*Val_pt*(Ceiling_e-E_zero)*(1-(1-Half_gap)^T720))+IF(Y720="",0,Y720*Val_pt*(Ceiling_e-E_zero)*(1-(1-Half_gap)^W720)),"")</f>
        <v>132.019176086437</v>
      </c>
      <c r="AE720" s="13" t="n">
        <f aca="false">IF(AND($J720=1,$M720=0),IF(S720="",0,S720*R720)+IF(V720="",0,V720*U720)+IF(Y720="",0,Y720*X720),"")</f>
        <v>111.701403324843</v>
      </c>
      <c r="AF720" s="12" t="n">
        <f aca="false">IF(AND($J720=1,$M720=0),MIN((AC720-E720)/Span_P,(AD720-F720)/Span_S,(AE720-G720)/Span_B),"")</f>
        <v>0.0113426888322482</v>
      </c>
      <c r="AG720" s="15" t="n">
        <f aca="false">IF(AND($J720=1,$M720=0),IF(AF720&gt;0.0000001,1,0),"")</f>
        <v>1</v>
      </c>
      <c r="AH720" s="15" t="n">
        <f aca="false">IF($J720=1,IF($M720=1,AB720,AG720),"")</f>
        <v>1</v>
      </c>
      <c r="AI720" s="13" t="n">
        <f aca="false">IF($J720=1,(Ideal_P-E720)/Span_P,"")</f>
        <v>0.69506208759831</v>
      </c>
      <c r="AJ720" s="13" t="n">
        <f aca="false">IF($J720=1,(Ideal_S-F720)/Span_S,"")</f>
        <v>0.0967741935483871</v>
      </c>
      <c r="AK720" s="13" t="n">
        <f aca="false">IF($J720=1,(Ideal_B-G720)/Span_B,"")</f>
        <v>0.266666666666667</v>
      </c>
      <c r="AL720" s="12" t="n">
        <f aca="false">IF($J720=1,MAX(ChA_1*AI720,ChA_2*AJ720,ChA_3*AK720)+Rho*(ChA_1*AI720+ChA_2*AJ720+ChA_3*AK720),"")</f>
        <v>0.695167937893092</v>
      </c>
      <c r="AM720" s="12" t="n">
        <f aca="false">IF($J720=1,MAX(ChB_1*AI720,ChB_2*AJ720,ChB_3*AK720)+Rho*(ChB_1*AI720+ChB_2*AJ720+ChB_3*AK720),"")</f>
        <v>1.39029953170016</v>
      </c>
      <c r="AN720" s="12" t="n">
        <f aca="false">IF($J720=1,MAX(Cx_1*(Ref_P-E720)/Span_P,Cx_2*(Ref_S-F720)/Span_S,Cx_3*(Ref_B-G720)/Span_B),"")</f>
        <v>1.76080297411906</v>
      </c>
    </row>
    <row r="721" customFormat="false" ht="15" hidden="false" customHeight="false" outlineLevel="0" collapsed="false">
      <c r="A721" s="2" t="n">
        <v>715</v>
      </c>
      <c r="B721" s="15" t="n">
        <f aca="false">INT(A721/151)</f>
        <v>4</v>
      </c>
      <c r="C721" s="15" t="n">
        <f aca="false">MOD(A721,151)</f>
        <v>111</v>
      </c>
      <c r="D721" s="15" t="n">
        <f aca="false">INDEX(Grid!$J$6:$P$156,C721+1,B721+1)</f>
        <v>1</v>
      </c>
      <c r="E721" s="16" t="n">
        <f aca="false">IF(D721=1,INDEX(Grid!$B$6:$H$156,C721+1,B721+1),"")</f>
        <v>131.571783302974</v>
      </c>
      <c r="F721" s="13" t="n">
        <f aca="false">Val_pt*(Ceiling_e-E_zero)*(1-(1-Half_gap)^B721)</f>
        <v>131.25</v>
      </c>
      <c r="G721" s="15" t="n">
        <f aca="false">C721</f>
        <v>111</v>
      </c>
      <c r="H721" s="15" t="n">
        <f aca="false">IF(D721=1,INDEX(Grid!$R$6:$X$156,C721+1,B721+1),"")</f>
        <v>45</v>
      </c>
      <c r="I721" s="2" t="str">
        <f aca="false">IF(D721=1,INDEX(Sch_label,H721+1),"")</f>
        <v>1, 3, 4, 6</v>
      </c>
      <c r="J721" s="15" t="n">
        <f aca="false">IF(D721=1,INDEX(Grid!$Z$6:$AF$156,C721+1,B721+1),0)</f>
        <v>1</v>
      </c>
      <c r="K721" s="16" t="n">
        <f aca="false">IF(J721=1,E721,0)</f>
        <v>131.571783302974</v>
      </c>
      <c r="L721" s="17" t="n">
        <f aca="false">IF(D721=1,E721+W_board*F721,"")</f>
        <v>872.443816498557</v>
      </c>
      <c r="M721" s="24" t="n">
        <v>0</v>
      </c>
      <c r="Q721" s="24" t="n">
        <v>4</v>
      </c>
      <c r="R721" s="24" t="n">
        <v>100</v>
      </c>
      <c r="S721" s="25" t="n">
        <v>0.575406250185694</v>
      </c>
      <c r="T721" s="24" t="n">
        <v>4</v>
      </c>
      <c r="U721" s="24" t="n">
        <v>150</v>
      </c>
      <c r="V721" s="25" t="n">
        <v>0.253177364834768</v>
      </c>
      <c r="W721" s="24" t="n">
        <v>5</v>
      </c>
      <c r="X721" s="24" t="n">
        <v>100</v>
      </c>
      <c r="Y721" s="25" t="n">
        <v>0.171416384979544</v>
      </c>
      <c r="Z721" s="12" t="str">
        <f aca="false">IF(AND($J721=1,$M721=1),N721*E721/Span_P+O721*F721/Span_S+P721*G721/Span_B,"")</f>
        <v/>
      </c>
      <c r="AA721" s="12" t="str">
        <f aca="false">IF(AND($J721=1,$M721=1),SUMPRODUCT(MAX($J$6:$J$1062*(N721*$K$6:$K$1062/Span_P+O721*$F$6:$F$1062/Span_S+P721*$G$6:$G$1062/Span_B)-(1-$J$6:$J$1062)*1000000000)),"")</f>
        <v/>
      </c>
      <c r="AB721" s="15" t="str">
        <f aca="false">IF(AND($J721=1,$M721=1),IF(AA721-Z721&lt;=0.000000001,1,0),"")</f>
        <v/>
      </c>
      <c r="AC721" s="13" t="n">
        <f aca="false">IF(AND($J721=1,$M721=0),IF(S721="",0,S721*INDEX(Grid!$B$6:$H$156,R721+1,Q721+1))+IF(V721="",0,V721*INDEX(Grid!$B$6:$H$156,U721+1,T721+1))+IF(Y721="",0,Y721*INDEX(Grid!$B$6:$H$156,X721+1,W721+1)),"")</f>
        <v>135.576457989859</v>
      </c>
      <c r="AD721" s="13" t="n">
        <f aca="false">IF(AND($J721=1,$M721=0),IF(S721="",0,S721*Val_pt*(Ceiling_e-E_zero)*(1-(1-Half_gap)^Q721))+IF(V721="",0,V721*Val_pt*(Ceiling_e-E_zero)*(1-(1-Half_gap)^T721))+IF(Y721="",0,Y721*Val_pt*(Ceiling_e-E_zero)*(1-(1-Half_gap)^W721)),"")</f>
        <v>131.999946684286</v>
      </c>
      <c r="AE721" s="13" t="n">
        <f aca="false">IF(AND($J721=1,$M721=0),IF(S721="",0,S721*R721)+IF(V721="",0,V721*U721)+IF(Y721="",0,Y721*X721),"")</f>
        <v>112.658868241739</v>
      </c>
      <c r="AF721" s="12" t="n">
        <f aca="false">IF(AND($J721=1,$M721=0),MIN((AC721-E721)/Span_P,(AD721-F721)/Span_S,(AE721-G721)/Span_B),"")</f>
        <v>0.0110591216115894</v>
      </c>
      <c r="AG721" s="15" t="n">
        <f aca="false">IF(AND($J721=1,$M721=0),IF(AF721&gt;0.0000001,1,0),"")</f>
        <v>1</v>
      </c>
      <c r="AH721" s="15" t="n">
        <f aca="false">IF($J721=1,IF($M721=1,AB721,AG721),"")</f>
        <v>1</v>
      </c>
      <c r="AI721" s="13" t="n">
        <f aca="false">IF($J721=1,(Ideal_P-E721)/Span_P,"")</f>
        <v>0.697572590374616</v>
      </c>
      <c r="AJ721" s="13" t="n">
        <f aca="false">IF($J721=1,(Ideal_S-F721)/Span_S,"")</f>
        <v>0.0967741935483871</v>
      </c>
      <c r="AK721" s="13" t="n">
        <f aca="false">IF($J721=1,(Ideal_B-G721)/Span_B,"")</f>
        <v>0.26</v>
      </c>
      <c r="AL721" s="12" t="n">
        <f aca="false">IF($J721=1,MAX(ChA_1*AI721,ChA_2*AJ721,ChA_3*AK721)+Rho*(ChA_1*AI721+ChA_2*AJ721+ChA_3*AK721),"")</f>
        <v>0.697678025053008</v>
      </c>
      <c r="AM721" s="12" t="n">
        <f aca="false">IF($J721=1,MAX(ChB_1*AI721,ChB_2*AJ721,ChB_3*AK721)+Rho*(ChB_1*AI721+ChB_2*AJ721+ChB_3*AK721),"")</f>
        <v>1.39532037268666</v>
      </c>
      <c r="AN721" s="12" t="n">
        <f aca="false">IF($J721=1,MAX(Cx_1*(Ref_P-E721)/Span_P,Cx_2*(Ref_S-F721)/Span_S,Cx_3*(Ref_B-G721)/Span_B),"")</f>
        <v>1.76707263580249</v>
      </c>
    </row>
    <row r="722" customFormat="false" ht="15" hidden="false" customHeight="false" outlineLevel="0" collapsed="false">
      <c r="A722" s="2" t="n">
        <v>716</v>
      </c>
      <c r="B722" s="15" t="n">
        <f aca="false">INT(A722/151)</f>
        <v>4</v>
      </c>
      <c r="C722" s="15" t="n">
        <f aca="false">MOD(A722,151)</f>
        <v>112</v>
      </c>
      <c r="D722" s="15" t="n">
        <f aca="false">INDEX(Grid!$J$6:$P$156,C722+1,B722+1)</f>
        <v>1</v>
      </c>
      <c r="E722" s="16" t="n">
        <f aca="false">IF(D722=1,INDEX(Grid!$B$6:$H$156,C722+1,B722+1),"")</f>
        <v>130.662692393883</v>
      </c>
      <c r="F722" s="13" t="n">
        <f aca="false">Val_pt*(Ceiling_e-E_zero)*(1-(1-Half_gap)^B722)</f>
        <v>131.25</v>
      </c>
      <c r="G722" s="15" t="n">
        <f aca="false">C722</f>
        <v>112</v>
      </c>
      <c r="H722" s="15" t="n">
        <f aca="false">IF(D722=1,INDEX(Grid!$R$6:$X$156,C722+1,B722+1),"")</f>
        <v>45</v>
      </c>
      <c r="I722" s="2" t="str">
        <f aca="false">IF(D722=1,INDEX(Sch_label,H722+1),"")</f>
        <v>1, 3, 4, 6</v>
      </c>
      <c r="J722" s="15" t="n">
        <f aca="false">IF(D722=1,INDEX(Grid!$Z$6:$AF$156,C722+1,B722+1),0)</f>
        <v>1</v>
      </c>
      <c r="K722" s="16" t="n">
        <f aca="false">IF(J722=1,E722,0)</f>
        <v>130.662692393883</v>
      </c>
      <c r="L722" s="17" t="n">
        <f aca="false">IF(D722=1,E722+W_board*F722,"")</f>
        <v>871.534725589466</v>
      </c>
      <c r="M722" s="24" t="n">
        <v>0</v>
      </c>
      <c r="Q722" s="24" t="n">
        <v>4</v>
      </c>
      <c r="R722" s="24" t="n">
        <v>100</v>
      </c>
      <c r="S722" s="25" t="n">
        <v>0.560652243770632</v>
      </c>
      <c r="T722" s="24" t="n">
        <v>4</v>
      </c>
      <c r="U722" s="24" t="n">
        <v>150</v>
      </c>
      <c r="V722" s="25" t="n">
        <v>0.272326663172295</v>
      </c>
      <c r="W722" s="24" t="n">
        <v>5</v>
      </c>
      <c r="X722" s="24" t="n">
        <v>100</v>
      </c>
      <c r="Y722" s="25" t="n">
        <v>0.167021093057072</v>
      </c>
      <c r="Z722" s="12" t="str">
        <f aca="false">IF(AND($J722=1,$M722=1),N722*E722/Span_P+O722*F722/Span_S+P722*G722/Span_B,"")</f>
        <v/>
      </c>
      <c r="AA722" s="12" t="str">
        <f aca="false">IF(AND($J722=1,$M722=1),SUMPRODUCT(MAX($J$6:$J$1062*(N722*$K$6:$K$1062/Span_P+O722*$F$6:$F$1062/Span_S+P722*$G$6:$G$1062/Span_B)-(1-$J$6:$J$1062)*1000000000)),"")</f>
        <v/>
      </c>
      <c r="AB722" s="15" t="str">
        <f aca="false">IF(AND($J722=1,$M722=1),IF(AA722-Z722&lt;=0.000000001,1,0),"")</f>
        <v/>
      </c>
      <c r="AC722" s="13" t="n">
        <f aca="false">IF(AND($J722=1,$M722=0),IF(S722="",0,S722*INDEX(Grid!$B$6:$H$156,R722+1,Q722+1))+IF(V722="",0,V722*INDEX(Grid!$B$6:$H$156,U722+1,T722+1))+IF(Y722="",0,Y722*INDEX(Grid!$B$6:$H$156,X722+1,W722+1)),"")</f>
        <v>134.564683114434</v>
      </c>
      <c r="AD722" s="13" t="n">
        <f aca="false">IF(AND($J722=1,$M722=0),IF(S722="",0,S722*Val_pt*(Ceiling_e-E_zero)*(1-(1-Half_gap)^Q722))+IF(V722="",0,V722*Val_pt*(Ceiling_e-E_zero)*(1-(1-Half_gap)^T722))+IF(Y722="",0,Y722*Val_pt*(Ceiling_e-E_zero)*(1-(1-Half_gap)^W722)),"")</f>
        <v>131.980717282125</v>
      </c>
      <c r="AE722" s="13" t="n">
        <f aca="false">IF(AND($J722=1,$M722=0),IF(S722="",0,S722*R722)+IF(V722="",0,V722*U722)+IF(Y722="",0,Y722*X722),"")</f>
        <v>113.616333158615</v>
      </c>
      <c r="AF722" s="12" t="n">
        <f aca="false">IF(AND($J722=1,$M722=0),MIN((AC722-E722)/Span_P,(AD722-F722)/Span_S,(AE722-G722)/Span_B),"")</f>
        <v>0.0107755543907642</v>
      </c>
      <c r="AG722" s="15" t="n">
        <f aca="false">IF(AND($J722=1,$M722=0),IF(AF722&gt;0.0000001,1,0),"")</f>
        <v>1</v>
      </c>
      <c r="AH722" s="15" t="n">
        <f aca="false">IF($J722=1,IF($M722=1,AB722,AG722),"")</f>
        <v>1</v>
      </c>
      <c r="AI722" s="13" t="n">
        <f aca="false">IF($J722=1,(Ideal_P-E722)/Span_P,"")</f>
        <v>0.700083093150922</v>
      </c>
      <c r="AJ722" s="13" t="n">
        <f aca="false">IF($J722=1,(Ideal_S-F722)/Span_S,"")</f>
        <v>0.0967741935483871</v>
      </c>
      <c r="AK722" s="13" t="n">
        <f aca="false">IF($J722=1,(Ideal_B-G722)/Span_B,"")</f>
        <v>0.253333333333333</v>
      </c>
      <c r="AL722" s="12" t="n">
        <f aca="false">IF($J722=1,MAX(ChA_1*AI722,ChA_2*AJ722,ChA_3*AK722)+Rho*(ChA_1*AI722+ChA_2*AJ722+ChA_3*AK722),"")</f>
        <v>0.700188112212925</v>
      </c>
      <c r="AM722" s="12" t="n">
        <f aca="false">IF($J722=1,MAX(ChB_1*AI722,ChB_2*AJ722,ChB_3*AK722)+Rho*(ChB_1*AI722+ChB_2*AJ722+ChB_3*AK722),"")</f>
        <v>1.40034121367316</v>
      </c>
      <c r="AN722" s="12" t="n">
        <f aca="false">IF($J722=1,MAX(Cx_1*(Ref_P-E722)/Span_P,Cx_2*(Ref_S-F722)/Span_S,Cx_3*(Ref_B-G722)/Span_B),"")</f>
        <v>1.77334229748592</v>
      </c>
    </row>
    <row r="723" customFormat="false" ht="15" hidden="false" customHeight="false" outlineLevel="0" collapsed="false">
      <c r="A723" s="2" t="n">
        <v>717</v>
      </c>
      <c r="B723" s="15" t="n">
        <f aca="false">INT(A723/151)</f>
        <v>4</v>
      </c>
      <c r="C723" s="15" t="n">
        <f aca="false">MOD(A723,151)</f>
        <v>113</v>
      </c>
      <c r="D723" s="15" t="n">
        <f aca="false">INDEX(Grid!$J$6:$P$156,C723+1,B723+1)</f>
        <v>1</v>
      </c>
      <c r="E723" s="16" t="n">
        <f aca="false">IF(D723=1,INDEX(Grid!$B$6:$H$156,C723+1,B723+1),"")</f>
        <v>129.753601484792</v>
      </c>
      <c r="F723" s="13" t="n">
        <f aca="false">Val_pt*(Ceiling_e-E_zero)*(1-(1-Half_gap)^B723)</f>
        <v>131.25</v>
      </c>
      <c r="G723" s="15" t="n">
        <f aca="false">C723</f>
        <v>113</v>
      </c>
      <c r="H723" s="15" t="n">
        <f aca="false">IF(D723=1,INDEX(Grid!$R$6:$X$156,C723+1,B723+1),"")</f>
        <v>45</v>
      </c>
      <c r="I723" s="2" t="str">
        <f aca="false">IF(D723=1,INDEX(Sch_label,H723+1),"")</f>
        <v>1, 3, 4, 6</v>
      </c>
      <c r="J723" s="15" t="n">
        <f aca="false">IF(D723=1,INDEX(Grid!$Z$6:$AF$156,C723+1,B723+1),0)</f>
        <v>1</v>
      </c>
      <c r="K723" s="16" t="n">
        <f aca="false">IF(J723=1,E723,0)</f>
        <v>129.753601484792</v>
      </c>
      <c r="L723" s="17" t="n">
        <f aca="false">IF(D723=1,E723+W_board*F723,"")</f>
        <v>870.625634680375</v>
      </c>
      <c r="M723" s="24" t="n">
        <v>0</v>
      </c>
      <c r="Q723" s="24" t="n">
        <v>4</v>
      </c>
      <c r="R723" s="24" t="n">
        <v>100</v>
      </c>
      <c r="S723" s="25" t="n">
        <v>0.545898237355661</v>
      </c>
      <c r="T723" s="24" t="n">
        <v>4</v>
      </c>
      <c r="U723" s="24" t="n">
        <v>150</v>
      </c>
      <c r="V723" s="25" t="n">
        <v>0.291475961509882</v>
      </c>
      <c r="W723" s="24" t="n">
        <v>5</v>
      </c>
      <c r="X723" s="24" t="n">
        <v>100</v>
      </c>
      <c r="Y723" s="25" t="n">
        <v>0.162625801134467</v>
      </c>
      <c r="Z723" s="12" t="str">
        <f aca="false">IF(AND($J723=1,$M723=1),N723*E723/Span_P+O723*F723/Span_S+P723*G723/Span_B,"")</f>
        <v/>
      </c>
      <c r="AA723" s="12" t="str">
        <f aca="false">IF(AND($J723=1,$M723=1),SUMPRODUCT(MAX($J$6:$J$1062*(N723*$K$6:$K$1062/Span_P+O723*$F$6:$F$1062/Span_S+P723*$G$6:$G$1062/Span_B)-(1-$J$6:$J$1062)*1000000000)),"")</f>
        <v/>
      </c>
      <c r="AB723" s="15" t="str">
        <f aca="false">IF(AND($J723=1,$M723=1),IF(AA723-Z723&lt;=0.000000001,1,0),"")</f>
        <v/>
      </c>
      <c r="AC723" s="13" t="n">
        <f aca="false">IF(AND($J723=1,$M723=0),IF(S723="",0,S723*INDEX(Grid!$B$6:$H$156,R723+1,Q723+1))+IF(V723="",0,V723*INDEX(Grid!$B$6:$H$156,U723+1,T723+1))+IF(Y723="",0,Y723*INDEX(Grid!$B$6:$H$156,X723+1,W723+1)),"")</f>
        <v>133.552908239017</v>
      </c>
      <c r="AD723" s="13" t="n">
        <f aca="false">IF(AND($J723=1,$M723=0),IF(S723="",0,S723*Val_pt*(Ceiling_e-E_zero)*(1-(1-Half_gap)^Q723))+IF(V723="",0,V723*Val_pt*(Ceiling_e-E_zero)*(1-(1-Half_gap)^T723))+IF(Y723="",0,Y723*Val_pt*(Ceiling_e-E_zero)*(1-(1-Half_gap)^W723)),"")</f>
        <v>131.961487879964</v>
      </c>
      <c r="AE723" s="13" t="n">
        <f aca="false">IF(AND($J723=1,$M723=0),IF(S723="",0,S723*R723)+IF(V723="",0,V723*U723)+IF(Y723="",0,Y723*X723),"")</f>
        <v>114.573798075495</v>
      </c>
      <c r="AF723" s="12" t="n">
        <f aca="false">IF(AND($J723=1,$M723=0),MIN((AC723-E723)/Span_P,(AD723-F723)/Span_S,(AE723-G723)/Span_B),"")</f>
        <v>0.0104919871699666</v>
      </c>
      <c r="AG723" s="15" t="n">
        <f aca="false">IF(AND($J723=1,$M723=0),IF(AF723&gt;0.0000001,1,0),"")</f>
        <v>1</v>
      </c>
      <c r="AH723" s="15" t="n">
        <f aca="false">IF($J723=1,IF($M723=1,AB723,AG723),"")</f>
        <v>1</v>
      </c>
      <c r="AI723" s="13" t="n">
        <f aca="false">IF($J723=1,(Ideal_P-E723)/Span_P,"")</f>
        <v>0.702593595927228</v>
      </c>
      <c r="AJ723" s="13" t="n">
        <f aca="false">IF($J723=1,(Ideal_S-F723)/Span_S,"")</f>
        <v>0.0967741935483871</v>
      </c>
      <c r="AK723" s="13" t="n">
        <f aca="false">IF($J723=1,(Ideal_B-G723)/Span_B,"")</f>
        <v>0.246666666666667</v>
      </c>
      <c r="AL723" s="12" t="n">
        <f aca="false">IF($J723=1,MAX(ChA_1*AI723,ChA_2*AJ723,ChA_3*AK723)+Rho*(ChA_1*AI723+ChA_2*AJ723+ChA_3*AK723),"")</f>
        <v>0.702698199372842</v>
      </c>
      <c r="AM723" s="12" t="n">
        <f aca="false">IF($J723=1,MAX(ChB_1*AI723,ChB_2*AJ723,ChB_3*AK723)+Rho*(ChB_1*AI723+ChB_2*AJ723+ChB_3*AK723),"")</f>
        <v>1.40536205465966</v>
      </c>
      <c r="AN723" s="12" t="n">
        <f aca="false">IF($J723=1,MAX(Cx_1*(Ref_P-E723)/Span_P,Cx_2*(Ref_S-F723)/Span_S,Cx_3*(Ref_B-G723)/Span_B),"")</f>
        <v>1.77961195916934</v>
      </c>
    </row>
    <row r="724" customFormat="false" ht="15" hidden="false" customHeight="false" outlineLevel="0" collapsed="false">
      <c r="A724" s="2" t="n">
        <v>718</v>
      </c>
      <c r="B724" s="15" t="n">
        <f aca="false">INT(A724/151)</f>
        <v>4</v>
      </c>
      <c r="C724" s="15" t="n">
        <f aca="false">MOD(A724,151)</f>
        <v>114</v>
      </c>
      <c r="D724" s="15" t="n">
        <f aca="false">INDEX(Grid!$J$6:$P$156,C724+1,B724+1)</f>
        <v>1</v>
      </c>
      <c r="E724" s="16" t="n">
        <f aca="false">IF(D724=1,INDEX(Grid!$B$6:$H$156,C724+1,B724+1),"")</f>
        <v>128.844510575701</v>
      </c>
      <c r="F724" s="13" t="n">
        <f aca="false">Val_pt*(Ceiling_e-E_zero)*(1-(1-Half_gap)^B724)</f>
        <v>131.25</v>
      </c>
      <c r="G724" s="15" t="n">
        <f aca="false">C724</f>
        <v>114</v>
      </c>
      <c r="H724" s="15" t="n">
        <f aca="false">IF(D724=1,INDEX(Grid!$R$6:$X$156,C724+1,B724+1),"")</f>
        <v>45</v>
      </c>
      <c r="I724" s="2" t="str">
        <f aca="false">IF(D724=1,INDEX(Sch_label,H724+1),"")</f>
        <v>1, 3, 4, 6</v>
      </c>
      <c r="J724" s="15" t="n">
        <f aca="false">IF(D724=1,INDEX(Grid!$Z$6:$AF$156,C724+1,B724+1),0)</f>
        <v>1</v>
      </c>
      <c r="K724" s="16" t="n">
        <f aca="false">IF(J724=1,E724,0)</f>
        <v>128.844510575701</v>
      </c>
      <c r="L724" s="17" t="n">
        <f aca="false">IF(D724=1,E724+W_board*F724,"")</f>
        <v>869.716543771284</v>
      </c>
      <c r="M724" s="24" t="n">
        <v>0</v>
      </c>
      <c r="Q724" s="24" t="n">
        <v>4</v>
      </c>
      <c r="R724" s="24" t="n">
        <v>100</v>
      </c>
      <c r="S724" s="25" t="n">
        <v>0.531144230940592</v>
      </c>
      <c r="T724" s="24" t="n">
        <v>4</v>
      </c>
      <c r="U724" s="24" t="n">
        <v>150</v>
      </c>
      <c r="V724" s="25" t="n">
        <v>0.31062525984743</v>
      </c>
      <c r="W724" s="24" t="n">
        <v>5</v>
      </c>
      <c r="X724" s="24" t="n">
        <v>100</v>
      </c>
      <c r="Y724" s="25" t="n">
        <v>0.158230509211964</v>
      </c>
      <c r="Z724" s="12" t="str">
        <f aca="false">IF(AND($J724=1,$M724=1),N724*E724/Span_P+O724*F724/Span_S+P724*G724/Span_B,"")</f>
        <v/>
      </c>
      <c r="AA724" s="12" t="str">
        <f aca="false">IF(AND($J724=1,$M724=1),SUMPRODUCT(MAX($J$6:$J$1062*(N724*$K$6:$K$1062/Span_P+O724*$F$6:$F$1062/Span_S+P724*$G$6:$G$1062/Span_B)-(1-$J$6:$J$1062)*1000000000)),"")</f>
        <v/>
      </c>
      <c r="AB724" s="15" t="str">
        <f aca="false">IF(AND($J724=1,$M724=1),IF(AA724-Z724&lt;=0.000000001,1,0),"")</f>
        <v/>
      </c>
      <c r="AC724" s="13" t="n">
        <f aca="false">IF(AND($J724=1,$M724=0),IF(S724="",0,S724*INDEX(Grid!$B$6:$H$156,R724+1,Q724+1))+IF(V724="",0,V724*INDEX(Grid!$B$6:$H$156,U724+1,T724+1))+IF(Y724="",0,Y724*INDEX(Grid!$B$6:$H$156,X724+1,W724+1)),"")</f>
        <v>132.54113336359</v>
      </c>
      <c r="AD724" s="13" t="n">
        <f aca="false">IF(AND($J724=1,$M724=0),IF(S724="",0,S724*Val_pt*(Ceiling_e-E_zero)*(1-(1-Half_gap)^Q724))+IF(V724="",0,V724*Val_pt*(Ceiling_e-E_zero)*(1-(1-Half_gap)^T724))+IF(Y724="",0,Y724*Val_pt*(Ceiling_e-E_zero)*(1-(1-Half_gap)^W724)),"")</f>
        <v>131.9422584778</v>
      </c>
      <c r="AE724" s="13" t="n">
        <f aca="false">IF(AND($J724=1,$M724=0),IF(S724="",0,S724*R724)+IF(V724="",0,V724*U724)+IF(Y724="",0,Y724*X724),"")</f>
        <v>115.53126299237</v>
      </c>
      <c r="AF724" s="12" t="n">
        <f aca="false">IF(AND($J724=1,$M724=0),MIN((AC724-E724)/Span_P,(AD724-F724)/Span_S,(AE724-G724)/Span_B),"")</f>
        <v>0.0102084199491309</v>
      </c>
      <c r="AG724" s="15" t="n">
        <f aca="false">IF(AND($J724=1,$M724=0),IF(AF724&gt;0.0000001,1,0),"")</f>
        <v>1</v>
      </c>
      <c r="AH724" s="15" t="n">
        <f aca="false">IF($J724=1,IF($M724=1,AB724,AG724),"")</f>
        <v>1</v>
      </c>
      <c r="AI724" s="13" t="n">
        <f aca="false">IF($J724=1,(Ideal_P-E724)/Span_P,"")</f>
        <v>0.705104098703533</v>
      </c>
      <c r="AJ724" s="13" t="n">
        <f aca="false">IF($J724=1,(Ideal_S-F724)/Span_S,"")</f>
        <v>0.0967741935483871</v>
      </c>
      <c r="AK724" s="13" t="n">
        <f aca="false">IF($J724=1,(Ideal_B-G724)/Span_B,"")</f>
        <v>0.24</v>
      </c>
      <c r="AL724" s="12" t="n">
        <f aca="false">IF($J724=1,MAX(ChA_1*AI724,ChA_2*AJ724,ChA_3*AK724)+Rho*(ChA_1*AI724+ChA_2*AJ724+ChA_3*AK724),"")</f>
        <v>0.705208286532758</v>
      </c>
      <c r="AM724" s="12" t="n">
        <f aca="false">IF($J724=1,MAX(ChB_1*AI724,ChB_2*AJ724,ChB_3*AK724)+Rho*(ChB_1*AI724+ChB_2*AJ724+ChB_3*AK724),"")</f>
        <v>1.41038289564616</v>
      </c>
      <c r="AN724" s="12" t="n">
        <f aca="false">IF($J724=1,MAX(Cx_1*(Ref_P-E724)/Span_P,Cx_2*(Ref_S-F724)/Span_S,Cx_3*(Ref_B-G724)/Span_B),"")</f>
        <v>1.78588162085277</v>
      </c>
    </row>
    <row r="725" customFormat="false" ht="15" hidden="false" customHeight="false" outlineLevel="0" collapsed="false">
      <c r="A725" s="2" t="n">
        <v>719</v>
      </c>
      <c r="B725" s="15" t="n">
        <f aca="false">INT(A725/151)</f>
        <v>4</v>
      </c>
      <c r="C725" s="15" t="n">
        <f aca="false">MOD(A725,151)</f>
        <v>115</v>
      </c>
      <c r="D725" s="15" t="n">
        <f aca="false">INDEX(Grid!$J$6:$P$156,C725+1,B725+1)</f>
        <v>1</v>
      </c>
      <c r="E725" s="16" t="n">
        <f aca="false">IF(D725=1,INDEX(Grid!$B$6:$H$156,C725+1,B725+1),"")</f>
        <v>127.93541966661</v>
      </c>
      <c r="F725" s="13" t="n">
        <f aca="false">Val_pt*(Ceiling_e-E_zero)*(1-(1-Half_gap)^B725)</f>
        <v>131.25</v>
      </c>
      <c r="G725" s="15" t="n">
        <f aca="false">C725</f>
        <v>115</v>
      </c>
      <c r="H725" s="15" t="n">
        <f aca="false">IF(D725=1,INDEX(Grid!$R$6:$X$156,C725+1,B725+1),"")</f>
        <v>45</v>
      </c>
      <c r="I725" s="2" t="str">
        <f aca="false">IF(D725=1,INDEX(Sch_label,H725+1),"")</f>
        <v>1, 3, 4, 6</v>
      </c>
      <c r="J725" s="15" t="n">
        <f aca="false">IF(D725=1,INDEX(Grid!$Z$6:$AF$156,C725+1,B725+1),0)</f>
        <v>1</v>
      </c>
      <c r="K725" s="16" t="n">
        <f aca="false">IF(J725=1,E725,0)</f>
        <v>127.93541966661</v>
      </c>
      <c r="L725" s="17" t="n">
        <f aca="false">IF(D725=1,E725+W_board*F725,"")</f>
        <v>868.807452862193</v>
      </c>
      <c r="M725" s="24" t="n">
        <v>0</v>
      </c>
      <c r="Q725" s="24" t="n">
        <v>4</v>
      </c>
      <c r="R725" s="24" t="n">
        <v>100</v>
      </c>
      <c r="S725" s="25" t="n">
        <v>0.516390224525593</v>
      </c>
      <c r="T725" s="24" t="n">
        <v>4</v>
      </c>
      <c r="U725" s="24" t="n">
        <v>150</v>
      </c>
      <c r="V725" s="25" t="n">
        <v>0.329774558185013</v>
      </c>
      <c r="W725" s="24" t="n">
        <v>5</v>
      </c>
      <c r="X725" s="24" t="n">
        <v>100</v>
      </c>
      <c r="Y725" s="25" t="n">
        <v>0.153835217289382</v>
      </c>
      <c r="Z725" s="12" t="str">
        <f aca="false">IF(AND($J725=1,$M725=1),N725*E725/Span_P+O725*F725/Span_S+P725*G725/Span_B,"")</f>
        <v/>
      </c>
      <c r="AA725" s="12" t="str">
        <f aca="false">IF(AND($J725=1,$M725=1),SUMPRODUCT(MAX($J$6:$J$1062*(N725*$K$6:$K$1062/Span_P+O725*$F$6:$F$1062/Span_S+P725*$G$6:$G$1062/Span_B)-(1-$J$6:$J$1062)*1000000000)),"")</f>
        <v/>
      </c>
      <c r="AB725" s="15" t="str">
        <f aca="false">IF(AND($J725=1,$M725=1),IF(AA725-Z725&lt;=0.000000001,1,0),"")</f>
        <v/>
      </c>
      <c r="AC725" s="13" t="n">
        <f aca="false">IF(AND($J725=1,$M725=0),IF(S725="",0,S725*INDEX(Grid!$B$6:$H$156,R725+1,Q725+1))+IF(V725="",0,V725*INDEX(Grid!$B$6:$H$156,U725+1,T725+1))+IF(Y725="",0,Y725*INDEX(Grid!$B$6:$H$156,X725+1,W725+1)),"")</f>
        <v>131.52935848817</v>
      </c>
      <c r="AD725" s="13" t="n">
        <f aca="false">IF(AND($J725=1,$M725=0),IF(S725="",0,S725*Val_pt*(Ceiling_e-E_zero)*(1-(1-Half_gap)^Q725))+IF(V725="",0,V725*Val_pt*(Ceiling_e-E_zero)*(1-(1-Half_gap)^T725))+IF(Y725="",0,Y725*Val_pt*(Ceiling_e-E_zero)*(1-(1-Half_gap)^W725)),"")</f>
        <v>131.92302907564</v>
      </c>
      <c r="AE725" s="13" t="n">
        <f aca="false">IF(AND($J725=1,$M725=0),IF(S725="",0,S725*R725)+IF(V725="",0,V725*U725)+IF(Y725="",0,Y725*X725),"")</f>
        <v>116.488727909249</v>
      </c>
      <c r="AF725" s="12" t="n">
        <f aca="false">IF(AND($J725=1,$M725=0),MIN((AC725-E725)/Span_P,(AD725-F725)/Span_S,(AE725-G725)/Span_B),"")</f>
        <v>0.00992485272832492</v>
      </c>
      <c r="AG725" s="15" t="n">
        <f aca="false">IF(AND($J725=1,$M725=0),IF(AF725&gt;0.0000001,1,0),"")</f>
        <v>1</v>
      </c>
      <c r="AH725" s="15" t="n">
        <f aca="false">IF($J725=1,IF($M725=1,AB725,AG725),"")</f>
        <v>1</v>
      </c>
      <c r="AI725" s="13" t="n">
        <f aca="false">IF($J725=1,(Ideal_P-E725)/Span_P,"")</f>
        <v>0.707614601479839</v>
      </c>
      <c r="AJ725" s="13" t="n">
        <f aca="false">IF($J725=1,(Ideal_S-F725)/Span_S,"")</f>
        <v>0.0967741935483871</v>
      </c>
      <c r="AK725" s="13" t="n">
        <f aca="false">IF($J725=1,(Ideal_B-G725)/Span_B,"")</f>
        <v>0.233333333333333</v>
      </c>
      <c r="AL725" s="12" t="n">
        <f aca="false">IF($J725=1,MAX(ChA_1*AI725,ChA_2*AJ725,ChA_3*AK725)+Rho*(ChA_1*AI725+ChA_2*AJ725+ChA_3*AK725),"")</f>
        <v>0.707718373692675</v>
      </c>
      <c r="AM725" s="12" t="n">
        <f aca="false">IF($J725=1,MAX(ChB_1*AI725,ChB_2*AJ725,ChB_3*AK725)+Rho*(ChB_1*AI725+ChB_2*AJ725+ChB_3*AK725),"")</f>
        <v>1.41540373663266</v>
      </c>
      <c r="AN725" s="12" t="n">
        <f aca="false">IF($J725=1,MAX(Cx_1*(Ref_P-E725)/Span_P,Cx_2*(Ref_S-F725)/Span_S,Cx_3*(Ref_B-G725)/Span_B),"")</f>
        <v>1.7921512825362</v>
      </c>
    </row>
    <row r="726" customFormat="false" ht="15" hidden="false" customHeight="false" outlineLevel="0" collapsed="false">
      <c r="A726" s="2" t="n">
        <v>720</v>
      </c>
      <c r="B726" s="15" t="n">
        <f aca="false">INT(A726/151)</f>
        <v>4</v>
      </c>
      <c r="C726" s="15" t="n">
        <f aca="false">MOD(A726,151)</f>
        <v>116</v>
      </c>
      <c r="D726" s="15" t="n">
        <f aca="false">INDEX(Grid!$J$6:$P$156,C726+1,B726+1)</f>
        <v>1</v>
      </c>
      <c r="E726" s="16" t="n">
        <f aca="false">IF(D726=1,INDEX(Grid!$B$6:$H$156,C726+1,B726+1),"")</f>
        <v>127.02632875752</v>
      </c>
      <c r="F726" s="13" t="n">
        <f aca="false">Val_pt*(Ceiling_e-E_zero)*(1-(1-Half_gap)^B726)</f>
        <v>131.25</v>
      </c>
      <c r="G726" s="15" t="n">
        <f aca="false">C726</f>
        <v>116</v>
      </c>
      <c r="H726" s="15" t="n">
        <f aca="false">IF(D726=1,INDEX(Grid!$R$6:$X$156,C726+1,B726+1),"")</f>
        <v>45</v>
      </c>
      <c r="I726" s="2" t="str">
        <f aca="false">IF(D726=1,INDEX(Sch_label,H726+1),"")</f>
        <v>1, 3, 4, 6</v>
      </c>
      <c r="J726" s="15" t="n">
        <f aca="false">IF(D726=1,INDEX(Grid!$Z$6:$AF$156,C726+1,B726+1),0)</f>
        <v>1</v>
      </c>
      <c r="K726" s="16" t="n">
        <f aca="false">IF(J726=1,E726,0)</f>
        <v>127.02632875752</v>
      </c>
      <c r="L726" s="17" t="n">
        <f aca="false">IF(D726=1,E726+W_board*F726,"")</f>
        <v>867.898361953102</v>
      </c>
      <c r="M726" s="24" t="n">
        <v>0</v>
      </c>
      <c r="Q726" s="24" t="n">
        <v>4</v>
      </c>
      <c r="R726" s="24" t="n">
        <v>100</v>
      </c>
      <c r="S726" s="25" t="n">
        <v>0.501636218110633</v>
      </c>
      <c r="T726" s="24" t="n">
        <v>4</v>
      </c>
      <c r="U726" s="24" t="n">
        <v>150</v>
      </c>
      <c r="V726" s="25" t="n">
        <v>0.348923856522642</v>
      </c>
      <c r="W726" s="24" t="n">
        <v>5</v>
      </c>
      <c r="X726" s="24" t="n">
        <v>100</v>
      </c>
      <c r="Y726" s="25" t="n">
        <v>0.149439925366739</v>
      </c>
      <c r="Z726" s="12" t="str">
        <f aca="false">IF(AND($J726=1,$M726=1),N726*E726/Span_P+O726*F726/Span_S+P726*G726/Span_B,"")</f>
        <v/>
      </c>
      <c r="AA726" s="12" t="str">
        <f aca="false">IF(AND($J726=1,$M726=1),SUMPRODUCT(MAX($J$6:$J$1062*(N726*$K$6:$K$1062/Span_P+O726*$F$6:$F$1062/Span_S+P726*$G$6:$G$1062/Span_B)-(1-$J$6:$J$1062)*1000000000)),"")</f>
        <v/>
      </c>
      <c r="AB726" s="15" t="str">
        <f aca="false">IF(AND($J726=1,$M726=1),IF(AA726-Z726&lt;=0.000000001,1,0),"")</f>
        <v/>
      </c>
      <c r="AC726" s="13" t="n">
        <f aca="false">IF(AND($J726=1,$M726=0),IF(S726="",0,S726*INDEX(Grid!$B$6:$H$156,R726+1,Q726+1))+IF(V726="",0,V726*INDEX(Grid!$B$6:$H$156,U726+1,T726+1))+IF(Y726="",0,Y726*INDEX(Grid!$B$6:$H$156,X726+1,W726+1)),"")</f>
        <v>130.517583612756</v>
      </c>
      <c r="AD726" s="13" t="n">
        <f aca="false">IF(AND($J726=1,$M726=0),IF(S726="",0,S726*Val_pt*(Ceiling_e-E_zero)*(1-(1-Half_gap)^Q726))+IF(V726="",0,V726*Val_pt*(Ceiling_e-E_zero)*(1-(1-Half_gap)^T726))+IF(Y726="",0,Y726*Val_pt*(Ceiling_e-E_zero)*(1-(1-Half_gap)^W726)),"")</f>
        <v>131.903799673481</v>
      </c>
      <c r="AE726" s="13" t="n">
        <f aca="false">IF(AND($J726=1,$M726=0),IF(S726="",0,S726*R726)+IF(V726="",0,V726*U726)+IF(Y726="",0,Y726*X726),"")</f>
        <v>117.446192826134</v>
      </c>
      <c r="AF726" s="12" t="n">
        <f aca="false">IF(AND($J726=1,$M726=0),MIN((AC726-E726)/Span_P,(AD726-F726)/Span_S,(AE726-G726)/Span_B),"")</f>
        <v>0.00964128550754824</v>
      </c>
      <c r="AG726" s="15" t="n">
        <f aca="false">IF(AND($J726=1,$M726=0),IF(AF726&gt;0.0000001,1,0),"")</f>
        <v>1</v>
      </c>
      <c r="AH726" s="15" t="n">
        <f aca="false">IF($J726=1,IF($M726=1,AB726,AG726),"")</f>
        <v>1</v>
      </c>
      <c r="AI726" s="13" t="n">
        <f aca="false">IF($J726=1,(Ideal_P-E726)/Span_P,"")</f>
        <v>0.710125104256145</v>
      </c>
      <c r="AJ726" s="13" t="n">
        <f aca="false">IF($J726=1,(Ideal_S-F726)/Span_S,"")</f>
        <v>0.0967741935483871</v>
      </c>
      <c r="AK726" s="13" t="n">
        <f aca="false">IF($J726=1,(Ideal_B-G726)/Span_B,"")</f>
        <v>0.226666666666667</v>
      </c>
      <c r="AL726" s="12" t="n">
        <f aca="false">IF($J726=1,MAX(ChA_1*AI726,ChA_2*AJ726,ChA_3*AK726)+Rho*(ChA_1*AI726+ChA_2*AJ726+ChA_3*AK726),"")</f>
        <v>0.710228460852592</v>
      </c>
      <c r="AM726" s="12" t="n">
        <f aca="false">IF($J726=1,MAX(ChB_1*AI726,ChB_2*AJ726,ChB_3*AK726)+Rho*(ChB_1*AI726+ChB_2*AJ726+ChB_3*AK726),"")</f>
        <v>1.42042457761916</v>
      </c>
      <c r="AN726" s="12" t="n">
        <f aca="false">IF($J726=1,MAX(Cx_1*(Ref_P-E726)/Span_P,Cx_2*(Ref_S-F726)/Span_S,Cx_3*(Ref_B-G726)/Span_B),"")</f>
        <v>1.79842094421963</v>
      </c>
    </row>
    <row r="727" customFormat="false" ht="15" hidden="false" customHeight="false" outlineLevel="0" collapsed="false">
      <c r="A727" s="2" t="n">
        <v>721</v>
      </c>
      <c r="B727" s="15" t="n">
        <f aca="false">INT(A727/151)</f>
        <v>4</v>
      </c>
      <c r="C727" s="15" t="n">
        <f aca="false">MOD(A727,151)</f>
        <v>117</v>
      </c>
      <c r="D727" s="15" t="n">
        <f aca="false">INDEX(Grid!$J$6:$P$156,C727+1,B727+1)</f>
        <v>1</v>
      </c>
      <c r="E727" s="16" t="n">
        <f aca="false">IF(D727=1,INDEX(Grid!$B$6:$H$156,C727+1,B727+1),"")</f>
        <v>126.117237848429</v>
      </c>
      <c r="F727" s="13" t="n">
        <f aca="false">Val_pt*(Ceiling_e-E_zero)*(1-(1-Half_gap)^B727)</f>
        <v>131.25</v>
      </c>
      <c r="G727" s="15" t="n">
        <f aca="false">C727</f>
        <v>117</v>
      </c>
      <c r="H727" s="15" t="n">
        <f aca="false">IF(D727=1,INDEX(Grid!$R$6:$X$156,C727+1,B727+1),"")</f>
        <v>45</v>
      </c>
      <c r="I727" s="2" t="str">
        <f aca="false">IF(D727=1,INDEX(Sch_label,H727+1),"")</f>
        <v>1, 3, 4, 6</v>
      </c>
      <c r="J727" s="15" t="n">
        <f aca="false">IF(D727=1,INDEX(Grid!$Z$6:$AF$156,C727+1,B727+1),0)</f>
        <v>1</v>
      </c>
      <c r="K727" s="16" t="n">
        <f aca="false">IF(J727=1,E727,0)</f>
        <v>126.117237848429</v>
      </c>
      <c r="L727" s="17" t="n">
        <f aca="false">IF(D727=1,E727+W_board*F727,"")</f>
        <v>866.989271044011</v>
      </c>
      <c r="M727" s="24" t="n">
        <v>0</v>
      </c>
      <c r="Q727" s="24" t="n">
        <v>4</v>
      </c>
      <c r="R727" s="24" t="n">
        <v>100</v>
      </c>
      <c r="S727" s="25" t="n">
        <v>0.486882211695577</v>
      </c>
      <c r="T727" s="24" t="n">
        <v>4</v>
      </c>
      <c r="U727" s="24" t="n">
        <v>150</v>
      </c>
      <c r="V727" s="25" t="n">
        <v>0.368073154860188</v>
      </c>
      <c r="W727" s="24" t="n">
        <v>5</v>
      </c>
      <c r="X727" s="24" t="n">
        <v>100</v>
      </c>
      <c r="Y727" s="25" t="n">
        <v>0.14504463344424</v>
      </c>
      <c r="Z727" s="12" t="str">
        <f aca="false">IF(AND($J727=1,$M727=1),N727*E727/Span_P+O727*F727/Span_S+P727*G727/Span_B,"")</f>
        <v/>
      </c>
      <c r="AA727" s="12" t="str">
        <f aca="false">IF(AND($J727=1,$M727=1),SUMPRODUCT(MAX($J$6:$J$1062*(N727*$K$6:$K$1062/Span_P+O727*$F$6:$F$1062/Span_S+P727*$G$6:$G$1062/Span_B)-(1-$J$6:$J$1062)*1000000000)),"")</f>
        <v/>
      </c>
      <c r="AB727" s="15" t="str">
        <f aca="false">IF(AND($J727=1,$M727=1),IF(AA727-Z727&lt;=0.000000001,1,0),"")</f>
        <v/>
      </c>
      <c r="AC727" s="13" t="n">
        <f aca="false">IF(AND($J727=1,$M727=0),IF(S727="",0,S727*INDEX(Grid!$B$6:$H$156,R727+1,Q727+1))+IF(V727="",0,V727*INDEX(Grid!$B$6:$H$156,U727+1,T727+1))+IF(Y727="",0,Y727*INDEX(Grid!$B$6:$H$156,X727+1,W727+1)),"")</f>
        <v>129.505808737331</v>
      </c>
      <c r="AD727" s="13" t="n">
        <f aca="false">IF(AND($J727=1,$M727=0),IF(S727="",0,S727*Val_pt*(Ceiling_e-E_zero)*(1-(1-Half_gap)^Q727))+IF(V727="",0,V727*Val_pt*(Ceiling_e-E_zero)*(1-(1-Half_gap)^T727))+IF(Y727="",0,Y727*Val_pt*(Ceiling_e-E_zero)*(1-(1-Half_gap)^W727)),"")</f>
        <v>131.884570271319</v>
      </c>
      <c r="AE727" s="13" t="n">
        <f aca="false">IF(AND($J727=1,$M727=0),IF(S727="",0,S727*R727)+IF(V727="",0,V727*U727)+IF(Y727="",0,Y727*X727),"")</f>
        <v>118.40365774301</v>
      </c>
      <c r="AF727" s="12" t="n">
        <f aca="false">IF(AND($J727=1,$M727=0),MIN((AC727-E727)/Span_P,(AD727-F727)/Span_S,(AE727-G727)/Span_B),"")</f>
        <v>0.00935771828672794</v>
      </c>
      <c r="AG727" s="15" t="n">
        <f aca="false">IF(AND($J727=1,$M727=0),IF(AF727&gt;0.0000001,1,0),"")</f>
        <v>1</v>
      </c>
      <c r="AH727" s="15" t="n">
        <f aca="false">IF($J727=1,IF($M727=1,AB727,AG727),"")</f>
        <v>1</v>
      </c>
      <c r="AI727" s="13" t="n">
        <f aca="false">IF($J727=1,(Ideal_P-E727)/Span_P,"")</f>
        <v>0.712635607032451</v>
      </c>
      <c r="AJ727" s="13" t="n">
        <f aca="false">IF($J727=1,(Ideal_S-F727)/Span_S,"")</f>
        <v>0.0967741935483871</v>
      </c>
      <c r="AK727" s="13" t="n">
        <f aca="false">IF($J727=1,(Ideal_B-G727)/Span_B,"")</f>
        <v>0.22</v>
      </c>
      <c r="AL727" s="12" t="n">
        <f aca="false">IF($J727=1,MAX(ChA_1*AI727,ChA_2*AJ727,ChA_3*AK727)+Rho*(ChA_1*AI727+ChA_2*AJ727+ChA_3*AK727),"")</f>
        <v>0.712738548012509</v>
      </c>
      <c r="AM727" s="12" t="n">
        <f aca="false">IF($J727=1,MAX(ChB_1*AI727,ChB_2*AJ727,ChB_3*AK727)+Rho*(ChB_1*AI727+ChB_2*AJ727+ChB_3*AK727),"")</f>
        <v>1.42544541860566</v>
      </c>
      <c r="AN727" s="12" t="n">
        <f aca="false">IF($J727=1,MAX(Cx_1*(Ref_P-E727)/Span_P,Cx_2*(Ref_S-F727)/Span_S,Cx_3*(Ref_B-G727)/Span_B),"")</f>
        <v>1.80469060590306</v>
      </c>
    </row>
    <row r="728" customFormat="false" ht="15" hidden="false" customHeight="false" outlineLevel="0" collapsed="false">
      <c r="A728" s="2" t="n">
        <v>722</v>
      </c>
      <c r="B728" s="15" t="n">
        <f aca="false">INT(A728/151)</f>
        <v>4</v>
      </c>
      <c r="C728" s="15" t="n">
        <f aca="false">MOD(A728,151)</f>
        <v>118</v>
      </c>
      <c r="D728" s="15" t="n">
        <f aca="false">INDEX(Grid!$J$6:$P$156,C728+1,B728+1)</f>
        <v>1</v>
      </c>
      <c r="E728" s="16" t="n">
        <f aca="false">IF(D728=1,INDEX(Grid!$B$6:$H$156,C728+1,B728+1),"")</f>
        <v>125.208146939338</v>
      </c>
      <c r="F728" s="13" t="n">
        <f aca="false">Val_pt*(Ceiling_e-E_zero)*(1-(1-Half_gap)^B728)</f>
        <v>131.25</v>
      </c>
      <c r="G728" s="15" t="n">
        <f aca="false">C728</f>
        <v>118</v>
      </c>
      <c r="H728" s="15" t="n">
        <f aca="false">IF(D728=1,INDEX(Grid!$R$6:$X$156,C728+1,B728+1),"")</f>
        <v>45</v>
      </c>
      <c r="I728" s="2" t="str">
        <f aca="false">IF(D728=1,INDEX(Sch_label,H728+1),"")</f>
        <v>1, 3, 4, 6</v>
      </c>
      <c r="J728" s="15" t="n">
        <f aca="false">IF(D728=1,INDEX(Grid!$Z$6:$AF$156,C728+1,B728+1),0)</f>
        <v>1</v>
      </c>
      <c r="K728" s="16" t="n">
        <f aca="false">IF(J728=1,E728,0)</f>
        <v>125.208146939338</v>
      </c>
      <c r="L728" s="17" t="n">
        <f aca="false">IF(D728=1,E728+W_board*F728,"")</f>
        <v>866.08018013492</v>
      </c>
      <c r="M728" s="24" t="n">
        <v>0</v>
      </c>
      <c r="Q728" s="24" t="n">
        <v>4</v>
      </c>
      <c r="R728" s="24" t="n">
        <v>100</v>
      </c>
      <c r="S728" s="25" t="n">
        <v>0.472128205280576</v>
      </c>
      <c r="T728" s="24" t="n">
        <v>4</v>
      </c>
      <c r="U728" s="24" t="n">
        <v>150</v>
      </c>
      <c r="V728" s="25" t="n">
        <v>0.387222453197724</v>
      </c>
      <c r="W728" s="24" t="n">
        <v>5</v>
      </c>
      <c r="X728" s="24" t="n">
        <v>100</v>
      </c>
      <c r="Y728" s="25" t="n">
        <v>0.140649341521717</v>
      </c>
      <c r="Z728" s="12" t="str">
        <f aca="false">IF(AND($J728=1,$M728=1),N728*E728/Span_P+O728*F728/Span_S+P728*G728/Span_B,"")</f>
        <v/>
      </c>
      <c r="AA728" s="12" t="str">
        <f aca="false">IF(AND($J728=1,$M728=1),SUMPRODUCT(MAX($J$6:$J$1062*(N728*$K$6:$K$1062/Span_P+O728*$F$6:$F$1062/Span_S+P728*$G$6:$G$1062/Span_B)-(1-$J$6:$J$1062)*1000000000)),"")</f>
        <v/>
      </c>
      <c r="AB728" s="15" t="str">
        <f aca="false">IF(AND($J728=1,$M728=1),IF(AA728-Z728&lt;=0.000000001,1,0),"")</f>
        <v/>
      </c>
      <c r="AC728" s="13" t="n">
        <f aca="false">IF(AND($J728=1,$M728=0),IF(S728="",0,S728*INDEX(Grid!$B$6:$H$156,R728+1,Q728+1))+IF(V728="",0,V728*INDEX(Grid!$B$6:$H$156,U728+1,T728+1))+IF(Y728="",0,Y728*INDEX(Grid!$B$6:$H$156,X728+1,W728+1)),"")</f>
        <v>128.494033861912</v>
      </c>
      <c r="AD728" s="13" t="n">
        <f aca="false">IF(AND($J728=1,$M728=0),IF(S728="",0,S728*Val_pt*(Ceiling_e-E_zero)*(1-(1-Half_gap)^Q728))+IF(V728="",0,V728*Val_pt*(Ceiling_e-E_zero)*(1-(1-Half_gap)^T728))+IF(Y728="",0,Y728*Val_pt*(Ceiling_e-E_zero)*(1-(1-Half_gap)^W728)),"")</f>
        <v>131.86534086916</v>
      </c>
      <c r="AE728" s="13" t="n">
        <f aca="false">IF(AND($J728=1,$M728=0),IF(S728="",0,S728*R728)+IF(V728="",0,V728*U728)+IF(Y728="",0,Y728*X728),"")</f>
        <v>119.361122659888</v>
      </c>
      <c r="AF728" s="12" t="n">
        <f aca="false">IF(AND($J728=1,$M728=0),MIN((AC728-E728)/Span_P,(AD728-F728)/Span_S,(AE728-G728)/Span_B),"")</f>
        <v>0.00907415106591922</v>
      </c>
      <c r="AG728" s="15" t="n">
        <f aca="false">IF(AND($J728=1,$M728=0),IF(AF728&gt;0.0000001,1,0),"")</f>
        <v>1</v>
      </c>
      <c r="AH728" s="15" t="n">
        <f aca="false">IF($J728=1,IF($M728=1,AB728,AG728),"")</f>
        <v>1</v>
      </c>
      <c r="AI728" s="13" t="n">
        <f aca="false">IF($J728=1,(Ideal_P-E728)/Span_P,"")</f>
        <v>0.715146109808756</v>
      </c>
      <c r="AJ728" s="13" t="n">
        <f aca="false">IF($J728=1,(Ideal_S-F728)/Span_S,"")</f>
        <v>0.0967741935483871</v>
      </c>
      <c r="AK728" s="13" t="n">
        <f aca="false">IF($J728=1,(Ideal_B-G728)/Span_B,"")</f>
        <v>0.213333333333333</v>
      </c>
      <c r="AL728" s="12" t="n">
        <f aca="false">IF($J728=1,MAX(ChA_1*AI728,ChA_2*AJ728,ChA_3*AK728)+Rho*(ChA_1*AI728+ChA_2*AJ728+ChA_3*AK728),"")</f>
        <v>0.715248635172425</v>
      </c>
      <c r="AM728" s="12" t="n">
        <f aca="false">IF($J728=1,MAX(ChB_1*AI728,ChB_2*AJ728,ChB_3*AK728)+Rho*(ChB_1*AI728+ChB_2*AJ728+ChB_3*AK728),"")</f>
        <v>1.43046625959216</v>
      </c>
      <c r="AN728" s="12" t="n">
        <f aca="false">IF($J728=1,MAX(Cx_1*(Ref_P-E728)/Span_P,Cx_2*(Ref_S-F728)/Span_S,Cx_3*(Ref_B-G728)/Span_B),"")</f>
        <v>1.81096026758649</v>
      </c>
    </row>
    <row r="729" customFormat="false" ht="15" hidden="false" customHeight="false" outlineLevel="0" collapsed="false">
      <c r="A729" s="2" t="n">
        <v>723</v>
      </c>
      <c r="B729" s="15" t="n">
        <f aca="false">INT(A729/151)</f>
        <v>4</v>
      </c>
      <c r="C729" s="15" t="n">
        <f aca="false">MOD(A729,151)</f>
        <v>119</v>
      </c>
      <c r="D729" s="15" t="n">
        <f aca="false">INDEX(Grid!$J$6:$P$156,C729+1,B729+1)</f>
        <v>1</v>
      </c>
      <c r="E729" s="16" t="n">
        <f aca="false">IF(D729=1,INDEX(Grid!$B$6:$H$156,C729+1,B729+1),"")</f>
        <v>124.299056030247</v>
      </c>
      <c r="F729" s="13" t="n">
        <f aca="false">Val_pt*(Ceiling_e-E_zero)*(1-(1-Half_gap)^B729)</f>
        <v>131.25</v>
      </c>
      <c r="G729" s="15" t="n">
        <f aca="false">C729</f>
        <v>119</v>
      </c>
      <c r="H729" s="15" t="n">
        <f aca="false">IF(D729=1,INDEX(Grid!$R$6:$X$156,C729+1,B729+1),"")</f>
        <v>45</v>
      </c>
      <c r="I729" s="2" t="str">
        <f aca="false">IF(D729=1,INDEX(Sch_label,H729+1),"")</f>
        <v>1, 3, 4, 6</v>
      </c>
      <c r="J729" s="15" t="n">
        <f aca="false">IF(D729=1,INDEX(Grid!$Z$6:$AF$156,C729+1,B729+1),0)</f>
        <v>1</v>
      </c>
      <c r="K729" s="16" t="n">
        <f aca="false">IF(J729=1,E729,0)</f>
        <v>124.299056030247</v>
      </c>
      <c r="L729" s="17" t="n">
        <f aca="false">IF(D729=1,E729+W_board*F729,"")</f>
        <v>865.17108922583</v>
      </c>
      <c r="M729" s="24" t="n">
        <v>0</v>
      </c>
      <c r="Q729" s="24" t="n">
        <v>4</v>
      </c>
      <c r="R729" s="24" t="n">
        <v>100</v>
      </c>
      <c r="S729" s="25" t="n">
        <v>0.45737419886553</v>
      </c>
      <c r="T729" s="24" t="n">
        <v>4</v>
      </c>
      <c r="U729" s="24" t="n">
        <v>150</v>
      </c>
      <c r="V729" s="25" t="n">
        <v>0.406371751535314</v>
      </c>
      <c r="W729" s="24" t="n">
        <v>5</v>
      </c>
      <c r="X729" s="24" t="n">
        <v>100</v>
      </c>
      <c r="Y729" s="25" t="n">
        <v>0.136254049599145</v>
      </c>
      <c r="Z729" s="12" t="str">
        <f aca="false">IF(AND($J729=1,$M729=1),N729*E729/Span_P+O729*F729/Span_S+P729*G729/Span_B,"")</f>
        <v/>
      </c>
      <c r="AA729" s="12" t="str">
        <f aca="false">IF(AND($J729=1,$M729=1),SUMPRODUCT(MAX($J$6:$J$1062*(N729*$K$6:$K$1062/Span_P+O729*$F$6:$F$1062/Span_S+P729*$G$6:$G$1062/Span_B)-(1-$J$6:$J$1062)*1000000000)),"")</f>
        <v/>
      </c>
      <c r="AB729" s="15" t="str">
        <f aca="false">IF(AND($J729=1,$M729=1),IF(AA729-Z729&lt;=0.000000001,1,0),"")</f>
        <v/>
      </c>
      <c r="AC729" s="13" t="n">
        <f aca="false">IF(AND($J729=1,$M729=0),IF(S729="",0,S729*INDEX(Grid!$B$6:$H$156,R729+1,Q729+1))+IF(V729="",0,V729*INDEX(Grid!$B$6:$H$156,U729+1,T729+1))+IF(Y729="",0,Y729*INDEX(Grid!$B$6:$H$156,X729+1,W729+1)),"")</f>
        <v>127.482258986486</v>
      </c>
      <c r="AD729" s="13" t="n">
        <f aca="false">IF(AND($J729=1,$M729=0),IF(S729="",0,S729*Val_pt*(Ceiling_e-E_zero)*(1-(1-Half_gap)^Q729))+IF(V729="",0,V729*Val_pt*(Ceiling_e-E_zero)*(1-(1-Half_gap)^T729))+IF(Y729="",0,Y729*Val_pt*(Ceiling_e-E_zero)*(1-(1-Half_gap)^W729)),"")</f>
        <v>131.846111466995</v>
      </c>
      <c r="AE729" s="13" t="n">
        <f aca="false">IF(AND($J729=1,$M729=0),IF(S729="",0,S729*R729)+IF(V729="",0,V729*U729)+IF(Y729="",0,Y729*X729),"")</f>
        <v>120.318587576765</v>
      </c>
      <c r="AF729" s="12" t="n">
        <f aca="false">IF(AND($J729=1,$M729=0),MIN((AC729-E729)/Span_P,(AD729-F729)/Span_S,(AE729-G729)/Span_B),"")</f>
        <v>0.00879058384508396</v>
      </c>
      <c r="AG729" s="15" t="n">
        <f aca="false">IF(AND($J729=1,$M729=0),IF(AF729&gt;0.0000001,1,0),"")</f>
        <v>1</v>
      </c>
      <c r="AH729" s="15" t="n">
        <f aca="false">IF($J729=1,IF($M729=1,AB729,AG729),"")</f>
        <v>1</v>
      </c>
      <c r="AI729" s="13" t="n">
        <f aca="false">IF($J729=1,(Ideal_P-E729)/Span_P,"")</f>
        <v>0.717656612585062</v>
      </c>
      <c r="AJ729" s="13" t="n">
        <f aca="false">IF($J729=1,(Ideal_S-F729)/Span_S,"")</f>
        <v>0.0967741935483871</v>
      </c>
      <c r="AK729" s="13" t="n">
        <f aca="false">IF($J729=1,(Ideal_B-G729)/Span_B,"")</f>
        <v>0.206666666666667</v>
      </c>
      <c r="AL729" s="12" t="n">
        <f aca="false">IF($J729=1,MAX(ChA_1*AI729,ChA_2*AJ729,ChA_3*AK729)+Rho*(ChA_1*AI729+ChA_2*AJ729+ChA_3*AK729),"")</f>
        <v>0.717758722332342</v>
      </c>
      <c r="AM729" s="12" t="n">
        <f aca="false">IF($J729=1,MAX(ChB_1*AI729,ChB_2*AJ729,ChB_3*AK729)+Rho*(ChB_1*AI729+ChB_2*AJ729+ChB_3*AK729),"")</f>
        <v>1.43548710057866</v>
      </c>
      <c r="AN729" s="12" t="n">
        <f aca="false">IF($J729=1,MAX(Cx_1*(Ref_P-E729)/Span_P,Cx_2*(Ref_S-F729)/Span_S,Cx_3*(Ref_B-G729)/Span_B),"")</f>
        <v>1.81722992926992</v>
      </c>
    </row>
    <row r="730" customFormat="false" ht="15" hidden="false" customHeight="false" outlineLevel="0" collapsed="false">
      <c r="A730" s="2" t="n">
        <v>724</v>
      </c>
      <c r="B730" s="15" t="n">
        <f aca="false">INT(A730/151)</f>
        <v>4</v>
      </c>
      <c r="C730" s="15" t="n">
        <f aca="false">MOD(A730,151)</f>
        <v>120</v>
      </c>
      <c r="D730" s="15" t="n">
        <f aca="false">INDEX(Grid!$J$6:$P$156,C730+1,B730+1)</f>
        <v>1</v>
      </c>
      <c r="E730" s="16" t="n">
        <f aca="false">IF(D730=1,INDEX(Grid!$B$6:$H$156,C730+1,B730+1),"")</f>
        <v>123.389965121156</v>
      </c>
      <c r="F730" s="13" t="n">
        <f aca="false">Val_pt*(Ceiling_e-E_zero)*(1-(1-Half_gap)^B730)</f>
        <v>131.25</v>
      </c>
      <c r="G730" s="15" t="n">
        <f aca="false">C730</f>
        <v>120</v>
      </c>
      <c r="H730" s="15" t="n">
        <f aca="false">IF(D730=1,INDEX(Grid!$R$6:$X$156,C730+1,B730+1),"")</f>
        <v>45</v>
      </c>
      <c r="I730" s="2" t="str">
        <f aca="false">IF(D730=1,INDEX(Sch_label,H730+1),"")</f>
        <v>1, 3, 4, 6</v>
      </c>
      <c r="J730" s="15" t="n">
        <f aca="false">IF(D730=1,INDEX(Grid!$Z$6:$AF$156,C730+1,B730+1),0)</f>
        <v>1</v>
      </c>
      <c r="K730" s="16" t="n">
        <f aca="false">IF(J730=1,E730,0)</f>
        <v>123.389965121156</v>
      </c>
      <c r="L730" s="17" t="n">
        <f aca="false">IF(D730=1,E730+W_board*F730,"")</f>
        <v>864.261998316739</v>
      </c>
      <c r="M730" s="24" t="n">
        <v>0</v>
      </c>
      <c r="Q730" s="24" t="n">
        <v>4</v>
      </c>
      <c r="R730" s="24" t="n">
        <v>100</v>
      </c>
      <c r="S730" s="25" t="n">
        <v>0.442620192450497</v>
      </c>
      <c r="T730" s="24" t="n">
        <v>4</v>
      </c>
      <c r="U730" s="24" t="n">
        <v>150</v>
      </c>
      <c r="V730" s="25" t="n">
        <v>0.425521049872866</v>
      </c>
      <c r="W730" s="24" t="n">
        <v>5</v>
      </c>
      <c r="X730" s="24" t="n">
        <v>100</v>
      </c>
      <c r="Y730" s="25" t="n">
        <v>0.131858757676627</v>
      </c>
      <c r="Z730" s="12" t="str">
        <f aca="false">IF(AND($J730=1,$M730=1),N730*E730/Span_P+O730*F730/Span_S+P730*G730/Span_B,"")</f>
        <v/>
      </c>
      <c r="AA730" s="12" t="str">
        <f aca="false">IF(AND($J730=1,$M730=1),SUMPRODUCT(MAX($J$6:$J$1062*(N730*$K$6:$K$1062/Span_P+O730*$F$6:$F$1062/Span_S+P730*$G$6:$G$1062/Span_B)-(1-$J$6:$J$1062)*1000000000)),"")</f>
        <v/>
      </c>
      <c r="AB730" s="15" t="str">
        <f aca="false">IF(AND($J730=1,$M730=1),IF(AA730-Z730&lt;=0.000000001,1,0),"")</f>
        <v/>
      </c>
      <c r="AC730" s="13" t="n">
        <f aca="false">IF(AND($J730=1,$M730=0),IF(S730="",0,S730*INDEX(Grid!$B$6:$H$156,R730+1,Q730+1))+IF(V730="",0,V730*INDEX(Grid!$B$6:$H$156,U730+1,T730+1))+IF(Y730="",0,Y730*INDEX(Grid!$B$6:$H$156,X730+1,W730+1)),"")</f>
        <v>126.470484111063</v>
      </c>
      <c r="AD730" s="13" t="n">
        <f aca="false">IF(AND($J730=1,$M730=0),IF(S730="",0,S730*Val_pt*(Ceiling_e-E_zero)*(1-(1-Half_gap)^Q730))+IF(V730="",0,V730*Val_pt*(Ceiling_e-E_zero)*(1-(1-Half_gap)^T730))+IF(Y730="",0,Y730*Val_pt*(Ceiling_e-E_zero)*(1-(1-Half_gap)^W730)),"")</f>
        <v>131.826882064834</v>
      </c>
      <c r="AE730" s="13" t="n">
        <f aca="false">IF(AND($J730=1,$M730=0),IF(S730="",0,S730*R730)+IF(V730="",0,V730*U730)+IF(Y730="",0,Y730*X730),"")</f>
        <v>121.276052493642</v>
      </c>
      <c r="AF730" s="12" t="n">
        <f aca="false">IF(AND($J730=1,$M730=0),MIN((AC730-E730)/Span_P,(AD730-F730)/Span_S,(AE730-G730)/Span_B),"")</f>
        <v>0.00850701662427928</v>
      </c>
      <c r="AG730" s="15" t="n">
        <f aca="false">IF(AND($J730=1,$M730=0),IF(AF730&gt;0.0000001,1,0),"")</f>
        <v>1</v>
      </c>
      <c r="AH730" s="15" t="n">
        <f aca="false">IF($J730=1,IF($M730=1,AB730,AG730),"")</f>
        <v>1</v>
      </c>
      <c r="AI730" s="13" t="n">
        <f aca="false">IF($J730=1,(Ideal_P-E730)/Span_P,"")</f>
        <v>0.720167115361368</v>
      </c>
      <c r="AJ730" s="13" t="n">
        <f aca="false">IF($J730=1,(Ideal_S-F730)/Span_S,"")</f>
        <v>0.0967741935483871</v>
      </c>
      <c r="AK730" s="13" t="n">
        <f aca="false">IF($J730=1,(Ideal_B-G730)/Span_B,"")</f>
        <v>0.2</v>
      </c>
      <c r="AL730" s="12" t="n">
        <f aca="false">IF($J730=1,MAX(ChA_1*AI730,ChA_2*AJ730,ChA_3*AK730)+Rho*(ChA_1*AI730+ChA_2*AJ730+ChA_3*AK730),"")</f>
        <v>0.720268809492259</v>
      </c>
      <c r="AM730" s="12" t="n">
        <f aca="false">IF($J730=1,MAX(ChB_1*AI730,ChB_2*AJ730,ChB_3*AK730)+Rho*(ChB_1*AI730+ChB_2*AJ730+ChB_3*AK730),"")</f>
        <v>1.44050794156516</v>
      </c>
      <c r="AN730" s="12" t="n">
        <f aca="false">IF($J730=1,MAX(Cx_1*(Ref_P-E730)/Span_P,Cx_2*(Ref_S-F730)/Span_S,Cx_3*(Ref_B-G730)/Span_B),"")</f>
        <v>1.82349959095334</v>
      </c>
    </row>
    <row r="731" customFormat="false" ht="15" hidden="false" customHeight="false" outlineLevel="0" collapsed="false">
      <c r="A731" s="2" t="n">
        <v>725</v>
      </c>
      <c r="B731" s="15" t="n">
        <f aca="false">INT(A731/151)</f>
        <v>4</v>
      </c>
      <c r="C731" s="15" t="n">
        <f aca="false">MOD(A731,151)</f>
        <v>121</v>
      </c>
      <c r="D731" s="15" t="n">
        <f aca="false">INDEX(Grid!$J$6:$P$156,C731+1,B731+1)</f>
        <v>1</v>
      </c>
      <c r="E731" s="16" t="n">
        <f aca="false">IF(D731=1,INDEX(Grid!$B$6:$H$156,C731+1,B731+1),"")</f>
        <v>122.480874212065</v>
      </c>
      <c r="F731" s="13" t="n">
        <f aca="false">Val_pt*(Ceiling_e-E_zero)*(1-(1-Half_gap)^B731)</f>
        <v>131.25</v>
      </c>
      <c r="G731" s="15" t="n">
        <f aca="false">C731</f>
        <v>121</v>
      </c>
      <c r="H731" s="15" t="n">
        <f aca="false">IF(D731=1,INDEX(Grid!$R$6:$X$156,C731+1,B731+1),"")</f>
        <v>45</v>
      </c>
      <c r="I731" s="2" t="str">
        <f aca="false">IF(D731=1,INDEX(Sch_label,H731+1),"")</f>
        <v>1, 3, 4, 6</v>
      </c>
      <c r="J731" s="15" t="n">
        <f aca="false">IF(D731=1,INDEX(Grid!$Z$6:$AF$156,C731+1,B731+1),0)</f>
        <v>1</v>
      </c>
      <c r="K731" s="16" t="n">
        <f aca="false">IF(J731=1,E731,0)</f>
        <v>122.480874212065</v>
      </c>
      <c r="L731" s="17" t="n">
        <f aca="false">IF(D731=1,E731+W_board*F731,"")</f>
        <v>863.352907407648</v>
      </c>
      <c r="M731" s="24" t="n">
        <v>0</v>
      </c>
      <c r="Q731" s="24" t="n">
        <v>4</v>
      </c>
      <c r="R731" s="24" t="n">
        <v>100</v>
      </c>
      <c r="S731" s="25" t="n">
        <v>0.427866186035497</v>
      </c>
      <c r="T731" s="24" t="n">
        <v>4</v>
      </c>
      <c r="U731" s="24" t="n">
        <v>150</v>
      </c>
      <c r="V731" s="25" t="n">
        <v>0.444670348210463</v>
      </c>
      <c r="W731" s="24" t="n">
        <v>5</v>
      </c>
      <c r="X731" s="24" t="n">
        <v>100</v>
      </c>
      <c r="Y731" s="25" t="n">
        <v>0.127463465754039</v>
      </c>
      <c r="Z731" s="12" t="str">
        <f aca="false">IF(AND($J731=1,$M731=1),N731*E731/Span_P+O731*F731/Span_S+P731*G731/Span_B,"")</f>
        <v/>
      </c>
      <c r="AA731" s="12" t="str">
        <f aca="false">IF(AND($J731=1,$M731=1),SUMPRODUCT(MAX($J$6:$J$1062*(N731*$K$6:$K$1062/Span_P+O731*$F$6:$F$1062/Span_S+P731*$G$6:$G$1062/Span_B)-(1-$J$6:$J$1062)*1000000000)),"")</f>
        <v/>
      </c>
      <c r="AB731" s="15" t="str">
        <f aca="false">IF(AND($J731=1,$M731=1),IF(AA731-Z731&lt;=0.000000001,1,0),"")</f>
        <v/>
      </c>
      <c r="AC731" s="13" t="n">
        <f aca="false">IF(AND($J731=1,$M731=0),IF(S731="",0,S731*INDEX(Grid!$B$6:$H$156,R731+1,Q731+1))+IF(V731="",0,V731*INDEX(Grid!$B$6:$H$156,U731+1,T731+1))+IF(Y731="",0,Y731*INDEX(Grid!$B$6:$H$156,X731+1,W731+1)),"")</f>
        <v>125.458709235644</v>
      </c>
      <c r="AD731" s="13" t="n">
        <f aca="false">IF(AND($J731=1,$M731=0),IF(S731="",0,S731*Val_pt*(Ceiling_e-E_zero)*(1-(1-Half_gap)^Q731))+IF(V731="",0,V731*Val_pt*(Ceiling_e-E_zero)*(1-(1-Half_gap)^T731))+IF(Y731="",0,Y731*Val_pt*(Ceiling_e-E_zero)*(1-(1-Half_gap)^W731)),"")</f>
        <v>131.807652662674</v>
      </c>
      <c r="AE731" s="13" t="n">
        <f aca="false">IF(AND($J731=1,$M731=0),IF(S731="",0,S731*R731)+IF(V731="",0,V731*U731)+IF(Y731="",0,Y731*X731),"")</f>
        <v>122.233517410523</v>
      </c>
      <c r="AF731" s="12" t="n">
        <f aca="false">IF(AND($J731=1,$M731=0),MIN((AC731-E731)/Span_P,(AD731-F731)/Span_S,(AE731-G731)/Span_B),"")</f>
        <v>0.00822344940348172</v>
      </c>
      <c r="AG731" s="15" t="n">
        <f aca="false">IF(AND($J731=1,$M731=0),IF(AF731&gt;0.0000001,1,0),"")</f>
        <v>1</v>
      </c>
      <c r="AH731" s="15" t="n">
        <f aca="false">IF($J731=1,IF($M731=1,AB731,AG731),"")</f>
        <v>1</v>
      </c>
      <c r="AI731" s="13" t="n">
        <f aca="false">IF($J731=1,(Ideal_P-E731)/Span_P,"")</f>
        <v>0.722677618137674</v>
      </c>
      <c r="AJ731" s="13" t="n">
        <f aca="false">IF($J731=1,(Ideal_S-F731)/Span_S,"")</f>
        <v>0.0967741935483871</v>
      </c>
      <c r="AK731" s="13" t="n">
        <f aca="false">IF($J731=1,(Ideal_B-G731)/Span_B,"")</f>
        <v>0.193333333333333</v>
      </c>
      <c r="AL731" s="12" t="n">
        <f aca="false">IF($J731=1,MAX(ChA_1*AI731,ChA_2*AJ731,ChA_3*AK731)+Rho*(ChA_1*AI731+ChA_2*AJ731+ChA_3*AK731),"")</f>
        <v>0.722778896652176</v>
      </c>
      <c r="AM731" s="12" t="n">
        <f aca="false">IF($J731=1,MAX(ChB_1*AI731,ChB_2*AJ731,ChB_3*AK731)+Rho*(ChB_1*AI731+ChB_2*AJ731+ChB_3*AK731),"")</f>
        <v>1.44552878255166</v>
      </c>
      <c r="AN731" s="12" t="n">
        <f aca="false">IF($J731=1,MAX(Cx_1*(Ref_P-E731)/Span_P,Cx_2*(Ref_S-F731)/Span_S,Cx_3*(Ref_B-G731)/Span_B),"")</f>
        <v>1.82976925263677</v>
      </c>
    </row>
    <row r="732" customFormat="false" ht="15" hidden="false" customHeight="false" outlineLevel="0" collapsed="false">
      <c r="A732" s="2" t="n">
        <v>726</v>
      </c>
      <c r="B732" s="15" t="n">
        <f aca="false">INT(A732/151)</f>
        <v>4</v>
      </c>
      <c r="C732" s="15" t="n">
        <f aca="false">MOD(A732,151)</f>
        <v>122</v>
      </c>
      <c r="D732" s="15" t="n">
        <f aca="false">INDEX(Grid!$J$6:$P$156,C732+1,B732+1)</f>
        <v>1</v>
      </c>
      <c r="E732" s="16" t="n">
        <f aca="false">IF(D732=1,INDEX(Grid!$B$6:$H$156,C732+1,B732+1),"")</f>
        <v>121.571783302974</v>
      </c>
      <c r="F732" s="13" t="n">
        <f aca="false">Val_pt*(Ceiling_e-E_zero)*(1-(1-Half_gap)^B732)</f>
        <v>131.25</v>
      </c>
      <c r="G732" s="15" t="n">
        <f aca="false">C732</f>
        <v>122</v>
      </c>
      <c r="H732" s="15" t="n">
        <f aca="false">IF(D732=1,INDEX(Grid!$R$6:$X$156,C732+1,B732+1),"")</f>
        <v>45</v>
      </c>
      <c r="I732" s="2" t="str">
        <f aca="false">IF(D732=1,INDEX(Sch_label,H732+1),"")</f>
        <v>1, 3, 4, 6</v>
      </c>
      <c r="J732" s="15" t="n">
        <f aca="false">IF(D732=1,INDEX(Grid!$Z$6:$AF$156,C732+1,B732+1),0)</f>
        <v>1</v>
      </c>
      <c r="K732" s="16" t="n">
        <f aca="false">IF(J732=1,E732,0)</f>
        <v>121.571783302974</v>
      </c>
      <c r="L732" s="17" t="n">
        <f aca="false">IF(D732=1,E732+W_board*F732,"")</f>
        <v>862.443816498557</v>
      </c>
      <c r="M732" s="24" t="n">
        <v>0</v>
      </c>
      <c r="Q732" s="24" t="n">
        <v>4</v>
      </c>
      <c r="R732" s="24" t="n">
        <v>100</v>
      </c>
      <c r="S732" s="25" t="n">
        <v>0.413112179620495</v>
      </c>
      <c r="T732" s="24" t="n">
        <v>4</v>
      </c>
      <c r="U732" s="24" t="n">
        <v>150</v>
      </c>
      <c r="V732" s="25" t="n">
        <v>0.46381964654803</v>
      </c>
      <c r="W732" s="24" t="n">
        <v>5</v>
      </c>
      <c r="X732" s="24" t="n">
        <v>100</v>
      </c>
      <c r="Y732" s="25" t="n">
        <v>0.123068173831475</v>
      </c>
      <c r="Z732" s="12" t="str">
        <f aca="false">IF(AND($J732=1,$M732=1),N732*E732/Span_P+O732*F732/Span_S+P732*G732/Span_B,"")</f>
        <v/>
      </c>
      <c r="AA732" s="12" t="str">
        <f aca="false">IF(AND($J732=1,$M732=1),SUMPRODUCT(MAX($J$6:$J$1062*(N732*$K$6:$K$1062/Span_P+O732*$F$6:$F$1062/Span_S+P732*$G$6:$G$1062/Span_B)-(1-$J$6:$J$1062)*1000000000)),"")</f>
        <v/>
      </c>
      <c r="AB732" s="15" t="str">
        <f aca="false">IF(AND($J732=1,$M732=1),IF(AA732-Z732&lt;=0.000000001,1,0),"")</f>
        <v/>
      </c>
      <c r="AC732" s="13" t="n">
        <f aca="false">IF(AND($J732=1,$M732=0),IF(S732="",0,S732*INDEX(Grid!$B$6:$H$156,R732+1,Q732+1))+IF(V732="",0,V732*INDEX(Grid!$B$6:$H$156,U732+1,T732+1))+IF(Y732="",0,Y732*INDEX(Grid!$B$6:$H$156,X732+1,W732+1)),"")</f>
        <v>124.446934360224</v>
      </c>
      <c r="AD732" s="13" t="n">
        <f aca="false">IF(AND($J732=1,$M732=0),IF(S732="",0,S732*Val_pt*(Ceiling_e-E_zero)*(1-(1-Half_gap)^Q732))+IF(V732="",0,V732*Val_pt*(Ceiling_e-E_zero)*(1-(1-Half_gap)^T732))+IF(Y732="",0,Y732*Val_pt*(Ceiling_e-E_zero)*(1-(1-Half_gap)^W732)),"")</f>
        <v>131.788423260513</v>
      </c>
      <c r="AE732" s="13" t="n">
        <f aca="false">IF(AND($J732=1,$M732=0),IF(S732="",0,S732*R732)+IF(V732="",0,V732*U732)+IF(Y732="",0,Y732*X732),"")</f>
        <v>123.190982327401</v>
      </c>
      <c r="AF732" s="12" t="n">
        <f aca="false">IF(AND($J732=1,$M732=0),MIN((AC732-E732)/Span_P,(AD732-F732)/Span_S,(AE732-G732)/Span_B),"")</f>
        <v>0.00793988218267494</v>
      </c>
      <c r="AG732" s="15" t="n">
        <f aca="false">IF(AND($J732=1,$M732=0),IF(AF732&gt;0.0000001,1,0),"")</f>
        <v>1</v>
      </c>
      <c r="AH732" s="15" t="n">
        <f aca="false">IF($J732=1,IF($M732=1,AB732,AG732),"")</f>
        <v>1</v>
      </c>
      <c r="AI732" s="13" t="n">
        <f aca="false">IF($J732=1,(Ideal_P-E732)/Span_P,"")</f>
        <v>0.725188120913979</v>
      </c>
      <c r="AJ732" s="13" t="n">
        <f aca="false">IF($J732=1,(Ideal_S-F732)/Span_S,"")</f>
        <v>0.0967741935483871</v>
      </c>
      <c r="AK732" s="13" t="n">
        <f aca="false">IF($J732=1,(Ideal_B-G732)/Span_B,"")</f>
        <v>0.186666666666667</v>
      </c>
      <c r="AL732" s="12" t="n">
        <f aca="false">IF($J732=1,MAX(ChA_1*AI732,ChA_2*AJ732,ChA_3*AK732)+Rho*(ChA_1*AI732+ChA_2*AJ732+ChA_3*AK732),"")</f>
        <v>0.725288983812092</v>
      </c>
      <c r="AM732" s="12" t="n">
        <f aca="false">IF($J732=1,MAX(ChB_1*AI732,ChB_2*AJ732,ChB_3*AK732)+Rho*(ChB_1*AI732+ChB_2*AJ732+ChB_3*AK732),"")</f>
        <v>1.45054962353816</v>
      </c>
      <c r="AN732" s="12" t="n">
        <f aca="false">IF($J732=1,MAX(Cx_1*(Ref_P-E732)/Span_P,Cx_2*(Ref_S-F732)/Span_S,Cx_3*(Ref_B-G732)/Span_B),"")</f>
        <v>1.8360389143202</v>
      </c>
    </row>
    <row r="733" customFormat="false" ht="15" hidden="false" customHeight="false" outlineLevel="0" collapsed="false">
      <c r="A733" s="2" t="n">
        <v>727</v>
      </c>
      <c r="B733" s="15" t="n">
        <f aca="false">INT(A733/151)</f>
        <v>4</v>
      </c>
      <c r="C733" s="15" t="n">
        <f aca="false">MOD(A733,151)</f>
        <v>123</v>
      </c>
      <c r="D733" s="15" t="n">
        <f aca="false">INDEX(Grid!$J$6:$P$156,C733+1,B733+1)</f>
        <v>1</v>
      </c>
      <c r="E733" s="16" t="n">
        <f aca="false">IF(D733=1,INDEX(Grid!$B$6:$H$156,C733+1,B733+1),"")</f>
        <v>120.662692393883</v>
      </c>
      <c r="F733" s="13" t="n">
        <f aca="false">Val_pt*(Ceiling_e-E_zero)*(1-(1-Half_gap)^B733)</f>
        <v>131.25</v>
      </c>
      <c r="G733" s="15" t="n">
        <f aca="false">C733</f>
        <v>123</v>
      </c>
      <c r="H733" s="15" t="n">
        <f aca="false">IF(D733=1,INDEX(Grid!$R$6:$X$156,C733+1,B733+1),"")</f>
        <v>45</v>
      </c>
      <c r="I733" s="2" t="str">
        <f aca="false">IF(D733=1,INDEX(Sch_label,H733+1),"")</f>
        <v>1, 3, 4, 6</v>
      </c>
      <c r="J733" s="15" t="n">
        <f aca="false">IF(D733=1,INDEX(Grid!$Z$6:$AF$156,C733+1,B733+1),0)</f>
        <v>1</v>
      </c>
      <c r="K733" s="16" t="n">
        <f aca="false">IF(J733=1,E733,0)</f>
        <v>120.662692393883</v>
      </c>
      <c r="L733" s="17" t="n">
        <f aca="false">IF(D733=1,E733+W_board*F733,"")</f>
        <v>861.534725589466</v>
      </c>
      <c r="M733" s="24" t="n">
        <v>0</v>
      </c>
      <c r="Q733" s="24" t="n">
        <v>4</v>
      </c>
      <c r="R733" s="24" t="n">
        <v>100</v>
      </c>
      <c r="S733" s="25" t="n">
        <v>0.398358173205513</v>
      </c>
      <c r="T733" s="24" t="n">
        <v>4</v>
      </c>
      <c r="U733" s="24" t="n">
        <v>150</v>
      </c>
      <c r="V733" s="25" t="n">
        <v>0.482968944885627</v>
      </c>
      <c r="W733" s="24" t="n">
        <v>5</v>
      </c>
      <c r="X733" s="24" t="n">
        <v>100</v>
      </c>
      <c r="Y733" s="25" t="n">
        <v>0.11867288190887</v>
      </c>
      <c r="Z733" s="12" t="str">
        <f aca="false">IF(AND($J733=1,$M733=1),N733*E733/Span_P+O733*F733/Span_S+P733*G733/Span_B,"")</f>
        <v/>
      </c>
      <c r="AA733" s="12" t="str">
        <f aca="false">IF(AND($J733=1,$M733=1),SUMPRODUCT(MAX($J$6:$J$1062*(N733*$K$6:$K$1062/Span_P+O733*$F$6:$F$1062/Span_S+P733*$G$6:$G$1062/Span_B)-(1-$J$6:$J$1062)*1000000000)),"")</f>
        <v/>
      </c>
      <c r="AB733" s="15" t="str">
        <f aca="false">IF(AND($J733=1,$M733=1),IF(AA733-Z733&lt;=0.000000001,1,0),"")</f>
        <v/>
      </c>
      <c r="AC733" s="13" t="n">
        <f aca="false">IF(AND($J733=1,$M733=0),IF(S733="",0,S733*INDEX(Grid!$B$6:$H$156,R733+1,Q733+1))+IF(V733="",0,V733*INDEX(Grid!$B$6:$H$156,U733+1,T733+1))+IF(Y733="",0,Y733*INDEX(Grid!$B$6:$H$156,X733+1,W733+1)),"")</f>
        <v>123.435159484807</v>
      </c>
      <c r="AD733" s="13" t="n">
        <f aca="false">IF(AND($J733=1,$M733=0),IF(S733="",0,S733*Val_pt*(Ceiling_e-E_zero)*(1-(1-Half_gap)^Q733))+IF(V733="",0,V733*Val_pt*(Ceiling_e-E_zero)*(1-(1-Half_gap)^T733))+IF(Y733="",0,Y733*Val_pt*(Ceiling_e-E_zero)*(1-(1-Half_gap)^W733)),"")</f>
        <v>131.769193858353</v>
      </c>
      <c r="AE733" s="13" t="n">
        <f aca="false">IF(AND($J733=1,$M733=0),IF(S733="",0,S733*R733)+IF(V733="",0,V733*U733)+IF(Y733="",0,Y733*X733),"")</f>
        <v>124.148447244282</v>
      </c>
      <c r="AF733" s="12" t="n">
        <f aca="false">IF(AND($J733=1,$M733=0),MIN((AC733-E733)/Span_P,(AD733-F733)/Span_S,(AE733-G733)/Span_B),"")</f>
        <v>0.00765631496187824</v>
      </c>
      <c r="AG733" s="15" t="n">
        <f aca="false">IF(AND($J733=1,$M733=0),IF(AF733&gt;0.0000001,1,0),"")</f>
        <v>1</v>
      </c>
      <c r="AH733" s="15" t="n">
        <f aca="false">IF($J733=1,IF($M733=1,AB733,AG733),"")</f>
        <v>1</v>
      </c>
      <c r="AI733" s="13" t="n">
        <f aca="false">IF($J733=1,(Ideal_P-E733)/Span_P,"")</f>
        <v>0.727698623690285</v>
      </c>
      <c r="AJ733" s="13" t="n">
        <f aca="false">IF($J733=1,(Ideal_S-F733)/Span_S,"")</f>
        <v>0.0967741935483871</v>
      </c>
      <c r="AK733" s="13" t="n">
        <f aca="false">IF($J733=1,(Ideal_B-G733)/Span_B,"")</f>
        <v>0.18</v>
      </c>
      <c r="AL733" s="12" t="n">
        <f aca="false">IF($J733=1,MAX(ChA_1*AI733,ChA_2*AJ733,ChA_3*AK733)+Rho*(ChA_1*AI733+ChA_2*AJ733+ChA_3*AK733),"")</f>
        <v>0.727799070972009</v>
      </c>
      <c r="AM733" s="12" t="n">
        <f aca="false">IF($J733=1,MAX(ChB_1*AI733,ChB_2*AJ733,ChB_3*AK733)+Rho*(ChB_1*AI733+ChB_2*AJ733+ChB_3*AK733),"")</f>
        <v>1.45557046452466</v>
      </c>
      <c r="AN733" s="12" t="n">
        <f aca="false">IF($J733=1,MAX(Cx_1*(Ref_P-E733)/Span_P,Cx_2*(Ref_S-F733)/Span_S,Cx_3*(Ref_B-G733)/Span_B),"")</f>
        <v>1.84230857600363</v>
      </c>
    </row>
    <row r="734" customFormat="false" ht="15" hidden="false" customHeight="false" outlineLevel="0" collapsed="false">
      <c r="A734" s="2" t="n">
        <v>728</v>
      </c>
      <c r="B734" s="15" t="n">
        <f aca="false">INT(A734/151)</f>
        <v>4</v>
      </c>
      <c r="C734" s="15" t="n">
        <f aca="false">MOD(A734,151)</f>
        <v>124</v>
      </c>
      <c r="D734" s="15" t="n">
        <f aca="false">INDEX(Grid!$J$6:$P$156,C734+1,B734+1)</f>
        <v>1</v>
      </c>
      <c r="E734" s="16" t="n">
        <f aca="false">IF(D734=1,INDEX(Grid!$B$6:$H$156,C734+1,B734+1),"")</f>
        <v>119.753601484792</v>
      </c>
      <c r="F734" s="13" t="n">
        <f aca="false">Val_pt*(Ceiling_e-E_zero)*(1-(1-Half_gap)^B734)</f>
        <v>131.25</v>
      </c>
      <c r="G734" s="15" t="n">
        <f aca="false">C734</f>
        <v>124</v>
      </c>
      <c r="H734" s="15" t="n">
        <f aca="false">IF(D734=1,INDEX(Grid!$R$6:$X$156,C734+1,B734+1),"")</f>
        <v>45</v>
      </c>
      <c r="I734" s="2" t="str">
        <f aca="false">IF(D734=1,INDEX(Sch_label,H734+1),"")</f>
        <v>1, 3, 4, 6</v>
      </c>
      <c r="J734" s="15" t="n">
        <f aca="false">IF(D734=1,INDEX(Grid!$Z$6:$AF$156,C734+1,B734+1),0)</f>
        <v>1</v>
      </c>
      <c r="K734" s="16" t="n">
        <f aca="false">IF(J734=1,E734,0)</f>
        <v>119.753601484792</v>
      </c>
      <c r="L734" s="17" t="n">
        <f aca="false">IF(D734=1,E734+W_board*F734,"")</f>
        <v>860.625634680375</v>
      </c>
      <c r="M734" s="24" t="n">
        <v>0</v>
      </c>
      <c r="Q734" s="24" t="n">
        <v>4</v>
      </c>
      <c r="R734" s="24" t="n">
        <v>100</v>
      </c>
      <c r="S734" s="25" t="n">
        <v>0.383604166790459</v>
      </c>
      <c r="T734" s="24" t="n">
        <v>4</v>
      </c>
      <c r="U734" s="24" t="n">
        <v>150</v>
      </c>
      <c r="V734" s="25" t="n">
        <v>0.502118243223169</v>
      </c>
      <c r="W734" s="24" t="n">
        <v>5</v>
      </c>
      <c r="X734" s="24" t="n">
        <v>100</v>
      </c>
      <c r="Y734" s="25" t="n">
        <v>0.11427758998637</v>
      </c>
      <c r="Z734" s="12" t="str">
        <f aca="false">IF(AND($J734=1,$M734=1),N734*E734/Span_P+O734*F734/Span_S+P734*G734/Span_B,"")</f>
        <v/>
      </c>
      <c r="AA734" s="12" t="str">
        <f aca="false">IF(AND($J734=1,$M734=1),SUMPRODUCT(MAX($J$6:$J$1062*(N734*$K$6:$K$1062/Span_P+O734*$F$6:$F$1062/Span_S+P734*$G$6:$G$1062/Span_B)-(1-$J$6:$J$1062)*1000000000)),"")</f>
        <v/>
      </c>
      <c r="AB734" s="15" t="str">
        <f aca="false">IF(AND($J734=1,$M734=1),IF(AA734-Z734&lt;=0.000000001,1,0),"")</f>
        <v/>
      </c>
      <c r="AC734" s="13" t="n">
        <f aca="false">IF(AND($J734=1,$M734=0),IF(S734="",0,S734*INDEX(Grid!$B$6:$H$156,R734+1,Q734+1))+IF(V734="",0,V734*INDEX(Grid!$B$6:$H$156,U734+1,T734+1))+IF(Y734="",0,Y734*INDEX(Grid!$B$6:$H$156,X734+1,W734+1)),"")</f>
        <v>122.423384609382</v>
      </c>
      <c r="AD734" s="13" t="n">
        <f aca="false">IF(AND($J734=1,$M734=0),IF(S734="",0,S734*Val_pt*(Ceiling_e-E_zero)*(1-(1-Half_gap)^Q734))+IF(V734="",0,V734*Val_pt*(Ceiling_e-E_zero)*(1-(1-Half_gap)^T734))+IF(Y734="",0,Y734*Val_pt*(Ceiling_e-E_zero)*(1-(1-Half_gap)^W734)),"")</f>
        <v>131.74996445619</v>
      </c>
      <c r="AE734" s="13" t="n">
        <f aca="false">IF(AND($J734=1,$M734=0),IF(S734="",0,S734*R734)+IF(V734="",0,V734*U734)+IF(Y734="",0,Y734*X734),"")</f>
        <v>125.105912161158</v>
      </c>
      <c r="AF734" s="12" t="n">
        <f aca="false">IF(AND($J734=1,$M734=0),MIN((AC734-E734)/Span_P,(AD734-F734)/Span_S,(AE734-G734)/Span_B),"")</f>
        <v>0.00737274774105132</v>
      </c>
      <c r="AG734" s="15" t="n">
        <f aca="false">IF(AND($J734=1,$M734=0),IF(AF734&gt;0.0000001,1,0),"")</f>
        <v>1</v>
      </c>
      <c r="AH734" s="15" t="n">
        <f aca="false">IF($J734=1,IF($M734=1,AB734,AG734),"")</f>
        <v>1</v>
      </c>
      <c r="AI734" s="13" t="n">
        <f aca="false">IF($J734=1,(Ideal_P-E734)/Span_P,"")</f>
        <v>0.730209126466591</v>
      </c>
      <c r="AJ734" s="13" t="n">
        <f aca="false">IF($J734=1,(Ideal_S-F734)/Span_S,"")</f>
        <v>0.0967741935483871</v>
      </c>
      <c r="AK734" s="13" t="n">
        <f aca="false">IF($J734=1,(Ideal_B-G734)/Span_B,"")</f>
        <v>0.173333333333333</v>
      </c>
      <c r="AL734" s="12" t="n">
        <f aca="false">IF($J734=1,MAX(ChA_1*AI734,ChA_2*AJ734,ChA_3*AK734)+Rho*(ChA_1*AI734+ChA_2*AJ734+ChA_3*AK734),"")</f>
        <v>0.730309158131926</v>
      </c>
      <c r="AM734" s="12" t="n">
        <f aca="false">IF($J734=1,MAX(ChB_1*AI734,ChB_2*AJ734,ChB_3*AK734)+Rho*(ChB_1*AI734+ChB_2*AJ734+ChB_3*AK734),"")</f>
        <v>1.46059130551116</v>
      </c>
      <c r="AN734" s="12" t="n">
        <f aca="false">IF($J734=1,MAX(Cx_1*(Ref_P-E734)/Span_P,Cx_2*(Ref_S-F734)/Span_S,Cx_3*(Ref_B-G734)/Span_B),"")</f>
        <v>1.84857823768706</v>
      </c>
    </row>
    <row r="735" customFormat="false" ht="15" hidden="false" customHeight="false" outlineLevel="0" collapsed="false">
      <c r="A735" s="2" t="n">
        <v>729</v>
      </c>
      <c r="B735" s="15" t="n">
        <f aca="false">INT(A735/151)</f>
        <v>4</v>
      </c>
      <c r="C735" s="15" t="n">
        <f aca="false">MOD(A735,151)</f>
        <v>125</v>
      </c>
      <c r="D735" s="15" t="n">
        <f aca="false">INDEX(Grid!$J$6:$P$156,C735+1,B735+1)</f>
        <v>1</v>
      </c>
      <c r="E735" s="16" t="n">
        <f aca="false">IF(D735=1,INDEX(Grid!$B$6:$H$156,C735+1,B735+1),"")</f>
        <v>118.844510575701</v>
      </c>
      <c r="F735" s="13" t="n">
        <f aca="false">Val_pt*(Ceiling_e-E_zero)*(1-(1-Half_gap)^B735)</f>
        <v>131.25</v>
      </c>
      <c r="G735" s="15" t="n">
        <f aca="false">C735</f>
        <v>125</v>
      </c>
      <c r="H735" s="15" t="n">
        <f aca="false">IF(D735=1,INDEX(Grid!$R$6:$X$156,C735+1,B735+1),"")</f>
        <v>45</v>
      </c>
      <c r="I735" s="2" t="str">
        <f aca="false">IF(D735=1,INDEX(Sch_label,H735+1),"")</f>
        <v>1, 3, 4, 6</v>
      </c>
      <c r="J735" s="15" t="n">
        <f aca="false">IF(D735=1,INDEX(Grid!$Z$6:$AF$156,C735+1,B735+1),0)</f>
        <v>1</v>
      </c>
      <c r="K735" s="16" t="n">
        <f aca="false">IF(J735=1,E735,0)</f>
        <v>118.844510575701</v>
      </c>
      <c r="L735" s="17" t="n">
        <f aca="false">IF(D735=1,E735+W_board*F735,"")</f>
        <v>859.716543771284</v>
      </c>
      <c r="M735" s="24" t="n">
        <v>0</v>
      </c>
      <c r="Q735" s="24" t="n">
        <v>4</v>
      </c>
      <c r="R735" s="24" t="n">
        <v>100</v>
      </c>
      <c r="S735" s="25" t="n">
        <v>0.368850160375467</v>
      </c>
      <c r="T735" s="24" t="n">
        <v>4</v>
      </c>
      <c r="U735" s="24" t="n">
        <v>150</v>
      </c>
      <c r="V735" s="25" t="n">
        <v>0.521267541560771</v>
      </c>
      <c r="W735" s="24" t="n">
        <v>5</v>
      </c>
      <c r="X735" s="24" t="n">
        <v>100</v>
      </c>
      <c r="Y735" s="25" t="n">
        <v>0.10988229806378</v>
      </c>
      <c r="Z735" s="12" t="str">
        <f aca="false">IF(AND($J735=1,$M735=1),N735*E735/Span_P+O735*F735/Span_S+P735*G735/Span_B,"")</f>
        <v/>
      </c>
      <c r="AA735" s="12" t="str">
        <f aca="false">IF(AND($J735=1,$M735=1),SUMPRODUCT(MAX($J$6:$J$1062*(N735*$K$6:$K$1062/Span_P+O735*$F$6:$F$1062/Span_S+P735*$G$6:$G$1062/Span_B)-(1-$J$6:$J$1062)*1000000000)),"")</f>
        <v/>
      </c>
      <c r="AB735" s="15" t="str">
        <f aca="false">IF(AND($J735=1,$M735=1),IF(AA735-Z735&lt;=0.000000001,1,0),"")</f>
        <v/>
      </c>
      <c r="AC735" s="13" t="n">
        <f aca="false">IF(AND($J735=1,$M735=0),IF(S735="",0,S735*INDEX(Grid!$B$6:$H$156,R735+1,Q735+1))+IF(V735="",0,V735*INDEX(Grid!$B$6:$H$156,U735+1,T735+1))+IF(Y735="",0,Y735*INDEX(Grid!$B$6:$H$156,X735+1,W735+1)),"")</f>
        <v>121.411609733964</v>
      </c>
      <c r="AD735" s="13" t="n">
        <f aca="false">IF(AND($J735=1,$M735=0),IF(S735="",0,S735*Val_pt*(Ceiling_e-E_zero)*(1-(1-Half_gap)^Q735))+IF(V735="",0,V735*Val_pt*(Ceiling_e-E_zero)*(1-(1-Half_gap)^T735))+IF(Y735="",0,Y735*Val_pt*(Ceiling_e-E_zero)*(1-(1-Half_gap)^W735)),"")</f>
        <v>131.730735054031</v>
      </c>
      <c r="AE735" s="13" t="n">
        <f aca="false">IF(AND($J735=1,$M735=0),IF(S735="",0,S735*R735)+IF(V735="",0,V735*U735)+IF(Y735="",0,Y735*X735),"")</f>
        <v>126.06337707804</v>
      </c>
      <c r="AF735" s="12" t="n">
        <f aca="false">IF(AND($J735=1,$M735=0),MIN((AC735-E735)/Span_P,(AD735-F735)/Span_S,(AE735-G735)/Span_B),"")</f>
        <v>0.00708918052025796</v>
      </c>
      <c r="AG735" s="15" t="n">
        <f aca="false">IF(AND($J735=1,$M735=0),IF(AF735&gt;0.0000001,1,0),"")</f>
        <v>1</v>
      </c>
      <c r="AH735" s="15" t="n">
        <f aca="false">IF($J735=1,IF($M735=1,AB735,AG735),"")</f>
        <v>1</v>
      </c>
      <c r="AI735" s="13" t="n">
        <f aca="false">IF($J735=1,(Ideal_P-E735)/Span_P,"")</f>
        <v>0.732719629242897</v>
      </c>
      <c r="AJ735" s="13" t="n">
        <f aca="false">IF($J735=1,(Ideal_S-F735)/Span_S,"")</f>
        <v>0.0967741935483871</v>
      </c>
      <c r="AK735" s="13" t="n">
        <f aca="false">IF($J735=1,(Ideal_B-G735)/Span_B,"")</f>
        <v>0.166666666666667</v>
      </c>
      <c r="AL735" s="12" t="n">
        <f aca="false">IF($J735=1,MAX(ChA_1*AI735,ChA_2*AJ735,ChA_3*AK735)+Rho*(ChA_1*AI735+ChA_2*AJ735+ChA_3*AK735),"")</f>
        <v>0.732819245291842</v>
      </c>
      <c r="AM735" s="12" t="n">
        <f aca="false">IF($J735=1,MAX(ChB_1*AI735,ChB_2*AJ735,ChB_3*AK735)+Rho*(ChB_1*AI735+ChB_2*AJ735+ChB_3*AK735),"")</f>
        <v>1.46561214649766</v>
      </c>
      <c r="AN735" s="12" t="n">
        <f aca="false">IF($J735=1,MAX(Cx_1*(Ref_P-E735)/Span_P,Cx_2*(Ref_S-F735)/Span_S,Cx_3*(Ref_B-G735)/Span_B),"")</f>
        <v>1.85484789937049</v>
      </c>
    </row>
    <row r="736" customFormat="false" ht="15" hidden="false" customHeight="false" outlineLevel="0" collapsed="false">
      <c r="A736" s="2" t="n">
        <v>730</v>
      </c>
      <c r="B736" s="15" t="n">
        <f aca="false">INT(A736/151)</f>
        <v>4</v>
      </c>
      <c r="C736" s="15" t="n">
        <f aca="false">MOD(A736,151)</f>
        <v>126</v>
      </c>
      <c r="D736" s="15" t="n">
        <f aca="false">INDEX(Grid!$J$6:$P$156,C736+1,B736+1)</f>
        <v>1</v>
      </c>
      <c r="E736" s="16" t="n">
        <f aca="false">IF(D736=1,INDEX(Grid!$B$6:$H$156,C736+1,B736+1),"")</f>
        <v>117.93541966661</v>
      </c>
      <c r="F736" s="13" t="n">
        <f aca="false">Val_pt*(Ceiling_e-E_zero)*(1-(1-Half_gap)^B736)</f>
        <v>131.25</v>
      </c>
      <c r="G736" s="15" t="n">
        <f aca="false">C736</f>
        <v>126</v>
      </c>
      <c r="H736" s="15" t="n">
        <f aca="false">IF(D736=1,INDEX(Grid!$R$6:$X$156,C736+1,B736+1),"")</f>
        <v>45</v>
      </c>
      <c r="I736" s="2" t="str">
        <f aca="false">IF(D736=1,INDEX(Sch_label,H736+1),"")</f>
        <v>1, 3, 4, 6</v>
      </c>
      <c r="J736" s="15" t="n">
        <f aca="false">IF(D736=1,INDEX(Grid!$Z$6:$AF$156,C736+1,B736+1),0)</f>
        <v>1</v>
      </c>
      <c r="K736" s="16" t="n">
        <f aca="false">IF(J736=1,E736,0)</f>
        <v>117.93541966661</v>
      </c>
      <c r="L736" s="17" t="n">
        <f aca="false">IF(D736=1,E736+W_board*F736,"")</f>
        <v>858.807452862193</v>
      </c>
      <c r="M736" s="24" t="n">
        <v>0</v>
      </c>
      <c r="Q736" s="24" t="n">
        <v>4</v>
      </c>
      <c r="R736" s="24" t="n">
        <v>100</v>
      </c>
      <c r="S736" s="25" t="n">
        <v>0.354096153960446</v>
      </c>
      <c r="T736" s="24" t="n">
        <v>4</v>
      </c>
      <c r="U736" s="24" t="n">
        <v>150</v>
      </c>
      <c r="V736" s="25" t="n">
        <v>0.540416839898335</v>
      </c>
      <c r="W736" s="24" t="n">
        <v>5</v>
      </c>
      <c r="X736" s="24" t="n">
        <v>100</v>
      </c>
      <c r="Y736" s="25" t="n">
        <v>0.105487006141232</v>
      </c>
      <c r="Z736" s="12" t="str">
        <f aca="false">IF(AND($J736=1,$M736=1),N736*E736/Span_P+O736*F736/Span_S+P736*G736/Span_B,"")</f>
        <v/>
      </c>
      <c r="AA736" s="12" t="str">
        <f aca="false">IF(AND($J736=1,$M736=1),SUMPRODUCT(MAX($J$6:$J$1062*(N736*$K$6:$K$1062/Span_P+O736*$F$6:$F$1062/Span_S+P736*$G$6:$G$1062/Span_B)-(1-$J$6:$J$1062)*1000000000)),"")</f>
        <v/>
      </c>
      <c r="AB736" s="15" t="str">
        <f aca="false">IF(AND($J736=1,$M736=1),IF(AA736-Z736&lt;=0.000000001,1,0),"")</f>
        <v/>
      </c>
      <c r="AC736" s="13" t="n">
        <f aca="false">IF(AND($J736=1,$M736=0),IF(S736="",0,S736*INDEX(Grid!$B$6:$H$156,R736+1,Q736+1))+IF(V736="",0,V736*INDEX(Grid!$B$6:$H$156,U736+1,T736+1))+IF(Y736="",0,Y736*INDEX(Grid!$B$6:$H$156,X736+1,W736+1)),"")</f>
        <v>120.399834858542</v>
      </c>
      <c r="AD736" s="13" t="n">
        <f aca="false">IF(AND($J736=1,$M736=0),IF(S736="",0,S736*Val_pt*(Ceiling_e-E_zero)*(1-(1-Half_gap)^Q736))+IF(V736="",0,V736*Val_pt*(Ceiling_e-E_zero)*(1-(1-Half_gap)^T736))+IF(Y736="",0,Y736*Val_pt*(Ceiling_e-E_zero)*(1-(1-Half_gap)^W736)),"")</f>
        <v>131.71150565187</v>
      </c>
      <c r="AE736" s="13" t="n">
        <f aca="false">IF(AND($J736=1,$M736=0),IF(S736="",0,S736*R736)+IF(V736="",0,V736*U736)+IF(Y736="",0,Y736*X736),"")</f>
        <v>127.020841994918</v>
      </c>
      <c r="AF736" s="12" t="n">
        <f aca="false">IF(AND($J736=1,$M736=0),MIN((AC736-E736)/Span_P,(AD736-F736)/Span_S,(AE736-G736)/Span_B),"")</f>
        <v>0.00680561329944645</v>
      </c>
      <c r="AG736" s="15" t="n">
        <f aca="false">IF(AND($J736=1,$M736=0),IF(AF736&gt;0.0000001,1,0),"")</f>
        <v>1</v>
      </c>
      <c r="AH736" s="15" t="n">
        <f aca="false">IF($J736=1,IF($M736=1,AB736,AG736),"")</f>
        <v>1</v>
      </c>
      <c r="AI736" s="13" t="n">
        <f aca="false">IF($J736=1,(Ideal_P-E736)/Span_P,"")</f>
        <v>0.735230132019203</v>
      </c>
      <c r="AJ736" s="13" t="n">
        <f aca="false">IF($J736=1,(Ideal_S-F736)/Span_S,"")</f>
        <v>0.0967741935483871</v>
      </c>
      <c r="AK736" s="13" t="n">
        <f aca="false">IF($J736=1,(Ideal_B-G736)/Span_B,"")</f>
        <v>0.16</v>
      </c>
      <c r="AL736" s="12" t="n">
        <f aca="false">IF($J736=1,MAX(ChA_1*AI736,ChA_2*AJ736,ChA_3*AK736)+Rho*(ChA_1*AI736+ChA_2*AJ736+ChA_3*AK736),"")</f>
        <v>0.735329332451759</v>
      </c>
      <c r="AM736" s="12" t="n">
        <f aca="false">IF($J736=1,MAX(ChB_1*AI736,ChB_2*AJ736,ChB_3*AK736)+Rho*(ChB_1*AI736+ChB_2*AJ736+ChB_3*AK736),"")</f>
        <v>1.47063298748416</v>
      </c>
      <c r="AN736" s="12" t="n">
        <f aca="false">IF($J736=1,MAX(Cx_1*(Ref_P-E736)/Span_P,Cx_2*(Ref_S-F736)/Span_S,Cx_3*(Ref_B-G736)/Span_B),"")</f>
        <v>1.86111756105392</v>
      </c>
    </row>
    <row r="737" customFormat="false" ht="15" hidden="false" customHeight="false" outlineLevel="0" collapsed="false">
      <c r="A737" s="2" t="n">
        <v>731</v>
      </c>
      <c r="B737" s="15" t="n">
        <f aca="false">INT(A737/151)</f>
        <v>4</v>
      </c>
      <c r="C737" s="15" t="n">
        <f aca="false">MOD(A737,151)</f>
        <v>127</v>
      </c>
      <c r="D737" s="15" t="n">
        <f aca="false">INDEX(Grid!$J$6:$P$156,C737+1,B737+1)</f>
        <v>1</v>
      </c>
      <c r="E737" s="16" t="n">
        <f aca="false">IF(D737=1,INDEX(Grid!$B$6:$H$156,C737+1,B737+1),"")</f>
        <v>117.02632875752</v>
      </c>
      <c r="F737" s="13" t="n">
        <f aca="false">Val_pt*(Ceiling_e-E_zero)*(1-(1-Half_gap)^B737)</f>
        <v>131.25</v>
      </c>
      <c r="G737" s="15" t="n">
        <f aca="false">C737</f>
        <v>127</v>
      </c>
      <c r="H737" s="15" t="n">
        <f aca="false">IF(D737=1,INDEX(Grid!$R$6:$X$156,C737+1,B737+1),"")</f>
        <v>45</v>
      </c>
      <c r="I737" s="2" t="str">
        <f aca="false">IF(D737=1,INDEX(Sch_label,H737+1),"")</f>
        <v>1, 3, 4, 6</v>
      </c>
      <c r="J737" s="15" t="n">
        <f aca="false">IF(D737=1,INDEX(Grid!$Z$6:$AF$156,C737+1,B737+1),0)</f>
        <v>1</v>
      </c>
      <c r="K737" s="16" t="n">
        <f aca="false">IF(J737=1,E737,0)</f>
        <v>117.02632875752</v>
      </c>
      <c r="L737" s="17" t="n">
        <f aca="false">IF(D737=1,E737+W_board*F737,"")</f>
        <v>857.898361953102</v>
      </c>
      <c r="M737" s="24" t="n">
        <v>0</v>
      </c>
      <c r="Q737" s="24" t="n">
        <v>4</v>
      </c>
      <c r="R737" s="24" t="n">
        <v>100</v>
      </c>
      <c r="S737" s="25" t="n">
        <v>0.339342147545452</v>
      </c>
      <c r="T737" s="24" t="n">
        <v>4</v>
      </c>
      <c r="U737" s="24" t="n">
        <v>150</v>
      </c>
      <c r="V737" s="25" t="n">
        <v>0.559566138235924</v>
      </c>
      <c r="W737" s="24" t="n">
        <v>5</v>
      </c>
      <c r="X737" s="24" t="n">
        <v>100</v>
      </c>
      <c r="Y737" s="25" t="n">
        <v>0.101091714218646</v>
      </c>
      <c r="Z737" s="12" t="str">
        <f aca="false">IF(AND($J737=1,$M737=1),N737*E737/Span_P+O737*F737/Span_S+P737*G737/Span_B,"")</f>
        <v/>
      </c>
      <c r="AA737" s="12" t="str">
        <f aca="false">IF(AND($J737=1,$M737=1),SUMPRODUCT(MAX($J$6:$J$1062*(N737*$K$6:$K$1062/Span_P+O737*$F$6:$F$1062/Span_S+P737*$G$6:$G$1062/Span_B)-(1-$J$6:$J$1062)*1000000000)),"")</f>
        <v/>
      </c>
      <c r="AB737" s="15" t="str">
        <f aca="false">IF(AND($J737=1,$M737=1),IF(AA737-Z737&lt;=0.000000001,1,0),"")</f>
        <v/>
      </c>
      <c r="AC737" s="13" t="n">
        <f aca="false">IF(AND($J737=1,$M737=0),IF(S737="",0,S737*INDEX(Grid!$B$6:$H$156,R737+1,Q737+1))+IF(V737="",0,V737*INDEX(Grid!$B$6:$H$156,U737+1,T737+1))+IF(Y737="",0,Y737*INDEX(Grid!$B$6:$H$156,X737+1,W737+1)),"")</f>
        <v>119.388059983124</v>
      </c>
      <c r="AD737" s="13" t="n">
        <f aca="false">IF(AND($J737=1,$M737=0),IF(S737="",0,S737*Val_pt*(Ceiling_e-E_zero)*(1-(1-Half_gap)^Q737))+IF(V737="",0,V737*Val_pt*(Ceiling_e-E_zero)*(1-(1-Half_gap)^T737))+IF(Y737="",0,Y737*Val_pt*(Ceiling_e-E_zero)*(1-(1-Half_gap)^W737)),"")</f>
        <v>131.69227624971</v>
      </c>
      <c r="AE737" s="13" t="n">
        <f aca="false">IF(AND($J737=1,$M737=0),IF(S737="",0,S737*R737)+IF(V737="",0,V737*U737)+IF(Y737="",0,Y737*X737),"")</f>
        <v>127.978306911798</v>
      </c>
      <c r="AF737" s="12" t="n">
        <f aca="false">IF(AND($J737=1,$M737=0),MIN((AC737-E737)/Span_P,(AD737-F737)/Span_S,(AE737-G737)/Span_B),"")</f>
        <v>0.00652204607864393</v>
      </c>
      <c r="AG737" s="15" t="n">
        <f aca="false">IF(AND($J737=1,$M737=0),IF(AF737&gt;0.0000001,1,0),"")</f>
        <v>1</v>
      </c>
      <c r="AH737" s="15" t="n">
        <f aca="false">IF($J737=1,IF($M737=1,AB737,AG737),"")</f>
        <v>1</v>
      </c>
      <c r="AI737" s="13" t="n">
        <f aca="false">IF($J737=1,(Ideal_P-E737)/Span_P,"")</f>
        <v>0.737740634795508</v>
      </c>
      <c r="AJ737" s="13" t="n">
        <f aca="false">IF($J737=1,(Ideal_S-F737)/Span_S,"")</f>
        <v>0.0967741935483871</v>
      </c>
      <c r="AK737" s="13" t="n">
        <f aca="false">IF($J737=1,(Ideal_B-G737)/Span_B,"")</f>
        <v>0.153333333333333</v>
      </c>
      <c r="AL737" s="12" t="n">
        <f aca="false">IF($J737=1,MAX(ChA_1*AI737,ChA_2*AJ737,ChA_3*AK737)+Rho*(ChA_1*AI737+ChA_2*AJ737+ChA_3*AK737),"")</f>
        <v>0.737839419611676</v>
      </c>
      <c r="AM737" s="12" t="n">
        <f aca="false">IF($J737=1,MAX(ChB_1*AI737,ChB_2*AJ737,ChB_3*AK737)+Rho*(ChB_1*AI737+ChB_2*AJ737+ChB_3*AK737),"")</f>
        <v>1.47565382847066</v>
      </c>
      <c r="AN737" s="12" t="n">
        <f aca="false">IF($J737=1,MAX(Cx_1*(Ref_P-E737)/Span_P,Cx_2*(Ref_S-F737)/Span_S,Cx_3*(Ref_B-G737)/Span_B),"")</f>
        <v>1.86738722273735</v>
      </c>
    </row>
    <row r="738" customFormat="false" ht="15" hidden="false" customHeight="false" outlineLevel="0" collapsed="false">
      <c r="A738" s="2" t="n">
        <v>732</v>
      </c>
      <c r="B738" s="15" t="n">
        <f aca="false">INT(A738/151)</f>
        <v>4</v>
      </c>
      <c r="C738" s="15" t="n">
        <f aca="false">MOD(A738,151)</f>
        <v>128</v>
      </c>
      <c r="D738" s="15" t="n">
        <f aca="false">INDEX(Grid!$J$6:$P$156,C738+1,B738+1)</f>
        <v>1</v>
      </c>
      <c r="E738" s="16" t="n">
        <f aca="false">IF(D738=1,INDEX(Grid!$B$6:$H$156,C738+1,B738+1),"")</f>
        <v>116.117237848429</v>
      </c>
      <c r="F738" s="13" t="n">
        <f aca="false">Val_pt*(Ceiling_e-E_zero)*(1-(1-Half_gap)^B738)</f>
        <v>131.25</v>
      </c>
      <c r="G738" s="15" t="n">
        <f aca="false">C738</f>
        <v>128</v>
      </c>
      <c r="H738" s="15" t="n">
        <f aca="false">IF(D738=1,INDEX(Grid!$R$6:$X$156,C738+1,B738+1),"")</f>
        <v>45</v>
      </c>
      <c r="I738" s="2" t="str">
        <f aca="false">IF(D738=1,INDEX(Sch_label,H738+1),"")</f>
        <v>1, 3, 4, 6</v>
      </c>
      <c r="J738" s="15" t="n">
        <f aca="false">IF(D738=1,INDEX(Grid!$Z$6:$AF$156,C738+1,B738+1),0)</f>
        <v>1</v>
      </c>
      <c r="K738" s="16" t="n">
        <f aca="false">IF(J738=1,E738,0)</f>
        <v>116.117237848429</v>
      </c>
      <c r="L738" s="17" t="n">
        <f aca="false">IF(D738=1,E738+W_board*F738,"")</f>
        <v>856.989271044011</v>
      </c>
      <c r="M738" s="24" t="n">
        <v>0</v>
      </c>
      <c r="Q738" s="24" t="n">
        <v>4</v>
      </c>
      <c r="R738" s="24" t="n">
        <v>100</v>
      </c>
      <c r="S738" s="25" t="n">
        <v>0.324588141130386</v>
      </c>
      <c r="T738" s="24" t="n">
        <v>4</v>
      </c>
      <c r="U738" s="24" t="n">
        <v>150</v>
      </c>
      <c r="V738" s="25" t="n">
        <v>0.578715436573449</v>
      </c>
      <c r="W738" s="24" t="n">
        <v>5</v>
      </c>
      <c r="X738" s="24" t="n">
        <v>100</v>
      </c>
      <c r="Y738" s="25" t="n">
        <v>0.0966964222961619</v>
      </c>
      <c r="Z738" s="12" t="str">
        <f aca="false">IF(AND($J738=1,$M738=1),N738*E738/Span_P+O738*F738/Span_S+P738*G738/Span_B,"")</f>
        <v/>
      </c>
      <c r="AA738" s="12" t="str">
        <f aca="false">IF(AND($J738=1,$M738=1),SUMPRODUCT(MAX($J$6:$J$1062*(N738*$K$6:$K$1062/Span_P+O738*$F$6:$F$1062/Span_S+P738*$G$6:$G$1062/Span_B)-(1-$J$6:$J$1062)*1000000000)),"")</f>
        <v/>
      </c>
      <c r="AB738" s="15" t="str">
        <f aca="false">IF(AND($J738=1,$M738=1),IF(AA738-Z738&lt;=0.000000001,1,0),"")</f>
        <v/>
      </c>
      <c r="AC738" s="13" t="n">
        <f aca="false">IF(AND($J738=1,$M738=0),IF(S738="",0,S738*INDEX(Grid!$B$6:$H$156,R738+1,Q738+1))+IF(V738="",0,V738*INDEX(Grid!$B$6:$H$156,U738+1,T738+1))+IF(Y738="",0,Y738*INDEX(Grid!$B$6:$H$156,X738+1,W738+1)),"")</f>
        <v>118.376285107696</v>
      </c>
      <c r="AD738" s="13" t="n">
        <f aca="false">IF(AND($J738=1,$M738=0),IF(S738="",0,S738*Val_pt*(Ceiling_e-E_zero)*(1-(1-Half_gap)^Q738))+IF(V738="",0,V738*Val_pt*(Ceiling_e-E_zero)*(1-(1-Half_gap)^T738))+IF(Y738="",0,Y738*Val_pt*(Ceiling_e-E_zero)*(1-(1-Half_gap)^W738)),"")</f>
        <v>131.673046847545</v>
      </c>
      <c r="AE738" s="13" t="n">
        <f aca="false">IF(AND($J738=1,$M738=0),IF(S738="",0,S738*R738)+IF(V738="",0,V738*U738)+IF(Y738="",0,Y738*X738),"")</f>
        <v>128.935771828672</v>
      </c>
      <c r="AF738" s="12" t="n">
        <f aca="false">IF(AND($J738=1,$M738=0),MIN((AC738-E738)/Span_P,(AD738-F738)/Span_S,(AE738-G738)/Span_B),"")</f>
        <v>0.0062384788578112</v>
      </c>
      <c r="AG738" s="15" t="n">
        <f aca="false">IF(AND($J738=1,$M738=0),IF(AF738&gt;0.0000001,1,0),"")</f>
        <v>1</v>
      </c>
      <c r="AH738" s="15" t="n">
        <f aca="false">IF($J738=1,IF($M738=1,AB738,AG738),"")</f>
        <v>1</v>
      </c>
      <c r="AI738" s="13" t="n">
        <f aca="false">IF($J738=1,(Ideal_P-E738)/Span_P,"")</f>
        <v>0.740251137571814</v>
      </c>
      <c r="AJ738" s="13" t="n">
        <f aca="false">IF($J738=1,(Ideal_S-F738)/Span_S,"")</f>
        <v>0.0967741935483871</v>
      </c>
      <c r="AK738" s="13" t="n">
        <f aca="false">IF($J738=1,(Ideal_B-G738)/Span_B,"")</f>
        <v>0.146666666666667</v>
      </c>
      <c r="AL738" s="12" t="n">
        <f aca="false">IF($J738=1,MAX(ChA_1*AI738,ChA_2*AJ738,ChA_3*AK738)+Rho*(ChA_1*AI738+ChA_2*AJ738+ChA_3*AK738),"")</f>
        <v>0.740349506771593</v>
      </c>
      <c r="AM738" s="12" t="n">
        <f aca="false">IF($J738=1,MAX(ChB_1*AI738,ChB_2*AJ738,ChB_3*AK738)+Rho*(ChB_1*AI738+ChB_2*AJ738+ChB_3*AK738),"")</f>
        <v>1.48067466945716</v>
      </c>
      <c r="AN738" s="12" t="n">
        <f aca="false">IF($J738=1,MAX(Cx_1*(Ref_P-E738)/Span_P,Cx_2*(Ref_S-F738)/Span_S,Cx_3*(Ref_B-G738)/Span_B),"")</f>
        <v>1.87365688442077</v>
      </c>
    </row>
    <row r="739" customFormat="false" ht="15" hidden="false" customHeight="false" outlineLevel="0" collapsed="false">
      <c r="A739" s="2" t="n">
        <v>733</v>
      </c>
      <c r="B739" s="15" t="n">
        <f aca="false">INT(A739/151)</f>
        <v>4</v>
      </c>
      <c r="C739" s="15" t="n">
        <f aca="false">MOD(A739,151)</f>
        <v>129</v>
      </c>
      <c r="D739" s="15" t="n">
        <f aca="false">INDEX(Grid!$J$6:$P$156,C739+1,B739+1)</f>
        <v>1</v>
      </c>
      <c r="E739" s="16" t="n">
        <f aca="false">IF(D739=1,INDEX(Grid!$B$6:$H$156,C739+1,B739+1),"")</f>
        <v>115.208146939338</v>
      </c>
      <c r="F739" s="13" t="n">
        <f aca="false">Val_pt*(Ceiling_e-E_zero)*(1-(1-Half_gap)^B739)</f>
        <v>131.25</v>
      </c>
      <c r="G739" s="15" t="n">
        <f aca="false">C739</f>
        <v>129</v>
      </c>
      <c r="H739" s="15" t="n">
        <f aca="false">IF(D739=1,INDEX(Grid!$R$6:$X$156,C739+1,B739+1),"")</f>
        <v>45</v>
      </c>
      <c r="I739" s="2" t="str">
        <f aca="false">IF(D739=1,INDEX(Sch_label,H739+1),"")</f>
        <v>1, 3, 4, 6</v>
      </c>
      <c r="J739" s="15" t="n">
        <f aca="false">IF(D739=1,INDEX(Grid!$Z$6:$AF$156,C739+1,B739+1),0)</f>
        <v>1</v>
      </c>
      <c r="K739" s="16" t="n">
        <f aca="false">IF(J739=1,E739,0)</f>
        <v>115.208146939338</v>
      </c>
      <c r="L739" s="17" t="n">
        <f aca="false">IF(D739=1,E739+W_board*F739,"")</f>
        <v>856.08018013492</v>
      </c>
      <c r="M739" s="24" t="n">
        <v>0</v>
      </c>
      <c r="Q739" s="24" t="n">
        <v>4</v>
      </c>
      <c r="R739" s="24" t="n">
        <v>100</v>
      </c>
      <c r="S739" s="25" t="n">
        <v>0.309834134715365</v>
      </c>
      <c r="T739" s="24" t="n">
        <v>4</v>
      </c>
      <c r="U739" s="24" t="n">
        <v>150</v>
      </c>
      <c r="V739" s="25" t="n">
        <v>0.597864734911009</v>
      </c>
      <c r="W739" s="24" t="n">
        <v>5</v>
      </c>
      <c r="X739" s="24" t="n">
        <v>100</v>
      </c>
      <c r="Y739" s="25" t="n">
        <v>0.092301130373628</v>
      </c>
      <c r="Z739" s="12" t="str">
        <f aca="false">IF(AND($J739=1,$M739=1),N739*E739/Span_P+O739*F739/Span_S+P739*G739/Span_B,"")</f>
        <v/>
      </c>
      <c r="AA739" s="12" t="str">
        <f aca="false">IF(AND($J739=1,$M739=1),SUMPRODUCT(MAX($J$6:$J$1062*(N739*$K$6:$K$1062/Span_P+O739*$F$6:$F$1062/Span_S+P739*$G$6:$G$1062/Span_B)-(1-$J$6:$J$1062)*1000000000)),"")</f>
        <v/>
      </c>
      <c r="AB739" s="15" t="str">
        <f aca="false">IF(AND($J739=1,$M739=1),IF(AA739-Z739&lt;=0.000000001,1,0),"")</f>
        <v/>
      </c>
      <c r="AC739" s="13" t="n">
        <f aca="false">IF(AND($J739=1,$M739=0),IF(S739="",0,S739*INDEX(Grid!$B$6:$H$156,R739+1,Q739+1))+IF(V739="",0,V739*INDEX(Grid!$B$6:$H$156,U739+1,T739+1))+IF(Y739="",0,Y739*INDEX(Grid!$B$6:$H$156,X739+1,W739+1)),"")</f>
        <v>117.364510232275</v>
      </c>
      <c r="AD739" s="13" t="n">
        <f aca="false">IF(AND($J739=1,$M739=0),IF(S739="",0,S739*Val_pt*(Ceiling_e-E_zero)*(1-(1-Half_gap)^Q739))+IF(V739="",0,V739*Val_pt*(Ceiling_e-E_zero)*(1-(1-Half_gap)^T739))+IF(Y739="",0,Y739*Val_pt*(Ceiling_e-E_zero)*(1-(1-Half_gap)^W739)),"")</f>
        <v>131.653817445385</v>
      </c>
      <c r="AE739" s="13" t="n">
        <f aca="false">IF(AND($J739=1,$M739=0),IF(S739="",0,S739*R739)+IF(V739="",0,V739*U739)+IF(Y739="",0,Y739*X739),"")</f>
        <v>129.893236745551</v>
      </c>
      <c r="AF739" s="12" t="n">
        <f aca="false">IF(AND($J739=1,$M739=0),MIN((AC739-E739)/Span_P,(AD739-F739)/Span_S,(AE739-G739)/Span_B),"")</f>
        <v>0.00595491163700463</v>
      </c>
      <c r="AG739" s="15" t="n">
        <f aca="false">IF(AND($J739=1,$M739=0),IF(AF739&gt;0.0000001,1,0),"")</f>
        <v>1</v>
      </c>
      <c r="AH739" s="15" t="n">
        <f aca="false">IF($J739=1,IF($M739=1,AB739,AG739),"")</f>
        <v>1</v>
      </c>
      <c r="AI739" s="13" t="n">
        <f aca="false">IF($J739=1,(Ideal_P-E739)/Span_P,"")</f>
        <v>0.74276164034812</v>
      </c>
      <c r="AJ739" s="13" t="n">
        <f aca="false">IF($J739=1,(Ideal_S-F739)/Span_S,"")</f>
        <v>0.0967741935483871</v>
      </c>
      <c r="AK739" s="13" t="n">
        <f aca="false">IF($J739=1,(Ideal_B-G739)/Span_B,"")</f>
        <v>0.14</v>
      </c>
      <c r="AL739" s="12" t="n">
        <f aca="false">IF($J739=1,MAX(ChA_1*AI739,ChA_2*AJ739,ChA_3*AK739)+Rho*(ChA_1*AI739+ChA_2*AJ739+ChA_3*AK739),"")</f>
        <v>0.74285959393151</v>
      </c>
      <c r="AM739" s="12" t="n">
        <f aca="false">IF($J739=1,MAX(ChB_1*AI739,ChB_2*AJ739,ChB_3*AK739)+Rho*(ChB_1*AI739+ChB_2*AJ739+ChB_3*AK739),"")</f>
        <v>1.48569551044366</v>
      </c>
      <c r="AN739" s="12" t="n">
        <f aca="false">IF($J739=1,MAX(Cx_1*(Ref_P-E739)/Span_P,Cx_2*(Ref_S-F739)/Span_S,Cx_3*(Ref_B-G739)/Span_B),"")</f>
        <v>1.8799265461042</v>
      </c>
    </row>
    <row r="740" customFormat="false" ht="15" hidden="false" customHeight="false" outlineLevel="0" collapsed="false">
      <c r="A740" s="2" t="n">
        <v>734</v>
      </c>
      <c r="B740" s="15" t="n">
        <f aca="false">INT(A740/151)</f>
        <v>4</v>
      </c>
      <c r="C740" s="15" t="n">
        <f aca="false">MOD(A740,151)</f>
        <v>130</v>
      </c>
      <c r="D740" s="15" t="n">
        <f aca="false">INDEX(Grid!$J$6:$P$156,C740+1,B740+1)</f>
        <v>1</v>
      </c>
      <c r="E740" s="16" t="n">
        <f aca="false">IF(D740=1,INDEX(Grid!$B$6:$H$156,C740+1,B740+1),"")</f>
        <v>114.299056030247</v>
      </c>
      <c r="F740" s="13" t="n">
        <f aca="false">Val_pt*(Ceiling_e-E_zero)*(1-(1-Half_gap)^B740)</f>
        <v>131.25</v>
      </c>
      <c r="G740" s="15" t="n">
        <f aca="false">C740</f>
        <v>130</v>
      </c>
      <c r="H740" s="15" t="n">
        <f aca="false">IF(D740=1,INDEX(Grid!$R$6:$X$156,C740+1,B740+1),"")</f>
        <v>45</v>
      </c>
      <c r="I740" s="2" t="str">
        <f aca="false">IF(D740=1,INDEX(Sch_label,H740+1),"")</f>
        <v>1, 3, 4, 6</v>
      </c>
      <c r="J740" s="15" t="n">
        <f aca="false">IF(D740=1,INDEX(Grid!$Z$6:$AF$156,C740+1,B740+1),0)</f>
        <v>1</v>
      </c>
      <c r="K740" s="16" t="n">
        <f aca="false">IF(J740=1,E740,0)</f>
        <v>114.299056030247</v>
      </c>
      <c r="L740" s="17" t="n">
        <f aca="false">IF(D740=1,E740+W_board*F740,"")</f>
        <v>855.17108922583</v>
      </c>
      <c r="M740" s="24" t="n">
        <v>0</v>
      </c>
      <c r="Q740" s="24" t="n">
        <v>4</v>
      </c>
      <c r="R740" s="24" t="n">
        <v>100</v>
      </c>
      <c r="S740" s="25" t="n">
        <v>0.295080128300361</v>
      </c>
      <c r="T740" s="24" t="n">
        <v>4</v>
      </c>
      <c r="U740" s="24" t="n">
        <v>150</v>
      </c>
      <c r="V740" s="25" t="n">
        <v>0.617014033248589</v>
      </c>
      <c r="W740" s="24" t="n">
        <v>5</v>
      </c>
      <c r="X740" s="24" t="n">
        <v>100</v>
      </c>
      <c r="Y740" s="25" t="n">
        <v>0.0879058384510519</v>
      </c>
      <c r="Z740" s="12" t="str">
        <f aca="false">IF(AND($J740=1,$M740=1),N740*E740/Span_P+O740*F740/Span_S+P740*G740/Span_B,"")</f>
        <v/>
      </c>
      <c r="AA740" s="12" t="str">
        <f aca="false">IF(AND($J740=1,$M740=1),SUMPRODUCT(MAX($J$6:$J$1062*(N740*$K$6:$K$1062/Span_P+O740*$F$6:$F$1062/Span_S+P740*$G$6:$G$1062/Span_B)-(1-$J$6:$J$1062)*1000000000)),"")</f>
        <v/>
      </c>
      <c r="AB740" s="15" t="str">
        <f aca="false">IF(AND($J740=1,$M740=1),IF(AA740-Z740&lt;=0.000000001,1,0),"")</f>
        <v/>
      </c>
      <c r="AC740" s="13" t="n">
        <f aca="false">IF(AND($J740=1,$M740=0),IF(S740="",0,S740*INDEX(Grid!$B$6:$H$156,R740+1,Q740+1))+IF(V740="",0,V740*INDEX(Grid!$B$6:$H$156,U740+1,T740+1))+IF(Y740="",0,Y740*INDEX(Grid!$B$6:$H$156,X740+1,W740+1)),"")</f>
        <v>116.352735356855</v>
      </c>
      <c r="AD740" s="13" t="n">
        <f aca="false">IF(AND($J740=1,$M740=0),IF(S740="",0,S740*Val_pt*(Ceiling_e-E_zero)*(1-(1-Half_gap)^Q740))+IF(V740="",0,V740*Val_pt*(Ceiling_e-E_zero)*(1-(1-Half_gap)^T740))+IF(Y740="",0,Y740*Val_pt*(Ceiling_e-E_zero)*(1-(1-Half_gap)^W740)),"")</f>
        <v>131.634588043224</v>
      </c>
      <c r="AE740" s="13" t="n">
        <f aca="false">IF(AND($J740=1,$M740=0),IF(S740="",0,S740*R740)+IF(V740="",0,V740*U740)+IF(Y740="",0,Y740*X740),"")</f>
        <v>130.85070166243</v>
      </c>
      <c r="AF740" s="12" t="n">
        <f aca="false">IF(AND($J740=1,$M740=0),MIN((AC740-E740)/Span_P,(AD740-F740)/Span_S,(AE740-G740)/Span_B),"")</f>
        <v>0.00567134441619771</v>
      </c>
      <c r="AG740" s="15" t="n">
        <f aca="false">IF(AND($J740=1,$M740=0),IF(AF740&gt;0.0000001,1,0),"")</f>
        <v>1</v>
      </c>
      <c r="AH740" s="15" t="n">
        <f aca="false">IF($J740=1,IF($M740=1,AB740,AG740),"")</f>
        <v>1</v>
      </c>
      <c r="AI740" s="13" t="n">
        <f aca="false">IF($J740=1,(Ideal_P-E740)/Span_P,"")</f>
        <v>0.745272143124426</v>
      </c>
      <c r="AJ740" s="13" t="n">
        <f aca="false">IF($J740=1,(Ideal_S-F740)/Span_S,"")</f>
        <v>0.0967741935483871</v>
      </c>
      <c r="AK740" s="13" t="n">
        <f aca="false">IF($J740=1,(Ideal_B-G740)/Span_B,"")</f>
        <v>0.133333333333333</v>
      </c>
      <c r="AL740" s="12" t="n">
        <f aca="false">IF($J740=1,MAX(ChA_1*AI740,ChA_2*AJ740,ChA_3*AK740)+Rho*(ChA_1*AI740+ChA_2*AJ740+ChA_3*AK740),"")</f>
        <v>0.745369681091426</v>
      </c>
      <c r="AM740" s="12" t="n">
        <f aca="false">IF($J740=1,MAX(ChB_1*AI740,ChB_2*AJ740,ChB_3*AK740)+Rho*(ChB_1*AI740+ChB_2*AJ740+ChB_3*AK740),"")</f>
        <v>1.49071635143016</v>
      </c>
      <c r="AN740" s="12" t="n">
        <f aca="false">IF($J740=1,MAX(Cx_1*(Ref_P-E740)/Span_P,Cx_2*(Ref_S-F740)/Span_S,Cx_3*(Ref_B-G740)/Span_B),"")</f>
        <v>1.88619620778763</v>
      </c>
    </row>
    <row r="741" customFormat="false" ht="15" hidden="false" customHeight="false" outlineLevel="0" collapsed="false">
      <c r="A741" s="2" t="n">
        <v>735</v>
      </c>
      <c r="B741" s="15" t="n">
        <f aca="false">INT(A741/151)</f>
        <v>4</v>
      </c>
      <c r="C741" s="15" t="n">
        <f aca="false">MOD(A741,151)</f>
        <v>131</v>
      </c>
      <c r="D741" s="15" t="n">
        <f aca="false">INDEX(Grid!$J$6:$P$156,C741+1,B741+1)</f>
        <v>1</v>
      </c>
      <c r="E741" s="16" t="n">
        <f aca="false">IF(D741=1,INDEX(Grid!$B$6:$H$156,C741+1,B741+1),"")</f>
        <v>113.389965121156</v>
      </c>
      <c r="F741" s="13" t="n">
        <f aca="false">Val_pt*(Ceiling_e-E_zero)*(1-(1-Half_gap)^B741)</f>
        <v>131.25</v>
      </c>
      <c r="G741" s="15" t="n">
        <f aca="false">C741</f>
        <v>131</v>
      </c>
      <c r="H741" s="15" t="n">
        <f aca="false">IF(D741=1,INDEX(Grid!$R$6:$X$156,C741+1,B741+1),"")</f>
        <v>45</v>
      </c>
      <c r="I741" s="2" t="str">
        <f aca="false">IF(D741=1,INDEX(Sch_label,H741+1),"")</f>
        <v>1, 3, 4, 6</v>
      </c>
      <c r="J741" s="15" t="n">
        <f aca="false">IF(D741=1,INDEX(Grid!$Z$6:$AF$156,C741+1,B741+1),0)</f>
        <v>1</v>
      </c>
      <c r="K741" s="16" t="n">
        <f aca="false">IF(J741=1,E741,0)</f>
        <v>113.389965121156</v>
      </c>
      <c r="L741" s="17" t="n">
        <f aca="false">IF(D741=1,E741+W_board*F741,"")</f>
        <v>854.261998316739</v>
      </c>
      <c r="M741" s="24" t="n">
        <v>0</v>
      </c>
      <c r="Q741" s="24" t="n">
        <v>4</v>
      </c>
      <c r="R741" s="24" t="n">
        <v>100</v>
      </c>
      <c r="S741" s="25" t="n">
        <v>0.280326121885364</v>
      </c>
      <c r="T741" s="24" t="n">
        <v>4</v>
      </c>
      <c r="U741" s="24" t="n">
        <v>150</v>
      </c>
      <c r="V741" s="25" t="n">
        <v>0.636163331586182</v>
      </c>
      <c r="W741" s="24" t="n">
        <v>5</v>
      </c>
      <c r="X741" s="24" t="n">
        <v>100</v>
      </c>
      <c r="Y741" s="25" t="n">
        <v>0.0835105465284669</v>
      </c>
      <c r="Z741" s="12" t="str">
        <f aca="false">IF(AND($J741=1,$M741=1),N741*E741/Span_P+O741*F741/Span_S+P741*G741/Span_B,"")</f>
        <v/>
      </c>
      <c r="AA741" s="12" t="str">
        <f aca="false">IF(AND($J741=1,$M741=1),SUMPRODUCT(MAX($J$6:$J$1062*(N741*$K$6:$K$1062/Span_P+O741*$F$6:$F$1062/Span_S+P741*$G$6:$G$1062/Span_B)-(1-$J$6:$J$1062)*1000000000)),"")</f>
        <v/>
      </c>
      <c r="AB741" s="15" t="str">
        <f aca="false">IF(AND($J741=1,$M741=1),IF(AA741-Z741&lt;=0.000000001,1,0),"")</f>
        <v/>
      </c>
      <c r="AC741" s="13" t="n">
        <f aca="false">IF(AND($J741=1,$M741=0),IF(S741="",0,S741*INDEX(Grid!$B$6:$H$156,R741+1,Q741+1))+IF(V741="",0,V741*INDEX(Grid!$B$6:$H$156,U741+1,T741+1))+IF(Y741="",0,Y741*INDEX(Grid!$B$6:$H$156,X741+1,W741+1)),"")</f>
        <v>115.340960481436</v>
      </c>
      <c r="AD741" s="13" t="n">
        <f aca="false">IF(AND($J741=1,$M741=0),IF(S741="",0,S741*Val_pt*(Ceiling_e-E_zero)*(1-(1-Half_gap)^Q741))+IF(V741="",0,V741*Val_pt*(Ceiling_e-E_zero)*(1-(1-Half_gap)^T741))+IF(Y741="",0,Y741*Val_pt*(Ceiling_e-E_zero)*(1-(1-Half_gap)^W741)),"")</f>
        <v>131.615358641064</v>
      </c>
      <c r="AE741" s="13" t="n">
        <f aca="false">IF(AND($J741=1,$M741=0),IF(S741="",0,S741*R741)+IF(V741="",0,V741*U741)+IF(Y741="",0,Y741*X741),"")</f>
        <v>131.80816657931</v>
      </c>
      <c r="AF741" s="12" t="n">
        <f aca="false">IF(AND($J741=1,$M741=0),MIN((AC741-E741)/Span_P,(AD741-F741)/Span_S,(AE741-G741)/Span_B),"")</f>
        <v>0.00538777719539803</v>
      </c>
      <c r="AG741" s="15" t="n">
        <f aca="false">IF(AND($J741=1,$M741=0),IF(AF741&gt;0.0000001,1,0),"")</f>
        <v>1</v>
      </c>
      <c r="AH741" s="15" t="n">
        <f aca="false">IF($J741=1,IF($M741=1,AB741,AG741),"")</f>
        <v>1</v>
      </c>
      <c r="AI741" s="13" t="n">
        <f aca="false">IF($J741=1,(Ideal_P-E741)/Span_P,"")</f>
        <v>0.747782645900731</v>
      </c>
      <c r="AJ741" s="13" t="n">
        <f aca="false">IF($J741=1,(Ideal_S-F741)/Span_S,"")</f>
        <v>0.0967741935483871</v>
      </c>
      <c r="AK741" s="13" t="n">
        <f aca="false">IF($J741=1,(Ideal_B-G741)/Span_B,"")</f>
        <v>0.126666666666667</v>
      </c>
      <c r="AL741" s="12" t="n">
        <f aca="false">IF($J741=1,MAX(ChA_1*AI741,ChA_2*AJ741,ChA_3*AK741)+Rho*(ChA_1*AI741+ChA_2*AJ741+ChA_3*AK741),"")</f>
        <v>0.747879768251343</v>
      </c>
      <c r="AM741" s="12" t="n">
        <f aca="false">IF($J741=1,MAX(ChB_1*AI741,ChB_2*AJ741,ChB_3*AK741)+Rho*(ChB_1*AI741+ChB_2*AJ741+ChB_3*AK741),"")</f>
        <v>1.49573719241666</v>
      </c>
      <c r="AN741" s="12" t="n">
        <f aca="false">IF($J741=1,MAX(Cx_1*(Ref_P-E741)/Span_P,Cx_2*(Ref_S-F741)/Span_S,Cx_3*(Ref_B-G741)/Span_B),"")</f>
        <v>1.89246586947106</v>
      </c>
    </row>
    <row r="742" customFormat="false" ht="15" hidden="false" customHeight="false" outlineLevel="0" collapsed="false">
      <c r="A742" s="2" t="n">
        <v>736</v>
      </c>
      <c r="B742" s="15" t="n">
        <f aca="false">INT(A742/151)</f>
        <v>4</v>
      </c>
      <c r="C742" s="15" t="n">
        <f aca="false">MOD(A742,151)</f>
        <v>132</v>
      </c>
      <c r="D742" s="15" t="n">
        <f aca="false">INDEX(Grid!$J$6:$P$156,C742+1,B742+1)</f>
        <v>1</v>
      </c>
      <c r="E742" s="16" t="n">
        <f aca="false">IF(D742=1,INDEX(Grid!$B$6:$H$156,C742+1,B742+1),"")</f>
        <v>112.480874212065</v>
      </c>
      <c r="F742" s="13" t="n">
        <f aca="false">Val_pt*(Ceiling_e-E_zero)*(1-(1-Half_gap)^B742)</f>
        <v>131.25</v>
      </c>
      <c r="G742" s="15" t="n">
        <f aca="false">C742</f>
        <v>132</v>
      </c>
      <c r="H742" s="15" t="n">
        <f aca="false">IF(D742=1,INDEX(Grid!$R$6:$X$156,C742+1,B742+1),"")</f>
        <v>45</v>
      </c>
      <c r="I742" s="2" t="str">
        <f aca="false">IF(D742=1,INDEX(Sch_label,H742+1),"")</f>
        <v>1, 3, 4, 6</v>
      </c>
      <c r="J742" s="15" t="n">
        <f aca="false">IF(D742=1,INDEX(Grid!$Z$6:$AF$156,C742+1,B742+1),0)</f>
        <v>1</v>
      </c>
      <c r="K742" s="16" t="n">
        <f aca="false">IF(J742=1,E742,0)</f>
        <v>112.480874212065</v>
      </c>
      <c r="L742" s="17" t="n">
        <f aca="false">IF(D742=1,E742+W_board*F742,"")</f>
        <v>853.352907407648</v>
      </c>
      <c r="M742" s="24" t="n">
        <v>0</v>
      </c>
      <c r="Q742" s="24" t="n">
        <v>4</v>
      </c>
      <c r="R742" s="24" t="n">
        <v>100</v>
      </c>
      <c r="S742" s="25" t="n">
        <v>0.265572115470316</v>
      </c>
      <c r="T742" s="24" t="n">
        <v>4</v>
      </c>
      <c r="U742" s="24" t="n">
        <v>150</v>
      </c>
      <c r="V742" s="25" t="n">
        <v>0.655312629923731</v>
      </c>
      <c r="W742" s="24" t="n">
        <v>5</v>
      </c>
      <c r="X742" s="24" t="n">
        <v>100</v>
      </c>
      <c r="Y742" s="25" t="n">
        <v>0.0791152546059491</v>
      </c>
      <c r="Z742" s="12" t="str">
        <f aca="false">IF(AND($J742=1,$M742=1),N742*E742/Span_P+O742*F742/Span_S+P742*G742/Span_B,"")</f>
        <v/>
      </c>
      <c r="AA742" s="12" t="str">
        <f aca="false">IF(AND($J742=1,$M742=1),SUMPRODUCT(MAX($J$6:$J$1062*(N742*$K$6:$K$1062/Span_P+O742*$F$6:$F$1062/Span_S+P742*$G$6:$G$1062/Span_B)-(1-$J$6:$J$1062)*1000000000)),"")</f>
        <v/>
      </c>
      <c r="AB742" s="15" t="str">
        <f aca="false">IF(AND($J742=1,$M742=1),IF(AA742-Z742&lt;=0.000000001,1,0),"")</f>
        <v/>
      </c>
      <c r="AC742" s="13" t="n">
        <f aca="false">IF(AND($J742=1,$M742=0),IF(S742="",0,S742*INDEX(Grid!$B$6:$H$156,R742+1,Q742+1))+IF(V742="",0,V742*INDEX(Grid!$B$6:$H$156,U742+1,T742+1))+IF(Y742="",0,Y742*INDEX(Grid!$B$6:$H$156,X742+1,W742+1)),"")</f>
        <v>114.329185606011</v>
      </c>
      <c r="AD742" s="13" t="n">
        <f aca="false">IF(AND($J742=1,$M742=0),IF(S742="",0,S742*Val_pt*(Ceiling_e-E_zero)*(1-(1-Half_gap)^Q742))+IF(V742="",0,V742*Val_pt*(Ceiling_e-E_zero)*(1-(1-Half_gap)^T742))+IF(Y742="",0,Y742*Val_pt*(Ceiling_e-E_zero)*(1-(1-Half_gap)^W742)),"")</f>
        <v>131.596129238901</v>
      </c>
      <c r="AE742" s="13" t="n">
        <f aca="false">IF(AND($J742=1,$M742=0),IF(S742="",0,S742*R742)+IF(V742="",0,V742*U742)+IF(Y742="",0,Y742*X742),"")</f>
        <v>132.765631496186</v>
      </c>
      <c r="AF742" s="12" t="n">
        <f aca="false">IF(AND($J742=1,$M742=0),MIN((AC742-E742)/Span_P,(AD742-F742)/Span_S,(AE742-G742)/Span_B),"")</f>
        <v>0.00510420997456941</v>
      </c>
      <c r="AG742" s="15" t="n">
        <f aca="false">IF(AND($J742=1,$M742=0),IF(AF742&gt;0.0000001,1,0),"")</f>
        <v>1</v>
      </c>
      <c r="AH742" s="15" t="n">
        <f aca="false">IF($J742=1,IF($M742=1,AB742,AG742),"")</f>
        <v>1</v>
      </c>
      <c r="AI742" s="13" t="n">
        <f aca="false">IF($J742=1,(Ideal_P-E742)/Span_P,"")</f>
        <v>0.750293148677037</v>
      </c>
      <c r="AJ742" s="13" t="n">
        <f aca="false">IF($J742=1,(Ideal_S-F742)/Span_S,"")</f>
        <v>0.0967741935483871</v>
      </c>
      <c r="AK742" s="13" t="n">
        <f aca="false">IF($J742=1,(Ideal_B-G742)/Span_B,"")</f>
        <v>0.12</v>
      </c>
      <c r="AL742" s="12" t="n">
        <f aca="false">IF($J742=1,MAX(ChA_1*AI742,ChA_2*AJ742,ChA_3*AK742)+Rho*(ChA_1*AI742+ChA_2*AJ742+ChA_3*AK742),"")</f>
        <v>0.75038985541126</v>
      </c>
      <c r="AM742" s="12" t="n">
        <f aca="false">IF($J742=1,MAX(ChB_1*AI742,ChB_2*AJ742,ChB_3*AK742)+Rho*(ChB_1*AI742+ChB_2*AJ742+ChB_3*AK742),"")</f>
        <v>1.50075803340316</v>
      </c>
      <c r="AN742" s="12" t="n">
        <f aca="false">IF($J742=1,MAX(Cx_1*(Ref_P-E742)/Span_P,Cx_2*(Ref_S-F742)/Span_S,Cx_3*(Ref_B-G742)/Span_B),"")</f>
        <v>1.89873553115449</v>
      </c>
    </row>
    <row r="743" customFormat="false" ht="15" hidden="false" customHeight="false" outlineLevel="0" collapsed="false">
      <c r="A743" s="2" t="n">
        <v>737</v>
      </c>
      <c r="B743" s="15" t="n">
        <f aca="false">INT(A743/151)</f>
        <v>4</v>
      </c>
      <c r="C743" s="15" t="n">
        <f aca="false">MOD(A743,151)</f>
        <v>133</v>
      </c>
      <c r="D743" s="15" t="n">
        <f aca="false">INDEX(Grid!$J$6:$P$156,C743+1,B743+1)</f>
        <v>1</v>
      </c>
      <c r="E743" s="16" t="n">
        <f aca="false">IF(D743=1,INDEX(Grid!$B$6:$H$156,C743+1,B743+1),"")</f>
        <v>111.571783302974</v>
      </c>
      <c r="F743" s="13" t="n">
        <f aca="false">Val_pt*(Ceiling_e-E_zero)*(1-(1-Half_gap)^B743)</f>
        <v>131.25</v>
      </c>
      <c r="G743" s="15" t="n">
        <f aca="false">C743</f>
        <v>133</v>
      </c>
      <c r="H743" s="15" t="n">
        <f aca="false">IF(D743=1,INDEX(Grid!$R$6:$X$156,C743+1,B743+1),"")</f>
        <v>45</v>
      </c>
      <c r="I743" s="2" t="str">
        <f aca="false">IF(D743=1,INDEX(Sch_label,H743+1),"")</f>
        <v>1, 3, 4, 6</v>
      </c>
      <c r="J743" s="15" t="n">
        <f aca="false">IF(D743=1,INDEX(Grid!$Z$6:$AF$156,C743+1,B743+1),0)</f>
        <v>1</v>
      </c>
      <c r="K743" s="16" t="n">
        <f aca="false">IF(J743=1,E743,0)</f>
        <v>111.571783302974</v>
      </c>
      <c r="L743" s="17" t="n">
        <f aca="false">IF(D743=1,E743+W_board*F743,"")</f>
        <v>852.443816498557</v>
      </c>
      <c r="M743" s="24" t="n">
        <v>0</v>
      </c>
      <c r="Q743" s="24" t="n">
        <v>4</v>
      </c>
      <c r="R743" s="24" t="n">
        <v>100</v>
      </c>
      <c r="S743" s="25" t="n">
        <v>0.250818109055282</v>
      </c>
      <c r="T743" s="24" t="n">
        <v>4</v>
      </c>
      <c r="U743" s="24" t="n">
        <v>150</v>
      </c>
      <c r="V743" s="25" t="n">
        <v>0.674461928261289</v>
      </c>
      <c r="W743" s="24" t="n">
        <v>5</v>
      </c>
      <c r="X743" s="24" t="n">
        <v>100</v>
      </c>
      <c r="Y743" s="25" t="n">
        <v>0.0747199626834186</v>
      </c>
      <c r="Z743" s="12" t="str">
        <f aca="false">IF(AND($J743=1,$M743=1),N743*E743/Span_P+O743*F743/Span_S+P743*G743/Span_B,"")</f>
        <v/>
      </c>
      <c r="AA743" s="12" t="str">
        <f aca="false">IF(AND($J743=1,$M743=1),SUMPRODUCT(MAX($J$6:$J$1062*(N743*$K$6:$K$1062/Span_P+O743*$F$6:$F$1062/Span_S+P743*$G$6:$G$1062/Span_B)-(1-$J$6:$J$1062)*1000000000)),"")</f>
        <v/>
      </c>
      <c r="AB743" s="15" t="str">
        <f aca="false">IF(AND($J743=1,$M743=1),IF(AA743-Z743&lt;=0.000000001,1,0),"")</f>
        <v/>
      </c>
      <c r="AC743" s="13" t="n">
        <f aca="false">IF(AND($J743=1,$M743=0),IF(S743="",0,S743*INDEX(Grid!$B$6:$H$156,R743+1,Q743+1))+IF(V743="",0,V743*INDEX(Grid!$B$6:$H$156,U743+1,T743+1))+IF(Y743="",0,Y743*INDEX(Grid!$B$6:$H$156,X743+1,W743+1)),"")</f>
        <v>113.317410730588</v>
      </c>
      <c r="AD743" s="13" t="n">
        <f aca="false">IF(AND($J743=1,$M743=0),IF(S743="",0,S743*Val_pt*(Ceiling_e-E_zero)*(1-(1-Half_gap)^Q743))+IF(V743="",0,V743*Val_pt*(Ceiling_e-E_zero)*(1-(1-Half_gap)^T743))+IF(Y743="",0,Y743*Val_pt*(Ceiling_e-E_zero)*(1-(1-Half_gap)^W743)),"")</f>
        <v>131.576899836739</v>
      </c>
      <c r="AE743" s="13" t="n">
        <f aca="false">IF(AND($J743=1,$M743=0),IF(S743="",0,S743*R743)+IF(V743="",0,V743*U743)+IF(Y743="",0,Y743*X743),"")</f>
        <v>133.723096413063</v>
      </c>
      <c r="AF743" s="12" t="n">
        <f aca="false">IF(AND($J743=1,$M743=0),MIN((AC743-E743)/Span_P,(AD743-F743)/Span_S,(AE743-G743)/Span_B),"")</f>
        <v>0.00482064275374922</v>
      </c>
      <c r="AG743" s="15" t="n">
        <f aca="false">IF(AND($J743=1,$M743=0),IF(AF743&gt;0.0000001,1,0),"")</f>
        <v>1</v>
      </c>
      <c r="AH743" s="15" t="n">
        <f aca="false">IF($J743=1,IF($M743=1,AB743,AG743),"")</f>
        <v>1</v>
      </c>
      <c r="AI743" s="13" t="n">
        <f aca="false">IF($J743=1,(Ideal_P-E743)/Span_P,"")</f>
        <v>0.752803651453343</v>
      </c>
      <c r="AJ743" s="13" t="n">
        <f aca="false">IF($J743=1,(Ideal_S-F743)/Span_S,"")</f>
        <v>0.0967741935483871</v>
      </c>
      <c r="AK743" s="13" t="n">
        <f aca="false">IF($J743=1,(Ideal_B-G743)/Span_B,"")</f>
        <v>0.113333333333333</v>
      </c>
      <c r="AL743" s="12" t="n">
        <f aca="false">IF($J743=1,MAX(ChA_1*AI743,ChA_2*AJ743,ChA_3*AK743)+Rho*(ChA_1*AI743+ChA_2*AJ743+ChA_3*AK743),"")</f>
        <v>0.752899942571176</v>
      </c>
      <c r="AM743" s="12" t="n">
        <f aca="false">IF($J743=1,MAX(ChB_1*AI743,ChB_2*AJ743,ChB_3*AK743)+Rho*(ChB_1*AI743+ChB_2*AJ743+ChB_3*AK743),"")</f>
        <v>1.50577887438966</v>
      </c>
      <c r="AN743" s="12" t="n">
        <f aca="false">IF($J743=1,MAX(Cx_1*(Ref_P-E743)/Span_P,Cx_2*(Ref_S-F743)/Span_S,Cx_3*(Ref_B-G743)/Span_B),"")</f>
        <v>1.90500519283792</v>
      </c>
    </row>
    <row r="744" customFormat="false" ht="15" hidden="false" customHeight="false" outlineLevel="0" collapsed="false">
      <c r="A744" s="2" t="n">
        <v>738</v>
      </c>
      <c r="B744" s="15" t="n">
        <f aca="false">INT(A744/151)</f>
        <v>4</v>
      </c>
      <c r="C744" s="15" t="n">
        <f aca="false">MOD(A744,151)</f>
        <v>134</v>
      </c>
      <c r="D744" s="15" t="n">
        <f aca="false">INDEX(Grid!$J$6:$P$156,C744+1,B744+1)</f>
        <v>1</v>
      </c>
      <c r="E744" s="16" t="n">
        <f aca="false">IF(D744=1,INDEX(Grid!$B$6:$H$156,C744+1,B744+1),"")</f>
        <v>110.662692393883</v>
      </c>
      <c r="F744" s="13" t="n">
        <f aca="false">Val_pt*(Ceiling_e-E_zero)*(1-(1-Half_gap)^B744)</f>
        <v>131.25</v>
      </c>
      <c r="G744" s="15" t="n">
        <f aca="false">C744</f>
        <v>134</v>
      </c>
      <c r="H744" s="15" t="n">
        <f aca="false">IF(D744=1,INDEX(Grid!$R$6:$X$156,C744+1,B744+1),"")</f>
        <v>45</v>
      </c>
      <c r="I744" s="2" t="str">
        <f aca="false">IF(D744=1,INDEX(Sch_label,H744+1),"")</f>
        <v>1, 3, 4, 6</v>
      </c>
      <c r="J744" s="15" t="n">
        <f aca="false">IF(D744=1,INDEX(Grid!$Z$6:$AF$156,C744+1,B744+1),0)</f>
        <v>1</v>
      </c>
      <c r="K744" s="16" t="n">
        <f aca="false">IF(J744=1,E744,0)</f>
        <v>110.662692393883</v>
      </c>
      <c r="L744" s="17" t="n">
        <f aca="false">IF(D744=1,E744+W_board*F744,"")</f>
        <v>851.534725589466</v>
      </c>
      <c r="M744" s="24" t="n">
        <v>0</v>
      </c>
      <c r="Q744" s="24" t="n">
        <v>4</v>
      </c>
      <c r="R744" s="24" t="n">
        <v>100</v>
      </c>
      <c r="S744" s="25" t="n">
        <v>0.236064102640264</v>
      </c>
      <c r="T744" s="24" t="n">
        <v>4</v>
      </c>
      <c r="U744" s="24" t="n">
        <v>150</v>
      </c>
      <c r="V744" s="25" t="n">
        <v>0.693611226598861</v>
      </c>
      <c r="W744" s="24" t="n">
        <v>5</v>
      </c>
      <c r="X744" s="24" t="n">
        <v>100</v>
      </c>
      <c r="Y744" s="25" t="n">
        <v>0.0703246707608624</v>
      </c>
      <c r="Z744" s="12" t="str">
        <f aca="false">IF(AND($J744=1,$M744=1),N744*E744/Span_P+O744*F744/Span_S+P744*G744/Span_B,"")</f>
        <v/>
      </c>
      <c r="AA744" s="12" t="str">
        <f aca="false">IF(AND($J744=1,$M744=1),SUMPRODUCT(MAX($J$6:$J$1062*(N744*$K$6:$K$1062/Span_P+O744*$F$6:$F$1062/Span_S+P744*$G$6:$G$1062/Span_B)-(1-$J$6:$J$1062)*1000000000)),"")</f>
        <v/>
      </c>
      <c r="AB744" s="15" t="str">
        <f aca="false">IF(AND($J744=1,$M744=1),IF(AA744-Z744&lt;=0.000000001,1,0),"")</f>
        <v/>
      </c>
      <c r="AC744" s="13" t="n">
        <f aca="false">IF(AND($J744=1,$M744=0),IF(S744="",0,S744*INDEX(Grid!$B$6:$H$156,R744+1,Q744+1))+IF(V744="",0,V744*INDEX(Grid!$B$6:$H$156,U744+1,T744+1))+IF(Y744="",0,Y744*INDEX(Grid!$B$6:$H$156,X744+1,W744+1)),"")</f>
        <v>112.305635855167</v>
      </c>
      <c r="AD744" s="13" t="n">
        <f aca="false">IF(AND($J744=1,$M744=0),IF(S744="",0,S744*Val_pt*(Ceiling_e-E_zero)*(1-(1-Half_gap)^Q744))+IF(V744="",0,V744*Val_pt*(Ceiling_e-E_zero)*(1-(1-Half_gap)^T744))+IF(Y744="",0,Y744*Val_pt*(Ceiling_e-E_zero)*(1-(1-Half_gap)^W744)),"")</f>
        <v>131.557670434577</v>
      </c>
      <c r="AE744" s="13" t="n">
        <f aca="false">IF(AND($J744=1,$M744=0),IF(S744="",0,S744*R744)+IF(V744="",0,V744*U744)+IF(Y744="",0,Y744*X744),"")</f>
        <v>134.680561329942</v>
      </c>
      <c r="AF744" s="12" t="n">
        <f aca="false">IF(AND($J744=1,$M744=0),MIN((AC744-E744)/Span_P,(AD744-F744)/Span_S,(AE744-G744)/Span_B),"")</f>
        <v>0.00453707553293573</v>
      </c>
      <c r="AG744" s="15" t="n">
        <f aca="false">IF(AND($J744=1,$M744=0),IF(AF744&gt;0.0000001,1,0),"")</f>
        <v>1</v>
      </c>
      <c r="AH744" s="15" t="n">
        <f aca="false">IF($J744=1,IF($M744=1,AB744,AG744),"")</f>
        <v>1</v>
      </c>
      <c r="AI744" s="13" t="n">
        <f aca="false">IF($J744=1,(Ideal_P-E744)/Span_P,"")</f>
        <v>0.755314154229649</v>
      </c>
      <c r="AJ744" s="13" t="n">
        <f aca="false">IF($J744=1,(Ideal_S-F744)/Span_S,"")</f>
        <v>0.0967741935483871</v>
      </c>
      <c r="AK744" s="13" t="n">
        <f aca="false">IF($J744=1,(Ideal_B-G744)/Span_B,"")</f>
        <v>0.106666666666667</v>
      </c>
      <c r="AL744" s="12" t="n">
        <f aca="false">IF($J744=1,MAX(ChA_1*AI744,ChA_2*AJ744,ChA_3*AK744)+Rho*(ChA_1*AI744+ChA_2*AJ744+ChA_3*AK744),"")</f>
        <v>0.755410029731093</v>
      </c>
      <c r="AM744" s="12" t="n">
        <f aca="false">IF($J744=1,MAX(ChB_1*AI744,ChB_2*AJ744,ChB_3*AK744)+Rho*(ChB_1*AI744+ChB_2*AJ744+ChB_3*AK744),"")</f>
        <v>1.51079971537617</v>
      </c>
      <c r="AN744" s="12" t="n">
        <f aca="false">IF($J744=1,MAX(Cx_1*(Ref_P-E744)/Span_P,Cx_2*(Ref_S-F744)/Span_S,Cx_3*(Ref_B-G744)/Span_B),"")</f>
        <v>1.91127485452135</v>
      </c>
    </row>
    <row r="745" customFormat="false" ht="15" hidden="false" customHeight="false" outlineLevel="0" collapsed="false">
      <c r="A745" s="2" t="n">
        <v>739</v>
      </c>
      <c r="B745" s="15" t="n">
        <f aca="false">INT(A745/151)</f>
        <v>4</v>
      </c>
      <c r="C745" s="15" t="n">
        <f aca="false">MOD(A745,151)</f>
        <v>135</v>
      </c>
      <c r="D745" s="15" t="n">
        <f aca="false">INDEX(Grid!$J$6:$P$156,C745+1,B745+1)</f>
        <v>1</v>
      </c>
      <c r="E745" s="16" t="n">
        <f aca="false">IF(D745=1,INDEX(Grid!$B$6:$H$156,C745+1,B745+1),"")</f>
        <v>109.753601484792</v>
      </c>
      <c r="F745" s="13" t="n">
        <f aca="false">Val_pt*(Ceiling_e-E_zero)*(1-(1-Half_gap)^B745)</f>
        <v>131.25</v>
      </c>
      <c r="G745" s="15" t="n">
        <f aca="false">C745</f>
        <v>135</v>
      </c>
      <c r="H745" s="15" t="n">
        <f aca="false">IF(D745=1,INDEX(Grid!$R$6:$X$156,C745+1,B745+1),"")</f>
        <v>45</v>
      </c>
      <c r="I745" s="2" t="str">
        <f aca="false">IF(D745=1,INDEX(Sch_label,H745+1),"")</f>
        <v>1, 3, 4, 6</v>
      </c>
      <c r="J745" s="15" t="n">
        <f aca="false">IF(D745=1,INDEX(Grid!$Z$6:$AF$156,C745+1,B745+1),0)</f>
        <v>1</v>
      </c>
      <c r="K745" s="16" t="n">
        <f aca="false">IF(J745=1,E745,0)</f>
        <v>109.753601484792</v>
      </c>
      <c r="L745" s="17" t="n">
        <f aca="false">IF(D745=1,E745+W_board*F745,"")</f>
        <v>850.625634680375</v>
      </c>
      <c r="M745" s="24" t="n">
        <v>0</v>
      </c>
      <c r="Q745" s="24" t="n">
        <v>4</v>
      </c>
      <c r="R745" s="24" t="n">
        <v>100</v>
      </c>
      <c r="S745" s="25" t="n">
        <v>0.22131009622524</v>
      </c>
      <c r="T745" s="24" t="n">
        <v>4</v>
      </c>
      <c r="U745" s="24" t="n">
        <v>150</v>
      </c>
      <c r="V745" s="25" t="n">
        <v>0.712760524936435</v>
      </c>
      <c r="W745" s="24" t="n">
        <v>5</v>
      </c>
      <c r="X745" s="24" t="n">
        <v>100</v>
      </c>
      <c r="Y745" s="25" t="n">
        <v>0.0659293788383225</v>
      </c>
      <c r="Z745" s="12" t="str">
        <f aca="false">IF(AND($J745=1,$M745=1),N745*E745/Span_P+O745*F745/Span_S+P745*G745/Span_B,"")</f>
        <v/>
      </c>
      <c r="AA745" s="12" t="str">
        <f aca="false">IF(AND($J745=1,$M745=1),SUMPRODUCT(MAX($J$6:$J$1062*(N745*$K$6:$K$1062/Span_P+O745*$F$6:$F$1062/Span_S+P745*$G$6:$G$1062/Span_B)-(1-$J$6:$J$1062)*1000000000)),"")</f>
        <v/>
      </c>
      <c r="AB745" s="15" t="str">
        <f aca="false">IF(AND($J745=1,$M745=1),IF(AA745-Z745&lt;=0.000000001,1,0),"")</f>
        <v/>
      </c>
      <c r="AC745" s="13" t="n">
        <f aca="false">IF(AND($J745=1,$M745=0),IF(S745="",0,S745*INDEX(Grid!$B$6:$H$156,R745+1,Q745+1))+IF(V745="",0,V745*INDEX(Grid!$B$6:$H$156,U745+1,T745+1))+IF(Y745="",0,Y745*INDEX(Grid!$B$6:$H$156,X745+1,W745+1)),"")</f>
        <v>111.293860979746</v>
      </c>
      <c r="AD745" s="13" t="n">
        <f aca="false">IF(AND($J745=1,$M745=0),IF(S745="",0,S745*Val_pt*(Ceiling_e-E_zero)*(1-(1-Half_gap)^Q745))+IF(V745="",0,V745*Val_pt*(Ceiling_e-E_zero)*(1-(1-Half_gap)^T745))+IF(Y745="",0,Y745*Val_pt*(Ceiling_e-E_zero)*(1-(1-Half_gap)^W745)),"")</f>
        <v>131.538441032417</v>
      </c>
      <c r="AE745" s="13" t="n">
        <f aca="false">IF(AND($J745=1,$M745=0),IF(S745="",0,S745*R745)+IF(V745="",0,V745*U745)+IF(Y745="",0,Y745*X745),"")</f>
        <v>135.638026246822</v>
      </c>
      <c r="AF745" s="12" t="n">
        <f aca="false">IF(AND($J745=1,$M745=0),MIN((AC745-E745)/Span_P,(AD745-F745)/Span_S,(AE745-G745)/Span_B),"")</f>
        <v>0.00425350831214307</v>
      </c>
      <c r="AG745" s="15" t="n">
        <f aca="false">IF(AND($J745=1,$M745=0),IF(AF745&gt;0.0000001,1,0),"")</f>
        <v>1</v>
      </c>
      <c r="AH745" s="15" t="n">
        <f aca="false">IF($J745=1,IF($M745=1,AB745,AG745),"")</f>
        <v>1</v>
      </c>
      <c r="AI745" s="13" t="n">
        <f aca="false">IF($J745=1,(Ideal_P-E745)/Span_P,"")</f>
        <v>0.757824657005955</v>
      </c>
      <c r="AJ745" s="13" t="n">
        <f aca="false">IF($J745=1,(Ideal_S-F745)/Span_S,"")</f>
        <v>0.0967741935483871</v>
      </c>
      <c r="AK745" s="13" t="n">
        <f aca="false">IF($J745=1,(Ideal_B-G745)/Span_B,"")</f>
        <v>0.1</v>
      </c>
      <c r="AL745" s="12" t="n">
        <f aca="false">IF($J745=1,MAX(ChA_1*AI745,ChA_2*AJ745,ChA_3*AK745)+Rho*(ChA_1*AI745+ChA_2*AJ745+ChA_3*AK745),"")</f>
        <v>0.75792011689101</v>
      </c>
      <c r="AM745" s="12" t="n">
        <f aca="false">IF($J745=1,MAX(ChB_1*AI745,ChB_2*AJ745,ChB_3*AK745)+Rho*(ChB_1*AI745+ChB_2*AJ745+ChB_3*AK745),"")</f>
        <v>1.51582055636267</v>
      </c>
      <c r="AN745" s="12" t="n">
        <f aca="false">IF($J745=1,MAX(Cx_1*(Ref_P-E745)/Span_P,Cx_2*(Ref_S-F745)/Span_S,Cx_3*(Ref_B-G745)/Span_B),"")</f>
        <v>1.91754451620477</v>
      </c>
    </row>
    <row r="746" customFormat="false" ht="15" hidden="false" customHeight="false" outlineLevel="0" collapsed="false">
      <c r="A746" s="2" t="n">
        <v>740</v>
      </c>
      <c r="B746" s="15" t="n">
        <f aca="false">INT(A746/151)</f>
        <v>4</v>
      </c>
      <c r="C746" s="15" t="n">
        <f aca="false">MOD(A746,151)</f>
        <v>136</v>
      </c>
      <c r="D746" s="15" t="n">
        <f aca="false">INDEX(Grid!$J$6:$P$156,C746+1,B746+1)</f>
        <v>1</v>
      </c>
      <c r="E746" s="16" t="n">
        <f aca="false">IF(D746=1,INDEX(Grid!$B$6:$H$156,C746+1,B746+1),"")</f>
        <v>108.844510575701</v>
      </c>
      <c r="F746" s="13" t="n">
        <f aca="false">Val_pt*(Ceiling_e-E_zero)*(1-(1-Half_gap)^B746)</f>
        <v>131.25</v>
      </c>
      <c r="G746" s="15" t="n">
        <f aca="false">C746</f>
        <v>136</v>
      </c>
      <c r="H746" s="15" t="n">
        <f aca="false">IF(D746=1,INDEX(Grid!$R$6:$X$156,C746+1,B746+1),"")</f>
        <v>45</v>
      </c>
      <c r="I746" s="2" t="str">
        <f aca="false">IF(D746=1,INDEX(Sch_label,H746+1),"")</f>
        <v>1, 3, 4, 6</v>
      </c>
      <c r="J746" s="15" t="n">
        <f aca="false">IF(D746=1,INDEX(Grid!$Z$6:$AF$156,C746+1,B746+1),0)</f>
        <v>1</v>
      </c>
      <c r="K746" s="16" t="n">
        <f aca="false">IF(J746=1,E746,0)</f>
        <v>108.844510575701</v>
      </c>
      <c r="L746" s="17" t="n">
        <f aca="false">IF(D746=1,E746+W_board*F746,"")</f>
        <v>849.716543771284</v>
      </c>
      <c r="M746" s="24" t="n">
        <v>0</v>
      </c>
      <c r="Q746" s="24" t="n">
        <v>4</v>
      </c>
      <c r="R746" s="24" t="n">
        <v>100</v>
      </c>
      <c r="S746" s="25" t="n">
        <v>0.20655608981026</v>
      </c>
      <c r="T746" s="24" t="n">
        <v>4</v>
      </c>
      <c r="U746" s="24" t="n">
        <v>150</v>
      </c>
      <c r="V746" s="25" t="n">
        <v>0.731909823274029</v>
      </c>
      <c r="W746" s="24" t="n">
        <v>5</v>
      </c>
      <c r="X746" s="24" t="n">
        <v>100</v>
      </c>
      <c r="Y746" s="25" t="n">
        <v>0.0615340869157229</v>
      </c>
      <c r="Z746" s="12" t="str">
        <f aca="false">IF(AND($J746=1,$M746=1),N746*E746/Span_P+O746*F746/Span_S+P746*G746/Span_B,"")</f>
        <v/>
      </c>
      <c r="AA746" s="12" t="str">
        <f aca="false">IF(AND($J746=1,$M746=1),SUMPRODUCT(MAX($J$6:$J$1062*(N746*$K$6:$K$1062/Span_P+O746*$F$6:$F$1062/Span_S+P746*$G$6:$G$1062/Span_B)-(1-$J$6:$J$1062)*1000000000)),"")</f>
        <v/>
      </c>
      <c r="AB746" s="15" t="str">
        <f aca="false">IF(AND($J746=1,$M746=1),IF(AA746-Z746&lt;=0.000000001,1,0),"")</f>
        <v/>
      </c>
      <c r="AC746" s="13" t="n">
        <f aca="false">IF(AND($J746=1,$M746=0),IF(S746="",0,S746*INDEX(Grid!$B$6:$H$156,R746+1,Q746+1))+IF(V746="",0,V746*INDEX(Grid!$B$6:$H$156,U746+1,T746+1))+IF(Y746="",0,Y746*INDEX(Grid!$B$6:$H$156,X746+1,W746+1)),"")</f>
        <v>110.282086104329</v>
      </c>
      <c r="AD746" s="13" t="n">
        <f aca="false">IF(AND($J746=1,$M746=0),IF(S746="",0,S746*Val_pt*(Ceiling_e-E_zero)*(1-(1-Half_gap)^Q746))+IF(V746="",0,V746*Val_pt*(Ceiling_e-E_zero)*(1-(1-Half_gap)^T746))+IF(Y746="",0,Y746*Val_pt*(Ceiling_e-E_zero)*(1-(1-Half_gap)^W746)),"")</f>
        <v>131.519211630258</v>
      </c>
      <c r="AE746" s="13" t="n">
        <f aca="false">IF(AND($J746=1,$M746=0),IF(S746="",0,S746*R746)+IF(V746="",0,V746*U746)+IF(Y746="",0,Y746*X746),"")</f>
        <v>136.595491163703</v>
      </c>
      <c r="AF746" s="12" t="n">
        <f aca="false">IF(AND($J746=1,$M746=0),MIN((AC746-E746)/Span_P,(AD746-F746)/Span_S,(AE746-G746)/Span_B),"")</f>
        <v>0.00396994109134458</v>
      </c>
      <c r="AG746" s="15" t="n">
        <f aca="false">IF(AND($J746=1,$M746=0),IF(AF746&gt;0.0000001,1,0),"")</f>
        <v>1</v>
      </c>
      <c r="AH746" s="15" t="n">
        <f aca="false">IF($J746=1,IF($M746=1,AB746,AG746),"")</f>
        <v>1</v>
      </c>
      <c r="AI746" s="13" t="n">
        <f aca="false">IF($J746=1,(Ideal_P-E746)/Span_P,"")</f>
        <v>0.76033515978226</v>
      </c>
      <c r="AJ746" s="13" t="n">
        <f aca="false">IF($J746=1,(Ideal_S-F746)/Span_S,"")</f>
        <v>0.0967741935483871</v>
      </c>
      <c r="AK746" s="13" t="n">
        <f aca="false">IF($J746=1,(Ideal_B-G746)/Span_B,"")</f>
        <v>0.0933333333333333</v>
      </c>
      <c r="AL746" s="12" t="n">
        <f aca="false">IF($J746=1,MAX(ChA_1*AI746,ChA_2*AJ746,ChA_3*AK746)+Rho*(ChA_1*AI746+ChA_2*AJ746+ChA_3*AK746),"")</f>
        <v>0.760430204050926</v>
      </c>
      <c r="AM746" s="12" t="n">
        <f aca="false">IF($J746=1,MAX(ChB_1*AI746,ChB_2*AJ746,ChB_3*AK746)+Rho*(ChB_1*AI746+ChB_2*AJ746+ChB_3*AK746),"")</f>
        <v>1.52084139734916</v>
      </c>
      <c r="AN746" s="12" t="n">
        <f aca="false">IF($J746=1,MAX(Cx_1*(Ref_P-E746)/Span_P,Cx_2*(Ref_S-F746)/Span_S,Cx_3*(Ref_B-G746)/Span_B),"")</f>
        <v>1.9238141778882</v>
      </c>
    </row>
    <row r="747" customFormat="false" ht="15" hidden="false" customHeight="false" outlineLevel="0" collapsed="false">
      <c r="A747" s="2" t="n">
        <v>741</v>
      </c>
      <c r="B747" s="15" t="n">
        <f aca="false">INT(A747/151)</f>
        <v>4</v>
      </c>
      <c r="C747" s="15" t="n">
        <f aca="false">MOD(A747,151)</f>
        <v>137</v>
      </c>
      <c r="D747" s="15" t="n">
        <f aca="false">INDEX(Grid!$J$6:$P$156,C747+1,B747+1)</f>
        <v>1</v>
      </c>
      <c r="E747" s="16" t="n">
        <f aca="false">IF(D747=1,INDEX(Grid!$B$6:$H$156,C747+1,B747+1),"")</f>
        <v>107.93541966661</v>
      </c>
      <c r="F747" s="13" t="n">
        <f aca="false">Val_pt*(Ceiling_e-E_zero)*(1-(1-Half_gap)^B747)</f>
        <v>131.25</v>
      </c>
      <c r="G747" s="15" t="n">
        <f aca="false">C747</f>
        <v>137</v>
      </c>
      <c r="H747" s="15" t="n">
        <f aca="false">IF(D747=1,INDEX(Grid!$R$6:$X$156,C747+1,B747+1),"")</f>
        <v>45</v>
      </c>
      <c r="I747" s="2" t="str">
        <f aca="false">IF(D747=1,INDEX(Sch_label,H747+1),"")</f>
        <v>1, 3, 4, 6</v>
      </c>
      <c r="J747" s="15" t="n">
        <f aca="false">IF(D747=1,INDEX(Grid!$Z$6:$AF$156,C747+1,B747+1),0)</f>
        <v>1</v>
      </c>
      <c r="K747" s="16" t="n">
        <f aca="false">IF(J747=1,E747,0)</f>
        <v>107.93541966661</v>
      </c>
      <c r="L747" s="17" t="n">
        <f aca="false">IF(D747=1,E747+W_board*F747,"")</f>
        <v>848.807452862193</v>
      </c>
      <c r="M747" s="24" t="n">
        <v>0</v>
      </c>
      <c r="Q747" s="24" t="n">
        <v>4</v>
      </c>
      <c r="R747" s="24" t="n">
        <v>100</v>
      </c>
      <c r="S747" s="25" t="n">
        <v>0.191802083395188</v>
      </c>
      <c r="T747" s="24" t="n">
        <v>4</v>
      </c>
      <c r="U747" s="24" t="n">
        <v>150</v>
      </c>
      <c r="V747" s="25" t="n">
        <v>0.751059121611555</v>
      </c>
      <c r="W747" s="24" t="n">
        <v>5</v>
      </c>
      <c r="X747" s="24" t="n">
        <v>100</v>
      </c>
      <c r="Y747" s="25" t="n">
        <v>0.0571387949932402</v>
      </c>
      <c r="Z747" s="12" t="str">
        <f aca="false">IF(AND($J747=1,$M747=1),N747*E747/Span_P+O747*F747/Span_S+P747*G747/Span_B,"")</f>
        <v/>
      </c>
      <c r="AA747" s="12" t="str">
        <f aca="false">IF(AND($J747=1,$M747=1),SUMPRODUCT(MAX($J$6:$J$1062*(N747*$K$6:$K$1062/Span_P+O747*$F$6:$F$1062/Span_S+P747*$G$6:$G$1062/Span_B)-(1-$J$6:$J$1062)*1000000000)),"")</f>
        <v/>
      </c>
      <c r="AB747" s="15" t="str">
        <f aca="false">IF(AND($J747=1,$M747=1),IF(AA747-Z747&lt;=0.000000001,1,0),"")</f>
        <v/>
      </c>
      <c r="AC747" s="13" t="n">
        <f aca="false">IF(AND($J747=1,$M747=0),IF(S747="",0,S747*INDEX(Grid!$B$6:$H$156,R747+1,Q747+1))+IF(V747="",0,V747*INDEX(Grid!$B$6:$H$156,U747+1,T747+1))+IF(Y747="",0,Y747*INDEX(Grid!$B$6:$H$156,X747+1,W747+1)),"")</f>
        <v>109.270311228901</v>
      </c>
      <c r="AD747" s="13" t="n">
        <f aca="false">IF(AND($J747=1,$M747=0),IF(S747="",0,S747*Val_pt*(Ceiling_e-E_zero)*(1-(1-Half_gap)^Q747))+IF(V747="",0,V747*Val_pt*(Ceiling_e-E_zero)*(1-(1-Half_gap)^T747))+IF(Y747="",0,Y747*Val_pt*(Ceiling_e-E_zero)*(1-(1-Half_gap)^W747)),"")</f>
        <v>131.499982228093</v>
      </c>
      <c r="AE747" s="13" t="n">
        <f aca="false">IF(AND($J747=1,$M747=0),IF(S747="",0,S747*R747)+IF(V747="",0,V747*U747)+IF(Y747="",0,Y747*X747),"")</f>
        <v>137.552956080576</v>
      </c>
      <c r="AF747" s="12" t="n">
        <f aca="false">IF(AND($J747=1,$M747=0),MIN((AC747-E747)/Span_P,(AD747-F747)/Span_S,(AE747-G747)/Span_B),"")</f>
        <v>0.0036863738705003</v>
      </c>
      <c r="AG747" s="15" t="n">
        <f aca="false">IF(AND($J747=1,$M747=0),IF(AF747&gt;0.0000001,1,0),"")</f>
        <v>1</v>
      </c>
      <c r="AH747" s="15" t="n">
        <f aca="false">IF($J747=1,IF($M747=1,AB747,AG747),"")</f>
        <v>1</v>
      </c>
      <c r="AI747" s="13" t="n">
        <f aca="false">IF($J747=1,(Ideal_P-E747)/Span_P,"")</f>
        <v>0.762845662558566</v>
      </c>
      <c r="AJ747" s="13" t="n">
        <f aca="false">IF($J747=1,(Ideal_S-F747)/Span_S,"")</f>
        <v>0.0967741935483871</v>
      </c>
      <c r="AK747" s="13" t="n">
        <f aca="false">IF($J747=1,(Ideal_B-G747)/Span_B,"")</f>
        <v>0.0866666666666667</v>
      </c>
      <c r="AL747" s="12" t="n">
        <f aca="false">IF($J747=1,MAX(ChA_1*AI747,ChA_2*AJ747,ChA_3*AK747)+Rho*(ChA_1*AI747+ChA_2*AJ747+ChA_3*AK747),"")</f>
        <v>0.762940291210843</v>
      </c>
      <c r="AM747" s="12" t="n">
        <f aca="false">IF($J747=1,MAX(ChB_1*AI747,ChB_2*AJ747,ChB_3*AK747)+Rho*(ChB_1*AI747+ChB_2*AJ747+ChB_3*AK747),"")</f>
        <v>1.52586223833567</v>
      </c>
      <c r="AN747" s="12" t="n">
        <f aca="false">IF($J747=1,MAX(Cx_1*(Ref_P-E747)/Span_P,Cx_2*(Ref_S-F747)/Span_S,Cx_3*(Ref_B-G747)/Span_B),"")</f>
        <v>1.93008383957163</v>
      </c>
    </row>
    <row r="748" customFormat="false" ht="15" hidden="false" customHeight="false" outlineLevel="0" collapsed="false">
      <c r="A748" s="2" t="n">
        <v>742</v>
      </c>
      <c r="B748" s="15" t="n">
        <f aca="false">INT(A748/151)</f>
        <v>4</v>
      </c>
      <c r="C748" s="15" t="n">
        <f aca="false">MOD(A748,151)</f>
        <v>138</v>
      </c>
      <c r="D748" s="15" t="n">
        <f aca="false">INDEX(Grid!$J$6:$P$156,C748+1,B748+1)</f>
        <v>1</v>
      </c>
      <c r="E748" s="16" t="n">
        <f aca="false">IF(D748=1,INDEX(Grid!$B$6:$H$156,C748+1,B748+1),"")</f>
        <v>107.02632875752</v>
      </c>
      <c r="F748" s="13" t="n">
        <f aca="false">Val_pt*(Ceiling_e-E_zero)*(1-(1-Half_gap)^B748)</f>
        <v>131.25</v>
      </c>
      <c r="G748" s="15" t="n">
        <f aca="false">C748</f>
        <v>138</v>
      </c>
      <c r="H748" s="15" t="n">
        <f aca="false">IF(D748=1,INDEX(Grid!$R$6:$X$156,C748+1,B748+1),"")</f>
        <v>45</v>
      </c>
      <c r="I748" s="2" t="str">
        <f aca="false">IF(D748=1,INDEX(Sch_label,H748+1),"")</f>
        <v>1, 3, 4, 6</v>
      </c>
      <c r="J748" s="15" t="n">
        <f aca="false">IF(D748=1,INDEX(Grid!$Z$6:$AF$156,C748+1,B748+1),0)</f>
        <v>1</v>
      </c>
      <c r="K748" s="16" t="n">
        <f aca="false">IF(J748=1,E748,0)</f>
        <v>107.02632875752</v>
      </c>
      <c r="L748" s="17" t="n">
        <f aca="false">IF(D748=1,E748+W_board*F748,"")</f>
        <v>847.898361953102</v>
      </c>
      <c r="M748" s="24" t="n">
        <v>0</v>
      </c>
      <c r="Q748" s="24" t="n">
        <v>4</v>
      </c>
      <c r="R748" s="24" t="n">
        <v>100</v>
      </c>
      <c r="S748" s="25" t="n">
        <v>0.17704807698022</v>
      </c>
      <c r="T748" s="24" t="n">
        <v>4</v>
      </c>
      <c r="U748" s="24" t="n">
        <v>150</v>
      </c>
      <c r="V748" s="25" t="n">
        <v>0.770208419949155</v>
      </c>
      <c r="W748" s="24" t="n">
        <v>5</v>
      </c>
      <c r="X748" s="24" t="n">
        <v>100</v>
      </c>
      <c r="Y748" s="25" t="n">
        <v>0.0527435030706245</v>
      </c>
      <c r="Z748" s="12" t="str">
        <f aca="false">IF(AND($J748=1,$M748=1),N748*E748/Span_P+O748*F748/Span_S+P748*G748/Span_B,"")</f>
        <v/>
      </c>
      <c r="AA748" s="12" t="str">
        <f aca="false">IF(AND($J748=1,$M748=1),SUMPRODUCT(MAX($J$6:$J$1062*(N748*$K$6:$K$1062/Span_P+O748*$F$6:$F$1062/Span_S+P748*$G$6:$G$1062/Span_B)-(1-$J$6:$J$1062)*1000000000)),"")</f>
        <v/>
      </c>
      <c r="AB748" s="15" t="str">
        <f aca="false">IF(AND($J748=1,$M748=1),IF(AA748-Z748&lt;=0.000000001,1,0),"")</f>
        <v/>
      </c>
      <c r="AC748" s="13" t="n">
        <f aca="false">IF(AND($J748=1,$M748=0),IF(S748="",0,S748*INDEX(Grid!$B$6:$H$156,R748+1,Q748+1))+IF(V748="",0,V748*INDEX(Grid!$B$6:$H$156,U748+1,T748+1))+IF(Y748="",0,Y748*INDEX(Grid!$B$6:$H$156,X748+1,W748+1)),"")</f>
        <v>108.258536353484</v>
      </c>
      <c r="AD748" s="13" t="n">
        <f aca="false">IF(AND($J748=1,$M748=0),IF(S748="",0,S748*Val_pt*(Ceiling_e-E_zero)*(1-(1-Half_gap)^Q748))+IF(V748="",0,V748*Val_pt*(Ceiling_e-E_zero)*(1-(1-Half_gap)^T748))+IF(Y748="",0,Y748*Val_pt*(Ceiling_e-E_zero)*(1-(1-Half_gap)^W748)),"")</f>
        <v>131.480752825934</v>
      </c>
      <c r="AE748" s="13" t="n">
        <f aca="false">IF(AND($J748=1,$M748=0),IF(S748="",0,S748*R748)+IF(V748="",0,V748*U748)+IF(Y748="",0,Y748*X748),"")</f>
        <v>138.510420997458</v>
      </c>
      <c r="AF748" s="12" t="n">
        <f aca="false">IF(AND($J748=1,$M748=0),MIN((AC748-E748)/Span_P,(AD748-F748)/Span_S,(AE748-G748)/Span_B),"")</f>
        <v>0.00340280664971573</v>
      </c>
      <c r="AG748" s="15" t="n">
        <f aca="false">IF(AND($J748=1,$M748=0),IF(AF748&gt;0.0000001,1,0),"")</f>
        <v>1</v>
      </c>
      <c r="AH748" s="15" t="n">
        <f aca="false">IF($J748=1,IF($M748=1,AB748,AG748),"")</f>
        <v>1</v>
      </c>
      <c r="AI748" s="13" t="n">
        <f aca="false">IF($J748=1,(Ideal_P-E748)/Span_P,"")</f>
        <v>0.765356165334872</v>
      </c>
      <c r="AJ748" s="13" t="n">
        <f aca="false">IF($J748=1,(Ideal_S-F748)/Span_S,"")</f>
        <v>0.0967741935483871</v>
      </c>
      <c r="AK748" s="13" t="n">
        <f aca="false">IF($J748=1,(Ideal_B-G748)/Span_B,"")</f>
        <v>0.08</v>
      </c>
      <c r="AL748" s="12" t="n">
        <f aca="false">IF($J748=1,MAX(ChA_1*AI748,ChA_2*AJ748,ChA_3*AK748)+Rho*(ChA_1*AI748+ChA_2*AJ748+ChA_3*AK748),"")</f>
        <v>0.76545037837076</v>
      </c>
      <c r="AM748" s="12" t="n">
        <f aca="false">IF($J748=1,MAX(ChB_1*AI748,ChB_2*AJ748,ChB_3*AK748)+Rho*(ChB_1*AI748+ChB_2*AJ748+ChB_3*AK748),"")</f>
        <v>1.53088307932217</v>
      </c>
      <c r="AN748" s="12" t="n">
        <f aca="false">IF($J748=1,MAX(Cx_1*(Ref_P-E748)/Span_P,Cx_2*(Ref_S-F748)/Span_S,Cx_3*(Ref_B-G748)/Span_B),"")</f>
        <v>1.93635350125506</v>
      </c>
    </row>
    <row r="749" customFormat="false" ht="15" hidden="false" customHeight="false" outlineLevel="0" collapsed="false">
      <c r="A749" s="2" t="n">
        <v>743</v>
      </c>
      <c r="B749" s="15" t="n">
        <f aca="false">INT(A749/151)</f>
        <v>4</v>
      </c>
      <c r="C749" s="15" t="n">
        <f aca="false">MOD(A749,151)</f>
        <v>139</v>
      </c>
      <c r="D749" s="15" t="n">
        <f aca="false">INDEX(Grid!$J$6:$P$156,C749+1,B749+1)</f>
        <v>1</v>
      </c>
      <c r="E749" s="16" t="n">
        <f aca="false">IF(D749=1,INDEX(Grid!$B$6:$H$156,C749+1,B749+1),"")</f>
        <v>106.117237848429</v>
      </c>
      <c r="F749" s="13" t="n">
        <f aca="false">Val_pt*(Ceiling_e-E_zero)*(1-(1-Half_gap)^B749)</f>
        <v>131.25</v>
      </c>
      <c r="G749" s="15" t="n">
        <f aca="false">C749</f>
        <v>139</v>
      </c>
      <c r="H749" s="15" t="n">
        <f aca="false">IF(D749=1,INDEX(Grid!$R$6:$X$156,C749+1,B749+1),"")</f>
        <v>45</v>
      </c>
      <c r="I749" s="2" t="str">
        <f aca="false">IF(D749=1,INDEX(Sch_label,H749+1),"")</f>
        <v>1, 3, 4, 6</v>
      </c>
      <c r="J749" s="15" t="n">
        <f aca="false">IF(D749=1,INDEX(Grid!$Z$6:$AF$156,C749+1,B749+1),0)</f>
        <v>1</v>
      </c>
      <c r="K749" s="16" t="n">
        <f aca="false">IF(J749=1,E749,0)</f>
        <v>106.117237848429</v>
      </c>
      <c r="L749" s="17" t="n">
        <f aca="false">IF(D749=1,E749+W_board*F749,"")</f>
        <v>846.989271044011</v>
      </c>
      <c r="M749" s="24" t="n">
        <v>0</v>
      </c>
      <c r="Q749" s="24" t="n">
        <v>4</v>
      </c>
      <c r="R749" s="24" t="n">
        <v>100</v>
      </c>
      <c r="S749" s="25" t="n">
        <v>0.162294070565183</v>
      </c>
      <c r="T749" s="24" t="n">
        <v>4</v>
      </c>
      <c r="U749" s="24" t="n">
        <v>150</v>
      </c>
      <c r="V749" s="25" t="n">
        <v>0.789357718286725</v>
      </c>
      <c r="W749" s="24" t="n">
        <v>5</v>
      </c>
      <c r="X749" s="24" t="n">
        <v>100</v>
      </c>
      <c r="Y749" s="25" t="n">
        <v>0.0483482111480942</v>
      </c>
      <c r="Z749" s="12" t="str">
        <f aca="false">IF(AND($J749=1,$M749=1),N749*E749/Span_P+O749*F749/Span_S+P749*G749/Span_B,"")</f>
        <v/>
      </c>
      <c r="AA749" s="12" t="str">
        <f aca="false">IF(AND($J749=1,$M749=1),SUMPRODUCT(MAX($J$6:$J$1062*(N749*$K$6:$K$1062/Span_P+O749*$F$6:$F$1062/Span_S+P749*$G$6:$G$1062/Span_B)-(1-$J$6:$J$1062)*1000000000)),"")</f>
        <v/>
      </c>
      <c r="AB749" s="15" t="str">
        <f aca="false">IF(AND($J749=1,$M749=1),IF(AA749-Z749&lt;=0.000000001,1,0),"")</f>
        <v/>
      </c>
      <c r="AC749" s="13" t="n">
        <f aca="false">IF(AND($J749=1,$M749=0),IF(S749="",0,S749*INDEX(Grid!$B$6:$H$156,R749+1,Q749+1))+IF(V749="",0,V749*INDEX(Grid!$B$6:$H$156,U749+1,T749+1))+IF(Y749="",0,Y749*INDEX(Grid!$B$6:$H$156,X749+1,W749+1)),"")</f>
        <v>107.246761478062</v>
      </c>
      <c r="AD749" s="13" t="n">
        <f aca="false">IF(AND($J749=1,$M749=0),IF(S749="",0,S749*Val_pt*(Ceiling_e-E_zero)*(1-(1-Half_gap)^Q749))+IF(V749="",0,V749*Val_pt*(Ceiling_e-E_zero)*(1-(1-Half_gap)^T749))+IF(Y749="",0,Y749*Val_pt*(Ceiling_e-E_zero)*(1-(1-Half_gap)^W749)),"")</f>
        <v>131.461523423773</v>
      </c>
      <c r="AE749" s="13" t="n">
        <f aca="false">IF(AND($J749=1,$M749=0),IF(S749="",0,S749*R749)+IF(V749="",0,V749*U749)+IF(Y749="",0,Y749*X749),"")</f>
        <v>139.467885914336</v>
      </c>
      <c r="AF749" s="12" t="n">
        <f aca="false">IF(AND($J749=1,$M749=0),MIN((AC749-E749)/Span_P,(AD749-F749)/Span_S,(AE749-G749)/Span_B),"")</f>
        <v>0.00311923942890718</v>
      </c>
      <c r="AG749" s="15" t="n">
        <f aca="false">IF(AND($J749=1,$M749=0),IF(AF749&gt;0.0000001,1,0),"")</f>
        <v>1</v>
      </c>
      <c r="AH749" s="15" t="n">
        <f aca="false">IF($J749=1,IF($M749=1,AB749,AG749),"")</f>
        <v>1</v>
      </c>
      <c r="AI749" s="13" t="n">
        <f aca="false">IF($J749=1,(Ideal_P-E749)/Span_P,"")</f>
        <v>0.767866668111177</v>
      </c>
      <c r="AJ749" s="13" t="n">
        <f aca="false">IF($J749=1,(Ideal_S-F749)/Span_S,"")</f>
        <v>0.0967741935483871</v>
      </c>
      <c r="AK749" s="13" t="n">
        <f aca="false">IF($J749=1,(Ideal_B-G749)/Span_B,"")</f>
        <v>0.0733333333333333</v>
      </c>
      <c r="AL749" s="12" t="n">
        <f aca="false">IF($J749=1,MAX(ChA_1*AI749,ChA_2*AJ749,ChA_3*AK749)+Rho*(ChA_1*AI749+ChA_2*AJ749+ChA_3*AK749),"")</f>
        <v>0.767960465530677</v>
      </c>
      <c r="AM749" s="12" t="n">
        <f aca="false">IF($J749=1,MAX(ChB_1*AI749,ChB_2*AJ749,ChB_3*AK749)+Rho*(ChB_1*AI749+ChB_2*AJ749+ChB_3*AK749),"")</f>
        <v>1.53590392030867</v>
      </c>
      <c r="AN749" s="12" t="n">
        <f aca="false">IF($J749=1,MAX(Cx_1*(Ref_P-E749)/Span_P,Cx_2*(Ref_S-F749)/Span_S,Cx_3*(Ref_B-G749)/Span_B),"")</f>
        <v>1.94262316293849</v>
      </c>
    </row>
    <row r="750" customFormat="false" ht="15" hidden="false" customHeight="false" outlineLevel="0" collapsed="false">
      <c r="A750" s="2" t="n">
        <v>744</v>
      </c>
      <c r="B750" s="15" t="n">
        <f aca="false">INT(A750/151)</f>
        <v>4</v>
      </c>
      <c r="C750" s="15" t="n">
        <f aca="false">MOD(A750,151)</f>
        <v>140</v>
      </c>
      <c r="D750" s="15" t="n">
        <f aca="false">INDEX(Grid!$J$6:$P$156,C750+1,B750+1)</f>
        <v>1</v>
      </c>
      <c r="E750" s="16" t="n">
        <f aca="false">IF(D750=1,INDEX(Grid!$B$6:$H$156,C750+1,B750+1),"")</f>
        <v>105.208146939338</v>
      </c>
      <c r="F750" s="13" t="n">
        <f aca="false">Val_pt*(Ceiling_e-E_zero)*(1-(1-Half_gap)^B750)</f>
        <v>131.25</v>
      </c>
      <c r="G750" s="15" t="n">
        <f aca="false">C750</f>
        <v>140</v>
      </c>
      <c r="H750" s="15" t="n">
        <f aca="false">IF(D750=1,INDEX(Grid!$R$6:$X$156,C750+1,B750+1),"")</f>
        <v>45</v>
      </c>
      <c r="I750" s="2" t="str">
        <f aca="false">IF(D750=1,INDEX(Sch_label,H750+1),"")</f>
        <v>1, 3, 4, 6</v>
      </c>
      <c r="J750" s="15" t="n">
        <f aca="false">IF(D750=1,INDEX(Grid!$Z$6:$AF$156,C750+1,B750+1),0)</f>
        <v>1</v>
      </c>
      <c r="K750" s="16" t="n">
        <f aca="false">IF(J750=1,E750,0)</f>
        <v>105.208146939338</v>
      </c>
      <c r="L750" s="17" t="n">
        <f aca="false">IF(D750=1,E750+W_board*F750,"")</f>
        <v>846.08018013492</v>
      </c>
      <c r="M750" s="24" t="n">
        <v>0</v>
      </c>
      <c r="Q750" s="24" t="n">
        <v>4</v>
      </c>
      <c r="R750" s="24" t="n">
        <v>100</v>
      </c>
      <c r="S750" s="25" t="n">
        <v>0.147540064150147</v>
      </c>
      <c r="T750" s="24" t="n">
        <v>4</v>
      </c>
      <c r="U750" s="24" t="n">
        <v>150</v>
      </c>
      <c r="V750" s="25" t="n">
        <v>0.808507016624274</v>
      </c>
      <c r="W750" s="24" t="n">
        <v>5</v>
      </c>
      <c r="X750" s="24" t="n">
        <v>100</v>
      </c>
      <c r="Y750" s="25" t="n">
        <v>0.043952919225572</v>
      </c>
      <c r="Z750" s="12" t="str">
        <f aca="false">IF(AND($J750=1,$M750=1),N750*E750/Span_P+O750*F750/Span_S+P750*G750/Span_B,"")</f>
        <v/>
      </c>
      <c r="AA750" s="12" t="str">
        <f aca="false">IF(AND($J750=1,$M750=1),SUMPRODUCT(MAX($J$6:$J$1062*(N750*$K$6:$K$1062/Span_P+O750*$F$6:$F$1062/Span_S+P750*$G$6:$G$1062/Span_B)-(1-$J$6:$J$1062)*1000000000)),"")</f>
        <v/>
      </c>
      <c r="AB750" s="15" t="str">
        <f aca="false">IF(AND($J750=1,$M750=1),IF(AA750-Z750&lt;=0.000000001,1,0),"")</f>
        <v/>
      </c>
      <c r="AC750" s="13" t="n">
        <f aca="false">IF(AND($J750=1,$M750=0),IF(S750="",0,S750*INDEX(Grid!$B$6:$H$156,R750+1,Q750+1))+IF(V750="",0,V750*INDEX(Grid!$B$6:$H$156,U750+1,T750+1))+IF(Y750="",0,Y750*INDEX(Grid!$B$6:$H$156,X750+1,W750+1)),"")</f>
        <v>106.234986602638</v>
      </c>
      <c r="AD750" s="13" t="n">
        <f aca="false">IF(AND($J750=1,$M750=0),IF(S750="",0,S750*Val_pt*(Ceiling_e-E_zero)*(1-(1-Half_gap)^Q750))+IF(V750="",0,V750*Val_pt*(Ceiling_e-E_zero)*(1-(1-Half_gap)^T750))+IF(Y750="",0,Y750*Val_pt*(Ceiling_e-E_zero)*(1-(1-Half_gap)^W750)),"")</f>
        <v>131.442294021611</v>
      </c>
      <c r="AE750" s="13" t="n">
        <f aca="false">IF(AND($J750=1,$M750=0),IF(S750="",0,S750*R750)+IF(V750="",0,V750*U750)+IF(Y750="",0,Y750*X750),"")</f>
        <v>140.425350831213</v>
      </c>
      <c r="AF750" s="12" t="n">
        <f aca="false">IF(AND($J750=1,$M750=0),MIN((AC750-E750)/Span_P,(AD750-F750)/Span_S,(AE750-G750)/Span_B),"")</f>
        <v>0.00283567220808645</v>
      </c>
      <c r="AG750" s="15" t="n">
        <f aca="false">IF(AND($J750=1,$M750=0),IF(AF750&gt;0.0000001,1,0),"")</f>
        <v>1</v>
      </c>
      <c r="AH750" s="15" t="n">
        <f aca="false">IF($J750=1,IF($M750=1,AB750,AG750),"")</f>
        <v>1</v>
      </c>
      <c r="AI750" s="13" t="n">
        <f aca="false">IF($J750=1,(Ideal_P-E750)/Span_P,"")</f>
        <v>0.770377170887483</v>
      </c>
      <c r="AJ750" s="13" t="n">
        <f aca="false">IF($J750=1,(Ideal_S-F750)/Span_S,"")</f>
        <v>0.0967741935483871</v>
      </c>
      <c r="AK750" s="13" t="n">
        <f aca="false">IF($J750=1,(Ideal_B-G750)/Span_B,"")</f>
        <v>0.0666666666666667</v>
      </c>
      <c r="AL750" s="12" t="n">
        <f aca="false">IF($J750=1,MAX(ChA_1*AI750,ChA_2*AJ750,ChA_3*AK750)+Rho*(ChA_1*AI750+ChA_2*AJ750+ChA_3*AK750),"")</f>
        <v>0.770470552690594</v>
      </c>
      <c r="AM750" s="12" t="n">
        <f aca="false">IF($J750=1,MAX(ChB_1*AI750,ChB_2*AJ750,ChB_3*AK750)+Rho*(ChB_1*AI750+ChB_2*AJ750+ChB_3*AK750),"")</f>
        <v>1.54092476129517</v>
      </c>
      <c r="AN750" s="12" t="n">
        <f aca="false">IF($J750=1,MAX(Cx_1*(Ref_P-E750)/Span_P,Cx_2*(Ref_S-F750)/Span_S,Cx_3*(Ref_B-G750)/Span_B),"")</f>
        <v>1.94889282462192</v>
      </c>
    </row>
    <row r="751" customFormat="false" ht="15" hidden="false" customHeight="false" outlineLevel="0" collapsed="false">
      <c r="A751" s="2" t="n">
        <v>745</v>
      </c>
      <c r="B751" s="15" t="n">
        <f aca="false">INT(A751/151)</f>
        <v>4</v>
      </c>
      <c r="C751" s="15" t="n">
        <f aca="false">MOD(A751,151)</f>
        <v>141</v>
      </c>
      <c r="D751" s="15" t="n">
        <f aca="false">INDEX(Grid!$J$6:$P$156,C751+1,B751+1)</f>
        <v>1</v>
      </c>
      <c r="E751" s="16" t="n">
        <f aca="false">IF(D751=1,INDEX(Grid!$B$6:$H$156,C751+1,B751+1),"")</f>
        <v>104.299056030247</v>
      </c>
      <c r="F751" s="13" t="n">
        <f aca="false">Val_pt*(Ceiling_e-E_zero)*(1-(1-Half_gap)^B751)</f>
        <v>131.25</v>
      </c>
      <c r="G751" s="15" t="n">
        <f aca="false">C751</f>
        <v>141</v>
      </c>
      <c r="H751" s="15" t="n">
        <f aca="false">IF(D751=1,INDEX(Grid!$R$6:$X$156,C751+1,B751+1),"")</f>
        <v>45</v>
      </c>
      <c r="I751" s="2" t="str">
        <f aca="false">IF(D751=1,INDEX(Sch_label,H751+1),"")</f>
        <v>1, 3, 4, 6</v>
      </c>
      <c r="J751" s="15" t="n">
        <f aca="false">IF(D751=1,INDEX(Grid!$Z$6:$AF$156,C751+1,B751+1),0)</f>
        <v>1</v>
      </c>
      <c r="K751" s="16" t="n">
        <f aca="false">IF(J751=1,E751,0)</f>
        <v>104.299056030247</v>
      </c>
      <c r="L751" s="17" t="n">
        <f aca="false">IF(D751=1,E751+W_board*F751,"")</f>
        <v>845.17108922583</v>
      </c>
      <c r="M751" s="24" t="n">
        <v>0</v>
      </c>
      <c r="Q751" s="24" t="n">
        <v>4</v>
      </c>
      <c r="R751" s="24" t="n">
        <v>100</v>
      </c>
      <c r="S751" s="25" t="n">
        <v>0.132786057735107</v>
      </c>
      <c r="T751" s="24" t="n">
        <v>4</v>
      </c>
      <c r="U751" s="24" t="n">
        <v>150</v>
      </c>
      <c r="V751" s="25" t="n">
        <v>0.827656314961839</v>
      </c>
      <c r="W751" s="24" t="n">
        <v>5</v>
      </c>
      <c r="X751" s="24" t="n">
        <v>100</v>
      </c>
      <c r="Y751" s="25" t="n">
        <v>0.0395576273030374</v>
      </c>
      <c r="Z751" s="12" t="str">
        <f aca="false">IF(AND($J751=1,$M751=1),N751*E751/Span_P+O751*F751/Span_S+P751*G751/Span_B,"")</f>
        <v/>
      </c>
      <c r="AA751" s="12" t="str">
        <f aca="false">IF(AND($J751=1,$M751=1),SUMPRODUCT(MAX($J$6:$J$1062*(N751*$K$6:$K$1062/Span_P+O751*$F$6:$F$1062/Span_S+P751*$G$6:$G$1062/Span_B)-(1-$J$6:$J$1062)*1000000000)),"")</f>
        <v/>
      </c>
      <c r="AB751" s="15" t="str">
        <f aca="false">IF(AND($J751=1,$M751=1),IF(AA751-Z751&lt;=0.000000001,1,0),"")</f>
        <v/>
      </c>
      <c r="AC751" s="13" t="n">
        <f aca="false">IF(AND($J751=1,$M751=0),IF(S751="",0,S751*INDEX(Grid!$B$6:$H$156,R751+1,Q751+1))+IF(V751="",0,V751*INDEX(Grid!$B$6:$H$156,U751+1,T751+1))+IF(Y751="",0,Y751*INDEX(Grid!$B$6:$H$156,X751+1,W751+1)),"")</f>
        <v>105.223211727215</v>
      </c>
      <c r="AD751" s="13" t="n">
        <f aca="false">IF(AND($J751=1,$M751=0),IF(S751="",0,S751*Val_pt*(Ceiling_e-E_zero)*(1-(1-Half_gap)^Q751))+IF(V751="",0,V751*Val_pt*(Ceiling_e-E_zero)*(1-(1-Half_gap)^T751))+IF(Y751="",0,Y751*Val_pt*(Ceiling_e-E_zero)*(1-(1-Half_gap)^W751)),"")</f>
        <v>131.423064619449</v>
      </c>
      <c r="AE751" s="13" t="n">
        <f aca="false">IF(AND($J751=1,$M751=0),IF(S751="",0,S751*R751)+IF(V751="",0,V751*U751)+IF(Y751="",0,Y751*X751),"")</f>
        <v>141.38281574809</v>
      </c>
      <c r="AF751" s="12" t="n">
        <f aca="false">IF(AND($J751=1,$M751=0),MIN((AC751-E751)/Span_P,(AD751-F751)/Span_S,(AE751-G751)/Span_B),"")</f>
        <v>0.00255210498726186</v>
      </c>
      <c r="AG751" s="15" t="n">
        <f aca="false">IF(AND($J751=1,$M751=0),IF(AF751&gt;0.0000001,1,0),"")</f>
        <v>1</v>
      </c>
      <c r="AH751" s="15" t="n">
        <f aca="false">IF($J751=1,IF($M751=1,AB751,AG751),"")</f>
        <v>1</v>
      </c>
      <c r="AI751" s="13" t="n">
        <f aca="false">IF($J751=1,(Ideal_P-E751)/Span_P,"")</f>
        <v>0.772887673663789</v>
      </c>
      <c r="AJ751" s="13" t="n">
        <f aca="false">IF($J751=1,(Ideal_S-F751)/Span_S,"")</f>
        <v>0.0967741935483871</v>
      </c>
      <c r="AK751" s="13" t="n">
        <f aca="false">IF($J751=1,(Ideal_B-G751)/Span_B,"")</f>
        <v>0.06</v>
      </c>
      <c r="AL751" s="12" t="n">
        <f aca="false">IF($J751=1,MAX(ChA_1*AI751,ChA_2*AJ751,ChA_3*AK751)+Rho*(ChA_1*AI751+ChA_2*AJ751+ChA_3*AK751),"")</f>
        <v>0.77298063985051</v>
      </c>
      <c r="AM751" s="12" t="n">
        <f aca="false">IF($J751=1,MAX(ChB_1*AI751,ChB_2*AJ751,ChB_3*AK751)+Rho*(ChB_1*AI751+ChB_2*AJ751+ChB_3*AK751),"")</f>
        <v>1.54594560228167</v>
      </c>
      <c r="AN751" s="12" t="n">
        <f aca="false">IF($J751=1,MAX(Cx_1*(Ref_P-E751)/Span_P,Cx_2*(Ref_S-F751)/Span_S,Cx_3*(Ref_B-G751)/Span_B),"")</f>
        <v>1.95516248630535</v>
      </c>
    </row>
    <row r="752" customFormat="false" ht="15" hidden="false" customHeight="false" outlineLevel="0" collapsed="false">
      <c r="A752" s="2" t="n">
        <v>746</v>
      </c>
      <c r="B752" s="15" t="n">
        <f aca="false">INT(A752/151)</f>
        <v>4</v>
      </c>
      <c r="C752" s="15" t="n">
        <f aca="false">MOD(A752,151)</f>
        <v>142</v>
      </c>
      <c r="D752" s="15" t="n">
        <f aca="false">INDEX(Grid!$J$6:$P$156,C752+1,B752+1)</f>
        <v>1</v>
      </c>
      <c r="E752" s="16" t="n">
        <f aca="false">IF(D752=1,INDEX(Grid!$B$6:$H$156,C752+1,B752+1),"")</f>
        <v>103.389965121156</v>
      </c>
      <c r="F752" s="13" t="n">
        <f aca="false">Val_pt*(Ceiling_e-E_zero)*(1-(1-Half_gap)^B752)</f>
        <v>131.25</v>
      </c>
      <c r="G752" s="15" t="n">
        <f aca="false">C752</f>
        <v>142</v>
      </c>
      <c r="H752" s="15" t="n">
        <f aca="false">IF(D752=1,INDEX(Grid!$R$6:$X$156,C752+1,B752+1),"")</f>
        <v>45</v>
      </c>
      <c r="I752" s="2" t="str">
        <f aca="false">IF(D752=1,INDEX(Sch_label,H752+1),"")</f>
        <v>1, 3, 4, 6</v>
      </c>
      <c r="J752" s="15" t="n">
        <f aca="false">IF(D752=1,INDEX(Grid!$Z$6:$AF$156,C752+1,B752+1),0)</f>
        <v>1</v>
      </c>
      <c r="K752" s="16" t="n">
        <f aca="false">IF(J752=1,E752,0)</f>
        <v>103.389965121156</v>
      </c>
      <c r="L752" s="17" t="n">
        <f aca="false">IF(D752=1,E752+W_board*F752,"")</f>
        <v>844.261998316739</v>
      </c>
      <c r="M752" s="24" t="n">
        <v>0</v>
      </c>
      <c r="Q752" s="24" t="n">
        <v>4</v>
      </c>
      <c r="R752" s="24" t="n">
        <v>100</v>
      </c>
      <c r="S752" s="25" t="n">
        <v>0.118032051320159</v>
      </c>
      <c r="T752" s="24" t="n">
        <v>4</v>
      </c>
      <c r="U752" s="24" t="n">
        <v>150</v>
      </c>
      <c r="V752" s="25" t="n">
        <v>0.846805613299449</v>
      </c>
      <c r="W752" s="24" t="n">
        <v>5</v>
      </c>
      <c r="X752" s="24" t="n">
        <v>100</v>
      </c>
      <c r="Y752" s="25" t="n">
        <v>0.0351623353803986</v>
      </c>
      <c r="Z752" s="12" t="str">
        <f aca="false">IF(AND($J752=1,$M752=1),N752*E752/Span_P+O752*F752/Span_S+P752*G752/Span_B,"")</f>
        <v/>
      </c>
      <c r="AA752" s="12" t="str">
        <f aca="false">IF(AND($J752=1,$M752=1),SUMPRODUCT(MAX($J$6:$J$1062*(N752*$K$6:$K$1062/Span_P+O752*$F$6:$F$1062/Span_S+P752*$G$6:$G$1062/Span_B)-(1-$J$6:$J$1062)*1000000000)),"")</f>
        <v/>
      </c>
      <c r="AB752" s="15" t="str">
        <f aca="false">IF(AND($J752=1,$M752=1),IF(AA752-Z752&lt;=0.000000001,1,0),"")</f>
        <v/>
      </c>
      <c r="AC752" s="13" t="n">
        <f aca="false">IF(AND($J752=1,$M752=0),IF(S752="",0,S752*INDEX(Grid!$B$6:$H$156,R752+1,Q752+1))+IF(V752="",0,V752*INDEX(Grid!$B$6:$H$156,U752+1,T752+1))+IF(Y752="",0,Y752*INDEX(Grid!$B$6:$H$156,X752+1,W752+1)),"")</f>
        <v>104.211436851801</v>
      </c>
      <c r="AD752" s="13" t="n">
        <f aca="false">IF(AND($J752=1,$M752=0),IF(S752="",0,S752*Val_pt*(Ceiling_e-E_zero)*(1-(1-Half_gap)^Q752))+IF(V752="",0,V752*Val_pt*(Ceiling_e-E_zero)*(1-(1-Half_gap)^T752))+IF(Y752="",0,Y752*Val_pt*(Ceiling_e-E_zero)*(1-(1-Half_gap)^W752)),"")</f>
        <v>131.40383521729</v>
      </c>
      <c r="AE752" s="13" t="n">
        <f aca="false">IF(AND($J752=1,$M752=0),IF(S752="",0,S752*R752)+IF(V752="",0,V752*U752)+IF(Y752="",0,Y752*X752),"")</f>
        <v>142.340280664973</v>
      </c>
      <c r="AF752" s="12" t="n">
        <f aca="false">IF(AND($J752=1,$M752=0),MIN((AC752-E752)/Span_P,(AD752-F752)/Span_S,(AE752-G752)/Span_B),"")</f>
        <v>0.00226853776648488</v>
      </c>
      <c r="AG752" s="15" t="n">
        <f aca="false">IF(AND($J752=1,$M752=0),IF(AF752&gt;0.0000001,1,0),"")</f>
        <v>1</v>
      </c>
      <c r="AH752" s="15" t="n">
        <f aca="false">IF($J752=1,IF($M752=1,AB752,AG752),"")</f>
        <v>1</v>
      </c>
      <c r="AI752" s="13" t="n">
        <f aca="false">IF($J752=1,(Ideal_P-E752)/Span_P,"")</f>
        <v>0.775398176440095</v>
      </c>
      <c r="AJ752" s="13" t="n">
        <f aca="false">IF($J752=1,(Ideal_S-F752)/Span_S,"")</f>
        <v>0.0967741935483871</v>
      </c>
      <c r="AK752" s="13" t="n">
        <f aca="false">IF($J752=1,(Ideal_B-G752)/Span_B,"")</f>
        <v>0.0533333333333333</v>
      </c>
      <c r="AL752" s="12" t="n">
        <f aca="false">IF($J752=1,MAX(ChA_1*AI752,ChA_2*AJ752,ChA_3*AK752)+Rho*(ChA_1*AI752+ChA_2*AJ752+ChA_3*AK752),"")</f>
        <v>0.775490727010427</v>
      </c>
      <c r="AM752" s="12" t="n">
        <f aca="false">IF($J752=1,MAX(ChB_1*AI752,ChB_2*AJ752,ChB_3*AK752)+Rho*(ChB_1*AI752+ChB_2*AJ752+ChB_3*AK752),"")</f>
        <v>1.55096644326817</v>
      </c>
      <c r="AN752" s="12" t="n">
        <f aca="false">IF($J752=1,MAX(Cx_1*(Ref_P-E752)/Span_P,Cx_2*(Ref_S-F752)/Span_S,Cx_3*(Ref_B-G752)/Span_B),"")</f>
        <v>1.96143214798878</v>
      </c>
    </row>
    <row r="753" customFormat="false" ht="15" hidden="false" customHeight="false" outlineLevel="0" collapsed="false">
      <c r="A753" s="2" t="n">
        <v>747</v>
      </c>
      <c r="B753" s="15" t="n">
        <f aca="false">INT(A753/151)</f>
        <v>4</v>
      </c>
      <c r="C753" s="15" t="n">
        <f aca="false">MOD(A753,151)</f>
        <v>143</v>
      </c>
      <c r="D753" s="15" t="n">
        <f aca="false">INDEX(Grid!$J$6:$P$156,C753+1,B753+1)</f>
        <v>1</v>
      </c>
      <c r="E753" s="16" t="n">
        <f aca="false">IF(D753=1,INDEX(Grid!$B$6:$H$156,C753+1,B753+1),"")</f>
        <v>102.480874212065</v>
      </c>
      <c r="F753" s="13" t="n">
        <f aca="false">Val_pt*(Ceiling_e-E_zero)*(1-(1-Half_gap)^B753)</f>
        <v>131.25</v>
      </c>
      <c r="G753" s="15" t="n">
        <f aca="false">C753</f>
        <v>143</v>
      </c>
      <c r="H753" s="15" t="n">
        <f aca="false">IF(D753=1,INDEX(Grid!$R$6:$X$156,C753+1,B753+1),"")</f>
        <v>45</v>
      </c>
      <c r="I753" s="2" t="str">
        <f aca="false">IF(D753=1,INDEX(Sch_label,H753+1),"")</f>
        <v>1, 3, 4, 6</v>
      </c>
      <c r="J753" s="15" t="n">
        <f aca="false">IF(D753=1,INDEX(Grid!$Z$6:$AF$156,C753+1,B753+1),0)</f>
        <v>1</v>
      </c>
      <c r="K753" s="16" t="n">
        <f aca="false">IF(J753=1,E753,0)</f>
        <v>102.480874212065</v>
      </c>
      <c r="L753" s="17" t="n">
        <f aca="false">IF(D753=1,E753+W_board*F753,"")</f>
        <v>843.352907407648</v>
      </c>
      <c r="M753" s="24" t="n">
        <v>0</v>
      </c>
      <c r="Q753" s="24" t="n">
        <v>4</v>
      </c>
      <c r="R753" s="24" t="n">
        <v>100</v>
      </c>
      <c r="S753" s="25" t="n">
        <v>0.103278044905116</v>
      </c>
      <c r="T753" s="24" t="n">
        <v>4</v>
      </c>
      <c r="U753" s="24" t="n">
        <v>150</v>
      </c>
      <c r="V753" s="25" t="n">
        <v>0.865954911637005</v>
      </c>
      <c r="W753" s="24" t="n">
        <v>5</v>
      </c>
      <c r="X753" s="24" t="n">
        <v>100</v>
      </c>
      <c r="Y753" s="25" t="n">
        <v>0.0307670434578782</v>
      </c>
      <c r="Z753" s="12" t="str">
        <f aca="false">IF(AND($J753=1,$M753=1),N753*E753/Span_P+O753*F753/Span_S+P753*G753/Span_B,"")</f>
        <v/>
      </c>
      <c r="AA753" s="12" t="str">
        <f aca="false">IF(AND($J753=1,$M753=1),SUMPRODUCT(MAX($J$6:$J$1062*(N753*$K$6:$K$1062/Span_P+O753*$F$6:$F$1062/Span_S+P753*$G$6:$G$1062/Span_B)-(1-$J$6:$J$1062)*1000000000)),"")</f>
        <v/>
      </c>
      <c r="AB753" s="15" t="str">
        <f aca="false">IF(AND($J753=1,$M753=1),IF(AA753-Z753&lt;=0.000000001,1,0),"")</f>
        <v/>
      </c>
      <c r="AC753" s="13" t="n">
        <f aca="false">IF(AND($J753=1,$M753=0),IF(S753="",0,S753*INDEX(Grid!$B$6:$H$156,R753+1,Q753+1))+IF(V753="",0,V753*INDEX(Grid!$B$6:$H$156,U753+1,T753+1))+IF(Y753="",0,Y753*INDEX(Grid!$B$6:$H$156,X753+1,W753+1)),"")</f>
        <v>103.199661976377</v>
      </c>
      <c r="AD753" s="13" t="n">
        <f aca="false">IF(AND($J753=1,$M753=0),IF(S753="",0,S753*Val_pt*(Ceiling_e-E_zero)*(1-(1-Half_gap)^Q753))+IF(V753="",0,V753*Val_pt*(Ceiling_e-E_zero)*(1-(1-Half_gap)^T753))+IF(Y753="",0,Y753*Val_pt*(Ceiling_e-E_zero)*(1-(1-Half_gap)^W753)),"")</f>
        <v>131.384605815128</v>
      </c>
      <c r="AE753" s="13" t="n">
        <f aca="false">IF(AND($J753=1,$M753=0),IF(S753="",0,S753*R753)+IF(V753="",0,V753*U753)+IF(Y753="",0,Y753*X753),"")</f>
        <v>143.29774558185</v>
      </c>
      <c r="AF753" s="12" t="n">
        <f aca="false">IF(AND($J753=1,$M753=0),MIN((AC753-E753)/Span_P,(AD753-F753)/Span_S,(AE753-G753)/Span_B),"")</f>
        <v>0.00198497054566772</v>
      </c>
      <c r="AG753" s="15" t="n">
        <f aca="false">IF(AND($J753=1,$M753=0),IF(AF753&gt;0.0000001,1,0),"")</f>
        <v>1</v>
      </c>
      <c r="AH753" s="15" t="n">
        <f aca="false">IF($J753=1,IF($M753=1,AB753,AG753),"")</f>
        <v>1</v>
      </c>
      <c r="AI753" s="13" t="n">
        <f aca="false">IF($J753=1,(Ideal_P-E753)/Span_P,"")</f>
        <v>0.777908679216401</v>
      </c>
      <c r="AJ753" s="13" t="n">
        <f aca="false">IF($J753=1,(Ideal_S-F753)/Span_S,"")</f>
        <v>0.0967741935483871</v>
      </c>
      <c r="AK753" s="13" t="n">
        <f aca="false">IF($J753=1,(Ideal_B-G753)/Span_B,"")</f>
        <v>0.0466666666666667</v>
      </c>
      <c r="AL753" s="12" t="n">
        <f aca="false">IF($J753=1,MAX(ChA_1*AI753,ChA_2*AJ753,ChA_3*AK753)+Rho*(ChA_1*AI753+ChA_2*AJ753+ChA_3*AK753),"")</f>
        <v>0.778000814170344</v>
      </c>
      <c r="AM753" s="12" t="n">
        <f aca="false">IF($J753=1,MAX(ChB_1*AI753,ChB_2*AJ753,ChB_3*AK753)+Rho*(ChB_1*AI753+ChB_2*AJ753+ChB_3*AK753),"")</f>
        <v>1.55598728425467</v>
      </c>
      <c r="AN753" s="12" t="n">
        <f aca="false">IF($J753=1,MAX(Cx_1*(Ref_P-E753)/Span_P,Cx_2*(Ref_S-F753)/Span_S,Cx_3*(Ref_B-G753)/Span_B),"")</f>
        <v>1.9677018096722</v>
      </c>
    </row>
    <row r="754" customFormat="false" ht="15" hidden="false" customHeight="false" outlineLevel="0" collapsed="false">
      <c r="A754" s="2" t="n">
        <v>748</v>
      </c>
      <c r="B754" s="15" t="n">
        <f aca="false">INT(A754/151)</f>
        <v>4</v>
      </c>
      <c r="C754" s="15" t="n">
        <f aca="false">MOD(A754,151)</f>
        <v>144</v>
      </c>
      <c r="D754" s="15" t="n">
        <f aca="false">INDEX(Grid!$J$6:$P$156,C754+1,B754+1)</f>
        <v>1</v>
      </c>
      <c r="E754" s="16" t="n">
        <f aca="false">IF(D754=1,INDEX(Grid!$B$6:$H$156,C754+1,B754+1),"")</f>
        <v>101.571783302974</v>
      </c>
      <c r="F754" s="13" t="n">
        <f aca="false">Val_pt*(Ceiling_e-E_zero)*(1-(1-Half_gap)^B754)</f>
        <v>131.25</v>
      </c>
      <c r="G754" s="15" t="n">
        <f aca="false">C754</f>
        <v>144</v>
      </c>
      <c r="H754" s="15" t="n">
        <f aca="false">IF(D754=1,INDEX(Grid!$R$6:$X$156,C754+1,B754+1),"")</f>
        <v>45</v>
      </c>
      <c r="I754" s="2" t="str">
        <f aca="false">IF(D754=1,INDEX(Sch_label,H754+1),"")</f>
        <v>1, 3, 4, 6</v>
      </c>
      <c r="J754" s="15" t="n">
        <f aca="false">IF(D754=1,INDEX(Grid!$Z$6:$AF$156,C754+1,B754+1),0)</f>
        <v>1</v>
      </c>
      <c r="K754" s="16" t="n">
        <f aca="false">IF(J754=1,E754,0)</f>
        <v>101.571783302974</v>
      </c>
      <c r="L754" s="17" t="n">
        <f aca="false">IF(D754=1,E754+W_board*F754,"")</f>
        <v>842.443816498557</v>
      </c>
      <c r="M754" s="24" t="n">
        <v>0</v>
      </c>
      <c r="Q754" s="24" t="n">
        <v>4</v>
      </c>
      <c r="R754" s="24" t="n">
        <v>100</v>
      </c>
      <c r="S754" s="25" t="n">
        <v>0.0885240384901012</v>
      </c>
      <c r="T754" s="24" t="n">
        <v>4</v>
      </c>
      <c r="U754" s="24" t="n">
        <v>150</v>
      </c>
      <c r="V754" s="25" t="n">
        <v>0.885104209974576</v>
      </c>
      <c r="W754" s="24" t="n">
        <v>5</v>
      </c>
      <c r="X754" s="24" t="n">
        <v>100</v>
      </c>
      <c r="Y754" s="25" t="n">
        <v>0.0263717515353197</v>
      </c>
      <c r="Z754" s="12" t="str">
        <f aca="false">IF(AND($J754=1,$M754=1),N754*E754/Span_P+O754*F754/Span_S+P754*G754/Span_B,"")</f>
        <v/>
      </c>
      <c r="AA754" s="12" t="str">
        <f aca="false">IF(AND($J754=1,$M754=1),SUMPRODUCT(MAX($J$6:$J$1062*(N754*$K$6:$K$1062/Span_P+O754*$F$6:$F$1062/Span_S+P754*$G$6:$G$1062/Span_B)-(1-$J$6:$J$1062)*1000000000)),"")</f>
        <v/>
      </c>
      <c r="AB754" s="15" t="str">
        <f aca="false">IF(AND($J754=1,$M754=1),IF(AA754-Z754&lt;=0.000000001,1,0),"")</f>
        <v/>
      </c>
      <c r="AC754" s="13" t="n">
        <f aca="false">IF(AND($J754=1,$M754=0),IF(S754="",0,S754*INDEX(Grid!$B$6:$H$156,R754+1,Q754+1))+IF(V754="",0,V754*INDEX(Grid!$B$6:$H$156,U754+1,T754+1))+IF(Y754="",0,Y754*INDEX(Grid!$B$6:$H$156,X754+1,W754+1)),"")</f>
        <v>102.187887100956</v>
      </c>
      <c r="AD754" s="13" t="n">
        <f aca="false">IF(AND($J754=1,$M754=0),IF(S754="",0,S754*Val_pt*(Ceiling_e-E_zero)*(1-(1-Half_gap)^Q754))+IF(V754="",0,V754*Val_pt*(Ceiling_e-E_zero)*(1-(1-Half_gap)^T754))+IF(Y754="",0,Y754*Val_pt*(Ceiling_e-E_zero)*(1-(1-Half_gap)^W754)),"")</f>
        <v>131.365376412967</v>
      </c>
      <c r="AE754" s="13" t="n">
        <f aca="false">IF(AND($J754=1,$M754=0),IF(S754="",0,S754*R754)+IF(V754="",0,V754*U754)+IF(Y754="",0,Y754*X754),"")</f>
        <v>144.255210498729</v>
      </c>
      <c r="AF754" s="12" t="n">
        <f aca="false">IF(AND($J754=1,$M754=0),MIN((AC754-E754)/Span_P,(AD754-F754)/Span_S,(AE754-G754)/Span_B),"")</f>
        <v>0.00170140332485326</v>
      </c>
      <c r="AG754" s="15" t="n">
        <f aca="false">IF(AND($J754=1,$M754=0),IF(AF754&gt;0.0000001,1,0),"")</f>
        <v>1</v>
      </c>
      <c r="AH754" s="15" t="n">
        <f aca="false">IF($J754=1,IF($M754=1,AB754,AG754),"")</f>
        <v>1</v>
      </c>
      <c r="AI754" s="13" t="n">
        <f aca="false">IF($J754=1,(Ideal_P-E754)/Span_P,"")</f>
        <v>0.780419181992706</v>
      </c>
      <c r="AJ754" s="13" t="n">
        <f aca="false">IF($J754=1,(Ideal_S-F754)/Span_S,"")</f>
        <v>0.0967741935483871</v>
      </c>
      <c r="AK754" s="13" t="n">
        <f aca="false">IF($J754=1,(Ideal_B-G754)/Span_B,"")</f>
        <v>0.04</v>
      </c>
      <c r="AL754" s="12" t="n">
        <f aca="false">IF($J754=1,MAX(ChA_1*AI754,ChA_2*AJ754,ChA_3*AK754)+Rho*(ChA_1*AI754+ChA_2*AJ754+ChA_3*AK754),"")</f>
        <v>0.780510901330261</v>
      </c>
      <c r="AM754" s="12" t="n">
        <f aca="false">IF($J754=1,MAX(ChB_1*AI754,ChB_2*AJ754,ChB_3*AK754)+Rho*(ChB_1*AI754+ChB_2*AJ754+ChB_3*AK754),"")</f>
        <v>1.56100812524117</v>
      </c>
      <c r="AN754" s="12" t="n">
        <f aca="false">IF($J754=1,MAX(Cx_1*(Ref_P-E754)/Span_P,Cx_2*(Ref_S-F754)/Span_S,Cx_3*(Ref_B-G754)/Span_B),"")</f>
        <v>1.97397147135563</v>
      </c>
    </row>
    <row r="755" customFormat="false" ht="15" hidden="false" customHeight="false" outlineLevel="0" collapsed="false">
      <c r="A755" s="2" t="n">
        <v>749</v>
      </c>
      <c r="B755" s="15" t="n">
        <f aca="false">INT(A755/151)</f>
        <v>4</v>
      </c>
      <c r="C755" s="15" t="n">
        <f aca="false">MOD(A755,151)</f>
        <v>145</v>
      </c>
      <c r="D755" s="15" t="n">
        <f aca="false">INDEX(Grid!$J$6:$P$156,C755+1,B755+1)</f>
        <v>1</v>
      </c>
      <c r="E755" s="16" t="n">
        <f aca="false">IF(D755=1,INDEX(Grid!$B$6:$H$156,C755+1,B755+1),"")</f>
        <v>100.662692393883</v>
      </c>
      <c r="F755" s="13" t="n">
        <f aca="false">Val_pt*(Ceiling_e-E_zero)*(1-(1-Half_gap)^B755)</f>
        <v>131.25</v>
      </c>
      <c r="G755" s="15" t="n">
        <f aca="false">C755</f>
        <v>145</v>
      </c>
      <c r="H755" s="15" t="n">
        <f aca="false">IF(D755=1,INDEX(Grid!$R$6:$X$156,C755+1,B755+1),"")</f>
        <v>45</v>
      </c>
      <c r="I755" s="2" t="str">
        <f aca="false">IF(D755=1,INDEX(Sch_label,H755+1),"")</f>
        <v>1, 3, 4, 6</v>
      </c>
      <c r="J755" s="15" t="n">
        <f aca="false">IF(D755=1,INDEX(Grid!$Z$6:$AF$156,C755+1,B755+1),0)</f>
        <v>1</v>
      </c>
      <c r="K755" s="16" t="n">
        <f aca="false">IF(J755=1,E755,0)</f>
        <v>100.662692393883</v>
      </c>
      <c r="L755" s="17" t="n">
        <f aca="false">IF(D755=1,E755+W_board*F755,"")</f>
        <v>841.534725589466</v>
      </c>
      <c r="M755" s="24" t="n">
        <v>0</v>
      </c>
      <c r="Q755" s="24" t="n">
        <v>4</v>
      </c>
      <c r="R755" s="24" t="n">
        <v>100</v>
      </c>
      <c r="S755" s="25" t="n">
        <v>0.0737700320751067</v>
      </c>
      <c r="T755" s="24" t="n">
        <v>4</v>
      </c>
      <c r="U755" s="24" t="n">
        <v>150</v>
      </c>
      <c r="V755" s="25" t="n">
        <v>0.904253508312158</v>
      </c>
      <c r="W755" s="24" t="n">
        <v>5</v>
      </c>
      <c r="X755" s="24" t="n">
        <v>100</v>
      </c>
      <c r="Y755" s="25" t="n">
        <v>0.0219764596127413</v>
      </c>
      <c r="Z755" s="12" t="str">
        <f aca="false">IF(AND($J755=1,$M755=1),N755*E755/Span_P+O755*F755/Span_S+P755*G755/Span_B,"")</f>
        <v/>
      </c>
      <c r="AA755" s="12" t="str">
        <f aca="false">IF(AND($J755=1,$M755=1),SUMPRODUCT(MAX($J$6:$J$1062*(N755*$K$6:$K$1062/Span_P+O755*$F$6:$F$1062/Span_S+P755*$G$6:$G$1062/Span_B)-(1-$J$6:$J$1062)*1000000000)),"")</f>
        <v/>
      </c>
      <c r="AB755" s="15" t="str">
        <f aca="false">IF(AND($J755=1,$M755=1),IF(AA755-Z755&lt;=0.000000001,1,0),"")</f>
        <v/>
      </c>
      <c r="AC755" s="13" t="n">
        <f aca="false">IF(AND($J755=1,$M755=0),IF(S755="",0,S755*INDEX(Grid!$B$6:$H$156,R755+1,Q755+1))+IF(V755="",0,V755*INDEX(Grid!$B$6:$H$156,U755+1,T755+1))+IF(Y755="",0,Y755*INDEX(Grid!$B$6:$H$156,X755+1,W755+1)),"")</f>
        <v>101.176112225537</v>
      </c>
      <c r="AD755" s="13" t="n">
        <f aca="false">IF(AND($J755=1,$M755=0),IF(S755="",0,S755*Val_pt*(Ceiling_e-E_zero)*(1-(1-Half_gap)^Q755))+IF(V755="",0,V755*Val_pt*(Ceiling_e-E_zero)*(1-(1-Half_gap)^T755))+IF(Y755="",0,Y755*Val_pt*(Ceiling_e-E_zero)*(1-(1-Half_gap)^W755)),"")</f>
        <v>131.346147010807</v>
      </c>
      <c r="AE755" s="13" t="n">
        <f aca="false">IF(AND($J755=1,$M755=0),IF(S755="",0,S755*R755)+IF(V755="",0,V755*U755)+IF(Y755="",0,Y755*X755),"")</f>
        <v>145.212675415609</v>
      </c>
      <c r="AF755" s="12" t="n">
        <f aca="false">IF(AND($J755=1,$M755=0),MIN((AC755-E755)/Span_P,(AD755-F755)/Span_S,(AE755-G755)/Span_B),"")</f>
        <v>0.00141783610405517</v>
      </c>
      <c r="AG755" s="15" t="n">
        <f aca="false">IF(AND($J755=1,$M755=0),IF(AF755&gt;0.0000001,1,0),"")</f>
        <v>1</v>
      </c>
      <c r="AH755" s="15" t="n">
        <f aca="false">IF($J755=1,IF($M755=1,AB755,AG755),"")</f>
        <v>1</v>
      </c>
      <c r="AI755" s="13" t="n">
        <f aca="false">IF($J755=1,(Ideal_P-E755)/Span_P,"")</f>
        <v>0.782929684769012</v>
      </c>
      <c r="AJ755" s="13" t="n">
        <f aca="false">IF($J755=1,(Ideal_S-F755)/Span_S,"")</f>
        <v>0.0967741935483871</v>
      </c>
      <c r="AK755" s="13" t="n">
        <f aca="false">IF($J755=1,(Ideal_B-G755)/Span_B,"")</f>
        <v>0.0333333333333333</v>
      </c>
      <c r="AL755" s="12" t="n">
        <f aca="false">IF($J755=1,MAX(ChA_1*AI755,ChA_2*AJ755,ChA_3*AK755)+Rho*(ChA_1*AI755+ChA_2*AJ755+ChA_3*AK755),"")</f>
        <v>0.783020988490177</v>
      </c>
      <c r="AM755" s="12" t="n">
        <f aca="false">IF($J755=1,MAX(ChB_1*AI755,ChB_2*AJ755,ChB_3*AK755)+Rho*(ChB_1*AI755+ChB_2*AJ755+ChB_3*AK755),"")</f>
        <v>1.56602896622767</v>
      </c>
      <c r="AN755" s="12" t="n">
        <f aca="false">IF($J755=1,MAX(Cx_1*(Ref_P-E755)/Span_P,Cx_2*(Ref_S-F755)/Span_S,Cx_3*(Ref_B-G755)/Span_B),"")</f>
        <v>1.98024113303906</v>
      </c>
    </row>
    <row r="756" customFormat="false" ht="15" hidden="false" customHeight="false" outlineLevel="0" collapsed="false">
      <c r="A756" s="2" t="n">
        <v>750</v>
      </c>
      <c r="B756" s="15" t="n">
        <f aca="false">INT(A756/151)</f>
        <v>4</v>
      </c>
      <c r="C756" s="15" t="n">
        <f aca="false">MOD(A756,151)</f>
        <v>146</v>
      </c>
      <c r="D756" s="15" t="n">
        <f aca="false">INDEX(Grid!$J$6:$P$156,C756+1,B756+1)</f>
        <v>1</v>
      </c>
      <c r="E756" s="16" t="n">
        <f aca="false">IF(D756=1,INDEX(Grid!$B$6:$H$156,C756+1,B756+1),"")</f>
        <v>99.7536014847922</v>
      </c>
      <c r="F756" s="13" t="n">
        <f aca="false">Val_pt*(Ceiling_e-E_zero)*(1-(1-Half_gap)^B756)</f>
        <v>131.25</v>
      </c>
      <c r="G756" s="15" t="n">
        <f aca="false">C756</f>
        <v>146</v>
      </c>
      <c r="H756" s="15" t="n">
        <f aca="false">IF(D756=1,INDEX(Grid!$R$6:$X$156,C756+1,B756+1),"")</f>
        <v>45</v>
      </c>
      <c r="I756" s="2" t="str">
        <f aca="false">IF(D756=1,INDEX(Sch_label,H756+1),"")</f>
        <v>1, 3, 4, 6</v>
      </c>
      <c r="J756" s="15" t="n">
        <f aca="false">IF(D756=1,INDEX(Grid!$Z$6:$AF$156,C756+1,B756+1),0)</f>
        <v>1</v>
      </c>
      <c r="K756" s="16" t="n">
        <f aca="false">IF(J756=1,E756,0)</f>
        <v>99.7536014847922</v>
      </c>
      <c r="L756" s="17" t="n">
        <f aca="false">IF(D756=1,E756+W_board*F756,"")</f>
        <v>840.625634680375</v>
      </c>
      <c r="M756" s="24" t="n">
        <v>0</v>
      </c>
      <c r="Q756" s="24" t="n">
        <v>4</v>
      </c>
      <c r="R756" s="24" t="n">
        <v>100</v>
      </c>
      <c r="S756" s="25" t="n">
        <v>0.059016025660082</v>
      </c>
      <c r="T756" s="24" t="n">
        <v>4</v>
      </c>
      <c r="U756" s="24" t="n">
        <v>150</v>
      </c>
      <c r="V756" s="25" t="n">
        <v>0.923402806649728</v>
      </c>
      <c r="W756" s="24" t="n">
        <v>5</v>
      </c>
      <c r="X756" s="24" t="n">
        <v>100</v>
      </c>
      <c r="Y756" s="25" t="n">
        <v>0.0175811676901994</v>
      </c>
      <c r="Z756" s="12" t="str">
        <f aca="false">IF(AND($J756=1,$M756=1),N756*E756/Span_P+O756*F756/Span_S+P756*G756/Span_B,"")</f>
        <v/>
      </c>
      <c r="AA756" s="12" t="str">
        <f aca="false">IF(AND($J756=1,$M756=1),SUMPRODUCT(MAX($J$6:$J$1062*(N756*$K$6:$K$1062/Span_P+O756*$F$6:$F$1062/Span_S+P756*$G$6:$G$1062/Span_B)-(1-$J$6:$J$1062)*1000000000)),"")</f>
        <v/>
      </c>
      <c r="AB756" s="15" t="str">
        <f aca="false">IF(AND($J756=1,$M756=1),IF(AA756-Z756&lt;=0.000000001,1,0),"")</f>
        <v/>
      </c>
      <c r="AC756" s="13" t="n">
        <f aca="false">IF(AND($J756=1,$M756=0),IF(S756="",0,S756*INDEX(Grid!$B$6:$H$156,R756+1,Q756+1))+IF(V756="",0,V756*INDEX(Grid!$B$6:$H$156,U756+1,T756+1))+IF(Y756="",0,Y756*INDEX(Grid!$B$6:$H$156,X756+1,W756+1)),"")</f>
        <v>100.164337350115</v>
      </c>
      <c r="AD756" s="13" t="n">
        <f aca="false">IF(AND($J756=1,$M756=0),IF(S756="",0,S756*Val_pt*(Ceiling_e-E_zero)*(1-(1-Half_gap)^Q756))+IF(V756="",0,V756*Val_pt*(Ceiling_e-E_zero)*(1-(1-Half_gap)^T756))+IF(Y756="",0,Y756*Val_pt*(Ceiling_e-E_zero)*(1-(1-Half_gap)^W756)),"")</f>
        <v>131.326917608646</v>
      </c>
      <c r="AE756" s="13" t="n">
        <f aca="false">IF(AND($J756=1,$M756=0),IF(S756="",0,S756*R756)+IF(V756="",0,V756*U756)+IF(Y756="",0,Y756*X756),"")</f>
        <v>146.170140332487</v>
      </c>
      <c r="AF756" s="12" t="n">
        <f aca="false">IF(AND($J756=1,$M756=0),MIN((AC756-E756)/Span_P,(AD756-F756)/Span_S,(AE756-G756)/Span_B),"")</f>
        <v>0.0011342688832446</v>
      </c>
      <c r="AG756" s="15" t="n">
        <f aca="false">IF(AND($J756=1,$M756=0),IF(AF756&gt;0.0000001,1,0),"")</f>
        <v>1</v>
      </c>
      <c r="AH756" s="15" t="n">
        <f aca="false">IF($J756=1,IF($M756=1,AB756,AG756),"")</f>
        <v>1</v>
      </c>
      <c r="AI756" s="13" t="n">
        <f aca="false">IF($J756=1,(Ideal_P-E756)/Span_P,"")</f>
        <v>0.785440187545318</v>
      </c>
      <c r="AJ756" s="13" t="n">
        <f aca="false">IF($J756=1,(Ideal_S-F756)/Span_S,"")</f>
        <v>0.0967741935483871</v>
      </c>
      <c r="AK756" s="13" t="n">
        <f aca="false">IF($J756=1,(Ideal_B-G756)/Span_B,"")</f>
        <v>0.0266666666666667</v>
      </c>
      <c r="AL756" s="12" t="n">
        <f aca="false">IF($J756=1,MAX(ChA_1*AI756,ChA_2*AJ756,ChA_3*AK756)+Rho*(ChA_1*AI756+ChA_2*AJ756+ChA_3*AK756),"")</f>
        <v>0.785531075650094</v>
      </c>
      <c r="AM756" s="12" t="n">
        <f aca="false">IF($J756=1,MAX(ChB_1*AI756,ChB_2*AJ756,ChB_3*AK756)+Rho*(ChB_1*AI756+ChB_2*AJ756+ChB_3*AK756),"")</f>
        <v>1.57104980721417</v>
      </c>
      <c r="AN756" s="12" t="n">
        <f aca="false">IF($J756=1,MAX(Cx_1*(Ref_P-E756)/Span_P,Cx_2*(Ref_S-F756)/Span_S,Cx_3*(Ref_B-G756)/Span_B),"")</f>
        <v>1.98651079472249</v>
      </c>
    </row>
    <row r="757" customFormat="false" ht="15" hidden="false" customHeight="false" outlineLevel="0" collapsed="false">
      <c r="A757" s="2" t="n">
        <v>751</v>
      </c>
      <c r="B757" s="15" t="n">
        <f aca="false">INT(A757/151)</f>
        <v>4</v>
      </c>
      <c r="C757" s="15" t="n">
        <f aca="false">MOD(A757,151)</f>
        <v>147</v>
      </c>
      <c r="D757" s="15" t="n">
        <f aca="false">INDEX(Grid!$J$6:$P$156,C757+1,B757+1)</f>
        <v>1</v>
      </c>
      <c r="E757" s="16" t="n">
        <f aca="false">IF(D757=1,INDEX(Grid!$B$6:$H$156,C757+1,B757+1),"")</f>
        <v>98.8445105757013</v>
      </c>
      <c r="F757" s="13" t="n">
        <f aca="false">Val_pt*(Ceiling_e-E_zero)*(1-(1-Half_gap)^B757)</f>
        <v>131.25</v>
      </c>
      <c r="G757" s="15" t="n">
        <f aca="false">C757</f>
        <v>147</v>
      </c>
      <c r="H757" s="15" t="n">
        <f aca="false">IF(D757=1,INDEX(Grid!$R$6:$X$156,C757+1,B757+1),"")</f>
        <v>45</v>
      </c>
      <c r="I757" s="2" t="str">
        <f aca="false">IF(D757=1,INDEX(Sch_label,H757+1),"")</f>
        <v>1, 3, 4, 6</v>
      </c>
      <c r="J757" s="15" t="n">
        <f aca="false">IF(D757=1,INDEX(Grid!$Z$6:$AF$156,C757+1,B757+1),0)</f>
        <v>1</v>
      </c>
      <c r="K757" s="16" t="n">
        <f aca="false">IF(J757=1,E757,0)</f>
        <v>98.8445105757013</v>
      </c>
      <c r="L757" s="17" t="n">
        <f aca="false">IF(D757=1,E757+W_board*F757,"")</f>
        <v>839.716543771284</v>
      </c>
      <c r="M757" s="24" t="n">
        <v>0</v>
      </c>
      <c r="Q757" s="24" t="n">
        <v>4</v>
      </c>
      <c r="R757" s="24" t="n">
        <v>100</v>
      </c>
      <c r="S757" s="25" t="n">
        <v>0.0442620192450533</v>
      </c>
      <c r="T757" s="24" t="n">
        <v>4</v>
      </c>
      <c r="U757" s="24" t="n">
        <v>150</v>
      </c>
      <c r="V757" s="25" t="n">
        <v>0.942552104987287</v>
      </c>
      <c r="W757" s="24" t="n">
        <v>5</v>
      </c>
      <c r="X757" s="24" t="n">
        <v>100</v>
      </c>
      <c r="Y757" s="25" t="n">
        <v>0.0131858757676575</v>
      </c>
      <c r="Z757" s="12" t="str">
        <f aca="false">IF(AND($J757=1,$M757=1),N757*E757/Span_P+O757*F757/Span_S+P757*G757/Span_B,"")</f>
        <v/>
      </c>
      <c r="AA757" s="12" t="str">
        <f aca="false">IF(AND($J757=1,$M757=1),SUMPRODUCT(MAX($J$6:$J$1062*(N757*$K$6:$K$1062/Span_P+O757*$F$6:$F$1062/Span_S+P757*$G$6:$G$1062/Span_B)-(1-$J$6:$J$1062)*1000000000)),"")</f>
        <v/>
      </c>
      <c r="AB757" s="15" t="str">
        <f aca="false">IF(AND($J757=1,$M757=1),IF(AA757-Z757&lt;=0.000000001,1,0),"")</f>
        <v/>
      </c>
      <c r="AC757" s="13" t="n">
        <f aca="false">IF(AND($J757=1,$M757=0),IF(S757="",0,S757*INDEX(Grid!$B$6:$H$156,R757+1,Q757+1))+IF(V757="",0,V757*INDEX(Grid!$B$6:$H$156,U757+1,T757+1))+IF(Y757="",0,Y757*INDEX(Grid!$B$6:$H$156,X757+1,W757+1)),"")</f>
        <v>99.1525624746922</v>
      </c>
      <c r="AD757" s="13" t="n">
        <f aca="false">IF(AND($J757=1,$M757=0),IF(S757="",0,S757*Val_pt*(Ceiling_e-E_zero)*(1-(1-Half_gap)^Q757))+IF(V757="",0,V757*Val_pt*(Ceiling_e-E_zero)*(1-(1-Half_gap)^T757))+IF(Y757="",0,Y757*Val_pt*(Ceiling_e-E_zero)*(1-(1-Half_gap)^W757)),"")</f>
        <v>131.307688206483</v>
      </c>
      <c r="AE757" s="13" t="n">
        <f aca="false">IF(AND($J757=1,$M757=0),IF(S757="",0,S757*R757)+IF(V757="",0,V757*U757)+IF(Y757="",0,Y757*X757),"")</f>
        <v>147.127605249364</v>
      </c>
      <c r="AF757" s="12" t="n">
        <f aca="false">IF(AND($J757=1,$M757=0),MIN((AC757-E757)/Span_P,(AD757-F757)/Span_S,(AE757-G757)/Span_B),"")</f>
        <v>0.000850701662424533</v>
      </c>
      <c r="AG757" s="15" t="n">
        <f aca="false">IF(AND($J757=1,$M757=0),IF(AF757&gt;0.0000001,1,0),"")</f>
        <v>1</v>
      </c>
      <c r="AH757" s="15" t="n">
        <f aca="false">IF($J757=1,IF($M757=1,AB757,AG757),"")</f>
        <v>1</v>
      </c>
      <c r="AI757" s="13" t="n">
        <f aca="false">IF($J757=1,(Ideal_P-E757)/Span_P,"")</f>
        <v>0.787950690321624</v>
      </c>
      <c r="AJ757" s="13" t="n">
        <f aca="false">IF($J757=1,(Ideal_S-F757)/Span_S,"")</f>
        <v>0.0967741935483871</v>
      </c>
      <c r="AK757" s="13" t="n">
        <f aca="false">IF($J757=1,(Ideal_B-G757)/Span_B,"")</f>
        <v>0.02</v>
      </c>
      <c r="AL757" s="12" t="n">
        <f aca="false">IF($J757=1,MAX(ChA_1*AI757,ChA_2*AJ757,ChA_3*AK757)+Rho*(ChA_1*AI757+ChA_2*AJ757+ChA_3*AK757),"")</f>
        <v>0.788041162810011</v>
      </c>
      <c r="AM757" s="12" t="n">
        <f aca="false">IF($J757=1,MAX(ChB_1*AI757,ChB_2*AJ757,ChB_3*AK757)+Rho*(ChB_1*AI757+ChB_2*AJ757+ChB_3*AK757),"")</f>
        <v>1.57607064820067</v>
      </c>
      <c r="AN757" s="12" t="n">
        <f aca="false">IF($J757=1,MAX(Cx_1*(Ref_P-E757)/Span_P,Cx_2*(Ref_S-F757)/Span_S,Cx_3*(Ref_B-G757)/Span_B),"")</f>
        <v>1.99278045640592</v>
      </c>
    </row>
    <row r="758" customFormat="false" ht="15" hidden="false" customHeight="false" outlineLevel="0" collapsed="false">
      <c r="A758" s="2" t="n">
        <v>752</v>
      </c>
      <c r="B758" s="15" t="n">
        <f aca="false">INT(A758/151)</f>
        <v>4</v>
      </c>
      <c r="C758" s="15" t="n">
        <f aca="false">MOD(A758,151)</f>
        <v>148</v>
      </c>
      <c r="D758" s="15" t="n">
        <f aca="false">INDEX(Grid!$J$6:$P$156,C758+1,B758+1)</f>
        <v>1</v>
      </c>
      <c r="E758" s="16" t="n">
        <f aca="false">IF(D758=1,INDEX(Grid!$B$6:$H$156,C758+1,B758+1),"")</f>
        <v>97.9354196666104</v>
      </c>
      <c r="F758" s="13" t="n">
        <f aca="false">Val_pt*(Ceiling_e-E_zero)*(1-(1-Half_gap)^B758)</f>
        <v>131.25</v>
      </c>
      <c r="G758" s="15" t="n">
        <f aca="false">C758</f>
        <v>148</v>
      </c>
      <c r="H758" s="15" t="n">
        <f aca="false">IF(D758=1,INDEX(Grid!$R$6:$X$156,C758+1,B758+1),"")</f>
        <v>45</v>
      </c>
      <c r="I758" s="2" t="str">
        <f aca="false">IF(D758=1,INDEX(Sch_label,H758+1),"")</f>
        <v>1, 3, 4, 6</v>
      </c>
      <c r="J758" s="15" t="n">
        <f aca="false">IF(D758=1,INDEX(Grid!$Z$6:$AF$156,C758+1,B758+1),0)</f>
        <v>1</v>
      </c>
      <c r="K758" s="16" t="n">
        <f aca="false">IF(J758=1,E758,0)</f>
        <v>97.9354196666104</v>
      </c>
      <c r="L758" s="17" t="n">
        <f aca="false">IF(D758=1,E758+W_board*F758,"")</f>
        <v>838.807452862193</v>
      </c>
      <c r="M758" s="24" t="n">
        <v>0</v>
      </c>
      <c r="Q758" s="24" t="n">
        <v>4</v>
      </c>
      <c r="R758" s="24" t="n">
        <v>100</v>
      </c>
      <c r="S758" s="25" t="n">
        <v>0.0295080128300558</v>
      </c>
      <c r="T758" s="24" t="n">
        <v>4</v>
      </c>
      <c r="U758" s="24" t="n">
        <v>150</v>
      </c>
      <c r="V758" s="25" t="n">
        <v>0.961701403324893</v>
      </c>
      <c r="W758" s="24" t="n">
        <v>5</v>
      </c>
      <c r="X758" s="24" t="n">
        <v>100</v>
      </c>
      <c r="Y758" s="25" t="n">
        <v>0.00879058384508314</v>
      </c>
      <c r="Z758" s="12" t="str">
        <f aca="false">IF(AND($J758=1,$M758=1),N758*E758/Span_P+O758*F758/Span_S+P758*G758/Span_B,"")</f>
        <v/>
      </c>
      <c r="AA758" s="12" t="str">
        <f aca="false">IF(AND($J758=1,$M758=1),SUMPRODUCT(MAX($J$6:$J$1062*(N758*$K$6:$K$1062/Span_P+O758*$F$6:$F$1062/Span_S+P758*$G$6:$G$1062/Span_B)-(1-$J$6:$J$1062)*1000000000)),"")</f>
        <v/>
      </c>
      <c r="AB758" s="15" t="str">
        <f aca="false">IF(AND($J758=1,$M758=1),IF(AA758-Z758&lt;=0.000000001,1,0),"")</f>
        <v/>
      </c>
      <c r="AC758" s="13" t="n">
        <f aca="false">IF(AND($J758=1,$M758=0),IF(S758="",0,S758*INDEX(Grid!$B$6:$H$156,R758+1,Q758+1))+IF(V758="",0,V758*INDEX(Grid!$B$6:$H$156,U758+1,T758+1))+IF(Y758="",0,Y758*INDEX(Grid!$B$6:$H$156,X758+1,W758+1)),"")</f>
        <v>98.1407875992758</v>
      </c>
      <c r="AD758" s="13" t="n">
        <f aca="false">IF(AND($J758=1,$M758=0),IF(S758="",0,S758*Val_pt*(Ceiling_e-E_zero)*(1-(1-Half_gap)^Q758))+IF(V758="",0,V758*Val_pt*(Ceiling_e-E_zero)*(1-(1-Half_gap)^T758))+IF(Y758="",0,Y758*Val_pt*(Ceiling_e-E_zero)*(1-(1-Half_gap)^W758)),"")</f>
        <v>131.288458804326</v>
      </c>
      <c r="AE758" s="13" t="n">
        <f aca="false">IF(AND($J758=1,$M758=0),IF(S758="",0,S758*R758)+IF(V758="",0,V758*U758)+IF(Y758="",0,Y758*X758),"")</f>
        <v>148.085070166248</v>
      </c>
      <c r="AF758" s="12" t="n">
        <f aca="false">IF(AND($J758=1,$M758=0),MIN((AC758-E758)/Span_P,(AD758-F758)/Span_S,(AE758-G758)/Span_B),"")</f>
        <v>0.000567134441632641</v>
      </c>
      <c r="AG758" s="15" t="n">
        <f aca="false">IF(AND($J758=1,$M758=0),IF(AF758&gt;0.0000001,1,0),"")</f>
        <v>1</v>
      </c>
      <c r="AH758" s="15" t="n">
        <f aca="false">IF($J758=1,IF($M758=1,AB758,AG758),"")</f>
        <v>1</v>
      </c>
      <c r="AI758" s="13" t="n">
        <f aca="false">IF($J758=1,(Ideal_P-E758)/Span_P,"")</f>
        <v>0.790461193097929</v>
      </c>
      <c r="AJ758" s="13" t="n">
        <f aca="false">IF($J758=1,(Ideal_S-F758)/Span_S,"")</f>
        <v>0.0967741935483871</v>
      </c>
      <c r="AK758" s="13" t="n">
        <f aca="false">IF($J758=1,(Ideal_B-G758)/Span_B,"")</f>
        <v>0.0133333333333333</v>
      </c>
      <c r="AL758" s="12" t="n">
        <f aca="false">IF($J758=1,MAX(ChA_1*AI758,ChA_2*AJ758,ChA_3*AK758)+Rho*(ChA_1*AI758+ChA_2*AJ758+ChA_3*AK758),"")</f>
        <v>0.790551249969927</v>
      </c>
      <c r="AM758" s="12" t="n">
        <f aca="false">IF($J758=1,MAX(ChB_1*AI758,ChB_2*AJ758,ChB_3*AK758)+Rho*(ChB_1*AI758+ChB_2*AJ758+ChB_3*AK758),"")</f>
        <v>1.58109148918717</v>
      </c>
      <c r="AN758" s="12" t="n">
        <f aca="false">IF($J758=1,MAX(Cx_1*(Ref_P-E758)/Span_P,Cx_2*(Ref_S-F758)/Span_S,Cx_3*(Ref_B-G758)/Span_B),"")</f>
        <v>1.99905011808935</v>
      </c>
    </row>
    <row r="759" customFormat="false" ht="15" hidden="false" customHeight="false" outlineLevel="0" collapsed="false">
      <c r="A759" s="2" t="n">
        <v>753</v>
      </c>
      <c r="B759" s="15" t="n">
        <f aca="false">INT(A759/151)</f>
        <v>4</v>
      </c>
      <c r="C759" s="15" t="n">
        <f aca="false">MOD(A759,151)</f>
        <v>149</v>
      </c>
      <c r="D759" s="15" t="n">
        <f aca="false">INDEX(Grid!$J$6:$P$156,C759+1,B759+1)</f>
        <v>1</v>
      </c>
      <c r="E759" s="16" t="n">
        <f aca="false">IF(D759=1,INDEX(Grid!$B$6:$H$156,C759+1,B759+1),"")</f>
        <v>97.0263287575195</v>
      </c>
      <c r="F759" s="13" t="n">
        <f aca="false">Val_pt*(Ceiling_e-E_zero)*(1-(1-Half_gap)^B759)</f>
        <v>131.25</v>
      </c>
      <c r="G759" s="15" t="n">
        <f aca="false">C759</f>
        <v>149</v>
      </c>
      <c r="H759" s="15" t="n">
        <f aca="false">IF(D759=1,INDEX(Grid!$R$6:$X$156,C759+1,B759+1),"")</f>
        <v>45</v>
      </c>
      <c r="I759" s="2" t="str">
        <f aca="false">IF(D759=1,INDEX(Sch_label,H759+1),"")</f>
        <v>1, 3, 4, 6</v>
      </c>
      <c r="J759" s="15" t="n">
        <f aca="false">IF(D759=1,INDEX(Grid!$Z$6:$AF$156,C759+1,B759+1),0)</f>
        <v>1</v>
      </c>
      <c r="K759" s="16" t="n">
        <f aca="false">IF(J759=1,E759,0)</f>
        <v>97.0263287575195</v>
      </c>
      <c r="L759" s="17" t="n">
        <f aca="false">IF(D759=1,E759+W_board*F759,"")</f>
        <v>837.898361953102</v>
      </c>
      <c r="M759" s="24" t="n">
        <v>0</v>
      </c>
      <c r="Q759" s="24" t="n">
        <v>4</v>
      </c>
      <c r="R759" s="24" t="n">
        <v>100</v>
      </c>
      <c r="S759" s="25" t="n">
        <v>0.0147540064150152</v>
      </c>
      <c r="T759" s="24" t="n">
        <v>4</v>
      </c>
      <c r="U759" s="24" t="n">
        <v>150</v>
      </c>
      <c r="V759" s="25" t="n">
        <v>0.980850701662433</v>
      </c>
      <c r="W759" s="24" t="n">
        <v>5</v>
      </c>
      <c r="X759" s="24" t="n">
        <v>100</v>
      </c>
      <c r="Y759" s="25" t="n">
        <v>0.0043952919225559</v>
      </c>
      <c r="Z759" s="12" t="str">
        <f aca="false">IF(AND($J759=1,$M759=1),N759*E759/Span_P+O759*F759/Span_S+P759*G759/Span_B,"")</f>
        <v/>
      </c>
      <c r="AA759" s="12" t="str">
        <f aca="false">IF(AND($J759=1,$M759=1),SUMPRODUCT(MAX($J$6:$J$1062*(N759*$K$6:$K$1062/Span_P+O759*$F$6:$F$1062/Span_S+P759*$G$6:$G$1062/Span_B)-(1-$J$6:$J$1062)*1000000000)),"")</f>
        <v/>
      </c>
      <c r="AB759" s="15" t="str">
        <f aca="false">IF(AND($J759=1,$M759=1),IF(AA759-Z759&lt;=0.000000001,1,0),"")</f>
        <v/>
      </c>
      <c r="AC759" s="13" t="n">
        <f aca="false">IF(AND($J759=1,$M759=0),IF(S759="",0,S759*INDEX(Grid!$B$6:$H$156,R759+1,Q759+1))+IF(V759="",0,V759*INDEX(Grid!$B$6:$H$156,U759+1,T759+1))+IF(Y759="",0,Y759*INDEX(Grid!$B$6:$H$156,X759+1,W759+1)),"")</f>
        <v>97.1290127238501</v>
      </c>
      <c r="AD759" s="13" t="n">
        <f aca="false">IF(AND($J759=1,$M759=0),IF(S759="",0,S759*Val_pt*(Ceiling_e-E_zero)*(1-(1-Half_gap)^Q759))+IF(V759="",0,V759*Val_pt*(Ceiling_e-E_zero)*(1-(1-Half_gap)^T759))+IF(Y759="",0,Y759*Val_pt*(Ceiling_e-E_zero)*(1-(1-Half_gap)^W759)),"")</f>
        <v>131.269229402162</v>
      </c>
      <c r="AE759" s="13" t="n">
        <f aca="false">IF(AND($J759=1,$M759=0),IF(S759="",0,S759*R759)+IF(V759="",0,V759*U759)+IF(Y759="",0,Y759*X759),"")</f>
        <v>149.042535083122</v>
      </c>
      <c r="AF759" s="12" t="n">
        <f aca="false">IF(AND($J759=1,$M759=0),MIN((AC759-E759)/Span_P,(AD759-F759)/Span_S,(AE759-G759)/Span_B),"")</f>
        <v>0.000283567220810414</v>
      </c>
      <c r="AG759" s="15" t="n">
        <f aca="false">IF(AND($J759=1,$M759=0),IF(AF759&gt;0.0000001,1,0),"")</f>
        <v>1</v>
      </c>
      <c r="AH759" s="15" t="n">
        <f aca="false">IF($J759=1,IF($M759=1,AB759,AG759),"")</f>
        <v>1</v>
      </c>
      <c r="AI759" s="13" t="n">
        <f aca="false">IF($J759=1,(Ideal_P-E759)/Span_P,"")</f>
        <v>0.792971695874235</v>
      </c>
      <c r="AJ759" s="13" t="n">
        <f aca="false">IF($J759=1,(Ideal_S-F759)/Span_S,"")</f>
        <v>0.0967741935483871</v>
      </c>
      <c r="AK759" s="13" t="n">
        <f aca="false">IF($J759=1,(Ideal_B-G759)/Span_B,"")</f>
        <v>0.00666666666666667</v>
      </c>
      <c r="AL759" s="12" t="n">
        <f aca="false">IF($J759=1,MAX(ChA_1*AI759,ChA_2*AJ759,ChA_3*AK759)+Rho*(ChA_1*AI759+ChA_2*AJ759+ChA_3*AK759),"")</f>
        <v>0.793061337129844</v>
      </c>
      <c r="AM759" s="12" t="n">
        <f aca="false">IF($J759=1,MAX(ChB_1*AI759,ChB_2*AJ759,ChB_3*AK759)+Rho*(ChB_1*AI759+ChB_2*AJ759+ChB_3*AK759),"")</f>
        <v>1.58611233017367</v>
      </c>
      <c r="AN759" s="12" t="n">
        <f aca="false">IF($J759=1,MAX(Cx_1*(Ref_P-E759)/Span_P,Cx_2*(Ref_S-F759)/Span_S,Cx_3*(Ref_B-G759)/Span_B),"")</f>
        <v>2.00531977977278</v>
      </c>
    </row>
    <row r="760" customFormat="false" ht="15" hidden="false" customHeight="false" outlineLevel="0" collapsed="false">
      <c r="A760" s="2" t="n">
        <v>754</v>
      </c>
      <c r="B760" s="15" t="n">
        <f aca="false">INT(A760/151)</f>
        <v>4</v>
      </c>
      <c r="C760" s="15" t="n">
        <f aca="false">MOD(A760,151)</f>
        <v>150</v>
      </c>
      <c r="D760" s="15" t="n">
        <f aca="false">INDEX(Grid!$J$6:$P$156,C760+1,B760+1)</f>
        <v>1</v>
      </c>
      <c r="E760" s="16" t="n">
        <f aca="false">IF(D760=1,INDEX(Grid!$B$6:$H$156,C760+1,B760+1),"")</f>
        <v>96.1172378484286</v>
      </c>
      <c r="F760" s="13" t="n">
        <f aca="false">Val_pt*(Ceiling_e-E_zero)*(1-(1-Half_gap)^B760)</f>
        <v>131.25</v>
      </c>
      <c r="G760" s="15" t="n">
        <f aca="false">C760</f>
        <v>150</v>
      </c>
      <c r="H760" s="15" t="n">
        <f aca="false">IF(D760=1,INDEX(Grid!$R$6:$X$156,C760+1,B760+1),"")</f>
        <v>45</v>
      </c>
      <c r="I760" s="2" t="str">
        <f aca="false">IF(D760=1,INDEX(Sch_label,H760+1),"")</f>
        <v>1, 3, 4, 6</v>
      </c>
      <c r="J760" s="15" t="n">
        <f aca="false">IF(D760=1,INDEX(Grid!$Z$6:$AF$156,C760+1,B760+1),0)</f>
        <v>1</v>
      </c>
      <c r="K760" s="16" t="n">
        <f aca="false">IF(J760=1,E760,0)</f>
        <v>96.1172378484286</v>
      </c>
      <c r="L760" s="17" t="n">
        <f aca="false">IF(D760=1,E760+W_board*F760,"")</f>
        <v>836.989271044011</v>
      </c>
      <c r="M760" s="24" t="n">
        <v>1</v>
      </c>
      <c r="N760" s="25" t="n">
        <v>0.210589151287663</v>
      </c>
      <c r="O760" s="25" t="n">
        <v>0.667573068245723</v>
      </c>
      <c r="P760" s="25" t="n">
        <v>0.121837780466614</v>
      </c>
      <c r="Z760" s="12" t="n">
        <f aca="false">IF(AND($J760=1,$M760=1),N760*E760/Span_P+O760*F760/Span_S+P760*G760/Span_B,"")</f>
        <v>1.46981196571545</v>
      </c>
      <c r="AA760" s="12" t="n">
        <f aca="false">IF(AND($J760=1,$M760=1),SUMPRODUCT(MAX($J$6:$J$1062*(N760*$K$6:$K$1062/Span_P+O760*$F$6:$F$1062/Span_S+P760*$G$6:$G$1062/Span_B)-(1-$J$6:$J$1062)*1000000000)),"")</f>
        <v>1.46981196571545</v>
      </c>
      <c r="AB760" s="15" t="n">
        <f aca="false">IF(AND($J760=1,$M760=1),IF(AA760-Z760&lt;=0.000000001,1,0),"")</f>
        <v>1</v>
      </c>
      <c r="AC760" s="13" t="str">
        <f aca="false">IF(AND($J760=1,$M760=0),IF(S760="",0,S760*INDEX(Grid!$B$6:$H$156,R760+1,Q760+1))+IF(V760="",0,V760*INDEX(Grid!$B$6:$H$156,U760+1,T760+1))+IF(Y760="",0,Y760*INDEX(Grid!$B$6:$H$156,X760+1,W760+1)),"")</f>
        <v/>
      </c>
      <c r="AD760" s="13" t="str">
        <f aca="false">IF(AND($J760=1,$M760=0),IF(S760="",0,S760*Val_pt*(Ceiling_e-E_zero)*(1-(1-Half_gap)^Q760))+IF(V760="",0,V760*Val_pt*(Ceiling_e-E_zero)*(1-(1-Half_gap)^T760))+IF(Y760="",0,Y760*Val_pt*(Ceiling_e-E_zero)*(1-(1-Half_gap)^W760)),"")</f>
        <v/>
      </c>
      <c r="AE760" s="13" t="str">
        <f aca="false">IF(AND($J760=1,$M760=0),IF(S760="",0,S760*R760)+IF(V760="",0,V760*U760)+IF(Y760="",0,Y760*X760),"")</f>
        <v/>
      </c>
      <c r="AF760" s="12" t="str">
        <f aca="false">IF(AND($J760=1,$M760=0),MIN((AC760-E760)/Span_P,(AD760-F760)/Span_S,(AE760-G760)/Span_B),"")</f>
        <v/>
      </c>
      <c r="AG760" s="15" t="str">
        <f aca="false">IF(AND($J760=1,$M760=0),IF(AF760&gt;0.0000001,1,0),"")</f>
        <v/>
      </c>
      <c r="AH760" s="15" t="n">
        <f aca="false">IF($J760=1,IF($M760=1,AB760,AG760),"")</f>
        <v>1</v>
      </c>
      <c r="AI760" s="13" t="n">
        <f aca="false">IF($J760=1,(Ideal_P-E760)/Span_P,"")</f>
        <v>0.795482198650541</v>
      </c>
      <c r="AJ760" s="13" t="n">
        <f aca="false">IF($J760=1,(Ideal_S-F760)/Span_S,"")</f>
        <v>0.0967741935483871</v>
      </c>
      <c r="AK760" s="13" t="n">
        <f aca="false">IF($J760=1,(Ideal_B-G760)/Span_B,"")</f>
        <v>0</v>
      </c>
      <c r="AL760" s="12" t="n">
        <f aca="false">IF($J760=1,MAX(ChA_1*AI760,ChA_2*AJ760,ChA_3*AK760)+Rho*(ChA_1*AI760+ChA_2*AJ760+ChA_3*AK760),"")</f>
        <v>0.795571424289761</v>
      </c>
      <c r="AM760" s="12" t="n">
        <f aca="false">IF($J760=1,MAX(ChB_1*AI760,ChB_2*AJ760,ChB_3*AK760)+Rho*(ChB_1*AI760+ChB_2*AJ760+ChB_3*AK760),"")</f>
        <v>1.59113317116017</v>
      </c>
      <c r="AN760" s="12" t="n">
        <f aca="false">IF($J760=1,MAX(Cx_1*(Ref_P-E760)/Span_P,Cx_2*(Ref_S-F760)/Span_S,Cx_3*(Ref_B-G760)/Span_B),"")</f>
        <v>2.0115894414562</v>
      </c>
    </row>
    <row r="761" customFormat="false" ht="15" hidden="false" customHeight="false" outlineLevel="0" collapsed="false">
      <c r="A761" s="2" t="n">
        <v>755</v>
      </c>
      <c r="B761" s="15" t="n">
        <f aca="false">INT(A761/151)</f>
        <v>5</v>
      </c>
      <c r="C761" s="15" t="n">
        <f aca="false">MOD(A761,151)</f>
        <v>0</v>
      </c>
      <c r="D761" s="15" t="n">
        <f aca="false">INDEX(Grid!$J$6:$P$156,C761+1,B761+1)</f>
        <v>1</v>
      </c>
      <c r="E761" s="16" t="n">
        <f aca="false">IF(D761=1,INDEX(Grid!$B$6:$H$156,C761+1,B761+1),"")</f>
        <v>186.821594063089</v>
      </c>
      <c r="F761" s="13" t="n">
        <f aca="false">Val_pt*(Ceiling_e-E_zero)*(1-(1-Half_gap)^B761)</f>
        <v>135.625</v>
      </c>
      <c r="G761" s="15" t="n">
        <f aca="false">C761</f>
        <v>0</v>
      </c>
      <c r="H761" s="15" t="n">
        <f aca="false">IF(D761=1,INDEX(Grid!$R$6:$X$156,C761+1,B761+1),"")</f>
        <v>59</v>
      </c>
      <c r="I761" s="2" t="str">
        <f aca="false">IF(D761=1,INDEX(Sch_label,H761+1),"")</f>
        <v>1–3, 5, 6</v>
      </c>
      <c r="J761" s="15" t="n">
        <f aca="false">IF(D761=1,INDEX(Grid!$Z$6:$AF$156,C761+1,B761+1),0)</f>
        <v>1</v>
      </c>
      <c r="K761" s="16" t="n">
        <f aca="false">IF(J761=1,E761,0)</f>
        <v>186.821594063089</v>
      </c>
      <c r="L761" s="17" t="n">
        <f aca="false">IF(D761=1,E761+W_board*F761,"")</f>
        <v>952.389361698525</v>
      </c>
      <c r="M761" s="24" t="n">
        <v>1</v>
      </c>
      <c r="N761" s="25" t="n">
        <v>0.121286736192901</v>
      </c>
      <c r="O761" s="25" t="n">
        <v>0.833039660615898</v>
      </c>
      <c r="P761" s="25" t="n">
        <v>0.0456736031912013</v>
      </c>
      <c r="Z761" s="12" t="n">
        <f aca="false">IF(AND($J761=1,$M761=1),N761*E761/Span_P+O761*F761/Span_S+P761*G761/Span_B,"")</f>
        <v>1.72865330050022</v>
      </c>
      <c r="AA761" s="12" t="n">
        <f aca="false">IF(AND($J761=1,$M761=1),SUMPRODUCT(MAX($J$6:$J$1062*(N761*$K$6:$K$1062/Span_P+O761*$F$6:$F$1062/Span_S+P761*$G$6:$G$1062/Span_B)-(1-$J$6:$J$1062)*1000000000)),"")</f>
        <v>1.72865330050022</v>
      </c>
      <c r="AB761" s="15" t="n">
        <f aca="false">IF(AND($J761=1,$M761=1),IF(AA761-Z761&lt;=0.000000001,1,0),"")</f>
        <v>1</v>
      </c>
      <c r="AC761" s="13" t="str">
        <f aca="false">IF(AND($J761=1,$M761=0),IF(S761="",0,S761*INDEX(Grid!$B$6:$H$156,R761+1,Q761+1))+IF(V761="",0,V761*INDEX(Grid!$B$6:$H$156,U761+1,T761+1))+IF(Y761="",0,Y761*INDEX(Grid!$B$6:$H$156,X761+1,W761+1)),"")</f>
        <v/>
      </c>
      <c r="AD761" s="13" t="str">
        <f aca="false">IF(AND($J761=1,$M761=0),IF(S761="",0,S761*Val_pt*(Ceiling_e-E_zero)*(1-(1-Half_gap)^Q761))+IF(V761="",0,V761*Val_pt*(Ceiling_e-E_zero)*(1-(1-Half_gap)^T761))+IF(Y761="",0,Y761*Val_pt*(Ceiling_e-E_zero)*(1-(1-Half_gap)^W761)),"")</f>
        <v/>
      </c>
      <c r="AE761" s="13" t="str">
        <f aca="false">IF(AND($J761=1,$M761=0),IF(S761="",0,S761*R761)+IF(V761="",0,V761*U761)+IF(Y761="",0,Y761*X761),"")</f>
        <v/>
      </c>
      <c r="AF761" s="12" t="str">
        <f aca="false">IF(AND($J761=1,$M761=0),MIN((AC761-E761)/Span_P,(AD761-F761)/Span_S,(AE761-G761)/Span_B),"")</f>
        <v/>
      </c>
      <c r="AG761" s="15" t="str">
        <f aca="false">IF(AND($J761=1,$M761=0),IF(AF761&gt;0.0000001,1,0),"")</f>
        <v/>
      </c>
      <c r="AH761" s="15" t="n">
        <f aca="false">IF($J761=1,IF($M761=1,AB761,AG761),"")</f>
        <v>1</v>
      </c>
      <c r="AI761" s="13" t="n">
        <f aca="false">IF($J761=1,(Ideal_P-E761)/Span_P,"")</f>
        <v>0.544997306740615</v>
      </c>
      <c r="AJ761" s="13" t="n">
        <f aca="false">IF($J761=1,(Ideal_S-F761)/Span_S,"")</f>
        <v>0.032258064516129</v>
      </c>
      <c r="AK761" s="13" t="n">
        <f aca="false">IF($J761=1,(Ideal_B-G761)/Span_B,"")</f>
        <v>1</v>
      </c>
      <c r="AL761" s="12" t="n">
        <f aca="false">IF($J761=1,MAX(ChA_1*AI761,ChA_2*AJ761,ChA_3*AK761)+Rho*(ChA_1*AI761+ChA_2*AJ761+ChA_3*AK761),"")</f>
        <v>1.00015772553713</v>
      </c>
      <c r="AM761" s="12" t="n">
        <f aca="false">IF($J761=1,MAX(ChB_1*AI761,ChB_2*AJ761,ChB_3*AK761)+Rho*(ChB_1*AI761+ChB_2*AJ761+ChB_3*AK761),"")</f>
        <v>1.09020683874903</v>
      </c>
      <c r="AN761" s="12" t="n">
        <f aca="false">IF($J761=1,MAX(Cx_1*(Ref_P-E761)/Span_P,Cx_2*(Ref_S-F761)/Span_S,Cx_3*(Ref_B-G761)/Span_B),"")</f>
        <v>2.54621848739496</v>
      </c>
    </row>
    <row r="762" customFormat="false" ht="15" hidden="false" customHeight="false" outlineLevel="0" collapsed="false">
      <c r="A762" s="2" t="n">
        <v>756</v>
      </c>
      <c r="B762" s="15" t="n">
        <f aca="false">INT(A762/151)</f>
        <v>5</v>
      </c>
      <c r="C762" s="15" t="n">
        <f aca="false">MOD(A762,151)</f>
        <v>1</v>
      </c>
      <c r="D762" s="15" t="n">
        <f aca="false">INDEX(Grid!$J$6:$P$156,C762+1,B762+1)</f>
        <v>1</v>
      </c>
      <c r="E762" s="16" t="n">
        <f aca="false">IF(D762=1,INDEX(Grid!$B$6:$H$156,C762+1,B762+1),"")</f>
        <v>185.912503153998</v>
      </c>
      <c r="F762" s="13" t="n">
        <f aca="false">Val_pt*(Ceiling_e-E_zero)*(1-(1-Half_gap)^B762)</f>
        <v>135.625</v>
      </c>
      <c r="G762" s="15" t="n">
        <f aca="false">C762</f>
        <v>1</v>
      </c>
      <c r="H762" s="15" t="n">
        <f aca="false">IF(D762=1,INDEX(Grid!$R$6:$X$156,C762+1,B762+1),"")</f>
        <v>59</v>
      </c>
      <c r="I762" s="2" t="str">
        <f aca="false">IF(D762=1,INDEX(Sch_label,H762+1),"")</f>
        <v>1–3, 5, 6</v>
      </c>
      <c r="J762" s="15" t="n">
        <f aca="false">IF(D762=1,INDEX(Grid!$Z$6:$AF$156,C762+1,B762+1),0)</f>
        <v>1</v>
      </c>
      <c r="K762" s="16" t="n">
        <f aca="false">IF(J762=1,E762,0)</f>
        <v>185.912503153998</v>
      </c>
      <c r="L762" s="17" t="n">
        <f aca="false">IF(D762=1,E762+W_board*F762,"")</f>
        <v>951.480270789434</v>
      </c>
      <c r="M762" s="24" t="n">
        <v>1</v>
      </c>
      <c r="N762" s="25" t="n">
        <v>0.121286736192898</v>
      </c>
      <c r="O762" s="25" t="n">
        <v>0.833039660615902</v>
      </c>
      <c r="P762" s="25" t="n">
        <v>0.0456736031911995</v>
      </c>
      <c r="Z762" s="12" t="n">
        <f aca="false">IF(AND($J762=1,$M762=1),N762*E762/Span_P+O762*F762/Span_S+P762*G762/Span_B,"")</f>
        <v>1.72865330050023</v>
      </c>
      <c r="AA762" s="12" t="n">
        <f aca="false">IF(AND($J762=1,$M762=1),SUMPRODUCT(MAX($J$6:$J$1062*(N762*$K$6:$K$1062/Span_P+O762*$F$6:$F$1062/Span_S+P762*$G$6:$G$1062/Span_B)-(1-$J$6:$J$1062)*1000000000)),"")</f>
        <v>1.72865330050023</v>
      </c>
      <c r="AB762" s="15" t="n">
        <f aca="false">IF(AND($J762=1,$M762=1),IF(AA762-Z762&lt;=0.000000001,1,0),"")</f>
        <v>1</v>
      </c>
      <c r="AC762" s="13" t="str">
        <f aca="false">IF(AND($J762=1,$M762=0),IF(S762="",0,S762*INDEX(Grid!$B$6:$H$156,R762+1,Q762+1))+IF(V762="",0,V762*INDEX(Grid!$B$6:$H$156,U762+1,T762+1))+IF(Y762="",0,Y762*INDEX(Grid!$B$6:$H$156,X762+1,W762+1)),"")</f>
        <v/>
      </c>
      <c r="AD762" s="13" t="str">
        <f aca="false">IF(AND($J762=1,$M762=0),IF(S762="",0,S762*Val_pt*(Ceiling_e-E_zero)*(1-(1-Half_gap)^Q762))+IF(V762="",0,V762*Val_pt*(Ceiling_e-E_zero)*(1-(1-Half_gap)^T762))+IF(Y762="",0,Y762*Val_pt*(Ceiling_e-E_zero)*(1-(1-Half_gap)^W762)),"")</f>
        <v/>
      </c>
      <c r="AE762" s="13" t="str">
        <f aca="false">IF(AND($J762=1,$M762=0),IF(S762="",0,S762*R762)+IF(V762="",0,V762*U762)+IF(Y762="",0,Y762*X762),"")</f>
        <v/>
      </c>
      <c r="AF762" s="12" t="str">
        <f aca="false">IF(AND($J762=1,$M762=0),MIN((AC762-E762)/Span_P,(AD762-F762)/Span_S,(AE762-G762)/Span_B),"")</f>
        <v/>
      </c>
      <c r="AG762" s="15" t="str">
        <f aca="false">IF(AND($J762=1,$M762=0),IF(AF762&gt;0.0000001,1,0),"")</f>
        <v/>
      </c>
      <c r="AH762" s="15" t="n">
        <f aca="false">IF($J762=1,IF($M762=1,AB762,AG762),"")</f>
        <v>1</v>
      </c>
      <c r="AI762" s="13" t="n">
        <f aca="false">IF($J762=1,(Ideal_P-E762)/Span_P,"")</f>
        <v>0.547507809516921</v>
      </c>
      <c r="AJ762" s="13" t="n">
        <f aca="false">IF($J762=1,(Ideal_S-F762)/Span_S,"")</f>
        <v>0.032258064516129</v>
      </c>
      <c r="AK762" s="13" t="n">
        <f aca="false">IF($J762=1,(Ideal_B-G762)/Span_B,"")</f>
        <v>0.993333333333333</v>
      </c>
      <c r="AL762" s="12" t="n">
        <f aca="false">IF($J762=1,MAX(ChA_1*AI762,ChA_2*AJ762,ChA_3*AK762)+Rho*(ChA_1*AI762+ChA_2*AJ762+ChA_3*AK762),"")</f>
        <v>0.99349064325407</v>
      </c>
      <c r="AM762" s="12" t="n">
        <f aca="false">IF($J762=1,MAX(ChB_1*AI762,ChB_2*AJ762,ChB_3*AK762)+Rho*(ChB_1*AI762+ChB_2*AJ762+ChB_3*AK762),"")</f>
        <v>1.09522767973553</v>
      </c>
      <c r="AN762" s="12" t="n">
        <f aca="false">IF($J762=1,MAX(Cx_1*(Ref_P-E762)/Span_P,Cx_2*(Ref_S-F762)/Span_S,Cx_3*(Ref_B-G762)/Span_B),"")</f>
        <v>2.52941176470588</v>
      </c>
    </row>
    <row r="763" customFormat="false" ht="15" hidden="false" customHeight="false" outlineLevel="0" collapsed="false">
      <c r="A763" s="2" t="n">
        <v>757</v>
      </c>
      <c r="B763" s="15" t="n">
        <f aca="false">INT(A763/151)</f>
        <v>5</v>
      </c>
      <c r="C763" s="15" t="n">
        <f aca="false">MOD(A763,151)</f>
        <v>2</v>
      </c>
      <c r="D763" s="15" t="n">
        <f aca="false">INDEX(Grid!$J$6:$P$156,C763+1,B763+1)</f>
        <v>1</v>
      </c>
      <c r="E763" s="16" t="n">
        <f aca="false">IF(D763=1,INDEX(Grid!$B$6:$H$156,C763+1,B763+1),"")</f>
        <v>185.003412244907</v>
      </c>
      <c r="F763" s="13" t="n">
        <f aca="false">Val_pt*(Ceiling_e-E_zero)*(1-(1-Half_gap)^B763)</f>
        <v>135.625</v>
      </c>
      <c r="G763" s="15" t="n">
        <f aca="false">C763</f>
        <v>2</v>
      </c>
      <c r="H763" s="15" t="n">
        <f aca="false">IF(D763=1,INDEX(Grid!$R$6:$X$156,C763+1,B763+1),"")</f>
        <v>59</v>
      </c>
      <c r="I763" s="2" t="str">
        <f aca="false">IF(D763=1,INDEX(Sch_label,H763+1),"")</f>
        <v>1–3, 5, 6</v>
      </c>
      <c r="J763" s="15" t="n">
        <f aca="false">IF(D763=1,INDEX(Grid!$Z$6:$AF$156,C763+1,B763+1),0)</f>
        <v>1</v>
      </c>
      <c r="K763" s="16" t="n">
        <f aca="false">IF(J763=1,E763,0)</f>
        <v>185.003412244907</v>
      </c>
      <c r="L763" s="17" t="n">
        <f aca="false">IF(D763=1,E763+W_board*F763,"")</f>
        <v>950.571179880343</v>
      </c>
      <c r="M763" s="24" t="n">
        <v>1</v>
      </c>
      <c r="N763" s="25" t="n">
        <v>0.121286736192902</v>
      </c>
      <c r="O763" s="25" t="n">
        <v>0.833039660615895</v>
      </c>
      <c r="P763" s="25" t="n">
        <v>0.045673603191203</v>
      </c>
      <c r="Z763" s="12" t="n">
        <f aca="false">IF(AND($J763=1,$M763=1),N763*E763/Span_P+O763*F763/Span_S+P763*G763/Span_B,"")</f>
        <v>1.72865330050022</v>
      </c>
      <c r="AA763" s="12" t="n">
        <f aca="false">IF(AND($J763=1,$M763=1),SUMPRODUCT(MAX($J$6:$J$1062*(N763*$K$6:$K$1062/Span_P+O763*$F$6:$F$1062/Span_S+P763*$G$6:$G$1062/Span_B)-(1-$J$6:$J$1062)*1000000000)),"")</f>
        <v>1.72865330050022</v>
      </c>
      <c r="AB763" s="15" t="n">
        <f aca="false">IF(AND($J763=1,$M763=1),IF(AA763-Z763&lt;=0.000000001,1,0),"")</f>
        <v>1</v>
      </c>
      <c r="AC763" s="13" t="str">
        <f aca="false">IF(AND($J763=1,$M763=0),IF(S763="",0,S763*INDEX(Grid!$B$6:$H$156,R763+1,Q763+1))+IF(V763="",0,V763*INDEX(Grid!$B$6:$H$156,U763+1,T763+1))+IF(Y763="",0,Y763*INDEX(Grid!$B$6:$H$156,X763+1,W763+1)),"")</f>
        <v/>
      </c>
      <c r="AD763" s="13" t="str">
        <f aca="false">IF(AND($J763=1,$M763=0),IF(S763="",0,S763*Val_pt*(Ceiling_e-E_zero)*(1-(1-Half_gap)^Q763))+IF(V763="",0,V763*Val_pt*(Ceiling_e-E_zero)*(1-(1-Half_gap)^T763))+IF(Y763="",0,Y763*Val_pt*(Ceiling_e-E_zero)*(1-(1-Half_gap)^W763)),"")</f>
        <v/>
      </c>
      <c r="AE763" s="13" t="str">
        <f aca="false">IF(AND($J763=1,$M763=0),IF(S763="",0,S763*R763)+IF(V763="",0,V763*U763)+IF(Y763="",0,Y763*X763),"")</f>
        <v/>
      </c>
      <c r="AF763" s="12" t="str">
        <f aca="false">IF(AND($J763=1,$M763=0),MIN((AC763-E763)/Span_P,(AD763-F763)/Span_S,(AE763-G763)/Span_B),"")</f>
        <v/>
      </c>
      <c r="AG763" s="15" t="str">
        <f aca="false">IF(AND($J763=1,$M763=0),IF(AF763&gt;0.0000001,1,0),"")</f>
        <v/>
      </c>
      <c r="AH763" s="15" t="n">
        <f aca="false">IF($J763=1,IF($M763=1,AB763,AG763),"")</f>
        <v>1</v>
      </c>
      <c r="AI763" s="13" t="n">
        <f aca="false">IF($J763=1,(Ideal_P-E763)/Span_P,"")</f>
        <v>0.550018312293227</v>
      </c>
      <c r="AJ763" s="13" t="n">
        <f aca="false">IF($J763=1,(Ideal_S-F763)/Span_S,"")</f>
        <v>0.032258064516129</v>
      </c>
      <c r="AK763" s="13" t="n">
        <f aca="false">IF($J763=1,(Ideal_B-G763)/Span_B,"")</f>
        <v>0.986666666666667</v>
      </c>
      <c r="AL763" s="12" t="n">
        <f aca="false">IF($J763=1,MAX(ChA_1*AI763,ChA_2*AJ763,ChA_3*AK763)+Rho*(ChA_1*AI763+ChA_2*AJ763+ChA_3*AK763),"")</f>
        <v>0.986823560971014</v>
      </c>
      <c r="AM763" s="12" t="n">
        <f aca="false">IF($J763=1,MAX(ChB_1*AI763,ChB_2*AJ763,ChB_3*AK763)+Rho*(ChB_1*AI763+ChB_2*AJ763+ChB_3*AK763),"")</f>
        <v>1.10024852072203</v>
      </c>
      <c r="AN763" s="12" t="n">
        <f aca="false">IF($J763=1,MAX(Cx_1*(Ref_P-E763)/Span_P,Cx_2*(Ref_S-F763)/Span_S,Cx_3*(Ref_B-G763)/Span_B),"")</f>
        <v>2.51260504201681</v>
      </c>
    </row>
    <row r="764" customFormat="false" ht="15" hidden="false" customHeight="false" outlineLevel="0" collapsed="false">
      <c r="A764" s="2" t="n">
        <v>758</v>
      </c>
      <c r="B764" s="15" t="n">
        <f aca="false">INT(A764/151)</f>
        <v>5</v>
      </c>
      <c r="C764" s="15" t="n">
        <f aca="false">MOD(A764,151)</f>
        <v>3</v>
      </c>
      <c r="D764" s="15" t="n">
        <f aca="false">INDEX(Grid!$J$6:$P$156,C764+1,B764+1)</f>
        <v>1</v>
      </c>
      <c r="E764" s="16" t="n">
        <f aca="false">IF(D764=1,INDEX(Grid!$B$6:$H$156,C764+1,B764+1),"")</f>
        <v>184.094321335816</v>
      </c>
      <c r="F764" s="13" t="n">
        <f aca="false">Val_pt*(Ceiling_e-E_zero)*(1-(1-Half_gap)^B764)</f>
        <v>135.625</v>
      </c>
      <c r="G764" s="15" t="n">
        <f aca="false">C764</f>
        <v>3</v>
      </c>
      <c r="H764" s="15" t="n">
        <f aca="false">IF(D764=1,INDEX(Grid!$R$6:$X$156,C764+1,B764+1),"")</f>
        <v>59</v>
      </c>
      <c r="I764" s="2" t="str">
        <f aca="false">IF(D764=1,INDEX(Sch_label,H764+1),"")</f>
        <v>1–3, 5, 6</v>
      </c>
      <c r="J764" s="15" t="n">
        <f aca="false">IF(D764=1,INDEX(Grid!$Z$6:$AF$156,C764+1,B764+1),0)</f>
        <v>1</v>
      </c>
      <c r="K764" s="16" t="n">
        <f aca="false">IF(J764=1,E764,0)</f>
        <v>184.094321335816</v>
      </c>
      <c r="L764" s="17" t="n">
        <f aca="false">IF(D764=1,E764+W_board*F764,"")</f>
        <v>949.662088971252</v>
      </c>
      <c r="M764" s="24" t="n">
        <v>1</v>
      </c>
      <c r="N764" s="25" t="n">
        <v>0.121286736192898</v>
      </c>
      <c r="O764" s="25" t="n">
        <v>0.833039660615902</v>
      </c>
      <c r="P764" s="25" t="n">
        <v>0.0456736031911995</v>
      </c>
      <c r="Z764" s="12" t="n">
        <f aca="false">IF(AND($J764=1,$M764=1),N764*E764/Span_P+O764*F764/Span_S+P764*G764/Span_B,"")</f>
        <v>1.72865330050023</v>
      </c>
      <c r="AA764" s="12" t="n">
        <f aca="false">IF(AND($J764=1,$M764=1),SUMPRODUCT(MAX($J$6:$J$1062*(N764*$K$6:$K$1062/Span_P+O764*$F$6:$F$1062/Span_S+P764*$G$6:$G$1062/Span_B)-(1-$J$6:$J$1062)*1000000000)),"")</f>
        <v>1.72865330050023</v>
      </c>
      <c r="AB764" s="15" t="n">
        <f aca="false">IF(AND($J764=1,$M764=1),IF(AA764-Z764&lt;=0.000000001,1,0),"")</f>
        <v>1</v>
      </c>
      <c r="AC764" s="13" t="str">
        <f aca="false">IF(AND($J764=1,$M764=0),IF(S764="",0,S764*INDEX(Grid!$B$6:$H$156,R764+1,Q764+1))+IF(V764="",0,V764*INDEX(Grid!$B$6:$H$156,U764+1,T764+1))+IF(Y764="",0,Y764*INDEX(Grid!$B$6:$H$156,X764+1,W764+1)),"")</f>
        <v/>
      </c>
      <c r="AD764" s="13" t="str">
        <f aca="false">IF(AND($J764=1,$M764=0),IF(S764="",0,S764*Val_pt*(Ceiling_e-E_zero)*(1-(1-Half_gap)^Q764))+IF(V764="",0,V764*Val_pt*(Ceiling_e-E_zero)*(1-(1-Half_gap)^T764))+IF(Y764="",0,Y764*Val_pt*(Ceiling_e-E_zero)*(1-(1-Half_gap)^W764)),"")</f>
        <v/>
      </c>
      <c r="AE764" s="13" t="str">
        <f aca="false">IF(AND($J764=1,$M764=0),IF(S764="",0,S764*R764)+IF(V764="",0,V764*U764)+IF(Y764="",0,Y764*X764),"")</f>
        <v/>
      </c>
      <c r="AF764" s="12" t="str">
        <f aca="false">IF(AND($J764=1,$M764=0),MIN((AC764-E764)/Span_P,(AD764-F764)/Span_S,(AE764-G764)/Span_B),"")</f>
        <v/>
      </c>
      <c r="AG764" s="15" t="str">
        <f aca="false">IF(AND($J764=1,$M764=0),IF(AF764&gt;0.0000001,1,0),"")</f>
        <v/>
      </c>
      <c r="AH764" s="15" t="n">
        <f aca="false">IF($J764=1,IF($M764=1,AB764,AG764),"")</f>
        <v>1</v>
      </c>
      <c r="AI764" s="13" t="n">
        <f aca="false">IF($J764=1,(Ideal_P-E764)/Span_P,"")</f>
        <v>0.552528815069532</v>
      </c>
      <c r="AJ764" s="13" t="n">
        <f aca="false">IF($J764=1,(Ideal_S-F764)/Span_S,"")</f>
        <v>0.032258064516129</v>
      </c>
      <c r="AK764" s="13" t="n">
        <f aca="false">IF($J764=1,(Ideal_B-G764)/Span_B,"")</f>
        <v>0.98</v>
      </c>
      <c r="AL764" s="12" t="n">
        <f aca="false">IF($J764=1,MAX(ChA_1*AI764,ChA_2*AJ764,ChA_3*AK764)+Rho*(ChA_1*AI764+ChA_2*AJ764+ChA_3*AK764),"")</f>
        <v>0.980156478687959</v>
      </c>
      <c r="AM764" s="12" t="n">
        <f aca="false">IF($J764=1,MAX(ChB_1*AI764,ChB_2*AJ764,ChB_3*AK764)+Rho*(ChB_1*AI764+ChB_2*AJ764+ChB_3*AK764),"")</f>
        <v>1.10526936170853</v>
      </c>
      <c r="AN764" s="12" t="n">
        <f aca="false">IF($J764=1,MAX(Cx_1*(Ref_P-E764)/Span_P,Cx_2*(Ref_S-F764)/Span_S,Cx_3*(Ref_B-G764)/Span_B),"")</f>
        <v>2.49579831932773</v>
      </c>
    </row>
    <row r="765" customFormat="false" ht="15" hidden="false" customHeight="false" outlineLevel="0" collapsed="false">
      <c r="A765" s="2" t="n">
        <v>759</v>
      </c>
      <c r="B765" s="15" t="n">
        <f aca="false">INT(A765/151)</f>
        <v>5</v>
      </c>
      <c r="C765" s="15" t="n">
        <f aca="false">MOD(A765,151)</f>
        <v>4</v>
      </c>
      <c r="D765" s="15" t="n">
        <f aca="false">INDEX(Grid!$J$6:$P$156,C765+1,B765+1)</f>
        <v>1</v>
      </c>
      <c r="E765" s="16" t="n">
        <f aca="false">IF(D765=1,INDEX(Grid!$B$6:$H$156,C765+1,B765+1),"")</f>
        <v>183.185230426725</v>
      </c>
      <c r="F765" s="13" t="n">
        <f aca="false">Val_pt*(Ceiling_e-E_zero)*(1-(1-Half_gap)^B765)</f>
        <v>135.625</v>
      </c>
      <c r="G765" s="15" t="n">
        <f aca="false">C765</f>
        <v>4</v>
      </c>
      <c r="H765" s="15" t="n">
        <f aca="false">IF(D765=1,INDEX(Grid!$R$6:$X$156,C765+1,B765+1),"")</f>
        <v>59</v>
      </c>
      <c r="I765" s="2" t="str">
        <f aca="false">IF(D765=1,INDEX(Sch_label,H765+1),"")</f>
        <v>1–3, 5, 6</v>
      </c>
      <c r="J765" s="15" t="n">
        <f aca="false">IF(D765=1,INDEX(Grid!$Z$6:$AF$156,C765+1,B765+1),0)</f>
        <v>1</v>
      </c>
      <c r="K765" s="16" t="n">
        <f aca="false">IF(J765=1,E765,0)</f>
        <v>183.185230426725</v>
      </c>
      <c r="L765" s="17" t="n">
        <f aca="false">IF(D765=1,E765+W_board*F765,"")</f>
        <v>948.752998062161</v>
      </c>
      <c r="M765" s="24" t="n">
        <v>1</v>
      </c>
      <c r="N765" s="25" t="n">
        <v>0.121286736192902</v>
      </c>
      <c r="O765" s="25" t="n">
        <v>0.833039660615895</v>
      </c>
      <c r="P765" s="25" t="n">
        <v>0.045673603191203</v>
      </c>
      <c r="Z765" s="12" t="n">
        <f aca="false">IF(AND($J765=1,$M765=1),N765*E765/Span_P+O765*F765/Span_S+P765*G765/Span_B,"")</f>
        <v>1.72865330050022</v>
      </c>
      <c r="AA765" s="12" t="n">
        <f aca="false">IF(AND($J765=1,$M765=1),SUMPRODUCT(MAX($J$6:$J$1062*(N765*$K$6:$K$1062/Span_P+O765*$F$6:$F$1062/Span_S+P765*$G$6:$G$1062/Span_B)-(1-$J$6:$J$1062)*1000000000)),"")</f>
        <v>1.72865330050022</v>
      </c>
      <c r="AB765" s="15" t="n">
        <f aca="false">IF(AND($J765=1,$M765=1),IF(AA765-Z765&lt;=0.000000001,1,0),"")</f>
        <v>1</v>
      </c>
      <c r="AC765" s="13" t="str">
        <f aca="false">IF(AND($J765=1,$M765=0),IF(S765="",0,S765*INDEX(Grid!$B$6:$H$156,R765+1,Q765+1))+IF(V765="",0,V765*INDEX(Grid!$B$6:$H$156,U765+1,T765+1))+IF(Y765="",0,Y765*INDEX(Grid!$B$6:$H$156,X765+1,W765+1)),"")</f>
        <v/>
      </c>
      <c r="AD765" s="13" t="str">
        <f aca="false">IF(AND($J765=1,$M765=0),IF(S765="",0,S765*Val_pt*(Ceiling_e-E_zero)*(1-(1-Half_gap)^Q765))+IF(V765="",0,V765*Val_pt*(Ceiling_e-E_zero)*(1-(1-Half_gap)^T765))+IF(Y765="",0,Y765*Val_pt*(Ceiling_e-E_zero)*(1-(1-Half_gap)^W765)),"")</f>
        <v/>
      </c>
      <c r="AE765" s="13" t="str">
        <f aca="false">IF(AND($J765=1,$M765=0),IF(S765="",0,S765*R765)+IF(V765="",0,V765*U765)+IF(Y765="",0,Y765*X765),"")</f>
        <v/>
      </c>
      <c r="AF765" s="12" t="str">
        <f aca="false">IF(AND($J765=1,$M765=0),MIN((AC765-E765)/Span_P,(AD765-F765)/Span_S,(AE765-G765)/Span_B),"")</f>
        <v/>
      </c>
      <c r="AG765" s="15" t="str">
        <f aca="false">IF(AND($J765=1,$M765=0),IF(AF765&gt;0.0000001,1,0),"")</f>
        <v/>
      </c>
      <c r="AH765" s="15" t="n">
        <f aca="false">IF($J765=1,IF($M765=1,AB765,AG765),"")</f>
        <v>1</v>
      </c>
      <c r="AI765" s="13" t="n">
        <f aca="false">IF($J765=1,(Ideal_P-E765)/Span_P,"")</f>
        <v>0.555039317845838</v>
      </c>
      <c r="AJ765" s="13" t="n">
        <f aca="false">IF($J765=1,(Ideal_S-F765)/Span_S,"")</f>
        <v>0.032258064516129</v>
      </c>
      <c r="AK765" s="13" t="n">
        <f aca="false">IF($J765=1,(Ideal_B-G765)/Span_B,"")</f>
        <v>0.973333333333333</v>
      </c>
      <c r="AL765" s="12" t="n">
        <f aca="false">IF($J765=1,MAX(ChA_1*AI765,ChA_2*AJ765,ChA_3*AK765)+Rho*(ChA_1*AI765+ChA_2*AJ765+ChA_3*AK765),"")</f>
        <v>0.973489396404903</v>
      </c>
      <c r="AM765" s="12" t="n">
        <f aca="false">IF($J765=1,MAX(ChB_1*AI765,ChB_2*AJ765,ChB_3*AK765)+Rho*(ChB_1*AI765+ChB_2*AJ765+ChB_3*AK765),"")</f>
        <v>1.11029020269503</v>
      </c>
      <c r="AN765" s="12" t="n">
        <f aca="false">IF($J765=1,MAX(Cx_1*(Ref_P-E765)/Span_P,Cx_2*(Ref_S-F765)/Span_S,Cx_3*(Ref_B-G765)/Span_B),"")</f>
        <v>2.47899159663866</v>
      </c>
    </row>
    <row r="766" customFormat="false" ht="15" hidden="false" customHeight="false" outlineLevel="0" collapsed="false">
      <c r="A766" s="2" t="n">
        <v>760</v>
      </c>
      <c r="B766" s="15" t="n">
        <f aca="false">INT(A766/151)</f>
        <v>5</v>
      </c>
      <c r="C766" s="15" t="n">
        <f aca="false">MOD(A766,151)</f>
        <v>5</v>
      </c>
      <c r="D766" s="15" t="n">
        <f aca="false">INDEX(Grid!$J$6:$P$156,C766+1,B766+1)</f>
        <v>1</v>
      </c>
      <c r="E766" s="16" t="n">
        <f aca="false">IF(D766=1,INDEX(Grid!$B$6:$H$156,C766+1,B766+1),"")</f>
        <v>182.276139517634</v>
      </c>
      <c r="F766" s="13" t="n">
        <f aca="false">Val_pt*(Ceiling_e-E_zero)*(1-(1-Half_gap)^B766)</f>
        <v>135.625</v>
      </c>
      <c r="G766" s="15" t="n">
        <f aca="false">C766</f>
        <v>5</v>
      </c>
      <c r="H766" s="15" t="n">
        <f aca="false">IF(D766=1,INDEX(Grid!$R$6:$X$156,C766+1,B766+1),"")</f>
        <v>59</v>
      </c>
      <c r="I766" s="2" t="str">
        <f aca="false">IF(D766=1,INDEX(Sch_label,H766+1),"")</f>
        <v>1–3, 5, 6</v>
      </c>
      <c r="J766" s="15" t="n">
        <f aca="false">IF(D766=1,INDEX(Grid!$Z$6:$AF$156,C766+1,B766+1),0)</f>
        <v>1</v>
      </c>
      <c r="K766" s="16" t="n">
        <f aca="false">IF(J766=1,E766,0)</f>
        <v>182.276139517634</v>
      </c>
      <c r="L766" s="17" t="n">
        <f aca="false">IF(D766=1,E766+W_board*F766,"")</f>
        <v>947.84390715307</v>
      </c>
      <c r="M766" s="24" t="n">
        <v>1</v>
      </c>
      <c r="N766" s="25" t="n">
        <v>0.121286736192902</v>
      </c>
      <c r="O766" s="25" t="n">
        <v>0.833039660615895</v>
      </c>
      <c r="P766" s="25" t="n">
        <v>0.045673603191203</v>
      </c>
      <c r="Z766" s="12" t="n">
        <f aca="false">IF(AND($J766=1,$M766=1),N766*E766/Span_P+O766*F766/Span_S+P766*G766/Span_B,"")</f>
        <v>1.72865330050022</v>
      </c>
      <c r="AA766" s="12" t="n">
        <f aca="false">IF(AND($J766=1,$M766=1),SUMPRODUCT(MAX($J$6:$J$1062*(N766*$K$6:$K$1062/Span_P+O766*$F$6:$F$1062/Span_S+P766*$G$6:$G$1062/Span_B)-(1-$J$6:$J$1062)*1000000000)),"")</f>
        <v>1.72865330050022</v>
      </c>
      <c r="AB766" s="15" t="n">
        <f aca="false">IF(AND($J766=1,$M766=1),IF(AA766-Z766&lt;=0.000000001,1,0),"")</f>
        <v>1</v>
      </c>
      <c r="AC766" s="13" t="str">
        <f aca="false">IF(AND($J766=1,$M766=0),IF(S766="",0,S766*INDEX(Grid!$B$6:$H$156,R766+1,Q766+1))+IF(V766="",0,V766*INDEX(Grid!$B$6:$H$156,U766+1,T766+1))+IF(Y766="",0,Y766*INDEX(Grid!$B$6:$H$156,X766+1,W766+1)),"")</f>
        <v/>
      </c>
      <c r="AD766" s="13" t="str">
        <f aca="false">IF(AND($J766=1,$M766=0),IF(S766="",0,S766*Val_pt*(Ceiling_e-E_zero)*(1-(1-Half_gap)^Q766))+IF(V766="",0,V766*Val_pt*(Ceiling_e-E_zero)*(1-(1-Half_gap)^T766))+IF(Y766="",0,Y766*Val_pt*(Ceiling_e-E_zero)*(1-(1-Half_gap)^W766)),"")</f>
        <v/>
      </c>
      <c r="AE766" s="13" t="str">
        <f aca="false">IF(AND($J766=1,$M766=0),IF(S766="",0,S766*R766)+IF(V766="",0,V766*U766)+IF(Y766="",0,Y766*X766),"")</f>
        <v/>
      </c>
      <c r="AF766" s="12" t="str">
        <f aca="false">IF(AND($J766=1,$M766=0),MIN((AC766-E766)/Span_P,(AD766-F766)/Span_S,(AE766-G766)/Span_B),"")</f>
        <v/>
      </c>
      <c r="AG766" s="15" t="str">
        <f aca="false">IF(AND($J766=1,$M766=0),IF(AF766&gt;0.0000001,1,0),"")</f>
        <v/>
      </c>
      <c r="AH766" s="15" t="n">
        <f aca="false">IF($J766=1,IF($M766=1,AB766,AG766),"")</f>
        <v>1</v>
      </c>
      <c r="AI766" s="13" t="n">
        <f aca="false">IF($J766=1,(Ideal_P-E766)/Span_P,"")</f>
        <v>0.557549820622144</v>
      </c>
      <c r="AJ766" s="13" t="n">
        <f aca="false">IF($J766=1,(Ideal_S-F766)/Span_S,"")</f>
        <v>0.032258064516129</v>
      </c>
      <c r="AK766" s="13" t="n">
        <f aca="false">IF($J766=1,(Ideal_B-G766)/Span_B,"")</f>
        <v>0.966666666666667</v>
      </c>
      <c r="AL766" s="12" t="n">
        <f aca="false">IF($J766=1,MAX(ChA_1*AI766,ChA_2*AJ766,ChA_3*AK766)+Rho*(ChA_1*AI766+ChA_2*AJ766+ChA_3*AK766),"")</f>
        <v>0.966822314121847</v>
      </c>
      <c r="AM766" s="12" t="n">
        <f aca="false">IF($J766=1,MAX(ChB_1*AI766,ChB_2*AJ766,ChB_3*AK766)+Rho*(ChB_1*AI766+ChB_2*AJ766+ChB_3*AK766),"")</f>
        <v>1.11531104368153</v>
      </c>
      <c r="AN766" s="12" t="n">
        <f aca="false">IF($J766=1,MAX(Cx_1*(Ref_P-E766)/Span_P,Cx_2*(Ref_S-F766)/Span_S,Cx_3*(Ref_B-G766)/Span_B),"")</f>
        <v>2.46218487394958</v>
      </c>
    </row>
    <row r="767" customFormat="false" ht="15" hidden="false" customHeight="false" outlineLevel="0" collapsed="false">
      <c r="A767" s="2" t="n">
        <v>761</v>
      </c>
      <c r="B767" s="15" t="n">
        <f aca="false">INT(A767/151)</f>
        <v>5</v>
      </c>
      <c r="C767" s="15" t="n">
        <f aca="false">MOD(A767,151)</f>
        <v>6</v>
      </c>
      <c r="D767" s="15" t="n">
        <f aca="false">INDEX(Grid!$J$6:$P$156,C767+1,B767+1)</f>
        <v>1</v>
      </c>
      <c r="E767" s="16" t="n">
        <f aca="false">IF(D767=1,INDEX(Grid!$B$6:$H$156,C767+1,B767+1),"")</f>
        <v>181.367048608544</v>
      </c>
      <c r="F767" s="13" t="n">
        <f aca="false">Val_pt*(Ceiling_e-E_zero)*(1-(1-Half_gap)^B767)</f>
        <v>135.625</v>
      </c>
      <c r="G767" s="15" t="n">
        <f aca="false">C767</f>
        <v>6</v>
      </c>
      <c r="H767" s="15" t="n">
        <f aca="false">IF(D767=1,INDEX(Grid!$R$6:$X$156,C767+1,B767+1),"")</f>
        <v>59</v>
      </c>
      <c r="I767" s="2" t="str">
        <f aca="false">IF(D767=1,INDEX(Sch_label,H767+1),"")</f>
        <v>1–3, 5, 6</v>
      </c>
      <c r="J767" s="15" t="n">
        <f aca="false">IF(D767=1,INDEX(Grid!$Z$6:$AF$156,C767+1,B767+1),0)</f>
        <v>1</v>
      </c>
      <c r="K767" s="16" t="n">
        <f aca="false">IF(J767=1,E767,0)</f>
        <v>181.367048608544</v>
      </c>
      <c r="L767" s="17" t="n">
        <f aca="false">IF(D767=1,E767+W_board*F767,"")</f>
        <v>946.934816243979</v>
      </c>
      <c r="M767" s="24" t="n">
        <v>1</v>
      </c>
      <c r="N767" s="25" t="n">
        <v>0.121286736192899</v>
      </c>
      <c r="O767" s="25" t="n">
        <v>0.833039660615902</v>
      </c>
      <c r="P767" s="25" t="n">
        <v>0.0456736031911995</v>
      </c>
      <c r="Z767" s="12" t="n">
        <f aca="false">IF(AND($J767=1,$M767=1),N767*E767/Span_P+O767*F767/Span_S+P767*G767/Span_B,"")</f>
        <v>1.72865330050023</v>
      </c>
      <c r="AA767" s="12" t="n">
        <f aca="false">IF(AND($J767=1,$M767=1),SUMPRODUCT(MAX($J$6:$J$1062*(N767*$K$6:$K$1062/Span_P+O767*$F$6:$F$1062/Span_S+P767*$G$6:$G$1062/Span_B)-(1-$J$6:$J$1062)*1000000000)),"")</f>
        <v>1.72865330050023</v>
      </c>
      <c r="AB767" s="15" t="n">
        <f aca="false">IF(AND($J767=1,$M767=1),IF(AA767-Z767&lt;=0.000000001,1,0),"")</f>
        <v>1</v>
      </c>
      <c r="AC767" s="13" t="str">
        <f aca="false">IF(AND($J767=1,$M767=0),IF(S767="",0,S767*INDEX(Grid!$B$6:$H$156,R767+1,Q767+1))+IF(V767="",0,V767*INDEX(Grid!$B$6:$H$156,U767+1,T767+1))+IF(Y767="",0,Y767*INDEX(Grid!$B$6:$H$156,X767+1,W767+1)),"")</f>
        <v/>
      </c>
      <c r="AD767" s="13" t="str">
        <f aca="false">IF(AND($J767=1,$M767=0),IF(S767="",0,S767*Val_pt*(Ceiling_e-E_zero)*(1-(1-Half_gap)^Q767))+IF(V767="",0,V767*Val_pt*(Ceiling_e-E_zero)*(1-(1-Half_gap)^T767))+IF(Y767="",0,Y767*Val_pt*(Ceiling_e-E_zero)*(1-(1-Half_gap)^W767)),"")</f>
        <v/>
      </c>
      <c r="AE767" s="13" t="str">
        <f aca="false">IF(AND($J767=1,$M767=0),IF(S767="",0,S767*R767)+IF(V767="",0,V767*U767)+IF(Y767="",0,Y767*X767),"")</f>
        <v/>
      </c>
      <c r="AF767" s="12" t="str">
        <f aca="false">IF(AND($J767=1,$M767=0),MIN((AC767-E767)/Span_P,(AD767-F767)/Span_S,(AE767-G767)/Span_B),"")</f>
        <v/>
      </c>
      <c r="AG767" s="15" t="str">
        <f aca="false">IF(AND($J767=1,$M767=0),IF(AF767&gt;0.0000001,1,0),"")</f>
        <v/>
      </c>
      <c r="AH767" s="15" t="n">
        <f aca="false">IF($J767=1,IF($M767=1,AB767,AG767),"")</f>
        <v>1</v>
      </c>
      <c r="AI767" s="13" t="n">
        <f aca="false">IF($J767=1,(Ideal_P-E767)/Span_P,"")</f>
        <v>0.56006032339845</v>
      </c>
      <c r="AJ767" s="13" t="n">
        <f aca="false">IF($J767=1,(Ideal_S-F767)/Span_S,"")</f>
        <v>0.032258064516129</v>
      </c>
      <c r="AK767" s="13" t="n">
        <f aca="false">IF($J767=1,(Ideal_B-G767)/Span_B,"")</f>
        <v>0.96</v>
      </c>
      <c r="AL767" s="12" t="n">
        <f aca="false">IF($J767=1,MAX(ChA_1*AI767,ChA_2*AJ767,ChA_3*AK767)+Rho*(ChA_1*AI767+ChA_2*AJ767+ChA_3*AK767),"")</f>
        <v>0.960155231838791</v>
      </c>
      <c r="AM767" s="12" t="n">
        <f aca="false">IF($J767=1,MAX(ChB_1*AI767,ChB_2*AJ767,ChB_3*AK767)+Rho*(ChB_1*AI767+ChB_2*AJ767+ChB_3*AK767),"")</f>
        <v>1.12033188466803</v>
      </c>
      <c r="AN767" s="12" t="n">
        <f aca="false">IF($J767=1,MAX(Cx_1*(Ref_P-E767)/Span_P,Cx_2*(Ref_S-F767)/Span_S,Cx_3*(Ref_B-G767)/Span_B),"")</f>
        <v>2.4453781512605</v>
      </c>
    </row>
    <row r="768" customFormat="false" ht="15" hidden="false" customHeight="false" outlineLevel="0" collapsed="false">
      <c r="A768" s="2" t="n">
        <v>762</v>
      </c>
      <c r="B768" s="15" t="n">
        <f aca="false">INT(A768/151)</f>
        <v>5</v>
      </c>
      <c r="C768" s="15" t="n">
        <f aca="false">MOD(A768,151)</f>
        <v>7</v>
      </c>
      <c r="D768" s="15" t="n">
        <f aca="false">INDEX(Grid!$J$6:$P$156,C768+1,B768+1)</f>
        <v>1</v>
      </c>
      <c r="E768" s="16" t="n">
        <f aca="false">IF(D768=1,INDEX(Grid!$B$6:$H$156,C768+1,B768+1),"")</f>
        <v>180.457957699453</v>
      </c>
      <c r="F768" s="13" t="n">
        <f aca="false">Val_pt*(Ceiling_e-E_zero)*(1-(1-Half_gap)^B768)</f>
        <v>135.625</v>
      </c>
      <c r="G768" s="15" t="n">
        <f aca="false">C768</f>
        <v>7</v>
      </c>
      <c r="H768" s="15" t="n">
        <f aca="false">IF(D768=1,INDEX(Grid!$R$6:$X$156,C768+1,B768+1),"")</f>
        <v>59</v>
      </c>
      <c r="I768" s="2" t="str">
        <f aca="false">IF(D768=1,INDEX(Sch_label,H768+1),"")</f>
        <v>1–3, 5, 6</v>
      </c>
      <c r="J768" s="15" t="n">
        <f aca="false">IF(D768=1,INDEX(Grid!$Z$6:$AF$156,C768+1,B768+1),0)</f>
        <v>1</v>
      </c>
      <c r="K768" s="16" t="n">
        <f aca="false">IF(J768=1,E768,0)</f>
        <v>180.457957699453</v>
      </c>
      <c r="L768" s="17" t="n">
        <f aca="false">IF(D768=1,E768+W_board*F768,"")</f>
        <v>946.025725334888</v>
      </c>
      <c r="M768" s="24" t="n">
        <v>1</v>
      </c>
      <c r="N768" s="25" t="n">
        <v>0.121286736192902</v>
      </c>
      <c r="O768" s="25" t="n">
        <v>0.833039660615895</v>
      </c>
      <c r="P768" s="25" t="n">
        <v>0.045673603191203</v>
      </c>
      <c r="Z768" s="12" t="n">
        <f aca="false">IF(AND($J768=1,$M768=1),N768*E768/Span_P+O768*F768/Span_S+P768*G768/Span_B,"")</f>
        <v>1.72865330050022</v>
      </c>
      <c r="AA768" s="12" t="n">
        <f aca="false">IF(AND($J768=1,$M768=1),SUMPRODUCT(MAX($J$6:$J$1062*(N768*$K$6:$K$1062/Span_P+O768*$F$6:$F$1062/Span_S+P768*$G$6:$G$1062/Span_B)-(1-$J$6:$J$1062)*1000000000)),"")</f>
        <v>1.72865330050022</v>
      </c>
      <c r="AB768" s="15" t="n">
        <f aca="false">IF(AND($J768=1,$M768=1),IF(AA768-Z768&lt;=0.000000001,1,0),"")</f>
        <v>1</v>
      </c>
      <c r="AC768" s="13" t="str">
        <f aca="false">IF(AND($J768=1,$M768=0),IF(S768="",0,S768*INDEX(Grid!$B$6:$H$156,R768+1,Q768+1))+IF(V768="",0,V768*INDEX(Grid!$B$6:$H$156,U768+1,T768+1))+IF(Y768="",0,Y768*INDEX(Grid!$B$6:$H$156,X768+1,W768+1)),"")</f>
        <v/>
      </c>
      <c r="AD768" s="13" t="str">
        <f aca="false">IF(AND($J768=1,$M768=0),IF(S768="",0,S768*Val_pt*(Ceiling_e-E_zero)*(1-(1-Half_gap)^Q768))+IF(V768="",0,V768*Val_pt*(Ceiling_e-E_zero)*(1-(1-Half_gap)^T768))+IF(Y768="",0,Y768*Val_pt*(Ceiling_e-E_zero)*(1-(1-Half_gap)^W768)),"")</f>
        <v/>
      </c>
      <c r="AE768" s="13" t="str">
        <f aca="false">IF(AND($J768=1,$M768=0),IF(S768="",0,S768*R768)+IF(V768="",0,V768*U768)+IF(Y768="",0,Y768*X768),"")</f>
        <v/>
      </c>
      <c r="AF768" s="12" t="str">
        <f aca="false">IF(AND($J768=1,$M768=0),MIN((AC768-E768)/Span_P,(AD768-F768)/Span_S,(AE768-G768)/Span_B),"")</f>
        <v/>
      </c>
      <c r="AG768" s="15" t="str">
        <f aca="false">IF(AND($J768=1,$M768=0),IF(AF768&gt;0.0000001,1,0),"")</f>
        <v/>
      </c>
      <c r="AH768" s="15" t="n">
        <f aca="false">IF($J768=1,IF($M768=1,AB768,AG768),"")</f>
        <v>1</v>
      </c>
      <c r="AI768" s="13" t="n">
        <f aca="false">IF($J768=1,(Ideal_P-E768)/Span_P,"")</f>
        <v>0.562570826174756</v>
      </c>
      <c r="AJ768" s="13" t="n">
        <f aca="false">IF($J768=1,(Ideal_S-F768)/Span_S,"")</f>
        <v>0.032258064516129</v>
      </c>
      <c r="AK768" s="13" t="n">
        <f aca="false">IF($J768=1,(Ideal_B-G768)/Span_B,"")</f>
        <v>0.953333333333333</v>
      </c>
      <c r="AL768" s="12" t="n">
        <f aca="false">IF($J768=1,MAX(ChA_1*AI768,ChA_2*AJ768,ChA_3*AK768)+Rho*(ChA_1*AI768+ChA_2*AJ768+ChA_3*AK768),"")</f>
        <v>0.953488149555736</v>
      </c>
      <c r="AM768" s="12" t="n">
        <f aca="false">IF($J768=1,MAX(ChB_1*AI768,ChB_2*AJ768,ChB_3*AK768)+Rho*(ChB_1*AI768+ChB_2*AJ768+ChB_3*AK768),"")</f>
        <v>1.12535272565453</v>
      </c>
      <c r="AN768" s="12" t="n">
        <f aca="false">IF($J768=1,MAX(Cx_1*(Ref_P-E768)/Span_P,Cx_2*(Ref_S-F768)/Span_S,Cx_3*(Ref_B-G768)/Span_B),"")</f>
        <v>2.42857142857143</v>
      </c>
    </row>
    <row r="769" customFormat="false" ht="15" hidden="false" customHeight="false" outlineLevel="0" collapsed="false">
      <c r="A769" s="2" t="n">
        <v>763</v>
      </c>
      <c r="B769" s="15" t="n">
        <f aca="false">INT(A769/151)</f>
        <v>5</v>
      </c>
      <c r="C769" s="15" t="n">
        <f aca="false">MOD(A769,151)</f>
        <v>8</v>
      </c>
      <c r="D769" s="15" t="n">
        <f aca="false">INDEX(Grid!$J$6:$P$156,C769+1,B769+1)</f>
        <v>1</v>
      </c>
      <c r="E769" s="16" t="n">
        <f aca="false">IF(D769=1,INDEX(Grid!$B$6:$H$156,C769+1,B769+1),"")</f>
        <v>179.548866790362</v>
      </c>
      <c r="F769" s="13" t="n">
        <f aca="false">Val_pt*(Ceiling_e-E_zero)*(1-(1-Half_gap)^B769)</f>
        <v>135.625</v>
      </c>
      <c r="G769" s="15" t="n">
        <f aca="false">C769</f>
        <v>8</v>
      </c>
      <c r="H769" s="15" t="n">
        <f aca="false">IF(D769=1,INDEX(Grid!$R$6:$X$156,C769+1,B769+1),"")</f>
        <v>59</v>
      </c>
      <c r="I769" s="2" t="str">
        <f aca="false">IF(D769=1,INDEX(Sch_label,H769+1),"")</f>
        <v>1–3, 5, 6</v>
      </c>
      <c r="J769" s="15" t="n">
        <f aca="false">IF(D769=1,INDEX(Grid!$Z$6:$AF$156,C769+1,B769+1),0)</f>
        <v>1</v>
      </c>
      <c r="K769" s="16" t="n">
        <f aca="false">IF(J769=1,E769,0)</f>
        <v>179.548866790362</v>
      </c>
      <c r="L769" s="17" t="n">
        <f aca="false">IF(D769=1,E769+W_board*F769,"")</f>
        <v>945.116634425797</v>
      </c>
      <c r="M769" s="24" t="n">
        <v>1</v>
      </c>
      <c r="N769" s="25" t="n">
        <v>0.121286736192897</v>
      </c>
      <c r="O769" s="25" t="n">
        <v>0.833039660615905</v>
      </c>
      <c r="P769" s="25" t="n">
        <v>0.0456736031911979</v>
      </c>
      <c r="Z769" s="12" t="n">
        <f aca="false">IF(AND($J769=1,$M769=1),N769*E769/Span_P+O769*F769/Span_S+P769*G769/Span_B,"")</f>
        <v>1.72865330050023</v>
      </c>
      <c r="AA769" s="12" t="n">
        <f aca="false">IF(AND($J769=1,$M769=1),SUMPRODUCT(MAX($J$6:$J$1062*(N769*$K$6:$K$1062/Span_P+O769*$F$6:$F$1062/Span_S+P769*$G$6:$G$1062/Span_B)-(1-$J$6:$J$1062)*1000000000)),"")</f>
        <v>1.72865330050023</v>
      </c>
      <c r="AB769" s="15" t="n">
        <f aca="false">IF(AND($J769=1,$M769=1),IF(AA769-Z769&lt;=0.000000001,1,0),"")</f>
        <v>1</v>
      </c>
      <c r="AC769" s="13" t="str">
        <f aca="false">IF(AND($J769=1,$M769=0),IF(S769="",0,S769*INDEX(Grid!$B$6:$H$156,R769+1,Q769+1))+IF(V769="",0,V769*INDEX(Grid!$B$6:$H$156,U769+1,T769+1))+IF(Y769="",0,Y769*INDEX(Grid!$B$6:$H$156,X769+1,W769+1)),"")</f>
        <v/>
      </c>
      <c r="AD769" s="13" t="str">
        <f aca="false">IF(AND($J769=1,$M769=0),IF(S769="",0,S769*Val_pt*(Ceiling_e-E_zero)*(1-(1-Half_gap)^Q769))+IF(V769="",0,V769*Val_pt*(Ceiling_e-E_zero)*(1-(1-Half_gap)^T769))+IF(Y769="",0,Y769*Val_pt*(Ceiling_e-E_zero)*(1-(1-Half_gap)^W769)),"")</f>
        <v/>
      </c>
      <c r="AE769" s="13" t="str">
        <f aca="false">IF(AND($J769=1,$M769=0),IF(S769="",0,S769*R769)+IF(V769="",0,V769*U769)+IF(Y769="",0,Y769*X769),"")</f>
        <v/>
      </c>
      <c r="AF769" s="12" t="str">
        <f aca="false">IF(AND($J769=1,$M769=0),MIN((AC769-E769)/Span_P,(AD769-F769)/Span_S,(AE769-G769)/Span_B),"")</f>
        <v/>
      </c>
      <c r="AG769" s="15" t="str">
        <f aca="false">IF(AND($J769=1,$M769=0),IF(AF769&gt;0.0000001,1,0),"")</f>
        <v/>
      </c>
      <c r="AH769" s="15" t="n">
        <f aca="false">IF($J769=1,IF($M769=1,AB769,AG769),"")</f>
        <v>1</v>
      </c>
      <c r="AI769" s="13" t="n">
        <f aca="false">IF($J769=1,(Ideal_P-E769)/Span_P,"")</f>
        <v>0.565081328951061</v>
      </c>
      <c r="AJ769" s="13" t="n">
        <f aca="false">IF($J769=1,(Ideal_S-F769)/Span_S,"")</f>
        <v>0.032258064516129</v>
      </c>
      <c r="AK769" s="13" t="n">
        <f aca="false">IF($J769=1,(Ideal_B-G769)/Span_B,"")</f>
        <v>0.946666666666667</v>
      </c>
      <c r="AL769" s="12" t="n">
        <f aca="false">IF($J769=1,MAX(ChA_1*AI769,ChA_2*AJ769,ChA_3*AK769)+Rho*(ChA_1*AI769+ChA_2*AJ769+ChA_3*AK769),"")</f>
        <v>0.94682106727268</v>
      </c>
      <c r="AM769" s="12" t="n">
        <f aca="false">IF($J769=1,MAX(ChB_1*AI769,ChB_2*AJ769,ChB_3*AK769)+Rho*(ChB_1*AI769+ChB_2*AJ769+ChB_3*AK769),"")</f>
        <v>1.13037356664103</v>
      </c>
      <c r="AN769" s="12" t="n">
        <f aca="false">IF($J769=1,MAX(Cx_1*(Ref_P-E769)/Span_P,Cx_2*(Ref_S-F769)/Span_S,Cx_3*(Ref_B-G769)/Span_B),"")</f>
        <v>2.41176470588235</v>
      </c>
    </row>
    <row r="770" customFormat="false" ht="15" hidden="false" customHeight="false" outlineLevel="0" collapsed="false">
      <c r="A770" s="2" t="n">
        <v>764</v>
      </c>
      <c r="B770" s="15" t="n">
        <f aca="false">INT(A770/151)</f>
        <v>5</v>
      </c>
      <c r="C770" s="15" t="n">
        <f aca="false">MOD(A770,151)</f>
        <v>9</v>
      </c>
      <c r="D770" s="15" t="n">
        <f aca="false">INDEX(Grid!$J$6:$P$156,C770+1,B770+1)</f>
        <v>1</v>
      </c>
      <c r="E770" s="16" t="n">
        <f aca="false">IF(D770=1,INDEX(Grid!$B$6:$H$156,C770+1,B770+1),"")</f>
        <v>178.639775881271</v>
      </c>
      <c r="F770" s="13" t="n">
        <f aca="false">Val_pt*(Ceiling_e-E_zero)*(1-(1-Half_gap)^B770)</f>
        <v>135.625</v>
      </c>
      <c r="G770" s="15" t="n">
        <f aca="false">C770</f>
        <v>9</v>
      </c>
      <c r="H770" s="15" t="n">
        <f aca="false">IF(D770=1,INDEX(Grid!$R$6:$X$156,C770+1,B770+1),"")</f>
        <v>59</v>
      </c>
      <c r="I770" s="2" t="str">
        <f aca="false">IF(D770=1,INDEX(Sch_label,H770+1),"")</f>
        <v>1–3, 5, 6</v>
      </c>
      <c r="J770" s="15" t="n">
        <f aca="false">IF(D770=1,INDEX(Grid!$Z$6:$AF$156,C770+1,B770+1),0)</f>
        <v>1</v>
      </c>
      <c r="K770" s="16" t="n">
        <f aca="false">IF(J770=1,E770,0)</f>
        <v>178.639775881271</v>
      </c>
      <c r="L770" s="17" t="n">
        <f aca="false">IF(D770=1,E770+W_board*F770,"")</f>
        <v>944.207543516706</v>
      </c>
      <c r="M770" s="24" t="n">
        <v>1</v>
      </c>
      <c r="N770" s="25" t="n">
        <v>0.121286736192904</v>
      </c>
      <c r="O770" s="25" t="n">
        <v>0.833039660615892</v>
      </c>
      <c r="P770" s="25" t="n">
        <v>0.0456736031912046</v>
      </c>
      <c r="Z770" s="12" t="n">
        <f aca="false">IF(AND($J770=1,$M770=1),N770*E770/Span_P+O770*F770/Span_S+P770*G770/Span_B,"")</f>
        <v>1.72865330050021</v>
      </c>
      <c r="AA770" s="12" t="n">
        <f aca="false">IF(AND($J770=1,$M770=1),SUMPRODUCT(MAX($J$6:$J$1062*(N770*$K$6:$K$1062/Span_P+O770*$F$6:$F$1062/Span_S+P770*$G$6:$G$1062/Span_B)-(1-$J$6:$J$1062)*1000000000)),"")</f>
        <v>1.72865330050021</v>
      </c>
      <c r="AB770" s="15" t="n">
        <f aca="false">IF(AND($J770=1,$M770=1),IF(AA770-Z770&lt;=0.000000001,1,0),"")</f>
        <v>1</v>
      </c>
      <c r="AC770" s="13" t="str">
        <f aca="false">IF(AND($J770=1,$M770=0),IF(S770="",0,S770*INDEX(Grid!$B$6:$H$156,R770+1,Q770+1))+IF(V770="",0,V770*INDEX(Grid!$B$6:$H$156,U770+1,T770+1))+IF(Y770="",0,Y770*INDEX(Grid!$B$6:$H$156,X770+1,W770+1)),"")</f>
        <v/>
      </c>
      <c r="AD770" s="13" t="str">
        <f aca="false">IF(AND($J770=1,$M770=0),IF(S770="",0,S770*Val_pt*(Ceiling_e-E_zero)*(1-(1-Half_gap)^Q770))+IF(V770="",0,V770*Val_pt*(Ceiling_e-E_zero)*(1-(1-Half_gap)^T770))+IF(Y770="",0,Y770*Val_pt*(Ceiling_e-E_zero)*(1-(1-Half_gap)^W770)),"")</f>
        <v/>
      </c>
      <c r="AE770" s="13" t="str">
        <f aca="false">IF(AND($J770=1,$M770=0),IF(S770="",0,S770*R770)+IF(V770="",0,V770*U770)+IF(Y770="",0,Y770*X770),"")</f>
        <v/>
      </c>
      <c r="AF770" s="12" t="str">
        <f aca="false">IF(AND($J770=1,$M770=0),MIN((AC770-E770)/Span_P,(AD770-F770)/Span_S,(AE770-G770)/Span_B),"")</f>
        <v/>
      </c>
      <c r="AG770" s="15" t="str">
        <f aca="false">IF(AND($J770=1,$M770=0),IF(AF770&gt;0.0000001,1,0),"")</f>
        <v/>
      </c>
      <c r="AH770" s="15" t="n">
        <f aca="false">IF($J770=1,IF($M770=1,AB770,AG770),"")</f>
        <v>1</v>
      </c>
      <c r="AI770" s="13" t="n">
        <f aca="false">IF($J770=1,(Ideal_P-E770)/Span_P,"")</f>
        <v>0.567591831727367</v>
      </c>
      <c r="AJ770" s="13" t="n">
        <f aca="false">IF($J770=1,(Ideal_S-F770)/Span_S,"")</f>
        <v>0.032258064516129</v>
      </c>
      <c r="AK770" s="13" t="n">
        <f aca="false">IF($J770=1,(Ideal_B-G770)/Span_B,"")</f>
        <v>0.94</v>
      </c>
      <c r="AL770" s="12" t="n">
        <f aca="false">IF($J770=1,MAX(ChA_1*AI770,ChA_2*AJ770,ChA_3*AK770)+Rho*(ChA_1*AI770+ChA_2*AJ770+ChA_3*AK770),"")</f>
        <v>0.940153984989624</v>
      </c>
      <c r="AM770" s="12" t="n">
        <f aca="false">IF($J770=1,MAX(ChB_1*AI770,ChB_2*AJ770,ChB_3*AK770)+Rho*(ChB_1*AI770+ChB_2*AJ770+ChB_3*AK770),"")</f>
        <v>1.13539440762753</v>
      </c>
      <c r="AN770" s="12" t="n">
        <f aca="false">IF($J770=1,MAX(Cx_1*(Ref_P-E770)/Span_P,Cx_2*(Ref_S-F770)/Span_S,Cx_3*(Ref_B-G770)/Span_B),"")</f>
        <v>2.39495798319328</v>
      </c>
    </row>
    <row r="771" customFormat="false" ht="15" hidden="false" customHeight="false" outlineLevel="0" collapsed="false">
      <c r="A771" s="2" t="n">
        <v>765</v>
      </c>
      <c r="B771" s="15" t="n">
        <f aca="false">INT(A771/151)</f>
        <v>5</v>
      </c>
      <c r="C771" s="15" t="n">
        <f aca="false">MOD(A771,151)</f>
        <v>10</v>
      </c>
      <c r="D771" s="15" t="n">
        <f aca="false">INDEX(Grid!$J$6:$P$156,C771+1,B771+1)</f>
        <v>1</v>
      </c>
      <c r="E771" s="16" t="n">
        <f aca="false">IF(D771=1,INDEX(Grid!$B$6:$H$156,C771+1,B771+1),"")</f>
        <v>177.73068497218</v>
      </c>
      <c r="F771" s="13" t="n">
        <f aca="false">Val_pt*(Ceiling_e-E_zero)*(1-(1-Half_gap)^B771)</f>
        <v>135.625</v>
      </c>
      <c r="G771" s="15" t="n">
        <f aca="false">C771</f>
        <v>10</v>
      </c>
      <c r="H771" s="15" t="n">
        <f aca="false">IF(D771=1,INDEX(Grid!$R$6:$X$156,C771+1,B771+1),"")</f>
        <v>59</v>
      </c>
      <c r="I771" s="2" t="str">
        <f aca="false">IF(D771=1,INDEX(Sch_label,H771+1),"")</f>
        <v>1–3, 5, 6</v>
      </c>
      <c r="J771" s="15" t="n">
        <f aca="false">IF(D771=1,INDEX(Grid!$Z$6:$AF$156,C771+1,B771+1),0)</f>
        <v>1</v>
      </c>
      <c r="K771" s="16" t="n">
        <f aca="false">IF(J771=1,E771,0)</f>
        <v>177.73068497218</v>
      </c>
      <c r="L771" s="17" t="n">
        <f aca="false">IF(D771=1,E771+W_board*F771,"")</f>
        <v>943.298452607615</v>
      </c>
      <c r="M771" s="24" t="n">
        <v>1</v>
      </c>
      <c r="N771" s="25" t="n">
        <v>0.1212867361929</v>
      </c>
      <c r="O771" s="25" t="n">
        <v>0.833039660615898</v>
      </c>
      <c r="P771" s="25" t="n">
        <v>0.0456736031912012</v>
      </c>
      <c r="Z771" s="12" t="n">
        <f aca="false">IF(AND($J771=1,$M771=1),N771*E771/Span_P+O771*F771/Span_S+P771*G771/Span_B,"")</f>
        <v>1.72865330050022</v>
      </c>
      <c r="AA771" s="12" t="n">
        <f aca="false">IF(AND($J771=1,$M771=1),SUMPRODUCT(MAX($J$6:$J$1062*(N771*$K$6:$K$1062/Span_P+O771*$F$6:$F$1062/Span_S+P771*$G$6:$G$1062/Span_B)-(1-$J$6:$J$1062)*1000000000)),"")</f>
        <v>1.72865330050022</v>
      </c>
      <c r="AB771" s="15" t="n">
        <f aca="false">IF(AND($J771=1,$M771=1),IF(AA771-Z771&lt;=0.000000001,1,0),"")</f>
        <v>1</v>
      </c>
      <c r="AC771" s="13" t="str">
        <f aca="false">IF(AND($J771=1,$M771=0),IF(S771="",0,S771*INDEX(Grid!$B$6:$H$156,R771+1,Q771+1))+IF(V771="",0,V771*INDEX(Grid!$B$6:$H$156,U771+1,T771+1))+IF(Y771="",0,Y771*INDEX(Grid!$B$6:$H$156,X771+1,W771+1)),"")</f>
        <v/>
      </c>
      <c r="AD771" s="13" t="str">
        <f aca="false">IF(AND($J771=1,$M771=0),IF(S771="",0,S771*Val_pt*(Ceiling_e-E_zero)*(1-(1-Half_gap)^Q771))+IF(V771="",0,V771*Val_pt*(Ceiling_e-E_zero)*(1-(1-Half_gap)^T771))+IF(Y771="",0,Y771*Val_pt*(Ceiling_e-E_zero)*(1-(1-Half_gap)^W771)),"")</f>
        <v/>
      </c>
      <c r="AE771" s="13" t="str">
        <f aca="false">IF(AND($J771=1,$M771=0),IF(S771="",0,S771*R771)+IF(V771="",0,V771*U771)+IF(Y771="",0,Y771*X771),"")</f>
        <v/>
      </c>
      <c r="AF771" s="12" t="str">
        <f aca="false">IF(AND($J771=1,$M771=0),MIN((AC771-E771)/Span_P,(AD771-F771)/Span_S,(AE771-G771)/Span_B),"")</f>
        <v/>
      </c>
      <c r="AG771" s="15" t="str">
        <f aca="false">IF(AND($J771=1,$M771=0),IF(AF771&gt;0.0000001,1,0),"")</f>
        <v/>
      </c>
      <c r="AH771" s="15" t="n">
        <f aca="false">IF($J771=1,IF($M771=1,AB771,AG771),"")</f>
        <v>1</v>
      </c>
      <c r="AI771" s="13" t="n">
        <f aca="false">IF($J771=1,(Ideal_P-E771)/Span_P,"")</f>
        <v>0.570102334503673</v>
      </c>
      <c r="AJ771" s="13" t="n">
        <f aca="false">IF($J771=1,(Ideal_S-F771)/Span_S,"")</f>
        <v>0.032258064516129</v>
      </c>
      <c r="AK771" s="13" t="n">
        <f aca="false">IF($J771=1,(Ideal_B-G771)/Span_B,"")</f>
        <v>0.933333333333333</v>
      </c>
      <c r="AL771" s="12" t="n">
        <f aca="false">IF($J771=1,MAX(ChA_1*AI771,ChA_2*AJ771,ChA_3*AK771)+Rho*(ChA_1*AI771+ChA_2*AJ771+ChA_3*AK771),"")</f>
        <v>0.933486902706569</v>
      </c>
      <c r="AM771" s="12" t="n">
        <f aca="false">IF($J771=1,MAX(ChB_1*AI771,ChB_2*AJ771,ChB_3*AK771)+Rho*(ChB_1*AI771+ChB_2*AJ771+ChB_3*AK771),"")</f>
        <v>1.14041524861403</v>
      </c>
      <c r="AN771" s="12" t="n">
        <f aca="false">IF($J771=1,MAX(Cx_1*(Ref_P-E771)/Span_P,Cx_2*(Ref_S-F771)/Span_S,Cx_3*(Ref_B-G771)/Span_B),"")</f>
        <v>2.3781512605042</v>
      </c>
    </row>
    <row r="772" customFormat="false" ht="15" hidden="false" customHeight="false" outlineLevel="0" collapsed="false">
      <c r="A772" s="2" t="n">
        <v>766</v>
      </c>
      <c r="B772" s="15" t="n">
        <f aca="false">INT(A772/151)</f>
        <v>5</v>
      </c>
      <c r="C772" s="15" t="n">
        <f aca="false">MOD(A772,151)</f>
        <v>11</v>
      </c>
      <c r="D772" s="15" t="n">
        <f aca="false">INDEX(Grid!$J$6:$P$156,C772+1,B772+1)</f>
        <v>1</v>
      </c>
      <c r="E772" s="16" t="n">
        <f aca="false">IF(D772=1,INDEX(Grid!$B$6:$H$156,C772+1,B772+1),"")</f>
        <v>176.821594063089</v>
      </c>
      <c r="F772" s="13" t="n">
        <f aca="false">Val_pt*(Ceiling_e-E_zero)*(1-(1-Half_gap)^B772)</f>
        <v>135.625</v>
      </c>
      <c r="G772" s="15" t="n">
        <f aca="false">C772</f>
        <v>11</v>
      </c>
      <c r="H772" s="15" t="n">
        <f aca="false">IF(D772=1,INDEX(Grid!$R$6:$X$156,C772+1,B772+1),"")</f>
        <v>59</v>
      </c>
      <c r="I772" s="2" t="str">
        <f aca="false">IF(D772=1,INDEX(Sch_label,H772+1),"")</f>
        <v>1–3, 5, 6</v>
      </c>
      <c r="J772" s="15" t="n">
        <f aca="false">IF(D772=1,INDEX(Grid!$Z$6:$AF$156,C772+1,B772+1),0)</f>
        <v>1</v>
      </c>
      <c r="K772" s="16" t="n">
        <f aca="false">IF(J772=1,E772,0)</f>
        <v>176.821594063089</v>
      </c>
      <c r="L772" s="17" t="n">
        <f aca="false">IF(D772=1,E772+W_board*F772,"")</f>
        <v>942.389361698525</v>
      </c>
      <c r="M772" s="24" t="n">
        <v>1</v>
      </c>
      <c r="N772" s="25" t="n">
        <v>0.1212867361929</v>
      </c>
      <c r="O772" s="25" t="n">
        <v>0.833039660615898</v>
      </c>
      <c r="P772" s="25" t="n">
        <v>0.0456736031912012</v>
      </c>
      <c r="Z772" s="12" t="n">
        <f aca="false">IF(AND($J772=1,$M772=1),N772*E772/Span_P+O772*F772/Span_S+P772*G772/Span_B,"")</f>
        <v>1.72865330050022</v>
      </c>
      <c r="AA772" s="12" t="n">
        <f aca="false">IF(AND($J772=1,$M772=1),SUMPRODUCT(MAX($J$6:$J$1062*(N772*$K$6:$K$1062/Span_P+O772*$F$6:$F$1062/Span_S+P772*$G$6:$G$1062/Span_B)-(1-$J$6:$J$1062)*1000000000)),"")</f>
        <v>1.72865330050022</v>
      </c>
      <c r="AB772" s="15" t="n">
        <f aca="false">IF(AND($J772=1,$M772=1),IF(AA772-Z772&lt;=0.000000001,1,0),"")</f>
        <v>1</v>
      </c>
      <c r="AC772" s="13" t="str">
        <f aca="false">IF(AND($J772=1,$M772=0),IF(S772="",0,S772*INDEX(Grid!$B$6:$H$156,R772+1,Q772+1))+IF(V772="",0,V772*INDEX(Grid!$B$6:$H$156,U772+1,T772+1))+IF(Y772="",0,Y772*INDEX(Grid!$B$6:$H$156,X772+1,W772+1)),"")</f>
        <v/>
      </c>
      <c r="AD772" s="13" t="str">
        <f aca="false">IF(AND($J772=1,$M772=0),IF(S772="",0,S772*Val_pt*(Ceiling_e-E_zero)*(1-(1-Half_gap)^Q772))+IF(V772="",0,V772*Val_pt*(Ceiling_e-E_zero)*(1-(1-Half_gap)^T772))+IF(Y772="",0,Y772*Val_pt*(Ceiling_e-E_zero)*(1-(1-Half_gap)^W772)),"")</f>
        <v/>
      </c>
      <c r="AE772" s="13" t="str">
        <f aca="false">IF(AND($J772=1,$M772=0),IF(S772="",0,S772*R772)+IF(V772="",0,V772*U772)+IF(Y772="",0,Y772*X772),"")</f>
        <v/>
      </c>
      <c r="AF772" s="12" t="str">
        <f aca="false">IF(AND($J772=1,$M772=0),MIN((AC772-E772)/Span_P,(AD772-F772)/Span_S,(AE772-G772)/Span_B),"")</f>
        <v/>
      </c>
      <c r="AG772" s="15" t="str">
        <f aca="false">IF(AND($J772=1,$M772=0),IF(AF772&gt;0.0000001,1,0),"")</f>
        <v/>
      </c>
      <c r="AH772" s="15" t="n">
        <f aca="false">IF($J772=1,IF($M772=1,AB772,AG772),"")</f>
        <v>1</v>
      </c>
      <c r="AI772" s="13" t="n">
        <f aca="false">IF($J772=1,(Ideal_P-E772)/Span_P,"")</f>
        <v>0.572612837279979</v>
      </c>
      <c r="AJ772" s="13" t="n">
        <f aca="false">IF($J772=1,(Ideal_S-F772)/Span_S,"")</f>
        <v>0.032258064516129</v>
      </c>
      <c r="AK772" s="13" t="n">
        <f aca="false">IF($J772=1,(Ideal_B-G772)/Span_B,"")</f>
        <v>0.926666666666667</v>
      </c>
      <c r="AL772" s="12" t="n">
        <f aca="false">IF($J772=1,MAX(ChA_1*AI772,ChA_2*AJ772,ChA_3*AK772)+Rho*(ChA_1*AI772+ChA_2*AJ772+ChA_3*AK772),"")</f>
        <v>0.926819820423513</v>
      </c>
      <c r="AM772" s="12" t="n">
        <f aca="false">IF($J772=1,MAX(ChB_1*AI772,ChB_2*AJ772,ChB_3*AK772)+Rho*(ChB_1*AI772+ChB_2*AJ772+ChB_3*AK772),"")</f>
        <v>1.14543608960053</v>
      </c>
      <c r="AN772" s="12" t="n">
        <f aca="false">IF($J772=1,MAX(Cx_1*(Ref_P-E772)/Span_P,Cx_2*(Ref_S-F772)/Span_S,Cx_3*(Ref_B-G772)/Span_B),"")</f>
        <v>2.36134453781513</v>
      </c>
    </row>
    <row r="773" customFormat="false" ht="15" hidden="false" customHeight="false" outlineLevel="0" collapsed="false">
      <c r="A773" s="2" t="n">
        <v>767</v>
      </c>
      <c r="B773" s="15" t="n">
        <f aca="false">INT(A773/151)</f>
        <v>5</v>
      </c>
      <c r="C773" s="15" t="n">
        <f aca="false">MOD(A773,151)</f>
        <v>12</v>
      </c>
      <c r="D773" s="15" t="n">
        <f aca="false">INDEX(Grid!$J$6:$P$156,C773+1,B773+1)</f>
        <v>1</v>
      </c>
      <c r="E773" s="16" t="n">
        <f aca="false">IF(D773=1,INDEX(Grid!$B$6:$H$156,C773+1,B773+1),"")</f>
        <v>175.912503153998</v>
      </c>
      <c r="F773" s="13" t="n">
        <f aca="false">Val_pt*(Ceiling_e-E_zero)*(1-(1-Half_gap)^B773)</f>
        <v>135.625</v>
      </c>
      <c r="G773" s="15" t="n">
        <f aca="false">C773</f>
        <v>12</v>
      </c>
      <c r="H773" s="15" t="n">
        <f aca="false">IF(D773=1,INDEX(Grid!$R$6:$X$156,C773+1,B773+1),"")</f>
        <v>59</v>
      </c>
      <c r="I773" s="2" t="str">
        <f aca="false">IF(D773=1,INDEX(Sch_label,H773+1),"")</f>
        <v>1–3, 5, 6</v>
      </c>
      <c r="J773" s="15" t="n">
        <f aca="false">IF(D773=1,INDEX(Grid!$Z$6:$AF$156,C773+1,B773+1),0)</f>
        <v>1</v>
      </c>
      <c r="K773" s="16" t="n">
        <f aca="false">IF(J773=1,E773,0)</f>
        <v>175.912503153998</v>
      </c>
      <c r="L773" s="17" t="n">
        <f aca="false">IF(D773=1,E773+W_board*F773,"")</f>
        <v>941.480270789434</v>
      </c>
      <c r="M773" s="24" t="n">
        <v>1</v>
      </c>
      <c r="N773" s="25" t="n">
        <v>0.1212867361929</v>
      </c>
      <c r="O773" s="25" t="n">
        <v>0.833039660615898</v>
      </c>
      <c r="P773" s="25" t="n">
        <v>0.0456736031912012</v>
      </c>
      <c r="Z773" s="12" t="n">
        <f aca="false">IF(AND($J773=1,$M773=1),N773*E773/Span_P+O773*F773/Span_S+P773*G773/Span_B,"")</f>
        <v>1.72865330050022</v>
      </c>
      <c r="AA773" s="12" t="n">
        <f aca="false">IF(AND($J773=1,$M773=1),SUMPRODUCT(MAX($J$6:$J$1062*(N773*$K$6:$K$1062/Span_P+O773*$F$6:$F$1062/Span_S+P773*$G$6:$G$1062/Span_B)-(1-$J$6:$J$1062)*1000000000)),"")</f>
        <v>1.72865330050022</v>
      </c>
      <c r="AB773" s="15" t="n">
        <f aca="false">IF(AND($J773=1,$M773=1),IF(AA773-Z773&lt;=0.000000001,1,0),"")</f>
        <v>1</v>
      </c>
      <c r="AC773" s="13" t="str">
        <f aca="false">IF(AND($J773=1,$M773=0),IF(S773="",0,S773*INDEX(Grid!$B$6:$H$156,R773+1,Q773+1))+IF(V773="",0,V773*INDEX(Grid!$B$6:$H$156,U773+1,T773+1))+IF(Y773="",0,Y773*INDEX(Grid!$B$6:$H$156,X773+1,W773+1)),"")</f>
        <v/>
      </c>
      <c r="AD773" s="13" t="str">
        <f aca="false">IF(AND($J773=1,$M773=0),IF(S773="",0,S773*Val_pt*(Ceiling_e-E_zero)*(1-(1-Half_gap)^Q773))+IF(V773="",0,V773*Val_pt*(Ceiling_e-E_zero)*(1-(1-Half_gap)^T773))+IF(Y773="",0,Y773*Val_pt*(Ceiling_e-E_zero)*(1-(1-Half_gap)^W773)),"")</f>
        <v/>
      </c>
      <c r="AE773" s="13" t="str">
        <f aca="false">IF(AND($J773=1,$M773=0),IF(S773="",0,S773*R773)+IF(V773="",0,V773*U773)+IF(Y773="",0,Y773*X773),"")</f>
        <v/>
      </c>
      <c r="AF773" s="12" t="str">
        <f aca="false">IF(AND($J773=1,$M773=0),MIN((AC773-E773)/Span_P,(AD773-F773)/Span_S,(AE773-G773)/Span_B),"")</f>
        <v/>
      </c>
      <c r="AG773" s="15" t="str">
        <f aca="false">IF(AND($J773=1,$M773=0),IF(AF773&gt;0.0000001,1,0),"")</f>
        <v/>
      </c>
      <c r="AH773" s="15" t="n">
        <f aca="false">IF($J773=1,IF($M773=1,AB773,AG773),"")</f>
        <v>1</v>
      </c>
      <c r="AI773" s="13" t="n">
        <f aca="false">IF($J773=1,(Ideal_P-E773)/Span_P,"")</f>
        <v>0.575123340056284</v>
      </c>
      <c r="AJ773" s="13" t="n">
        <f aca="false">IF($J773=1,(Ideal_S-F773)/Span_S,"")</f>
        <v>0.032258064516129</v>
      </c>
      <c r="AK773" s="13" t="n">
        <f aca="false">IF($J773=1,(Ideal_B-G773)/Span_B,"")</f>
        <v>0.92</v>
      </c>
      <c r="AL773" s="12" t="n">
        <f aca="false">IF($J773=1,MAX(ChA_1*AI773,ChA_2*AJ773,ChA_3*AK773)+Rho*(ChA_1*AI773+ChA_2*AJ773+ChA_3*AK773),"")</f>
        <v>0.920152738140457</v>
      </c>
      <c r="AM773" s="12" t="n">
        <f aca="false">IF($J773=1,MAX(ChB_1*AI773,ChB_2*AJ773,ChB_3*AK773)+Rho*(ChB_1*AI773+ChB_2*AJ773+ChB_3*AK773),"")</f>
        <v>1.15045693058703</v>
      </c>
      <c r="AN773" s="12" t="n">
        <f aca="false">IF($J773=1,MAX(Cx_1*(Ref_P-E773)/Span_P,Cx_2*(Ref_S-F773)/Span_S,Cx_3*(Ref_B-G773)/Span_B),"")</f>
        <v>2.34453781512605</v>
      </c>
    </row>
    <row r="774" customFormat="false" ht="15" hidden="false" customHeight="false" outlineLevel="0" collapsed="false">
      <c r="A774" s="2" t="n">
        <v>768</v>
      </c>
      <c r="B774" s="15" t="n">
        <f aca="false">INT(A774/151)</f>
        <v>5</v>
      </c>
      <c r="C774" s="15" t="n">
        <f aca="false">MOD(A774,151)</f>
        <v>13</v>
      </c>
      <c r="D774" s="15" t="n">
        <f aca="false">INDEX(Grid!$J$6:$P$156,C774+1,B774+1)</f>
        <v>1</v>
      </c>
      <c r="E774" s="16" t="n">
        <f aca="false">IF(D774=1,INDEX(Grid!$B$6:$H$156,C774+1,B774+1),"")</f>
        <v>175.003412244907</v>
      </c>
      <c r="F774" s="13" t="n">
        <f aca="false">Val_pt*(Ceiling_e-E_zero)*(1-(1-Half_gap)^B774)</f>
        <v>135.625</v>
      </c>
      <c r="G774" s="15" t="n">
        <f aca="false">C774</f>
        <v>13</v>
      </c>
      <c r="H774" s="15" t="n">
        <f aca="false">IF(D774=1,INDEX(Grid!$R$6:$X$156,C774+1,B774+1),"")</f>
        <v>59</v>
      </c>
      <c r="I774" s="2" t="str">
        <f aca="false">IF(D774=1,INDEX(Sch_label,H774+1),"")</f>
        <v>1–3, 5, 6</v>
      </c>
      <c r="J774" s="15" t="n">
        <f aca="false">IF(D774=1,INDEX(Grid!$Z$6:$AF$156,C774+1,B774+1),0)</f>
        <v>1</v>
      </c>
      <c r="K774" s="16" t="n">
        <f aca="false">IF(J774=1,E774,0)</f>
        <v>175.003412244907</v>
      </c>
      <c r="L774" s="17" t="n">
        <f aca="false">IF(D774=1,E774+W_board*F774,"")</f>
        <v>940.571179880343</v>
      </c>
      <c r="M774" s="24" t="n">
        <v>1</v>
      </c>
      <c r="N774" s="25" t="n">
        <v>0.1212867361929</v>
      </c>
      <c r="O774" s="25" t="n">
        <v>0.833039660615898</v>
      </c>
      <c r="P774" s="25" t="n">
        <v>0.0456736031912012</v>
      </c>
      <c r="Z774" s="12" t="n">
        <f aca="false">IF(AND($J774=1,$M774=1),N774*E774/Span_P+O774*F774/Span_S+P774*G774/Span_B,"")</f>
        <v>1.72865330050022</v>
      </c>
      <c r="AA774" s="12" t="n">
        <f aca="false">IF(AND($J774=1,$M774=1),SUMPRODUCT(MAX($J$6:$J$1062*(N774*$K$6:$K$1062/Span_P+O774*$F$6:$F$1062/Span_S+P774*$G$6:$G$1062/Span_B)-(1-$J$6:$J$1062)*1000000000)),"")</f>
        <v>1.72865330050022</v>
      </c>
      <c r="AB774" s="15" t="n">
        <f aca="false">IF(AND($J774=1,$M774=1),IF(AA774-Z774&lt;=0.000000001,1,0),"")</f>
        <v>1</v>
      </c>
      <c r="AC774" s="13" t="str">
        <f aca="false">IF(AND($J774=1,$M774=0),IF(S774="",0,S774*INDEX(Grid!$B$6:$H$156,R774+1,Q774+1))+IF(V774="",0,V774*INDEX(Grid!$B$6:$H$156,U774+1,T774+1))+IF(Y774="",0,Y774*INDEX(Grid!$B$6:$H$156,X774+1,W774+1)),"")</f>
        <v/>
      </c>
      <c r="AD774" s="13" t="str">
        <f aca="false">IF(AND($J774=1,$M774=0),IF(S774="",0,S774*Val_pt*(Ceiling_e-E_zero)*(1-(1-Half_gap)^Q774))+IF(V774="",0,V774*Val_pt*(Ceiling_e-E_zero)*(1-(1-Half_gap)^T774))+IF(Y774="",0,Y774*Val_pt*(Ceiling_e-E_zero)*(1-(1-Half_gap)^W774)),"")</f>
        <v/>
      </c>
      <c r="AE774" s="13" t="str">
        <f aca="false">IF(AND($J774=1,$M774=0),IF(S774="",0,S774*R774)+IF(V774="",0,V774*U774)+IF(Y774="",0,Y774*X774),"")</f>
        <v/>
      </c>
      <c r="AF774" s="12" t="str">
        <f aca="false">IF(AND($J774=1,$M774=0),MIN((AC774-E774)/Span_P,(AD774-F774)/Span_S,(AE774-G774)/Span_B),"")</f>
        <v/>
      </c>
      <c r="AG774" s="15" t="str">
        <f aca="false">IF(AND($J774=1,$M774=0),IF(AF774&gt;0.0000001,1,0),"")</f>
        <v/>
      </c>
      <c r="AH774" s="15" t="n">
        <f aca="false">IF($J774=1,IF($M774=1,AB774,AG774),"")</f>
        <v>1</v>
      </c>
      <c r="AI774" s="13" t="n">
        <f aca="false">IF($J774=1,(Ideal_P-E774)/Span_P,"")</f>
        <v>0.57763384283259</v>
      </c>
      <c r="AJ774" s="13" t="n">
        <f aca="false">IF($J774=1,(Ideal_S-F774)/Span_S,"")</f>
        <v>0.032258064516129</v>
      </c>
      <c r="AK774" s="13" t="n">
        <f aca="false">IF($J774=1,(Ideal_B-G774)/Span_B,"")</f>
        <v>0.913333333333333</v>
      </c>
      <c r="AL774" s="12" t="n">
        <f aca="false">IF($J774=1,MAX(ChA_1*AI774,ChA_2*AJ774,ChA_3*AK774)+Rho*(ChA_1*AI774+ChA_2*AJ774+ChA_3*AK774),"")</f>
        <v>0.913485655857402</v>
      </c>
      <c r="AM774" s="12" t="n">
        <f aca="false">IF($J774=1,MAX(ChB_1*AI774,ChB_2*AJ774,ChB_3*AK774)+Rho*(ChB_1*AI774+ChB_2*AJ774+ChB_3*AK774),"")</f>
        <v>1.15547777157353</v>
      </c>
      <c r="AN774" s="12" t="n">
        <f aca="false">IF($J774=1,MAX(Cx_1*(Ref_P-E774)/Span_P,Cx_2*(Ref_S-F774)/Span_S,Cx_3*(Ref_B-G774)/Span_B),"")</f>
        <v>2.32773109243698</v>
      </c>
    </row>
    <row r="775" customFormat="false" ht="15" hidden="false" customHeight="false" outlineLevel="0" collapsed="false">
      <c r="A775" s="2" t="n">
        <v>769</v>
      </c>
      <c r="B775" s="15" t="n">
        <f aca="false">INT(A775/151)</f>
        <v>5</v>
      </c>
      <c r="C775" s="15" t="n">
        <f aca="false">MOD(A775,151)</f>
        <v>14</v>
      </c>
      <c r="D775" s="15" t="n">
        <f aca="false">INDEX(Grid!$J$6:$P$156,C775+1,B775+1)</f>
        <v>1</v>
      </c>
      <c r="E775" s="16" t="n">
        <f aca="false">IF(D775=1,INDEX(Grid!$B$6:$H$156,C775+1,B775+1),"")</f>
        <v>174.094321335816</v>
      </c>
      <c r="F775" s="13" t="n">
        <f aca="false">Val_pt*(Ceiling_e-E_zero)*(1-(1-Half_gap)^B775)</f>
        <v>135.625</v>
      </c>
      <c r="G775" s="15" t="n">
        <f aca="false">C775</f>
        <v>14</v>
      </c>
      <c r="H775" s="15" t="n">
        <f aca="false">IF(D775=1,INDEX(Grid!$R$6:$X$156,C775+1,B775+1),"")</f>
        <v>59</v>
      </c>
      <c r="I775" s="2" t="str">
        <f aca="false">IF(D775=1,INDEX(Sch_label,H775+1),"")</f>
        <v>1–3, 5, 6</v>
      </c>
      <c r="J775" s="15" t="n">
        <f aca="false">IF(D775=1,INDEX(Grid!$Z$6:$AF$156,C775+1,B775+1),0)</f>
        <v>1</v>
      </c>
      <c r="K775" s="16" t="n">
        <f aca="false">IF(J775=1,E775,0)</f>
        <v>174.094321335816</v>
      </c>
      <c r="L775" s="17" t="n">
        <f aca="false">IF(D775=1,E775+W_board*F775,"")</f>
        <v>939.662088971252</v>
      </c>
      <c r="M775" s="24" t="n">
        <v>1</v>
      </c>
      <c r="N775" s="25" t="n">
        <v>0.121286736192899</v>
      </c>
      <c r="O775" s="25" t="n">
        <v>0.833039660615902</v>
      </c>
      <c r="P775" s="25" t="n">
        <v>0.0456736031911996</v>
      </c>
      <c r="Z775" s="12" t="n">
        <f aca="false">IF(AND($J775=1,$M775=1),N775*E775/Span_P+O775*F775/Span_S+P775*G775/Span_B,"")</f>
        <v>1.72865330050023</v>
      </c>
      <c r="AA775" s="12" t="n">
        <f aca="false">IF(AND($J775=1,$M775=1),SUMPRODUCT(MAX($J$6:$J$1062*(N775*$K$6:$K$1062/Span_P+O775*$F$6:$F$1062/Span_S+P775*$G$6:$G$1062/Span_B)-(1-$J$6:$J$1062)*1000000000)),"")</f>
        <v>1.72865330050023</v>
      </c>
      <c r="AB775" s="15" t="n">
        <f aca="false">IF(AND($J775=1,$M775=1),IF(AA775-Z775&lt;=0.000000001,1,0),"")</f>
        <v>1</v>
      </c>
      <c r="AC775" s="13" t="str">
        <f aca="false">IF(AND($J775=1,$M775=0),IF(S775="",0,S775*INDEX(Grid!$B$6:$H$156,R775+1,Q775+1))+IF(V775="",0,V775*INDEX(Grid!$B$6:$H$156,U775+1,T775+1))+IF(Y775="",0,Y775*INDEX(Grid!$B$6:$H$156,X775+1,W775+1)),"")</f>
        <v/>
      </c>
      <c r="AD775" s="13" t="str">
        <f aca="false">IF(AND($J775=1,$M775=0),IF(S775="",0,S775*Val_pt*(Ceiling_e-E_zero)*(1-(1-Half_gap)^Q775))+IF(V775="",0,V775*Val_pt*(Ceiling_e-E_zero)*(1-(1-Half_gap)^T775))+IF(Y775="",0,Y775*Val_pt*(Ceiling_e-E_zero)*(1-(1-Half_gap)^W775)),"")</f>
        <v/>
      </c>
      <c r="AE775" s="13" t="str">
        <f aca="false">IF(AND($J775=1,$M775=0),IF(S775="",0,S775*R775)+IF(V775="",0,V775*U775)+IF(Y775="",0,Y775*X775),"")</f>
        <v/>
      </c>
      <c r="AF775" s="12" t="str">
        <f aca="false">IF(AND($J775=1,$M775=0),MIN((AC775-E775)/Span_P,(AD775-F775)/Span_S,(AE775-G775)/Span_B),"")</f>
        <v/>
      </c>
      <c r="AG775" s="15" t="str">
        <f aca="false">IF(AND($J775=1,$M775=0),IF(AF775&gt;0.0000001,1,0),"")</f>
        <v/>
      </c>
      <c r="AH775" s="15" t="n">
        <f aca="false">IF($J775=1,IF($M775=1,AB775,AG775),"")</f>
        <v>1</v>
      </c>
      <c r="AI775" s="13" t="n">
        <f aca="false">IF($J775=1,(Ideal_P-E775)/Span_P,"")</f>
        <v>0.580144345608896</v>
      </c>
      <c r="AJ775" s="13" t="n">
        <f aca="false">IF($J775=1,(Ideal_S-F775)/Span_S,"")</f>
        <v>0.032258064516129</v>
      </c>
      <c r="AK775" s="13" t="n">
        <f aca="false">IF($J775=1,(Ideal_B-G775)/Span_B,"")</f>
        <v>0.906666666666667</v>
      </c>
      <c r="AL775" s="12" t="n">
        <f aca="false">IF($J775=1,MAX(ChA_1*AI775,ChA_2*AJ775,ChA_3*AK775)+Rho*(ChA_1*AI775+ChA_2*AJ775+ChA_3*AK775),"")</f>
        <v>0.906818573574346</v>
      </c>
      <c r="AM775" s="12" t="n">
        <f aca="false">IF($J775=1,MAX(ChB_1*AI775,ChB_2*AJ775,ChB_3*AK775)+Rho*(ChB_1*AI775+ChB_2*AJ775+ChB_3*AK775),"")</f>
        <v>1.16049861256003</v>
      </c>
      <c r="AN775" s="12" t="n">
        <f aca="false">IF($J775=1,MAX(Cx_1*(Ref_P-E775)/Span_P,Cx_2*(Ref_S-F775)/Span_S,Cx_3*(Ref_B-G775)/Span_B),"")</f>
        <v>2.3109243697479</v>
      </c>
    </row>
    <row r="776" customFormat="false" ht="15" hidden="false" customHeight="false" outlineLevel="0" collapsed="false">
      <c r="A776" s="2" t="n">
        <v>770</v>
      </c>
      <c r="B776" s="15" t="n">
        <f aca="false">INT(A776/151)</f>
        <v>5</v>
      </c>
      <c r="C776" s="15" t="n">
        <f aca="false">MOD(A776,151)</f>
        <v>15</v>
      </c>
      <c r="D776" s="15" t="n">
        <f aca="false">INDEX(Grid!$J$6:$P$156,C776+1,B776+1)</f>
        <v>1</v>
      </c>
      <c r="E776" s="16" t="n">
        <f aca="false">IF(D776=1,INDEX(Grid!$B$6:$H$156,C776+1,B776+1),"")</f>
        <v>173.185230426725</v>
      </c>
      <c r="F776" s="13" t="n">
        <f aca="false">Val_pt*(Ceiling_e-E_zero)*(1-(1-Half_gap)^B776)</f>
        <v>135.625</v>
      </c>
      <c r="G776" s="15" t="n">
        <f aca="false">C776</f>
        <v>15</v>
      </c>
      <c r="H776" s="15" t="n">
        <f aca="false">IF(D776=1,INDEX(Grid!$R$6:$X$156,C776+1,B776+1),"")</f>
        <v>59</v>
      </c>
      <c r="I776" s="2" t="str">
        <f aca="false">IF(D776=1,INDEX(Sch_label,H776+1),"")</f>
        <v>1–3, 5, 6</v>
      </c>
      <c r="J776" s="15" t="n">
        <f aca="false">IF(D776=1,INDEX(Grid!$Z$6:$AF$156,C776+1,B776+1),0)</f>
        <v>1</v>
      </c>
      <c r="K776" s="16" t="n">
        <f aca="false">IF(J776=1,E776,0)</f>
        <v>173.185230426725</v>
      </c>
      <c r="L776" s="17" t="n">
        <f aca="false">IF(D776=1,E776+W_board*F776,"")</f>
        <v>938.752998062161</v>
      </c>
      <c r="M776" s="24" t="n">
        <v>1</v>
      </c>
      <c r="N776" s="25" t="n">
        <v>0.1212867361929</v>
      </c>
      <c r="O776" s="25" t="n">
        <v>0.833039660615898</v>
      </c>
      <c r="P776" s="25" t="n">
        <v>0.0456736031912012</v>
      </c>
      <c r="Z776" s="12" t="n">
        <f aca="false">IF(AND($J776=1,$M776=1),N776*E776/Span_P+O776*F776/Span_S+P776*G776/Span_B,"")</f>
        <v>1.72865330050022</v>
      </c>
      <c r="AA776" s="12" t="n">
        <f aca="false">IF(AND($J776=1,$M776=1),SUMPRODUCT(MAX($J$6:$J$1062*(N776*$K$6:$K$1062/Span_P+O776*$F$6:$F$1062/Span_S+P776*$G$6:$G$1062/Span_B)-(1-$J$6:$J$1062)*1000000000)),"")</f>
        <v>1.72865330050022</v>
      </c>
      <c r="AB776" s="15" t="n">
        <f aca="false">IF(AND($J776=1,$M776=1),IF(AA776-Z776&lt;=0.000000001,1,0),"")</f>
        <v>1</v>
      </c>
      <c r="AC776" s="13" t="str">
        <f aca="false">IF(AND($J776=1,$M776=0),IF(S776="",0,S776*INDEX(Grid!$B$6:$H$156,R776+1,Q776+1))+IF(V776="",0,V776*INDEX(Grid!$B$6:$H$156,U776+1,T776+1))+IF(Y776="",0,Y776*INDEX(Grid!$B$6:$H$156,X776+1,W776+1)),"")</f>
        <v/>
      </c>
      <c r="AD776" s="13" t="str">
        <f aca="false">IF(AND($J776=1,$M776=0),IF(S776="",0,S776*Val_pt*(Ceiling_e-E_zero)*(1-(1-Half_gap)^Q776))+IF(V776="",0,V776*Val_pt*(Ceiling_e-E_zero)*(1-(1-Half_gap)^T776))+IF(Y776="",0,Y776*Val_pt*(Ceiling_e-E_zero)*(1-(1-Half_gap)^W776)),"")</f>
        <v/>
      </c>
      <c r="AE776" s="13" t="str">
        <f aca="false">IF(AND($J776=1,$M776=0),IF(S776="",0,S776*R776)+IF(V776="",0,V776*U776)+IF(Y776="",0,Y776*X776),"")</f>
        <v/>
      </c>
      <c r="AF776" s="12" t="str">
        <f aca="false">IF(AND($J776=1,$M776=0),MIN((AC776-E776)/Span_P,(AD776-F776)/Span_S,(AE776-G776)/Span_B),"")</f>
        <v/>
      </c>
      <c r="AG776" s="15" t="str">
        <f aca="false">IF(AND($J776=1,$M776=0),IF(AF776&gt;0.0000001,1,0),"")</f>
        <v/>
      </c>
      <c r="AH776" s="15" t="n">
        <f aca="false">IF($J776=1,IF($M776=1,AB776,AG776),"")</f>
        <v>1</v>
      </c>
      <c r="AI776" s="13" t="n">
        <f aca="false">IF($J776=1,(Ideal_P-E776)/Span_P,"")</f>
        <v>0.582654848385202</v>
      </c>
      <c r="AJ776" s="13" t="n">
        <f aca="false">IF($J776=1,(Ideal_S-F776)/Span_S,"")</f>
        <v>0.032258064516129</v>
      </c>
      <c r="AK776" s="13" t="n">
        <f aca="false">IF($J776=1,(Ideal_B-G776)/Span_B,"")</f>
        <v>0.9</v>
      </c>
      <c r="AL776" s="12" t="n">
        <f aca="false">IF($J776=1,MAX(ChA_1*AI776,ChA_2*AJ776,ChA_3*AK776)+Rho*(ChA_1*AI776+ChA_2*AJ776+ChA_3*AK776),"")</f>
        <v>0.90015149129129</v>
      </c>
      <c r="AM776" s="12" t="n">
        <f aca="false">IF($J776=1,MAX(ChB_1*AI776,ChB_2*AJ776,ChB_3*AK776)+Rho*(ChB_1*AI776+ChB_2*AJ776+ChB_3*AK776),"")</f>
        <v>1.16551945354653</v>
      </c>
      <c r="AN776" s="12" t="n">
        <f aca="false">IF($J776=1,MAX(Cx_1*(Ref_P-E776)/Span_P,Cx_2*(Ref_S-F776)/Span_S,Cx_3*(Ref_B-G776)/Span_B),"")</f>
        <v>2.29411764705882</v>
      </c>
    </row>
    <row r="777" customFormat="false" ht="15" hidden="false" customHeight="false" outlineLevel="0" collapsed="false">
      <c r="A777" s="2" t="n">
        <v>771</v>
      </c>
      <c r="B777" s="15" t="n">
        <f aca="false">INT(A777/151)</f>
        <v>5</v>
      </c>
      <c r="C777" s="15" t="n">
        <f aca="false">MOD(A777,151)</f>
        <v>16</v>
      </c>
      <c r="D777" s="15" t="n">
        <f aca="false">INDEX(Grid!$J$6:$P$156,C777+1,B777+1)</f>
        <v>1</v>
      </c>
      <c r="E777" s="16" t="n">
        <f aca="false">IF(D777=1,INDEX(Grid!$B$6:$H$156,C777+1,B777+1),"")</f>
        <v>172.276139517634</v>
      </c>
      <c r="F777" s="13" t="n">
        <f aca="false">Val_pt*(Ceiling_e-E_zero)*(1-(1-Half_gap)^B777)</f>
        <v>135.625</v>
      </c>
      <c r="G777" s="15" t="n">
        <f aca="false">C777</f>
        <v>16</v>
      </c>
      <c r="H777" s="15" t="n">
        <f aca="false">IF(D777=1,INDEX(Grid!$R$6:$X$156,C777+1,B777+1),"")</f>
        <v>59</v>
      </c>
      <c r="I777" s="2" t="str">
        <f aca="false">IF(D777=1,INDEX(Sch_label,H777+1),"")</f>
        <v>1–3, 5, 6</v>
      </c>
      <c r="J777" s="15" t="n">
        <f aca="false">IF(D777=1,INDEX(Grid!$Z$6:$AF$156,C777+1,B777+1),0)</f>
        <v>1</v>
      </c>
      <c r="K777" s="16" t="n">
        <f aca="false">IF(J777=1,E777,0)</f>
        <v>172.276139517634</v>
      </c>
      <c r="L777" s="17" t="n">
        <f aca="false">IF(D777=1,E777+W_board*F777,"")</f>
        <v>937.84390715307</v>
      </c>
      <c r="M777" s="24" t="n">
        <v>1</v>
      </c>
      <c r="N777" s="25" t="n">
        <v>0.121286736192904</v>
      </c>
      <c r="O777" s="25" t="n">
        <v>0.833039660615891</v>
      </c>
      <c r="P777" s="25" t="n">
        <v>0.0456736031912046</v>
      </c>
      <c r="Z777" s="12" t="n">
        <f aca="false">IF(AND($J777=1,$M777=1),N777*E777/Span_P+O777*F777/Span_S+P777*G777/Span_B,"")</f>
        <v>1.72865330050021</v>
      </c>
      <c r="AA777" s="12" t="n">
        <f aca="false">IF(AND($J777=1,$M777=1),SUMPRODUCT(MAX($J$6:$J$1062*(N777*$K$6:$K$1062/Span_P+O777*$F$6:$F$1062/Span_S+P777*$G$6:$G$1062/Span_B)-(1-$J$6:$J$1062)*1000000000)),"")</f>
        <v>1.72865330050021</v>
      </c>
      <c r="AB777" s="15" t="n">
        <f aca="false">IF(AND($J777=1,$M777=1),IF(AA777-Z777&lt;=0.000000001,1,0),"")</f>
        <v>1</v>
      </c>
      <c r="AC777" s="13" t="str">
        <f aca="false">IF(AND($J777=1,$M777=0),IF(S777="",0,S777*INDEX(Grid!$B$6:$H$156,R777+1,Q777+1))+IF(V777="",0,V777*INDEX(Grid!$B$6:$H$156,U777+1,T777+1))+IF(Y777="",0,Y777*INDEX(Grid!$B$6:$H$156,X777+1,W777+1)),"")</f>
        <v/>
      </c>
      <c r="AD777" s="13" t="str">
        <f aca="false">IF(AND($J777=1,$M777=0),IF(S777="",0,S777*Val_pt*(Ceiling_e-E_zero)*(1-(1-Half_gap)^Q777))+IF(V777="",0,V777*Val_pt*(Ceiling_e-E_zero)*(1-(1-Half_gap)^T777))+IF(Y777="",0,Y777*Val_pt*(Ceiling_e-E_zero)*(1-(1-Half_gap)^W777)),"")</f>
        <v/>
      </c>
      <c r="AE777" s="13" t="str">
        <f aca="false">IF(AND($J777=1,$M777=0),IF(S777="",0,S777*R777)+IF(V777="",0,V777*U777)+IF(Y777="",0,Y777*X777),"")</f>
        <v/>
      </c>
      <c r="AF777" s="12" t="str">
        <f aca="false">IF(AND($J777=1,$M777=0),MIN((AC777-E777)/Span_P,(AD777-F777)/Span_S,(AE777-G777)/Span_B),"")</f>
        <v/>
      </c>
      <c r="AG777" s="15" t="str">
        <f aca="false">IF(AND($J777=1,$M777=0),IF(AF777&gt;0.0000001,1,0),"")</f>
        <v/>
      </c>
      <c r="AH777" s="15" t="n">
        <f aca="false">IF($J777=1,IF($M777=1,AB777,AG777),"")</f>
        <v>1</v>
      </c>
      <c r="AI777" s="13" t="n">
        <f aca="false">IF($J777=1,(Ideal_P-E777)/Span_P,"")</f>
        <v>0.585165351161508</v>
      </c>
      <c r="AJ777" s="13" t="n">
        <f aca="false">IF($J777=1,(Ideal_S-F777)/Span_S,"")</f>
        <v>0.032258064516129</v>
      </c>
      <c r="AK777" s="13" t="n">
        <f aca="false">IF($J777=1,(Ideal_B-G777)/Span_B,"")</f>
        <v>0.893333333333333</v>
      </c>
      <c r="AL777" s="12" t="n">
        <f aca="false">IF($J777=1,MAX(ChA_1*AI777,ChA_2*AJ777,ChA_3*AK777)+Rho*(ChA_1*AI777+ChA_2*AJ777+ChA_3*AK777),"")</f>
        <v>0.893484409008234</v>
      </c>
      <c r="AM777" s="12" t="n">
        <f aca="false">IF($J777=1,MAX(ChB_1*AI777,ChB_2*AJ777,ChB_3*AK777)+Rho*(ChB_1*AI777+ChB_2*AJ777+ChB_3*AK777),"")</f>
        <v>1.17054029453303</v>
      </c>
      <c r="AN777" s="12" t="n">
        <f aca="false">IF($J777=1,MAX(Cx_1*(Ref_P-E777)/Span_P,Cx_2*(Ref_S-F777)/Span_S,Cx_3*(Ref_B-G777)/Span_B),"")</f>
        <v>2.27731092436975</v>
      </c>
    </row>
    <row r="778" customFormat="false" ht="15" hidden="false" customHeight="false" outlineLevel="0" collapsed="false">
      <c r="A778" s="2" t="n">
        <v>772</v>
      </c>
      <c r="B778" s="15" t="n">
        <f aca="false">INT(A778/151)</f>
        <v>5</v>
      </c>
      <c r="C778" s="15" t="n">
        <f aca="false">MOD(A778,151)</f>
        <v>17</v>
      </c>
      <c r="D778" s="15" t="n">
        <f aca="false">INDEX(Grid!$J$6:$P$156,C778+1,B778+1)</f>
        <v>1</v>
      </c>
      <c r="E778" s="16" t="n">
        <f aca="false">IF(D778=1,INDEX(Grid!$B$6:$H$156,C778+1,B778+1),"")</f>
        <v>171.367048608544</v>
      </c>
      <c r="F778" s="13" t="n">
        <f aca="false">Val_pt*(Ceiling_e-E_zero)*(1-(1-Half_gap)^B778)</f>
        <v>135.625</v>
      </c>
      <c r="G778" s="15" t="n">
        <f aca="false">C778</f>
        <v>17</v>
      </c>
      <c r="H778" s="15" t="n">
        <f aca="false">IF(D778=1,INDEX(Grid!$R$6:$X$156,C778+1,B778+1),"")</f>
        <v>59</v>
      </c>
      <c r="I778" s="2" t="str">
        <f aca="false">IF(D778=1,INDEX(Sch_label,H778+1),"")</f>
        <v>1–3, 5, 6</v>
      </c>
      <c r="J778" s="15" t="n">
        <f aca="false">IF(D778=1,INDEX(Grid!$Z$6:$AF$156,C778+1,B778+1),0)</f>
        <v>1</v>
      </c>
      <c r="K778" s="16" t="n">
        <f aca="false">IF(J778=1,E778,0)</f>
        <v>171.367048608544</v>
      </c>
      <c r="L778" s="17" t="n">
        <f aca="false">IF(D778=1,E778+W_board*F778,"")</f>
        <v>936.934816243979</v>
      </c>
      <c r="M778" s="24" t="n">
        <v>1</v>
      </c>
      <c r="N778" s="25" t="n">
        <v>0.121286736192897</v>
      </c>
      <c r="O778" s="25" t="n">
        <v>0.833039660615905</v>
      </c>
      <c r="P778" s="25" t="n">
        <v>0.045673603191198</v>
      </c>
      <c r="Z778" s="12" t="n">
        <f aca="false">IF(AND($J778=1,$M778=1),N778*E778/Span_P+O778*F778/Span_S+P778*G778/Span_B,"")</f>
        <v>1.72865330050023</v>
      </c>
      <c r="AA778" s="12" t="n">
        <f aca="false">IF(AND($J778=1,$M778=1),SUMPRODUCT(MAX($J$6:$J$1062*(N778*$K$6:$K$1062/Span_P+O778*$F$6:$F$1062/Span_S+P778*$G$6:$G$1062/Span_B)-(1-$J$6:$J$1062)*1000000000)),"")</f>
        <v>1.72865330050023</v>
      </c>
      <c r="AB778" s="15" t="n">
        <f aca="false">IF(AND($J778=1,$M778=1),IF(AA778-Z778&lt;=0.000000001,1,0),"")</f>
        <v>1</v>
      </c>
      <c r="AC778" s="13" t="str">
        <f aca="false">IF(AND($J778=1,$M778=0),IF(S778="",0,S778*INDEX(Grid!$B$6:$H$156,R778+1,Q778+1))+IF(V778="",0,V778*INDEX(Grid!$B$6:$H$156,U778+1,T778+1))+IF(Y778="",0,Y778*INDEX(Grid!$B$6:$H$156,X778+1,W778+1)),"")</f>
        <v/>
      </c>
      <c r="AD778" s="13" t="str">
        <f aca="false">IF(AND($J778=1,$M778=0),IF(S778="",0,S778*Val_pt*(Ceiling_e-E_zero)*(1-(1-Half_gap)^Q778))+IF(V778="",0,V778*Val_pt*(Ceiling_e-E_zero)*(1-(1-Half_gap)^T778))+IF(Y778="",0,Y778*Val_pt*(Ceiling_e-E_zero)*(1-(1-Half_gap)^W778)),"")</f>
        <v/>
      </c>
      <c r="AE778" s="13" t="str">
        <f aca="false">IF(AND($J778=1,$M778=0),IF(S778="",0,S778*R778)+IF(V778="",0,V778*U778)+IF(Y778="",0,Y778*X778),"")</f>
        <v/>
      </c>
      <c r="AF778" s="12" t="str">
        <f aca="false">IF(AND($J778=1,$M778=0),MIN((AC778-E778)/Span_P,(AD778-F778)/Span_S,(AE778-G778)/Span_B),"")</f>
        <v/>
      </c>
      <c r="AG778" s="15" t="str">
        <f aca="false">IF(AND($J778=1,$M778=0),IF(AF778&gt;0.0000001,1,0),"")</f>
        <v/>
      </c>
      <c r="AH778" s="15" t="n">
        <f aca="false">IF($J778=1,IF($M778=1,AB778,AG778),"")</f>
        <v>1</v>
      </c>
      <c r="AI778" s="13" t="n">
        <f aca="false">IF($J778=1,(Ideal_P-E778)/Span_P,"")</f>
        <v>0.587675853937813</v>
      </c>
      <c r="AJ778" s="13" t="n">
        <f aca="false">IF($J778=1,(Ideal_S-F778)/Span_S,"")</f>
        <v>0.032258064516129</v>
      </c>
      <c r="AK778" s="13" t="n">
        <f aca="false">IF($J778=1,(Ideal_B-G778)/Span_B,"")</f>
        <v>0.886666666666667</v>
      </c>
      <c r="AL778" s="12" t="n">
        <f aca="false">IF($J778=1,MAX(ChA_1*AI778,ChA_2*AJ778,ChA_3*AK778)+Rho*(ChA_1*AI778+ChA_2*AJ778+ChA_3*AK778),"")</f>
        <v>0.886817326725179</v>
      </c>
      <c r="AM778" s="12" t="n">
        <f aca="false">IF($J778=1,MAX(ChB_1*AI778,ChB_2*AJ778,ChB_3*AK778)+Rho*(ChB_1*AI778+ChB_2*AJ778+ChB_3*AK778),"")</f>
        <v>1.17556113551953</v>
      </c>
      <c r="AN778" s="12" t="n">
        <f aca="false">IF($J778=1,MAX(Cx_1*(Ref_P-E778)/Span_P,Cx_2*(Ref_S-F778)/Span_S,Cx_3*(Ref_B-G778)/Span_B),"")</f>
        <v>2.26050420168067</v>
      </c>
    </row>
    <row r="779" customFormat="false" ht="15" hidden="false" customHeight="false" outlineLevel="0" collapsed="false">
      <c r="A779" s="2" t="n">
        <v>773</v>
      </c>
      <c r="B779" s="15" t="n">
        <f aca="false">INT(A779/151)</f>
        <v>5</v>
      </c>
      <c r="C779" s="15" t="n">
        <f aca="false">MOD(A779,151)</f>
        <v>18</v>
      </c>
      <c r="D779" s="15" t="n">
        <f aca="false">INDEX(Grid!$J$6:$P$156,C779+1,B779+1)</f>
        <v>1</v>
      </c>
      <c r="E779" s="16" t="n">
        <f aca="false">IF(D779=1,INDEX(Grid!$B$6:$H$156,C779+1,B779+1),"")</f>
        <v>170.457957699453</v>
      </c>
      <c r="F779" s="13" t="n">
        <f aca="false">Val_pt*(Ceiling_e-E_zero)*(1-(1-Half_gap)^B779)</f>
        <v>135.625</v>
      </c>
      <c r="G779" s="15" t="n">
        <f aca="false">C779</f>
        <v>18</v>
      </c>
      <c r="H779" s="15" t="n">
        <f aca="false">IF(D779=1,INDEX(Grid!$R$6:$X$156,C779+1,B779+1),"")</f>
        <v>59</v>
      </c>
      <c r="I779" s="2" t="str">
        <f aca="false">IF(D779=1,INDEX(Sch_label,H779+1),"")</f>
        <v>1–3, 5, 6</v>
      </c>
      <c r="J779" s="15" t="n">
        <f aca="false">IF(D779=1,INDEX(Grid!$Z$6:$AF$156,C779+1,B779+1),0)</f>
        <v>1</v>
      </c>
      <c r="K779" s="16" t="n">
        <f aca="false">IF(J779=1,E779,0)</f>
        <v>170.457957699453</v>
      </c>
      <c r="L779" s="17" t="n">
        <f aca="false">IF(D779=1,E779+W_board*F779,"")</f>
        <v>936.025725334888</v>
      </c>
      <c r="M779" s="24" t="n">
        <v>1</v>
      </c>
      <c r="N779" s="25" t="n">
        <v>0.121286736192903</v>
      </c>
      <c r="O779" s="25" t="n">
        <v>0.833039660615892</v>
      </c>
      <c r="P779" s="25" t="n">
        <v>0.0456736031912043</v>
      </c>
      <c r="Z779" s="12" t="n">
        <f aca="false">IF(AND($J779=1,$M779=1),N779*E779/Span_P+O779*F779/Span_S+P779*G779/Span_B,"")</f>
        <v>1.72865330050021</v>
      </c>
      <c r="AA779" s="12" t="n">
        <f aca="false">IF(AND($J779=1,$M779=1),SUMPRODUCT(MAX($J$6:$J$1062*(N779*$K$6:$K$1062/Span_P+O779*$F$6:$F$1062/Span_S+P779*$G$6:$G$1062/Span_B)-(1-$J$6:$J$1062)*1000000000)),"")</f>
        <v>1.72865330050021</v>
      </c>
      <c r="AB779" s="15" t="n">
        <f aca="false">IF(AND($J779=1,$M779=1),IF(AA779-Z779&lt;=0.000000001,1,0),"")</f>
        <v>1</v>
      </c>
      <c r="AC779" s="13" t="str">
        <f aca="false">IF(AND($J779=1,$M779=0),IF(S779="",0,S779*INDEX(Grid!$B$6:$H$156,R779+1,Q779+1))+IF(V779="",0,V779*INDEX(Grid!$B$6:$H$156,U779+1,T779+1))+IF(Y779="",0,Y779*INDEX(Grid!$B$6:$H$156,X779+1,W779+1)),"")</f>
        <v/>
      </c>
      <c r="AD779" s="13" t="str">
        <f aca="false">IF(AND($J779=1,$M779=0),IF(S779="",0,S779*Val_pt*(Ceiling_e-E_zero)*(1-(1-Half_gap)^Q779))+IF(V779="",0,V779*Val_pt*(Ceiling_e-E_zero)*(1-(1-Half_gap)^T779))+IF(Y779="",0,Y779*Val_pt*(Ceiling_e-E_zero)*(1-(1-Half_gap)^W779)),"")</f>
        <v/>
      </c>
      <c r="AE779" s="13" t="str">
        <f aca="false">IF(AND($J779=1,$M779=0),IF(S779="",0,S779*R779)+IF(V779="",0,V779*U779)+IF(Y779="",0,Y779*X779),"")</f>
        <v/>
      </c>
      <c r="AF779" s="12" t="str">
        <f aca="false">IF(AND($J779=1,$M779=0),MIN((AC779-E779)/Span_P,(AD779-F779)/Span_S,(AE779-G779)/Span_B),"")</f>
        <v/>
      </c>
      <c r="AG779" s="15" t="str">
        <f aca="false">IF(AND($J779=1,$M779=0),IF(AF779&gt;0.0000001,1,0),"")</f>
        <v/>
      </c>
      <c r="AH779" s="15" t="n">
        <f aca="false">IF($J779=1,IF($M779=1,AB779,AG779),"")</f>
        <v>1</v>
      </c>
      <c r="AI779" s="13" t="n">
        <f aca="false">IF($J779=1,(Ideal_P-E779)/Span_P,"")</f>
        <v>0.590186356714119</v>
      </c>
      <c r="AJ779" s="13" t="n">
        <f aca="false">IF($J779=1,(Ideal_S-F779)/Span_S,"")</f>
        <v>0.032258064516129</v>
      </c>
      <c r="AK779" s="13" t="n">
        <f aca="false">IF($J779=1,(Ideal_B-G779)/Span_B,"")</f>
        <v>0.88</v>
      </c>
      <c r="AL779" s="12" t="n">
        <f aca="false">IF($J779=1,MAX(ChA_1*AI779,ChA_2*AJ779,ChA_3*AK779)+Rho*(ChA_1*AI779+ChA_2*AJ779+ChA_3*AK779),"")</f>
        <v>0.880150244442123</v>
      </c>
      <c r="AM779" s="12" t="n">
        <f aca="false">IF($J779=1,MAX(ChB_1*AI779,ChB_2*AJ779,ChB_3*AK779)+Rho*(ChB_1*AI779+ChB_2*AJ779+ChB_3*AK779),"")</f>
        <v>1.18058197650603</v>
      </c>
      <c r="AN779" s="12" t="n">
        <f aca="false">IF($J779=1,MAX(Cx_1*(Ref_P-E779)/Span_P,Cx_2*(Ref_S-F779)/Span_S,Cx_3*(Ref_B-G779)/Span_B),"")</f>
        <v>2.2436974789916</v>
      </c>
    </row>
    <row r="780" customFormat="false" ht="15" hidden="false" customHeight="false" outlineLevel="0" collapsed="false">
      <c r="A780" s="2" t="n">
        <v>774</v>
      </c>
      <c r="B780" s="15" t="n">
        <f aca="false">INT(A780/151)</f>
        <v>5</v>
      </c>
      <c r="C780" s="15" t="n">
        <f aca="false">MOD(A780,151)</f>
        <v>19</v>
      </c>
      <c r="D780" s="15" t="n">
        <f aca="false">INDEX(Grid!$J$6:$P$156,C780+1,B780+1)</f>
        <v>1</v>
      </c>
      <c r="E780" s="16" t="n">
        <f aca="false">IF(D780=1,INDEX(Grid!$B$6:$H$156,C780+1,B780+1),"")</f>
        <v>169.548866790362</v>
      </c>
      <c r="F780" s="13" t="n">
        <f aca="false">Val_pt*(Ceiling_e-E_zero)*(1-(1-Half_gap)^B780)</f>
        <v>135.625</v>
      </c>
      <c r="G780" s="15" t="n">
        <f aca="false">C780</f>
        <v>19</v>
      </c>
      <c r="H780" s="15" t="n">
        <f aca="false">IF(D780=1,INDEX(Grid!$R$6:$X$156,C780+1,B780+1),"")</f>
        <v>59</v>
      </c>
      <c r="I780" s="2" t="str">
        <f aca="false">IF(D780=1,INDEX(Sch_label,H780+1),"")</f>
        <v>1–3, 5, 6</v>
      </c>
      <c r="J780" s="15" t="n">
        <f aca="false">IF(D780=1,INDEX(Grid!$Z$6:$AF$156,C780+1,B780+1),0)</f>
        <v>1</v>
      </c>
      <c r="K780" s="16" t="n">
        <f aca="false">IF(J780=1,E780,0)</f>
        <v>169.548866790362</v>
      </c>
      <c r="L780" s="17" t="n">
        <f aca="false">IF(D780=1,E780+W_board*F780,"")</f>
        <v>935.116634425797</v>
      </c>
      <c r="M780" s="24" t="n">
        <v>1</v>
      </c>
      <c r="N780" s="25" t="n">
        <v>0.121286736192901</v>
      </c>
      <c r="O780" s="25" t="n">
        <v>0.833039660615898</v>
      </c>
      <c r="P780" s="25" t="n">
        <v>0.0456736031912014</v>
      </c>
      <c r="Z780" s="12" t="n">
        <f aca="false">IF(AND($J780=1,$M780=1),N780*E780/Span_P+O780*F780/Span_S+P780*G780/Span_B,"")</f>
        <v>1.72865330050022</v>
      </c>
      <c r="AA780" s="12" t="n">
        <f aca="false">IF(AND($J780=1,$M780=1),SUMPRODUCT(MAX($J$6:$J$1062*(N780*$K$6:$K$1062/Span_P+O780*$F$6:$F$1062/Span_S+P780*$G$6:$G$1062/Span_B)-(1-$J$6:$J$1062)*1000000000)),"")</f>
        <v>1.72865330050022</v>
      </c>
      <c r="AB780" s="15" t="n">
        <f aca="false">IF(AND($J780=1,$M780=1),IF(AA780-Z780&lt;=0.000000001,1,0),"")</f>
        <v>1</v>
      </c>
      <c r="AC780" s="13" t="str">
        <f aca="false">IF(AND($J780=1,$M780=0),IF(S780="",0,S780*INDEX(Grid!$B$6:$H$156,R780+1,Q780+1))+IF(V780="",0,V780*INDEX(Grid!$B$6:$H$156,U780+1,T780+1))+IF(Y780="",0,Y780*INDEX(Grid!$B$6:$H$156,X780+1,W780+1)),"")</f>
        <v/>
      </c>
      <c r="AD780" s="13" t="str">
        <f aca="false">IF(AND($J780=1,$M780=0),IF(S780="",0,S780*Val_pt*(Ceiling_e-E_zero)*(1-(1-Half_gap)^Q780))+IF(V780="",0,V780*Val_pt*(Ceiling_e-E_zero)*(1-(1-Half_gap)^T780))+IF(Y780="",0,Y780*Val_pt*(Ceiling_e-E_zero)*(1-(1-Half_gap)^W780)),"")</f>
        <v/>
      </c>
      <c r="AE780" s="13" t="str">
        <f aca="false">IF(AND($J780=1,$M780=0),IF(S780="",0,S780*R780)+IF(V780="",0,V780*U780)+IF(Y780="",0,Y780*X780),"")</f>
        <v/>
      </c>
      <c r="AF780" s="12" t="str">
        <f aca="false">IF(AND($J780=1,$M780=0),MIN((AC780-E780)/Span_P,(AD780-F780)/Span_S,(AE780-G780)/Span_B),"")</f>
        <v/>
      </c>
      <c r="AG780" s="15" t="str">
        <f aca="false">IF(AND($J780=1,$M780=0),IF(AF780&gt;0.0000001,1,0),"")</f>
        <v/>
      </c>
      <c r="AH780" s="15" t="n">
        <f aca="false">IF($J780=1,IF($M780=1,AB780,AG780),"")</f>
        <v>1</v>
      </c>
      <c r="AI780" s="13" t="n">
        <f aca="false">IF($J780=1,(Ideal_P-E780)/Span_P,"")</f>
        <v>0.592696859490425</v>
      </c>
      <c r="AJ780" s="13" t="n">
        <f aca="false">IF($J780=1,(Ideal_S-F780)/Span_S,"")</f>
        <v>0.032258064516129</v>
      </c>
      <c r="AK780" s="13" t="n">
        <f aca="false">IF($J780=1,(Ideal_B-G780)/Span_B,"")</f>
        <v>0.873333333333333</v>
      </c>
      <c r="AL780" s="12" t="n">
        <f aca="false">IF($J780=1,MAX(ChA_1*AI780,ChA_2*AJ780,ChA_3*AK780)+Rho*(ChA_1*AI780+ChA_2*AJ780+ChA_3*AK780),"")</f>
        <v>0.873483162159067</v>
      </c>
      <c r="AM780" s="12" t="n">
        <f aca="false">IF($J780=1,MAX(ChB_1*AI780,ChB_2*AJ780,ChB_3*AK780)+Rho*(ChB_1*AI780+ChB_2*AJ780+ChB_3*AK780),"")</f>
        <v>1.18560281749253</v>
      </c>
      <c r="AN780" s="12" t="n">
        <f aca="false">IF($J780=1,MAX(Cx_1*(Ref_P-E780)/Span_P,Cx_2*(Ref_S-F780)/Span_S,Cx_3*(Ref_B-G780)/Span_B),"")</f>
        <v>2.22689075630252</v>
      </c>
    </row>
    <row r="781" customFormat="false" ht="15" hidden="false" customHeight="false" outlineLevel="0" collapsed="false">
      <c r="A781" s="2" t="n">
        <v>775</v>
      </c>
      <c r="B781" s="15" t="n">
        <f aca="false">INT(A781/151)</f>
        <v>5</v>
      </c>
      <c r="C781" s="15" t="n">
        <f aca="false">MOD(A781,151)</f>
        <v>20</v>
      </c>
      <c r="D781" s="15" t="n">
        <f aca="false">INDEX(Grid!$J$6:$P$156,C781+1,B781+1)</f>
        <v>1</v>
      </c>
      <c r="E781" s="16" t="n">
        <f aca="false">IF(D781=1,INDEX(Grid!$B$6:$H$156,C781+1,B781+1),"")</f>
        <v>168.639775881271</v>
      </c>
      <c r="F781" s="13" t="n">
        <f aca="false">Val_pt*(Ceiling_e-E_zero)*(1-(1-Half_gap)^B781)</f>
        <v>135.625</v>
      </c>
      <c r="G781" s="15" t="n">
        <f aca="false">C781</f>
        <v>20</v>
      </c>
      <c r="H781" s="15" t="n">
        <f aca="false">IF(D781=1,INDEX(Grid!$R$6:$X$156,C781+1,B781+1),"")</f>
        <v>59</v>
      </c>
      <c r="I781" s="2" t="str">
        <f aca="false">IF(D781=1,INDEX(Sch_label,H781+1),"")</f>
        <v>1–3, 5, 6</v>
      </c>
      <c r="J781" s="15" t="n">
        <f aca="false">IF(D781=1,INDEX(Grid!$Z$6:$AF$156,C781+1,B781+1),0)</f>
        <v>1</v>
      </c>
      <c r="K781" s="16" t="n">
        <f aca="false">IF(J781=1,E781,0)</f>
        <v>168.639775881271</v>
      </c>
      <c r="L781" s="17" t="n">
        <f aca="false">IF(D781=1,E781+W_board*F781,"")</f>
        <v>934.207543516706</v>
      </c>
      <c r="M781" s="24" t="n">
        <v>1</v>
      </c>
      <c r="N781" s="25" t="n">
        <v>0.1212867361929</v>
      </c>
      <c r="O781" s="25" t="n">
        <v>0.833039660615899</v>
      </c>
      <c r="P781" s="25" t="n">
        <v>0.0456736031912011</v>
      </c>
      <c r="Z781" s="12" t="n">
        <f aca="false">IF(AND($J781=1,$M781=1),N781*E781/Span_P+O781*F781/Span_S+P781*G781/Span_B,"")</f>
        <v>1.72865330050022</v>
      </c>
      <c r="AA781" s="12" t="n">
        <f aca="false">IF(AND($J781=1,$M781=1),SUMPRODUCT(MAX($J$6:$J$1062*(N781*$K$6:$K$1062/Span_P+O781*$F$6:$F$1062/Span_S+P781*$G$6:$G$1062/Span_B)-(1-$J$6:$J$1062)*1000000000)),"")</f>
        <v>1.72865330050022</v>
      </c>
      <c r="AB781" s="15" t="n">
        <f aca="false">IF(AND($J781=1,$M781=1),IF(AA781-Z781&lt;=0.000000001,1,0),"")</f>
        <v>1</v>
      </c>
      <c r="AC781" s="13" t="str">
        <f aca="false">IF(AND($J781=1,$M781=0),IF(S781="",0,S781*INDEX(Grid!$B$6:$H$156,R781+1,Q781+1))+IF(V781="",0,V781*INDEX(Grid!$B$6:$H$156,U781+1,T781+1))+IF(Y781="",0,Y781*INDEX(Grid!$B$6:$H$156,X781+1,W781+1)),"")</f>
        <v/>
      </c>
      <c r="AD781" s="13" t="str">
        <f aca="false">IF(AND($J781=1,$M781=0),IF(S781="",0,S781*Val_pt*(Ceiling_e-E_zero)*(1-(1-Half_gap)^Q781))+IF(V781="",0,V781*Val_pt*(Ceiling_e-E_zero)*(1-(1-Half_gap)^T781))+IF(Y781="",0,Y781*Val_pt*(Ceiling_e-E_zero)*(1-(1-Half_gap)^W781)),"")</f>
        <v/>
      </c>
      <c r="AE781" s="13" t="str">
        <f aca="false">IF(AND($J781=1,$M781=0),IF(S781="",0,S781*R781)+IF(V781="",0,V781*U781)+IF(Y781="",0,Y781*X781),"")</f>
        <v/>
      </c>
      <c r="AF781" s="12" t="str">
        <f aca="false">IF(AND($J781=1,$M781=0),MIN((AC781-E781)/Span_P,(AD781-F781)/Span_S,(AE781-G781)/Span_B),"")</f>
        <v/>
      </c>
      <c r="AG781" s="15" t="str">
        <f aca="false">IF(AND($J781=1,$M781=0),IF(AF781&gt;0.0000001,1,0),"")</f>
        <v/>
      </c>
      <c r="AH781" s="15" t="n">
        <f aca="false">IF($J781=1,IF($M781=1,AB781,AG781),"")</f>
        <v>1</v>
      </c>
      <c r="AI781" s="13" t="n">
        <f aca="false">IF($J781=1,(Ideal_P-E781)/Span_P,"")</f>
        <v>0.595207362266731</v>
      </c>
      <c r="AJ781" s="13" t="n">
        <f aca="false">IF($J781=1,(Ideal_S-F781)/Span_S,"")</f>
        <v>0.032258064516129</v>
      </c>
      <c r="AK781" s="13" t="n">
        <f aca="false">IF($J781=1,(Ideal_B-G781)/Span_B,"")</f>
        <v>0.866666666666667</v>
      </c>
      <c r="AL781" s="12" t="n">
        <f aca="false">IF($J781=1,MAX(ChA_1*AI781,ChA_2*AJ781,ChA_3*AK781)+Rho*(ChA_1*AI781+ChA_2*AJ781+ChA_3*AK781),"")</f>
        <v>0.866816079876012</v>
      </c>
      <c r="AM781" s="12" t="n">
        <f aca="false">IF($J781=1,MAX(ChB_1*AI781,ChB_2*AJ781,ChB_3*AK781)+Rho*(ChB_1*AI781+ChB_2*AJ781+ChB_3*AK781),"")</f>
        <v>1.19062365847903</v>
      </c>
      <c r="AN781" s="12" t="n">
        <f aca="false">IF($J781=1,MAX(Cx_1*(Ref_P-E781)/Span_P,Cx_2*(Ref_S-F781)/Span_S,Cx_3*(Ref_B-G781)/Span_B),"")</f>
        <v>2.21008403361345</v>
      </c>
    </row>
    <row r="782" customFormat="false" ht="15" hidden="false" customHeight="false" outlineLevel="0" collapsed="false">
      <c r="A782" s="2" t="n">
        <v>776</v>
      </c>
      <c r="B782" s="15" t="n">
        <f aca="false">INT(A782/151)</f>
        <v>5</v>
      </c>
      <c r="C782" s="15" t="n">
        <f aca="false">MOD(A782,151)</f>
        <v>21</v>
      </c>
      <c r="D782" s="15" t="n">
        <f aca="false">INDEX(Grid!$J$6:$P$156,C782+1,B782+1)</f>
        <v>1</v>
      </c>
      <c r="E782" s="16" t="n">
        <f aca="false">IF(D782=1,INDEX(Grid!$B$6:$H$156,C782+1,B782+1),"")</f>
        <v>167.73068497218</v>
      </c>
      <c r="F782" s="13" t="n">
        <f aca="false">Val_pt*(Ceiling_e-E_zero)*(1-(1-Half_gap)^B782)</f>
        <v>135.625</v>
      </c>
      <c r="G782" s="15" t="n">
        <f aca="false">C782</f>
        <v>21</v>
      </c>
      <c r="H782" s="15" t="n">
        <f aca="false">IF(D782=1,INDEX(Grid!$R$6:$X$156,C782+1,B782+1),"")</f>
        <v>59</v>
      </c>
      <c r="I782" s="2" t="str">
        <f aca="false">IF(D782=1,INDEX(Sch_label,H782+1),"")</f>
        <v>1–3, 5, 6</v>
      </c>
      <c r="J782" s="15" t="n">
        <f aca="false">IF(D782=1,INDEX(Grid!$Z$6:$AF$156,C782+1,B782+1),0)</f>
        <v>1</v>
      </c>
      <c r="K782" s="16" t="n">
        <f aca="false">IF(J782=1,E782,0)</f>
        <v>167.73068497218</v>
      </c>
      <c r="L782" s="17" t="n">
        <f aca="false">IF(D782=1,E782+W_board*F782,"")</f>
        <v>933.298452607615</v>
      </c>
      <c r="M782" s="24" t="n">
        <v>1</v>
      </c>
      <c r="N782" s="25" t="n">
        <v>0.121286736192901</v>
      </c>
      <c r="O782" s="25" t="n">
        <v>0.833039660615898</v>
      </c>
      <c r="P782" s="25" t="n">
        <v>0.0456736031912014</v>
      </c>
      <c r="Z782" s="12" t="n">
        <f aca="false">IF(AND($J782=1,$M782=1),N782*E782/Span_P+O782*F782/Span_S+P782*G782/Span_B,"")</f>
        <v>1.72865330050022</v>
      </c>
      <c r="AA782" s="12" t="n">
        <f aca="false">IF(AND($J782=1,$M782=1),SUMPRODUCT(MAX($J$6:$J$1062*(N782*$K$6:$K$1062/Span_P+O782*$F$6:$F$1062/Span_S+P782*$G$6:$G$1062/Span_B)-(1-$J$6:$J$1062)*1000000000)),"")</f>
        <v>1.72865330050022</v>
      </c>
      <c r="AB782" s="15" t="n">
        <f aca="false">IF(AND($J782=1,$M782=1),IF(AA782-Z782&lt;=0.000000001,1,0),"")</f>
        <v>1</v>
      </c>
      <c r="AC782" s="13" t="str">
        <f aca="false">IF(AND($J782=1,$M782=0),IF(S782="",0,S782*INDEX(Grid!$B$6:$H$156,R782+1,Q782+1))+IF(V782="",0,V782*INDEX(Grid!$B$6:$H$156,U782+1,T782+1))+IF(Y782="",0,Y782*INDEX(Grid!$B$6:$H$156,X782+1,W782+1)),"")</f>
        <v/>
      </c>
      <c r="AD782" s="13" t="str">
        <f aca="false">IF(AND($J782=1,$M782=0),IF(S782="",0,S782*Val_pt*(Ceiling_e-E_zero)*(1-(1-Half_gap)^Q782))+IF(V782="",0,V782*Val_pt*(Ceiling_e-E_zero)*(1-(1-Half_gap)^T782))+IF(Y782="",0,Y782*Val_pt*(Ceiling_e-E_zero)*(1-(1-Half_gap)^W782)),"")</f>
        <v/>
      </c>
      <c r="AE782" s="13" t="str">
        <f aca="false">IF(AND($J782=1,$M782=0),IF(S782="",0,S782*R782)+IF(V782="",0,V782*U782)+IF(Y782="",0,Y782*X782),"")</f>
        <v/>
      </c>
      <c r="AF782" s="12" t="str">
        <f aca="false">IF(AND($J782=1,$M782=0),MIN((AC782-E782)/Span_P,(AD782-F782)/Span_S,(AE782-G782)/Span_B),"")</f>
        <v/>
      </c>
      <c r="AG782" s="15" t="str">
        <f aca="false">IF(AND($J782=1,$M782=0),IF(AF782&gt;0.0000001,1,0),"")</f>
        <v/>
      </c>
      <c r="AH782" s="15" t="n">
        <f aca="false">IF($J782=1,IF($M782=1,AB782,AG782),"")</f>
        <v>1</v>
      </c>
      <c r="AI782" s="13" t="n">
        <f aca="false">IF($J782=1,(Ideal_P-E782)/Span_P,"")</f>
        <v>0.597717865043036</v>
      </c>
      <c r="AJ782" s="13" t="n">
        <f aca="false">IF($J782=1,(Ideal_S-F782)/Span_S,"")</f>
        <v>0.032258064516129</v>
      </c>
      <c r="AK782" s="13" t="n">
        <f aca="false">IF($J782=1,(Ideal_B-G782)/Span_B,"")</f>
        <v>0.86</v>
      </c>
      <c r="AL782" s="12" t="n">
        <f aca="false">IF($J782=1,MAX(ChA_1*AI782,ChA_2*AJ782,ChA_3*AK782)+Rho*(ChA_1*AI782+ChA_2*AJ782+ChA_3*AK782),"")</f>
        <v>0.860148997592956</v>
      </c>
      <c r="AM782" s="12" t="n">
        <f aca="false">IF($J782=1,MAX(ChB_1*AI782,ChB_2*AJ782,ChB_3*AK782)+Rho*(ChB_1*AI782+ChB_2*AJ782+ChB_3*AK782),"")</f>
        <v>1.19564449946553</v>
      </c>
      <c r="AN782" s="12" t="n">
        <f aca="false">IF($J782=1,MAX(Cx_1*(Ref_P-E782)/Span_P,Cx_2*(Ref_S-F782)/Span_S,Cx_3*(Ref_B-G782)/Span_B),"")</f>
        <v>2.19327731092437</v>
      </c>
    </row>
    <row r="783" customFormat="false" ht="15" hidden="false" customHeight="false" outlineLevel="0" collapsed="false">
      <c r="A783" s="2" t="n">
        <v>777</v>
      </c>
      <c r="B783" s="15" t="n">
        <f aca="false">INT(A783/151)</f>
        <v>5</v>
      </c>
      <c r="C783" s="15" t="n">
        <f aca="false">MOD(A783,151)</f>
        <v>22</v>
      </c>
      <c r="D783" s="15" t="n">
        <f aca="false">INDEX(Grid!$J$6:$P$156,C783+1,B783+1)</f>
        <v>1</v>
      </c>
      <c r="E783" s="16" t="n">
        <f aca="false">IF(D783=1,INDEX(Grid!$B$6:$H$156,C783+1,B783+1),"")</f>
        <v>166.821594063089</v>
      </c>
      <c r="F783" s="13" t="n">
        <f aca="false">Val_pt*(Ceiling_e-E_zero)*(1-(1-Half_gap)^B783)</f>
        <v>135.625</v>
      </c>
      <c r="G783" s="15" t="n">
        <f aca="false">C783</f>
        <v>22</v>
      </c>
      <c r="H783" s="15" t="n">
        <f aca="false">IF(D783=1,INDEX(Grid!$R$6:$X$156,C783+1,B783+1),"")</f>
        <v>59</v>
      </c>
      <c r="I783" s="2" t="str">
        <f aca="false">IF(D783=1,INDEX(Sch_label,H783+1),"")</f>
        <v>1–3, 5, 6</v>
      </c>
      <c r="J783" s="15" t="n">
        <f aca="false">IF(D783=1,INDEX(Grid!$Z$6:$AF$156,C783+1,B783+1),0)</f>
        <v>1</v>
      </c>
      <c r="K783" s="16" t="n">
        <f aca="false">IF(J783=1,E783,0)</f>
        <v>166.821594063089</v>
      </c>
      <c r="L783" s="17" t="n">
        <f aca="false">IF(D783=1,E783+W_board*F783,"")</f>
        <v>932.389361698525</v>
      </c>
      <c r="M783" s="24" t="n">
        <v>1</v>
      </c>
      <c r="N783" s="25" t="n">
        <v>0.121286736192899</v>
      </c>
      <c r="O783" s="25" t="n">
        <v>0.833039660615901</v>
      </c>
      <c r="P783" s="25" t="n">
        <v>0.0456736031911998</v>
      </c>
      <c r="Z783" s="12" t="n">
        <f aca="false">IF(AND($J783=1,$M783=1),N783*E783/Span_P+O783*F783/Span_S+P783*G783/Span_B,"")</f>
        <v>1.72865330050023</v>
      </c>
      <c r="AA783" s="12" t="n">
        <f aca="false">IF(AND($J783=1,$M783=1),SUMPRODUCT(MAX($J$6:$J$1062*(N783*$K$6:$K$1062/Span_P+O783*$F$6:$F$1062/Span_S+P783*$G$6:$G$1062/Span_B)-(1-$J$6:$J$1062)*1000000000)),"")</f>
        <v>1.72865330050023</v>
      </c>
      <c r="AB783" s="15" t="n">
        <f aca="false">IF(AND($J783=1,$M783=1),IF(AA783-Z783&lt;=0.000000001,1,0),"")</f>
        <v>1</v>
      </c>
      <c r="AC783" s="13" t="str">
        <f aca="false">IF(AND($J783=1,$M783=0),IF(S783="",0,S783*INDEX(Grid!$B$6:$H$156,R783+1,Q783+1))+IF(V783="",0,V783*INDEX(Grid!$B$6:$H$156,U783+1,T783+1))+IF(Y783="",0,Y783*INDEX(Grid!$B$6:$H$156,X783+1,W783+1)),"")</f>
        <v/>
      </c>
      <c r="AD783" s="13" t="str">
        <f aca="false">IF(AND($J783=1,$M783=0),IF(S783="",0,S783*Val_pt*(Ceiling_e-E_zero)*(1-(1-Half_gap)^Q783))+IF(V783="",0,V783*Val_pt*(Ceiling_e-E_zero)*(1-(1-Half_gap)^T783))+IF(Y783="",0,Y783*Val_pt*(Ceiling_e-E_zero)*(1-(1-Half_gap)^W783)),"")</f>
        <v/>
      </c>
      <c r="AE783" s="13" t="str">
        <f aca="false">IF(AND($J783=1,$M783=0),IF(S783="",0,S783*R783)+IF(V783="",0,V783*U783)+IF(Y783="",0,Y783*X783),"")</f>
        <v/>
      </c>
      <c r="AF783" s="12" t="str">
        <f aca="false">IF(AND($J783=1,$M783=0),MIN((AC783-E783)/Span_P,(AD783-F783)/Span_S,(AE783-G783)/Span_B),"")</f>
        <v/>
      </c>
      <c r="AG783" s="15" t="str">
        <f aca="false">IF(AND($J783=1,$M783=0),IF(AF783&gt;0.0000001,1,0),"")</f>
        <v/>
      </c>
      <c r="AH783" s="15" t="n">
        <f aca="false">IF($J783=1,IF($M783=1,AB783,AG783),"")</f>
        <v>1</v>
      </c>
      <c r="AI783" s="13" t="n">
        <f aca="false">IF($J783=1,(Ideal_P-E783)/Span_P,"")</f>
        <v>0.600228367819342</v>
      </c>
      <c r="AJ783" s="13" t="n">
        <f aca="false">IF($J783=1,(Ideal_S-F783)/Span_S,"")</f>
        <v>0.032258064516129</v>
      </c>
      <c r="AK783" s="13" t="n">
        <f aca="false">IF($J783=1,(Ideal_B-G783)/Span_B,"")</f>
        <v>0.853333333333333</v>
      </c>
      <c r="AL783" s="12" t="n">
        <f aca="false">IF($J783=1,MAX(ChA_1*AI783,ChA_2*AJ783,ChA_3*AK783)+Rho*(ChA_1*AI783+ChA_2*AJ783+ChA_3*AK783),"")</f>
        <v>0.8534819153099</v>
      </c>
      <c r="AM783" s="12" t="n">
        <f aca="false">IF($J783=1,MAX(ChB_1*AI783,ChB_2*AJ783,ChB_3*AK783)+Rho*(ChB_1*AI783+ChB_2*AJ783+ChB_3*AK783),"")</f>
        <v>1.20066534045203</v>
      </c>
      <c r="AN783" s="12" t="n">
        <f aca="false">IF($J783=1,MAX(Cx_1*(Ref_P-E783)/Span_P,Cx_2*(Ref_S-F783)/Span_S,Cx_3*(Ref_B-G783)/Span_B),"")</f>
        <v>2.17647058823529</v>
      </c>
    </row>
    <row r="784" customFormat="false" ht="15" hidden="false" customHeight="false" outlineLevel="0" collapsed="false">
      <c r="A784" s="2" t="n">
        <v>778</v>
      </c>
      <c r="B784" s="15" t="n">
        <f aca="false">INT(A784/151)</f>
        <v>5</v>
      </c>
      <c r="C784" s="15" t="n">
        <f aca="false">MOD(A784,151)</f>
        <v>23</v>
      </c>
      <c r="D784" s="15" t="n">
        <f aca="false">INDEX(Grid!$J$6:$P$156,C784+1,B784+1)</f>
        <v>1</v>
      </c>
      <c r="E784" s="16" t="n">
        <f aca="false">IF(D784=1,INDEX(Grid!$B$6:$H$156,C784+1,B784+1),"")</f>
        <v>165.912503153998</v>
      </c>
      <c r="F784" s="13" t="n">
        <f aca="false">Val_pt*(Ceiling_e-E_zero)*(1-(1-Half_gap)^B784)</f>
        <v>135.625</v>
      </c>
      <c r="G784" s="15" t="n">
        <f aca="false">C784</f>
        <v>23</v>
      </c>
      <c r="H784" s="15" t="n">
        <f aca="false">IF(D784=1,INDEX(Grid!$R$6:$X$156,C784+1,B784+1),"")</f>
        <v>59</v>
      </c>
      <c r="I784" s="2" t="str">
        <f aca="false">IF(D784=1,INDEX(Sch_label,H784+1),"")</f>
        <v>1–3, 5, 6</v>
      </c>
      <c r="J784" s="15" t="n">
        <f aca="false">IF(D784=1,INDEX(Grid!$Z$6:$AF$156,C784+1,B784+1),0)</f>
        <v>1</v>
      </c>
      <c r="K784" s="16" t="n">
        <f aca="false">IF(J784=1,E784,0)</f>
        <v>165.912503153998</v>
      </c>
      <c r="L784" s="17" t="n">
        <f aca="false">IF(D784=1,E784+W_board*F784,"")</f>
        <v>931.480270789434</v>
      </c>
      <c r="M784" s="24" t="n">
        <v>1</v>
      </c>
      <c r="N784" s="25" t="n">
        <v>0.1212867361929</v>
      </c>
      <c r="O784" s="25" t="n">
        <v>0.833039660615898</v>
      </c>
      <c r="P784" s="25" t="n">
        <v>0.0456736031912011</v>
      </c>
      <c r="Z784" s="12" t="n">
        <f aca="false">IF(AND($J784=1,$M784=1),N784*E784/Span_P+O784*F784/Span_S+P784*G784/Span_B,"")</f>
        <v>1.72865330050022</v>
      </c>
      <c r="AA784" s="12" t="n">
        <f aca="false">IF(AND($J784=1,$M784=1),SUMPRODUCT(MAX($J$6:$J$1062*(N784*$K$6:$K$1062/Span_P+O784*$F$6:$F$1062/Span_S+P784*$G$6:$G$1062/Span_B)-(1-$J$6:$J$1062)*1000000000)),"")</f>
        <v>1.72865330050022</v>
      </c>
      <c r="AB784" s="15" t="n">
        <f aca="false">IF(AND($J784=1,$M784=1),IF(AA784-Z784&lt;=0.000000001,1,0),"")</f>
        <v>1</v>
      </c>
      <c r="AC784" s="13" t="str">
        <f aca="false">IF(AND($J784=1,$M784=0),IF(S784="",0,S784*INDEX(Grid!$B$6:$H$156,R784+1,Q784+1))+IF(V784="",0,V784*INDEX(Grid!$B$6:$H$156,U784+1,T784+1))+IF(Y784="",0,Y784*INDEX(Grid!$B$6:$H$156,X784+1,W784+1)),"")</f>
        <v/>
      </c>
      <c r="AD784" s="13" t="str">
        <f aca="false">IF(AND($J784=1,$M784=0),IF(S784="",0,S784*Val_pt*(Ceiling_e-E_zero)*(1-(1-Half_gap)^Q784))+IF(V784="",0,V784*Val_pt*(Ceiling_e-E_zero)*(1-(1-Half_gap)^T784))+IF(Y784="",0,Y784*Val_pt*(Ceiling_e-E_zero)*(1-(1-Half_gap)^W784)),"")</f>
        <v/>
      </c>
      <c r="AE784" s="13" t="str">
        <f aca="false">IF(AND($J784=1,$M784=0),IF(S784="",0,S784*R784)+IF(V784="",0,V784*U784)+IF(Y784="",0,Y784*X784),"")</f>
        <v/>
      </c>
      <c r="AF784" s="12" t="str">
        <f aca="false">IF(AND($J784=1,$M784=0),MIN((AC784-E784)/Span_P,(AD784-F784)/Span_S,(AE784-G784)/Span_B),"")</f>
        <v/>
      </c>
      <c r="AG784" s="15" t="str">
        <f aca="false">IF(AND($J784=1,$M784=0),IF(AF784&gt;0.0000001,1,0),"")</f>
        <v/>
      </c>
      <c r="AH784" s="15" t="n">
        <f aca="false">IF($J784=1,IF($M784=1,AB784,AG784),"")</f>
        <v>1</v>
      </c>
      <c r="AI784" s="13" t="n">
        <f aca="false">IF($J784=1,(Ideal_P-E784)/Span_P,"")</f>
        <v>0.602738870595648</v>
      </c>
      <c r="AJ784" s="13" t="n">
        <f aca="false">IF($J784=1,(Ideal_S-F784)/Span_S,"")</f>
        <v>0.032258064516129</v>
      </c>
      <c r="AK784" s="13" t="n">
        <f aca="false">IF($J784=1,(Ideal_B-G784)/Span_B,"")</f>
        <v>0.846666666666667</v>
      </c>
      <c r="AL784" s="12" t="n">
        <f aca="false">IF($J784=1,MAX(ChA_1*AI784,ChA_2*AJ784,ChA_3*AK784)+Rho*(ChA_1*AI784+ChA_2*AJ784+ChA_3*AK784),"")</f>
        <v>0.846814833026845</v>
      </c>
      <c r="AM784" s="12" t="n">
        <f aca="false">IF($J784=1,MAX(ChB_1*AI784,ChB_2*AJ784,ChB_3*AK784)+Rho*(ChB_1*AI784+ChB_2*AJ784+ChB_3*AK784),"")</f>
        <v>1.20568618143853</v>
      </c>
      <c r="AN784" s="12" t="n">
        <f aca="false">IF($J784=1,MAX(Cx_1*(Ref_P-E784)/Span_P,Cx_2*(Ref_S-F784)/Span_S,Cx_3*(Ref_B-G784)/Span_B),"")</f>
        <v>2.15966386554622</v>
      </c>
    </row>
    <row r="785" customFormat="false" ht="15" hidden="false" customHeight="false" outlineLevel="0" collapsed="false">
      <c r="A785" s="2" t="n">
        <v>779</v>
      </c>
      <c r="B785" s="15" t="n">
        <f aca="false">INT(A785/151)</f>
        <v>5</v>
      </c>
      <c r="C785" s="15" t="n">
        <f aca="false">MOD(A785,151)</f>
        <v>24</v>
      </c>
      <c r="D785" s="15" t="n">
        <f aca="false">INDEX(Grid!$J$6:$P$156,C785+1,B785+1)</f>
        <v>1</v>
      </c>
      <c r="E785" s="16" t="n">
        <f aca="false">IF(D785=1,INDEX(Grid!$B$6:$H$156,C785+1,B785+1),"")</f>
        <v>165.003412244907</v>
      </c>
      <c r="F785" s="13" t="n">
        <f aca="false">Val_pt*(Ceiling_e-E_zero)*(1-(1-Half_gap)^B785)</f>
        <v>135.625</v>
      </c>
      <c r="G785" s="15" t="n">
        <f aca="false">C785</f>
        <v>24</v>
      </c>
      <c r="H785" s="15" t="n">
        <f aca="false">IF(D785=1,INDEX(Grid!$R$6:$X$156,C785+1,B785+1),"")</f>
        <v>59</v>
      </c>
      <c r="I785" s="2" t="str">
        <f aca="false">IF(D785=1,INDEX(Sch_label,H785+1),"")</f>
        <v>1–3, 5, 6</v>
      </c>
      <c r="J785" s="15" t="n">
        <f aca="false">IF(D785=1,INDEX(Grid!$Z$6:$AF$156,C785+1,B785+1),0)</f>
        <v>1</v>
      </c>
      <c r="K785" s="16" t="n">
        <f aca="false">IF(J785=1,E785,0)</f>
        <v>165.003412244907</v>
      </c>
      <c r="L785" s="17" t="n">
        <f aca="false">IF(D785=1,E785+W_board*F785,"")</f>
        <v>930.571179880343</v>
      </c>
      <c r="M785" s="24" t="n">
        <v>1</v>
      </c>
      <c r="N785" s="25" t="n">
        <v>0.121286736192901</v>
      </c>
      <c r="O785" s="25" t="n">
        <v>0.833039660615898</v>
      </c>
      <c r="P785" s="25" t="n">
        <v>0.0456736031912014</v>
      </c>
      <c r="Z785" s="12" t="n">
        <f aca="false">IF(AND($J785=1,$M785=1),N785*E785/Span_P+O785*F785/Span_S+P785*G785/Span_B,"")</f>
        <v>1.72865330050022</v>
      </c>
      <c r="AA785" s="12" t="n">
        <f aca="false">IF(AND($J785=1,$M785=1),SUMPRODUCT(MAX($J$6:$J$1062*(N785*$K$6:$K$1062/Span_P+O785*$F$6:$F$1062/Span_S+P785*$G$6:$G$1062/Span_B)-(1-$J$6:$J$1062)*1000000000)),"")</f>
        <v>1.72865330050022</v>
      </c>
      <c r="AB785" s="15" t="n">
        <f aca="false">IF(AND($J785=1,$M785=1),IF(AA785-Z785&lt;=0.000000001,1,0),"")</f>
        <v>1</v>
      </c>
      <c r="AC785" s="13" t="str">
        <f aca="false">IF(AND($J785=1,$M785=0),IF(S785="",0,S785*INDEX(Grid!$B$6:$H$156,R785+1,Q785+1))+IF(V785="",0,V785*INDEX(Grid!$B$6:$H$156,U785+1,T785+1))+IF(Y785="",0,Y785*INDEX(Grid!$B$6:$H$156,X785+1,W785+1)),"")</f>
        <v/>
      </c>
      <c r="AD785" s="13" t="str">
        <f aca="false">IF(AND($J785=1,$M785=0),IF(S785="",0,S785*Val_pt*(Ceiling_e-E_zero)*(1-(1-Half_gap)^Q785))+IF(V785="",0,V785*Val_pt*(Ceiling_e-E_zero)*(1-(1-Half_gap)^T785))+IF(Y785="",0,Y785*Val_pt*(Ceiling_e-E_zero)*(1-(1-Half_gap)^W785)),"")</f>
        <v/>
      </c>
      <c r="AE785" s="13" t="str">
        <f aca="false">IF(AND($J785=1,$M785=0),IF(S785="",0,S785*R785)+IF(V785="",0,V785*U785)+IF(Y785="",0,Y785*X785),"")</f>
        <v/>
      </c>
      <c r="AF785" s="12" t="str">
        <f aca="false">IF(AND($J785=1,$M785=0),MIN((AC785-E785)/Span_P,(AD785-F785)/Span_S,(AE785-G785)/Span_B),"")</f>
        <v/>
      </c>
      <c r="AG785" s="15" t="str">
        <f aca="false">IF(AND($J785=1,$M785=0),IF(AF785&gt;0.0000001,1,0),"")</f>
        <v/>
      </c>
      <c r="AH785" s="15" t="n">
        <f aca="false">IF($J785=1,IF($M785=1,AB785,AG785),"")</f>
        <v>1</v>
      </c>
      <c r="AI785" s="13" t="n">
        <f aca="false">IF($J785=1,(Ideal_P-E785)/Span_P,"")</f>
        <v>0.605249373371954</v>
      </c>
      <c r="AJ785" s="13" t="n">
        <f aca="false">IF($J785=1,(Ideal_S-F785)/Span_S,"")</f>
        <v>0.032258064516129</v>
      </c>
      <c r="AK785" s="13" t="n">
        <f aca="false">IF($J785=1,(Ideal_B-G785)/Span_B,"")</f>
        <v>0.84</v>
      </c>
      <c r="AL785" s="12" t="n">
        <f aca="false">IF($J785=1,MAX(ChA_1*AI785,ChA_2*AJ785,ChA_3*AK785)+Rho*(ChA_1*AI785+ChA_2*AJ785+ChA_3*AK785),"")</f>
        <v>0.840147750743789</v>
      </c>
      <c r="AM785" s="12" t="n">
        <f aca="false">IF($J785=1,MAX(ChB_1*AI785,ChB_2*AJ785,ChB_3*AK785)+Rho*(ChB_1*AI785+ChB_2*AJ785+ChB_3*AK785),"")</f>
        <v>1.21070702242503</v>
      </c>
      <c r="AN785" s="12" t="n">
        <f aca="false">IF($J785=1,MAX(Cx_1*(Ref_P-E785)/Span_P,Cx_2*(Ref_S-F785)/Span_S,Cx_3*(Ref_B-G785)/Span_B),"")</f>
        <v>2.14285714285714</v>
      </c>
    </row>
    <row r="786" customFormat="false" ht="15" hidden="false" customHeight="false" outlineLevel="0" collapsed="false">
      <c r="A786" s="2" t="n">
        <v>780</v>
      </c>
      <c r="B786" s="15" t="n">
        <f aca="false">INT(A786/151)</f>
        <v>5</v>
      </c>
      <c r="C786" s="15" t="n">
        <f aca="false">MOD(A786,151)</f>
        <v>25</v>
      </c>
      <c r="D786" s="15" t="n">
        <f aca="false">INDEX(Grid!$J$6:$P$156,C786+1,B786+1)</f>
        <v>1</v>
      </c>
      <c r="E786" s="16" t="n">
        <f aca="false">IF(D786=1,INDEX(Grid!$B$6:$H$156,C786+1,B786+1),"")</f>
        <v>164.094321335816</v>
      </c>
      <c r="F786" s="13" t="n">
        <f aca="false">Val_pt*(Ceiling_e-E_zero)*(1-(1-Half_gap)^B786)</f>
        <v>135.625</v>
      </c>
      <c r="G786" s="15" t="n">
        <f aca="false">C786</f>
        <v>25</v>
      </c>
      <c r="H786" s="15" t="n">
        <f aca="false">IF(D786=1,INDEX(Grid!$R$6:$X$156,C786+1,B786+1),"")</f>
        <v>59</v>
      </c>
      <c r="I786" s="2" t="str">
        <f aca="false">IF(D786=1,INDEX(Sch_label,H786+1),"")</f>
        <v>1–3, 5, 6</v>
      </c>
      <c r="J786" s="15" t="n">
        <f aca="false">IF(D786=1,INDEX(Grid!$Z$6:$AF$156,C786+1,B786+1),0)</f>
        <v>1</v>
      </c>
      <c r="K786" s="16" t="n">
        <f aca="false">IF(J786=1,E786,0)</f>
        <v>164.094321335816</v>
      </c>
      <c r="L786" s="17" t="n">
        <f aca="false">IF(D786=1,E786+W_board*F786,"")</f>
        <v>929.662088971252</v>
      </c>
      <c r="M786" s="24" t="n">
        <v>1</v>
      </c>
      <c r="N786" s="25" t="n">
        <v>0.1212867361929</v>
      </c>
      <c r="O786" s="25" t="n">
        <v>0.833039660615899</v>
      </c>
      <c r="P786" s="25" t="n">
        <v>0.0456736031912011</v>
      </c>
      <c r="Z786" s="12" t="n">
        <f aca="false">IF(AND($J786=1,$M786=1),N786*E786/Span_P+O786*F786/Span_S+P786*G786/Span_B,"")</f>
        <v>1.72865330050022</v>
      </c>
      <c r="AA786" s="12" t="n">
        <f aca="false">IF(AND($J786=1,$M786=1),SUMPRODUCT(MAX($J$6:$J$1062*(N786*$K$6:$K$1062/Span_P+O786*$F$6:$F$1062/Span_S+P786*$G$6:$G$1062/Span_B)-(1-$J$6:$J$1062)*1000000000)),"")</f>
        <v>1.72865330050022</v>
      </c>
      <c r="AB786" s="15" t="n">
        <f aca="false">IF(AND($J786=1,$M786=1),IF(AA786-Z786&lt;=0.000000001,1,0),"")</f>
        <v>1</v>
      </c>
      <c r="AC786" s="13" t="str">
        <f aca="false">IF(AND($J786=1,$M786=0),IF(S786="",0,S786*INDEX(Grid!$B$6:$H$156,R786+1,Q786+1))+IF(V786="",0,V786*INDEX(Grid!$B$6:$H$156,U786+1,T786+1))+IF(Y786="",0,Y786*INDEX(Grid!$B$6:$H$156,X786+1,W786+1)),"")</f>
        <v/>
      </c>
      <c r="AD786" s="13" t="str">
        <f aca="false">IF(AND($J786=1,$M786=0),IF(S786="",0,S786*Val_pt*(Ceiling_e-E_zero)*(1-(1-Half_gap)^Q786))+IF(V786="",0,V786*Val_pt*(Ceiling_e-E_zero)*(1-(1-Half_gap)^T786))+IF(Y786="",0,Y786*Val_pt*(Ceiling_e-E_zero)*(1-(1-Half_gap)^W786)),"")</f>
        <v/>
      </c>
      <c r="AE786" s="13" t="str">
        <f aca="false">IF(AND($J786=1,$M786=0),IF(S786="",0,S786*R786)+IF(V786="",0,V786*U786)+IF(Y786="",0,Y786*X786),"")</f>
        <v/>
      </c>
      <c r="AF786" s="12" t="str">
        <f aca="false">IF(AND($J786=1,$M786=0),MIN((AC786-E786)/Span_P,(AD786-F786)/Span_S,(AE786-G786)/Span_B),"")</f>
        <v/>
      </c>
      <c r="AG786" s="15" t="str">
        <f aca="false">IF(AND($J786=1,$M786=0),IF(AF786&gt;0.0000001,1,0),"")</f>
        <v/>
      </c>
      <c r="AH786" s="15" t="n">
        <f aca="false">IF($J786=1,IF($M786=1,AB786,AG786),"")</f>
        <v>1</v>
      </c>
      <c r="AI786" s="13" t="n">
        <f aca="false">IF($J786=1,(Ideal_P-E786)/Span_P,"")</f>
        <v>0.607759876148259</v>
      </c>
      <c r="AJ786" s="13" t="n">
        <f aca="false">IF($J786=1,(Ideal_S-F786)/Span_S,"")</f>
        <v>0.032258064516129</v>
      </c>
      <c r="AK786" s="13" t="n">
        <f aca="false">IF($J786=1,(Ideal_B-G786)/Span_B,"")</f>
        <v>0.833333333333333</v>
      </c>
      <c r="AL786" s="12" t="n">
        <f aca="false">IF($J786=1,MAX(ChA_1*AI786,ChA_2*AJ786,ChA_3*AK786)+Rho*(ChA_1*AI786+ChA_2*AJ786+ChA_3*AK786),"")</f>
        <v>0.833480668460733</v>
      </c>
      <c r="AM786" s="12" t="n">
        <f aca="false">IF($J786=1,MAX(ChB_1*AI786,ChB_2*AJ786,ChB_3*AK786)+Rho*(ChB_1*AI786+ChB_2*AJ786+ChB_3*AK786),"")</f>
        <v>1.21572786341153</v>
      </c>
      <c r="AN786" s="12" t="n">
        <f aca="false">IF($J786=1,MAX(Cx_1*(Ref_P-E786)/Span_P,Cx_2*(Ref_S-F786)/Span_S,Cx_3*(Ref_B-G786)/Span_B),"")</f>
        <v>2.12605042016807</v>
      </c>
    </row>
    <row r="787" customFormat="false" ht="15" hidden="false" customHeight="false" outlineLevel="0" collapsed="false">
      <c r="A787" s="2" t="n">
        <v>781</v>
      </c>
      <c r="B787" s="15" t="n">
        <f aca="false">INT(A787/151)</f>
        <v>5</v>
      </c>
      <c r="C787" s="15" t="n">
        <f aca="false">MOD(A787,151)</f>
        <v>26</v>
      </c>
      <c r="D787" s="15" t="n">
        <f aca="false">INDEX(Grid!$J$6:$P$156,C787+1,B787+1)</f>
        <v>1</v>
      </c>
      <c r="E787" s="16" t="n">
        <f aca="false">IF(D787=1,INDEX(Grid!$B$6:$H$156,C787+1,B787+1),"")</f>
        <v>163.185230426725</v>
      </c>
      <c r="F787" s="13" t="n">
        <f aca="false">Val_pt*(Ceiling_e-E_zero)*(1-(1-Half_gap)^B787)</f>
        <v>135.625</v>
      </c>
      <c r="G787" s="15" t="n">
        <f aca="false">C787</f>
        <v>26</v>
      </c>
      <c r="H787" s="15" t="n">
        <f aca="false">IF(D787=1,INDEX(Grid!$R$6:$X$156,C787+1,B787+1),"")</f>
        <v>59</v>
      </c>
      <c r="I787" s="2" t="str">
        <f aca="false">IF(D787=1,INDEX(Sch_label,H787+1),"")</f>
        <v>1–3, 5, 6</v>
      </c>
      <c r="J787" s="15" t="n">
        <f aca="false">IF(D787=1,INDEX(Grid!$Z$6:$AF$156,C787+1,B787+1),0)</f>
        <v>1</v>
      </c>
      <c r="K787" s="16" t="n">
        <f aca="false">IF(J787=1,E787,0)</f>
        <v>163.185230426725</v>
      </c>
      <c r="L787" s="17" t="n">
        <f aca="false">IF(D787=1,E787+W_board*F787,"")</f>
        <v>928.752998062161</v>
      </c>
      <c r="M787" s="24" t="n">
        <v>1</v>
      </c>
      <c r="N787" s="25" t="n">
        <v>0.121286736192901</v>
      </c>
      <c r="O787" s="25" t="n">
        <v>0.833039660615898</v>
      </c>
      <c r="P787" s="25" t="n">
        <v>0.0456736031912014</v>
      </c>
      <c r="Z787" s="12" t="n">
        <f aca="false">IF(AND($J787=1,$M787=1),N787*E787/Span_P+O787*F787/Span_S+P787*G787/Span_B,"")</f>
        <v>1.72865330050022</v>
      </c>
      <c r="AA787" s="12" t="n">
        <f aca="false">IF(AND($J787=1,$M787=1),SUMPRODUCT(MAX($J$6:$J$1062*(N787*$K$6:$K$1062/Span_P+O787*$F$6:$F$1062/Span_S+P787*$G$6:$G$1062/Span_B)-(1-$J$6:$J$1062)*1000000000)),"")</f>
        <v>1.72865330050022</v>
      </c>
      <c r="AB787" s="15" t="n">
        <f aca="false">IF(AND($J787=1,$M787=1),IF(AA787-Z787&lt;=0.000000001,1,0),"")</f>
        <v>1</v>
      </c>
      <c r="AC787" s="13" t="str">
        <f aca="false">IF(AND($J787=1,$M787=0),IF(S787="",0,S787*INDEX(Grid!$B$6:$H$156,R787+1,Q787+1))+IF(V787="",0,V787*INDEX(Grid!$B$6:$H$156,U787+1,T787+1))+IF(Y787="",0,Y787*INDEX(Grid!$B$6:$H$156,X787+1,W787+1)),"")</f>
        <v/>
      </c>
      <c r="AD787" s="13" t="str">
        <f aca="false">IF(AND($J787=1,$M787=0),IF(S787="",0,S787*Val_pt*(Ceiling_e-E_zero)*(1-(1-Half_gap)^Q787))+IF(V787="",0,V787*Val_pt*(Ceiling_e-E_zero)*(1-(1-Half_gap)^T787))+IF(Y787="",0,Y787*Val_pt*(Ceiling_e-E_zero)*(1-(1-Half_gap)^W787)),"")</f>
        <v/>
      </c>
      <c r="AE787" s="13" t="str">
        <f aca="false">IF(AND($J787=1,$M787=0),IF(S787="",0,S787*R787)+IF(V787="",0,V787*U787)+IF(Y787="",0,Y787*X787),"")</f>
        <v/>
      </c>
      <c r="AF787" s="12" t="str">
        <f aca="false">IF(AND($J787=1,$M787=0),MIN((AC787-E787)/Span_P,(AD787-F787)/Span_S,(AE787-G787)/Span_B),"")</f>
        <v/>
      </c>
      <c r="AG787" s="15" t="str">
        <f aca="false">IF(AND($J787=1,$M787=0),IF(AF787&gt;0.0000001,1,0),"")</f>
        <v/>
      </c>
      <c r="AH787" s="15" t="n">
        <f aca="false">IF($J787=1,IF($M787=1,AB787,AG787),"")</f>
        <v>1</v>
      </c>
      <c r="AI787" s="13" t="n">
        <f aca="false">IF($J787=1,(Ideal_P-E787)/Span_P,"")</f>
        <v>0.610270378924565</v>
      </c>
      <c r="AJ787" s="13" t="n">
        <f aca="false">IF($J787=1,(Ideal_S-F787)/Span_S,"")</f>
        <v>0.032258064516129</v>
      </c>
      <c r="AK787" s="13" t="n">
        <f aca="false">IF($J787=1,(Ideal_B-G787)/Span_B,"")</f>
        <v>0.826666666666667</v>
      </c>
      <c r="AL787" s="12" t="n">
        <f aca="false">IF($J787=1,MAX(ChA_1*AI787,ChA_2*AJ787,ChA_3*AK787)+Rho*(ChA_1*AI787+ChA_2*AJ787+ChA_3*AK787),"")</f>
        <v>0.826813586177677</v>
      </c>
      <c r="AM787" s="12" t="n">
        <f aca="false">IF($J787=1,MAX(ChB_1*AI787,ChB_2*AJ787,ChB_3*AK787)+Rho*(ChB_1*AI787+ChB_2*AJ787+ChB_3*AK787),"")</f>
        <v>1.22074870439803</v>
      </c>
      <c r="AN787" s="12" t="n">
        <f aca="false">IF($J787=1,MAX(Cx_1*(Ref_P-E787)/Span_P,Cx_2*(Ref_S-F787)/Span_S,Cx_3*(Ref_B-G787)/Span_B),"")</f>
        <v>2.10924369747899</v>
      </c>
    </row>
    <row r="788" customFormat="false" ht="15" hidden="false" customHeight="false" outlineLevel="0" collapsed="false">
      <c r="A788" s="2" t="n">
        <v>782</v>
      </c>
      <c r="B788" s="15" t="n">
        <f aca="false">INT(A788/151)</f>
        <v>5</v>
      </c>
      <c r="C788" s="15" t="n">
        <f aca="false">MOD(A788,151)</f>
        <v>27</v>
      </c>
      <c r="D788" s="15" t="n">
        <f aca="false">INDEX(Grid!$J$6:$P$156,C788+1,B788+1)</f>
        <v>1</v>
      </c>
      <c r="E788" s="16" t="n">
        <f aca="false">IF(D788=1,INDEX(Grid!$B$6:$H$156,C788+1,B788+1),"")</f>
        <v>162.276139517634</v>
      </c>
      <c r="F788" s="13" t="n">
        <f aca="false">Val_pt*(Ceiling_e-E_zero)*(1-(1-Half_gap)^B788)</f>
        <v>135.625</v>
      </c>
      <c r="G788" s="15" t="n">
        <f aca="false">C788</f>
        <v>27</v>
      </c>
      <c r="H788" s="15" t="n">
        <f aca="false">IF(D788=1,INDEX(Grid!$R$6:$X$156,C788+1,B788+1),"")</f>
        <v>59</v>
      </c>
      <c r="I788" s="2" t="str">
        <f aca="false">IF(D788=1,INDEX(Sch_label,H788+1),"")</f>
        <v>1–3, 5, 6</v>
      </c>
      <c r="J788" s="15" t="n">
        <f aca="false">IF(D788=1,INDEX(Grid!$Z$6:$AF$156,C788+1,B788+1),0)</f>
        <v>1</v>
      </c>
      <c r="K788" s="16" t="n">
        <f aca="false">IF(J788=1,E788,0)</f>
        <v>162.276139517634</v>
      </c>
      <c r="L788" s="17" t="n">
        <f aca="false">IF(D788=1,E788+W_board*F788,"")</f>
        <v>927.84390715307</v>
      </c>
      <c r="M788" s="24" t="n">
        <v>1</v>
      </c>
      <c r="N788" s="25" t="n">
        <v>0.121286736192903</v>
      </c>
      <c r="O788" s="25" t="n">
        <v>0.833039660615893</v>
      </c>
      <c r="P788" s="25" t="n">
        <v>0.0456736031912041</v>
      </c>
      <c r="Z788" s="12" t="n">
        <f aca="false">IF(AND($J788=1,$M788=1),N788*E788/Span_P+O788*F788/Span_S+P788*G788/Span_B,"")</f>
        <v>1.72865330050021</v>
      </c>
      <c r="AA788" s="12" t="n">
        <f aca="false">IF(AND($J788=1,$M788=1),SUMPRODUCT(MAX($J$6:$J$1062*(N788*$K$6:$K$1062/Span_P+O788*$F$6:$F$1062/Span_S+P788*$G$6:$G$1062/Span_B)-(1-$J$6:$J$1062)*1000000000)),"")</f>
        <v>1.72865330050021</v>
      </c>
      <c r="AB788" s="15" t="n">
        <f aca="false">IF(AND($J788=1,$M788=1),IF(AA788-Z788&lt;=0.000000001,1,0),"")</f>
        <v>1</v>
      </c>
      <c r="AC788" s="13" t="str">
        <f aca="false">IF(AND($J788=1,$M788=0),IF(S788="",0,S788*INDEX(Grid!$B$6:$H$156,R788+1,Q788+1))+IF(V788="",0,V788*INDEX(Grid!$B$6:$H$156,U788+1,T788+1))+IF(Y788="",0,Y788*INDEX(Grid!$B$6:$H$156,X788+1,W788+1)),"")</f>
        <v/>
      </c>
      <c r="AD788" s="13" t="str">
        <f aca="false">IF(AND($J788=1,$M788=0),IF(S788="",0,S788*Val_pt*(Ceiling_e-E_zero)*(1-(1-Half_gap)^Q788))+IF(V788="",0,V788*Val_pt*(Ceiling_e-E_zero)*(1-(1-Half_gap)^T788))+IF(Y788="",0,Y788*Val_pt*(Ceiling_e-E_zero)*(1-(1-Half_gap)^W788)),"")</f>
        <v/>
      </c>
      <c r="AE788" s="13" t="str">
        <f aca="false">IF(AND($J788=1,$M788=0),IF(S788="",0,S788*R788)+IF(V788="",0,V788*U788)+IF(Y788="",0,Y788*X788),"")</f>
        <v/>
      </c>
      <c r="AF788" s="12" t="str">
        <f aca="false">IF(AND($J788=1,$M788=0),MIN((AC788-E788)/Span_P,(AD788-F788)/Span_S,(AE788-G788)/Span_B),"")</f>
        <v/>
      </c>
      <c r="AG788" s="15" t="str">
        <f aca="false">IF(AND($J788=1,$M788=0),IF(AF788&gt;0.0000001,1,0),"")</f>
        <v/>
      </c>
      <c r="AH788" s="15" t="n">
        <f aca="false">IF($J788=1,IF($M788=1,AB788,AG788),"")</f>
        <v>1</v>
      </c>
      <c r="AI788" s="13" t="n">
        <f aca="false">IF($J788=1,(Ideal_P-E788)/Span_P,"")</f>
        <v>0.612780881700871</v>
      </c>
      <c r="AJ788" s="13" t="n">
        <f aca="false">IF($J788=1,(Ideal_S-F788)/Span_S,"")</f>
        <v>0.032258064516129</v>
      </c>
      <c r="AK788" s="13" t="n">
        <f aca="false">IF($J788=1,(Ideal_B-G788)/Span_B,"")</f>
        <v>0.82</v>
      </c>
      <c r="AL788" s="12" t="n">
        <f aca="false">IF($J788=1,MAX(ChA_1*AI788,ChA_2*AJ788,ChA_3*AK788)+Rho*(ChA_1*AI788+ChA_2*AJ788+ChA_3*AK788),"")</f>
        <v>0.820146503894622</v>
      </c>
      <c r="AM788" s="12" t="n">
        <f aca="false">IF($J788=1,MAX(ChB_1*AI788,ChB_2*AJ788,ChB_3*AK788)+Rho*(ChB_1*AI788+ChB_2*AJ788+ChB_3*AK788),"")</f>
        <v>1.22576954538453</v>
      </c>
      <c r="AN788" s="12" t="n">
        <f aca="false">IF($J788=1,MAX(Cx_1*(Ref_P-E788)/Span_P,Cx_2*(Ref_S-F788)/Span_S,Cx_3*(Ref_B-G788)/Span_B),"")</f>
        <v>2.09243697478992</v>
      </c>
    </row>
    <row r="789" customFormat="false" ht="15" hidden="false" customHeight="false" outlineLevel="0" collapsed="false">
      <c r="A789" s="2" t="n">
        <v>783</v>
      </c>
      <c r="B789" s="15" t="n">
        <f aca="false">INT(A789/151)</f>
        <v>5</v>
      </c>
      <c r="C789" s="15" t="n">
        <f aca="false">MOD(A789,151)</f>
        <v>28</v>
      </c>
      <c r="D789" s="15" t="n">
        <f aca="false">INDEX(Grid!$J$6:$P$156,C789+1,B789+1)</f>
        <v>1</v>
      </c>
      <c r="E789" s="16" t="n">
        <f aca="false">IF(D789=1,INDEX(Grid!$B$6:$H$156,C789+1,B789+1),"")</f>
        <v>161.367048608544</v>
      </c>
      <c r="F789" s="13" t="n">
        <f aca="false">Val_pt*(Ceiling_e-E_zero)*(1-(1-Half_gap)^B789)</f>
        <v>135.625</v>
      </c>
      <c r="G789" s="15" t="n">
        <f aca="false">C789</f>
        <v>28</v>
      </c>
      <c r="H789" s="15" t="n">
        <f aca="false">IF(D789=1,INDEX(Grid!$R$6:$X$156,C789+1,B789+1),"")</f>
        <v>59</v>
      </c>
      <c r="I789" s="2" t="str">
        <f aca="false">IF(D789=1,INDEX(Sch_label,H789+1),"")</f>
        <v>1–3, 5, 6</v>
      </c>
      <c r="J789" s="15" t="n">
        <f aca="false">IF(D789=1,INDEX(Grid!$Z$6:$AF$156,C789+1,B789+1),0)</f>
        <v>1</v>
      </c>
      <c r="K789" s="16" t="n">
        <f aca="false">IF(J789=1,E789,0)</f>
        <v>161.367048608544</v>
      </c>
      <c r="L789" s="17" t="n">
        <f aca="false">IF(D789=1,E789+W_board*F789,"")</f>
        <v>926.934816243979</v>
      </c>
      <c r="M789" s="24" t="n">
        <v>1</v>
      </c>
      <c r="N789" s="25" t="n">
        <v>0.121286736192898</v>
      </c>
      <c r="O789" s="25" t="n">
        <v>0.833039660615904</v>
      </c>
      <c r="P789" s="25" t="n">
        <v>0.0456736031911984</v>
      </c>
      <c r="Z789" s="12" t="n">
        <f aca="false">IF(AND($J789=1,$M789=1),N789*E789/Span_P+O789*F789/Span_S+P789*G789/Span_B,"")</f>
        <v>1.72865330050023</v>
      </c>
      <c r="AA789" s="12" t="n">
        <f aca="false">IF(AND($J789=1,$M789=1),SUMPRODUCT(MAX($J$6:$J$1062*(N789*$K$6:$K$1062/Span_P+O789*$F$6:$F$1062/Span_S+P789*$G$6:$G$1062/Span_B)-(1-$J$6:$J$1062)*1000000000)),"")</f>
        <v>1.72865330050023</v>
      </c>
      <c r="AB789" s="15" t="n">
        <f aca="false">IF(AND($J789=1,$M789=1),IF(AA789-Z789&lt;=0.000000001,1,0),"")</f>
        <v>1</v>
      </c>
      <c r="AC789" s="13" t="str">
        <f aca="false">IF(AND($J789=1,$M789=0),IF(S789="",0,S789*INDEX(Grid!$B$6:$H$156,R789+1,Q789+1))+IF(V789="",0,V789*INDEX(Grid!$B$6:$H$156,U789+1,T789+1))+IF(Y789="",0,Y789*INDEX(Grid!$B$6:$H$156,X789+1,W789+1)),"")</f>
        <v/>
      </c>
      <c r="AD789" s="13" t="str">
        <f aca="false">IF(AND($J789=1,$M789=0),IF(S789="",0,S789*Val_pt*(Ceiling_e-E_zero)*(1-(1-Half_gap)^Q789))+IF(V789="",0,V789*Val_pt*(Ceiling_e-E_zero)*(1-(1-Half_gap)^T789))+IF(Y789="",0,Y789*Val_pt*(Ceiling_e-E_zero)*(1-(1-Half_gap)^W789)),"")</f>
        <v/>
      </c>
      <c r="AE789" s="13" t="str">
        <f aca="false">IF(AND($J789=1,$M789=0),IF(S789="",0,S789*R789)+IF(V789="",0,V789*U789)+IF(Y789="",0,Y789*X789),"")</f>
        <v/>
      </c>
      <c r="AF789" s="12" t="str">
        <f aca="false">IF(AND($J789=1,$M789=0),MIN((AC789-E789)/Span_P,(AD789-F789)/Span_S,(AE789-G789)/Span_B),"")</f>
        <v/>
      </c>
      <c r="AG789" s="15" t="str">
        <f aca="false">IF(AND($J789=1,$M789=0),IF(AF789&gt;0.0000001,1,0),"")</f>
        <v/>
      </c>
      <c r="AH789" s="15" t="n">
        <f aca="false">IF($J789=1,IF($M789=1,AB789,AG789),"")</f>
        <v>1</v>
      </c>
      <c r="AI789" s="13" t="n">
        <f aca="false">IF($J789=1,(Ideal_P-E789)/Span_P,"")</f>
        <v>0.615291384477177</v>
      </c>
      <c r="AJ789" s="13" t="n">
        <f aca="false">IF($J789=1,(Ideal_S-F789)/Span_S,"")</f>
        <v>0.032258064516129</v>
      </c>
      <c r="AK789" s="13" t="n">
        <f aca="false">IF($J789=1,(Ideal_B-G789)/Span_B,"")</f>
        <v>0.813333333333333</v>
      </c>
      <c r="AL789" s="12" t="n">
        <f aca="false">IF($J789=1,MAX(ChA_1*AI789,ChA_2*AJ789,ChA_3*AK789)+Rho*(ChA_1*AI789+ChA_2*AJ789+ChA_3*AK789),"")</f>
        <v>0.813479421611566</v>
      </c>
      <c r="AM789" s="12" t="n">
        <f aca="false">IF($J789=1,MAX(ChB_1*AI789,ChB_2*AJ789,ChB_3*AK789)+Rho*(ChB_1*AI789+ChB_2*AJ789+ChB_3*AK789),"")</f>
        <v>1.23079038637103</v>
      </c>
      <c r="AN789" s="12" t="n">
        <f aca="false">IF($J789=1,MAX(Cx_1*(Ref_P-E789)/Span_P,Cx_2*(Ref_S-F789)/Span_S,Cx_3*(Ref_B-G789)/Span_B),"")</f>
        <v>2.07563025210084</v>
      </c>
    </row>
    <row r="790" customFormat="false" ht="15" hidden="false" customHeight="false" outlineLevel="0" collapsed="false">
      <c r="A790" s="2" t="n">
        <v>784</v>
      </c>
      <c r="B790" s="15" t="n">
        <f aca="false">INT(A790/151)</f>
        <v>5</v>
      </c>
      <c r="C790" s="15" t="n">
        <f aca="false">MOD(A790,151)</f>
        <v>29</v>
      </c>
      <c r="D790" s="15" t="n">
        <f aca="false">INDEX(Grid!$J$6:$P$156,C790+1,B790+1)</f>
        <v>1</v>
      </c>
      <c r="E790" s="16" t="n">
        <f aca="false">IF(D790=1,INDEX(Grid!$B$6:$H$156,C790+1,B790+1),"")</f>
        <v>160.457957699453</v>
      </c>
      <c r="F790" s="13" t="n">
        <f aca="false">Val_pt*(Ceiling_e-E_zero)*(1-(1-Half_gap)^B790)</f>
        <v>135.625</v>
      </c>
      <c r="G790" s="15" t="n">
        <f aca="false">C790</f>
        <v>29</v>
      </c>
      <c r="H790" s="15" t="n">
        <f aca="false">IF(D790=1,INDEX(Grid!$R$6:$X$156,C790+1,B790+1),"")</f>
        <v>59</v>
      </c>
      <c r="I790" s="2" t="str">
        <f aca="false">IF(D790=1,INDEX(Sch_label,H790+1),"")</f>
        <v>1–3, 5, 6</v>
      </c>
      <c r="J790" s="15" t="n">
        <f aca="false">IF(D790=1,INDEX(Grid!$Z$6:$AF$156,C790+1,B790+1),0)</f>
        <v>1</v>
      </c>
      <c r="K790" s="16" t="n">
        <f aca="false">IF(J790=1,E790,0)</f>
        <v>160.457957699453</v>
      </c>
      <c r="L790" s="17" t="n">
        <f aca="false">IF(D790=1,E790+W_board*F790,"")</f>
        <v>926.025725334888</v>
      </c>
      <c r="M790" s="24" t="n">
        <v>1</v>
      </c>
      <c r="N790" s="25" t="n">
        <v>0.121286736192903</v>
      </c>
      <c r="O790" s="25" t="n">
        <v>0.833039660615893</v>
      </c>
      <c r="P790" s="25" t="n">
        <v>0.0456736031912041</v>
      </c>
      <c r="Z790" s="12" t="n">
        <f aca="false">IF(AND($J790=1,$M790=1),N790*E790/Span_P+O790*F790/Span_S+P790*G790/Span_B,"")</f>
        <v>1.72865330050021</v>
      </c>
      <c r="AA790" s="12" t="n">
        <f aca="false">IF(AND($J790=1,$M790=1),SUMPRODUCT(MAX($J$6:$J$1062*(N790*$K$6:$K$1062/Span_P+O790*$F$6:$F$1062/Span_S+P790*$G$6:$G$1062/Span_B)-(1-$J$6:$J$1062)*1000000000)),"")</f>
        <v>1.72865330050021</v>
      </c>
      <c r="AB790" s="15" t="n">
        <f aca="false">IF(AND($J790=1,$M790=1),IF(AA790-Z790&lt;=0.000000001,1,0),"")</f>
        <v>1</v>
      </c>
      <c r="AC790" s="13" t="str">
        <f aca="false">IF(AND($J790=1,$M790=0),IF(S790="",0,S790*INDEX(Grid!$B$6:$H$156,R790+1,Q790+1))+IF(V790="",0,V790*INDEX(Grid!$B$6:$H$156,U790+1,T790+1))+IF(Y790="",0,Y790*INDEX(Grid!$B$6:$H$156,X790+1,W790+1)),"")</f>
        <v/>
      </c>
      <c r="AD790" s="13" t="str">
        <f aca="false">IF(AND($J790=1,$M790=0),IF(S790="",0,S790*Val_pt*(Ceiling_e-E_zero)*(1-(1-Half_gap)^Q790))+IF(V790="",0,V790*Val_pt*(Ceiling_e-E_zero)*(1-(1-Half_gap)^T790))+IF(Y790="",0,Y790*Val_pt*(Ceiling_e-E_zero)*(1-(1-Half_gap)^W790)),"")</f>
        <v/>
      </c>
      <c r="AE790" s="13" t="str">
        <f aca="false">IF(AND($J790=1,$M790=0),IF(S790="",0,S790*R790)+IF(V790="",0,V790*U790)+IF(Y790="",0,Y790*X790),"")</f>
        <v/>
      </c>
      <c r="AF790" s="12" t="str">
        <f aca="false">IF(AND($J790=1,$M790=0),MIN((AC790-E790)/Span_P,(AD790-F790)/Span_S,(AE790-G790)/Span_B),"")</f>
        <v/>
      </c>
      <c r="AG790" s="15" t="str">
        <f aca="false">IF(AND($J790=1,$M790=0),IF(AF790&gt;0.0000001,1,0),"")</f>
        <v/>
      </c>
      <c r="AH790" s="15" t="n">
        <f aca="false">IF($J790=1,IF($M790=1,AB790,AG790),"")</f>
        <v>1</v>
      </c>
      <c r="AI790" s="13" t="n">
        <f aca="false">IF($J790=1,(Ideal_P-E790)/Span_P,"")</f>
        <v>0.617801887253483</v>
      </c>
      <c r="AJ790" s="13" t="n">
        <f aca="false">IF($J790=1,(Ideal_S-F790)/Span_S,"")</f>
        <v>0.032258064516129</v>
      </c>
      <c r="AK790" s="13" t="n">
        <f aca="false">IF($J790=1,(Ideal_B-G790)/Span_B,"")</f>
        <v>0.806666666666667</v>
      </c>
      <c r="AL790" s="12" t="n">
        <f aca="false">IF($J790=1,MAX(ChA_1*AI790,ChA_2*AJ790,ChA_3*AK790)+Rho*(ChA_1*AI790+ChA_2*AJ790+ChA_3*AK790),"")</f>
        <v>0.80681233932851</v>
      </c>
      <c r="AM790" s="12" t="n">
        <f aca="false">IF($J790=1,MAX(ChB_1*AI790,ChB_2*AJ790,ChB_3*AK790)+Rho*(ChB_1*AI790+ChB_2*AJ790+ChB_3*AK790),"")</f>
        <v>1.23581122735753</v>
      </c>
      <c r="AN790" s="12" t="n">
        <f aca="false">IF($J790=1,MAX(Cx_1*(Ref_P-E790)/Span_P,Cx_2*(Ref_S-F790)/Span_S,Cx_3*(Ref_B-G790)/Span_B),"")</f>
        <v>2.05882352941176</v>
      </c>
    </row>
    <row r="791" customFormat="false" ht="15" hidden="false" customHeight="false" outlineLevel="0" collapsed="false">
      <c r="A791" s="2" t="n">
        <v>785</v>
      </c>
      <c r="B791" s="15" t="n">
        <f aca="false">INT(A791/151)</f>
        <v>5</v>
      </c>
      <c r="C791" s="15" t="n">
        <f aca="false">MOD(A791,151)</f>
        <v>30</v>
      </c>
      <c r="D791" s="15" t="n">
        <f aca="false">INDEX(Grid!$J$6:$P$156,C791+1,B791+1)</f>
        <v>1</v>
      </c>
      <c r="E791" s="16" t="n">
        <f aca="false">IF(D791=1,INDEX(Grid!$B$6:$H$156,C791+1,B791+1),"")</f>
        <v>159.548866790362</v>
      </c>
      <c r="F791" s="13" t="n">
        <f aca="false">Val_pt*(Ceiling_e-E_zero)*(1-(1-Half_gap)^B791)</f>
        <v>135.625</v>
      </c>
      <c r="G791" s="15" t="n">
        <f aca="false">C791</f>
        <v>30</v>
      </c>
      <c r="H791" s="15" t="n">
        <f aca="false">IF(D791=1,INDEX(Grid!$R$6:$X$156,C791+1,B791+1),"")</f>
        <v>59</v>
      </c>
      <c r="I791" s="2" t="str">
        <f aca="false">IF(D791=1,INDEX(Sch_label,H791+1),"")</f>
        <v>1–3, 5, 6</v>
      </c>
      <c r="J791" s="15" t="n">
        <f aca="false">IF(D791=1,INDEX(Grid!$Z$6:$AF$156,C791+1,B791+1),0)</f>
        <v>1</v>
      </c>
      <c r="K791" s="16" t="n">
        <f aca="false">IF(J791=1,E791,0)</f>
        <v>159.548866790362</v>
      </c>
      <c r="L791" s="17" t="n">
        <f aca="false">IF(D791=1,E791+W_board*F791,"")</f>
        <v>925.116634425797</v>
      </c>
      <c r="M791" s="24" t="n">
        <v>1</v>
      </c>
      <c r="N791" s="25" t="n">
        <v>0.121286736192899</v>
      </c>
      <c r="O791" s="25" t="n">
        <v>0.833039660615901</v>
      </c>
      <c r="P791" s="25" t="n">
        <v>0.0456736031911999</v>
      </c>
      <c r="Z791" s="12" t="n">
        <f aca="false">IF(AND($J791=1,$M791=1),N791*E791/Span_P+O791*F791/Span_S+P791*G791/Span_B,"")</f>
        <v>1.72865330050023</v>
      </c>
      <c r="AA791" s="12" t="n">
        <f aca="false">IF(AND($J791=1,$M791=1),SUMPRODUCT(MAX($J$6:$J$1062*(N791*$K$6:$K$1062/Span_P+O791*$F$6:$F$1062/Span_S+P791*$G$6:$G$1062/Span_B)-(1-$J$6:$J$1062)*1000000000)),"")</f>
        <v>1.72865330050023</v>
      </c>
      <c r="AB791" s="15" t="n">
        <f aca="false">IF(AND($J791=1,$M791=1),IF(AA791-Z791&lt;=0.000000001,1,0),"")</f>
        <v>1</v>
      </c>
      <c r="AC791" s="13" t="str">
        <f aca="false">IF(AND($J791=1,$M791=0),IF(S791="",0,S791*INDEX(Grid!$B$6:$H$156,R791+1,Q791+1))+IF(V791="",0,V791*INDEX(Grid!$B$6:$H$156,U791+1,T791+1))+IF(Y791="",0,Y791*INDEX(Grid!$B$6:$H$156,X791+1,W791+1)),"")</f>
        <v/>
      </c>
      <c r="AD791" s="13" t="str">
        <f aca="false">IF(AND($J791=1,$M791=0),IF(S791="",0,S791*Val_pt*(Ceiling_e-E_zero)*(1-(1-Half_gap)^Q791))+IF(V791="",0,V791*Val_pt*(Ceiling_e-E_zero)*(1-(1-Half_gap)^T791))+IF(Y791="",0,Y791*Val_pt*(Ceiling_e-E_zero)*(1-(1-Half_gap)^W791)),"")</f>
        <v/>
      </c>
      <c r="AE791" s="13" t="str">
        <f aca="false">IF(AND($J791=1,$M791=0),IF(S791="",0,S791*R791)+IF(V791="",0,V791*U791)+IF(Y791="",0,Y791*X791),"")</f>
        <v/>
      </c>
      <c r="AF791" s="12" t="str">
        <f aca="false">IF(AND($J791=1,$M791=0),MIN((AC791-E791)/Span_P,(AD791-F791)/Span_S,(AE791-G791)/Span_B),"")</f>
        <v/>
      </c>
      <c r="AG791" s="15" t="str">
        <f aca="false">IF(AND($J791=1,$M791=0),IF(AF791&gt;0.0000001,1,0),"")</f>
        <v/>
      </c>
      <c r="AH791" s="15" t="n">
        <f aca="false">IF($J791=1,IF($M791=1,AB791,AG791),"")</f>
        <v>1</v>
      </c>
      <c r="AI791" s="13" t="n">
        <f aca="false">IF($J791=1,(Ideal_P-E791)/Span_P,"")</f>
        <v>0.620312390029788</v>
      </c>
      <c r="AJ791" s="13" t="n">
        <f aca="false">IF($J791=1,(Ideal_S-F791)/Span_S,"")</f>
        <v>0.032258064516129</v>
      </c>
      <c r="AK791" s="13" t="n">
        <f aca="false">IF($J791=1,(Ideal_B-G791)/Span_B,"")</f>
        <v>0.8</v>
      </c>
      <c r="AL791" s="12" t="n">
        <f aca="false">IF($J791=1,MAX(ChA_1*AI791,ChA_2*AJ791,ChA_3*AK791)+Rho*(ChA_1*AI791+ChA_2*AJ791+ChA_3*AK791),"")</f>
        <v>0.800145257045455</v>
      </c>
      <c r="AM791" s="12" t="n">
        <f aca="false">IF($J791=1,MAX(ChB_1*AI791,ChB_2*AJ791,ChB_3*AK791)+Rho*(ChB_1*AI791+ChB_2*AJ791+ChB_3*AK791),"")</f>
        <v>1.24083206834403</v>
      </c>
      <c r="AN791" s="12" t="n">
        <f aca="false">IF($J791=1,MAX(Cx_1*(Ref_P-E791)/Span_P,Cx_2*(Ref_S-F791)/Span_S,Cx_3*(Ref_B-G791)/Span_B),"")</f>
        <v>2.04201680672269</v>
      </c>
    </row>
    <row r="792" customFormat="false" ht="15" hidden="false" customHeight="false" outlineLevel="0" collapsed="false">
      <c r="A792" s="2" t="n">
        <v>786</v>
      </c>
      <c r="B792" s="15" t="n">
        <f aca="false">INT(A792/151)</f>
        <v>5</v>
      </c>
      <c r="C792" s="15" t="n">
        <f aca="false">MOD(A792,151)</f>
        <v>31</v>
      </c>
      <c r="D792" s="15" t="n">
        <f aca="false">INDEX(Grid!$J$6:$P$156,C792+1,B792+1)</f>
        <v>1</v>
      </c>
      <c r="E792" s="16" t="n">
        <f aca="false">IF(D792=1,INDEX(Grid!$B$6:$H$156,C792+1,B792+1),"")</f>
        <v>158.639775881271</v>
      </c>
      <c r="F792" s="13" t="n">
        <f aca="false">Val_pt*(Ceiling_e-E_zero)*(1-(1-Half_gap)^B792)</f>
        <v>135.625</v>
      </c>
      <c r="G792" s="15" t="n">
        <f aca="false">C792</f>
        <v>31</v>
      </c>
      <c r="H792" s="15" t="n">
        <f aca="false">IF(D792=1,INDEX(Grid!$R$6:$X$156,C792+1,B792+1),"")</f>
        <v>59</v>
      </c>
      <c r="I792" s="2" t="str">
        <f aca="false">IF(D792=1,INDEX(Sch_label,H792+1),"")</f>
        <v>1–3, 5, 6</v>
      </c>
      <c r="J792" s="15" t="n">
        <f aca="false">IF(D792=1,INDEX(Grid!$Z$6:$AF$156,C792+1,B792+1),0)</f>
        <v>1</v>
      </c>
      <c r="K792" s="16" t="n">
        <f aca="false">IF(J792=1,E792,0)</f>
        <v>158.639775881271</v>
      </c>
      <c r="L792" s="17" t="n">
        <f aca="false">IF(D792=1,E792+W_board*F792,"")</f>
        <v>924.207543516706</v>
      </c>
      <c r="M792" s="24" t="n">
        <v>1</v>
      </c>
      <c r="N792" s="25" t="n">
        <v>0.1212867361929</v>
      </c>
      <c r="O792" s="25" t="n">
        <v>0.833039660615898</v>
      </c>
      <c r="P792" s="25" t="n">
        <v>0.0456736031912011</v>
      </c>
      <c r="Z792" s="12" t="n">
        <f aca="false">IF(AND($J792=1,$M792=1),N792*E792/Span_P+O792*F792/Span_S+P792*G792/Span_B,"")</f>
        <v>1.72865330050022</v>
      </c>
      <c r="AA792" s="12" t="n">
        <f aca="false">IF(AND($J792=1,$M792=1),SUMPRODUCT(MAX($J$6:$J$1062*(N792*$K$6:$K$1062/Span_P+O792*$F$6:$F$1062/Span_S+P792*$G$6:$G$1062/Span_B)-(1-$J$6:$J$1062)*1000000000)),"")</f>
        <v>1.72865330050022</v>
      </c>
      <c r="AB792" s="15" t="n">
        <f aca="false">IF(AND($J792=1,$M792=1),IF(AA792-Z792&lt;=0.000000001,1,0),"")</f>
        <v>1</v>
      </c>
      <c r="AC792" s="13" t="str">
        <f aca="false">IF(AND($J792=1,$M792=0),IF(S792="",0,S792*INDEX(Grid!$B$6:$H$156,R792+1,Q792+1))+IF(V792="",0,V792*INDEX(Grid!$B$6:$H$156,U792+1,T792+1))+IF(Y792="",0,Y792*INDEX(Grid!$B$6:$H$156,X792+1,W792+1)),"")</f>
        <v/>
      </c>
      <c r="AD792" s="13" t="str">
        <f aca="false">IF(AND($J792=1,$M792=0),IF(S792="",0,S792*Val_pt*(Ceiling_e-E_zero)*(1-(1-Half_gap)^Q792))+IF(V792="",0,V792*Val_pt*(Ceiling_e-E_zero)*(1-(1-Half_gap)^T792))+IF(Y792="",0,Y792*Val_pt*(Ceiling_e-E_zero)*(1-(1-Half_gap)^W792)),"")</f>
        <v/>
      </c>
      <c r="AE792" s="13" t="str">
        <f aca="false">IF(AND($J792=1,$M792=0),IF(S792="",0,S792*R792)+IF(V792="",0,V792*U792)+IF(Y792="",0,Y792*X792),"")</f>
        <v/>
      </c>
      <c r="AF792" s="12" t="str">
        <f aca="false">IF(AND($J792=1,$M792=0),MIN((AC792-E792)/Span_P,(AD792-F792)/Span_S,(AE792-G792)/Span_B),"")</f>
        <v/>
      </c>
      <c r="AG792" s="15" t="str">
        <f aca="false">IF(AND($J792=1,$M792=0),IF(AF792&gt;0.0000001,1,0),"")</f>
        <v/>
      </c>
      <c r="AH792" s="15" t="n">
        <f aca="false">IF($J792=1,IF($M792=1,AB792,AG792),"")</f>
        <v>1</v>
      </c>
      <c r="AI792" s="13" t="n">
        <f aca="false">IF($J792=1,(Ideal_P-E792)/Span_P,"")</f>
        <v>0.622822892806094</v>
      </c>
      <c r="AJ792" s="13" t="n">
        <f aca="false">IF($J792=1,(Ideal_S-F792)/Span_S,"")</f>
        <v>0.032258064516129</v>
      </c>
      <c r="AK792" s="13" t="n">
        <f aca="false">IF($J792=1,(Ideal_B-G792)/Span_B,"")</f>
        <v>0.793333333333333</v>
      </c>
      <c r="AL792" s="12" t="n">
        <f aca="false">IF($J792=1,MAX(ChA_1*AI792,ChA_2*AJ792,ChA_3*AK792)+Rho*(ChA_1*AI792+ChA_2*AJ792+ChA_3*AK792),"")</f>
        <v>0.793478174762399</v>
      </c>
      <c r="AM792" s="12" t="n">
        <f aca="false">IF($J792=1,MAX(ChB_1*AI792,ChB_2*AJ792,ChB_3*AK792)+Rho*(ChB_1*AI792+ChB_2*AJ792+ChB_3*AK792),"")</f>
        <v>1.24585290933053</v>
      </c>
      <c r="AN792" s="12" t="n">
        <f aca="false">IF($J792=1,MAX(Cx_1*(Ref_P-E792)/Span_P,Cx_2*(Ref_S-F792)/Span_S,Cx_3*(Ref_B-G792)/Span_B),"")</f>
        <v>2.02521008403361</v>
      </c>
    </row>
    <row r="793" customFormat="false" ht="15" hidden="false" customHeight="false" outlineLevel="0" collapsed="false">
      <c r="A793" s="2" t="n">
        <v>787</v>
      </c>
      <c r="B793" s="15" t="n">
        <f aca="false">INT(A793/151)</f>
        <v>5</v>
      </c>
      <c r="C793" s="15" t="n">
        <f aca="false">MOD(A793,151)</f>
        <v>32</v>
      </c>
      <c r="D793" s="15" t="n">
        <f aca="false">INDEX(Grid!$J$6:$P$156,C793+1,B793+1)</f>
        <v>1</v>
      </c>
      <c r="E793" s="16" t="n">
        <f aca="false">IF(D793=1,INDEX(Grid!$B$6:$H$156,C793+1,B793+1),"")</f>
        <v>157.73068497218</v>
      </c>
      <c r="F793" s="13" t="n">
        <f aca="false">Val_pt*(Ceiling_e-E_zero)*(1-(1-Half_gap)^B793)</f>
        <v>135.625</v>
      </c>
      <c r="G793" s="15" t="n">
        <f aca="false">C793</f>
        <v>32</v>
      </c>
      <c r="H793" s="15" t="n">
        <f aca="false">IF(D793=1,INDEX(Grid!$R$6:$X$156,C793+1,B793+1),"")</f>
        <v>59</v>
      </c>
      <c r="I793" s="2" t="str">
        <f aca="false">IF(D793=1,INDEX(Sch_label,H793+1),"")</f>
        <v>1–3, 5, 6</v>
      </c>
      <c r="J793" s="15" t="n">
        <f aca="false">IF(D793=1,INDEX(Grid!$Z$6:$AF$156,C793+1,B793+1),0)</f>
        <v>1</v>
      </c>
      <c r="K793" s="16" t="n">
        <f aca="false">IF(J793=1,E793,0)</f>
        <v>157.73068497218</v>
      </c>
      <c r="L793" s="17" t="n">
        <f aca="false">IF(D793=1,E793+W_board*F793,"")</f>
        <v>923.298452607615</v>
      </c>
      <c r="M793" s="24" t="n">
        <v>1</v>
      </c>
      <c r="N793" s="25" t="n">
        <v>0.121286736192901</v>
      </c>
      <c r="O793" s="25" t="n">
        <v>0.833039660615898</v>
      </c>
      <c r="P793" s="25" t="n">
        <v>0.0456736031912014</v>
      </c>
      <c r="Z793" s="12" t="n">
        <f aca="false">IF(AND($J793=1,$M793=1),N793*E793/Span_P+O793*F793/Span_S+P793*G793/Span_B,"")</f>
        <v>1.72865330050022</v>
      </c>
      <c r="AA793" s="12" t="n">
        <f aca="false">IF(AND($J793=1,$M793=1),SUMPRODUCT(MAX($J$6:$J$1062*(N793*$K$6:$K$1062/Span_P+O793*$F$6:$F$1062/Span_S+P793*$G$6:$G$1062/Span_B)-(1-$J$6:$J$1062)*1000000000)),"")</f>
        <v>1.72865330050022</v>
      </c>
      <c r="AB793" s="15" t="n">
        <f aca="false">IF(AND($J793=1,$M793=1),IF(AA793-Z793&lt;=0.000000001,1,0),"")</f>
        <v>1</v>
      </c>
      <c r="AC793" s="13" t="str">
        <f aca="false">IF(AND($J793=1,$M793=0),IF(S793="",0,S793*INDEX(Grid!$B$6:$H$156,R793+1,Q793+1))+IF(V793="",0,V793*INDEX(Grid!$B$6:$H$156,U793+1,T793+1))+IF(Y793="",0,Y793*INDEX(Grid!$B$6:$H$156,X793+1,W793+1)),"")</f>
        <v/>
      </c>
      <c r="AD793" s="13" t="str">
        <f aca="false">IF(AND($J793=1,$M793=0),IF(S793="",0,S793*Val_pt*(Ceiling_e-E_zero)*(1-(1-Half_gap)^Q793))+IF(V793="",0,V793*Val_pt*(Ceiling_e-E_zero)*(1-(1-Half_gap)^T793))+IF(Y793="",0,Y793*Val_pt*(Ceiling_e-E_zero)*(1-(1-Half_gap)^W793)),"")</f>
        <v/>
      </c>
      <c r="AE793" s="13" t="str">
        <f aca="false">IF(AND($J793=1,$M793=0),IF(S793="",0,S793*R793)+IF(V793="",0,V793*U793)+IF(Y793="",0,Y793*X793),"")</f>
        <v/>
      </c>
      <c r="AF793" s="12" t="str">
        <f aca="false">IF(AND($J793=1,$M793=0),MIN((AC793-E793)/Span_P,(AD793-F793)/Span_S,(AE793-G793)/Span_B),"")</f>
        <v/>
      </c>
      <c r="AG793" s="15" t="str">
        <f aca="false">IF(AND($J793=1,$M793=0),IF(AF793&gt;0.0000001,1,0),"")</f>
        <v/>
      </c>
      <c r="AH793" s="15" t="n">
        <f aca="false">IF($J793=1,IF($M793=1,AB793,AG793),"")</f>
        <v>1</v>
      </c>
      <c r="AI793" s="13" t="n">
        <f aca="false">IF($J793=1,(Ideal_P-E793)/Span_P,"")</f>
        <v>0.6253333955824</v>
      </c>
      <c r="AJ793" s="13" t="n">
        <f aca="false">IF($J793=1,(Ideal_S-F793)/Span_S,"")</f>
        <v>0.032258064516129</v>
      </c>
      <c r="AK793" s="13" t="n">
        <f aca="false">IF($J793=1,(Ideal_B-G793)/Span_B,"")</f>
        <v>0.786666666666667</v>
      </c>
      <c r="AL793" s="12" t="n">
        <f aca="false">IF($J793=1,MAX(ChA_1*AI793,ChA_2*AJ793,ChA_3*AK793)+Rho*(ChA_1*AI793+ChA_2*AJ793+ChA_3*AK793),"")</f>
        <v>0.786811092479343</v>
      </c>
      <c r="AM793" s="12" t="n">
        <f aca="false">IF($J793=1,MAX(ChB_1*AI793,ChB_2*AJ793,ChB_3*AK793)+Rho*(ChB_1*AI793+ChB_2*AJ793+ChB_3*AK793),"")</f>
        <v>1.25087375031703</v>
      </c>
      <c r="AN793" s="12" t="n">
        <f aca="false">IF($J793=1,MAX(Cx_1*(Ref_P-E793)/Span_P,Cx_2*(Ref_S-F793)/Span_S,Cx_3*(Ref_B-G793)/Span_B),"")</f>
        <v>2.00840336134454</v>
      </c>
    </row>
    <row r="794" customFormat="false" ht="15" hidden="false" customHeight="false" outlineLevel="0" collapsed="false">
      <c r="A794" s="2" t="n">
        <v>788</v>
      </c>
      <c r="B794" s="15" t="n">
        <f aca="false">INT(A794/151)</f>
        <v>5</v>
      </c>
      <c r="C794" s="15" t="n">
        <f aca="false">MOD(A794,151)</f>
        <v>33</v>
      </c>
      <c r="D794" s="15" t="n">
        <f aca="false">INDEX(Grid!$J$6:$P$156,C794+1,B794+1)</f>
        <v>1</v>
      </c>
      <c r="E794" s="16" t="n">
        <f aca="false">IF(D794=1,INDEX(Grid!$B$6:$H$156,C794+1,B794+1),"")</f>
        <v>156.821594063089</v>
      </c>
      <c r="F794" s="13" t="n">
        <f aca="false">Val_pt*(Ceiling_e-E_zero)*(1-(1-Half_gap)^B794)</f>
        <v>135.625</v>
      </c>
      <c r="G794" s="15" t="n">
        <f aca="false">C794</f>
        <v>33</v>
      </c>
      <c r="H794" s="15" t="n">
        <f aca="false">IF(D794=1,INDEX(Grid!$R$6:$X$156,C794+1,B794+1),"")</f>
        <v>59</v>
      </c>
      <c r="I794" s="2" t="str">
        <f aca="false">IF(D794=1,INDEX(Sch_label,H794+1),"")</f>
        <v>1–3, 5, 6</v>
      </c>
      <c r="J794" s="15" t="n">
        <f aca="false">IF(D794=1,INDEX(Grid!$Z$6:$AF$156,C794+1,B794+1),0)</f>
        <v>1</v>
      </c>
      <c r="K794" s="16" t="n">
        <f aca="false">IF(J794=1,E794,0)</f>
        <v>156.821594063089</v>
      </c>
      <c r="L794" s="17" t="n">
        <f aca="false">IF(D794=1,E794+W_board*F794,"")</f>
        <v>922.389361698525</v>
      </c>
      <c r="M794" s="24" t="n">
        <v>1</v>
      </c>
      <c r="N794" s="25" t="n">
        <v>0.121286736192901</v>
      </c>
      <c r="O794" s="25" t="n">
        <v>0.833039660615898</v>
      </c>
      <c r="P794" s="25" t="n">
        <v>0.0456736031912014</v>
      </c>
      <c r="Z794" s="12" t="n">
        <f aca="false">IF(AND($J794=1,$M794=1),N794*E794/Span_P+O794*F794/Span_S+P794*G794/Span_B,"")</f>
        <v>1.72865330050022</v>
      </c>
      <c r="AA794" s="12" t="n">
        <f aca="false">IF(AND($J794=1,$M794=1),SUMPRODUCT(MAX($J$6:$J$1062*(N794*$K$6:$K$1062/Span_P+O794*$F$6:$F$1062/Span_S+P794*$G$6:$G$1062/Span_B)-(1-$J$6:$J$1062)*1000000000)),"")</f>
        <v>1.72865330050022</v>
      </c>
      <c r="AB794" s="15" t="n">
        <f aca="false">IF(AND($J794=1,$M794=1),IF(AA794-Z794&lt;=0.000000001,1,0),"")</f>
        <v>1</v>
      </c>
      <c r="AC794" s="13" t="str">
        <f aca="false">IF(AND($J794=1,$M794=0),IF(S794="",0,S794*INDEX(Grid!$B$6:$H$156,R794+1,Q794+1))+IF(V794="",0,V794*INDEX(Grid!$B$6:$H$156,U794+1,T794+1))+IF(Y794="",0,Y794*INDEX(Grid!$B$6:$H$156,X794+1,W794+1)),"")</f>
        <v/>
      </c>
      <c r="AD794" s="13" t="str">
        <f aca="false">IF(AND($J794=1,$M794=0),IF(S794="",0,S794*Val_pt*(Ceiling_e-E_zero)*(1-(1-Half_gap)^Q794))+IF(V794="",0,V794*Val_pt*(Ceiling_e-E_zero)*(1-(1-Half_gap)^T794))+IF(Y794="",0,Y794*Val_pt*(Ceiling_e-E_zero)*(1-(1-Half_gap)^W794)),"")</f>
        <v/>
      </c>
      <c r="AE794" s="13" t="str">
        <f aca="false">IF(AND($J794=1,$M794=0),IF(S794="",0,S794*R794)+IF(V794="",0,V794*U794)+IF(Y794="",0,Y794*X794),"")</f>
        <v/>
      </c>
      <c r="AF794" s="12" t="str">
        <f aca="false">IF(AND($J794=1,$M794=0),MIN((AC794-E794)/Span_P,(AD794-F794)/Span_S,(AE794-G794)/Span_B),"")</f>
        <v/>
      </c>
      <c r="AG794" s="15" t="str">
        <f aca="false">IF(AND($J794=1,$M794=0),IF(AF794&gt;0.0000001,1,0),"")</f>
        <v/>
      </c>
      <c r="AH794" s="15" t="n">
        <f aca="false">IF($J794=1,IF($M794=1,AB794,AG794),"")</f>
        <v>1</v>
      </c>
      <c r="AI794" s="13" t="n">
        <f aca="false">IF($J794=1,(Ideal_P-E794)/Span_P,"")</f>
        <v>0.627843898358706</v>
      </c>
      <c r="AJ794" s="13" t="n">
        <f aca="false">IF($J794=1,(Ideal_S-F794)/Span_S,"")</f>
        <v>0.032258064516129</v>
      </c>
      <c r="AK794" s="13" t="n">
        <f aca="false">IF($J794=1,(Ideal_B-G794)/Span_B,"")</f>
        <v>0.78</v>
      </c>
      <c r="AL794" s="12" t="n">
        <f aca="false">IF($J794=1,MAX(ChA_1*AI794,ChA_2*AJ794,ChA_3*AK794)+Rho*(ChA_1*AI794+ChA_2*AJ794+ChA_3*AK794),"")</f>
        <v>0.780144010196288</v>
      </c>
      <c r="AM794" s="12" t="n">
        <f aca="false">IF($J794=1,MAX(ChB_1*AI794,ChB_2*AJ794,ChB_3*AK794)+Rho*(ChB_1*AI794+ChB_2*AJ794+ChB_3*AK794),"")</f>
        <v>1.25589459130353</v>
      </c>
      <c r="AN794" s="12" t="n">
        <f aca="false">IF($J794=1,MAX(Cx_1*(Ref_P-E794)/Span_P,Cx_2*(Ref_S-F794)/Span_S,Cx_3*(Ref_B-G794)/Span_B),"")</f>
        <v>1.99159663865546</v>
      </c>
    </row>
    <row r="795" customFormat="false" ht="15" hidden="false" customHeight="false" outlineLevel="0" collapsed="false">
      <c r="A795" s="2" t="n">
        <v>789</v>
      </c>
      <c r="B795" s="15" t="n">
        <f aca="false">INT(A795/151)</f>
        <v>5</v>
      </c>
      <c r="C795" s="15" t="n">
        <f aca="false">MOD(A795,151)</f>
        <v>34</v>
      </c>
      <c r="D795" s="15" t="n">
        <f aca="false">INDEX(Grid!$J$6:$P$156,C795+1,B795+1)</f>
        <v>1</v>
      </c>
      <c r="E795" s="16" t="n">
        <f aca="false">IF(D795=1,INDEX(Grid!$B$6:$H$156,C795+1,B795+1),"")</f>
        <v>155.912503153998</v>
      </c>
      <c r="F795" s="13" t="n">
        <f aca="false">Val_pt*(Ceiling_e-E_zero)*(1-(1-Half_gap)^B795)</f>
        <v>135.625</v>
      </c>
      <c r="G795" s="15" t="n">
        <f aca="false">C795</f>
        <v>34</v>
      </c>
      <c r="H795" s="15" t="n">
        <f aca="false">IF(D795=1,INDEX(Grid!$R$6:$X$156,C795+1,B795+1),"")</f>
        <v>59</v>
      </c>
      <c r="I795" s="2" t="str">
        <f aca="false">IF(D795=1,INDEX(Sch_label,H795+1),"")</f>
        <v>1–3, 5, 6</v>
      </c>
      <c r="J795" s="15" t="n">
        <f aca="false">IF(D795=1,INDEX(Grid!$Z$6:$AF$156,C795+1,B795+1),0)</f>
        <v>1</v>
      </c>
      <c r="K795" s="16" t="n">
        <f aca="false">IF(J795=1,E795,0)</f>
        <v>155.912503153998</v>
      </c>
      <c r="L795" s="17" t="n">
        <f aca="false">IF(D795=1,E795+W_board*F795,"")</f>
        <v>921.480270789434</v>
      </c>
      <c r="M795" s="24" t="n">
        <v>1</v>
      </c>
      <c r="N795" s="25" t="n">
        <v>0.1212867361929</v>
      </c>
      <c r="O795" s="25" t="n">
        <v>0.833039660615899</v>
      </c>
      <c r="P795" s="25" t="n">
        <v>0.0456736031912011</v>
      </c>
      <c r="Z795" s="12" t="n">
        <f aca="false">IF(AND($J795=1,$M795=1),N795*E795/Span_P+O795*F795/Span_S+P795*G795/Span_B,"")</f>
        <v>1.72865330050022</v>
      </c>
      <c r="AA795" s="12" t="n">
        <f aca="false">IF(AND($J795=1,$M795=1),SUMPRODUCT(MAX($J$6:$J$1062*(N795*$K$6:$K$1062/Span_P+O795*$F$6:$F$1062/Span_S+P795*$G$6:$G$1062/Span_B)-(1-$J$6:$J$1062)*1000000000)),"")</f>
        <v>1.72865330050022</v>
      </c>
      <c r="AB795" s="15" t="n">
        <f aca="false">IF(AND($J795=1,$M795=1),IF(AA795-Z795&lt;=0.000000001,1,0),"")</f>
        <v>1</v>
      </c>
      <c r="AC795" s="13" t="str">
        <f aca="false">IF(AND($J795=1,$M795=0),IF(S795="",0,S795*INDEX(Grid!$B$6:$H$156,R795+1,Q795+1))+IF(V795="",0,V795*INDEX(Grid!$B$6:$H$156,U795+1,T795+1))+IF(Y795="",0,Y795*INDEX(Grid!$B$6:$H$156,X795+1,W795+1)),"")</f>
        <v/>
      </c>
      <c r="AD795" s="13" t="str">
        <f aca="false">IF(AND($J795=1,$M795=0),IF(S795="",0,S795*Val_pt*(Ceiling_e-E_zero)*(1-(1-Half_gap)^Q795))+IF(V795="",0,V795*Val_pt*(Ceiling_e-E_zero)*(1-(1-Half_gap)^T795))+IF(Y795="",0,Y795*Val_pt*(Ceiling_e-E_zero)*(1-(1-Half_gap)^W795)),"")</f>
        <v/>
      </c>
      <c r="AE795" s="13" t="str">
        <f aca="false">IF(AND($J795=1,$M795=0),IF(S795="",0,S795*R795)+IF(V795="",0,V795*U795)+IF(Y795="",0,Y795*X795),"")</f>
        <v/>
      </c>
      <c r="AF795" s="12" t="str">
        <f aca="false">IF(AND($J795=1,$M795=0),MIN((AC795-E795)/Span_P,(AD795-F795)/Span_S,(AE795-G795)/Span_B),"")</f>
        <v/>
      </c>
      <c r="AG795" s="15" t="str">
        <f aca="false">IF(AND($J795=1,$M795=0),IF(AF795&gt;0.0000001,1,0),"")</f>
        <v/>
      </c>
      <c r="AH795" s="15" t="n">
        <f aca="false">IF($J795=1,IF($M795=1,AB795,AG795),"")</f>
        <v>1</v>
      </c>
      <c r="AI795" s="13" t="n">
        <f aca="false">IF($J795=1,(Ideal_P-E795)/Span_P,"")</f>
        <v>0.630354401135011</v>
      </c>
      <c r="AJ795" s="13" t="n">
        <f aca="false">IF($J795=1,(Ideal_S-F795)/Span_S,"")</f>
        <v>0.032258064516129</v>
      </c>
      <c r="AK795" s="13" t="n">
        <f aca="false">IF($J795=1,(Ideal_B-G795)/Span_B,"")</f>
        <v>0.773333333333333</v>
      </c>
      <c r="AL795" s="12" t="n">
        <f aca="false">IF($J795=1,MAX(ChA_1*AI795,ChA_2*AJ795,ChA_3*AK795)+Rho*(ChA_1*AI795+ChA_2*AJ795+ChA_3*AK795),"")</f>
        <v>0.773476927913232</v>
      </c>
      <c r="AM795" s="12" t="n">
        <f aca="false">IF($J795=1,MAX(ChB_1*AI795,ChB_2*AJ795,ChB_3*AK795)+Rho*(ChB_1*AI795+ChB_2*AJ795+ChB_3*AK795),"")</f>
        <v>1.26091543229003</v>
      </c>
      <c r="AN795" s="12" t="n">
        <f aca="false">IF($J795=1,MAX(Cx_1*(Ref_P-E795)/Span_P,Cx_2*(Ref_S-F795)/Span_S,Cx_3*(Ref_B-G795)/Span_B),"")</f>
        <v>1.97478991596639</v>
      </c>
    </row>
    <row r="796" customFormat="false" ht="15" hidden="false" customHeight="false" outlineLevel="0" collapsed="false">
      <c r="A796" s="2" t="n">
        <v>790</v>
      </c>
      <c r="B796" s="15" t="n">
        <f aca="false">INT(A796/151)</f>
        <v>5</v>
      </c>
      <c r="C796" s="15" t="n">
        <f aca="false">MOD(A796,151)</f>
        <v>35</v>
      </c>
      <c r="D796" s="15" t="n">
        <f aca="false">INDEX(Grid!$J$6:$P$156,C796+1,B796+1)</f>
        <v>1</v>
      </c>
      <c r="E796" s="16" t="n">
        <f aca="false">IF(D796=1,INDEX(Grid!$B$6:$H$156,C796+1,B796+1),"")</f>
        <v>155.003412244907</v>
      </c>
      <c r="F796" s="13" t="n">
        <f aca="false">Val_pt*(Ceiling_e-E_zero)*(1-(1-Half_gap)^B796)</f>
        <v>135.625</v>
      </c>
      <c r="G796" s="15" t="n">
        <f aca="false">C796</f>
        <v>35</v>
      </c>
      <c r="H796" s="15" t="n">
        <f aca="false">IF(D796=1,INDEX(Grid!$R$6:$X$156,C796+1,B796+1),"")</f>
        <v>59</v>
      </c>
      <c r="I796" s="2" t="str">
        <f aca="false">IF(D796=1,INDEX(Sch_label,H796+1),"")</f>
        <v>1–3, 5, 6</v>
      </c>
      <c r="J796" s="15" t="n">
        <f aca="false">IF(D796=1,INDEX(Grid!$Z$6:$AF$156,C796+1,B796+1),0)</f>
        <v>1</v>
      </c>
      <c r="K796" s="16" t="n">
        <f aca="false">IF(J796=1,E796,0)</f>
        <v>155.003412244907</v>
      </c>
      <c r="L796" s="17" t="n">
        <f aca="false">IF(D796=1,E796+W_board*F796,"")</f>
        <v>920.571179880343</v>
      </c>
      <c r="M796" s="24" t="n">
        <v>1</v>
      </c>
      <c r="N796" s="25" t="n">
        <v>0.121286736192901</v>
      </c>
      <c r="O796" s="25" t="n">
        <v>0.833039660615898</v>
      </c>
      <c r="P796" s="25" t="n">
        <v>0.0456736031912014</v>
      </c>
      <c r="Z796" s="12" t="n">
        <f aca="false">IF(AND($J796=1,$M796=1),N796*E796/Span_P+O796*F796/Span_S+P796*G796/Span_B,"")</f>
        <v>1.72865330050022</v>
      </c>
      <c r="AA796" s="12" t="n">
        <f aca="false">IF(AND($J796=1,$M796=1),SUMPRODUCT(MAX($J$6:$J$1062*(N796*$K$6:$K$1062/Span_P+O796*$F$6:$F$1062/Span_S+P796*$G$6:$G$1062/Span_B)-(1-$J$6:$J$1062)*1000000000)),"")</f>
        <v>1.72865330050022</v>
      </c>
      <c r="AB796" s="15" t="n">
        <f aca="false">IF(AND($J796=1,$M796=1),IF(AA796-Z796&lt;=0.000000001,1,0),"")</f>
        <v>1</v>
      </c>
      <c r="AC796" s="13" t="str">
        <f aca="false">IF(AND($J796=1,$M796=0),IF(S796="",0,S796*INDEX(Grid!$B$6:$H$156,R796+1,Q796+1))+IF(V796="",0,V796*INDEX(Grid!$B$6:$H$156,U796+1,T796+1))+IF(Y796="",0,Y796*INDEX(Grid!$B$6:$H$156,X796+1,W796+1)),"")</f>
        <v/>
      </c>
      <c r="AD796" s="13" t="str">
        <f aca="false">IF(AND($J796=1,$M796=0),IF(S796="",0,S796*Val_pt*(Ceiling_e-E_zero)*(1-(1-Half_gap)^Q796))+IF(V796="",0,V796*Val_pt*(Ceiling_e-E_zero)*(1-(1-Half_gap)^T796))+IF(Y796="",0,Y796*Val_pt*(Ceiling_e-E_zero)*(1-(1-Half_gap)^W796)),"")</f>
        <v/>
      </c>
      <c r="AE796" s="13" t="str">
        <f aca="false">IF(AND($J796=1,$M796=0),IF(S796="",0,S796*R796)+IF(V796="",0,V796*U796)+IF(Y796="",0,Y796*X796),"")</f>
        <v/>
      </c>
      <c r="AF796" s="12" t="str">
        <f aca="false">IF(AND($J796=1,$M796=0),MIN((AC796-E796)/Span_P,(AD796-F796)/Span_S,(AE796-G796)/Span_B),"")</f>
        <v/>
      </c>
      <c r="AG796" s="15" t="str">
        <f aca="false">IF(AND($J796=1,$M796=0),IF(AF796&gt;0.0000001,1,0),"")</f>
        <v/>
      </c>
      <c r="AH796" s="15" t="n">
        <f aca="false">IF($J796=1,IF($M796=1,AB796,AG796),"")</f>
        <v>1</v>
      </c>
      <c r="AI796" s="13" t="n">
        <f aca="false">IF($J796=1,(Ideal_P-E796)/Span_P,"")</f>
        <v>0.632864903911317</v>
      </c>
      <c r="AJ796" s="13" t="n">
        <f aca="false">IF($J796=1,(Ideal_S-F796)/Span_S,"")</f>
        <v>0.032258064516129</v>
      </c>
      <c r="AK796" s="13" t="n">
        <f aca="false">IF($J796=1,(Ideal_B-G796)/Span_B,"")</f>
        <v>0.766666666666667</v>
      </c>
      <c r="AL796" s="12" t="n">
        <f aca="false">IF($J796=1,MAX(ChA_1*AI796,ChA_2*AJ796,ChA_3*AK796)+Rho*(ChA_1*AI796+ChA_2*AJ796+ChA_3*AK796),"")</f>
        <v>0.766809845630176</v>
      </c>
      <c r="AM796" s="12" t="n">
        <f aca="false">IF($J796=1,MAX(ChB_1*AI796,ChB_2*AJ796,ChB_3*AK796)+Rho*(ChB_1*AI796+ChB_2*AJ796+ChB_3*AK796),"")</f>
        <v>1.26593627327654</v>
      </c>
      <c r="AN796" s="12" t="n">
        <f aca="false">IF($J796=1,MAX(Cx_1*(Ref_P-E796)/Span_P,Cx_2*(Ref_S-F796)/Span_S,Cx_3*(Ref_B-G796)/Span_B),"")</f>
        <v>1.95798319327731</v>
      </c>
    </row>
    <row r="797" customFormat="false" ht="15" hidden="false" customHeight="false" outlineLevel="0" collapsed="false">
      <c r="A797" s="2" t="n">
        <v>791</v>
      </c>
      <c r="B797" s="15" t="n">
        <f aca="false">INT(A797/151)</f>
        <v>5</v>
      </c>
      <c r="C797" s="15" t="n">
        <f aca="false">MOD(A797,151)</f>
        <v>36</v>
      </c>
      <c r="D797" s="15" t="n">
        <f aca="false">INDEX(Grid!$J$6:$P$156,C797+1,B797+1)</f>
        <v>1</v>
      </c>
      <c r="E797" s="16" t="n">
        <f aca="false">IF(D797=1,INDEX(Grid!$B$6:$H$156,C797+1,B797+1),"")</f>
        <v>154.094321335816</v>
      </c>
      <c r="F797" s="13" t="n">
        <f aca="false">Val_pt*(Ceiling_e-E_zero)*(1-(1-Half_gap)^B797)</f>
        <v>135.625</v>
      </c>
      <c r="G797" s="15" t="n">
        <f aca="false">C797</f>
        <v>36</v>
      </c>
      <c r="H797" s="15" t="n">
        <f aca="false">IF(D797=1,INDEX(Grid!$R$6:$X$156,C797+1,B797+1),"")</f>
        <v>59</v>
      </c>
      <c r="I797" s="2" t="str">
        <f aca="false">IF(D797=1,INDEX(Sch_label,H797+1),"")</f>
        <v>1–3, 5, 6</v>
      </c>
      <c r="J797" s="15" t="n">
        <f aca="false">IF(D797=1,INDEX(Grid!$Z$6:$AF$156,C797+1,B797+1),0)</f>
        <v>1</v>
      </c>
      <c r="K797" s="16" t="n">
        <f aca="false">IF(J797=1,E797,0)</f>
        <v>154.094321335816</v>
      </c>
      <c r="L797" s="17" t="n">
        <f aca="false">IF(D797=1,E797+W_board*F797,"")</f>
        <v>919.662088971252</v>
      </c>
      <c r="M797" s="24" t="n">
        <v>1</v>
      </c>
      <c r="N797" s="25" t="n">
        <v>0.1212867361929</v>
      </c>
      <c r="O797" s="25" t="n">
        <v>0.833039660615898</v>
      </c>
      <c r="P797" s="25" t="n">
        <v>0.0456736031912011</v>
      </c>
      <c r="Z797" s="12" t="n">
        <f aca="false">IF(AND($J797=1,$M797=1),N797*E797/Span_P+O797*F797/Span_S+P797*G797/Span_B,"")</f>
        <v>1.72865330050022</v>
      </c>
      <c r="AA797" s="12" t="n">
        <f aca="false">IF(AND($J797=1,$M797=1),SUMPRODUCT(MAX($J$6:$J$1062*(N797*$K$6:$K$1062/Span_P+O797*$F$6:$F$1062/Span_S+P797*$G$6:$G$1062/Span_B)-(1-$J$6:$J$1062)*1000000000)),"")</f>
        <v>1.72865330050022</v>
      </c>
      <c r="AB797" s="15" t="n">
        <f aca="false">IF(AND($J797=1,$M797=1),IF(AA797-Z797&lt;=0.000000001,1,0),"")</f>
        <v>1</v>
      </c>
      <c r="AC797" s="13" t="str">
        <f aca="false">IF(AND($J797=1,$M797=0),IF(S797="",0,S797*INDEX(Grid!$B$6:$H$156,R797+1,Q797+1))+IF(V797="",0,V797*INDEX(Grid!$B$6:$H$156,U797+1,T797+1))+IF(Y797="",0,Y797*INDEX(Grid!$B$6:$H$156,X797+1,W797+1)),"")</f>
        <v/>
      </c>
      <c r="AD797" s="13" t="str">
        <f aca="false">IF(AND($J797=1,$M797=0),IF(S797="",0,S797*Val_pt*(Ceiling_e-E_zero)*(1-(1-Half_gap)^Q797))+IF(V797="",0,V797*Val_pt*(Ceiling_e-E_zero)*(1-(1-Half_gap)^T797))+IF(Y797="",0,Y797*Val_pt*(Ceiling_e-E_zero)*(1-(1-Half_gap)^W797)),"")</f>
        <v/>
      </c>
      <c r="AE797" s="13" t="str">
        <f aca="false">IF(AND($J797=1,$M797=0),IF(S797="",0,S797*R797)+IF(V797="",0,V797*U797)+IF(Y797="",0,Y797*X797),"")</f>
        <v/>
      </c>
      <c r="AF797" s="12" t="str">
        <f aca="false">IF(AND($J797=1,$M797=0),MIN((AC797-E797)/Span_P,(AD797-F797)/Span_S,(AE797-G797)/Span_B),"")</f>
        <v/>
      </c>
      <c r="AG797" s="15" t="str">
        <f aca="false">IF(AND($J797=1,$M797=0),IF(AF797&gt;0.0000001,1,0),"")</f>
        <v/>
      </c>
      <c r="AH797" s="15" t="n">
        <f aca="false">IF($J797=1,IF($M797=1,AB797,AG797),"")</f>
        <v>1</v>
      </c>
      <c r="AI797" s="13" t="n">
        <f aca="false">IF($J797=1,(Ideal_P-E797)/Span_P,"")</f>
        <v>0.635375406687623</v>
      </c>
      <c r="AJ797" s="13" t="n">
        <f aca="false">IF($J797=1,(Ideal_S-F797)/Span_S,"")</f>
        <v>0.032258064516129</v>
      </c>
      <c r="AK797" s="13" t="n">
        <f aca="false">IF($J797=1,(Ideal_B-G797)/Span_B,"")</f>
        <v>0.76</v>
      </c>
      <c r="AL797" s="12" t="n">
        <f aca="false">IF($J797=1,MAX(ChA_1*AI797,ChA_2*AJ797,ChA_3*AK797)+Rho*(ChA_1*AI797+ChA_2*AJ797+ChA_3*AK797),"")</f>
        <v>0.76014276334712</v>
      </c>
      <c r="AM797" s="12" t="n">
        <f aca="false">IF($J797=1,MAX(ChB_1*AI797,ChB_2*AJ797,ChB_3*AK797)+Rho*(ChB_1*AI797+ChB_2*AJ797+ChB_3*AK797),"")</f>
        <v>1.27095711426304</v>
      </c>
      <c r="AN797" s="12" t="n">
        <f aca="false">IF($J797=1,MAX(Cx_1*(Ref_P-E797)/Span_P,Cx_2*(Ref_S-F797)/Span_S,Cx_3*(Ref_B-G797)/Span_B),"")</f>
        <v>1.94117647058824</v>
      </c>
    </row>
    <row r="798" customFormat="false" ht="15" hidden="false" customHeight="false" outlineLevel="0" collapsed="false">
      <c r="A798" s="2" t="n">
        <v>792</v>
      </c>
      <c r="B798" s="15" t="n">
        <f aca="false">INT(A798/151)</f>
        <v>5</v>
      </c>
      <c r="C798" s="15" t="n">
        <f aca="false">MOD(A798,151)</f>
        <v>37</v>
      </c>
      <c r="D798" s="15" t="n">
        <f aca="false">INDEX(Grid!$J$6:$P$156,C798+1,B798+1)</f>
        <v>1</v>
      </c>
      <c r="E798" s="16" t="n">
        <f aca="false">IF(D798=1,INDEX(Grid!$B$6:$H$156,C798+1,B798+1),"")</f>
        <v>153.185230426725</v>
      </c>
      <c r="F798" s="13" t="n">
        <f aca="false">Val_pt*(Ceiling_e-E_zero)*(1-(1-Half_gap)^B798)</f>
        <v>135.625</v>
      </c>
      <c r="G798" s="15" t="n">
        <f aca="false">C798</f>
        <v>37</v>
      </c>
      <c r="H798" s="15" t="n">
        <f aca="false">IF(D798=1,INDEX(Grid!$R$6:$X$156,C798+1,B798+1),"")</f>
        <v>59</v>
      </c>
      <c r="I798" s="2" t="str">
        <f aca="false">IF(D798=1,INDEX(Sch_label,H798+1),"")</f>
        <v>1–3, 5, 6</v>
      </c>
      <c r="J798" s="15" t="n">
        <f aca="false">IF(D798=1,INDEX(Grid!$Z$6:$AF$156,C798+1,B798+1),0)</f>
        <v>1</v>
      </c>
      <c r="K798" s="16" t="n">
        <f aca="false">IF(J798=1,E798,0)</f>
        <v>153.185230426725</v>
      </c>
      <c r="L798" s="17" t="n">
        <f aca="false">IF(D798=1,E798+W_board*F798,"")</f>
        <v>918.752998062161</v>
      </c>
      <c r="M798" s="24" t="n">
        <v>1</v>
      </c>
      <c r="N798" s="25" t="n">
        <v>0.1212867361929</v>
      </c>
      <c r="O798" s="25" t="n">
        <v>0.833039660615899</v>
      </c>
      <c r="P798" s="25" t="n">
        <v>0.0456736031912011</v>
      </c>
      <c r="Z798" s="12" t="n">
        <f aca="false">IF(AND($J798=1,$M798=1),N798*E798/Span_P+O798*F798/Span_S+P798*G798/Span_B,"")</f>
        <v>1.72865330050022</v>
      </c>
      <c r="AA798" s="12" t="n">
        <f aca="false">IF(AND($J798=1,$M798=1),SUMPRODUCT(MAX($J$6:$J$1062*(N798*$K$6:$K$1062/Span_P+O798*$F$6:$F$1062/Span_S+P798*$G$6:$G$1062/Span_B)-(1-$J$6:$J$1062)*1000000000)),"")</f>
        <v>1.72865330050022</v>
      </c>
      <c r="AB798" s="15" t="n">
        <f aca="false">IF(AND($J798=1,$M798=1),IF(AA798-Z798&lt;=0.000000001,1,0),"")</f>
        <v>1</v>
      </c>
      <c r="AC798" s="13" t="str">
        <f aca="false">IF(AND($J798=1,$M798=0),IF(S798="",0,S798*INDEX(Grid!$B$6:$H$156,R798+1,Q798+1))+IF(V798="",0,V798*INDEX(Grid!$B$6:$H$156,U798+1,T798+1))+IF(Y798="",0,Y798*INDEX(Grid!$B$6:$H$156,X798+1,W798+1)),"")</f>
        <v/>
      </c>
      <c r="AD798" s="13" t="str">
        <f aca="false">IF(AND($J798=1,$M798=0),IF(S798="",0,S798*Val_pt*(Ceiling_e-E_zero)*(1-(1-Half_gap)^Q798))+IF(V798="",0,V798*Val_pt*(Ceiling_e-E_zero)*(1-(1-Half_gap)^T798))+IF(Y798="",0,Y798*Val_pt*(Ceiling_e-E_zero)*(1-(1-Half_gap)^W798)),"")</f>
        <v/>
      </c>
      <c r="AE798" s="13" t="str">
        <f aca="false">IF(AND($J798=1,$M798=0),IF(S798="",0,S798*R798)+IF(V798="",0,V798*U798)+IF(Y798="",0,Y798*X798),"")</f>
        <v/>
      </c>
      <c r="AF798" s="12" t="str">
        <f aca="false">IF(AND($J798=1,$M798=0),MIN((AC798-E798)/Span_P,(AD798-F798)/Span_S,(AE798-G798)/Span_B),"")</f>
        <v/>
      </c>
      <c r="AG798" s="15" t="str">
        <f aca="false">IF(AND($J798=1,$M798=0),IF(AF798&gt;0.0000001,1,0),"")</f>
        <v/>
      </c>
      <c r="AH798" s="15" t="n">
        <f aca="false">IF($J798=1,IF($M798=1,AB798,AG798),"")</f>
        <v>1</v>
      </c>
      <c r="AI798" s="13" t="n">
        <f aca="false">IF($J798=1,(Ideal_P-E798)/Span_P,"")</f>
        <v>0.637885909463929</v>
      </c>
      <c r="AJ798" s="13" t="n">
        <f aca="false">IF($J798=1,(Ideal_S-F798)/Span_S,"")</f>
        <v>0.032258064516129</v>
      </c>
      <c r="AK798" s="13" t="n">
        <f aca="false">IF($J798=1,(Ideal_B-G798)/Span_B,"")</f>
        <v>0.753333333333333</v>
      </c>
      <c r="AL798" s="12" t="n">
        <f aca="false">IF($J798=1,MAX(ChA_1*AI798,ChA_2*AJ798,ChA_3*AK798)+Rho*(ChA_1*AI798+ChA_2*AJ798+ChA_3*AK798),"")</f>
        <v>0.753475681064065</v>
      </c>
      <c r="AM798" s="12" t="n">
        <f aca="false">IF($J798=1,MAX(ChB_1*AI798,ChB_2*AJ798,ChB_3*AK798)+Rho*(ChB_1*AI798+ChB_2*AJ798+ChB_3*AK798),"")</f>
        <v>1.27597795524954</v>
      </c>
      <c r="AN798" s="12" t="n">
        <f aca="false">IF($J798=1,MAX(Cx_1*(Ref_P-E798)/Span_P,Cx_2*(Ref_S-F798)/Span_S,Cx_3*(Ref_B-G798)/Span_B),"")</f>
        <v>1.92436974789916</v>
      </c>
    </row>
    <row r="799" customFormat="false" ht="15" hidden="false" customHeight="false" outlineLevel="0" collapsed="false">
      <c r="A799" s="2" t="n">
        <v>793</v>
      </c>
      <c r="B799" s="15" t="n">
        <f aca="false">INT(A799/151)</f>
        <v>5</v>
      </c>
      <c r="C799" s="15" t="n">
        <f aca="false">MOD(A799,151)</f>
        <v>38</v>
      </c>
      <c r="D799" s="15" t="n">
        <f aca="false">INDEX(Grid!$J$6:$P$156,C799+1,B799+1)</f>
        <v>1</v>
      </c>
      <c r="E799" s="16" t="n">
        <f aca="false">IF(D799=1,INDEX(Grid!$B$6:$H$156,C799+1,B799+1),"")</f>
        <v>152.276139517634</v>
      </c>
      <c r="F799" s="13" t="n">
        <f aca="false">Val_pt*(Ceiling_e-E_zero)*(1-(1-Half_gap)^B799)</f>
        <v>135.625</v>
      </c>
      <c r="G799" s="15" t="n">
        <f aca="false">C799</f>
        <v>38</v>
      </c>
      <c r="H799" s="15" t="n">
        <f aca="false">IF(D799=1,INDEX(Grid!$R$6:$X$156,C799+1,B799+1),"")</f>
        <v>59</v>
      </c>
      <c r="I799" s="2" t="str">
        <f aca="false">IF(D799=1,INDEX(Sch_label,H799+1),"")</f>
        <v>1–3, 5, 6</v>
      </c>
      <c r="J799" s="15" t="n">
        <f aca="false">IF(D799=1,INDEX(Grid!$Z$6:$AF$156,C799+1,B799+1),0)</f>
        <v>1</v>
      </c>
      <c r="K799" s="16" t="n">
        <f aca="false">IF(J799=1,E799,0)</f>
        <v>152.276139517634</v>
      </c>
      <c r="L799" s="17" t="n">
        <f aca="false">IF(D799=1,E799+W_board*F799,"")</f>
        <v>917.84390715307</v>
      </c>
      <c r="M799" s="24" t="n">
        <v>1</v>
      </c>
      <c r="N799" s="25" t="n">
        <v>0.121286736192901</v>
      </c>
      <c r="O799" s="25" t="n">
        <v>0.833039660615898</v>
      </c>
      <c r="P799" s="25" t="n">
        <v>0.0456736031912014</v>
      </c>
      <c r="Z799" s="12" t="n">
        <f aca="false">IF(AND($J799=1,$M799=1),N799*E799/Span_P+O799*F799/Span_S+P799*G799/Span_B,"")</f>
        <v>1.72865330050022</v>
      </c>
      <c r="AA799" s="12" t="n">
        <f aca="false">IF(AND($J799=1,$M799=1),SUMPRODUCT(MAX($J$6:$J$1062*(N799*$K$6:$K$1062/Span_P+O799*$F$6:$F$1062/Span_S+P799*$G$6:$G$1062/Span_B)-(1-$J$6:$J$1062)*1000000000)),"")</f>
        <v>1.72865330050022</v>
      </c>
      <c r="AB799" s="15" t="n">
        <f aca="false">IF(AND($J799=1,$M799=1),IF(AA799-Z799&lt;=0.000000001,1,0),"")</f>
        <v>1</v>
      </c>
      <c r="AC799" s="13" t="str">
        <f aca="false">IF(AND($J799=1,$M799=0),IF(S799="",0,S799*INDEX(Grid!$B$6:$H$156,R799+1,Q799+1))+IF(V799="",0,V799*INDEX(Grid!$B$6:$H$156,U799+1,T799+1))+IF(Y799="",0,Y799*INDEX(Grid!$B$6:$H$156,X799+1,W799+1)),"")</f>
        <v/>
      </c>
      <c r="AD799" s="13" t="str">
        <f aca="false">IF(AND($J799=1,$M799=0),IF(S799="",0,S799*Val_pt*(Ceiling_e-E_zero)*(1-(1-Half_gap)^Q799))+IF(V799="",0,V799*Val_pt*(Ceiling_e-E_zero)*(1-(1-Half_gap)^T799))+IF(Y799="",0,Y799*Val_pt*(Ceiling_e-E_zero)*(1-(1-Half_gap)^W799)),"")</f>
        <v/>
      </c>
      <c r="AE799" s="13" t="str">
        <f aca="false">IF(AND($J799=1,$M799=0),IF(S799="",0,S799*R799)+IF(V799="",0,V799*U799)+IF(Y799="",0,Y799*X799),"")</f>
        <v/>
      </c>
      <c r="AF799" s="12" t="str">
        <f aca="false">IF(AND($J799=1,$M799=0),MIN((AC799-E799)/Span_P,(AD799-F799)/Span_S,(AE799-G799)/Span_B),"")</f>
        <v/>
      </c>
      <c r="AG799" s="15" t="str">
        <f aca="false">IF(AND($J799=1,$M799=0),IF(AF799&gt;0.0000001,1,0),"")</f>
        <v/>
      </c>
      <c r="AH799" s="15" t="n">
        <f aca="false">IF($J799=1,IF($M799=1,AB799,AG799),"")</f>
        <v>1</v>
      </c>
      <c r="AI799" s="13" t="n">
        <f aca="false">IF($J799=1,(Ideal_P-E799)/Span_P,"")</f>
        <v>0.640396412240235</v>
      </c>
      <c r="AJ799" s="13" t="n">
        <f aca="false">IF($J799=1,(Ideal_S-F799)/Span_S,"")</f>
        <v>0.032258064516129</v>
      </c>
      <c r="AK799" s="13" t="n">
        <f aca="false">IF($J799=1,(Ideal_B-G799)/Span_B,"")</f>
        <v>0.746666666666667</v>
      </c>
      <c r="AL799" s="12" t="n">
        <f aca="false">IF($J799=1,MAX(ChA_1*AI799,ChA_2*AJ799,ChA_3*AK799)+Rho*(ChA_1*AI799+ChA_2*AJ799+ChA_3*AK799),"")</f>
        <v>0.746808598781009</v>
      </c>
      <c r="AM799" s="12" t="n">
        <f aca="false">IF($J799=1,MAX(ChB_1*AI799,ChB_2*AJ799,ChB_3*AK799)+Rho*(ChB_1*AI799+ChB_2*AJ799+ChB_3*AK799),"")</f>
        <v>1.28099879623604</v>
      </c>
      <c r="AN799" s="12" t="n">
        <f aca="false">IF($J799=1,MAX(Cx_1*(Ref_P-E799)/Span_P,Cx_2*(Ref_S-F799)/Span_S,Cx_3*(Ref_B-G799)/Span_B),"")</f>
        <v>1.90756302521008</v>
      </c>
    </row>
    <row r="800" customFormat="false" ht="15" hidden="false" customHeight="false" outlineLevel="0" collapsed="false">
      <c r="A800" s="2" t="n">
        <v>794</v>
      </c>
      <c r="B800" s="15" t="n">
        <f aca="false">INT(A800/151)</f>
        <v>5</v>
      </c>
      <c r="C800" s="15" t="n">
        <f aca="false">MOD(A800,151)</f>
        <v>39</v>
      </c>
      <c r="D800" s="15" t="n">
        <f aca="false">INDEX(Grid!$J$6:$P$156,C800+1,B800+1)</f>
        <v>1</v>
      </c>
      <c r="E800" s="16" t="n">
        <f aca="false">IF(D800=1,INDEX(Grid!$B$6:$H$156,C800+1,B800+1),"")</f>
        <v>151.367048608544</v>
      </c>
      <c r="F800" s="13" t="n">
        <f aca="false">Val_pt*(Ceiling_e-E_zero)*(1-(1-Half_gap)^B800)</f>
        <v>135.625</v>
      </c>
      <c r="G800" s="15" t="n">
        <f aca="false">C800</f>
        <v>39</v>
      </c>
      <c r="H800" s="15" t="n">
        <f aca="false">IF(D800=1,INDEX(Grid!$R$6:$X$156,C800+1,B800+1),"")</f>
        <v>59</v>
      </c>
      <c r="I800" s="2" t="str">
        <f aca="false">IF(D800=1,INDEX(Sch_label,H800+1),"")</f>
        <v>1–3, 5, 6</v>
      </c>
      <c r="J800" s="15" t="n">
        <f aca="false">IF(D800=1,INDEX(Grid!$Z$6:$AF$156,C800+1,B800+1),0)</f>
        <v>1</v>
      </c>
      <c r="K800" s="16" t="n">
        <f aca="false">IF(J800=1,E800,0)</f>
        <v>151.367048608544</v>
      </c>
      <c r="L800" s="17" t="n">
        <f aca="false">IF(D800=1,E800+W_board*F800,"")</f>
        <v>916.934816243979</v>
      </c>
      <c r="M800" s="24" t="n">
        <v>1</v>
      </c>
      <c r="N800" s="25" t="n">
        <v>0.121286736192901</v>
      </c>
      <c r="O800" s="25" t="n">
        <v>0.833039660615898</v>
      </c>
      <c r="P800" s="25" t="n">
        <v>0.0456736031912014</v>
      </c>
      <c r="Z800" s="12" t="n">
        <f aca="false">IF(AND($J800=1,$M800=1),N800*E800/Span_P+O800*F800/Span_S+P800*G800/Span_B,"")</f>
        <v>1.72865330050022</v>
      </c>
      <c r="AA800" s="12" t="n">
        <f aca="false">IF(AND($J800=1,$M800=1),SUMPRODUCT(MAX($J$6:$J$1062*(N800*$K$6:$K$1062/Span_P+O800*$F$6:$F$1062/Span_S+P800*$G$6:$G$1062/Span_B)-(1-$J$6:$J$1062)*1000000000)),"")</f>
        <v>1.72865330050022</v>
      </c>
      <c r="AB800" s="15" t="n">
        <f aca="false">IF(AND($J800=1,$M800=1),IF(AA800-Z800&lt;=0.000000001,1,0),"")</f>
        <v>1</v>
      </c>
      <c r="AC800" s="13" t="str">
        <f aca="false">IF(AND($J800=1,$M800=0),IF(S800="",0,S800*INDEX(Grid!$B$6:$H$156,R800+1,Q800+1))+IF(V800="",0,V800*INDEX(Grid!$B$6:$H$156,U800+1,T800+1))+IF(Y800="",0,Y800*INDEX(Grid!$B$6:$H$156,X800+1,W800+1)),"")</f>
        <v/>
      </c>
      <c r="AD800" s="13" t="str">
        <f aca="false">IF(AND($J800=1,$M800=0),IF(S800="",0,S800*Val_pt*(Ceiling_e-E_zero)*(1-(1-Half_gap)^Q800))+IF(V800="",0,V800*Val_pt*(Ceiling_e-E_zero)*(1-(1-Half_gap)^T800))+IF(Y800="",0,Y800*Val_pt*(Ceiling_e-E_zero)*(1-(1-Half_gap)^W800)),"")</f>
        <v/>
      </c>
      <c r="AE800" s="13" t="str">
        <f aca="false">IF(AND($J800=1,$M800=0),IF(S800="",0,S800*R800)+IF(V800="",0,V800*U800)+IF(Y800="",0,Y800*X800),"")</f>
        <v/>
      </c>
      <c r="AF800" s="12" t="str">
        <f aca="false">IF(AND($J800=1,$M800=0),MIN((AC800-E800)/Span_P,(AD800-F800)/Span_S,(AE800-G800)/Span_B),"")</f>
        <v/>
      </c>
      <c r="AG800" s="15" t="str">
        <f aca="false">IF(AND($J800=1,$M800=0),IF(AF800&gt;0.0000001,1,0),"")</f>
        <v/>
      </c>
      <c r="AH800" s="15" t="n">
        <f aca="false">IF($J800=1,IF($M800=1,AB800,AG800),"")</f>
        <v>1</v>
      </c>
      <c r="AI800" s="13" t="n">
        <f aca="false">IF($J800=1,(Ideal_P-E800)/Span_P,"")</f>
        <v>0.64290691501654</v>
      </c>
      <c r="AJ800" s="13" t="n">
        <f aca="false">IF($J800=1,(Ideal_S-F800)/Span_S,"")</f>
        <v>0.032258064516129</v>
      </c>
      <c r="AK800" s="13" t="n">
        <f aca="false">IF($J800=1,(Ideal_B-G800)/Span_B,"")</f>
        <v>0.74</v>
      </c>
      <c r="AL800" s="12" t="n">
        <f aca="false">IF($J800=1,MAX(ChA_1*AI800,ChA_2*AJ800,ChA_3*AK800)+Rho*(ChA_1*AI800+ChA_2*AJ800+ChA_3*AK800),"")</f>
        <v>0.740141516497953</v>
      </c>
      <c r="AM800" s="12" t="n">
        <f aca="false">IF($J800=1,MAX(ChB_1*AI800,ChB_2*AJ800,ChB_3*AK800)+Rho*(ChB_1*AI800+ChB_2*AJ800+ChB_3*AK800),"")</f>
        <v>1.28601963722254</v>
      </c>
      <c r="AN800" s="12" t="n">
        <f aca="false">IF($J800=1,MAX(Cx_1*(Ref_P-E800)/Span_P,Cx_2*(Ref_S-F800)/Span_S,Cx_3*(Ref_B-G800)/Span_B),"")</f>
        <v>1.89075630252101</v>
      </c>
    </row>
    <row r="801" customFormat="false" ht="15" hidden="false" customHeight="false" outlineLevel="0" collapsed="false">
      <c r="A801" s="2" t="n">
        <v>795</v>
      </c>
      <c r="B801" s="15" t="n">
        <f aca="false">INT(A801/151)</f>
        <v>5</v>
      </c>
      <c r="C801" s="15" t="n">
        <f aca="false">MOD(A801,151)</f>
        <v>40</v>
      </c>
      <c r="D801" s="15" t="n">
        <f aca="false">INDEX(Grid!$J$6:$P$156,C801+1,B801+1)</f>
        <v>1</v>
      </c>
      <c r="E801" s="16" t="n">
        <f aca="false">IF(D801=1,INDEX(Grid!$B$6:$H$156,C801+1,B801+1),"")</f>
        <v>150.457957699453</v>
      </c>
      <c r="F801" s="13" t="n">
        <f aca="false">Val_pt*(Ceiling_e-E_zero)*(1-(1-Half_gap)^B801)</f>
        <v>135.625</v>
      </c>
      <c r="G801" s="15" t="n">
        <f aca="false">C801</f>
        <v>40</v>
      </c>
      <c r="H801" s="15" t="n">
        <f aca="false">IF(D801=1,INDEX(Grid!$R$6:$X$156,C801+1,B801+1),"")</f>
        <v>59</v>
      </c>
      <c r="I801" s="2" t="str">
        <f aca="false">IF(D801=1,INDEX(Sch_label,H801+1),"")</f>
        <v>1–3, 5, 6</v>
      </c>
      <c r="J801" s="15" t="n">
        <f aca="false">IF(D801=1,INDEX(Grid!$Z$6:$AF$156,C801+1,B801+1),0)</f>
        <v>1</v>
      </c>
      <c r="K801" s="16" t="n">
        <f aca="false">IF(J801=1,E801,0)</f>
        <v>150.457957699453</v>
      </c>
      <c r="L801" s="17" t="n">
        <f aca="false">IF(D801=1,E801+W_board*F801,"")</f>
        <v>916.025725334888</v>
      </c>
      <c r="M801" s="24" t="n">
        <v>1</v>
      </c>
      <c r="N801" s="25" t="n">
        <v>0.121286736192902</v>
      </c>
      <c r="O801" s="25" t="n">
        <v>0.833039660615896</v>
      </c>
      <c r="P801" s="25" t="n">
        <v>0.0456736031912028</v>
      </c>
      <c r="Z801" s="12" t="n">
        <f aca="false">IF(AND($J801=1,$M801=1),N801*E801/Span_P+O801*F801/Span_S+P801*G801/Span_B,"")</f>
        <v>1.72865330050022</v>
      </c>
      <c r="AA801" s="12" t="n">
        <f aca="false">IF(AND($J801=1,$M801=1),SUMPRODUCT(MAX($J$6:$J$1062*(N801*$K$6:$K$1062/Span_P+O801*$F$6:$F$1062/Span_S+P801*$G$6:$G$1062/Span_B)-(1-$J$6:$J$1062)*1000000000)),"")</f>
        <v>1.72865330050022</v>
      </c>
      <c r="AB801" s="15" t="n">
        <f aca="false">IF(AND($J801=1,$M801=1),IF(AA801-Z801&lt;=0.000000001,1,0),"")</f>
        <v>1</v>
      </c>
      <c r="AC801" s="13" t="str">
        <f aca="false">IF(AND($J801=1,$M801=0),IF(S801="",0,S801*INDEX(Grid!$B$6:$H$156,R801+1,Q801+1))+IF(V801="",0,V801*INDEX(Grid!$B$6:$H$156,U801+1,T801+1))+IF(Y801="",0,Y801*INDEX(Grid!$B$6:$H$156,X801+1,W801+1)),"")</f>
        <v/>
      </c>
      <c r="AD801" s="13" t="str">
        <f aca="false">IF(AND($J801=1,$M801=0),IF(S801="",0,S801*Val_pt*(Ceiling_e-E_zero)*(1-(1-Half_gap)^Q801))+IF(V801="",0,V801*Val_pt*(Ceiling_e-E_zero)*(1-(1-Half_gap)^T801))+IF(Y801="",0,Y801*Val_pt*(Ceiling_e-E_zero)*(1-(1-Half_gap)^W801)),"")</f>
        <v/>
      </c>
      <c r="AE801" s="13" t="str">
        <f aca="false">IF(AND($J801=1,$M801=0),IF(S801="",0,S801*R801)+IF(V801="",0,V801*U801)+IF(Y801="",0,Y801*X801),"")</f>
        <v/>
      </c>
      <c r="AF801" s="12" t="str">
        <f aca="false">IF(AND($J801=1,$M801=0),MIN((AC801-E801)/Span_P,(AD801-F801)/Span_S,(AE801-G801)/Span_B),"")</f>
        <v/>
      </c>
      <c r="AG801" s="15" t="str">
        <f aca="false">IF(AND($J801=1,$M801=0),IF(AF801&gt;0.0000001,1,0),"")</f>
        <v/>
      </c>
      <c r="AH801" s="15" t="n">
        <f aca="false">IF($J801=1,IF($M801=1,AB801,AG801),"")</f>
        <v>1</v>
      </c>
      <c r="AI801" s="13" t="n">
        <f aca="false">IF($J801=1,(Ideal_P-E801)/Span_P,"")</f>
        <v>0.645417417792846</v>
      </c>
      <c r="AJ801" s="13" t="n">
        <f aca="false">IF($J801=1,(Ideal_S-F801)/Span_S,"")</f>
        <v>0.032258064516129</v>
      </c>
      <c r="AK801" s="13" t="n">
        <f aca="false">IF($J801=1,(Ideal_B-G801)/Span_B,"")</f>
        <v>0.733333333333333</v>
      </c>
      <c r="AL801" s="12" t="n">
        <f aca="false">IF($J801=1,MAX(ChA_1*AI801,ChA_2*AJ801,ChA_3*AK801)+Rho*(ChA_1*AI801+ChA_2*AJ801+ChA_3*AK801),"")</f>
        <v>0.733474434214898</v>
      </c>
      <c r="AM801" s="12" t="n">
        <f aca="false">IF($J801=1,MAX(ChB_1*AI801,ChB_2*AJ801,ChB_3*AK801)+Rho*(ChB_1*AI801+ChB_2*AJ801+ChB_3*AK801),"")</f>
        <v>1.29104047820904</v>
      </c>
      <c r="AN801" s="12" t="n">
        <f aca="false">IF($J801=1,MAX(Cx_1*(Ref_P-E801)/Span_P,Cx_2*(Ref_S-F801)/Span_S,Cx_3*(Ref_B-G801)/Span_B),"")</f>
        <v>1.87394957983193</v>
      </c>
    </row>
    <row r="802" customFormat="false" ht="15" hidden="false" customHeight="false" outlineLevel="0" collapsed="false">
      <c r="A802" s="2" t="n">
        <v>796</v>
      </c>
      <c r="B802" s="15" t="n">
        <f aca="false">INT(A802/151)</f>
        <v>5</v>
      </c>
      <c r="C802" s="15" t="n">
        <f aca="false">MOD(A802,151)</f>
        <v>41</v>
      </c>
      <c r="D802" s="15" t="n">
        <f aca="false">INDEX(Grid!$J$6:$P$156,C802+1,B802+1)</f>
        <v>1</v>
      </c>
      <c r="E802" s="16" t="n">
        <f aca="false">IF(D802=1,INDEX(Grid!$B$6:$H$156,C802+1,B802+1),"")</f>
        <v>149.548866790362</v>
      </c>
      <c r="F802" s="13" t="n">
        <f aca="false">Val_pt*(Ceiling_e-E_zero)*(1-(1-Half_gap)^B802)</f>
        <v>135.625</v>
      </c>
      <c r="G802" s="15" t="n">
        <f aca="false">C802</f>
        <v>41</v>
      </c>
      <c r="H802" s="15" t="n">
        <f aca="false">IF(D802=1,INDEX(Grid!$R$6:$X$156,C802+1,B802+1),"")</f>
        <v>59</v>
      </c>
      <c r="I802" s="2" t="str">
        <f aca="false">IF(D802=1,INDEX(Sch_label,H802+1),"")</f>
        <v>1–3, 5, 6</v>
      </c>
      <c r="J802" s="15" t="n">
        <f aca="false">IF(D802=1,INDEX(Grid!$Z$6:$AF$156,C802+1,B802+1),0)</f>
        <v>1</v>
      </c>
      <c r="K802" s="16" t="n">
        <f aca="false">IF(J802=1,E802,0)</f>
        <v>149.548866790362</v>
      </c>
      <c r="L802" s="17" t="n">
        <f aca="false">IF(D802=1,E802+W_board*F802,"")</f>
        <v>915.116634425797</v>
      </c>
      <c r="M802" s="24" t="n">
        <v>1</v>
      </c>
      <c r="N802" s="25" t="n">
        <v>0.1212867361929</v>
      </c>
      <c r="O802" s="25" t="n">
        <v>0.833039660615899</v>
      </c>
      <c r="P802" s="25" t="n">
        <v>0.0456736031912009</v>
      </c>
      <c r="Z802" s="12" t="n">
        <f aca="false">IF(AND($J802=1,$M802=1),N802*E802/Span_P+O802*F802/Span_S+P802*G802/Span_B,"")</f>
        <v>1.72865330050022</v>
      </c>
      <c r="AA802" s="12" t="n">
        <f aca="false">IF(AND($J802=1,$M802=1),SUMPRODUCT(MAX($J$6:$J$1062*(N802*$K$6:$K$1062/Span_P+O802*$F$6:$F$1062/Span_S+P802*$G$6:$G$1062/Span_B)-(1-$J$6:$J$1062)*1000000000)),"")</f>
        <v>1.72865330050022</v>
      </c>
      <c r="AB802" s="15" t="n">
        <f aca="false">IF(AND($J802=1,$M802=1),IF(AA802-Z802&lt;=0.000000001,1,0),"")</f>
        <v>1</v>
      </c>
      <c r="AC802" s="13" t="str">
        <f aca="false">IF(AND($J802=1,$M802=0),IF(S802="",0,S802*INDEX(Grid!$B$6:$H$156,R802+1,Q802+1))+IF(V802="",0,V802*INDEX(Grid!$B$6:$H$156,U802+1,T802+1))+IF(Y802="",0,Y802*INDEX(Grid!$B$6:$H$156,X802+1,W802+1)),"")</f>
        <v/>
      </c>
      <c r="AD802" s="13" t="str">
        <f aca="false">IF(AND($J802=1,$M802=0),IF(S802="",0,S802*Val_pt*(Ceiling_e-E_zero)*(1-(1-Half_gap)^Q802))+IF(V802="",0,V802*Val_pt*(Ceiling_e-E_zero)*(1-(1-Half_gap)^T802))+IF(Y802="",0,Y802*Val_pt*(Ceiling_e-E_zero)*(1-(1-Half_gap)^W802)),"")</f>
        <v/>
      </c>
      <c r="AE802" s="13" t="str">
        <f aca="false">IF(AND($J802=1,$M802=0),IF(S802="",0,S802*R802)+IF(V802="",0,V802*U802)+IF(Y802="",0,Y802*X802),"")</f>
        <v/>
      </c>
      <c r="AF802" s="12" t="str">
        <f aca="false">IF(AND($J802=1,$M802=0),MIN((AC802-E802)/Span_P,(AD802-F802)/Span_S,(AE802-G802)/Span_B),"")</f>
        <v/>
      </c>
      <c r="AG802" s="15" t="str">
        <f aca="false">IF(AND($J802=1,$M802=0),IF(AF802&gt;0.0000001,1,0),"")</f>
        <v/>
      </c>
      <c r="AH802" s="15" t="n">
        <f aca="false">IF($J802=1,IF($M802=1,AB802,AG802),"")</f>
        <v>1</v>
      </c>
      <c r="AI802" s="13" t="n">
        <f aca="false">IF($J802=1,(Ideal_P-E802)/Span_P,"")</f>
        <v>0.647927920569152</v>
      </c>
      <c r="AJ802" s="13" t="n">
        <f aca="false">IF($J802=1,(Ideal_S-F802)/Span_S,"")</f>
        <v>0.032258064516129</v>
      </c>
      <c r="AK802" s="13" t="n">
        <f aca="false">IF($J802=1,(Ideal_B-G802)/Span_B,"")</f>
        <v>0.726666666666667</v>
      </c>
      <c r="AL802" s="12" t="n">
        <f aca="false">IF($J802=1,MAX(ChA_1*AI802,ChA_2*AJ802,ChA_3*AK802)+Rho*(ChA_1*AI802+ChA_2*AJ802+ChA_3*AK802),"")</f>
        <v>0.726807351931842</v>
      </c>
      <c r="AM802" s="12" t="n">
        <f aca="false">IF($J802=1,MAX(ChB_1*AI802,ChB_2*AJ802,ChB_3*AK802)+Rho*(ChB_1*AI802+ChB_2*AJ802+ChB_3*AK802),"")</f>
        <v>1.29606131919554</v>
      </c>
      <c r="AN802" s="12" t="n">
        <f aca="false">IF($J802=1,MAX(Cx_1*(Ref_P-E802)/Span_P,Cx_2*(Ref_S-F802)/Span_S,Cx_3*(Ref_B-G802)/Span_B),"")</f>
        <v>1.85714285714286</v>
      </c>
    </row>
    <row r="803" customFormat="false" ht="15" hidden="false" customHeight="false" outlineLevel="0" collapsed="false">
      <c r="A803" s="2" t="n">
        <v>797</v>
      </c>
      <c r="B803" s="15" t="n">
        <f aca="false">INT(A803/151)</f>
        <v>5</v>
      </c>
      <c r="C803" s="15" t="n">
        <f aca="false">MOD(A803,151)</f>
        <v>42</v>
      </c>
      <c r="D803" s="15" t="n">
        <f aca="false">INDEX(Grid!$J$6:$P$156,C803+1,B803+1)</f>
        <v>1</v>
      </c>
      <c r="E803" s="16" t="n">
        <f aca="false">IF(D803=1,INDEX(Grid!$B$6:$H$156,C803+1,B803+1),"")</f>
        <v>148.639775881271</v>
      </c>
      <c r="F803" s="13" t="n">
        <f aca="false">Val_pt*(Ceiling_e-E_zero)*(1-(1-Half_gap)^B803)</f>
        <v>135.625</v>
      </c>
      <c r="G803" s="15" t="n">
        <f aca="false">C803</f>
        <v>42</v>
      </c>
      <c r="H803" s="15" t="n">
        <f aca="false">IF(D803=1,INDEX(Grid!$R$6:$X$156,C803+1,B803+1),"")</f>
        <v>59</v>
      </c>
      <c r="I803" s="2" t="str">
        <f aca="false">IF(D803=1,INDEX(Sch_label,H803+1),"")</f>
        <v>1–3, 5, 6</v>
      </c>
      <c r="J803" s="15" t="n">
        <f aca="false">IF(D803=1,INDEX(Grid!$Z$6:$AF$156,C803+1,B803+1),0)</f>
        <v>1</v>
      </c>
      <c r="K803" s="16" t="n">
        <f aca="false">IF(J803=1,E803,0)</f>
        <v>148.639775881271</v>
      </c>
      <c r="L803" s="17" t="n">
        <f aca="false">IF(D803=1,E803+W_board*F803,"")</f>
        <v>914.207543516706</v>
      </c>
      <c r="M803" s="24" t="n">
        <v>1</v>
      </c>
      <c r="N803" s="25" t="n">
        <v>0.121286736192901</v>
      </c>
      <c r="O803" s="25" t="n">
        <v>0.833039660615898</v>
      </c>
      <c r="P803" s="25" t="n">
        <v>0.0456736031912014</v>
      </c>
      <c r="Z803" s="12" t="n">
        <f aca="false">IF(AND($J803=1,$M803=1),N803*E803/Span_P+O803*F803/Span_S+P803*G803/Span_B,"")</f>
        <v>1.72865330050022</v>
      </c>
      <c r="AA803" s="12" t="n">
        <f aca="false">IF(AND($J803=1,$M803=1),SUMPRODUCT(MAX($J$6:$J$1062*(N803*$K$6:$K$1062/Span_P+O803*$F$6:$F$1062/Span_S+P803*$G$6:$G$1062/Span_B)-(1-$J$6:$J$1062)*1000000000)),"")</f>
        <v>1.72865330050022</v>
      </c>
      <c r="AB803" s="15" t="n">
        <f aca="false">IF(AND($J803=1,$M803=1),IF(AA803-Z803&lt;=0.000000001,1,0),"")</f>
        <v>1</v>
      </c>
      <c r="AC803" s="13" t="str">
        <f aca="false">IF(AND($J803=1,$M803=0),IF(S803="",0,S803*INDEX(Grid!$B$6:$H$156,R803+1,Q803+1))+IF(V803="",0,V803*INDEX(Grid!$B$6:$H$156,U803+1,T803+1))+IF(Y803="",0,Y803*INDEX(Grid!$B$6:$H$156,X803+1,W803+1)),"")</f>
        <v/>
      </c>
      <c r="AD803" s="13" t="str">
        <f aca="false">IF(AND($J803=1,$M803=0),IF(S803="",0,S803*Val_pt*(Ceiling_e-E_zero)*(1-(1-Half_gap)^Q803))+IF(V803="",0,V803*Val_pt*(Ceiling_e-E_zero)*(1-(1-Half_gap)^T803))+IF(Y803="",0,Y803*Val_pt*(Ceiling_e-E_zero)*(1-(1-Half_gap)^W803)),"")</f>
        <v/>
      </c>
      <c r="AE803" s="13" t="str">
        <f aca="false">IF(AND($J803=1,$M803=0),IF(S803="",0,S803*R803)+IF(V803="",0,V803*U803)+IF(Y803="",0,Y803*X803),"")</f>
        <v/>
      </c>
      <c r="AF803" s="12" t="str">
        <f aca="false">IF(AND($J803=1,$M803=0),MIN((AC803-E803)/Span_P,(AD803-F803)/Span_S,(AE803-G803)/Span_B),"")</f>
        <v/>
      </c>
      <c r="AG803" s="15" t="str">
        <f aca="false">IF(AND($J803=1,$M803=0),IF(AF803&gt;0.0000001,1,0),"")</f>
        <v/>
      </c>
      <c r="AH803" s="15" t="n">
        <f aca="false">IF($J803=1,IF($M803=1,AB803,AG803),"")</f>
        <v>1</v>
      </c>
      <c r="AI803" s="13" t="n">
        <f aca="false">IF($J803=1,(Ideal_P-E803)/Span_P,"")</f>
        <v>0.650438423345458</v>
      </c>
      <c r="AJ803" s="13" t="n">
        <f aca="false">IF($J803=1,(Ideal_S-F803)/Span_S,"")</f>
        <v>0.032258064516129</v>
      </c>
      <c r="AK803" s="13" t="n">
        <f aca="false">IF($J803=1,(Ideal_B-G803)/Span_B,"")</f>
        <v>0.72</v>
      </c>
      <c r="AL803" s="12" t="n">
        <f aca="false">IF($J803=1,MAX(ChA_1*AI803,ChA_2*AJ803,ChA_3*AK803)+Rho*(ChA_1*AI803+ChA_2*AJ803+ChA_3*AK803),"")</f>
        <v>0.720140269648786</v>
      </c>
      <c r="AM803" s="12" t="n">
        <f aca="false">IF($J803=1,MAX(ChB_1*AI803,ChB_2*AJ803,ChB_3*AK803)+Rho*(ChB_1*AI803+ChB_2*AJ803+ChB_3*AK803),"")</f>
        <v>1.30108216018204</v>
      </c>
      <c r="AN803" s="12" t="n">
        <f aca="false">IF($J803=1,MAX(Cx_1*(Ref_P-E803)/Span_P,Cx_2*(Ref_S-F803)/Span_S,Cx_3*(Ref_B-G803)/Span_B),"")</f>
        <v>1.84033613445378</v>
      </c>
    </row>
    <row r="804" customFormat="false" ht="15" hidden="false" customHeight="false" outlineLevel="0" collapsed="false">
      <c r="A804" s="2" t="n">
        <v>798</v>
      </c>
      <c r="B804" s="15" t="n">
        <f aca="false">INT(A804/151)</f>
        <v>5</v>
      </c>
      <c r="C804" s="15" t="n">
        <f aca="false">MOD(A804,151)</f>
        <v>43</v>
      </c>
      <c r="D804" s="15" t="n">
        <f aca="false">INDEX(Grid!$J$6:$P$156,C804+1,B804+1)</f>
        <v>1</v>
      </c>
      <c r="E804" s="16" t="n">
        <f aca="false">IF(D804=1,INDEX(Grid!$B$6:$H$156,C804+1,B804+1),"")</f>
        <v>147.73068497218</v>
      </c>
      <c r="F804" s="13" t="n">
        <f aca="false">Val_pt*(Ceiling_e-E_zero)*(1-(1-Half_gap)^B804)</f>
        <v>135.625</v>
      </c>
      <c r="G804" s="15" t="n">
        <f aca="false">C804</f>
        <v>43</v>
      </c>
      <c r="H804" s="15" t="n">
        <f aca="false">IF(D804=1,INDEX(Grid!$R$6:$X$156,C804+1,B804+1),"")</f>
        <v>59</v>
      </c>
      <c r="I804" s="2" t="str">
        <f aca="false">IF(D804=1,INDEX(Sch_label,H804+1),"")</f>
        <v>1–3, 5, 6</v>
      </c>
      <c r="J804" s="15" t="n">
        <f aca="false">IF(D804=1,INDEX(Grid!$Z$6:$AF$156,C804+1,B804+1),0)</f>
        <v>1</v>
      </c>
      <c r="K804" s="16" t="n">
        <f aca="false">IF(J804=1,E804,0)</f>
        <v>147.73068497218</v>
      </c>
      <c r="L804" s="17" t="n">
        <f aca="false">IF(D804=1,E804+W_board*F804,"")</f>
        <v>913.298452607615</v>
      </c>
      <c r="M804" s="24" t="n">
        <v>1</v>
      </c>
      <c r="N804" s="25" t="n">
        <v>0.121286736192901</v>
      </c>
      <c r="O804" s="25" t="n">
        <v>0.833039660615898</v>
      </c>
      <c r="P804" s="25" t="n">
        <v>0.0456736031912014</v>
      </c>
      <c r="Z804" s="12" t="n">
        <f aca="false">IF(AND($J804=1,$M804=1),N804*E804/Span_P+O804*F804/Span_S+P804*G804/Span_B,"")</f>
        <v>1.72865330050022</v>
      </c>
      <c r="AA804" s="12" t="n">
        <f aca="false">IF(AND($J804=1,$M804=1),SUMPRODUCT(MAX($J$6:$J$1062*(N804*$K$6:$K$1062/Span_P+O804*$F$6:$F$1062/Span_S+P804*$G$6:$G$1062/Span_B)-(1-$J$6:$J$1062)*1000000000)),"")</f>
        <v>1.72865330050022</v>
      </c>
      <c r="AB804" s="15" t="n">
        <f aca="false">IF(AND($J804=1,$M804=1),IF(AA804-Z804&lt;=0.000000001,1,0),"")</f>
        <v>1</v>
      </c>
      <c r="AC804" s="13" t="str">
        <f aca="false">IF(AND($J804=1,$M804=0),IF(S804="",0,S804*INDEX(Grid!$B$6:$H$156,R804+1,Q804+1))+IF(V804="",0,V804*INDEX(Grid!$B$6:$H$156,U804+1,T804+1))+IF(Y804="",0,Y804*INDEX(Grid!$B$6:$H$156,X804+1,W804+1)),"")</f>
        <v/>
      </c>
      <c r="AD804" s="13" t="str">
        <f aca="false">IF(AND($J804=1,$M804=0),IF(S804="",0,S804*Val_pt*(Ceiling_e-E_zero)*(1-(1-Half_gap)^Q804))+IF(V804="",0,V804*Val_pt*(Ceiling_e-E_zero)*(1-(1-Half_gap)^T804))+IF(Y804="",0,Y804*Val_pt*(Ceiling_e-E_zero)*(1-(1-Half_gap)^W804)),"")</f>
        <v/>
      </c>
      <c r="AE804" s="13" t="str">
        <f aca="false">IF(AND($J804=1,$M804=0),IF(S804="",0,S804*R804)+IF(V804="",0,V804*U804)+IF(Y804="",0,Y804*X804),"")</f>
        <v/>
      </c>
      <c r="AF804" s="12" t="str">
        <f aca="false">IF(AND($J804=1,$M804=0),MIN((AC804-E804)/Span_P,(AD804-F804)/Span_S,(AE804-G804)/Span_B),"")</f>
        <v/>
      </c>
      <c r="AG804" s="15" t="str">
        <f aca="false">IF(AND($J804=1,$M804=0),IF(AF804&gt;0.0000001,1,0),"")</f>
        <v/>
      </c>
      <c r="AH804" s="15" t="n">
        <f aca="false">IF($J804=1,IF($M804=1,AB804,AG804),"")</f>
        <v>1</v>
      </c>
      <c r="AI804" s="13" t="n">
        <f aca="false">IF($J804=1,(Ideal_P-E804)/Span_P,"")</f>
        <v>0.652948926121763</v>
      </c>
      <c r="AJ804" s="13" t="n">
        <f aca="false">IF($J804=1,(Ideal_S-F804)/Span_S,"")</f>
        <v>0.032258064516129</v>
      </c>
      <c r="AK804" s="13" t="n">
        <f aca="false">IF($J804=1,(Ideal_B-G804)/Span_B,"")</f>
        <v>0.713333333333333</v>
      </c>
      <c r="AL804" s="12" t="n">
        <f aca="false">IF($J804=1,MAX(ChA_1*AI804,ChA_2*AJ804,ChA_3*AK804)+Rho*(ChA_1*AI804+ChA_2*AJ804+ChA_3*AK804),"")</f>
        <v>0.713473187365731</v>
      </c>
      <c r="AM804" s="12" t="n">
        <f aca="false">IF($J804=1,MAX(ChB_1*AI804,ChB_2*AJ804,ChB_3*AK804)+Rho*(ChB_1*AI804+ChB_2*AJ804+ChB_3*AK804),"")</f>
        <v>1.30610300116854</v>
      </c>
      <c r="AN804" s="12" t="n">
        <f aca="false">IF($J804=1,MAX(Cx_1*(Ref_P-E804)/Span_P,Cx_2*(Ref_S-F804)/Span_S,Cx_3*(Ref_B-G804)/Span_B),"")</f>
        <v>1.82352941176471</v>
      </c>
    </row>
    <row r="805" customFormat="false" ht="15" hidden="false" customHeight="false" outlineLevel="0" collapsed="false">
      <c r="A805" s="2" t="n">
        <v>799</v>
      </c>
      <c r="B805" s="15" t="n">
        <f aca="false">INT(A805/151)</f>
        <v>5</v>
      </c>
      <c r="C805" s="15" t="n">
        <f aca="false">MOD(A805,151)</f>
        <v>44</v>
      </c>
      <c r="D805" s="15" t="n">
        <f aca="false">INDEX(Grid!$J$6:$P$156,C805+1,B805+1)</f>
        <v>1</v>
      </c>
      <c r="E805" s="16" t="n">
        <f aca="false">IF(D805=1,INDEX(Grid!$B$6:$H$156,C805+1,B805+1),"")</f>
        <v>146.821594063089</v>
      </c>
      <c r="F805" s="13" t="n">
        <f aca="false">Val_pt*(Ceiling_e-E_zero)*(1-(1-Half_gap)^B805)</f>
        <v>135.625</v>
      </c>
      <c r="G805" s="15" t="n">
        <f aca="false">C805</f>
        <v>44</v>
      </c>
      <c r="H805" s="15" t="n">
        <f aca="false">IF(D805=1,INDEX(Grid!$R$6:$X$156,C805+1,B805+1),"")</f>
        <v>59</v>
      </c>
      <c r="I805" s="2" t="str">
        <f aca="false">IF(D805=1,INDEX(Sch_label,H805+1),"")</f>
        <v>1–3, 5, 6</v>
      </c>
      <c r="J805" s="15" t="n">
        <f aca="false">IF(D805=1,INDEX(Grid!$Z$6:$AF$156,C805+1,B805+1),0)</f>
        <v>1</v>
      </c>
      <c r="K805" s="16" t="n">
        <f aca="false">IF(J805=1,E805,0)</f>
        <v>146.821594063089</v>
      </c>
      <c r="L805" s="17" t="n">
        <f aca="false">IF(D805=1,E805+W_board*F805,"")</f>
        <v>912.389361698525</v>
      </c>
      <c r="M805" s="24" t="n">
        <v>1</v>
      </c>
      <c r="N805" s="25" t="n">
        <v>0.121286736192901</v>
      </c>
      <c r="O805" s="25" t="n">
        <v>0.833039660615898</v>
      </c>
      <c r="P805" s="25" t="n">
        <v>0.0456736031912014</v>
      </c>
      <c r="Z805" s="12" t="n">
        <f aca="false">IF(AND($J805=1,$M805=1),N805*E805/Span_P+O805*F805/Span_S+P805*G805/Span_B,"")</f>
        <v>1.72865330050022</v>
      </c>
      <c r="AA805" s="12" t="n">
        <f aca="false">IF(AND($J805=1,$M805=1),SUMPRODUCT(MAX($J$6:$J$1062*(N805*$K$6:$K$1062/Span_P+O805*$F$6:$F$1062/Span_S+P805*$G$6:$G$1062/Span_B)-(1-$J$6:$J$1062)*1000000000)),"")</f>
        <v>1.72865330050022</v>
      </c>
      <c r="AB805" s="15" t="n">
        <f aca="false">IF(AND($J805=1,$M805=1),IF(AA805-Z805&lt;=0.000000001,1,0),"")</f>
        <v>1</v>
      </c>
      <c r="AC805" s="13" t="str">
        <f aca="false">IF(AND($J805=1,$M805=0),IF(S805="",0,S805*INDEX(Grid!$B$6:$H$156,R805+1,Q805+1))+IF(V805="",0,V805*INDEX(Grid!$B$6:$H$156,U805+1,T805+1))+IF(Y805="",0,Y805*INDEX(Grid!$B$6:$H$156,X805+1,W805+1)),"")</f>
        <v/>
      </c>
      <c r="AD805" s="13" t="str">
        <f aca="false">IF(AND($J805=1,$M805=0),IF(S805="",0,S805*Val_pt*(Ceiling_e-E_zero)*(1-(1-Half_gap)^Q805))+IF(V805="",0,V805*Val_pt*(Ceiling_e-E_zero)*(1-(1-Half_gap)^T805))+IF(Y805="",0,Y805*Val_pt*(Ceiling_e-E_zero)*(1-(1-Half_gap)^W805)),"")</f>
        <v/>
      </c>
      <c r="AE805" s="13" t="str">
        <f aca="false">IF(AND($J805=1,$M805=0),IF(S805="",0,S805*R805)+IF(V805="",0,V805*U805)+IF(Y805="",0,Y805*X805),"")</f>
        <v/>
      </c>
      <c r="AF805" s="12" t="str">
        <f aca="false">IF(AND($J805=1,$M805=0),MIN((AC805-E805)/Span_P,(AD805-F805)/Span_S,(AE805-G805)/Span_B),"")</f>
        <v/>
      </c>
      <c r="AG805" s="15" t="str">
        <f aca="false">IF(AND($J805=1,$M805=0),IF(AF805&gt;0.0000001,1,0),"")</f>
        <v/>
      </c>
      <c r="AH805" s="15" t="n">
        <f aca="false">IF($J805=1,IF($M805=1,AB805,AG805),"")</f>
        <v>1</v>
      </c>
      <c r="AI805" s="13" t="n">
        <f aca="false">IF($J805=1,(Ideal_P-E805)/Span_P,"")</f>
        <v>0.655459428898069</v>
      </c>
      <c r="AJ805" s="13" t="n">
        <f aca="false">IF($J805=1,(Ideal_S-F805)/Span_S,"")</f>
        <v>0.032258064516129</v>
      </c>
      <c r="AK805" s="13" t="n">
        <f aca="false">IF($J805=1,(Ideal_B-G805)/Span_B,"")</f>
        <v>0.706666666666667</v>
      </c>
      <c r="AL805" s="12" t="n">
        <f aca="false">IF($J805=1,MAX(ChA_1*AI805,ChA_2*AJ805,ChA_3*AK805)+Rho*(ChA_1*AI805+ChA_2*AJ805+ChA_3*AK805),"")</f>
        <v>0.706806105082675</v>
      </c>
      <c r="AM805" s="12" t="n">
        <f aca="false">IF($J805=1,MAX(ChB_1*AI805,ChB_2*AJ805,ChB_3*AK805)+Rho*(ChB_1*AI805+ChB_2*AJ805+ChB_3*AK805),"")</f>
        <v>1.31112384215504</v>
      </c>
      <c r="AN805" s="12" t="n">
        <f aca="false">IF($J805=1,MAX(Cx_1*(Ref_P-E805)/Span_P,Cx_2*(Ref_S-F805)/Span_S,Cx_3*(Ref_B-G805)/Span_B),"")</f>
        <v>1.80672268907563</v>
      </c>
    </row>
    <row r="806" customFormat="false" ht="15" hidden="false" customHeight="false" outlineLevel="0" collapsed="false">
      <c r="A806" s="2" t="n">
        <v>800</v>
      </c>
      <c r="B806" s="15" t="n">
        <f aca="false">INT(A806/151)</f>
        <v>5</v>
      </c>
      <c r="C806" s="15" t="n">
        <f aca="false">MOD(A806,151)</f>
        <v>45</v>
      </c>
      <c r="D806" s="15" t="n">
        <f aca="false">INDEX(Grid!$J$6:$P$156,C806+1,B806+1)</f>
        <v>1</v>
      </c>
      <c r="E806" s="16" t="n">
        <f aca="false">IF(D806=1,INDEX(Grid!$B$6:$H$156,C806+1,B806+1),"")</f>
        <v>145.912503153998</v>
      </c>
      <c r="F806" s="13" t="n">
        <f aca="false">Val_pt*(Ceiling_e-E_zero)*(1-(1-Half_gap)^B806)</f>
        <v>135.625</v>
      </c>
      <c r="G806" s="15" t="n">
        <f aca="false">C806</f>
        <v>45</v>
      </c>
      <c r="H806" s="15" t="n">
        <f aca="false">IF(D806=1,INDEX(Grid!$R$6:$X$156,C806+1,B806+1),"")</f>
        <v>59</v>
      </c>
      <c r="I806" s="2" t="str">
        <f aca="false">IF(D806=1,INDEX(Sch_label,H806+1),"")</f>
        <v>1–3, 5, 6</v>
      </c>
      <c r="J806" s="15" t="n">
        <f aca="false">IF(D806=1,INDEX(Grid!$Z$6:$AF$156,C806+1,B806+1),0)</f>
        <v>1</v>
      </c>
      <c r="K806" s="16" t="n">
        <f aca="false">IF(J806=1,E806,0)</f>
        <v>145.912503153998</v>
      </c>
      <c r="L806" s="17" t="n">
        <f aca="false">IF(D806=1,E806+W_board*F806,"")</f>
        <v>911.480270789434</v>
      </c>
      <c r="M806" s="24" t="n">
        <v>1</v>
      </c>
      <c r="N806" s="25" t="n">
        <v>0.121286736192901</v>
      </c>
      <c r="O806" s="25" t="n">
        <v>0.833039660615898</v>
      </c>
      <c r="P806" s="25" t="n">
        <v>0.0456736031912014</v>
      </c>
      <c r="Z806" s="12" t="n">
        <f aca="false">IF(AND($J806=1,$M806=1),N806*E806/Span_P+O806*F806/Span_S+P806*G806/Span_B,"")</f>
        <v>1.72865330050022</v>
      </c>
      <c r="AA806" s="12" t="n">
        <f aca="false">IF(AND($J806=1,$M806=1),SUMPRODUCT(MAX($J$6:$J$1062*(N806*$K$6:$K$1062/Span_P+O806*$F$6:$F$1062/Span_S+P806*$G$6:$G$1062/Span_B)-(1-$J$6:$J$1062)*1000000000)),"")</f>
        <v>1.72865330050022</v>
      </c>
      <c r="AB806" s="15" t="n">
        <f aca="false">IF(AND($J806=1,$M806=1),IF(AA806-Z806&lt;=0.000000001,1,0),"")</f>
        <v>1</v>
      </c>
      <c r="AC806" s="13" t="str">
        <f aca="false">IF(AND($J806=1,$M806=0),IF(S806="",0,S806*INDEX(Grid!$B$6:$H$156,R806+1,Q806+1))+IF(V806="",0,V806*INDEX(Grid!$B$6:$H$156,U806+1,T806+1))+IF(Y806="",0,Y806*INDEX(Grid!$B$6:$H$156,X806+1,W806+1)),"")</f>
        <v/>
      </c>
      <c r="AD806" s="13" t="str">
        <f aca="false">IF(AND($J806=1,$M806=0),IF(S806="",0,S806*Val_pt*(Ceiling_e-E_zero)*(1-(1-Half_gap)^Q806))+IF(V806="",0,V806*Val_pt*(Ceiling_e-E_zero)*(1-(1-Half_gap)^T806))+IF(Y806="",0,Y806*Val_pt*(Ceiling_e-E_zero)*(1-(1-Half_gap)^W806)),"")</f>
        <v/>
      </c>
      <c r="AE806" s="13" t="str">
        <f aca="false">IF(AND($J806=1,$M806=0),IF(S806="",0,S806*R806)+IF(V806="",0,V806*U806)+IF(Y806="",0,Y806*X806),"")</f>
        <v/>
      </c>
      <c r="AF806" s="12" t="str">
        <f aca="false">IF(AND($J806=1,$M806=0),MIN((AC806-E806)/Span_P,(AD806-F806)/Span_S,(AE806-G806)/Span_B),"")</f>
        <v/>
      </c>
      <c r="AG806" s="15" t="str">
        <f aca="false">IF(AND($J806=1,$M806=0),IF(AF806&gt;0.0000001,1,0),"")</f>
        <v/>
      </c>
      <c r="AH806" s="15" t="n">
        <f aca="false">IF($J806=1,IF($M806=1,AB806,AG806),"")</f>
        <v>1</v>
      </c>
      <c r="AI806" s="13" t="n">
        <f aca="false">IF($J806=1,(Ideal_P-E806)/Span_P,"")</f>
        <v>0.657969931674375</v>
      </c>
      <c r="AJ806" s="13" t="n">
        <f aca="false">IF($J806=1,(Ideal_S-F806)/Span_S,"")</f>
        <v>0.032258064516129</v>
      </c>
      <c r="AK806" s="13" t="n">
        <f aca="false">IF($J806=1,(Ideal_B-G806)/Span_B,"")</f>
        <v>0.7</v>
      </c>
      <c r="AL806" s="12" t="n">
        <f aca="false">IF($J806=1,MAX(ChA_1*AI806,ChA_2*AJ806,ChA_3*AK806)+Rho*(ChA_1*AI806+ChA_2*AJ806+ChA_3*AK806),"")</f>
        <v>0.700139022799619</v>
      </c>
      <c r="AM806" s="12" t="n">
        <f aca="false">IF($J806=1,MAX(ChB_1*AI806,ChB_2*AJ806,ChB_3*AK806)+Rho*(ChB_1*AI806+ChB_2*AJ806+ChB_3*AK806),"")</f>
        <v>1.31614468314154</v>
      </c>
      <c r="AN806" s="12" t="n">
        <f aca="false">IF($J806=1,MAX(Cx_1*(Ref_P-E806)/Span_P,Cx_2*(Ref_S-F806)/Span_S,Cx_3*(Ref_B-G806)/Span_B),"")</f>
        <v>1.78991596638655</v>
      </c>
    </row>
    <row r="807" customFormat="false" ht="15" hidden="false" customHeight="false" outlineLevel="0" collapsed="false">
      <c r="A807" s="2" t="n">
        <v>801</v>
      </c>
      <c r="B807" s="15" t="n">
        <f aca="false">INT(A807/151)</f>
        <v>5</v>
      </c>
      <c r="C807" s="15" t="n">
        <f aca="false">MOD(A807,151)</f>
        <v>46</v>
      </c>
      <c r="D807" s="15" t="n">
        <f aca="false">INDEX(Grid!$J$6:$P$156,C807+1,B807+1)</f>
        <v>1</v>
      </c>
      <c r="E807" s="16" t="n">
        <f aca="false">IF(D807=1,INDEX(Grid!$B$6:$H$156,C807+1,B807+1),"")</f>
        <v>145.003412244907</v>
      </c>
      <c r="F807" s="13" t="n">
        <f aca="false">Val_pt*(Ceiling_e-E_zero)*(1-(1-Half_gap)^B807)</f>
        <v>135.625</v>
      </c>
      <c r="G807" s="15" t="n">
        <f aca="false">C807</f>
        <v>46</v>
      </c>
      <c r="H807" s="15" t="n">
        <f aca="false">IF(D807=1,INDEX(Grid!$R$6:$X$156,C807+1,B807+1),"")</f>
        <v>59</v>
      </c>
      <c r="I807" s="2" t="str">
        <f aca="false">IF(D807=1,INDEX(Sch_label,H807+1),"")</f>
        <v>1–3, 5, 6</v>
      </c>
      <c r="J807" s="15" t="n">
        <f aca="false">IF(D807=1,INDEX(Grid!$Z$6:$AF$156,C807+1,B807+1),0)</f>
        <v>1</v>
      </c>
      <c r="K807" s="16" t="n">
        <f aca="false">IF(J807=1,E807,0)</f>
        <v>145.003412244907</v>
      </c>
      <c r="L807" s="17" t="n">
        <f aca="false">IF(D807=1,E807+W_board*F807,"")</f>
        <v>910.571179880343</v>
      </c>
      <c r="M807" s="24" t="n">
        <v>1</v>
      </c>
      <c r="N807" s="25" t="n">
        <v>0.1212867361929</v>
      </c>
      <c r="O807" s="25" t="n">
        <v>0.833039660615899</v>
      </c>
      <c r="P807" s="25" t="n">
        <v>0.0456736031912009</v>
      </c>
      <c r="Z807" s="12" t="n">
        <f aca="false">IF(AND($J807=1,$M807=1),N807*E807/Span_P+O807*F807/Span_S+P807*G807/Span_B,"")</f>
        <v>1.72865330050022</v>
      </c>
      <c r="AA807" s="12" t="n">
        <f aca="false">IF(AND($J807=1,$M807=1),SUMPRODUCT(MAX($J$6:$J$1062*(N807*$K$6:$K$1062/Span_P+O807*$F$6:$F$1062/Span_S+P807*$G$6:$G$1062/Span_B)-(1-$J$6:$J$1062)*1000000000)),"")</f>
        <v>1.72865330050022</v>
      </c>
      <c r="AB807" s="15" t="n">
        <f aca="false">IF(AND($J807=1,$M807=1),IF(AA807-Z807&lt;=0.000000001,1,0),"")</f>
        <v>1</v>
      </c>
      <c r="AC807" s="13" t="str">
        <f aca="false">IF(AND($J807=1,$M807=0),IF(S807="",0,S807*INDEX(Grid!$B$6:$H$156,R807+1,Q807+1))+IF(V807="",0,V807*INDEX(Grid!$B$6:$H$156,U807+1,T807+1))+IF(Y807="",0,Y807*INDEX(Grid!$B$6:$H$156,X807+1,W807+1)),"")</f>
        <v/>
      </c>
      <c r="AD807" s="13" t="str">
        <f aca="false">IF(AND($J807=1,$M807=0),IF(S807="",0,S807*Val_pt*(Ceiling_e-E_zero)*(1-(1-Half_gap)^Q807))+IF(V807="",0,V807*Val_pt*(Ceiling_e-E_zero)*(1-(1-Half_gap)^T807))+IF(Y807="",0,Y807*Val_pt*(Ceiling_e-E_zero)*(1-(1-Half_gap)^W807)),"")</f>
        <v/>
      </c>
      <c r="AE807" s="13" t="str">
        <f aca="false">IF(AND($J807=1,$M807=0),IF(S807="",0,S807*R807)+IF(V807="",0,V807*U807)+IF(Y807="",0,Y807*X807),"")</f>
        <v/>
      </c>
      <c r="AF807" s="12" t="str">
        <f aca="false">IF(AND($J807=1,$M807=0),MIN((AC807-E807)/Span_P,(AD807-F807)/Span_S,(AE807-G807)/Span_B),"")</f>
        <v/>
      </c>
      <c r="AG807" s="15" t="str">
        <f aca="false">IF(AND($J807=1,$M807=0),IF(AF807&gt;0.0000001,1,0),"")</f>
        <v/>
      </c>
      <c r="AH807" s="15" t="n">
        <f aca="false">IF($J807=1,IF($M807=1,AB807,AG807),"")</f>
        <v>1</v>
      </c>
      <c r="AI807" s="13" t="n">
        <f aca="false">IF($J807=1,(Ideal_P-E807)/Span_P,"")</f>
        <v>0.660480434450681</v>
      </c>
      <c r="AJ807" s="13" t="n">
        <f aca="false">IF($J807=1,(Ideal_S-F807)/Span_S,"")</f>
        <v>0.032258064516129</v>
      </c>
      <c r="AK807" s="13" t="n">
        <f aca="false">IF($J807=1,(Ideal_B-G807)/Span_B,"")</f>
        <v>0.693333333333333</v>
      </c>
      <c r="AL807" s="12" t="n">
        <f aca="false">IF($J807=1,MAX(ChA_1*AI807,ChA_2*AJ807,ChA_3*AK807)+Rho*(ChA_1*AI807+ChA_2*AJ807+ChA_3*AK807),"")</f>
        <v>0.693471940516563</v>
      </c>
      <c r="AM807" s="12" t="n">
        <f aca="false">IF($J807=1,MAX(ChB_1*AI807,ChB_2*AJ807,ChB_3*AK807)+Rho*(ChB_1*AI807+ChB_2*AJ807+ChB_3*AK807),"")</f>
        <v>1.32116552412804</v>
      </c>
      <c r="AN807" s="12" t="n">
        <f aca="false">IF($J807=1,MAX(Cx_1*(Ref_P-E807)/Span_P,Cx_2*(Ref_S-F807)/Span_S,Cx_3*(Ref_B-G807)/Span_B),"")</f>
        <v>1.77310924369748</v>
      </c>
    </row>
    <row r="808" customFormat="false" ht="15" hidden="false" customHeight="false" outlineLevel="0" collapsed="false">
      <c r="A808" s="2" t="n">
        <v>802</v>
      </c>
      <c r="B808" s="15" t="n">
        <f aca="false">INT(A808/151)</f>
        <v>5</v>
      </c>
      <c r="C808" s="15" t="n">
        <f aca="false">MOD(A808,151)</f>
        <v>47</v>
      </c>
      <c r="D808" s="15" t="n">
        <f aca="false">INDEX(Grid!$J$6:$P$156,C808+1,B808+1)</f>
        <v>1</v>
      </c>
      <c r="E808" s="16" t="n">
        <f aca="false">IF(D808=1,INDEX(Grid!$B$6:$H$156,C808+1,B808+1),"")</f>
        <v>144.094321335816</v>
      </c>
      <c r="F808" s="13" t="n">
        <f aca="false">Val_pt*(Ceiling_e-E_zero)*(1-(1-Half_gap)^B808)</f>
        <v>135.625</v>
      </c>
      <c r="G808" s="15" t="n">
        <f aca="false">C808</f>
        <v>47</v>
      </c>
      <c r="H808" s="15" t="n">
        <f aca="false">IF(D808=1,INDEX(Grid!$R$6:$X$156,C808+1,B808+1),"")</f>
        <v>59</v>
      </c>
      <c r="I808" s="2" t="str">
        <f aca="false">IF(D808=1,INDEX(Sch_label,H808+1),"")</f>
        <v>1–3, 5, 6</v>
      </c>
      <c r="J808" s="15" t="n">
        <f aca="false">IF(D808=1,INDEX(Grid!$Z$6:$AF$156,C808+1,B808+1),0)</f>
        <v>1</v>
      </c>
      <c r="K808" s="16" t="n">
        <f aca="false">IF(J808=1,E808,0)</f>
        <v>144.094321335816</v>
      </c>
      <c r="L808" s="17" t="n">
        <f aca="false">IF(D808=1,E808+W_board*F808,"")</f>
        <v>909.662088971252</v>
      </c>
      <c r="M808" s="24" t="n">
        <v>1</v>
      </c>
      <c r="N808" s="25" t="n">
        <v>0.121286736192901</v>
      </c>
      <c r="O808" s="25" t="n">
        <v>0.833039660615896</v>
      </c>
      <c r="P808" s="25" t="n">
        <v>0.0456736031912027</v>
      </c>
      <c r="Z808" s="12" t="n">
        <f aca="false">IF(AND($J808=1,$M808=1),N808*E808/Span_P+O808*F808/Span_S+P808*G808/Span_B,"")</f>
        <v>1.72865330050022</v>
      </c>
      <c r="AA808" s="12" t="n">
        <f aca="false">IF(AND($J808=1,$M808=1),SUMPRODUCT(MAX($J$6:$J$1062*(N808*$K$6:$K$1062/Span_P+O808*$F$6:$F$1062/Span_S+P808*$G$6:$G$1062/Span_B)-(1-$J$6:$J$1062)*1000000000)),"")</f>
        <v>1.72865330050022</v>
      </c>
      <c r="AB808" s="15" t="n">
        <f aca="false">IF(AND($J808=1,$M808=1),IF(AA808-Z808&lt;=0.000000001,1,0),"")</f>
        <v>1</v>
      </c>
      <c r="AC808" s="13" t="str">
        <f aca="false">IF(AND($J808=1,$M808=0),IF(S808="",0,S808*INDEX(Grid!$B$6:$H$156,R808+1,Q808+1))+IF(V808="",0,V808*INDEX(Grid!$B$6:$H$156,U808+1,T808+1))+IF(Y808="",0,Y808*INDEX(Grid!$B$6:$H$156,X808+1,W808+1)),"")</f>
        <v/>
      </c>
      <c r="AD808" s="13" t="str">
        <f aca="false">IF(AND($J808=1,$M808=0),IF(S808="",0,S808*Val_pt*(Ceiling_e-E_zero)*(1-(1-Half_gap)^Q808))+IF(V808="",0,V808*Val_pt*(Ceiling_e-E_zero)*(1-(1-Half_gap)^T808))+IF(Y808="",0,Y808*Val_pt*(Ceiling_e-E_zero)*(1-(1-Half_gap)^W808)),"")</f>
        <v/>
      </c>
      <c r="AE808" s="13" t="str">
        <f aca="false">IF(AND($J808=1,$M808=0),IF(S808="",0,S808*R808)+IF(V808="",0,V808*U808)+IF(Y808="",0,Y808*X808),"")</f>
        <v/>
      </c>
      <c r="AF808" s="12" t="str">
        <f aca="false">IF(AND($J808=1,$M808=0),MIN((AC808-E808)/Span_P,(AD808-F808)/Span_S,(AE808-G808)/Span_B),"")</f>
        <v/>
      </c>
      <c r="AG808" s="15" t="str">
        <f aca="false">IF(AND($J808=1,$M808=0),IF(AF808&gt;0.0000001,1,0),"")</f>
        <v/>
      </c>
      <c r="AH808" s="15" t="n">
        <f aca="false">IF($J808=1,IF($M808=1,AB808,AG808),"")</f>
        <v>1</v>
      </c>
      <c r="AI808" s="13" t="n">
        <f aca="false">IF($J808=1,(Ideal_P-E808)/Span_P,"")</f>
        <v>0.662990937226986</v>
      </c>
      <c r="AJ808" s="13" t="n">
        <f aca="false">IF($J808=1,(Ideal_S-F808)/Span_S,"")</f>
        <v>0.032258064516129</v>
      </c>
      <c r="AK808" s="13" t="n">
        <f aca="false">IF($J808=1,(Ideal_B-G808)/Span_B,"")</f>
        <v>0.686666666666667</v>
      </c>
      <c r="AL808" s="12" t="n">
        <f aca="false">IF($J808=1,MAX(ChA_1*AI808,ChA_2*AJ808,ChA_3*AK808)+Rho*(ChA_1*AI808+ChA_2*AJ808+ChA_3*AK808),"")</f>
        <v>0.686804858233508</v>
      </c>
      <c r="AM808" s="12" t="n">
        <f aca="false">IF($J808=1,MAX(ChB_1*AI808,ChB_2*AJ808,ChB_3*AK808)+Rho*(ChB_1*AI808+ChB_2*AJ808+ChB_3*AK808),"")</f>
        <v>1.32618636511454</v>
      </c>
      <c r="AN808" s="12" t="n">
        <f aca="false">IF($J808=1,MAX(Cx_1*(Ref_P-E808)/Span_P,Cx_2*(Ref_S-F808)/Span_S,Cx_3*(Ref_B-G808)/Span_B),"")</f>
        <v>1.7563025210084</v>
      </c>
    </row>
    <row r="809" customFormat="false" ht="15" hidden="false" customHeight="false" outlineLevel="0" collapsed="false">
      <c r="A809" s="2" t="n">
        <v>803</v>
      </c>
      <c r="B809" s="15" t="n">
        <f aca="false">INT(A809/151)</f>
        <v>5</v>
      </c>
      <c r="C809" s="15" t="n">
        <f aca="false">MOD(A809,151)</f>
        <v>48</v>
      </c>
      <c r="D809" s="15" t="n">
        <f aca="false">INDEX(Grid!$J$6:$P$156,C809+1,B809+1)</f>
        <v>1</v>
      </c>
      <c r="E809" s="16" t="n">
        <f aca="false">IF(D809=1,INDEX(Grid!$B$6:$H$156,C809+1,B809+1),"")</f>
        <v>143.185230426725</v>
      </c>
      <c r="F809" s="13" t="n">
        <f aca="false">Val_pt*(Ceiling_e-E_zero)*(1-(1-Half_gap)^B809)</f>
        <v>135.625</v>
      </c>
      <c r="G809" s="15" t="n">
        <f aca="false">C809</f>
        <v>48</v>
      </c>
      <c r="H809" s="15" t="n">
        <f aca="false">IF(D809=1,INDEX(Grid!$R$6:$X$156,C809+1,B809+1),"")</f>
        <v>59</v>
      </c>
      <c r="I809" s="2" t="str">
        <f aca="false">IF(D809=1,INDEX(Sch_label,H809+1),"")</f>
        <v>1–3, 5, 6</v>
      </c>
      <c r="J809" s="15" t="n">
        <f aca="false">IF(D809=1,INDEX(Grid!$Z$6:$AF$156,C809+1,B809+1),0)</f>
        <v>1</v>
      </c>
      <c r="K809" s="16" t="n">
        <f aca="false">IF(J809=1,E809,0)</f>
        <v>143.185230426725</v>
      </c>
      <c r="L809" s="17" t="n">
        <f aca="false">IF(D809=1,E809+W_board*F809,"")</f>
        <v>908.752998062161</v>
      </c>
      <c r="M809" s="24" t="n">
        <v>1</v>
      </c>
      <c r="N809" s="25" t="n">
        <v>0.121286736192901</v>
      </c>
      <c r="O809" s="25" t="n">
        <v>0.833039660615898</v>
      </c>
      <c r="P809" s="25" t="n">
        <v>0.0456736031912014</v>
      </c>
      <c r="Z809" s="12" t="n">
        <f aca="false">IF(AND($J809=1,$M809=1),N809*E809/Span_P+O809*F809/Span_S+P809*G809/Span_B,"")</f>
        <v>1.72865330050022</v>
      </c>
      <c r="AA809" s="12" t="n">
        <f aca="false">IF(AND($J809=1,$M809=1),SUMPRODUCT(MAX($J$6:$J$1062*(N809*$K$6:$K$1062/Span_P+O809*$F$6:$F$1062/Span_S+P809*$G$6:$G$1062/Span_B)-(1-$J$6:$J$1062)*1000000000)),"")</f>
        <v>1.72865330050022</v>
      </c>
      <c r="AB809" s="15" t="n">
        <f aca="false">IF(AND($J809=1,$M809=1),IF(AA809-Z809&lt;=0.000000001,1,0),"")</f>
        <v>1</v>
      </c>
      <c r="AC809" s="13" t="str">
        <f aca="false">IF(AND($J809=1,$M809=0),IF(S809="",0,S809*INDEX(Grid!$B$6:$H$156,R809+1,Q809+1))+IF(V809="",0,V809*INDEX(Grid!$B$6:$H$156,U809+1,T809+1))+IF(Y809="",0,Y809*INDEX(Grid!$B$6:$H$156,X809+1,W809+1)),"")</f>
        <v/>
      </c>
      <c r="AD809" s="13" t="str">
        <f aca="false">IF(AND($J809=1,$M809=0),IF(S809="",0,S809*Val_pt*(Ceiling_e-E_zero)*(1-(1-Half_gap)^Q809))+IF(V809="",0,V809*Val_pt*(Ceiling_e-E_zero)*(1-(1-Half_gap)^T809))+IF(Y809="",0,Y809*Val_pt*(Ceiling_e-E_zero)*(1-(1-Half_gap)^W809)),"")</f>
        <v/>
      </c>
      <c r="AE809" s="13" t="str">
        <f aca="false">IF(AND($J809=1,$M809=0),IF(S809="",0,S809*R809)+IF(V809="",0,V809*U809)+IF(Y809="",0,Y809*X809),"")</f>
        <v/>
      </c>
      <c r="AF809" s="12" t="str">
        <f aca="false">IF(AND($J809=1,$M809=0),MIN((AC809-E809)/Span_P,(AD809-F809)/Span_S,(AE809-G809)/Span_B),"")</f>
        <v/>
      </c>
      <c r="AG809" s="15" t="str">
        <f aca="false">IF(AND($J809=1,$M809=0),IF(AF809&gt;0.0000001,1,0),"")</f>
        <v/>
      </c>
      <c r="AH809" s="15" t="n">
        <f aca="false">IF($J809=1,IF($M809=1,AB809,AG809),"")</f>
        <v>1</v>
      </c>
      <c r="AI809" s="13" t="n">
        <f aca="false">IF($J809=1,(Ideal_P-E809)/Span_P,"")</f>
        <v>0.665501440003292</v>
      </c>
      <c r="AJ809" s="13" t="n">
        <f aca="false">IF($J809=1,(Ideal_S-F809)/Span_S,"")</f>
        <v>0.032258064516129</v>
      </c>
      <c r="AK809" s="13" t="n">
        <f aca="false">IF($J809=1,(Ideal_B-G809)/Span_B,"")</f>
        <v>0.68</v>
      </c>
      <c r="AL809" s="12" t="n">
        <f aca="false">IF($J809=1,MAX(ChA_1*AI809,ChA_2*AJ809,ChA_3*AK809)+Rho*(ChA_1*AI809+ChA_2*AJ809+ChA_3*AK809),"")</f>
        <v>0.680137775950452</v>
      </c>
      <c r="AM809" s="12" t="n">
        <f aca="false">IF($J809=1,MAX(ChB_1*AI809,ChB_2*AJ809,ChB_3*AK809)+Rho*(ChB_1*AI809+ChB_2*AJ809+ChB_3*AK809),"")</f>
        <v>1.33120720610104</v>
      </c>
      <c r="AN809" s="12" t="n">
        <f aca="false">IF($J809=1,MAX(Cx_1*(Ref_P-E809)/Span_P,Cx_2*(Ref_S-F809)/Span_S,Cx_3*(Ref_B-G809)/Span_B),"")</f>
        <v>1.73949579831933</v>
      </c>
    </row>
    <row r="810" customFormat="false" ht="15" hidden="false" customHeight="false" outlineLevel="0" collapsed="false">
      <c r="A810" s="2" t="n">
        <v>804</v>
      </c>
      <c r="B810" s="15" t="n">
        <f aca="false">INT(A810/151)</f>
        <v>5</v>
      </c>
      <c r="C810" s="15" t="n">
        <f aca="false">MOD(A810,151)</f>
        <v>49</v>
      </c>
      <c r="D810" s="15" t="n">
        <f aca="false">INDEX(Grid!$J$6:$P$156,C810+1,B810+1)</f>
        <v>1</v>
      </c>
      <c r="E810" s="16" t="n">
        <f aca="false">IF(D810=1,INDEX(Grid!$B$6:$H$156,C810+1,B810+1),"")</f>
        <v>142.276139517634</v>
      </c>
      <c r="F810" s="13" t="n">
        <f aca="false">Val_pt*(Ceiling_e-E_zero)*(1-(1-Half_gap)^B810)</f>
        <v>135.625</v>
      </c>
      <c r="G810" s="15" t="n">
        <f aca="false">C810</f>
        <v>49</v>
      </c>
      <c r="H810" s="15" t="n">
        <f aca="false">IF(D810=1,INDEX(Grid!$R$6:$X$156,C810+1,B810+1),"")</f>
        <v>59</v>
      </c>
      <c r="I810" s="2" t="str">
        <f aca="false">IF(D810=1,INDEX(Sch_label,H810+1),"")</f>
        <v>1–3, 5, 6</v>
      </c>
      <c r="J810" s="15" t="n">
        <f aca="false">IF(D810=1,INDEX(Grid!$Z$6:$AF$156,C810+1,B810+1),0)</f>
        <v>1</v>
      </c>
      <c r="K810" s="16" t="n">
        <f aca="false">IF(J810=1,E810,0)</f>
        <v>142.276139517634</v>
      </c>
      <c r="L810" s="17" t="n">
        <f aca="false">IF(D810=1,E810+W_board*F810,"")</f>
        <v>907.84390715307</v>
      </c>
      <c r="M810" s="24" t="n">
        <v>1</v>
      </c>
      <c r="N810" s="25" t="n">
        <v>0.121286736192901</v>
      </c>
      <c r="O810" s="25" t="n">
        <v>0.833039660615898</v>
      </c>
      <c r="P810" s="25" t="n">
        <v>0.0456736031912014</v>
      </c>
      <c r="Z810" s="12" t="n">
        <f aca="false">IF(AND($J810=1,$M810=1),N810*E810/Span_P+O810*F810/Span_S+P810*G810/Span_B,"")</f>
        <v>1.72865330050022</v>
      </c>
      <c r="AA810" s="12" t="n">
        <f aca="false">IF(AND($J810=1,$M810=1),SUMPRODUCT(MAX($J$6:$J$1062*(N810*$K$6:$K$1062/Span_P+O810*$F$6:$F$1062/Span_S+P810*$G$6:$G$1062/Span_B)-(1-$J$6:$J$1062)*1000000000)),"")</f>
        <v>1.72865330050022</v>
      </c>
      <c r="AB810" s="15" t="n">
        <f aca="false">IF(AND($J810=1,$M810=1),IF(AA810-Z810&lt;=0.000000001,1,0),"")</f>
        <v>1</v>
      </c>
      <c r="AC810" s="13" t="str">
        <f aca="false">IF(AND($J810=1,$M810=0),IF(S810="",0,S810*INDEX(Grid!$B$6:$H$156,R810+1,Q810+1))+IF(V810="",0,V810*INDEX(Grid!$B$6:$H$156,U810+1,T810+1))+IF(Y810="",0,Y810*INDEX(Grid!$B$6:$H$156,X810+1,W810+1)),"")</f>
        <v/>
      </c>
      <c r="AD810" s="13" t="str">
        <f aca="false">IF(AND($J810=1,$M810=0),IF(S810="",0,S810*Val_pt*(Ceiling_e-E_zero)*(1-(1-Half_gap)^Q810))+IF(V810="",0,V810*Val_pt*(Ceiling_e-E_zero)*(1-(1-Half_gap)^T810))+IF(Y810="",0,Y810*Val_pt*(Ceiling_e-E_zero)*(1-(1-Half_gap)^W810)),"")</f>
        <v/>
      </c>
      <c r="AE810" s="13" t="str">
        <f aca="false">IF(AND($J810=1,$M810=0),IF(S810="",0,S810*R810)+IF(V810="",0,V810*U810)+IF(Y810="",0,Y810*X810),"")</f>
        <v/>
      </c>
      <c r="AF810" s="12" t="str">
        <f aca="false">IF(AND($J810=1,$M810=0),MIN((AC810-E810)/Span_P,(AD810-F810)/Span_S,(AE810-G810)/Span_B),"")</f>
        <v/>
      </c>
      <c r="AG810" s="15" t="str">
        <f aca="false">IF(AND($J810=1,$M810=0),IF(AF810&gt;0.0000001,1,0),"")</f>
        <v/>
      </c>
      <c r="AH810" s="15" t="n">
        <f aca="false">IF($J810=1,IF($M810=1,AB810,AG810),"")</f>
        <v>1</v>
      </c>
      <c r="AI810" s="13" t="n">
        <f aca="false">IF($J810=1,(Ideal_P-E810)/Span_P,"")</f>
        <v>0.668011942779598</v>
      </c>
      <c r="AJ810" s="13" t="n">
        <f aca="false">IF($J810=1,(Ideal_S-F810)/Span_S,"")</f>
        <v>0.032258064516129</v>
      </c>
      <c r="AK810" s="13" t="n">
        <f aca="false">IF($J810=1,(Ideal_B-G810)/Span_B,"")</f>
        <v>0.673333333333333</v>
      </c>
      <c r="AL810" s="12" t="n">
        <f aca="false">IF($J810=1,MAX(ChA_1*AI810,ChA_2*AJ810,ChA_3*AK810)+Rho*(ChA_1*AI810+ChA_2*AJ810+ChA_3*AK810),"")</f>
        <v>0.673470693667396</v>
      </c>
      <c r="AM810" s="12" t="n">
        <f aca="false">IF($J810=1,MAX(ChB_1*AI810,ChB_2*AJ810,ChB_3*AK810)+Rho*(ChB_1*AI810+ChB_2*AJ810+ChB_3*AK810),"")</f>
        <v>1.33622804708754</v>
      </c>
      <c r="AN810" s="12" t="n">
        <f aca="false">IF($J810=1,MAX(Cx_1*(Ref_P-E810)/Span_P,Cx_2*(Ref_S-F810)/Span_S,Cx_3*(Ref_B-G810)/Span_B),"")</f>
        <v>1.72268907563025</v>
      </c>
    </row>
    <row r="811" customFormat="false" ht="15" hidden="false" customHeight="false" outlineLevel="0" collapsed="false">
      <c r="A811" s="2" t="n">
        <v>805</v>
      </c>
      <c r="B811" s="15" t="n">
        <f aca="false">INT(A811/151)</f>
        <v>5</v>
      </c>
      <c r="C811" s="15" t="n">
        <f aca="false">MOD(A811,151)</f>
        <v>50</v>
      </c>
      <c r="D811" s="15" t="n">
        <f aca="false">INDEX(Grid!$J$6:$P$156,C811+1,B811+1)</f>
        <v>1</v>
      </c>
      <c r="E811" s="16" t="n">
        <f aca="false">IF(D811=1,INDEX(Grid!$B$6:$H$156,C811+1,B811+1),"")</f>
        <v>141.367048608544</v>
      </c>
      <c r="F811" s="13" t="n">
        <f aca="false">Val_pt*(Ceiling_e-E_zero)*(1-(1-Half_gap)^B811)</f>
        <v>135.625</v>
      </c>
      <c r="G811" s="15" t="n">
        <f aca="false">C811</f>
        <v>50</v>
      </c>
      <c r="H811" s="15" t="n">
        <f aca="false">IF(D811=1,INDEX(Grid!$R$6:$X$156,C811+1,B811+1),"")</f>
        <v>59</v>
      </c>
      <c r="I811" s="2" t="str">
        <f aca="false">IF(D811=1,INDEX(Sch_label,H811+1),"")</f>
        <v>1–3, 5, 6</v>
      </c>
      <c r="J811" s="15" t="n">
        <f aca="false">IF(D811=1,INDEX(Grid!$Z$6:$AF$156,C811+1,B811+1),0)</f>
        <v>1</v>
      </c>
      <c r="K811" s="16" t="n">
        <f aca="false">IF(J811=1,E811,0)</f>
        <v>141.367048608544</v>
      </c>
      <c r="L811" s="17" t="n">
        <f aca="false">IF(D811=1,E811+W_board*F811,"")</f>
        <v>906.934816243979</v>
      </c>
      <c r="M811" s="24" t="n">
        <v>1</v>
      </c>
      <c r="N811" s="25" t="n">
        <v>0.1212867361929</v>
      </c>
      <c r="O811" s="25" t="n">
        <v>0.833039660615899</v>
      </c>
      <c r="P811" s="25" t="n">
        <v>0.0456736031912009</v>
      </c>
      <c r="Z811" s="12" t="n">
        <f aca="false">IF(AND($J811=1,$M811=1),N811*E811/Span_P+O811*F811/Span_S+P811*G811/Span_B,"")</f>
        <v>1.72865330050022</v>
      </c>
      <c r="AA811" s="12" t="n">
        <f aca="false">IF(AND($J811=1,$M811=1),SUMPRODUCT(MAX($J$6:$J$1062*(N811*$K$6:$K$1062/Span_P+O811*$F$6:$F$1062/Span_S+P811*$G$6:$G$1062/Span_B)-(1-$J$6:$J$1062)*1000000000)),"")</f>
        <v>1.72865330050022</v>
      </c>
      <c r="AB811" s="15" t="n">
        <f aca="false">IF(AND($J811=1,$M811=1),IF(AA811-Z811&lt;=0.000000001,1,0),"")</f>
        <v>1</v>
      </c>
      <c r="AC811" s="13" t="str">
        <f aca="false">IF(AND($J811=1,$M811=0),IF(S811="",0,S811*INDEX(Grid!$B$6:$H$156,R811+1,Q811+1))+IF(V811="",0,V811*INDEX(Grid!$B$6:$H$156,U811+1,T811+1))+IF(Y811="",0,Y811*INDEX(Grid!$B$6:$H$156,X811+1,W811+1)),"")</f>
        <v/>
      </c>
      <c r="AD811" s="13" t="str">
        <f aca="false">IF(AND($J811=1,$M811=0),IF(S811="",0,S811*Val_pt*(Ceiling_e-E_zero)*(1-(1-Half_gap)^Q811))+IF(V811="",0,V811*Val_pt*(Ceiling_e-E_zero)*(1-(1-Half_gap)^T811))+IF(Y811="",0,Y811*Val_pt*(Ceiling_e-E_zero)*(1-(1-Half_gap)^W811)),"")</f>
        <v/>
      </c>
      <c r="AE811" s="13" t="str">
        <f aca="false">IF(AND($J811=1,$M811=0),IF(S811="",0,S811*R811)+IF(V811="",0,V811*U811)+IF(Y811="",0,Y811*X811),"")</f>
        <v/>
      </c>
      <c r="AF811" s="12" t="str">
        <f aca="false">IF(AND($J811=1,$M811=0),MIN((AC811-E811)/Span_P,(AD811-F811)/Span_S,(AE811-G811)/Span_B),"")</f>
        <v/>
      </c>
      <c r="AG811" s="15" t="str">
        <f aca="false">IF(AND($J811=1,$M811=0),IF(AF811&gt;0.0000001,1,0),"")</f>
        <v/>
      </c>
      <c r="AH811" s="15" t="n">
        <f aca="false">IF($J811=1,IF($M811=1,AB811,AG811),"")</f>
        <v>1</v>
      </c>
      <c r="AI811" s="13" t="n">
        <f aca="false">IF($J811=1,(Ideal_P-E811)/Span_P,"")</f>
        <v>0.670522445555904</v>
      </c>
      <c r="AJ811" s="13" t="n">
        <f aca="false">IF($J811=1,(Ideal_S-F811)/Span_S,"")</f>
        <v>0.032258064516129</v>
      </c>
      <c r="AK811" s="13" t="n">
        <f aca="false">IF($J811=1,(Ideal_B-G811)/Span_B,"")</f>
        <v>0.666666666666667</v>
      </c>
      <c r="AL811" s="12" t="n">
        <f aca="false">IF($J811=1,MAX(ChA_1*AI811,ChA_2*AJ811,ChA_3*AK811)+Rho*(ChA_1*AI811+ChA_2*AJ811+ChA_3*AK811),"")</f>
        <v>0.670659390273578</v>
      </c>
      <c r="AM811" s="12" t="n">
        <f aca="false">IF($J811=1,MAX(ChB_1*AI811,ChB_2*AJ811,ChB_3*AK811)+Rho*(ChB_1*AI811+ChB_2*AJ811+ChB_3*AK811),"")</f>
        <v>1.34124888807404</v>
      </c>
      <c r="AN811" s="12" t="n">
        <f aca="false">IF($J811=1,MAX(Cx_1*(Ref_P-E811)/Span_P,Cx_2*(Ref_S-F811)/Span_S,Cx_3*(Ref_B-G811)/Span_B),"")</f>
        <v>1.70588235294118</v>
      </c>
    </row>
    <row r="812" customFormat="false" ht="15" hidden="false" customHeight="false" outlineLevel="0" collapsed="false">
      <c r="A812" s="2" t="n">
        <v>806</v>
      </c>
      <c r="B812" s="15" t="n">
        <f aca="false">INT(A812/151)</f>
        <v>5</v>
      </c>
      <c r="C812" s="15" t="n">
        <f aca="false">MOD(A812,151)</f>
        <v>51</v>
      </c>
      <c r="D812" s="15" t="n">
        <f aca="false">INDEX(Grid!$J$6:$P$156,C812+1,B812+1)</f>
        <v>1</v>
      </c>
      <c r="E812" s="16" t="n">
        <f aca="false">IF(D812=1,INDEX(Grid!$B$6:$H$156,C812+1,B812+1),"")</f>
        <v>140.457957699453</v>
      </c>
      <c r="F812" s="13" t="n">
        <f aca="false">Val_pt*(Ceiling_e-E_zero)*(1-(1-Half_gap)^B812)</f>
        <v>135.625</v>
      </c>
      <c r="G812" s="15" t="n">
        <f aca="false">C812</f>
        <v>51</v>
      </c>
      <c r="H812" s="15" t="n">
        <f aca="false">IF(D812=1,INDEX(Grid!$R$6:$X$156,C812+1,B812+1),"")</f>
        <v>59</v>
      </c>
      <c r="I812" s="2" t="str">
        <f aca="false">IF(D812=1,INDEX(Sch_label,H812+1),"")</f>
        <v>1–3, 5, 6</v>
      </c>
      <c r="J812" s="15" t="n">
        <f aca="false">IF(D812=1,INDEX(Grid!$Z$6:$AF$156,C812+1,B812+1),0)</f>
        <v>1</v>
      </c>
      <c r="K812" s="16" t="n">
        <f aca="false">IF(J812=1,E812,0)</f>
        <v>140.457957699453</v>
      </c>
      <c r="L812" s="17" t="n">
        <f aca="false">IF(D812=1,E812+W_board*F812,"")</f>
        <v>906.025725334888</v>
      </c>
      <c r="M812" s="24" t="n">
        <v>1</v>
      </c>
      <c r="N812" s="25" t="n">
        <v>0.121286736192901</v>
      </c>
      <c r="O812" s="25" t="n">
        <v>0.833039660615898</v>
      </c>
      <c r="P812" s="25" t="n">
        <v>0.0456736031912014</v>
      </c>
      <c r="Z812" s="12" t="n">
        <f aca="false">IF(AND($J812=1,$M812=1),N812*E812/Span_P+O812*F812/Span_S+P812*G812/Span_B,"")</f>
        <v>1.72865330050022</v>
      </c>
      <c r="AA812" s="12" t="n">
        <f aca="false">IF(AND($J812=1,$M812=1),SUMPRODUCT(MAX($J$6:$J$1062*(N812*$K$6:$K$1062/Span_P+O812*$F$6:$F$1062/Span_S+P812*$G$6:$G$1062/Span_B)-(1-$J$6:$J$1062)*1000000000)),"")</f>
        <v>1.72865330050022</v>
      </c>
      <c r="AB812" s="15" t="n">
        <f aca="false">IF(AND($J812=1,$M812=1),IF(AA812-Z812&lt;=0.000000001,1,0),"")</f>
        <v>1</v>
      </c>
      <c r="AC812" s="13" t="str">
        <f aca="false">IF(AND($J812=1,$M812=0),IF(S812="",0,S812*INDEX(Grid!$B$6:$H$156,R812+1,Q812+1))+IF(V812="",0,V812*INDEX(Grid!$B$6:$H$156,U812+1,T812+1))+IF(Y812="",0,Y812*INDEX(Grid!$B$6:$H$156,X812+1,W812+1)),"")</f>
        <v/>
      </c>
      <c r="AD812" s="13" t="str">
        <f aca="false">IF(AND($J812=1,$M812=0),IF(S812="",0,S812*Val_pt*(Ceiling_e-E_zero)*(1-(1-Half_gap)^Q812))+IF(V812="",0,V812*Val_pt*(Ceiling_e-E_zero)*(1-(1-Half_gap)^T812))+IF(Y812="",0,Y812*Val_pt*(Ceiling_e-E_zero)*(1-(1-Half_gap)^W812)),"")</f>
        <v/>
      </c>
      <c r="AE812" s="13" t="str">
        <f aca="false">IF(AND($J812=1,$M812=0),IF(S812="",0,S812*R812)+IF(V812="",0,V812*U812)+IF(Y812="",0,Y812*X812),"")</f>
        <v/>
      </c>
      <c r="AF812" s="12" t="str">
        <f aca="false">IF(AND($J812=1,$M812=0),MIN((AC812-E812)/Span_P,(AD812-F812)/Span_S,(AE812-G812)/Span_B),"")</f>
        <v/>
      </c>
      <c r="AG812" s="15" t="str">
        <f aca="false">IF(AND($J812=1,$M812=0),IF(AF812&gt;0.0000001,1,0),"")</f>
        <v/>
      </c>
      <c r="AH812" s="15" t="n">
        <f aca="false">IF($J812=1,IF($M812=1,AB812,AG812),"")</f>
        <v>1</v>
      </c>
      <c r="AI812" s="13" t="n">
        <f aca="false">IF($J812=1,(Ideal_P-E812)/Span_P,"")</f>
        <v>0.67303294833221</v>
      </c>
      <c r="AJ812" s="13" t="n">
        <f aca="false">IF($J812=1,(Ideal_S-F812)/Span_S,"")</f>
        <v>0.032258064516129</v>
      </c>
      <c r="AK812" s="13" t="n">
        <f aca="false">IF($J812=1,(Ideal_B-G812)/Span_B,"")</f>
        <v>0.66</v>
      </c>
      <c r="AL812" s="12" t="n">
        <f aca="false">IF($J812=1,MAX(ChA_1*AI812,ChA_2*AJ812,ChA_3*AK812)+Rho*(ChA_1*AI812+ChA_2*AJ812+ChA_3*AK812),"")</f>
        <v>0.673169477433494</v>
      </c>
      <c r="AM812" s="12" t="n">
        <f aca="false">IF($J812=1,MAX(ChB_1*AI812,ChB_2*AJ812,ChB_3*AK812)+Rho*(ChB_1*AI812+ChB_2*AJ812+ChB_3*AK812),"")</f>
        <v>1.34626972906054</v>
      </c>
      <c r="AN812" s="12" t="n">
        <f aca="false">IF($J812=1,MAX(Cx_1*(Ref_P-E812)/Span_P,Cx_2*(Ref_S-F812)/Span_S,Cx_3*(Ref_B-G812)/Span_B),"")</f>
        <v>1.70578799796403</v>
      </c>
    </row>
    <row r="813" customFormat="false" ht="15" hidden="false" customHeight="false" outlineLevel="0" collapsed="false">
      <c r="A813" s="2" t="n">
        <v>807</v>
      </c>
      <c r="B813" s="15" t="n">
        <f aca="false">INT(A813/151)</f>
        <v>5</v>
      </c>
      <c r="C813" s="15" t="n">
        <f aca="false">MOD(A813,151)</f>
        <v>52</v>
      </c>
      <c r="D813" s="15" t="n">
        <f aca="false">INDEX(Grid!$J$6:$P$156,C813+1,B813+1)</f>
        <v>1</v>
      </c>
      <c r="E813" s="16" t="n">
        <f aca="false">IF(D813=1,INDEX(Grid!$B$6:$H$156,C813+1,B813+1),"")</f>
        <v>139.548866790362</v>
      </c>
      <c r="F813" s="13" t="n">
        <f aca="false">Val_pt*(Ceiling_e-E_zero)*(1-(1-Half_gap)^B813)</f>
        <v>135.625</v>
      </c>
      <c r="G813" s="15" t="n">
        <f aca="false">C813</f>
        <v>52</v>
      </c>
      <c r="H813" s="15" t="n">
        <f aca="false">IF(D813=1,INDEX(Grid!$R$6:$X$156,C813+1,B813+1),"")</f>
        <v>59</v>
      </c>
      <c r="I813" s="2" t="str">
        <f aca="false">IF(D813=1,INDEX(Sch_label,H813+1),"")</f>
        <v>1–3, 5, 6</v>
      </c>
      <c r="J813" s="15" t="n">
        <f aca="false">IF(D813=1,INDEX(Grid!$Z$6:$AF$156,C813+1,B813+1),0)</f>
        <v>1</v>
      </c>
      <c r="K813" s="16" t="n">
        <f aca="false">IF(J813=1,E813,0)</f>
        <v>139.548866790362</v>
      </c>
      <c r="L813" s="17" t="n">
        <f aca="false">IF(D813=1,E813+W_board*F813,"")</f>
        <v>905.116634425797</v>
      </c>
      <c r="M813" s="24" t="n">
        <v>1</v>
      </c>
      <c r="N813" s="25" t="n">
        <v>0.121286736192901</v>
      </c>
      <c r="O813" s="25" t="n">
        <v>0.833039660615898</v>
      </c>
      <c r="P813" s="25" t="n">
        <v>0.0456736031912014</v>
      </c>
      <c r="Z813" s="12" t="n">
        <f aca="false">IF(AND($J813=1,$M813=1),N813*E813/Span_P+O813*F813/Span_S+P813*G813/Span_B,"")</f>
        <v>1.72865330050022</v>
      </c>
      <c r="AA813" s="12" t="n">
        <f aca="false">IF(AND($J813=1,$M813=1),SUMPRODUCT(MAX($J$6:$J$1062*(N813*$K$6:$K$1062/Span_P+O813*$F$6:$F$1062/Span_S+P813*$G$6:$G$1062/Span_B)-(1-$J$6:$J$1062)*1000000000)),"")</f>
        <v>1.72865330050022</v>
      </c>
      <c r="AB813" s="15" t="n">
        <f aca="false">IF(AND($J813=1,$M813=1),IF(AA813-Z813&lt;=0.000000001,1,0),"")</f>
        <v>1</v>
      </c>
      <c r="AC813" s="13" t="str">
        <f aca="false">IF(AND($J813=1,$M813=0),IF(S813="",0,S813*INDEX(Grid!$B$6:$H$156,R813+1,Q813+1))+IF(V813="",0,V813*INDEX(Grid!$B$6:$H$156,U813+1,T813+1))+IF(Y813="",0,Y813*INDEX(Grid!$B$6:$H$156,X813+1,W813+1)),"")</f>
        <v/>
      </c>
      <c r="AD813" s="13" t="str">
        <f aca="false">IF(AND($J813=1,$M813=0),IF(S813="",0,S813*Val_pt*(Ceiling_e-E_zero)*(1-(1-Half_gap)^Q813))+IF(V813="",0,V813*Val_pt*(Ceiling_e-E_zero)*(1-(1-Half_gap)^T813))+IF(Y813="",0,Y813*Val_pt*(Ceiling_e-E_zero)*(1-(1-Half_gap)^W813)),"")</f>
        <v/>
      </c>
      <c r="AE813" s="13" t="str">
        <f aca="false">IF(AND($J813=1,$M813=0),IF(S813="",0,S813*R813)+IF(V813="",0,V813*U813)+IF(Y813="",0,Y813*X813),"")</f>
        <v/>
      </c>
      <c r="AF813" s="12" t="str">
        <f aca="false">IF(AND($J813=1,$M813=0),MIN((AC813-E813)/Span_P,(AD813-F813)/Span_S,(AE813-G813)/Span_B),"")</f>
        <v/>
      </c>
      <c r="AG813" s="15" t="str">
        <f aca="false">IF(AND($J813=1,$M813=0),IF(AF813&gt;0.0000001,1,0),"")</f>
        <v/>
      </c>
      <c r="AH813" s="15" t="n">
        <f aca="false">IF($J813=1,IF($M813=1,AB813,AG813),"")</f>
        <v>1</v>
      </c>
      <c r="AI813" s="13" t="n">
        <f aca="false">IF($J813=1,(Ideal_P-E813)/Span_P,"")</f>
        <v>0.675543451108515</v>
      </c>
      <c r="AJ813" s="13" t="n">
        <f aca="false">IF($J813=1,(Ideal_S-F813)/Span_S,"")</f>
        <v>0.032258064516129</v>
      </c>
      <c r="AK813" s="13" t="n">
        <f aca="false">IF($J813=1,(Ideal_B-G813)/Span_B,"")</f>
        <v>0.653333333333333</v>
      </c>
      <c r="AL813" s="12" t="n">
        <f aca="false">IF($J813=1,MAX(ChA_1*AI813,ChA_2*AJ813,ChA_3*AK813)+Rho*(ChA_1*AI813+ChA_2*AJ813+ChA_3*AK813),"")</f>
        <v>0.675679564593411</v>
      </c>
      <c r="AM813" s="12" t="n">
        <f aca="false">IF($J813=1,MAX(ChB_1*AI813,ChB_2*AJ813,ChB_3*AK813)+Rho*(ChB_1*AI813+ChB_2*AJ813+ChB_3*AK813),"")</f>
        <v>1.35129057004704</v>
      </c>
      <c r="AN813" s="12" t="n">
        <f aca="false">IF($J813=1,MAX(Cx_1*(Ref_P-E813)/Span_P,Cx_2*(Ref_S-F813)/Span_S,Cx_3*(Ref_B-G813)/Span_B),"")</f>
        <v>1.71205765964746</v>
      </c>
    </row>
    <row r="814" customFormat="false" ht="15" hidden="false" customHeight="false" outlineLevel="0" collapsed="false">
      <c r="A814" s="2" t="n">
        <v>808</v>
      </c>
      <c r="B814" s="15" t="n">
        <f aca="false">INT(A814/151)</f>
        <v>5</v>
      </c>
      <c r="C814" s="15" t="n">
        <f aca="false">MOD(A814,151)</f>
        <v>53</v>
      </c>
      <c r="D814" s="15" t="n">
        <f aca="false">INDEX(Grid!$J$6:$P$156,C814+1,B814+1)</f>
        <v>1</v>
      </c>
      <c r="E814" s="16" t="n">
        <f aca="false">IF(D814=1,INDEX(Grid!$B$6:$H$156,C814+1,B814+1),"")</f>
        <v>138.639775881271</v>
      </c>
      <c r="F814" s="13" t="n">
        <f aca="false">Val_pt*(Ceiling_e-E_zero)*(1-(1-Half_gap)^B814)</f>
        <v>135.625</v>
      </c>
      <c r="G814" s="15" t="n">
        <f aca="false">C814</f>
        <v>53</v>
      </c>
      <c r="H814" s="15" t="n">
        <f aca="false">IF(D814=1,INDEX(Grid!$R$6:$X$156,C814+1,B814+1),"")</f>
        <v>59</v>
      </c>
      <c r="I814" s="2" t="str">
        <f aca="false">IF(D814=1,INDEX(Sch_label,H814+1),"")</f>
        <v>1–3, 5, 6</v>
      </c>
      <c r="J814" s="15" t="n">
        <f aca="false">IF(D814=1,INDEX(Grid!$Z$6:$AF$156,C814+1,B814+1),0)</f>
        <v>1</v>
      </c>
      <c r="K814" s="16" t="n">
        <f aca="false">IF(J814=1,E814,0)</f>
        <v>138.639775881271</v>
      </c>
      <c r="L814" s="17" t="n">
        <f aca="false">IF(D814=1,E814+W_board*F814,"")</f>
        <v>904.207543516706</v>
      </c>
      <c r="M814" s="24" t="n">
        <v>1</v>
      </c>
      <c r="N814" s="25" t="n">
        <v>0.121286736192901</v>
      </c>
      <c r="O814" s="25" t="n">
        <v>0.833039660615896</v>
      </c>
      <c r="P814" s="25" t="n">
        <v>0.0456736031912027</v>
      </c>
      <c r="Z814" s="12" t="n">
        <f aca="false">IF(AND($J814=1,$M814=1),N814*E814/Span_P+O814*F814/Span_S+P814*G814/Span_B,"")</f>
        <v>1.72865330050022</v>
      </c>
      <c r="AA814" s="12" t="n">
        <f aca="false">IF(AND($J814=1,$M814=1),SUMPRODUCT(MAX($J$6:$J$1062*(N814*$K$6:$K$1062/Span_P+O814*$F$6:$F$1062/Span_S+P814*$G$6:$G$1062/Span_B)-(1-$J$6:$J$1062)*1000000000)),"")</f>
        <v>1.72865330050022</v>
      </c>
      <c r="AB814" s="15" t="n">
        <f aca="false">IF(AND($J814=1,$M814=1),IF(AA814-Z814&lt;=0.000000001,1,0),"")</f>
        <v>1</v>
      </c>
      <c r="AC814" s="13" t="str">
        <f aca="false">IF(AND($J814=1,$M814=0),IF(S814="",0,S814*INDEX(Grid!$B$6:$H$156,R814+1,Q814+1))+IF(V814="",0,V814*INDEX(Grid!$B$6:$H$156,U814+1,T814+1))+IF(Y814="",0,Y814*INDEX(Grid!$B$6:$H$156,X814+1,W814+1)),"")</f>
        <v/>
      </c>
      <c r="AD814" s="13" t="str">
        <f aca="false">IF(AND($J814=1,$M814=0),IF(S814="",0,S814*Val_pt*(Ceiling_e-E_zero)*(1-(1-Half_gap)^Q814))+IF(V814="",0,V814*Val_pt*(Ceiling_e-E_zero)*(1-(1-Half_gap)^T814))+IF(Y814="",0,Y814*Val_pt*(Ceiling_e-E_zero)*(1-(1-Half_gap)^W814)),"")</f>
        <v/>
      </c>
      <c r="AE814" s="13" t="str">
        <f aca="false">IF(AND($J814=1,$M814=0),IF(S814="",0,S814*R814)+IF(V814="",0,V814*U814)+IF(Y814="",0,Y814*X814),"")</f>
        <v/>
      </c>
      <c r="AF814" s="12" t="str">
        <f aca="false">IF(AND($J814=1,$M814=0),MIN((AC814-E814)/Span_P,(AD814-F814)/Span_S,(AE814-G814)/Span_B),"")</f>
        <v/>
      </c>
      <c r="AG814" s="15" t="str">
        <f aca="false">IF(AND($J814=1,$M814=0),IF(AF814&gt;0.0000001,1,0),"")</f>
        <v/>
      </c>
      <c r="AH814" s="15" t="n">
        <f aca="false">IF($J814=1,IF($M814=1,AB814,AG814),"")</f>
        <v>1</v>
      </c>
      <c r="AI814" s="13" t="n">
        <f aca="false">IF($J814=1,(Ideal_P-E814)/Span_P,"")</f>
        <v>0.678053953884821</v>
      </c>
      <c r="AJ814" s="13" t="n">
        <f aca="false">IF($J814=1,(Ideal_S-F814)/Span_S,"")</f>
        <v>0.032258064516129</v>
      </c>
      <c r="AK814" s="13" t="n">
        <f aca="false">IF($J814=1,(Ideal_B-G814)/Span_B,"")</f>
        <v>0.646666666666667</v>
      </c>
      <c r="AL814" s="12" t="n">
        <f aca="false">IF($J814=1,MAX(ChA_1*AI814,ChA_2*AJ814,ChA_3*AK814)+Rho*(ChA_1*AI814+ChA_2*AJ814+ChA_3*AK814),"")</f>
        <v>0.678189651753328</v>
      </c>
      <c r="AM814" s="12" t="n">
        <f aca="false">IF($J814=1,MAX(ChB_1*AI814,ChB_2*AJ814,ChB_3*AK814)+Rho*(ChB_1*AI814+ChB_2*AJ814+ChB_3*AK814),"")</f>
        <v>1.35631141103354</v>
      </c>
      <c r="AN814" s="12" t="n">
        <f aca="false">IF($J814=1,MAX(Cx_1*(Ref_P-E814)/Span_P,Cx_2*(Ref_S-F814)/Span_S,Cx_3*(Ref_B-G814)/Span_B),"")</f>
        <v>1.71832732133089</v>
      </c>
    </row>
    <row r="815" customFormat="false" ht="15" hidden="false" customHeight="false" outlineLevel="0" collapsed="false">
      <c r="A815" s="2" t="n">
        <v>809</v>
      </c>
      <c r="B815" s="15" t="n">
        <f aca="false">INT(A815/151)</f>
        <v>5</v>
      </c>
      <c r="C815" s="15" t="n">
        <f aca="false">MOD(A815,151)</f>
        <v>54</v>
      </c>
      <c r="D815" s="15" t="n">
        <f aca="false">INDEX(Grid!$J$6:$P$156,C815+1,B815+1)</f>
        <v>1</v>
      </c>
      <c r="E815" s="16" t="n">
        <f aca="false">IF(D815=1,INDEX(Grid!$B$6:$H$156,C815+1,B815+1),"")</f>
        <v>137.73068497218</v>
      </c>
      <c r="F815" s="13" t="n">
        <f aca="false">Val_pt*(Ceiling_e-E_zero)*(1-(1-Half_gap)^B815)</f>
        <v>135.625</v>
      </c>
      <c r="G815" s="15" t="n">
        <f aca="false">C815</f>
        <v>54</v>
      </c>
      <c r="H815" s="15" t="n">
        <f aca="false">IF(D815=1,INDEX(Grid!$R$6:$X$156,C815+1,B815+1),"")</f>
        <v>59</v>
      </c>
      <c r="I815" s="2" t="str">
        <f aca="false">IF(D815=1,INDEX(Sch_label,H815+1),"")</f>
        <v>1–3, 5, 6</v>
      </c>
      <c r="J815" s="15" t="n">
        <f aca="false">IF(D815=1,INDEX(Grid!$Z$6:$AF$156,C815+1,B815+1),0)</f>
        <v>1</v>
      </c>
      <c r="K815" s="16" t="n">
        <f aca="false">IF(J815=1,E815,0)</f>
        <v>137.73068497218</v>
      </c>
      <c r="L815" s="17" t="n">
        <f aca="false">IF(D815=1,E815+W_board*F815,"")</f>
        <v>903.298452607615</v>
      </c>
      <c r="M815" s="24" t="n">
        <v>1</v>
      </c>
      <c r="N815" s="25" t="n">
        <v>0.121286736192901</v>
      </c>
      <c r="O815" s="25" t="n">
        <v>0.833039660615898</v>
      </c>
      <c r="P815" s="25" t="n">
        <v>0.0456736031912014</v>
      </c>
      <c r="Z815" s="12" t="n">
        <f aca="false">IF(AND($J815=1,$M815=1),N815*E815/Span_P+O815*F815/Span_S+P815*G815/Span_B,"")</f>
        <v>1.72865330050022</v>
      </c>
      <c r="AA815" s="12" t="n">
        <f aca="false">IF(AND($J815=1,$M815=1),SUMPRODUCT(MAX($J$6:$J$1062*(N815*$K$6:$K$1062/Span_P+O815*$F$6:$F$1062/Span_S+P815*$G$6:$G$1062/Span_B)-(1-$J$6:$J$1062)*1000000000)),"")</f>
        <v>1.72865330050022</v>
      </c>
      <c r="AB815" s="15" t="n">
        <f aca="false">IF(AND($J815=1,$M815=1),IF(AA815-Z815&lt;=0.000000001,1,0),"")</f>
        <v>1</v>
      </c>
      <c r="AC815" s="13" t="str">
        <f aca="false">IF(AND($J815=1,$M815=0),IF(S815="",0,S815*INDEX(Grid!$B$6:$H$156,R815+1,Q815+1))+IF(V815="",0,V815*INDEX(Grid!$B$6:$H$156,U815+1,T815+1))+IF(Y815="",0,Y815*INDEX(Grid!$B$6:$H$156,X815+1,W815+1)),"")</f>
        <v/>
      </c>
      <c r="AD815" s="13" t="str">
        <f aca="false">IF(AND($J815=1,$M815=0),IF(S815="",0,S815*Val_pt*(Ceiling_e-E_zero)*(1-(1-Half_gap)^Q815))+IF(V815="",0,V815*Val_pt*(Ceiling_e-E_zero)*(1-(1-Half_gap)^T815))+IF(Y815="",0,Y815*Val_pt*(Ceiling_e-E_zero)*(1-(1-Half_gap)^W815)),"")</f>
        <v/>
      </c>
      <c r="AE815" s="13" t="str">
        <f aca="false">IF(AND($J815=1,$M815=0),IF(S815="",0,S815*R815)+IF(V815="",0,V815*U815)+IF(Y815="",0,Y815*X815),"")</f>
        <v/>
      </c>
      <c r="AF815" s="12" t="str">
        <f aca="false">IF(AND($J815=1,$M815=0),MIN((AC815-E815)/Span_P,(AD815-F815)/Span_S,(AE815-G815)/Span_B),"")</f>
        <v/>
      </c>
      <c r="AG815" s="15" t="str">
        <f aca="false">IF(AND($J815=1,$M815=0),IF(AF815&gt;0.0000001,1,0),"")</f>
        <v/>
      </c>
      <c r="AH815" s="15" t="n">
        <f aca="false">IF($J815=1,IF($M815=1,AB815,AG815),"")</f>
        <v>1</v>
      </c>
      <c r="AI815" s="13" t="n">
        <f aca="false">IF($J815=1,(Ideal_P-E815)/Span_P,"")</f>
        <v>0.680564456661127</v>
      </c>
      <c r="AJ815" s="13" t="n">
        <f aca="false">IF($J815=1,(Ideal_S-F815)/Span_S,"")</f>
        <v>0.032258064516129</v>
      </c>
      <c r="AK815" s="13" t="n">
        <f aca="false">IF($J815=1,(Ideal_B-G815)/Span_B,"")</f>
        <v>0.64</v>
      </c>
      <c r="AL815" s="12" t="n">
        <f aca="false">IF($J815=1,MAX(ChA_1*AI815,ChA_2*AJ815,ChA_3*AK815)+Rho*(ChA_1*AI815+ChA_2*AJ815+ChA_3*AK815),"")</f>
        <v>0.680699738913245</v>
      </c>
      <c r="AM815" s="12" t="n">
        <f aca="false">IF($J815=1,MAX(ChB_1*AI815,ChB_2*AJ815,ChB_3*AK815)+Rho*(ChB_1*AI815+ChB_2*AJ815+ChB_3*AK815),"")</f>
        <v>1.36133225202004</v>
      </c>
      <c r="AN815" s="12" t="n">
        <f aca="false">IF($J815=1,MAX(Cx_1*(Ref_P-E815)/Span_P,Cx_2*(Ref_S-F815)/Span_S,Cx_3*(Ref_B-G815)/Span_B),"")</f>
        <v>1.72459698301432</v>
      </c>
    </row>
    <row r="816" customFormat="false" ht="15" hidden="false" customHeight="false" outlineLevel="0" collapsed="false">
      <c r="A816" s="2" t="n">
        <v>810</v>
      </c>
      <c r="B816" s="15" t="n">
        <f aca="false">INT(A816/151)</f>
        <v>5</v>
      </c>
      <c r="C816" s="15" t="n">
        <f aca="false">MOD(A816,151)</f>
        <v>55</v>
      </c>
      <c r="D816" s="15" t="n">
        <f aca="false">INDEX(Grid!$J$6:$P$156,C816+1,B816+1)</f>
        <v>1</v>
      </c>
      <c r="E816" s="16" t="n">
        <f aca="false">IF(D816=1,INDEX(Grid!$B$6:$H$156,C816+1,B816+1),"")</f>
        <v>136.821594063089</v>
      </c>
      <c r="F816" s="13" t="n">
        <f aca="false">Val_pt*(Ceiling_e-E_zero)*(1-(1-Half_gap)^B816)</f>
        <v>135.625</v>
      </c>
      <c r="G816" s="15" t="n">
        <f aca="false">C816</f>
        <v>55</v>
      </c>
      <c r="H816" s="15" t="n">
        <f aca="false">IF(D816=1,INDEX(Grid!$R$6:$X$156,C816+1,B816+1),"")</f>
        <v>59</v>
      </c>
      <c r="I816" s="2" t="str">
        <f aca="false">IF(D816=1,INDEX(Sch_label,H816+1),"")</f>
        <v>1–3, 5, 6</v>
      </c>
      <c r="J816" s="15" t="n">
        <f aca="false">IF(D816=1,INDEX(Grid!$Z$6:$AF$156,C816+1,B816+1),0)</f>
        <v>1</v>
      </c>
      <c r="K816" s="16" t="n">
        <f aca="false">IF(J816=1,E816,0)</f>
        <v>136.821594063089</v>
      </c>
      <c r="L816" s="17" t="n">
        <f aca="false">IF(D816=1,E816+W_board*F816,"")</f>
        <v>902.389361698525</v>
      </c>
      <c r="M816" s="24" t="n">
        <v>1</v>
      </c>
      <c r="N816" s="25" t="n">
        <v>0.1212867361929</v>
      </c>
      <c r="O816" s="25" t="n">
        <v>0.833039660615899</v>
      </c>
      <c r="P816" s="25" t="n">
        <v>0.0456736031912009</v>
      </c>
      <c r="Z816" s="12" t="n">
        <f aca="false">IF(AND($J816=1,$M816=1),N816*E816/Span_P+O816*F816/Span_S+P816*G816/Span_B,"")</f>
        <v>1.72865330050022</v>
      </c>
      <c r="AA816" s="12" t="n">
        <f aca="false">IF(AND($J816=1,$M816=1),SUMPRODUCT(MAX($J$6:$J$1062*(N816*$K$6:$K$1062/Span_P+O816*$F$6:$F$1062/Span_S+P816*$G$6:$G$1062/Span_B)-(1-$J$6:$J$1062)*1000000000)),"")</f>
        <v>1.72865330050022</v>
      </c>
      <c r="AB816" s="15" t="n">
        <f aca="false">IF(AND($J816=1,$M816=1),IF(AA816-Z816&lt;=0.000000001,1,0),"")</f>
        <v>1</v>
      </c>
      <c r="AC816" s="13" t="str">
        <f aca="false">IF(AND($J816=1,$M816=0),IF(S816="",0,S816*INDEX(Grid!$B$6:$H$156,R816+1,Q816+1))+IF(V816="",0,V816*INDEX(Grid!$B$6:$H$156,U816+1,T816+1))+IF(Y816="",0,Y816*INDEX(Grid!$B$6:$H$156,X816+1,W816+1)),"")</f>
        <v/>
      </c>
      <c r="AD816" s="13" t="str">
        <f aca="false">IF(AND($J816=1,$M816=0),IF(S816="",0,S816*Val_pt*(Ceiling_e-E_zero)*(1-(1-Half_gap)^Q816))+IF(V816="",0,V816*Val_pt*(Ceiling_e-E_zero)*(1-(1-Half_gap)^T816))+IF(Y816="",0,Y816*Val_pt*(Ceiling_e-E_zero)*(1-(1-Half_gap)^W816)),"")</f>
        <v/>
      </c>
      <c r="AE816" s="13" t="str">
        <f aca="false">IF(AND($J816=1,$M816=0),IF(S816="",0,S816*R816)+IF(V816="",0,V816*U816)+IF(Y816="",0,Y816*X816),"")</f>
        <v/>
      </c>
      <c r="AF816" s="12" t="str">
        <f aca="false">IF(AND($J816=1,$M816=0),MIN((AC816-E816)/Span_P,(AD816-F816)/Span_S,(AE816-G816)/Span_B),"")</f>
        <v/>
      </c>
      <c r="AG816" s="15" t="str">
        <f aca="false">IF(AND($J816=1,$M816=0),IF(AF816&gt;0.0000001,1,0),"")</f>
        <v/>
      </c>
      <c r="AH816" s="15" t="n">
        <f aca="false">IF($J816=1,IF($M816=1,AB816,AG816),"")</f>
        <v>1</v>
      </c>
      <c r="AI816" s="13" t="n">
        <f aca="false">IF($J816=1,(Ideal_P-E816)/Span_P,"")</f>
        <v>0.683074959437433</v>
      </c>
      <c r="AJ816" s="13" t="n">
        <f aca="false">IF($J816=1,(Ideal_S-F816)/Span_S,"")</f>
        <v>0.032258064516129</v>
      </c>
      <c r="AK816" s="13" t="n">
        <f aca="false">IF($J816=1,(Ideal_B-G816)/Span_B,"")</f>
        <v>0.633333333333333</v>
      </c>
      <c r="AL816" s="12" t="n">
        <f aca="false">IF($J816=1,MAX(ChA_1*AI816,ChA_2*AJ816,ChA_3*AK816)+Rho*(ChA_1*AI816+ChA_2*AJ816+ChA_3*AK816),"")</f>
        <v>0.683209826073161</v>
      </c>
      <c r="AM816" s="12" t="n">
        <f aca="false">IF($J816=1,MAX(ChB_1*AI816,ChB_2*AJ816,ChB_3*AK816)+Rho*(ChB_1*AI816+ChB_2*AJ816+ChB_3*AK816),"")</f>
        <v>1.36635309300654</v>
      </c>
      <c r="AN816" s="12" t="n">
        <f aca="false">IF($J816=1,MAX(Cx_1*(Ref_P-E816)/Span_P,Cx_2*(Ref_S-F816)/Span_S,Cx_3*(Ref_B-G816)/Span_B),"")</f>
        <v>1.73086664469775</v>
      </c>
    </row>
    <row r="817" customFormat="false" ht="15" hidden="false" customHeight="false" outlineLevel="0" collapsed="false">
      <c r="A817" s="2" t="n">
        <v>811</v>
      </c>
      <c r="B817" s="15" t="n">
        <f aca="false">INT(A817/151)</f>
        <v>5</v>
      </c>
      <c r="C817" s="15" t="n">
        <f aca="false">MOD(A817,151)</f>
        <v>56</v>
      </c>
      <c r="D817" s="15" t="n">
        <f aca="false">INDEX(Grid!$J$6:$P$156,C817+1,B817+1)</f>
        <v>1</v>
      </c>
      <c r="E817" s="16" t="n">
        <f aca="false">IF(D817=1,INDEX(Grid!$B$6:$H$156,C817+1,B817+1),"")</f>
        <v>135.912503153998</v>
      </c>
      <c r="F817" s="13" t="n">
        <f aca="false">Val_pt*(Ceiling_e-E_zero)*(1-(1-Half_gap)^B817)</f>
        <v>135.625</v>
      </c>
      <c r="G817" s="15" t="n">
        <f aca="false">C817</f>
        <v>56</v>
      </c>
      <c r="H817" s="15" t="n">
        <f aca="false">IF(D817=1,INDEX(Grid!$R$6:$X$156,C817+1,B817+1),"")</f>
        <v>59</v>
      </c>
      <c r="I817" s="2" t="str">
        <f aca="false">IF(D817=1,INDEX(Sch_label,H817+1),"")</f>
        <v>1–3, 5, 6</v>
      </c>
      <c r="J817" s="15" t="n">
        <f aca="false">IF(D817=1,INDEX(Grid!$Z$6:$AF$156,C817+1,B817+1),0)</f>
        <v>1</v>
      </c>
      <c r="K817" s="16" t="n">
        <f aca="false">IF(J817=1,E817,0)</f>
        <v>135.912503153998</v>
      </c>
      <c r="L817" s="17" t="n">
        <f aca="false">IF(D817=1,E817+W_board*F817,"")</f>
        <v>901.480270789434</v>
      </c>
      <c r="M817" s="24" t="n">
        <v>1</v>
      </c>
      <c r="N817" s="25" t="n">
        <v>0.121286736192901</v>
      </c>
      <c r="O817" s="25" t="n">
        <v>0.833039660615898</v>
      </c>
      <c r="P817" s="25" t="n">
        <v>0.0456736031912014</v>
      </c>
      <c r="Z817" s="12" t="n">
        <f aca="false">IF(AND($J817=1,$M817=1),N817*E817/Span_P+O817*F817/Span_S+P817*G817/Span_B,"")</f>
        <v>1.72865330050022</v>
      </c>
      <c r="AA817" s="12" t="n">
        <f aca="false">IF(AND($J817=1,$M817=1),SUMPRODUCT(MAX($J$6:$J$1062*(N817*$K$6:$K$1062/Span_P+O817*$F$6:$F$1062/Span_S+P817*$G$6:$G$1062/Span_B)-(1-$J$6:$J$1062)*1000000000)),"")</f>
        <v>1.72865330050022</v>
      </c>
      <c r="AB817" s="15" t="n">
        <f aca="false">IF(AND($J817=1,$M817=1),IF(AA817-Z817&lt;=0.000000001,1,0),"")</f>
        <v>1</v>
      </c>
      <c r="AC817" s="13" t="str">
        <f aca="false">IF(AND($J817=1,$M817=0),IF(S817="",0,S817*INDEX(Grid!$B$6:$H$156,R817+1,Q817+1))+IF(V817="",0,V817*INDEX(Grid!$B$6:$H$156,U817+1,T817+1))+IF(Y817="",0,Y817*INDEX(Grid!$B$6:$H$156,X817+1,W817+1)),"")</f>
        <v/>
      </c>
      <c r="AD817" s="13" t="str">
        <f aca="false">IF(AND($J817=1,$M817=0),IF(S817="",0,S817*Val_pt*(Ceiling_e-E_zero)*(1-(1-Half_gap)^Q817))+IF(V817="",0,V817*Val_pt*(Ceiling_e-E_zero)*(1-(1-Half_gap)^T817))+IF(Y817="",0,Y817*Val_pt*(Ceiling_e-E_zero)*(1-(1-Half_gap)^W817)),"")</f>
        <v/>
      </c>
      <c r="AE817" s="13" t="str">
        <f aca="false">IF(AND($J817=1,$M817=0),IF(S817="",0,S817*R817)+IF(V817="",0,V817*U817)+IF(Y817="",0,Y817*X817),"")</f>
        <v/>
      </c>
      <c r="AF817" s="12" t="str">
        <f aca="false">IF(AND($J817=1,$M817=0),MIN((AC817-E817)/Span_P,(AD817-F817)/Span_S,(AE817-G817)/Span_B),"")</f>
        <v/>
      </c>
      <c r="AG817" s="15" t="str">
        <f aca="false">IF(AND($J817=1,$M817=0),IF(AF817&gt;0.0000001,1,0),"")</f>
        <v/>
      </c>
      <c r="AH817" s="15" t="n">
        <f aca="false">IF($J817=1,IF($M817=1,AB817,AG817),"")</f>
        <v>1</v>
      </c>
      <c r="AI817" s="13" t="n">
        <f aca="false">IF($J817=1,(Ideal_P-E817)/Span_P,"")</f>
        <v>0.685585462213738</v>
      </c>
      <c r="AJ817" s="13" t="n">
        <f aca="false">IF($J817=1,(Ideal_S-F817)/Span_S,"")</f>
        <v>0.032258064516129</v>
      </c>
      <c r="AK817" s="13" t="n">
        <f aca="false">IF($J817=1,(Ideal_B-G817)/Span_B,"")</f>
        <v>0.626666666666667</v>
      </c>
      <c r="AL817" s="12" t="n">
        <f aca="false">IF($J817=1,MAX(ChA_1*AI817,ChA_2*AJ817,ChA_3*AK817)+Rho*(ChA_1*AI817+ChA_2*AJ817+ChA_3*AK817),"")</f>
        <v>0.685719913233078</v>
      </c>
      <c r="AM817" s="12" t="n">
        <f aca="false">IF($J817=1,MAX(ChB_1*AI817,ChB_2*AJ817,ChB_3*AK817)+Rho*(ChB_1*AI817+ChB_2*AJ817+ChB_3*AK817),"")</f>
        <v>1.37137393399304</v>
      </c>
      <c r="AN817" s="12" t="n">
        <f aca="false">IF($J817=1,MAX(Cx_1*(Ref_P-E817)/Span_P,Cx_2*(Ref_S-F817)/Span_S,Cx_3*(Ref_B-G817)/Span_B),"")</f>
        <v>1.73713630638118</v>
      </c>
    </row>
    <row r="818" customFormat="false" ht="15" hidden="false" customHeight="false" outlineLevel="0" collapsed="false">
      <c r="A818" s="2" t="n">
        <v>812</v>
      </c>
      <c r="B818" s="15" t="n">
        <f aca="false">INT(A818/151)</f>
        <v>5</v>
      </c>
      <c r="C818" s="15" t="n">
        <f aca="false">MOD(A818,151)</f>
        <v>57</v>
      </c>
      <c r="D818" s="15" t="n">
        <f aca="false">INDEX(Grid!$J$6:$P$156,C818+1,B818+1)</f>
        <v>1</v>
      </c>
      <c r="E818" s="16" t="n">
        <f aca="false">IF(D818=1,INDEX(Grid!$B$6:$H$156,C818+1,B818+1),"")</f>
        <v>135.003412244907</v>
      </c>
      <c r="F818" s="13" t="n">
        <f aca="false">Val_pt*(Ceiling_e-E_zero)*(1-(1-Half_gap)^B818)</f>
        <v>135.625</v>
      </c>
      <c r="G818" s="15" t="n">
        <f aca="false">C818</f>
        <v>57</v>
      </c>
      <c r="H818" s="15" t="n">
        <f aca="false">IF(D818=1,INDEX(Grid!$R$6:$X$156,C818+1,B818+1),"")</f>
        <v>59</v>
      </c>
      <c r="I818" s="2" t="str">
        <f aca="false">IF(D818=1,INDEX(Sch_label,H818+1),"")</f>
        <v>1–3, 5, 6</v>
      </c>
      <c r="J818" s="15" t="n">
        <f aca="false">IF(D818=1,INDEX(Grid!$Z$6:$AF$156,C818+1,B818+1),0)</f>
        <v>1</v>
      </c>
      <c r="K818" s="16" t="n">
        <f aca="false">IF(J818=1,E818,0)</f>
        <v>135.003412244907</v>
      </c>
      <c r="L818" s="17" t="n">
        <f aca="false">IF(D818=1,E818+W_board*F818,"")</f>
        <v>900.571179880343</v>
      </c>
      <c r="M818" s="24" t="n">
        <v>1</v>
      </c>
      <c r="N818" s="25" t="n">
        <v>0.121286736192901</v>
      </c>
      <c r="O818" s="25" t="n">
        <v>0.833039660615898</v>
      </c>
      <c r="P818" s="25" t="n">
        <v>0.0456736031912014</v>
      </c>
      <c r="Z818" s="12" t="n">
        <f aca="false">IF(AND($J818=1,$M818=1),N818*E818/Span_P+O818*F818/Span_S+P818*G818/Span_B,"")</f>
        <v>1.72865330050022</v>
      </c>
      <c r="AA818" s="12" t="n">
        <f aca="false">IF(AND($J818=1,$M818=1),SUMPRODUCT(MAX($J$6:$J$1062*(N818*$K$6:$K$1062/Span_P+O818*$F$6:$F$1062/Span_S+P818*$G$6:$G$1062/Span_B)-(1-$J$6:$J$1062)*1000000000)),"")</f>
        <v>1.72865330050022</v>
      </c>
      <c r="AB818" s="15" t="n">
        <f aca="false">IF(AND($J818=1,$M818=1),IF(AA818-Z818&lt;=0.000000001,1,0),"")</f>
        <v>1</v>
      </c>
      <c r="AC818" s="13" t="str">
        <f aca="false">IF(AND($J818=1,$M818=0),IF(S818="",0,S818*INDEX(Grid!$B$6:$H$156,R818+1,Q818+1))+IF(V818="",0,V818*INDEX(Grid!$B$6:$H$156,U818+1,T818+1))+IF(Y818="",0,Y818*INDEX(Grid!$B$6:$H$156,X818+1,W818+1)),"")</f>
        <v/>
      </c>
      <c r="AD818" s="13" t="str">
        <f aca="false">IF(AND($J818=1,$M818=0),IF(S818="",0,S818*Val_pt*(Ceiling_e-E_zero)*(1-(1-Half_gap)^Q818))+IF(V818="",0,V818*Val_pt*(Ceiling_e-E_zero)*(1-(1-Half_gap)^T818))+IF(Y818="",0,Y818*Val_pt*(Ceiling_e-E_zero)*(1-(1-Half_gap)^W818)),"")</f>
        <v/>
      </c>
      <c r="AE818" s="13" t="str">
        <f aca="false">IF(AND($J818=1,$M818=0),IF(S818="",0,S818*R818)+IF(V818="",0,V818*U818)+IF(Y818="",0,Y818*X818),"")</f>
        <v/>
      </c>
      <c r="AF818" s="12" t="str">
        <f aca="false">IF(AND($J818=1,$M818=0),MIN((AC818-E818)/Span_P,(AD818-F818)/Span_S,(AE818-G818)/Span_B),"")</f>
        <v/>
      </c>
      <c r="AG818" s="15" t="str">
        <f aca="false">IF(AND($J818=1,$M818=0),IF(AF818&gt;0.0000001,1,0),"")</f>
        <v/>
      </c>
      <c r="AH818" s="15" t="n">
        <f aca="false">IF($J818=1,IF($M818=1,AB818,AG818),"")</f>
        <v>1</v>
      </c>
      <c r="AI818" s="13" t="n">
        <f aca="false">IF($J818=1,(Ideal_P-E818)/Span_P,"")</f>
        <v>0.688095964990044</v>
      </c>
      <c r="AJ818" s="13" t="n">
        <f aca="false">IF($J818=1,(Ideal_S-F818)/Span_S,"")</f>
        <v>0.032258064516129</v>
      </c>
      <c r="AK818" s="13" t="n">
        <f aca="false">IF($J818=1,(Ideal_B-G818)/Span_B,"")</f>
        <v>0.62</v>
      </c>
      <c r="AL818" s="12" t="n">
        <f aca="false">IF($J818=1,MAX(ChA_1*AI818,ChA_2*AJ818,ChA_3*AK818)+Rho*(ChA_1*AI818+ChA_2*AJ818+ChA_3*AK818),"")</f>
        <v>0.688230000392995</v>
      </c>
      <c r="AM818" s="12" t="n">
        <f aca="false">IF($J818=1,MAX(ChB_1*AI818,ChB_2*AJ818,ChB_3*AK818)+Rho*(ChB_1*AI818+ChB_2*AJ818+ChB_3*AK818),"")</f>
        <v>1.37639477497954</v>
      </c>
      <c r="AN818" s="12" t="n">
        <f aca="false">IF($J818=1,MAX(Cx_1*(Ref_P-E818)/Span_P,Cx_2*(Ref_S-F818)/Span_S,Cx_3*(Ref_B-G818)/Span_B),"")</f>
        <v>1.74340596806461</v>
      </c>
    </row>
    <row r="819" customFormat="false" ht="15" hidden="false" customHeight="false" outlineLevel="0" collapsed="false">
      <c r="A819" s="2" t="n">
        <v>813</v>
      </c>
      <c r="B819" s="15" t="n">
        <f aca="false">INT(A819/151)</f>
        <v>5</v>
      </c>
      <c r="C819" s="15" t="n">
        <f aca="false">MOD(A819,151)</f>
        <v>58</v>
      </c>
      <c r="D819" s="15" t="n">
        <f aca="false">INDEX(Grid!$J$6:$P$156,C819+1,B819+1)</f>
        <v>1</v>
      </c>
      <c r="E819" s="16" t="n">
        <f aca="false">IF(D819=1,INDEX(Grid!$B$6:$H$156,C819+1,B819+1),"")</f>
        <v>134.094321335816</v>
      </c>
      <c r="F819" s="13" t="n">
        <f aca="false">Val_pt*(Ceiling_e-E_zero)*(1-(1-Half_gap)^B819)</f>
        <v>135.625</v>
      </c>
      <c r="G819" s="15" t="n">
        <f aca="false">C819</f>
        <v>58</v>
      </c>
      <c r="H819" s="15" t="n">
        <f aca="false">IF(D819=1,INDEX(Grid!$R$6:$X$156,C819+1,B819+1),"")</f>
        <v>59</v>
      </c>
      <c r="I819" s="2" t="str">
        <f aca="false">IF(D819=1,INDEX(Sch_label,H819+1),"")</f>
        <v>1–3, 5, 6</v>
      </c>
      <c r="J819" s="15" t="n">
        <f aca="false">IF(D819=1,INDEX(Grid!$Z$6:$AF$156,C819+1,B819+1),0)</f>
        <v>1</v>
      </c>
      <c r="K819" s="16" t="n">
        <f aca="false">IF(J819=1,E819,0)</f>
        <v>134.094321335816</v>
      </c>
      <c r="L819" s="17" t="n">
        <f aca="false">IF(D819=1,E819+W_board*F819,"")</f>
        <v>899.662088971252</v>
      </c>
      <c r="M819" s="24" t="n">
        <v>1</v>
      </c>
      <c r="N819" s="25" t="n">
        <v>0.121286736192901</v>
      </c>
      <c r="O819" s="25" t="n">
        <v>0.833039660615898</v>
      </c>
      <c r="P819" s="25" t="n">
        <v>0.0456736031912014</v>
      </c>
      <c r="Z819" s="12" t="n">
        <f aca="false">IF(AND($J819=1,$M819=1),N819*E819/Span_P+O819*F819/Span_S+P819*G819/Span_B,"")</f>
        <v>1.72865330050022</v>
      </c>
      <c r="AA819" s="12" t="n">
        <f aca="false">IF(AND($J819=1,$M819=1),SUMPRODUCT(MAX($J$6:$J$1062*(N819*$K$6:$K$1062/Span_P+O819*$F$6:$F$1062/Span_S+P819*$G$6:$G$1062/Span_B)-(1-$J$6:$J$1062)*1000000000)),"")</f>
        <v>1.72865330050022</v>
      </c>
      <c r="AB819" s="15" t="n">
        <f aca="false">IF(AND($J819=1,$M819=1),IF(AA819-Z819&lt;=0.000000001,1,0),"")</f>
        <v>1</v>
      </c>
      <c r="AC819" s="13" t="str">
        <f aca="false">IF(AND($J819=1,$M819=0),IF(S819="",0,S819*INDEX(Grid!$B$6:$H$156,R819+1,Q819+1))+IF(V819="",0,V819*INDEX(Grid!$B$6:$H$156,U819+1,T819+1))+IF(Y819="",0,Y819*INDEX(Grid!$B$6:$H$156,X819+1,W819+1)),"")</f>
        <v/>
      </c>
      <c r="AD819" s="13" t="str">
        <f aca="false">IF(AND($J819=1,$M819=0),IF(S819="",0,S819*Val_pt*(Ceiling_e-E_zero)*(1-(1-Half_gap)^Q819))+IF(V819="",0,V819*Val_pt*(Ceiling_e-E_zero)*(1-(1-Half_gap)^T819))+IF(Y819="",0,Y819*Val_pt*(Ceiling_e-E_zero)*(1-(1-Half_gap)^W819)),"")</f>
        <v/>
      </c>
      <c r="AE819" s="13" t="str">
        <f aca="false">IF(AND($J819=1,$M819=0),IF(S819="",0,S819*R819)+IF(V819="",0,V819*U819)+IF(Y819="",0,Y819*X819),"")</f>
        <v/>
      </c>
      <c r="AF819" s="12" t="str">
        <f aca="false">IF(AND($J819=1,$M819=0),MIN((AC819-E819)/Span_P,(AD819-F819)/Span_S,(AE819-G819)/Span_B),"")</f>
        <v/>
      </c>
      <c r="AG819" s="15" t="str">
        <f aca="false">IF(AND($J819=1,$M819=0),IF(AF819&gt;0.0000001,1,0),"")</f>
        <v/>
      </c>
      <c r="AH819" s="15" t="n">
        <f aca="false">IF($J819=1,IF($M819=1,AB819,AG819),"")</f>
        <v>1</v>
      </c>
      <c r="AI819" s="13" t="n">
        <f aca="false">IF($J819=1,(Ideal_P-E819)/Span_P,"")</f>
        <v>0.69060646776635</v>
      </c>
      <c r="AJ819" s="13" t="n">
        <f aca="false">IF($J819=1,(Ideal_S-F819)/Span_S,"")</f>
        <v>0.032258064516129</v>
      </c>
      <c r="AK819" s="13" t="n">
        <f aca="false">IF($J819=1,(Ideal_B-G819)/Span_B,"")</f>
        <v>0.613333333333333</v>
      </c>
      <c r="AL819" s="12" t="n">
        <f aca="false">IF($J819=1,MAX(ChA_1*AI819,ChA_2*AJ819,ChA_3*AK819)+Rho*(ChA_1*AI819+ChA_2*AJ819+ChA_3*AK819),"")</f>
        <v>0.690740087552912</v>
      </c>
      <c r="AM819" s="12" t="n">
        <f aca="false">IF($J819=1,MAX(ChB_1*AI819,ChB_2*AJ819,ChB_3*AK819)+Rho*(ChB_1*AI819+ChB_2*AJ819+ChB_3*AK819),"")</f>
        <v>1.38141561596604</v>
      </c>
      <c r="AN819" s="12" t="n">
        <f aca="false">IF($J819=1,MAX(Cx_1*(Ref_P-E819)/Span_P,Cx_2*(Ref_S-F819)/Span_S,Cx_3*(Ref_B-G819)/Span_B),"")</f>
        <v>1.74967562974803</v>
      </c>
    </row>
    <row r="820" customFormat="false" ht="15" hidden="false" customHeight="false" outlineLevel="0" collapsed="false">
      <c r="A820" s="2" t="n">
        <v>814</v>
      </c>
      <c r="B820" s="15" t="n">
        <f aca="false">INT(A820/151)</f>
        <v>5</v>
      </c>
      <c r="C820" s="15" t="n">
        <f aca="false">MOD(A820,151)</f>
        <v>59</v>
      </c>
      <c r="D820" s="15" t="n">
        <f aca="false">INDEX(Grid!$J$6:$P$156,C820+1,B820+1)</f>
        <v>1</v>
      </c>
      <c r="E820" s="16" t="n">
        <f aca="false">IF(D820=1,INDEX(Grid!$B$6:$H$156,C820+1,B820+1),"")</f>
        <v>133.185230426725</v>
      </c>
      <c r="F820" s="13" t="n">
        <f aca="false">Val_pt*(Ceiling_e-E_zero)*(1-(1-Half_gap)^B820)</f>
        <v>135.625</v>
      </c>
      <c r="G820" s="15" t="n">
        <f aca="false">C820</f>
        <v>59</v>
      </c>
      <c r="H820" s="15" t="n">
        <f aca="false">IF(D820=1,INDEX(Grid!$R$6:$X$156,C820+1,B820+1),"")</f>
        <v>59</v>
      </c>
      <c r="I820" s="2" t="str">
        <f aca="false">IF(D820=1,INDEX(Sch_label,H820+1),"")</f>
        <v>1–3, 5, 6</v>
      </c>
      <c r="J820" s="15" t="n">
        <f aca="false">IF(D820=1,INDEX(Grid!$Z$6:$AF$156,C820+1,B820+1),0)</f>
        <v>1</v>
      </c>
      <c r="K820" s="16" t="n">
        <f aca="false">IF(J820=1,E820,0)</f>
        <v>133.185230426725</v>
      </c>
      <c r="L820" s="17" t="n">
        <f aca="false">IF(D820=1,E820+W_board*F820,"")</f>
        <v>898.752998062161</v>
      </c>
      <c r="M820" s="24" t="n">
        <v>1</v>
      </c>
      <c r="N820" s="25" t="n">
        <v>0.1212867361929</v>
      </c>
      <c r="O820" s="25" t="n">
        <v>0.833039660615899</v>
      </c>
      <c r="P820" s="25" t="n">
        <v>0.045673603191201</v>
      </c>
      <c r="Z820" s="12" t="n">
        <f aca="false">IF(AND($J820=1,$M820=1),N820*E820/Span_P+O820*F820/Span_S+P820*G820/Span_B,"")</f>
        <v>1.72865330050022</v>
      </c>
      <c r="AA820" s="12" t="n">
        <f aca="false">IF(AND($J820=1,$M820=1),SUMPRODUCT(MAX($J$6:$J$1062*(N820*$K$6:$K$1062/Span_P+O820*$F$6:$F$1062/Span_S+P820*$G$6:$G$1062/Span_B)-(1-$J$6:$J$1062)*1000000000)),"")</f>
        <v>1.72865330050022</v>
      </c>
      <c r="AB820" s="15" t="n">
        <f aca="false">IF(AND($J820=1,$M820=1),IF(AA820-Z820&lt;=0.000000001,1,0),"")</f>
        <v>1</v>
      </c>
      <c r="AC820" s="13" t="str">
        <f aca="false">IF(AND($J820=1,$M820=0),IF(S820="",0,S820*INDEX(Grid!$B$6:$H$156,R820+1,Q820+1))+IF(V820="",0,V820*INDEX(Grid!$B$6:$H$156,U820+1,T820+1))+IF(Y820="",0,Y820*INDEX(Grid!$B$6:$H$156,X820+1,W820+1)),"")</f>
        <v/>
      </c>
      <c r="AD820" s="13" t="str">
        <f aca="false">IF(AND($J820=1,$M820=0),IF(S820="",0,S820*Val_pt*(Ceiling_e-E_zero)*(1-(1-Half_gap)^Q820))+IF(V820="",0,V820*Val_pt*(Ceiling_e-E_zero)*(1-(1-Half_gap)^T820))+IF(Y820="",0,Y820*Val_pt*(Ceiling_e-E_zero)*(1-(1-Half_gap)^W820)),"")</f>
        <v/>
      </c>
      <c r="AE820" s="13" t="str">
        <f aca="false">IF(AND($J820=1,$M820=0),IF(S820="",0,S820*R820)+IF(V820="",0,V820*U820)+IF(Y820="",0,Y820*X820),"")</f>
        <v/>
      </c>
      <c r="AF820" s="12" t="str">
        <f aca="false">IF(AND($J820=1,$M820=0),MIN((AC820-E820)/Span_P,(AD820-F820)/Span_S,(AE820-G820)/Span_B),"")</f>
        <v/>
      </c>
      <c r="AG820" s="15" t="str">
        <f aca="false">IF(AND($J820=1,$M820=0),IF(AF820&gt;0.0000001,1,0),"")</f>
        <v/>
      </c>
      <c r="AH820" s="15" t="n">
        <f aca="false">IF($J820=1,IF($M820=1,AB820,AG820),"")</f>
        <v>1</v>
      </c>
      <c r="AI820" s="13" t="n">
        <f aca="false">IF($J820=1,(Ideal_P-E820)/Span_P,"")</f>
        <v>0.693116970542656</v>
      </c>
      <c r="AJ820" s="13" t="n">
        <f aca="false">IF($J820=1,(Ideal_S-F820)/Span_S,"")</f>
        <v>0.032258064516129</v>
      </c>
      <c r="AK820" s="13" t="n">
        <f aca="false">IF($J820=1,(Ideal_B-G820)/Span_B,"")</f>
        <v>0.606666666666667</v>
      </c>
      <c r="AL820" s="12" t="n">
        <f aca="false">IF($J820=1,MAX(ChA_1*AI820,ChA_2*AJ820,ChA_3*AK820)+Rho*(ChA_1*AI820+ChA_2*AJ820+ChA_3*AK820),"")</f>
        <v>0.693250174712828</v>
      </c>
      <c r="AM820" s="12" t="n">
        <f aca="false">IF($J820=1,MAX(ChB_1*AI820,ChB_2*AJ820,ChB_3*AK820)+Rho*(ChB_1*AI820+ChB_2*AJ820+ChB_3*AK820),"")</f>
        <v>1.38643645695254</v>
      </c>
      <c r="AN820" s="12" t="n">
        <f aca="false">IF($J820=1,MAX(Cx_1*(Ref_P-E820)/Span_P,Cx_2*(Ref_S-F820)/Span_S,Cx_3*(Ref_B-G820)/Span_B),"")</f>
        <v>1.75594529143146</v>
      </c>
    </row>
    <row r="821" customFormat="false" ht="15" hidden="false" customHeight="false" outlineLevel="0" collapsed="false">
      <c r="A821" s="2" t="n">
        <v>815</v>
      </c>
      <c r="B821" s="15" t="n">
        <f aca="false">INT(A821/151)</f>
        <v>5</v>
      </c>
      <c r="C821" s="15" t="n">
        <f aca="false">MOD(A821,151)</f>
        <v>60</v>
      </c>
      <c r="D821" s="15" t="n">
        <f aca="false">INDEX(Grid!$J$6:$P$156,C821+1,B821+1)</f>
        <v>1</v>
      </c>
      <c r="E821" s="16" t="n">
        <f aca="false">IF(D821=1,INDEX(Grid!$B$6:$H$156,C821+1,B821+1),"")</f>
        <v>132.276139517634</v>
      </c>
      <c r="F821" s="13" t="n">
        <f aca="false">Val_pt*(Ceiling_e-E_zero)*(1-(1-Half_gap)^B821)</f>
        <v>135.625</v>
      </c>
      <c r="G821" s="15" t="n">
        <f aca="false">C821</f>
        <v>60</v>
      </c>
      <c r="H821" s="15" t="n">
        <f aca="false">IF(D821=1,INDEX(Grid!$R$6:$X$156,C821+1,B821+1),"")</f>
        <v>59</v>
      </c>
      <c r="I821" s="2" t="str">
        <f aca="false">IF(D821=1,INDEX(Sch_label,H821+1),"")</f>
        <v>1–3, 5, 6</v>
      </c>
      <c r="J821" s="15" t="n">
        <f aca="false">IF(D821=1,INDEX(Grid!$Z$6:$AF$156,C821+1,B821+1),0)</f>
        <v>1</v>
      </c>
      <c r="K821" s="16" t="n">
        <f aca="false">IF(J821=1,E821,0)</f>
        <v>132.276139517634</v>
      </c>
      <c r="L821" s="17" t="n">
        <f aca="false">IF(D821=1,E821+W_board*F821,"")</f>
        <v>897.84390715307</v>
      </c>
      <c r="M821" s="24" t="n">
        <v>1</v>
      </c>
      <c r="N821" s="25" t="n">
        <v>0.121286736192901</v>
      </c>
      <c r="O821" s="25" t="n">
        <v>0.833039660615898</v>
      </c>
      <c r="P821" s="25" t="n">
        <v>0.0456736031912014</v>
      </c>
      <c r="Z821" s="12" t="n">
        <f aca="false">IF(AND($J821=1,$M821=1),N821*E821/Span_P+O821*F821/Span_S+P821*G821/Span_B,"")</f>
        <v>1.72865330050022</v>
      </c>
      <c r="AA821" s="12" t="n">
        <f aca="false">IF(AND($J821=1,$M821=1),SUMPRODUCT(MAX($J$6:$J$1062*(N821*$K$6:$K$1062/Span_P+O821*$F$6:$F$1062/Span_S+P821*$G$6:$G$1062/Span_B)-(1-$J$6:$J$1062)*1000000000)),"")</f>
        <v>1.72865330050022</v>
      </c>
      <c r="AB821" s="15" t="n">
        <f aca="false">IF(AND($J821=1,$M821=1),IF(AA821-Z821&lt;=0.000000001,1,0),"")</f>
        <v>1</v>
      </c>
      <c r="AC821" s="13" t="str">
        <f aca="false">IF(AND($J821=1,$M821=0),IF(S821="",0,S821*INDEX(Grid!$B$6:$H$156,R821+1,Q821+1))+IF(V821="",0,V821*INDEX(Grid!$B$6:$H$156,U821+1,T821+1))+IF(Y821="",0,Y821*INDEX(Grid!$B$6:$H$156,X821+1,W821+1)),"")</f>
        <v/>
      </c>
      <c r="AD821" s="13" t="str">
        <f aca="false">IF(AND($J821=1,$M821=0),IF(S821="",0,S821*Val_pt*(Ceiling_e-E_zero)*(1-(1-Half_gap)^Q821))+IF(V821="",0,V821*Val_pt*(Ceiling_e-E_zero)*(1-(1-Half_gap)^T821))+IF(Y821="",0,Y821*Val_pt*(Ceiling_e-E_zero)*(1-(1-Half_gap)^W821)),"")</f>
        <v/>
      </c>
      <c r="AE821" s="13" t="str">
        <f aca="false">IF(AND($J821=1,$M821=0),IF(S821="",0,S821*R821)+IF(V821="",0,V821*U821)+IF(Y821="",0,Y821*X821),"")</f>
        <v/>
      </c>
      <c r="AF821" s="12" t="str">
        <f aca="false">IF(AND($J821=1,$M821=0),MIN((AC821-E821)/Span_P,(AD821-F821)/Span_S,(AE821-G821)/Span_B),"")</f>
        <v/>
      </c>
      <c r="AG821" s="15" t="str">
        <f aca="false">IF(AND($J821=1,$M821=0),IF(AF821&gt;0.0000001,1,0),"")</f>
        <v/>
      </c>
      <c r="AH821" s="15" t="n">
        <f aca="false">IF($J821=1,IF($M821=1,AB821,AG821),"")</f>
        <v>1</v>
      </c>
      <c r="AI821" s="13" t="n">
        <f aca="false">IF($J821=1,(Ideal_P-E821)/Span_P,"")</f>
        <v>0.695627473318962</v>
      </c>
      <c r="AJ821" s="13" t="n">
        <f aca="false">IF($J821=1,(Ideal_S-F821)/Span_S,"")</f>
        <v>0.032258064516129</v>
      </c>
      <c r="AK821" s="13" t="n">
        <f aca="false">IF($J821=1,(Ideal_B-G821)/Span_B,"")</f>
        <v>0.6</v>
      </c>
      <c r="AL821" s="12" t="n">
        <f aca="false">IF($J821=1,MAX(ChA_1*AI821,ChA_2*AJ821,ChA_3*AK821)+Rho*(ChA_1*AI821+ChA_2*AJ821+ChA_3*AK821),"")</f>
        <v>0.695760261872745</v>
      </c>
      <c r="AM821" s="12" t="n">
        <f aca="false">IF($J821=1,MAX(ChB_1*AI821,ChB_2*AJ821,ChB_3*AK821)+Rho*(ChB_1*AI821+ChB_2*AJ821+ChB_3*AK821),"")</f>
        <v>1.39145729793904</v>
      </c>
      <c r="AN821" s="12" t="n">
        <f aca="false">IF($J821=1,MAX(Cx_1*(Ref_P-E821)/Span_P,Cx_2*(Ref_S-F821)/Span_S,Cx_3*(Ref_B-G821)/Span_B),"")</f>
        <v>1.76221495311489</v>
      </c>
    </row>
    <row r="822" customFormat="false" ht="15" hidden="false" customHeight="false" outlineLevel="0" collapsed="false">
      <c r="A822" s="2" t="n">
        <v>816</v>
      </c>
      <c r="B822" s="15" t="n">
        <f aca="false">INT(A822/151)</f>
        <v>5</v>
      </c>
      <c r="C822" s="15" t="n">
        <f aca="false">MOD(A822,151)</f>
        <v>61</v>
      </c>
      <c r="D822" s="15" t="n">
        <f aca="false">INDEX(Grid!$J$6:$P$156,C822+1,B822+1)</f>
        <v>1</v>
      </c>
      <c r="E822" s="16" t="n">
        <f aca="false">IF(D822=1,INDEX(Grid!$B$6:$H$156,C822+1,B822+1),"")</f>
        <v>131.367048608544</v>
      </c>
      <c r="F822" s="13" t="n">
        <f aca="false">Val_pt*(Ceiling_e-E_zero)*(1-(1-Half_gap)^B822)</f>
        <v>135.625</v>
      </c>
      <c r="G822" s="15" t="n">
        <f aca="false">C822</f>
        <v>61</v>
      </c>
      <c r="H822" s="15" t="n">
        <f aca="false">IF(D822=1,INDEX(Grid!$R$6:$X$156,C822+1,B822+1),"")</f>
        <v>59</v>
      </c>
      <c r="I822" s="2" t="str">
        <f aca="false">IF(D822=1,INDEX(Sch_label,H822+1),"")</f>
        <v>1–3, 5, 6</v>
      </c>
      <c r="J822" s="15" t="n">
        <f aca="false">IF(D822=1,INDEX(Grid!$Z$6:$AF$156,C822+1,B822+1),0)</f>
        <v>1</v>
      </c>
      <c r="K822" s="16" t="n">
        <f aca="false">IF(J822=1,E822,0)</f>
        <v>131.367048608544</v>
      </c>
      <c r="L822" s="17" t="n">
        <f aca="false">IF(D822=1,E822+W_board*F822,"")</f>
        <v>896.934816243979</v>
      </c>
      <c r="M822" s="24" t="n">
        <v>1</v>
      </c>
      <c r="N822" s="25" t="n">
        <v>0.121286736192901</v>
      </c>
      <c r="O822" s="25" t="n">
        <v>0.833039660615898</v>
      </c>
      <c r="P822" s="25" t="n">
        <v>0.0456736031912014</v>
      </c>
      <c r="Z822" s="12" t="n">
        <f aca="false">IF(AND($J822=1,$M822=1),N822*E822/Span_P+O822*F822/Span_S+P822*G822/Span_B,"")</f>
        <v>1.72865330050022</v>
      </c>
      <c r="AA822" s="12" t="n">
        <f aca="false">IF(AND($J822=1,$M822=1),SUMPRODUCT(MAX($J$6:$J$1062*(N822*$K$6:$K$1062/Span_P+O822*$F$6:$F$1062/Span_S+P822*$G$6:$G$1062/Span_B)-(1-$J$6:$J$1062)*1000000000)),"")</f>
        <v>1.72865330050022</v>
      </c>
      <c r="AB822" s="15" t="n">
        <f aca="false">IF(AND($J822=1,$M822=1),IF(AA822-Z822&lt;=0.000000001,1,0),"")</f>
        <v>1</v>
      </c>
      <c r="AC822" s="13" t="str">
        <f aca="false">IF(AND($J822=1,$M822=0),IF(S822="",0,S822*INDEX(Grid!$B$6:$H$156,R822+1,Q822+1))+IF(V822="",0,V822*INDEX(Grid!$B$6:$H$156,U822+1,T822+1))+IF(Y822="",0,Y822*INDEX(Grid!$B$6:$H$156,X822+1,W822+1)),"")</f>
        <v/>
      </c>
      <c r="AD822" s="13" t="str">
        <f aca="false">IF(AND($J822=1,$M822=0),IF(S822="",0,S822*Val_pt*(Ceiling_e-E_zero)*(1-(1-Half_gap)^Q822))+IF(V822="",0,V822*Val_pt*(Ceiling_e-E_zero)*(1-(1-Half_gap)^T822))+IF(Y822="",0,Y822*Val_pt*(Ceiling_e-E_zero)*(1-(1-Half_gap)^W822)),"")</f>
        <v/>
      </c>
      <c r="AE822" s="13" t="str">
        <f aca="false">IF(AND($J822=1,$M822=0),IF(S822="",0,S822*R822)+IF(V822="",0,V822*U822)+IF(Y822="",0,Y822*X822),"")</f>
        <v/>
      </c>
      <c r="AF822" s="12" t="str">
        <f aca="false">IF(AND($J822=1,$M822=0),MIN((AC822-E822)/Span_P,(AD822-F822)/Span_S,(AE822-G822)/Span_B),"")</f>
        <v/>
      </c>
      <c r="AG822" s="15" t="str">
        <f aca="false">IF(AND($J822=1,$M822=0),IF(AF822&gt;0.0000001,1,0),"")</f>
        <v/>
      </c>
      <c r="AH822" s="15" t="n">
        <f aca="false">IF($J822=1,IF($M822=1,AB822,AG822),"")</f>
        <v>1</v>
      </c>
      <c r="AI822" s="13" t="n">
        <f aca="false">IF($J822=1,(Ideal_P-E822)/Span_P,"")</f>
        <v>0.698137976095267</v>
      </c>
      <c r="AJ822" s="13" t="n">
        <f aca="false">IF($J822=1,(Ideal_S-F822)/Span_S,"")</f>
        <v>0.032258064516129</v>
      </c>
      <c r="AK822" s="13" t="n">
        <f aca="false">IF($J822=1,(Ideal_B-G822)/Span_B,"")</f>
        <v>0.593333333333333</v>
      </c>
      <c r="AL822" s="12" t="n">
        <f aca="false">IF($J822=1,MAX(ChA_1*AI822,ChA_2*AJ822,ChA_3*AK822)+Rho*(ChA_1*AI822+ChA_2*AJ822+ChA_3*AK822),"")</f>
        <v>0.698270349032662</v>
      </c>
      <c r="AM822" s="12" t="n">
        <f aca="false">IF($J822=1,MAX(ChB_1*AI822,ChB_2*AJ822,ChB_3*AK822)+Rho*(ChB_1*AI822+ChB_2*AJ822+ChB_3*AK822),"")</f>
        <v>1.39647813892554</v>
      </c>
      <c r="AN822" s="12" t="n">
        <f aca="false">IF($J822=1,MAX(Cx_1*(Ref_P-E822)/Span_P,Cx_2*(Ref_S-F822)/Span_S,Cx_3*(Ref_B-G822)/Span_B),"")</f>
        <v>1.76848461479832</v>
      </c>
    </row>
    <row r="823" customFormat="false" ht="15" hidden="false" customHeight="false" outlineLevel="0" collapsed="false">
      <c r="A823" s="2" t="n">
        <v>817</v>
      </c>
      <c r="B823" s="15" t="n">
        <f aca="false">INT(A823/151)</f>
        <v>5</v>
      </c>
      <c r="C823" s="15" t="n">
        <f aca="false">MOD(A823,151)</f>
        <v>62</v>
      </c>
      <c r="D823" s="15" t="n">
        <f aca="false">INDEX(Grid!$J$6:$P$156,C823+1,B823+1)</f>
        <v>1</v>
      </c>
      <c r="E823" s="16" t="n">
        <f aca="false">IF(D823=1,INDEX(Grid!$B$6:$H$156,C823+1,B823+1),"")</f>
        <v>130.457957699453</v>
      </c>
      <c r="F823" s="13" t="n">
        <f aca="false">Val_pt*(Ceiling_e-E_zero)*(1-(1-Half_gap)^B823)</f>
        <v>135.625</v>
      </c>
      <c r="G823" s="15" t="n">
        <f aca="false">C823</f>
        <v>62</v>
      </c>
      <c r="H823" s="15" t="n">
        <f aca="false">IF(D823=1,INDEX(Grid!$R$6:$X$156,C823+1,B823+1),"")</f>
        <v>59</v>
      </c>
      <c r="I823" s="2" t="str">
        <f aca="false">IF(D823=1,INDEX(Sch_label,H823+1),"")</f>
        <v>1–3, 5, 6</v>
      </c>
      <c r="J823" s="15" t="n">
        <f aca="false">IF(D823=1,INDEX(Grid!$Z$6:$AF$156,C823+1,B823+1),0)</f>
        <v>1</v>
      </c>
      <c r="K823" s="16" t="n">
        <f aca="false">IF(J823=1,E823,0)</f>
        <v>130.457957699453</v>
      </c>
      <c r="L823" s="17" t="n">
        <f aca="false">IF(D823=1,E823+W_board*F823,"")</f>
        <v>896.025725334888</v>
      </c>
      <c r="M823" s="24" t="n">
        <v>1</v>
      </c>
      <c r="N823" s="25" t="n">
        <v>0.121286736192901</v>
      </c>
      <c r="O823" s="25" t="n">
        <v>0.833039660615898</v>
      </c>
      <c r="P823" s="25" t="n">
        <v>0.0456736031912014</v>
      </c>
      <c r="Z823" s="12" t="n">
        <f aca="false">IF(AND($J823=1,$M823=1),N823*E823/Span_P+O823*F823/Span_S+P823*G823/Span_B,"")</f>
        <v>1.72865330050022</v>
      </c>
      <c r="AA823" s="12" t="n">
        <f aca="false">IF(AND($J823=1,$M823=1),SUMPRODUCT(MAX($J$6:$J$1062*(N823*$K$6:$K$1062/Span_P+O823*$F$6:$F$1062/Span_S+P823*$G$6:$G$1062/Span_B)-(1-$J$6:$J$1062)*1000000000)),"")</f>
        <v>1.72865330050022</v>
      </c>
      <c r="AB823" s="15" t="n">
        <f aca="false">IF(AND($J823=1,$M823=1),IF(AA823-Z823&lt;=0.000000001,1,0),"")</f>
        <v>1</v>
      </c>
      <c r="AC823" s="13" t="str">
        <f aca="false">IF(AND($J823=1,$M823=0),IF(S823="",0,S823*INDEX(Grid!$B$6:$H$156,R823+1,Q823+1))+IF(V823="",0,V823*INDEX(Grid!$B$6:$H$156,U823+1,T823+1))+IF(Y823="",0,Y823*INDEX(Grid!$B$6:$H$156,X823+1,W823+1)),"")</f>
        <v/>
      </c>
      <c r="AD823" s="13" t="str">
        <f aca="false">IF(AND($J823=1,$M823=0),IF(S823="",0,S823*Val_pt*(Ceiling_e-E_zero)*(1-(1-Half_gap)^Q823))+IF(V823="",0,V823*Val_pt*(Ceiling_e-E_zero)*(1-(1-Half_gap)^T823))+IF(Y823="",0,Y823*Val_pt*(Ceiling_e-E_zero)*(1-(1-Half_gap)^W823)),"")</f>
        <v/>
      </c>
      <c r="AE823" s="13" t="str">
        <f aca="false">IF(AND($J823=1,$M823=0),IF(S823="",0,S823*R823)+IF(V823="",0,V823*U823)+IF(Y823="",0,Y823*X823),"")</f>
        <v/>
      </c>
      <c r="AF823" s="12" t="str">
        <f aca="false">IF(AND($J823=1,$M823=0),MIN((AC823-E823)/Span_P,(AD823-F823)/Span_S,(AE823-G823)/Span_B),"")</f>
        <v/>
      </c>
      <c r="AG823" s="15" t="str">
        <f aca="false">IF(AND($J823=1,$M823=0),IF(AF823&gt;0.0000001,1,0),"")</f>
        <v/>
      </c>
      <c r="AH823" s="15" t="n">
        <f aca="false">IF($J823=1,IF($M823=1,AB823,AG823),"")</f>
        <v>1</v>
      </c>
      <c r="AI823" s="13" t="n">
        <f aca="false">IF($J823=1,(Ideal_P-E823)/Span_P,"")</f>
        <v>0.700648478871573</v>
      </c>
      <c r="AJ823" s="13" t="n">
        <f aca="false">IF($J823=1,(Ideal_S-F823)/Span_S,"")</f>
        <v>0.032258064516129</v>
      </c>
      <c r="AK823" s="13" t="n">
        <f aca="false">IF($J823=1,(Ideal_B-G823)/Span_B,"")</f>
        <v>0.586666666666667</v>
      </c>
      <c r="AL823" s="12" t="n">
        <f aca="false">IF($J823=1,MAX(ChA_1*AI823,ChA_2*AJ823,ChA_3*AK823)+Rho*(ChA_1*AI823+ChA_2*AJ823+ChA_3*AK823),"")</f>
        <v>0.700780436192579</v>
      </c>
      <c r="AM823" s="12" t="n">
        <f aca="false">IF($J823=1,MAX(ChB_1*AI823,ChB_2*AJ823,ChB_3*AK823)+Rho*(ChB_1*AI823+ChB_2*AJ823+ChB_3*AK823),"")</f>
        <v>1.40149897991204</v>
      </c>
      <c r="AN823" s="12" t="n">
        <f aca="false">IF($J823=1,MAX(Cx_1*(Ref_P-E823)/Span_P,Cx_2*(Ref_S-F823)/Span_S,Cx_3*(Ref_B-G823)/Span_B),"")</f>
        <v>1.77475427648175</v>
      </c>
    </row>
    <row r="824" customFormat="false" ht="15" hidden="false" customHeight="false" outlineLevel="0" collapsed="false">
      <c r="A824" s="2" t="n">
        <v>818</v>
      </c>
      <c r="B824" s="15" t="n">
        <f aca="false">INT(A824/151)</f>
        <v>5</v>
      </c>
      <c r="C824" s="15" t="n">
        <f aca="false">MOD(A824,151)</f>
        <v>63</v>
      </c>
      <c r="D824" s="15" t="n">
        <f aca="false">INDEX(Grid!$J$6:$P$156,C824+1,B824+1)</f>
        <v>1</v>
      </c>
      <c r="E824" s="16" t="n">
        <f aca="false">IF(D824=1,INDEX(Grid!$B$6:$H$156,C824+1,B824+1),"")</f>
        <v>129.548866790362</v>
      </c>
      <c r="F824" s="13" t="n">
        <f aca="false">Val_pt*(Ceiling_e-E_zero)*(1-(1-Half_gap)^B824)</f>
        <v>135.625</v>
      </c>
      <c r="G824" s="15" t="n">
        <f aca="false">C824</f>
        <v>63</v>
      </c>
      <c r="H824" s="15" t="n">
        <f aca="false">IF(D824=1,INDEX(Grid!$R$6:$X$156,C824+1,B824+1),"")</f>
        <v>59</v>
      </c>
      <c r="I824" s="2" t="str">
        <f aca="false">IF(D824=1,INDEX(Sch_label,H824+1),"")</f>
        <v>1–3, 5, 6</v>
      </c>
      <c r="J824" s="15" t="n">
        <f aca="false">IF(D824=1,INDEX(Grid!$Z$6:$AF$156,C824+1,B824+1),0)</f>
        <v>1</v>
      </c>
      <c r="K824" s="16" t="n">
        <f aca="false">IF(J824=1,E824,0)</f>
        <v>129.548866790362</v>
      </c>
      <c r="L824" s="17" t="n">
        <f aca="false">IF(D824=1,E824+W_board*F824,"")</f>
        <v>895.116634425797</v>
      </c>
      <c r="M824" s="24" t="n">
        <v>1</v>
      </c>
      <c r="N824" s="25" t="n">
        <v>0.1212867361929</v>
      </c>
      <c r="O824" s="25" t="n">
        <v>0.833039660615899</v>
      </c>
      <c r="P824" s="25" t="n">
        <v>0.045673603191201</v>
      </c>
      <c r="Z824" s="12" t="n">
        <f aca="false">IF(AND($J824=1,$M824=1),N824*E824/Span_P+O824*F824/Span_S+P824*G824/Span_B,"")</f>
        <v>1.72865330050022</v>
      </c>
      <c r="AA824" s="12" t="n">
        <f aca="false">IF(AND($J824=1,$M824=1),SUMPRODUCT(MAX($J$6:$J$1062*(N824*$K$6:$K$1062/Span_P+O824*$F$6:$F$1062/Span_S+P824*$G$6:$G$1062/Span_B)-(1-$J$6:$J$1062)*1000000000)),"")</f>
        <v>1.72865330050022</v>
      </c>
      <c r="AB824" s="15" t="n">
        <f aca="false">IF(AND($J824=1,$M824=1),IF(AA824-Z824&lt;=0.000000001,1,0),"")</f>
        <v>1</v>
      </c>
      <c r="AC824" s="13" t="str">
        <f aca="false">IF(AND($J824=1,$M824=0),IF(S824="",0,S824*INDEX(Grid!$B$6:$H$156,R824+1,Q824+1))+IF(V824="",0,V824*INDEX(Grid!$B$6:$H$156,U824+1,T824+1))+IF(Y824="",0,Y824*INDEX(Grid!$B$6:$H$156,X824+1,W824+1)),"")</f>
        <v/>
      </c>
      <c r="AD824" s="13" t="str">
        <f aca="false">IF(AND($J824=1,$M824=0),IF(S824="",0,S824*Val_pt*(Ceiling_e-E_zero)*(1-(1-Half_gap)^Q824))+IF(V824="",0,V824*Val_pt*(Ceiling_e-E_zero)*(1-(1-Half_gap)^T824))+IF(Y824="",0,Y824*Val_pt*(Ceiling_e-E_zero)*(1-(1-Half_gap)^W824)),"")</f>
        <v/>
      </c>
      <c r="AE824" s="13" t="str">
        <f aca="false">IF(AND($J824=1,$M824=0),IF(S824="",0,S824*R824)+IF(V824="",0,V824*U824)+IF(Y824="",0,Y824*X824),"")</f>
        <v/>
      </c>
      <c r="AF824" s="12" t="str">
        <f aca="false">IF(AND($J824=1,$M824=0),MIN((AC824-E824)/Span_P,(AD824-F824)/Span_S,(AE824-G824)/Span_B),"")</f>
        <v/>
      </c>
      <c r="AG824" s="15" t="str">
        <f aca="false">IF(AND($J824=1,$M824=0),IF(AF824&gt;0.0000001,1,0),"")</f>
        <v/>
      </c>
      <c r="AH824" s="15" t="n">
        <f aca="false">IF($J824=1,IF($M824=1,AB824,AG824),"")</f>
        <v>1</v>
      </c>
      <c r="AI824" s="13" t="n">
        <f aca="false">IF($J824=1,(Ideal_P-E824)/Span_P,"")</f>
        <v>0.703158981647879</v>
      </c>
      <c r="AJ824" s="13" t="n">
        <f aca="false">IF($J824=1,(Ideal_S-F824)/Span_S,"")</f>
        <v>0.032258064516129</v>
      </c>
      <c r="AK824" s="13" t="n">
        <f aca="false">IF($J824=1,(Ideal_B-G824)/Span_B,"")</f>
        <v>0.58</v>
      </c>
      <c r="AL824" s="12" t="n">
        <f aca="false">IF($J824=1,MAX(ChA_1*AI824,ChA_2*AJ824,ChA_3*AK824)+Rho*(ChA_1*AI824+ChA_2*AJ824+ChA_3*AK824),"")</f>
        <v>0.703290523352495</v>
      </c>
      <c r="AM824" s="12" t="n">
        <f aca="false">IF($J824=1,MAX(ChB_1*AI824,ChB_2*AJ824,ChB_3*AK824)+Rho*(ChB_1*AI824+ChB_2*AJ824+ChB_3*AK824),"")</f>
        <v>1.40651982089854</v>
      </c>
      <c r="AN824" s="12" t="n">
        <f aca="false">IF($J824=1,MAX(Cx_1*(Ref_P-E824)/Span_P,Cx_2*(Ref_S-F824)/Span_S,Cx_3*(Ref_B-G824)/Span_B),"")</f>
        <v>1.78102393816518</v>
      </c>
    </row>
    <row r="825" customFormat="false" ht="15" hidden="false" customHeight="false" outlineLevel="0" collapsed="false">
      <c r="A825" s="2" t="n">
        <v>819</v>
      </c>
      <c r="B825" s="15" t="n">
        <f aca="false">INT(A825/151)</f>
        <v>5</v>
      </c>
      <c r="C825" s="15" t="n">
        <f aca="false">MOD(A825,151)</f>
        <v>64</v>
      </c>
      <c r="D825" s="15" t="n">
        <f aca="false">INDEX(Grid!$J$6:$P$156,C825+1,B825+1)</f>
        <v>1</v>
      </c>
      <c r="E825" s="16" t="n">
        <f aca="false">IF(D825=1,INDEX(Grid!$B$6:$H$156,C825+1,B825+1),"")</f>
        <v>128.639775881271</v>
      </c>
      <c r="F825" s="13" t="n">
        <f aca="false">Val_pt*(Ceiling_e-E_zero)*(1-(1-Half_gap)^B825)</f>
        <v>135.625</v>
      </c>
      <c r="G825" s="15" t="n">
        <f aca="false">C825</f>
        <v>64</v>
      </c>
      <c r="H825" s="15" t="n">
        <f aca="false">IF(D825=1,INDEX(Grid!$R$6:$X$156,C825+1,B825+1),"")</f>
        <v>59</v>
      </c>
      <c r="I825" s="2" t="str">
        <f aca="false">IF(D825=1,INDEX(Sch_label,H825+1),"")</f>
        <v>1–3, 5, 6</v>
      </c>
      <c r="J825" s="15" t="n">
        <f aca="false">IF(D825=1,INDEX(Grid!$Z$6:$AF$156,C825+1,B825+1),0)</f>
        <v>1</v>
      </c>
      <c r="K825" s="16" t="n">
        <f aca="false">IF(J825=1,E825,0)</f>
        <v>128.639775881271</v>
      </c>
      <c r="L825" s="17" t="n">
        <f aca="false">IF(D825=1,E825+W_board*F825,"")</f>
        <v>894.207543516706</v>
      </c>
      <c r="M825" s="24" t="n">
        <v>1</v>
      </c>
      <c r="N825" s="25" t="n">
        <v>0.121286736192901</v>
      </c>
      <c r="O825" s="25" t="n">
        <v>0.833039660615897</v>
      </c>
      <c r="P825" s="25" t="n">
        <v>0.0456736031912026</v>
      </c>
      <c r="Z825" s="12" t="n">
        <f aca="false">IF(AND($J825=1,$M825=1),N825*E825/Span_P+O825*F825/Span_S+P825*G825/Span_B,"")</f>
        <v>1.72865330050022</v>
      </c>
      <c r="AA825" s="12" t="n">
        <f aca="false">IF(AND($J825=1,$M825=1),SUMPRODUCT(MAX($J$6:$J$1062*(N825*$K$6:$K$1062/Span_P+O825*$F$6:$F$1062/Span_S+P825*$G$6:$G$1062/Span_B)-(1-$J$6:$J$1062)*1000000000)),"")</f>
        <v>1.72865330050022</v>
      </c>
      <c r="AB825" s="15" t="n">
        <f aca="false">IF(AND($J825=1,$M825=1),IF(AA825-Z825&lt;=0.000000001,1,0),"")</f>
        <v>1</v>
      </c>
      <c r="AC825" s="13" t="str">
        <f aca="false">IF(AND($J825=1,$M825=0),IF(S825="",0,S825*INDEX(Grid!$B$6:$H$156,R825+1,Q825+1))+IF(V825="",0,V825*INDEX(Grid!$B$6:$H$156,U825+1,T825+1))+IF(Y825="",0,Y825*INDEX(Grid!$B$6:$H$156,X825+1,W825+1)),"")</f>
        <v/>
      </c>
      <c r="AD825" s="13" t="str">
        <f aca="false">IF(AND($J825=1,$M825=0),IF(S825="",0,S825*Val_pt*(Ceiling_e-E_zero)*(1-(1-Half_gap)^Q825))+IF(V825="",0,V825*Val_pt*(Ceiling_e-E_zero)*(1-(1-Half_gap)^T825))+IF(Y825="",0,Y825*Val_pt*(Ceiling_e-E_zero)*(1-(1-Half_gap)^W825)),"")</f>
        <v/>
      </c>
      <c r="AE825" s="13" t="str">
        <f aca="false">IF(AND($J825=1,$M825=0),IF(S825="",0,S825*R825)+IF(V825="",0,V825*U825)+IF(Y825="",0,Y825*X825),"")</f>
        <v/>
      </c>
      <c r="AF825" s="12" t="str">
        <f aca="false">IF(AND($J825=1,$M825=0),MIN((AC825-E825)/Span_P,(AD825-F825)/Span_S,(AE825-G825)/Span_B),"")</f>
        <v/>
      </c>
      <c r="AG825" s="15" t="str">
        <f aca="false">IF(AND($J825=1,$M825=0),IF(AF825&gt;0.0000001,1,0),"")</f>
        <v/>
      </c>
      <c r="AH825" s="15" t="n">
        <f aca="false">IF($J825=1,IF($M825=1,AB825,AG825),"")</f>
        <v>1</v>
      </c>
      <c r="AI825" s="13" t="n">
        <f aca="false">IF($J825=1,(Ideal_P-E825)/Span_P,"")</f>
        <v>0.705669484424185</v>
      </c>
      <c r="AJ825" s="13" t="n">
        <f aca="false">IF($J825=1,(Ideal_S-F825)/Span_S,"")</f>
        <v>0.032258064516129</v>
      </c>
      <c r="AK825" s="13" t="n">
        <f aca="false">IF($J825=1,(Ideal_B-G825)/Span_B,"")</f>
        <v>0.573333333333333</v>
      </c>
      <c r="AL825" s="12" t="n">
        <f aca="false">IF($J825=1,MAX(ChA_1*AI825,ChA_2*AJ825,ChA_3*AK825)+Rho*(ChA_1*AI825+ChA_2*AJ825+ChA_3*AK825),"")</f>
        <v>0.705800610512412</v>
      </c>
      <c r="AM825" s="12" t="n">
        <f aca="false">IF($J825=1,MAX(ChB_1*AI825,ChB_2*AJ825,ChB_3*AK825)+Rho*(ChB_1*AI825+ChB_2*AJ825+ChB_3*AK825),"")</f>
        <v>1.41154066188504</v>
      </c>
      <c r="AN825" s="12" t="n">
        <f aca="false">IF($J825=1,MAX(Cx_1*(Ref_P-E825)/Span_P,Cx_2*(Ref_S-F825)/Span_S,Cx_3*(Ref_B-G825)/Span_B),"")</f>
        <v>1.78729359984861</v>
      </c>
    </row>
    <row r="826" customFormat="false" ht="15" hidden="false" customHeight="false" outlineLevel="0" collapsed="false">
      <c r="A826" s="2" t="n">
        <v>820</v>
      </c>
      <c r="B826" s="15" t="n">
        <f aca="false">INT(A826/151)</f>
        <v>5</v>
      </c>
      <c r="C826" s="15" t="n">
        <f aca="false">MOD(A826,151)</f>
        <v>65</v>
      </c>
      <c r="D826" s="15" t="n">
        <f aca="false">INDEX(Grid!$J$6:$P$156,C826+1,B826+1)</f>
        <v>1</v>
      </c>
      <c r="E826" s="16" t="n">
        <f aca="false">IF(D826=1,INDEX(Grid!$B$6:$H$156,C826+1,B826+1),"")</f>
        <v>127.73068497218</v>
      </c>
      <c r="F826" s="13" t="n">
        <f aca="false">Val_pt*(Ceiling_e-E_zero)*(1-(1-Half_gap)^B826)</f>
        <v>135.625</v>
      </c>
      <c r="G826" s="15" t="n">
        <f aca="false">C826</f>
        <v>65</v>
      </c>
      <c r="H826" s="15" t="n">
        <f aca="false">IF(D826=1,INDEX(Grid!$R$6:$X$156,C826+1,B826+1),"")</f>
        <v>59</v>
      </c>
      <c r="I826" s="2" t="str">
        <f aca="false">IF(D826=1,INDEX(Sch_label,H826+1),"")</f>
        <v>1–3, 5, 6</v>
      </c>
      <c r="J826" s="15" t="n">
        <f aca="false">IF(D826=1,INDEX(Grid!$Z$6:$AF$156,C826+1,B826+1),0)</f>
        <v>1</v>
      </c>
      <c r="K826" s="16" t="n">
        <f aca="false">IF(J826=1,E826,0)</f>
        <v>127.73068497218</v>
      </c>
      <c r="L826" s="17" t="n">
        <f aca="false">IF(D826=1,E826+W_board*F826,"")</f>
        <v>893.298452607615</v>
      </c>
      <c r="M826" s="24" t="n">
        <v>1</v>
      </c>
      <c r="N826" s="25" t="n">
        <v>0.1212867361929</v>
      </c>
      <c r="O826" s="25" t="n">
        <v>0.8330396606159</v>
      </c>
      <c r="P826" s="25" t="n">
        <v>0.0456736031912003</v>
      </c>
      <c r="Z826" s="12" t="n">
        <f aca="false">IF(AND($J826=1,$M826=1),N826*E826/Span_P+O826*F826/Span_S+P826*G826/Span_B,"")</f>
        <v>1.72865330050022</v>
      </c>
      <c r="AA826" s="12" t="n">
        <f aca="false">IF(AND($J826=1,$M826=1),SUMPRODUCT(MAX($J$6:$J$1062*(N826*$K$6:$K$1062/Span_P+O826*$F$6:$F$1062/Span_S+P826*$G$6:$G$1062/Span_B)-(1-$J$6:$J$1062)*1000000000)),"")</f>
        <v>1.72865330050022</v>
      </c>
      <c r="AB826" s="15" t="n">
        <f aca="false">IF(AND($J826=1,$M826=1),IF(AA826-Z826&lt;=0.000000001,1,0),"")</f>
        <v>1</v>
      </c>
      <c r="AC826" s="13" t="str">
        <f aca="false">IF(AND($J826=1,$M826=0),IF(S826="",0,S826*INDEX(Grid!$B$6:$H$156,R826+1,Q826+1))+IF(V826="",0,V826*INDEX(Grid!$B$6:$H$156,U826+1,T826+1))+IF(Y826="",0,Y826*INDEX(Grid!$B$6:$H$156,X826+1,W826+1)),"")</f>
        <v/>
      </c>
      <c r="AD826" s="13" t="str">
        <f aca="false">IF(AND($J826=1,$M826=0),IF(S826="",0,S826*Val_pt*(Ceiling_e-E_zero)*(1-(1-Half_gap)^Q826))+IF(V826="",0,V826*Val_pt*(Ceiling_e-E_zero)*(1-(1-Half_gap)^T826))+IF(Y826="",0,Y826*Val_pt*(Ceiling_e-E_zero)*(1-(1-Half_gap)^W826)),"")</f>
        <v/>
      </c>
      <c r="AE826" s="13" t="str">
        <f aca="false">IF(AND($J826=1,$M826=0),IF(S826="",0,S826*R826)+IF(V826="",0,V826*U826)+IF(Y826="",0,Y826*X826),"")</f>
        <v/>
      </c>
      <c r="AF826" s="12" t="str">
        <f aca="false">IF(AND($J826=1,$M826=0),MIN((AC826-E826)/Span_P,(AD826-F826)/Span_S,(AE826-G826)/Span_B),"")</f>
        <v/>
      </c>
      <c r="AG826" s="15" t="str">
        <f aca="false">IF(AND($J826=1,$M826=0),IF(AF826&gt;0.0000001,1,0),"")</f>
        <v/>
      </c>
      <c r="AH826" s="15" t="n">
        <f aca="false">IF($J826=1,IF($M826=1,AB826,AG826),"")</f>
        <v>1</v>
      </c>
      <c r="AI826" s="13" t="n">
        <f aca="false">IF($J826=1,(Ideal_P-E826)/Span_P,"")</f>
        <v>0.708179987200491</v>
      </c>
      <c r="AJ826" s="13" t="n">
        <f aca="false">IF($J826=1,(Ideal_S-F826)/Span_S,"")</f>
        <v>0.032258064516129</v>
      </c>
      <c r="AK826" s="13" t="n">
        <f aca="false">IF($J826=1,(Ideal_B-G826)/Span_B,"")</f>
        <v>0.566666666666667</v>
      </c>
      <c r="AL826" s="12" t="n">
        <f aca="false">IF($J826=1,MAX(ChA_1*AI826,ChA_2*AJ826,ChA_3*AK826)+Rho*(ChA_1*AI826+ChA_2*AJ826+ChA_3*AK826),"")</f>
        <v>0.708310697672329</v>
      </c>
      <c r="AM826" s="12" t="n">
        <f aca="false">IF($J826=1,MAX(ChB_1*AI826,ChB_2*AJ826,ChB_3*AK826)+Rho*(ChB_1*AI826+ChB_2*AJ826+ChB_3*AK826),"")</f>
        <v>1.41656150287154</v>
      </c>
      <c r="AN826" s="12" t="n">
        <f aca="false">IF($J826=1,MAX(Cx_1*(Ref_P-E826)/Span_P,Cx_2*(Ref_S-F826)/Span_S,Cx_3*(Ref_B-G826)/Span_B),"")</f>
        <v>1.79356326153203</v>
      </c>
    </row>
    <row r="827" customFormat="false" ht="15" hidden="false" customHeight="false" outlineLevel="0" collapsed="false">
      <c r="A827" s="2" t="n">
        <v>821</v>
      </c>
      <c r="B827" s="15" t="n">
        <f aca="false">INT(A827/151)</f>
        <v>5</v>
      </c>
      <c r="C827" s="15" t="n">
        <f aca="false">MOD(A827,151)</f>
        <v>66</v>
      </c>
      <c r="D827" s="15" t="n">
        <f aca="false">INDEX(Grid!$J$6:$P$156,C827+1,B827+1)</f>
        <v>1</v>
      </c>
      <c r="E827" s="16" t="n">
        <f aca="false">IF(D827=1,INDEX(Grid!$B$6:$H$156,C827+1,B827+1),"")</f>
        <v>126.821594063089</v>
      </c>
      <c r="F827" s="13" t="n">
        <f aca="false">Val_pt*(Ceiling_e-E_zero)*(1-(1-Half_gap)^B827)</f>
        <v>135.625</v>
      </c>
      <c r="G827" s="15" t="n">
        <f aca="false">C827</f>
        <v>66</v>
      </c>
      <c r="H827" s="15" t="n">
        <f aca="false">IF(D827=1,INDEX(Grid!$R$6:$X$156,C827+1,B827+1),"")</f>
        <v>59</v>
      </c>
      <c r="I827" s="2" t="str">
        <f aca="false">IF(D827=1,INDEX(Sch_label,H827+1),"")</f>
        <v>1–3, 5, 6</v>
      </c>
      <c r="J827" s="15" t="n">
        <f aca="false">IF(D827=1,INDEX(Grid!$Z$6:$AF$156,C827+1,B827+1),0)</f>
        <v>1</v>
      </c>
      <c r="K827" s="16" t="n">
        <f aca="false">IF(J827=1,E827,0)</f>
        <v>126.821594063089</v>
      </c>
      <c r="L827" s="17" t="n">
        <f aca="false">IF(D827=1,E827+W_board*F827,"")</f>
        <v>892.389361698525</v>
      </c>
      <c r="M827" s="24" t="n">
        <v>1</v>
      </c>
      <c r="N827" s="25" t="n">
        <v>0.121286736192901</v>
      </c>
      <c r="O827" s="25" t="n">
        <v>0.833039660615898</v>
      </c>
      <c r="P827" s="25" t="n">
        <v>0.0456736031912014</v>
      </c>
      <c r="Z827" s="12" t="n">
        <f aca="false">IF(AND($J827=1,$M827=1),N827*E827/Span_P+O827*F827/Span_S+P827*G827/Span_B,"")</f>
        <v>1.72865330050022</v>
      </c>
      <c r="AA827" s="12" t="n">
        <f aca="false">IF(AND($J827=1,$M827=1),SUMPRODUCT(MAX($J$6:$J$1062*(N827*$K$6:$K$1062/Span_P+O827*$F$6:$F$1062/Span_S+P827*$G$6:$G$1062/Span_B)-(1-$J$6:$J$1062)*1000000000)),"")</f>
        <v>1.72865330050022</v>
      </c>
      <c r="AB827" s="15" t="n">
        <f aca="false">IF(AND($J827=1,$M827=1),IF(AA827-Z827&lt;=0.000000001,1,0),"")</f>
        <v>1</v>
      </c>
      <c r="AC827" s="13" t="str">
        <f aca="false">IF(AND($J827=1,$M827=0),IF(S827="",0,S827*INDEX(Grid!$B$6:$H$156,R827+1,Q827+1))+IF(V827="",0,V827*INDEX(Grid!$B$6:$H$156,U827+1,T827+1))+IF(Y827="",0,Y827*INDEX(Grid!$B$6:$H$156,X827+1,W827+1)),"")</f>
        <v/>
      </c>
      <c r="AD827" s="13" t="str">
        <f aca="false">IF(AND($J827=1,$M827=0),IF(S827="",0,S827*Val_pt*(Ceiling_e-E_zero)*(1-(1-Half_gap)^Q827))+IF(V827="",0,V827*Val_pt*(Ceiling_e-E_zero)*(1-(1-Half_gap)^T827))+IF(Y827="",0,Y827*Val_pt*(Ceiling_e-E_zero)*(1-(1-Half_gap)^W827)),"")</f>
        <v/>
      </c>
      <c r="AE827" s="13" t="str">
        <f aca="false">IF(AND($J827=1,$M827=0),IF(S827="",0,S827*R827)+IF(V827="",0,V827*U827)+IF(Y827="",0,Y827*X827),"")</f>
        <v/>
      </c>
      <c r="AF827" s="12" t="str">
        <f aca="false">IF(AND($J827=1,$M827=0),MIN((AC827-E827)/Span_P,(AD827-F827)/Span_S,(AE827-G827)/Span_B),"")</f>
        <v/>
      </c>
      <c r="AG827" s="15" t="str">
        <f aca="false">IF(AND($J827=1,$M827=0),IF(AF827&gt;0.0000001,1,0),"")</f>
        <v/>
      </c>
      <c r="AH827" s="15" t="n">
        <f aca="false">IF($J827=1,IF($M827=1,AB827,AG827),"")</f>
        <v>1</v>
      </c>
      <c r="AI827" s="13" t="n">
        <f aca="false">IF($J827=1,(Ideal_P-E827)/Span_P,"")</f>
        <v>0.710690489976796</v>
      </c>
      <c r="AJ827" s="13" t="n">
        <f aca="false">IF($J827=1,(Ideal_S-F827)/Span_S,"")</f>
        <v>0.032258064516129</v>
      </c>
      <c r="AK827" s="13" t="n">
        <f aca="false">IF($J827=1,(Ideal_B-G827)/Span_B,"")</f>
        <v>0.56</v>
      </c>
      <c r="AL827" s="12" t="n">
        <f aca="false">IF($J827=1,MAX(ChA_1*AI827,ChA_2*AJ827,ChA_3*AK827)+Rho*(ChA_1*AI827+ChA_2*AJ827+ChA_3*AK827),"")</f>
        <v>0.710820784832245</v>
      </c>
      <c r="AM827" s="12" t="n">
        <f aca="false">IF($J827=1,MAX(ChB_1*AI827,ChB_2*AJ827,ChB_3*AK827)+Rho*(ChB_1*AI827+ChB_2*AJ827+ChB_3*AK827),"")</f>
        <v>1.42158234385804</v>
      </c>
      <c r="AN827" s="12" t="n">
        <f aca="false">IF($J827=1,MAX(Cx_1*(Ref_P-E827)/Span_P,Cx_2*(Ref_S-F827)/Span_S,Cx_3*(Ref_B-G827)/Span_B),"")</f>
        <v>1.79983292321546</v>
      </c>
    </row>
    <row r="828" customFormat="false" ht="15" hidden="false" customHeight="false" outlineLevel="0" collapsed="false">
      <c r="A828" s="2" t="n">
        <v>822</v>
      </c>
      <c r="B828" s="15" t="n">
        <f aca="false">INT(A828/151)</f>
        <v>5</v>
      </c>
      <c r="C828" s="15" t="n">
        <f aca="false">MOD(A828,151)</f>
        <v>67</v>
      </c>
      <c r="D828" s="15" t="n">
        <f aca="false">INDEX(Grid!$J$6:$P$156,C828+1,B828+1)</f>
        <v>1</v>
      </c>
      <c r="E828" s="16" t="n">
        <f aca="false">IF(D828=1,INDEX(Grid!$B$6:$H$156,C828+1,B828+1),"")</f>
        <v>125.912503153998</v>
      </c>
      <c r="F828" s="13" t="n">
        <f aca="false">Val_pt*(Ceiling_e-E_zero)*(1-(1-Half_gap)^B828)</f>
        <v>135.625</v>
      </c>
      <c r="G828" s="15" t="n">
        <f aca="false">C828</f>
        <v>67</v>
      </c>
      <c r="H828" s="15" t="n">
        <f aca="false">IF(D828=1,INDEX(Grid!$R$6:$X$156,C828+1,B828+1),"")</f>
        <v>59</v>
      </c>
      <c r="I828" s="2" t="str">
        <f aca="false">IF(D828=1,INDEX(Sch_label,H828+1),"")</f>
        <v>1–3, 5, 6</v>
      </c>
      <c r="J828" s="15" t="n">
        <f aca="false">IF(D828=1,INDEX(Grid!$Z$6:$AF$156,C828+1,B828+1),0)</f>
        <v>1</v>
      </c>
      <c r="K828" s="16" t="n">
        <f aca="false">IF(J828=1,E828,0)</f>
        <v>125.912503153998</v>
      </c>
      <c r="L828" s="17" t="n">
        <f aca="false">IF(D828=1,E828+W_board*F828,"")</f>
        <v>891.480270789434</v>
      </c>
      <c r="M828" s="24" t="n">
        <v>1</v>
      </c>
      <c r="N828" s="25" t="n">
        <v>0.121286736192901</v>
      </c>
      <c r="O828" s="25" t="n">
        <v>0.833039660615898</v>
      </c>
      <c r="P828" s="25" t="n">
        <v>0.0456736031912014</v>
      </c>
      <c r="Z828" s="12" t="n">
        <f aca="false">IF(AND($J828=1,$M828=1),N828*E828/Span_P+O828*F828/Span_S+P828*G828/Span_B,"")</f>
        <v>1.72865330050022</v>
      </c>
      <c r="AA828" s="12" t="n">
        <f aca="false">IF(AND($J828=1,$M828=1),SUMPRODUCT(MAX($J$6:$J$1062*(N828*$K$6:$K$1062/Span_P+O828*$F$6:$F$1062/Span_S+P828*$G$6:$G$1062/Span_B)-(1-$J$6:$J$1062)*1000000000)),"")</f>
        <v>1.72865330050022</v>
      </c>
      <c r="AB828" s="15" t="n">
        <f aca="false">IF(AND($J828=1,$M828=1),IF(AA828-Z828&lt;=0.000000001,1,0),"")</f>
        <v>1</v>
      </c>
      <c r="AC828" s="13" t="str">
        <f aca="false">IF(AND($J828=1,$M828=0),IF(S828="",0,S828*INDEX(Grid!$B$6:$H$156,R828+1,Q828+1))+IF(V828="",0,V828*INDEX(Grid!$B$6:$H$156,U828+1,T828+1))+IF(Y828="",0,Y828*INDEX(Grid!$B$6:$H$156,X828+1,W828+1)),"")</f>
        <v/>
      </c>
      <c r="AD828" s="13" t="str">
        <f aca="false">IF(AND($J828=1,$M828=0),IF(S828="",0,S828*Val_pt*(Ceiling_e-E_zero)*(1-(1-Half_gap)^Q828))+IF(V828="",0,V828*Val_pt*(Ceiling_e-E_zero)*(1-(1-Half_gap)^T828))+IF(Y828="",0,Y828*Val_pt*(Ceiling_e-E_zero)*(1-(1-Half_gap)^W828)),"")</f>
        <v/>
      </c>
      <c r="AE828" s="13" t="str">
        <f aca="false">IF(AND($J828=1,$M828=0),IF(S828="",0,S828*R828)+IF(V828="",0,V828*U828)+IF(Y828="",0,Y828*X828),"")</f>
        <v/>
      </c>
      <c r="AF828" s="12" t="str">
        <f aca="false">IF(AND($J828=1,$M828=0),MIN((AC828-E828)/Span_P,(AD828-F828)/Span_S,(AE828-G828)/Span_B),"")</f>
        <v/>
      </c>
      <c r="AG828" s="15" t="str">
        <f aca="false">IF(AND($J828=1,$M828=0),IF(AF828&gt;0.0000001,1,0),"")</f>
        <v/>
      </c>
      <c r="AH828" s="15" t="n">
        <f aca="false">IF($J828=1,IF($M828=1,AB828,AG828),"")</f>
        <v>1</v>
      </c>
      <c r="AI828" s="13" t="n">
        <f aca="false">IF($J828=1,(Ideal_P-E828)/Span_P,"")</f>
        <v>0.713200992753102</v>
      </c>
      <c r="AJ828" s="13" t="n">
        <f aca="false">IF($J828=1,(Ideal_S-F828)/Span_S,"")</f>
        <v>0.032258064516129</v>
      </c>
      <c r="AK828" s="13" t="n">
        <f aca="false">IF($J828=1,(Ideal_B-G828)/Span_B,"")</f>
        <v>0.553333333333333</v>
      </c>
      <c r="AL828" s="12" t="n">
        <f aca="false">IF($J828=1,MAX(ChA_1*AI828,ChA_2*AJ828,ChA_3*AK828)+Rho*(ChA_1*AI828+ChA_2*AJ828+ChA_3*AK828),"")</f>
        <v>0.713330871992162</v>
      </c>
      <c r="AM828" s="12" t="n">
        <f aca="false">IF($J828=1,MAX(ChB_1*AI828,ChB_2*AJ828,ChB_3*AK828)+Rho*(ChB_1*AI828+ChB_2*AJ828+ChB_3*AK828),"")</f>
        <v>1.42660318484454</v>
      </c>
      <c r="AN828" s="12" t="n">
        <f aca="false">IF($J828=1,MAX(Cx_1*(Ref_P-E828)/Span_P,Cx_2*(Ref_S-F828)/Span_S,Cx_3*(Ref_B-G828)/Span_B),"")</f>
        <v>1.80610258489889</v>
      </c>
    </row>
    <row r="829" customFormat="false" ht="15" hidden="false" customHeight="false" outlineLevel="0" collapsed="false">
      <c r="A829" s="2" t="n">
        <v>823</v>
      </c>
      <c r="B829" s="15" t="n">
        <f aca="false">INT(A829/151)</f>
        <v>5</v>
      </c>
      <c r="C829" s="15" t="n">
        <f aca="false">MOD(A829,151)</f>
        <v>68</v>
      </c>
      <c r="D829" s="15" t="n">
        <f aca="false">INDEX(Grid!$J$6:$P$156,C829+1,B829+1)</f>
        <v>1</v>
      </c>
      <c r="E829" s="16" t="n">
        <f aca="false">IF(D829=1,INDEX(Grid!$B$6:$H$156,C829+1,B829+1),"")</f>
        <v>125.003412244907</v>
      </c>
      <c r="F829" s="13" t="n">
        <f aca="false">Val_pt*(Ceiling_e-E_zero)*(1-(1-Half_gap)^B829)</f>
        <v>135.625</v>
      </c>
      <c r="G829" s="15" t="n">
        <f aca="false">C829</f>
        <v>68</v>
      </c>
      <c r="H829" s="15" t="n">
        <f aca="false">IF(D829=1,INDEX(Grid!$R$6:$X$156,C829+1,B829+1),"")</f>
        <v>59</v>
      </c>
      <c r="I829" s="2" t="str">
        <f aca="false">IF(D829=1,INDEX(Sch_label,H829+1),"")</f>
        <v>1–3, 5, 6</v>
      </c>
      <c r="J829" s="15" t="n">
        <f aca="false">IF(D829=1,INDEX(Grid!$Z$6:$AF$156,C829+1,B829+1),0)</f>
        <v>1</v>
      </c>
      <c r="K829" s="16" t="n">
        <f aca="false">IF(J829=1,E829,0)</f>
        <v>125.003412244907</v>
      </c>
      <c r="L829" s="17" t="n">
        <f aca="false">IF(D829=1,E829+W_board*F829,"")</f>
        <v>890.571179880343</v>
      </c>
      <c r="M829" s="24" t="n">
        <v>1</v>
      </c>
      <c r="N829" s="25" t="n">
        <v>0.1212867361929</v>
      </c>
      <c r="O829" s="25" t="n">
        <v>0.833039660615898</v>
      </c>
      <c r="P829" s="25" t="n">
        <v>0.045673603191201</v>
      </c>
      <c r="Z829" s="12" t="n">
        <f aca="false">IF(AND($J829=1,$M829=1),N829*E829/Span_P+O829*F829/Span_S+P829*G829/Span_B,"")</f>
        <v>1.72865330050022</v>
      </c>
      <c r="AA829" s="12" t="n">
        <f aca="false">IF(AND($J829=1,$M829=1),SUMPRODUCT(MAX($J$6:$J$1062*(N829*$K$6:$K$1062/Span_P+O829*$F$6:$F$1062/Span_S+P829*$G$6:$G$1062/Span_B)-(1-$J$6:$J$1062)*1000000000)),"")</f>
        <v>1.72865330050022</v>
      </c>
      <c r="AB829" s="15" t="n">
        <f aca="false">IF(AND($J829=1,$M829=1),IF(AA829-Z829&lt;=0.000000001,1,0),"")</f>
        <v>1</v>
      </c>
      <c r="AC829" s="13" t="str">
        <f aca="false">IF(AND($J829=1,$M829=0),IF(S829="",0,S829*INDEX(Grid!$B$6:$H$156,R829+1,Q829+1))+IF(V829="",0,V829*INDEX(Grid!$B$6:$H$156,U829+1,T829+1))+IF(Y829="",0,Y829*INDEX(Grid!$B$6:$H$156,X829+1,W829+1)),"")</f>
        <v/>
      </c>
      <c r="AD829" s="13" t="str">
        <f aca="false">IF(AND($J829=1,$M829=0),IF(S829="",0,S829*Val_pt*(Ceiling_e-E_zero)*(1-(1-Half_gap)^Q829))+IF(V829="",0,V829*Val_pt*(Ceiling_e-E_zero)*(1-(1-Half_gap)^T829))+IF(Y829="",0,Y829*Val_pt*(Ceiling_e-E_zero)*(1-(1-Half_gap)^W829)),"")</f>
        <v/>
      </c>
      <c r="AE829" s="13" t="str">
        <f aca="false">IF(AND($J829=1,$M829=0),IF(S829="",0,S829*R829)+IF(V829="",0,V829*U829)+IF(Y829="",0,Y829*X829),"")</f>
        <v/>
      </c>
      <c r="AF829" s="12" t="str">
        <f aca="false">IF(AND($J829=1,$M829=0),MIN((AC829-E829)/Span_P,(AD829-F829)/Span_S,(AE829-G829)/Span_B),"")</f>
        <v/>
      </c>
      <c r="AG829" s="15" t="str">
        <f aca="false">IF(AND($J829=1,$M829=0),IF(AF829&gt;0.0000001,1,0),"")</f>
        <v/>
      </c>
      <c r="AH829" s="15" t="n">
        <f aca="false">IF($J829=1,IF($M829=1,AB829,AG829),"")</f>
        <v>1</v>
      </c>
      <c r="AI829" s="13" t="n">
        <f aca="false">IF($J829=1,(Ideal_P-E829)/Span_P,"")</f>
        <v>0.715711495529408</v>
      </c>
      <c r="AJ829" s="13" t="n">
        <f aca="false">IF($J829=1,(Ideal_S-F829)/Span_S,"")</f>
        <v>0.032258064516129</v>
      </c>
      <c r="AK829" s="13" t="n">
        <f aca="false">IF($J829=1,(Ideal_B-G829)/Span_B,"")</f>
        <v>0.546666666666667</v>
      </c>
      <c r="AL829" s="12" t="n">
        <f aca="false">IF($J829=1,MAX(ChA_1*AI829,ChA_2*AJ829,ChA_3*AK829)+Rho*(ChA_1*AI829+ChA_2*AJ829+ChA_3*AK829),"")</f>
        <v>0.715840959152079</v>
      </c>
      <c r="AM829" s="12" t="n">
        <f aca="false">IF($J829=1,MAX(ChB_1*AI829,ChB_2*AJ829,ChB_3*AK829)+Rho*(ChB_1*AI829+ChB_2*AJ829+ChB_3*AK829),"")</f>
        <v>1.43162402583104</v>
      </c>
      <c r="AN829" s="12" t="n">
        <f aca="false">IF($J829=1,MAX(Cx_1*(Ref_P-E829)/Span_P,Cx_2*(Ref_S-F829)/Span_S,Cx_3*(Ref_B-G829)/Span_B),"")</f>
        <v>1.81237224658232</v>
      </c>
    </row>
    <row r="830" customFormat="false" ht="15" hidden="false" customHeight="false" outlineLevel="0" collapsed="false">
      <c r="A830" s="2" t="n">
        <v>824</v>
      </c>
      <c r="B830" s="15" t="n">
        <f aca="false">INT(A830/151)</f>
        <v>5</v>
      </c>
      <c r="C830" s="15" t="n">
        <f aca="false">MOD(A830,151)</f>
        <v>69</v>
      </c>
      <c r="D830" s="15" t="n">
        <f aca="false">INDEX(Grid!$J$6:$P$156,C830+1,B830+1)</f>
        <v>1</v>
      </c>
      <c r="E830" s="16" t="n">
        <f aca="false">IF(D830=1,INDEX(Grid!$B$6:$H$156,C830+1,B830+1),"")</f>
        <v>124.094321335816</v>
      </c>
      <c r="F830" s="13" t="n">
        <f aca="false">Val_pt*(Ceiling_e-E_zero)*(1-(1-Half_gap)^B830)</f>
        <v>135.625</v>
      </c>
      <c r="G830" s="15" t="n">
        <f aca="false">C830</f>
        <v>69</v>
      </c>
      <c r="H830" s="15" t="n">
        <f aca="false">IF(D830=1,INDEX(Grid!$R$6:$X$156,C830+1,B830+1),"")</f>
        <v>59</v>
      </c>
      <c r="I830" s="2" t="str">
        <f aca="false">IF(D830=1,INDEX(Sch_label,H830+1),"")</f>
        <v>1–3, 5, 6</v>
      </c>
      <c r="J830" s="15" t="n">
        <f aca="false">IF(D830=1,INDEX(Grid!$Z$6:$AF$156,C830+1,B830+1),0)</f>
        <v>1</v>
      </c>
      <c r="K830" s="16" t="n">
        <f aca="false">IF(J830=1,E830,0)</f>
        <v>124.094321335816</v>
      </c>
      <c r="L830" s="17" t="n">
        <f aca="false">IF(D830=1,E830+W_board*F830,"")</f>
        <v>889.662088971252</v>
      </c>
      <c r="M830" s="24" t="n">
        <v>1</v>
      </c>
      <c r="N830" s="25" t="n">
        <v>0.121286736192901</v>
      </c>
      <c r="O830" s="25" t="n">
        <v>0.833039660615898</v>
      </c>
      <c r="P830" s="25" t="n">
        <v>0.0456736031912014</v>
      </c>
      <c r="Z830" s="12" t="n">
        <f aca="false">IF(AND($J830=1,$M830=1),N830*E830/Span_P+O830*F830/Span_S+P830*G830/Span_B,"")</f>
        <v>1.72865330050022</v>
      </c>
      <c r="AA830" s="12" t="n">
        <f aca="false">IF(AND($J830=1,$M830=1),SUMPRODUCT(MAX($J$6:$J$1062*(N830*$K$6:$K$1062/Span_P+O830*$F$6:$F$1062/Span_S+P830*$G$6:$G$1062/Span_B)-(1-$J$6:$J$1062)*1000000000)),"")</f>
        <v>1.72865330050022</v>
      </c>
      <c r="AB830" s="15" t="n">
        <f aca="false">IF(AND($J830=1,$M830=1),IF(AA830-Z830&lt;=0.000000001,1,0),"")</f>
        <v>1</v>
      </c>
      <c r="AC830" s="13" t="str">
        <f aca="false">IF(AND($J830=1,$M830=0),IF(S830="",0,S830*INDEX(Grid!$B$6:$H$156,R830+1,Q830+1))+IF(V830="",0,V830*INDEX(Grid!$B$6:$H$156,U830+1,T830+1))+IF(Y830="",0,Y830*INDEX(Grid!$B$6:$H$156,X830+1,W830+1)),"")</f>
        <v/>
      </c>
      <c r="AD830" s="13" t="str">
        <f aca="false">IF(AND($J830=1,$M830=0),IF(S830="",0,S830*Val_pt*(Ceiling_e-E_zero)*(1-(1-Half_gap)^Q830))+IF(V830="",0,V830*Val_pt*(Ceiling_e-E_zero)*(1-(1-Half_gap)^T830))+IF(Y830="",0,Y830*Val_pt*(Ceiling_e-E_zero)*(1-(1-Half_gap)^W830)),"")</f>
        <v/>
      </c>
      <c r="AE830" s="13" t="str">
        <f aca="false">IF(AND($J830=1,$M830=0),IF(S830="",0,S830*R830)+IF(V830="",0,V830*U830)+IF(Y830="",0,Y830*X830),"")</f>
        <v/>
      </c>
      <c r="AF830" s="12" t="str">
        <f aca="false">IF(AND($J830=1,$M830=0),MIN((AC830-E830)/Span_P,(AD830-F830)/Span_S,(AE830-G830)/Span_B),"")</f>
        <v/>
      </c>
      <c r="AG830" s="15" t="str">
        <f aca="false">IF(AND($J830=1,$M830=0),IF(AF830&gt;0.0000001,1,0),"")</f>
        <v/>
      </c>
      <c r="AH830" s="15" t="n">
        <f aca="false">IF($J830=1,IF($M830=1,AB830,AG830),"")</f>
        <v>1</v>
      </c>
      <c r="AI830" s="13" t="n">
        <f aca="false">IF($J830=1,(Ideal_P-E830)/Span_P,"")</f>
        <v>0.718221998305713</v>
      </c>
      <c r="AJ830" s="13" t="n">
        <f aca="false">IF($J830=1,(Ideal_S-F830)/Span_S,"")</f>
        <v>0.032258064516129</v>
      </c>
      <c r="AK830" s="13" t="n">
        <f aca="false">IF($J830=1,(Ideal_B-G830)/Span_B,"")</f>
        <v>0.54</v>
      </c>
      <c r="AL830" s="12" t="n">
        <f aca="false">IF($J830=1,MAX(ChA_1*AI830,ChA_2*AJ830,ChA_3*AK830)+Rho*(ChA_1*AI830+ChA_2*AJ830+ChA_3*AK830),"")</f>
        <v>0.718351046311996</v>
      </c>
      <c r="AM830" s="12" t="n">
        <f aca="false">IF($J830=1,MAX(ChB_1*AI830,ChB_2*AJ830,ChB_3*AK830)+Rho*(ChB_1*AI830+ChB_2*AJ830+ChB_3*AK830),"")</f>
        <v>1.43664486681754</v>
      </c>
      <c r="AN830" s="12" t="n">
        <f aca="false">IF($J830=1,MAX(Cx_1*(Ref_P-E830)/Span_P,Cx_2*(Ref_S-F830)/Span_S,Cx_3*(Ref_B-G830)/Span_B),"")</f>
        <v>1.81864190826575</v>
      </c>
    </row>
    <row r="831" customFormat="false" ht="15" hidden="false" customHeight="false" outlineLevel="0" collapsed="false">
      <c r="A831" s="2" t="n">
        <v>825</v>
      </c>
      <c r="B831" s="15" t="n">
        <f aca="false">INT(A831/151)</f>
        <v>5</v>
      </c>
      <c r="C831" s="15" t="n">
        <f aca="false">MOD(A831,151)</f>
        <v>70</v>
      </c>
      <c r="D831" s="15" t="n">
        <f aca="false">INDEX(Grid!$J$6:$P$156,C831+1,B831+1)</f>
        <v>1</v>
      </c>
      <c r="E831" s="16" t="n">
        <f aca="false">IF(D831=1,INDEX(Grid!$B$6:$H$156,C831+1,B831+1),"")</f>
        <v>123.185230426725</v>
      </c>
      <c r="F831" s="13" t="n">
        <f aca="false">Val_pt*(Ceiling_e-E_zero)*(1-(1-Half_gap)^B831)</f>
        <v>135.625</v>
      </c>
      <c r="G831" s="15" t="n">
        <f aca="false">C831</f>
        <v>70</v>
      </c>
      <c r="H831" s="15" t="n">
        <f aca="false">IF(D831=1,INDEX(Grid!$R$6:$X$156,C831+1,B831+1),"")</f>
        <v>59</v>
      </c>
      <c r="I831" s="2" t="str">
        <f aca="false">IF(D831=1,INDEX(Sch_label,H831+1),"")</f>
        <v>1–3, 5, 6</v>
      </c>
      <c r="J831" s="15" t="n">
        <f aca="false">IF(D831=1,INDEX(Grid!$Z$6:$AF$156,C831+1,B831+1),0)</f>
        <v>1</v>
      </c>
      <c r="K831" s="16" t="n">
        <f aca="false">IF(J831=1,E831,0)</f>
        <v>123.185230426725</v>
      </c>
      <c r="L831" s="17" t="n">
        <f aca="false">IF(D831=1,E831+W_board*F831,"")</f>
        <v>888.752998062161</v>
      </c>
      <c r="M831" s="24" t="n">
        <v>1</v>
      </c>
      <c r="N831" s="25" t="n">
        <v>0.121286736192901</v>
      </c>
      <c r="O831" s="25" t="n">
        <v>0.833039660615898</v>
      </c>
      <c r="P831" s="25" t="n">
        <v>0.0456736031912014</v>
      </c>
      <c r="Z831" s="12" t="n">
        <f aca="false">IF(AND($J831=1,$M831=1),N831*E831/Span_P+O831*F831/Span_S+P831*G831/Span_B,"")</f>
        <v>1.72865330050022</v>
      </c>
      <c r="AA831" s="12" t="n">
        <f aca="false">IF(AND($J831=1,$M831=1),SUMPRODUCT(MAX($J$6:$J$1062*(N831*$K$6:$K$1062/Span_P+O831*$F$6:$F$1062/Span_S+P831*$G$6:$G$1062/Span_B)-(1-$J$6:$J$1062)*1000000000)),"")</f>
        <v>1.72865330050022</v>
      </c>
      <c r="AB831" s="15" t="n">
        <f aca="false">IF(AND($J831=1,$M831=1),IF(AA831-Z831&lt;=0.000000001,1,0),"")</f>
        <v>1</v>
      </c>
      <c r="AC831" s="13" t="str">
        <f aca="false">IF(AND($J831=1,$M831=0),IF(S831="",0,S831*INDEX(Grid!$B$6:$H$156,R831+1,Q831+1))+IF(V831="",0,V831*INDEX(Grid!$B$6:$H$156,U831+1,T831+1))+IF(Y831="",0,Y831*INDEX(Grid!$B$6:$H$156,X831+1,W831+1)),"")</f>
        <v/>
      </c>
      <c r="AD831" s="13" t="str">
        <f aca="false">IF(AND($J831=1,$M831=0),IF(S831="",0,S831*Val_pt*(Ceiling_e-E_zero)*(1-(1-Half_gap)^Q831))+IF(V831="",0,V831*Val_pt*(Ceiling_e-E_zero)*(1-(1-Half_gap)^T831))+IF(Y831="",0,Y831*Val_pt*(Ceiling_e-E_zero)*(1-(1-Half_gap)^W831)),"")</f>
        <v/>
      </c>
      <c r="AE831" s="13" t="str">
        <f aca="false">IF(AND($J831=1,$M831=0),IF(S831="",0,S831*R831)+IF(V831="",0,V831*U831)+IF(Y831="",0,Y831*X831),"")</f>
        <v/>
      </c>
      <c r="AF831" s="12" t="str">
        <f aca="false">IF(AND($J831=1,$M831=0),MIN((AC831-E831)/Span_P,(AD831-F831)/Span_S,(AE831-G831)/Span_B),"")</f>
        <v/>
      </c>
      <c r="AG831" s="15" t="str">
        <f aca="false">IF(AND($J831=1,$M831=0),IF(AF831&gt;0.0000001,1,0),"")</f>
        <v/>
      </c>
      <c r="AH831" s="15" t="n">
        <f aca="false">IF($J831=1,IF($M831=1,AB831,AG831),"")</f>
        <v>1</v>
      </c>
      <c r="AI831" s="13" t="n">
        <f aca="false">IF($J831=1,(Ideal_P-E831)/Span_P,"")</f>
        <v>0.720732501082019</v>
      </c>
      <c r="AJ831" s="13" t="n">
        <f aca="false">IF($J831=1,(Ideal_S-F831)/Span_S,"")</f>
        <v>0.032258064516129</v>
      </c>
      <c r="AK831" s="13" t="n">
        <f aca="false">IF($J831=1,(Ideal_B-G831)/Span_B,"")</f>
        <v>0.533333333333333</v>
      </c>
      <c r="AL831" s="12" t="n">
        <f aca="false">IF($J831=1,MAX(ChA_1*AI831,ChA_2*AJ831,ChA_3*AK831)+Rho*(ChA_1*AI831+ChA_2*AJ831+ChA_3*AK831),"")</f>
        <v>0.720861133471912</v>
      </c>
      <c r="AM831" s="12" t="n">
        <f aca="false">IF($J831=1,MAX(ChB_1*AI831,ChB_2*AJ831,ChB_3*AK831)+Rho*(ChB_1*AI831+ChB_2*AJ831+ChB_3*AK831),"")</f>
        <v>1.44166570780404</v>
      </c>
      <c r="AN831" s="12" t="n">
        <f aca="false">IF($J831=1,MAX(Cx_1*(Ref_P-E831)/Span_P,Cx_2*(Ref_S-F831)/Span_S,Cx_3*(Ref_B-G831)/Span_B),"")</f>
        <v>1.82491156994918</v>
      </c>
    </row>
    <row r="832" customFormat="false" ht="15" hidden="false" customHeight="false" outlineLevel="0" collapsed="false">
      <c r="A832" s="2" t="n">
        <v>826</v>
      </c>
      <c r="B832" s="15" t="n">
        <f aca="false">INT(A832/151)</f>
        <v>5</v>
      </c>
      <c r="C832" s="15" t="n">
        <f aca="false">MOD(A832,151)</f>
        <v>71</v>
      </c>
      <c r="D832" s="15" t="n">
        <f aca="false">INDEX(Grid!$J$6:$P$156,C832+1,B832+1)</f>
        <v>1</v>
      </c>
      <c r="E832" s="16" t="n">
        <f aca="false">IF(D832=1,INDEX(Grid!$B$6:$H$156,C832+1,B832+1),"")</f>
        <v>122.276139517634</v>
      </c>
      <c r="F832" s="13" t="n">
        <f aca="false">Val_pt*(Ceiling_e-E_zero)*(1-(1-Half_gap)^B832)</f>
        <v>135.625</v>
      </c>
      <c r="G832" s="15" t="n">
        <f aca="false">C832</f>
        <v>71</v>
      </c>
      <c r="H832" s="15" t="n">
        <f aca="false">IF(D832=1,INDEX(Grid!$R$6:$X$156,C832+1,B832+1),"")</f>
        <v>59</v>
      </c>
      <c r="I832" s="2" t="str">
        <f aca="false">IF(D832=1,INDEX(Sch_label,H832+1),"")</f>
        <v>1–3, 5, 6</v>
      </c>
      <c r="J832" s="15" t="n">
        <f aca="false">IF(D832=1,INDEX(Grid!$Z$6:$AF$156,C832+1,B832+1),0)</f>
        <v>1</v>
      </c>
      <c r="K832" s="16" t="n">
        <f aca="false">IF(J832=1,E832,0)</f>
        <v>122.276139517634</v>
      </c>
      <c r="L832" s="17" t="n">
        <f aca="false">IF(D832=1,E832+W_board*F832,"")</f>
        <v>887.84390715307</v>
      </c>
      <c r="M832" s="24" t="n">
        <v>1</v>
      </c>
      <c r="N832" s="25" t="n">
        <v>0.121286736192901</v>
      </c>
      <c r="O832" s="25" t="n">
        <v>0.833039660615897</v>
      </c>
      <c r="P832" s="25" t="n">
        <v>0.0456736031912025</v>
      </c>
      <c r="Z832" s="12" t="n">
        <f aca="false">IF(AND($J832=1,$M832=1),N832*E832/Span_P+O832*F832/Span_S+P832*G832/Span_B,"")</f>
        <v>1.72865330050022</v>
      </c>
      <c r="AA832" s="12" t="n">
        <f aca="false">IF(AND($J832=1,$M832=1),SUMPRODUCT(MAX($J$6:$J$1062*(N832*$K$6:$K$1062/Span_P+O832*$F$6:$F$1062/Span_S+P832*$G$6:$G$1062/Span_B)-(1-$J$6:$J$1062)*1000000000)),"")</f>
        <v>1.72865330050022</v>
      </c>
      <c r="AB832" s="15" t="n">
        <f aca="false">IF(AND($J832=1,$M832=1),IF(AA832-Z832&lt;=0.000000001,1,0),"")</f>
        <v>1</v>
      </c>
      <c r="AC832" s="13" t="str">
        <f aca="false">IF(AND($J832=1,$M832=0),IF(S832="",0,S832*INDEX(Grid!$B$6:$H$156,R832+1,Q832+1))+IF(V832="",0,V832*INDEX(Grid!$B$6:$H$156,U832+1,T832+1))+IF(Y832="",0,Y832*INDEX(Grid!$B$6:$H$156,X832+1,W832+1)),"")</f>
        <v/>
      </c>
      <c r="AD832" s="13" t="str">
        <f aca="false">IF(AND($J832=1,$M832=0),IF(S832="",0,S832*Val_pt*(Ceiling_e-E_zero)*(1-(1-Half_gap)^Q832))+IF(V832="",0,V832*Val_pt*(Ceiling_e-E_zero)*(1-(1-Half_gap)^T832))+IF(Y832="",0,Y832*Val_pt*(Ceiling_e-E_zero)*(1-(1-Half_gap)^W832)),"")</f>
        <v/>
      </c>
      <c r="AE832" s="13" t="str">
        <f aca="false">IF(AND($J832=1,$M832=0),IF(S832="",0,S832*R832)+IF(V832="",0,V832*U832)+IF(Y832="",0,Y832*X832),"")</f>
        <v/>
      </c>
      <c r="AF832" s="12" t="str">
        <f aca="false">IF(AND($J832=1,$M832=0),MIN((AC832-E832)/Span_P,(AD832-F832)/Span_S,(AE832-G832)/Span_B),"")</f>
        <v/>
      </c>
      <c r="AG832" s="15" t="str">
        <f aca="false">IF(AND($J832=1,$M832=0),IF(AF832&gt;0.0000001,1,0),"")</f>
        <v/>
      </c>
      <c r="AH832" s="15" t="n">
        <f aca="false">IF($J832=1,IF($M832=1,AB832,AG832),"")</f>
        <v>1</v>
      </c>
      <c r="AI832" s="13" t="n">
        <f aca="false">IF($J832=1,(Ideal_P-E832)/Span_P,"")</f>
        <v>0.723243003858325</v>
      </c>
      <c r="AJ832" s="13" t="n">
        <f aca="false">IF($J832=1,(Ideal_S-F832)/Span_S,"")</f>
        <v>0.032258064516129</v>
      </c>
      <c r="AK832" s="13" t="n">
        <f aca="false">IF($J832=1,(Ideal_B-G832)/Span_B,"")</f>
        <v>0.526666666666667</v>
      </c>
      <c r="AL832" s="12" t="n">
        <f aca="false">IF($J832=1,MAX(ChA_1*AI832,ChA_2*AJ832,ChA_3*AK832)+Rho*(ChA_1*AI832+ChA_2*AJ832+ChA_3*AK832),"")</f>
        <v>0.723371220631829</v>
      </c>
      <c r="AM832" s="12" t="n">
        <f aca="false">IF($J832=1,MAX(ChB_1*AI832,ChB_2*AJ832,ChB_3*AK832)+Rho*(ChB_1*AI832+ChB_2*AJ832+ChB_3*AK832),"")</f>
        <v>1.44668654879054</v>
      </c>
      <c r="AN832" s="12" t="n">
        <f aca="false">IF($J832=1,MAX(Cx_1*(Ref_P-E832)/Span_P,Cx_2*(Ref_S-F832)/Span_S,Cx_3*(Ref_B-G832)/Span_B),"")</f>
        <v>1.83118123163261</v>
      </c>
    </row>
    <row r="833" customFormat="false" ht="15" hidden="false" customHeight="false" outlineLevel="0" collapsed="false">
      <c r="A833" s="2" t="n">
        <v>827</v>
      </c>
      <c r="B833" s="15" t="n">
        <f aca="false">INT(A833/151)</f>
        <v>5</v>
      </c>
      <c r="C833" s="15" t="n">
        <f aca="false">MOD(A833,151)</f>
        <v>72</v>
      </c>
      <c r="D833" s="15" t="n">
        <f aca="false">INDEX(Grid!$J$6:$P$156,C833+1,B833+1)</f>
        <v>1</v>
      </c>
      <c r="E833" s="16" t="n">
        <f aca="false">IF(D833=1,INDEX(Grid!$B$6:$H$156,C833+1,B833+1),"")</f>
        <v>121.367048608544</v>
      </c>
      <c r="F833" s="13" t="n">
        <f aca="false">Val_pt*(Ceiling_e-E_zero)*(1-(1-Half_gap)^B833)</f>
        <v>135.625</v>
      </c>
      <c r="G833" s="15" t="n">
        <f aca="false">C833</f>
        <v>72</v>
      </c>
      <c r="H833" s="15" t="n">
        <f aca="false">IF(D833=1,INDEX(Grid!$R$6:$X$156,C833+1,B833+1),"")</f>
        <v>59</v>
      </c>
      <c r="I833" s="2" t="str">
        <f aca="false">IF(D833=1,INDEX(Sch_label,H833+1),"")</f>
        <v>1–3, 5, 6</v>
      </c>
      <c r="J833" s="15" t="n">
        <f aca="false">IF(D833=1,INDEX(Grid!$Z$6:$AF$156,C833+1,B833+1),0)</f>
        <v>1</v>
      </c>
      <c r="K833" s="16" t="n">
        <f aca="false">IF(J833=1,E833,0)</f>
        <v>121.367048608544</v>
      </c>
      <c r="L833" s="17" t="n">
        <f aca="false">IF(D833=1,E833+W_board*F833,"")</f>
        <v>886.934816243979</v>
      </c>
      <c r="M833" s="24" t="n">
        <v>1</v>
      </c>
      <c r="N833" s="25" t="n">
        <v>0.121286736192901</v>
      </c>
      <c r="O833" s="25" t="n">
        <v>0.833039660615898</v>
      </c>
      <c r="P833" s="25" t="n">
        <v>0.045673603191201</v>
      </c>
      <c r="Z833" s="12" t="n">
        <f aca="false">IF(AND($J833=1,$M833=1),N833*E833/Span_P+O833*F833/Span_S+P833*G833/Span_B,"")</f>
        <v>1.72865330050022</v>
      </c>
      <c r="AA833" s="12" t="n">
        <f aca="false">IF(AND($J833=1,$M833=1),SUMPRODUCT(MAX($J$6:$J$1062*(N833*$K$6:$K$1062/Span_P+O833*$F$6:$F$1062/Span_S+P833*$G$6:$G$1062/Span_B)-(1-$J$6:$J$1062)*1000000000)),"")</f>
        <v>1.72865330050022</v>
      </c>
      <c r="AB833" s="15" t="n">
        <f aca="false">IF(AND($J833=1,$M833=1),IF(AA833-Z833&lt;=0.000000001,1,0),"")</f>
        <v>1</v>
      </c>
      <c r="AC833" s="13" t="str">
        <f aca="false">IF(AND($J833=1,$M833=0),IF(S833="",0,S833*INDEX(Grid!$B$6:$H$156,R833+1,Q833+1))+IF(V833="",0,V833*INDEX(Grid!$B$6:$H$156,U833+1,T833+1))+IF(Y833="",0,Y833*INDEX(Grid!$B$6:$H$156,X833+1,W833+1)),"")</f>
        <v/>
      </c>
      <c r="AD833" s="13" t="str">
        <f aca="false">IF(AND($J833=1,$M833=0),IF(S833="",0,S833*Val_pt*(Ceiling_e-E_zero)*(1-(1-Half_gap)^Q833))+IF(V833="",0,V833*Val_pt*(Ceiling_e-E_zero)*(1-(1-Half_gap)^T833))+IF(Y833="",0,Y833*Val_pt*(Ceiling_e-E_zero)*(1-(1-Half_gap)^W833)),"")</f>
        <v/>
      </c>
      <c r="AE833" s="13" t="str">
        <f aca="false">IF(AND($J833=1,$M833=0),IF(S833="",0,S833*R833)+IF(V833="",0,V833*U833)+IF(Y833="",0,Y833*X833),"")</f>
        <v/>
      </c>
      <c r="AF833" s="12" t="str">
        <f aca="false">IF(AND($J833=1,$M833=0),MIN((AC833-E833)/Span_P,(AD833-F833)/Span_S,(AE833-G833)/Span_B),"")</f>
        <v/>
      </c>
      <c r="AG833" s="15" t="str">
        <f aca="false">IF(AND($J833=1,$M833=0),IF(AF833&gt;0.0000001,1,0),"")</f>
        <v/>
      </c>
      <c r="AH833" s="15" t="n">
        <f aca="false">IF($J833=1,IF($M833=1,AB833,AG833),"")</f>
        <v>1</v>
      </c>
      <c r="AI833" s="13" t="n">
        <f aca="false">IF($J833=1,(Ideal_P-E833)/Span_P,"")</f>
        <v>0.725753506634631</v>
      </c>
      <c r="AJ833" s="13" t="n">
        <f aca="false">IF($J833=1,(Ideal_S-F833)/Span_S,"")</f>
        <v>0.032258064516129</v>
      </c>
      <c r="AK833" s="13" t="n">
        <f aca="false">IF($J833=1,(Ideal_B-G833)/Span_B,"")</f>
        <v>0.52</v>
      </c>
      <c r="AL833" s="12" t="n">
        <f aca="false">IF($J833=1,MAX(ChA_1*AI833,ChA_2*AJ833,ChA_3*AK833)+Rho*(ChA_1*AI833+ChA_2*AJ833+ChA_3*AK833),"")</f>
        <v>0.725881307791746</v>
      </c>
      <c r="AM833" s="12" t="n">
        <f aca="false">IF($J833=1,MAX(ChB_1*AI833,ChB_2*AJ833,ChB_3*AK833)+Rho*(ChB_1*AI833+ChB_2*AJ833+ChB_3*AK833),"")</f>
        <v>1.45170738977704</v>
      </c>
      <c r="AN833" s="12" t="n">
        <f aca="false">IF($J833=1,MAX(Cx_1*(Ref_P-E833)/Span_P,Cx_2*(Ref_S-F833)/Span_S,Cx_3*(Ref_B-G833)/Span_B),"")</f>
        <v>1.83745089331604</v>
      </c>
    </row>
    <row r="834" customFormat="false" ht="15" hidden="false" customHeight="false" outlineLevel="0" collapsed="false">
      <c r="A834" s="2" t="n">
        <v>828</v>
      </c>
      <c r="B834" s="15" t="n">
        <f aca="false">INT(A834/151)</f>
        <v>5</v>
      </c>
      <c r="C834" s="15" t="n">
        <f aca="false">MOD(A834,151)</f>
        <v>73</v>
      </c>
      <c r="D834" s="15" t="n">
        <f aca="false">INDEX(Grid!$J$6:$P$156,C834+1,B834+1)</f>
        <v>1</v>
      </c>
      <c r="E834" s="16" t="n">
        <f aca="false">IF(D834=1,INDEX(Grid!$B$6:$H$156,C834+1,B834+1),"")</f>
        <v>120.457957699453</v>
      </c>
      <c r="F834" s="13" t="n">
        <f aca="false">Val_pt*(Ceiling_e-E_zero)*(1-(1-Half_gap)^B834)</f>
        <v>135.625</v>
      </c>
      <c r="G834" s="15" t="n">
        <f aca="false">C834</f>
        <v>73</v>
      </c>
      <c r="H834" s="15" t="n">
        <f aca="false">IF(D834=1,INDEX(Grid!$R$6:$X$156,C834+1,B834+1),"")</f>
        <v>59</v>
      </c>
      <c r="I834" s="2" t="str">
        <f aca="false">IF(D834=1,INDEX(Sch_label,H834+1),"")</f>
        <v>1–3, 5, 6</v>
      </c>
      <c r="J834" s="15" t="n">
        <f aca="false">IF(D834=1,INDEX(Grid!$Z$6:$AF$156,C834+1,B834+1),0)</f>
        <v>1</v>
      </c>
      <c r="K834" s="16" t="n">
        <f aca="false">IF(J834=1,E834,0)</f>
        <v>120.457957699453</v>
      </c>
      <c r="L834" s="17" t="n">
        <f aca="false">IF(D834=1,E834+W_board*F834,"")</f>
        <v>886.025725334888</v>
      </c>
      <c r="M834" s="24" t="n">
        <v>1</v>
      </c>
      <c r="N834" s="25" t="n">
        <v>0.121286736192901</v>
      </c>
      <c r="O834" s="25" t="n">
        <v>0.833039660615898</v>
      </c>
      <c r="P834" s="25" t="n">
        <v>0.0456736031912014</v>
      </c>
      <c r="Z834" s="12" t="n">
        <f aca="false">IF(AND($J834=1,$M834=1),N834*E834/Span_P+O834*F834/Span_S+P834*G834/Span_B,"")</f>
        <v>1.72865330050022</v>
      </c>
      <c r="AA834" s="12" t="n">
        <f aca="false">IF(AND($J834=1,$M834=1),SUMPRODUCT(MAX($J$6:$J$1062*(N834*$K$6:$K$1062/Span_P+O834*$F$6:$F$1062/Span_S+P834*$G$6:$G$1062/Span_B)-(1-$J$6:$J$1062)*1000000000)),"")</f>
        <v>1.72865330050022</v>
      </c>
      <c r="AB834" s="15" t="n">
        <f aca="false">IF(AND($J834=1,$M834=1),IF(AA834-Z834&lt;=0.000000001,1,0),"")</f>
        <v>1</v>
      </c>
      <c r="AC834" s="13" t="str">
        <f aca="false">IF(AND($J834=1,$M834=0),IF(S834="",0,S834*INDEX(Grid!$B$6:$H$156,R834+1,Q834+1))+IF(V834="",0,V834*INDEX(Grid!$B$6:$H$156,U834+1,T834+1))+IF(Y834="",0,Y834*INDEX(Grid!$B$6:$H$156,X834+1,W834+1)),"")</f>
        <v/>
      </c>
      <c r="AD834" s="13" t="str">
        <f aca="false">IF(AND($J834=1,$M834=0),IF(S834="",0,S834*Val_pt*(Ceiling_e-E_zero)*(1-(1-Half_gap)^Q834))+IF(V834="",0,V834*Val_pt*(Ceiling_e-E_zero)*(1-(1-Half_gap)^T834))+IF(Y834="",0,Y834*Val_pt*(Ceiling_e-E_zero)*(1-(1-Half_gap)^W834)),"")</f>
        <v/>
      </c>
      <c r="AE834" s="13" t="str">
        <f aca="false">IF(AND($J834=1,$M834=0),IF(S834="",0,S834*R834)+IF(V834="",0,V834*U834)+IF(Y834="",0,Y834*X834),"")</f>
        <v/>
      </c>
      <c r="AF834" s="12" t="str">
        <f aca="false">IF(AND($J834=1,$M834=0),MIN((AC834-E834)/Span_P,(AD834-F834)/Span_S,(AE834-G834)/Span_B),"")</f>
        <v/>
      </c>
      <c r="AG834" s="15" t="str">
        <f aca="false">IF(AND($J834=1,$M834=0),IF(AF834&gt;0.0000001,1,0),"")</f>
        <v/>
      </c>
      <c r="AH834" s="15" t="n">
        <f aca="false">IF($J834=1,IF($M834=1,AB834,AG834),"")</f>
        <v>1</v>
      </c>
      <c r="AI834" s="13" t="n">
        <f aca="false">IF($J834=1,(Ideal_P-E834)/Span_P,"")</f>
        <v>0.728264009410937</v>
      </c>
      <c r="AJ834" s="13" t="n">
        <f aca="false">IF($J834=1,(Ideal_S-F834)/Span_S,"")</f>
        <v>0.032258064516129</v>
      </c>
      <c r="AK834" s="13" t="n">
        <f aca="false">IF($J834=1,(Ideal_B-G834)/Span_B,"")</f>
        <v>0.513333333333333</v>
      </c>
      <c r="AL834" s="12" t="n">
        <f aca="false">IF($J834=1,MAX(ChA_1*AI834,ChA_2*AJ834,ChA_3*AK834)+Rho*(ChA_1*AI834+ChA_2*AJ834+ChA_3*AK834),"")</f>
        <v>0.728391394951663</v>
      </c>
      <c r="AM834" s="12" t="n">
        <f aca="false">IF($J834=1,MAX(ChB_1*AI834,ChB_2*AJ834,ChB_3*AK834)+Rho*(ChB_1*AI834+ChB_2*AJ834+ChB_3*AK834),"")</f>
        <v>1.45672823076354</v>
      </c>
      <c r="AN834" s="12" t="n">
        <f aca="false">IF($J834=1,MAX(Cx_1*(Ref_P-E834)/Span_P,Cx_2*(Ref_S-F834)/Span_S,Cx_3*(Ref_B-G834)/Span_B),"")</f>
        <v>1.84372055499946</v>
      </c>
    </row>
    <row r="835" customFormat="false" ht="15" hidden="false" customHeight="false" outlineLevel="0" collapsed="false">
      <c r="A835" s="2" t="n">
        <v>829</v>
      </c>
      <c r="B835" s="15" t="n">
        <f aca="false">INT(A835/151)</f>
        <v>5</v>
      </c>
      <c r="C835" s="15" t="n">
        <f aca="false">MOD(A835,151)</f>
        <v>74</v>
      </c>
      <c r="D835" s="15" t="n">
        <f aca="false">INDEX(Grid!$J$6:$P$156,C835+1,B835+1)</f>
        <v>1</v>
      </c>
      <c r="E835" s="16" t="n">
        <f aca="false">IF(D835=1,INDEX(Grid!$B$6:$H$156,C835+1,B835+1),"")</f>
        <v>119.548866790362</v>
      </c>
      <c r="F835" s="13" t="n">
        <f aca="false">Val_pt*(Ceiling_e-E_zero)*(1-(1-Half_gap)^B835)</f>
        <v>135.625</v>
      </c>
      <c r="G835" s="15" t="n">
        <f aca="false">C835</f>
        <v>74</v>
      </c>
      <c r="H835" s="15" t="n">
        <f aca="false">IF(D835=1,INDEX(Grid!$R$6:$X$156,C835+1,B835+1),"")</f>
        <v>59</v>
      </c>
      <c r="I835" s="2" t="str">
        <f aca="false">IF(D835=1,INDEX(Sch_label,H835+1),"")</f>
        <v>1–3, 5, 6</v>
      </c>
      <c r="J835" s="15" t="n">
        <f aca="false">IF(D835=1,INDEX(Grid!$Z$6:$AF$156,C835+1,B835+1),0)</f>
        <v>1</v>
      </c>
      <c r="K835" s="16" t="n">
        <f aca="false">IF(J835=1,E835,0)</f>
        <v>119.548866790362</v>
      </c>
      <c r="L835" s="17" t="n">
        <f aca="false">IF(D835=1,E835+W_board*F835,"")</f>
        <v>885.116634425797</v>
      </c>
      <c r="M835" s="24" t="n">
        <v>1</v>
      </c>
      <c r="N835" s="25" t="n">
        <v>0.121286736192901</v>
      </c>
      <c r="O835" s="25" t="n">
        <v>0.833039660615898</v>
      </c>
      <c r="P835" s="25" t="n">
        <v>0.0456736031912014</v>
      </c>
      <c r="Z835" s="12" t="n">
        <f aca="false">IF(AND($J835=1,$M835=1),N835*E835/Span_P+O835*F835/Span_S+P835*G835/Span_B,"")</f>
        <v>1.72865330050022</v>
      </c>
      <c r="AA835" s="12" t="n">
        <f aca="false">IF(AND($J835=1,$M835=1),SUMPRODUCT(MAX($J$6:$J$1062*(N835*$K$6:$K$1062/Span_P+O835*$F$6:$F$1062/Span_S+P835*$G$6:$G$1062/Span_B)-(1-$J$6:$J$1062)*1000000000)),"")</f>
        <v>1.72865330050022</v>
      </c>
      <c r="AB835" s="15" t="n">
        <f aca="false">IF(AND($J835=1,$M835=1),IF(AA835-Z835&lt;=0.000000001,1,0),"")</f>
        <v>1</v>
      </c>
      <c r="AC835" s="13" t="str">
        <f aca="false">IF(AND($J835=1,$M835=0),IF(S835="",0,S835*INDEX(Grid!$B$6:$H$156,R835+1,Q835+1))+IF(V835="",0,V835*INDEX(Grid!$B$6:$H$156,U835+1,T835+1))+IF(Y835="",0,Y835*INDEX(Grid!$B$6:$H$156,X835+1,W835+1)),"")</f>
        <v/>
      </c>
      <c r="AD835" s="13" t="str">
        <f aca="false">IF(AND($J835=1,$M835=0),IF(S835="",0,S835*Val_pt*(Ceiling_e-E_zero)*(1-(1-Half_gap)^Q835))+IF(V835="",0,V835*Val_pt*(Ceiling_e-E_zero)*(1-(1-Half_gap)^T835))+IF(Y835="",0,Y835*Val_pt*(Ceiling_e-E_zero)*(1-(1-Half_gap)^W835)),"")</f>
        <v/>
      </c>
      <c r="AE835" s="13" t="str">
        <f aca="false">IF(AND($J835=1,$M835=0),IF(S835="",0,S835*R835)+IF(V835="",0,V835*U835)+IF(Y835="",0,Y835*X835),"")</f>
        <v/>
      </c>
      <c r="AF835" s="12" t="str">
        <f aca="false">IF(AND($J835=1,$M835=0),MIN((AC835-E835)/Span_P,(AD835-F835)/Span_S,(AE835-G835)/Span_B),"")</f>
        <v/>
      </c>
      <c r="AG835" s="15" t="str">
        <f aca="false">IF(AND($J835=1,$M835=0),IF(AF835&gt;0.0000001,1,0),"")</f>
        <v/>
      </c>
      <c r="AH835" s="15" t="n">
        <f aca="false">IF($J835=1,IF($M835=1,AB835,AG835),"")</f>
        <v>1</v>
      </c>
      <c r="AI835" s="13" t="n">
        <f aca="false">IF($J835=1,(Ideal_P-E835)/Span_P,"")</f>
        <v>0.730774512187242</v>
      </c>
      <c r="AJ835" s="13" t="n">
        <f aca="false">IF($J835=1,(Ideal_S-F835)/Span_S,"")</f>
        <v>0.032258064516129</v>
      </c>
      <c r="AK835" s="13" t="n">
        <f aca="false">IF($J835=1,(Ideal_B-G835)/Span_B,"")</f>
        <v>0.506666666666667</v>
      </c>
      <c r="AL835" s="12" t="n">
        <f aca="false">IF($J835=1,MAX(ChA_1*AI835,ChA_2*AJ835,ChA_3*AK835)+Rho*(ChA_1*AI835+ChA_2*AJ835+ChA_3*AK835),"")</f>
        <v>0.730901482111579</v>
      </c>
      <c r="AM835" s="12" t="n">
        <f aca="false">IF($J835=1,MAX(ChB_1*AI835,ChB_2*AJ835,ChB_3*AK835)+Rho*(ChB_1*AI835+ChB_2*AJ835+ChB_3*AK835),"")</f>
        <v>1.46174907175004</v>
      </c>
      <c r="AN835" s="12" t="n">
        <f aca="false">IF($J835=1,MAX(Cx_1*(Ref_P-E835)/Span_P,Cx_2*(Ref_S-F835)/Span_S,Cx_3*(Ref_B-G835)/Span_B),"")</f>
        <v>1.84999021668289</v>
      </c>
    </row>
    <row r="836" customFormat="false" ht="15" hidden="false" customHeight="false" outlineLevel="0" collapsed="false">
      <c r="A836" s="2" t="n">
        <v>830</v>
      </c>
      <c r="B836" s="15" t="n">
        <f aca="false">INT(A836/151)</f>
        <v>5</v>
      </c>
      <c r="C836" s="15" t="n">
        <f aca="false">MOD(A836,151)</f>
        <v>75</v>
      </c>
      <c r="D836" s="15" t="n">
        <f aca="false">INDEX(Grid!$J$6:$P$156,C836+1,B836+1)</f>
        <v>1</v>
      </c>
      <c r="E836" s="16" t="n">
        <f aca="false">IF(D836=1,INDEX(Grid!$B$6:$H$156,C836+1,B836+1),"")</f>
        <v>118.639775881271</v>
      </c>
      <c r="F836" s="13" t="n">
        <f aca="false">Val_pt*(Ceiling_e-E_zero)*(1-(1-Half_gap)^B836)</f>
        <v>135.625</v>
      </c>
      <c r="G836" s="15" t="n">
        <f aca="false">C836</f>
        <v>75</v>
      </c>
      <c r="H836" s="15" t="n">
        <f aca="false">IF(D836=1,INDEX(Grid!$R$6:$X$156,C836+1,B836+1),"")</f>
        <v>59</v>
      </c>
      <c r="I836" s="2" t="str">
        <f aca="false">IF(D836=1,INDEX(Sch_label,H836+1),"")</f>
        <v>1–3, 5, 6</v>
      </c>
      <c r="J836" s="15" t="n">
        <f aca="false">IF(D836=1,INDEX(Grid!$Z$6:$AF$156,C836+1,B836+1),0)</f>
        <v>1</v>
      </c>
      <c r="K836" s="16" t="n">
        <f aca="false">IF(J836=1,E836,0)</f>
        <v>118.639775881271</v>
      </c>
      <c r="L836" s="17" t="n">
        <f aca="false">IF(D836=1,E836+W_board*F836,"")</f>
        <v>884.207543516706</v>
      </c>
      <c r="M836" s="24" t="n">
        <v>1</v>
      </c>
      <c r="N836" s="25" t="n">
        <v>0.121286736192901</v>
      </c>
      <c r="O836" s="25" t="n">
        <v>0.833039660615899</v>
      </c>
      <c r="P836" s="25" t="n">
        <v>0.045673603191201</v>
      </c>
      <c r="Z836" s="12" t="n">
        <f aca="false">IF(AND($J836=1,$M836=1),N836*E836/Span_P+O836*F836/Span_S+P836*G836/Span_B,"")</f>
        <v>1.72865330050022</v>
      </c>
      <c r="AA836" s="12" t="n">
        <f aca="false">IF(AND($J836=1,$M836=1),SUMPRODUCT(MAX($J$6:$J$1062*(N836*$K$6:$K$1062/Span_P+O836*$F$6:$F$1062/Span_S+P836*$G$6:$G$1062/Span_B)-(1-$J$6:$J$1062)*1000000000)),"")</f>
        <v>1.72865330050022</v>
      </c>
      <c r="AB836" s="15" t="n">
        <f aca="false">IF(AND($J836=1,$M836=1),IF(AA836-Z836&lt;=0.000000001,1,0),"")</f>
        <v>1</v>
      </c>
      <c r="AC836" s="13" t="str">
        <f aca="false">IF(AND($J836=1,$M836=0),IF(S836="",0,S836*INDEX(Grid!$B$6:$H$156,R836+1,Q836+1))+IF(V836="",0,V836*INDEX(Grid!$B$6:$H$156,U836+1,T836+1))+IF(Y836="",0,Y836*INDEX(Grid!$B$6:$H$156,X836+1,W836+1)),"")</f>
        <v/>
      </c>
      <c r="AD836" s="13" t="str">
        <f aca="false">IF(AND($J836=1,$M836=0),IF(S836="",0,S836*Val_pt*(Ceiling_e-E_zero)*(1-(1-Half_gap)^Q836))+IF(V836="",0,V836*Val_pt*(Ceiling_e-E_zero)*(1-(1-Half_gap)^T836))+IF(Y836="",0,Y836*Val_pt*(Ceiling_e-E_zero)*(1-(1-Half_gap)^W836)),"")</f>
        <v/>
      </c>
      <c r="AE836" s="13" t="str">
        <f aca="false">IF(AND($J836=1,$M836=0),IF(S836="",0,S836*R836)+IF(V836="",0,V836*U836)+IF(Y836="",0,Y836*X836),"")</f>
        <v/>
      </c>
      <c r="AF836" s="12" t="str">
        <f aca="false">IF(AND($J836=1,$M836=0),MIN((AC836-E836)/Span_P,(AD836-F836)/Span_S,(AE836-G836)/Span_B),"")</f>
        <v/>
      </c>
      <c r="AG836" s="15" t="str">
        <f aca="false">IF(AND($J836=1,$M836=0),IF(AF836&gt;0.0000001,1,0),"")</f>
        <v/>
      </c>
      <c r="AH836" s="15" t="n">
        <f aca="false">IF($J836=1,IF($M836=1,AB836,AG836),"")</f>
        <v>1</v>
      </c>
      <c r="AI836" s="13" t="n">
        <f aca="false">IF($J836=1,(Ideal_P-E836)/Span_P,"")</f>
        <v>0.733285014963548</v>
      </c>
      <c r="AJ836" s="13" t="n">
        <f aca="false">IF($J836=1,(Ideal_S-F836)/Span_S,"")</f>
        <v>0.032258064516129</v>
      </c>
      <c r="AK836" s="13" t="n">
        <f aca="false">IF($J836=1,(Ideal_B-G836)/Span_B,"")</f>
        <v>0.5</v>
      </c>
      <c r="AL836" s="12" t="n">
        <f aca="false">IF($J836=1,MAX(ChA_1*AI836,ChA_2*AJ836,ChA_3*AK836)+Rho*(ChA_1*AI836+ChA_2*AJ836+ChA_3*AK836),"")</f>
        <v>0.733411569271496</v>
      </c>
      <c r="AM836" s="12" t="n">
        <f aca="false">IF($J836=1,MAX(ChB_1*AI836,ChB_2*AJ836,ChB_3*AK836)+Rho*(ChB_1*AI836+ChB_2*AJ836+ChB_3*AK836),"")</f>
        <v>1.46676991273654</v>
      </c>
      <c r="AN836" s="12" t="n">
        <f aca="false">IF($J836=1,MAX(Cx_1*(Ref_P-E836)/Span_P,Cx_2*(Ref_S-F836)/Span_S,Cx_3*(Ref_B-G836)/Span_B),"")</f>
        <v>1.85625987836632</v>
      </c>
    </row>
    <row r="837" customFormat="false" ht="15" hidden="false" customHeight="false" outlineLevel="0" collapsed="false">
      <c r="A837" s="2" t="n">
        <v>831</v>
      </c>
      <c r="B837" s="15" t="n">
        <f aca="false">INT(A837/151)</f>
        <v>5</v>
      </c>
      <c r="C837" s="15" t="n">
        <f aca="false">MOD(A837,151)</f>
        <v>76</v>
      </c>
      <c r="D837" s="15" t="n">
        <f aca="false">INDEX(Grid!$J$6:$P$156,C837+1,B837+1)</f>
        <v>1</v>
      </c>
      <c r="E837" s="16" t="n">
        <f aca="false">IF(D837=1,INDEX(Grid!$B$6:$H$156,C837+1,B837+1),"")</f>
        <v>117.73068497218</v>
      </c>
      <c r="F837" s="13" t="n">
        <f aca="false">Val_pt*(Ceiling_e-E_zero)*(1-(1-Half_gap)^B837)</f>
        <v>135.625</v>
      </c>
      <c r="G837" s="15" t="n">
        <f aca="false">C837</f>
        <v>76</v>
      </c>
      <c r="H837" s="15" t="n">
        <f aca="false">IF(D837=1,INDEX(Grid!$R$6:$X$156,C837+1,B837+1),"")</f>
        <v>59</v>
      </c>
      <c r="I837" s="2" t="str">
        <f aca="false">IF(D837=1,INDEX(Sch_label,H837+1),"")</f>
        <v>1–3, 5, 6</v>
      </c>
      <c r="J837" s="15" t="n">
        <f aca="false">IF(D837=1,INDEX(Grid!$Z$6:$AF$156,C837+1,B837+1),0)</f>
        <v>1</v>
      </c>
      <c r="K837" s="16" t="n">
        <f aca="false">IF(J837=1,E837,0)</f>
        <v>117.73068497218</v>
      </c>
      <c r="L837" s="17" t="n">
        <f aca="false">IF(D837=1,E837+W_board*F837,"")</f>
        <v>883.298452607615</v>
      </c>
      <c r="M837" s="24" t="n">
        <v>1</v>
      </c>
      <c r="N837" s="25" t="n">
        <v>0.121286736192901</v>
      </c>
      <c r="O837" s="25" t="n">
        <v>0.833039660615898</v>
      </c>
      <c r="P837" s="25" t="n">
        <v>0.0456736031912018</v>
      </c>
      <c r="Z837" s="12" t="n">
        <f aca="false">IF(AND($J837=1,$M837=1),N837*E837/Span_P+O837*F837/Span_S+P837*G837/Span_B,"")</f>
        <v>1.72865330050022</v>
      </c>
      <c r="AA837" s="12" t="n">
        <f aca="false">IF(AND($J837=1,$M837=1),SUMPRODUCT(MAX($J$6:$J$1062*(N837*$K$6:$K$1062/Span_P+O837*$F$6:$F$1062/Span_S+P837*$G$6:$G$1062/Span_B)-(1-$J$6:$J$1062)*1000000000)),"")</f>
        <v>1.72865330050022</v>
      </c>
      <c r="AB837" s="15" t="n">
        <f aca="false">IF(AND($J837=1,$M837=1),IF(AA837-Z837&lt;=0.000000001,1,0),"")</f>
        <v>1</v>
      </c>
      <c r="AC837" s="13" t="str">
        <f aca="false">IF(AND($J837=1,$M837=0),IF(S837="",0,S837*INDEX(Grid!$B$6:$H$156,R837+1,Q837+1))+IF(V837="",0,V837*INDEX(Grid!$B$6:$H$156,U837+1,T837+1))+IF(Y837="",0,Y837*INDEX(Grid!$B$6:$H$156,X837+1,W837+1)),"")</f>
        <v/>
      </c>
      <c r="AD837" s="13" t="str">
        <f aca="false">IF(AND($J837=1,$M837=0),IF(S837="",0,S837*Val_pt*(Ceiling_e-E_zero)*(1-(1-Half_gap)^Q837))+IF(V837="",0,V837*Val_pt*(Ceiling_e-E_zero)*(1-(1-Half_gap)^T837))+IF(Y837="",0,Y837*Val_pt*(Ceiling_e-E_zero)*(1-(1-Half_gap)^W837)),"")</f>
        <v/>
      </c>
      <c r="AE837" s="13" t="str">
        <f aca="false">IF(AND($J837=1,$M837=0),IF(S837="",0,S837*R837)+IF(V837="",0,V837*U837)+IF(Y837="",0,Y837*X837),"")</f>
        <v/>
      </c>
      <c r="AF837" s="12" t="str">
        <f aca="false">IF(AND($J837=1,$M837=0),MIN((AC837-E837)/Span_P,(AD837-F837)/Span_S,(AE837-G837)/Span_B),"")</f>
        <v/>
      </c>
      <c r="AG837" s="15" t="str">
        <f aca="false">IF(AND($J837=1,$M837=0),IF(AF837&gt;0.0000001,1,0),"")</f>
        <v/>
      </c>
      <c r="AH837" s="15" t="n">
        <f aca="false">IF($J837=1,IF($M837=1,AB837,AG837),"")</f>
        <v>1</v>
      </c>
      <c r="AI837" s="13" t="n">
        <f aca="false">IF($J837=1,(Ideal_P-E837)/Span_P,"")</f>
        <v>0.735795517739854</v>
      </c>
      <c r="AJ837" s="13" t="n">
        <f aca="false">IF($J837=1,(Ideal_S-F837)/Span_S,"")</f>
        <v>0.032258064516129</v>
      </c>
      <c r="AK837" s="13" t="n">
        <f aca="false">IF($J837=1,(Ideal_B-G837)/Span_B,"")</f>
        <v>0.493333333333333</v>
      </c>
      <c r="AL837" s="12" t="n">
        <f aca="false">IF($J837=1,MAX(ChA_1*AI837,ChA_2*AJ837,ChA_3*AK837)+Rho*(ChA_1*AI837+ChA_2*AJ837+ChA_3*AK837),"")</f>
        <v>0.735921656431413</v>
      </c>
      <c r="AM837" s="12" t="n">
        <f aca="false">IF($J837=1,MAX(ChB_1*AI837,ChB_2*AJ837,ChB_3*AK837)+Rho*(ChB_1*AI837+ChB_2*AJ837+ChB_3*AK837),"")</f>
        <v>1.47179075372304</v>
      </c>
      <c r="AN837" s="12" t="n">
        <f aca="false">IF($J837=1,MAX(Cx_1*(Ref_P-E837)/Span_P,Cx_2*(Ref_S-F837)/Span_S,Cx_3*(Ref_B-G837)/Span_B),"")</f>
        <v>1.86252954004975</v>
      </c>
    </row>
    <row r="838" customFormat="false" ht="15" hidden="false" customHeight="false" outlineLevel="0" collapsed="false">
      <c r="A838" s="2" t="n">
        <v>832</v>
      </c>
      <c r="B838" s="15" t="n">
        <f aca="false">INT(A838/151)</f>
        <v>5</v>
      </c>
      <c r="C838" s="15" t="n">
        <f aca="false">MOD(A838,151)</f>
        <v>77</v>
      </c>
      <c r="D838" s="15" t="n">
        <f aca="false">INDEX(Grid!$J$6:$P$156,C838+1,B838+1)</f>
        <v>1</v>
      </c>
      <c r="E838" s="16" t="n">
        <f aca="false">IF(D838=1,INDEX(Grid!$B$6:$H$156,C838+1,B838+1),"")</f>
        <v>116.821594063089</v>
      </c>
      <c r="F838" s="13" t="n">
        <f aca="false">Val_pt*(Ceiling_e-E_zero)*(1-(1-Half_gap)^B838)</f>
        <v>135.625</v>
      </c>
      <c r="G838" s="15" t="n">
        <f aca="false">C838</f>
        <v>77</v>
      </c>
      <c r="H838" s="15" t="n">
        <f aca="false">IF(D838=1,INDEX(Grid!$R$6:$X$156,C838+1,B838+1),"")</f>
        <v>59</v>
      </c>
      <c r="I838" s="2" t="str">
        <f aca="false">IF(D838=1,INDEX(Sch_label,H838+1),"")</f>
        <v>1–3, 5, 6</v>
      </c>
      <c r="J838" s="15" t="n">
        <f aca="false">IF(D838=1,INDEX(Grid!$Z$6:$AF$156,C838+1,B838+1),0)</f>
        <v>1</v>
      </c>
      <c r="K838" s="16" t="n">
        <f aca="false">IF(J838=1,E838,0)</f>
        <v>116.821594063089</v>
      </c>
      <c r="L838" s="17" t="n">
        <f aca="false">IF(D838=1,E838+W_board*F838,"")</f>
        <v>882.389361698525</v>
      </c>
      <c r="M838" s="24" t="n">
        <v>1</v>
      </c>
      <c r="N838" s="25" t="n">
        <v>0.121286736192901</v>
      </c>
      <c r="O838" s="25" t="n">
        <v>0.833039660615898</v>
      </c>
      <c r="P838" s="25" t="n">
        <v>0.045673603191201</v>
      </c>
      <c r="Z838" s="12" t="n">
        <f aca="false">IF(AND($J838=1,$M838=1),N838*E838/Span_P+O838*F838/Span_S+P838*G838/Span_B,"")</f>
        <v>1.72865330050022</v>
      </c>
      <c r="AA838" s="12" t="n">
        <f aca="false">IF(AND($J838=1,$M838=1),SUMPRODUCT(MAX($J$6:$J$1062*(N838*$K$6:$K$1062/Span_P+O838*$F$6:$F$1062/Span_S+P838*$G$6:$G$1062/Span_B)-(1-$J$6:$J$1062)*1000000000)),"")</f>
        <v>1.72865330050022</v>
      </c>
      <c r="AB838" s="15" t="n">
        <f aca="false">IF(AND($J838=1,$M838=1),IF(AA838-Z838&lt;=0.000000001,1,0),"")</f>
        <v>1</v>
      </c>
      <c r="AC838" s="13" t="str">
        <f aca="false">IF(AND($J838=1,$M838=0),IF(S838="",0,S838*INDEX(Grid!$B$6:$H$156,R838+1,Q838+1))+IF(V838="",0,V838*INDEX(Grid!$B$6:$H$156,U838+1,T838+1))+IF(Y838="",0,Y838*INDEX(Grid!$B$6:$H$156,X838+1,W838+1)),"")</f>
        <v/>
      </c>
      <c r="AD838" s="13" t="str">
        <f aca="false">IF(AND($J838=1,$M838=0),IF(S838="",0,S838*Val_pt*(Ceiling_e-E_zero)*(1-(1-Half_gap)^Q838))+IF(V838="",0,V838*Val_pt*(Ceiling_e-E_zero)*(1-(1-Half_gap)^T838))+IF(Y838="",0,Y838*Val_pt*(Ceiling_e-E_zero)*(1-(1-Half_gap)^W838)),"")</f>
        <v/>
      </c>
      <c r="AE838" s="13" t="str">
        <f aca="false">IF(AND($J838=1,$M838=0),IF(S838="",0,S838*R838)+IF(V838="",0,V838*U838)+IF(Y838="",0,Y838*X838),"")</f>
        <v/>
      </c>
      <c r="AF838" s="12" t="str">
        <f aca="false">IF(AND($J838=1,$M838=0),MIN((AC838-E838)/Span_P,(AD838-F838)/Span_S,(AE838-G838)/Span_B),"")</f>
        <v/>
      </c>
      <c r="AG838" s="15" t="str">
        <f aca="false">IF(AND($J838=1,$M838=0),IF(AF838&gt;0.0000001,1,0),"")</f>
        <v/>
      </c>
      <c r="AH838" s="15" t="n">
        <f aca="false">IF($J838=1,IF($M838=1,AB838,AG838),"")</f>
        <v>1</v>
      </c>
      <c r="AI838" s="13" t="n">
        <f aca="false">IF($J838=1,(Ideal_P-E838)/Span_P,"")</f>
        <v>0.73830602051616</v>
      </c>
      <c r="AJ838" s="13" t="n">
        <f aca="false">IF($J838=1,(Ideal_S-F838)/Span_S,"")</f>
        <v>0.032258064516129</v>
      </c>
      <c r="AK838" s="13" t="n">
        <f aca="false">IF($J838=1,(Ideal_B-G838)/Span_B,"")</f>
        <v>0.486666666666667</v>
      </c>
      <c r="AL838" s="12" t="n">
        <f aca="false">IF($J838=1,MAX(ChA_1*AI838,ChA_2*AJ838,ChA_3*AK838)+Rho*(ChA_1*AI838+ChA_2*AJ838+ChA_3*AK838),"")</f>
        <v>0.73843174359133</v>
      </c>
      <c r="AM838" s="12" t="n">
        <f aca="false">IF($J838=1,MAX(ChB_1*AI838,ChB_2*AJ838,ChB_3*AK838)+Rho*(ChB_1*AI838+ChB_2*AJ838+ChB_3*AK838),"")</f>
        <v>1.47681159470954</v>
      </c>
      <c r="AN838" s="12" t="n">
        <f aca="false">IF($J838=1,MAX(Cx_1*(Ref_P-E838)/Span_P,Cx_2*(Ref_S-F838)/Span_S,Cx_3*(Ref_B-G838)/Span_B),"")</f>
        <v>1.86879920173318</v>
      </c>
    </row>
    <row r="839" customFormat="false" ht="15" hidden="false" customHeight="false" outlineLevel="0" collapsed="false">
      <c r="A839" s="2" t="n">
        <v>833</v>
      </c>
      <c r="B839" s="15" t="n">
        <f aca="false">INT(A839/151)</f>
        <v>5</v>
      </c>
      <c r="C839" s="15" t="n">
        <f aca="false">MOD(A839,151)</f>
        <v>78</v>
      </c>
      <c r="D839" s="15" t="n">
        <f aca="false">INDEX(Grid!$J$6:$P$156,C839+1,B839+1)</f>
        <v>1</v>
      </c>
      <c r="E839" s="16" t="n">
        <f aca="false">IF(D839=1,INDEX(Grid!$B$6:$H$156,C839+1,B839+1),"")</f>
        <v>115.912503153998</v>
      </c>
      <c r="F839" s="13" t="n">
        <f aca="false">Val_pt*(Ceiling_e-E_zero)*(1-(1-Half_gap)^B839)</f>
        <v>135.625</v>
      </c>
      <c r="G839" s="15" t="n">
        <f aca="false">C839</f>
        <v>78</v>
      </c>
      <c r="H839" s="15" t="n">
        <f aca="false">IF(D839=1,INDEX(Grid!$R$6:$X$156,C839+1,B839+1),"")</f>
        <v>59</v>
      </c>
      <c r="I839" s="2" t="str">
        <f aca="false">IF(D839=1,INDEX(Sch_label,H839+1),"")</f>
        <v>1–3, 5, 6</v>
      </c>
      <c r="J839" s="15" t="n">
        <f aca="false">IF(D839=1,INDEX(Grid!$Z$6:$AF$156,C839+1,B839+1),0)</f>
        <v>1</v>
      </c>
      <c r="K839" s="16" t="n">
        <f aca="false">IF(J839=1,E839,0)</f>
        <v>115.912503153998</v>
      </c>
      <c r="L839" s="17" t="n">
        <f aca="false">IF(D839=1,E839+W_board*F839,"")</f>
        <v>881.480270789434</v>
      </c>
      <c r="M839" s="24" t="n">
        <v>1</v>
      </c>
      <c r="N839" s="25" t="n">
        <v>0.121286736192901</v>
      </c>
      <c r="O839" s="25" t="n">
        <v>0.833039660615898</v>
      </c>
      <c r="P839" s="25" t="n">
        <v>0.0456736031912018</v>
      </c>
      <c r="Z839" s="12" t="n">
        <f aca="false">IF(AND($J839=1,$M839=1),N839*E839/Span_P+O839*F839/Span_S+P839*G839/Span_B,"")</f>
        <v>1.72865330050022</v>
      </c>
      <c r="AA839" s="12" t="n">
        <f aca="false">IF(AND($J839=1,$M839=1),SUMPRODUCT(MAX($J$6:$J$1062*(N839*$K$6:$K$1062/Span_P+O839*$F$6:$F$1062/Span_S+P839*$G$6:$G$1062/Span_B)-(1-$J$6:$J$1062)*1000000000)),"")</f>
        <v>1.72865330050022</v>
      </c>
      <c r="AB839" s="15" t="n">
        <f aca="false">IF(AND($J839=1,$M839=1),IF(AA839-Z839&lt;=0.000000001,1,0),"")</f>
        <v>1</v>
      </c>
      <c r="AC839" s="13" t="str">
        <f aca="false">IF(AND($J839=1,$M839=0),IF(S839="",0,S839*INDEX(Grid!$B$6:$H$156,R839+1,Q839+1))+IF(V839="",0,V839*INDEX(Grid!$B$6:$H$156,U839+1,T839+1))+IF(Y839="",0,Y839*INDEX(Grid!$B$6:$H$156,X839+1,W839+1)),"")</f>
        <v/>
      </c>
      <c r="AD839" s="13" t="str">
        <f aca="false">IF(AND($J839=1,$M839=0),IF(S839="",0,S839*Val_pt*(Ceiling_e-E_zero)*(1-(1-Half_gap)^Q839))+IF(V839="",0,V839*Val_pt*(Ceiling_e-E_zero)*(1-(1-Half_gap)^T839))+IF(Y839="",0,Y839*Val_pt*(Ceiling_e-E_zero)*(1-(1-Half_gap)^W839)),"")</f>
        <v/>
      </c>
      <c r="AE839" s="13" t="str">
        <f aca="false">IF(AND($J839=1,$M839=0),IF(S839="",0,S839*R839)+IF(V839="",0,V839*U839)+IF(Y839="",0,Y839*X839),"")</f>
        <v/>
      </c>
      <c r="AF839" s="12" t="str">
        <f aca="false">IF(AND($J839=1,$M839=0),MIN((AC839-E839)/Span_P,(AD839-F839)/Span_S,(AE839-G839)/Span_B),"")</f>
        <v/>
      </c>
      <c r="AG839" s="15" t="str">
        <f aca="false">IF(AND($J839=1,$M839=0),IF(AF839&gt;0.0000001,1,0),"")</f>
        <v/>
      </c>
      <c r="AH839" s="15" t="n">
        <f aca="false">IF($J839=1,IF($M839=1,AB839,AG839),"")</f>
        <v>1</v>
      </c>
      <c r="AI839" s="13" t="n">
        <f aca="false">IF($J839=1,(Ideal_P-E839)/Span_P,"")</f>
        <v>0.740816523292465</v>
      </c>
      <c r="AJ839" s="13" t="n">
        <f aca="false">IF($J839=1,(Ideal_S-F839)/Span_S,"")</f>
        <v>0.032258064516129</v>
      </c>
      <c r="AK839" s="13" t="n">
        <f aca="false">IF($J839=1,(Ideal_B-G839)/Span_B,"")</f>
        <v>0.48</v>
      </c>
      <c r="AL839" s="12" t="n">
        <f aca="false">IF($J839=1,MAX(ChA_1*AI839,ChA_2*AJ839,ChA_3*AK839)+Rho*(ChA_1*AI839+ChA_2*AJ839+ChA_3*AK839),"")</f>
        <v>0.740941830751246</v>
      </c>
      <c r="AM839" s="12" t="n">
        <f aca="false">IF($J839=1,MAX(ChB_1*AI839,ChB_2*AJ839,ChB_3*AK839)+Rho*(ChB_1*AI839+ChB_2*AJ839+ChB_3*AK839),"")</f>
        <v>1.48183243569604</v>
      </c>
      <c r="AN839" s="12" t="n">
        <f aca="false">IF($J839=1,MAX(Cx_1*(Ref_P-E839)/Span_P,Cx_2*(Ref_S-F839)/Span_S,Cx_3*(Ref_B-G839)/Span_B),"")</f>
        <v>1.87506886341661</v>
      </c>
    </row>
    <row r="840" customFormat="false" ht="15" hidden="false" customHeight="false" outlineLevel="0" collapsed="false">
      <c r="A840" s="2" t="n">
        <v>834</v>
      </c>
      <c r="B840" s="15" t="n">
        <f aca="false">INT(A840/151)</f>
        <v>5</v>
      </c>
      <c r="C840" s="15" t="n">
        <f aca="false">MOD(A840,151)</f>
        <v>79</v>
      </c>
      <c r="D840" s="15" t="n">
        <f aca="false">INDEX(Grid!$J$6:$P$156,C840+1,B840+1)</f>
        <v>1</v>
      </c>
      <c r="E840" s="16" t="n">
        <f aca="false">IF(D840=1,INDEX(Grid!$B$6:$H$156,C840+1,B840+1),"")</f>
        <v>115.003412244907</v>
      </c>
      <c r="F840" s="13" t="n">
        <f aca="false">Val_pt*(Ceiling_e-E_zero)*(1-(1-Half_gap)^B840)</f>
        <v>135.625</v>
      </c>
      <c r="G840" s="15" t="n">
        <f aca="false">C840</f>
        <v>79</v>
      </c>
      <c r="H840" s="15" t="n">
        <f aca="false">IF(D840=1,INDEX(Grid!$R$6:$X$156,C840+1,B840+1),"")</f>
        <v>59</v>
      </c>
      <c r="I840" s="2" t="str">
        <f aca="false">IF(D840=1,INDEX(Sch_label,H840+1),"")</f>
        <v>1–3, 5, 6</v>
      </c>
      <c r="J840" s="15" t="n">
        <f aca="false">IF(D840=1,INDEX(Grid!$Z$6:$AF$156,C840+1,B840+1),0)</f>
        <v>1</v>
      </c>
      <c r="K840" s="16" t="n">
        <f aca="false">IF(J840=1,E840,0)</f>
        <v>115.003412244907</v>
      </c>
      <c r="L840" s="17" t="n">
        <f aca="false">IF(D840=1,E840+W_board*F840,"")</f>
        <v>880.571179880343</v>
      </c>
      <c r="M840" s="24" t="n">
        <v>1</v>
      </c>
      <c r="N840" s="25" t="n">
        <v>0.121286736192901</v>
      </c>
      <c r="O840" s="25" t="n">
        <v>0.833039660615898</v>
      </c>
      <c r="P840" s="25" t="n">
        <v>0.045673603191201</v>
      </c>
      <c r="Z840" s="12" t="n">
        <f aca="false">IF(AND($J840=1,$M840=1),N840*E840/Span_P+O840*F840/Span_S+P840*G840/Span_B,"")</f>
        <v>1.72865330050022</v>
      </c>
      <c r="AA840" s="12" t="n">
        <f aca="false">IF(AND($J840=1,$M840=1),SUMPRODUCT(MAX($J$6:$J$1062*(N840*$K$6:$K$1062/Span_P+O840*$F$6:$F$1062/Span_S+P840*$G$6:$G$1062/Span_B)-(1-$J$6:$J$1062)*1000000000)),"")</f>
        <v>1.72865330050022</v>
      </c>
      <c r="AB840" s="15" t="n">
        <f aca="false">IF(AND($J840=1,$M840=1),IF(AA840-Z840&lt;=0.000000001,1,0),"")</f>
        <v>1</v>
      </c>
      <c r="AC840" s="13" t="str">
        <f aca="false">IF(AND($J840=1,$M840=0),IF(S840="",0,S840*INDEX(Grid!$B$6:$H$156,R840+1,Q840+1))+IF(V840="",0,V840*INDEX(Grid!$B$6:$H$156,U840+1,T840+1))+IF(Y840="",0,Y840*INDEX(Grid!$B$6:$H$156,X840+1,W840+1)),"")</f>
        <v/>
      </c>
      <c r="AD840" s="13" t="str">
        <f aca="false">IF(AND($J840=1,$M840=0),IF(S840="",0,S840*Val_pt*(Ceiling_e-E_zero)*(1-(1-Half_gap)^Q840))+IF(V840="",0,V840*Val_pt*(Ceiling_e-E_zero)*(1-(1-Half_gap)^T840))+IF(Y840="",0,Y840*Val_pt*(Ceiling_e-E_zero)*(1-(1-Half_gap)^W840)),"")</f>
        <v/>
      </c>
      <c r="AE840" s="13" t="str">
        <f aca="false">IF(AND($J840=1,$M840=0),IF(S840="",0,S840*R840)+IF(V840="",0,V840*U840)+IF(Y840="",0,Y840*X840),"")</f>
        <v/>
      </c>
      <c r="AF840" s="12" t="str">
        <f aca="false">IF(AND($J840=1,$M840=0),MIN((AC840-E840)/Span_P,(AD840-F840)/Span_S,(AE840-G840)/Span_B),"")</f>
        <v/>
      </c>
      <c r="AG840" s="15" t="str">
        <f aca="false">IF(AND($J840=1,$M840=0),IF(AF840&gt;0.0000001,1,0),"")</f>
        <v/>
      </c>
      <c r="AH840" s="15" t="n">
        <f aca="false">IF($J840=1,IF($M840=1,AB840,AG840),"")</f>
        <v>1</v>
      </c>
      <c r="AI840" s="13" t="n">
        <f aca="false">IF($J840=1,(Ideal_P-E840)/Span_P,"")</f>
        <v>0.743327026068771</v>
      </c>
      <c r="AJ840" s="13" t="n">
        <f aca="false">IF($J840=1,(Ideal_S-F840)/Span_S,"")</f>
        <v>0.032258064516129</v>
      </c>
      <c r="AK840" s="13" t="n">
        <f aca="false">IF($J840=1,(Ideal_B-G840)/Span_B,"")</f>
        <v>0.473333333333333</v>
      </c>
      <c r="AL840" s="12" t="n">
        <f aca="false">IF($J840=1,MAX(ChA_1*AI840,ChA_2*AJ840,ChA_3*AK840)+Rho*(ChA_1*AI840+ChA_2*AJ840+ChA_3*AK840),"")</f>
        <v>0.743451917911163</v>
      </c>
      <c r="AM840" s="12" t="n">
        <f aca="false">IF($J840=1,MAX(ChB_1*AI840,ChB_2*AJ840,ChB_3*AK840)+Rho*(ChB_1*AI840+ChB_2*AJ840+ChB_3*AK840),"")</f>
        <v>1.48685327668254</v>
      </c>
      <c r="AN840" s="12" t="n">
        <f aca="false">IF($J840=1,MAX(Cx_1*(Ref_P-E840)/Span_P,Cx_2*(Ref_S-F840)/Span_S,Cx_3*(Ref_B-G840)/Span_B),"")</f>
        <v>1.88133852510004</v>
      </c>
    </row>
    <row r="841" customFormat="false" ht="15" hidden="false" customHeight="false" outlineLevel="0" collapsed="false">
      <c r="A841" s="2" t="n">
        <v>835</v>
      </c>
      <c r="B841" s="15" t="n">
        <f aca="false">INT(A841/151)</f>
        <v>5</v>
      </c>
      <c r="C841" s="15" t="n">
        <f aca="false">MOD(A841,151)</f>
        <v>80</v>
      </c>
      <c r="D841" s="15" t="n">
        <f aca="false">INDEX(Grid!$J$6:$P$156,C841+1,B841+1)</f>
        <v>1</v>
      </c>
      <c r="E841" s="16" t="n">
        <f aca="false">IF(D841=1,INDEX(Grid!$B$6:$H$156,C841+1,B841+1),"")</f>
        <v>114.094321335816</v>
      </c>
      <c r="F841" s="13" t="n">
        <f aca="false">Val_pt*(Ceiling_e-E_zero)*(1-(1-Half_gap)^B841)</f>
        <v>135.625</v>
      </c>
      <c r="G841" s="15" t="n">
        <f aca="false">C841</f>
        <v>80</v>
      </c>
      <c r="H841" s="15" t="n">
        <f aca="false">IF(D841=1,INDEX(Grid!$R$6:$X$156,C841+1,B841+1),"")</f>
        <v>59</v>
      </c>
      <c r="I841" s="2" t="str">
        <f aca="false">IF(D841=1,INDEX(Sch_label,H841+1),"")</f>
        <v>1–3, 5, 6</v>
      </c>
      <c r="J841" s="15" t="n">
        <f aca="false">IF(D841=1,INDEX(Grid!$Z$6:$AF$156,C841+1,B841+1),0)</f>
        <v>1</v>
      </c>
      <c r="K841" s="16" t="n">
        <f aca="false">IF(J841=1,E841,0)</f>
        <v>114.094321335816</v>
      </c>
      <c r="L841" s="17" t="n">
        <f aca="false">IF(D841=1,E841+W_board*F841,"")</f>
        <v>879.662088971252</v>
      </c>
      <c r="M841" s="24" t="n">
        <v>1</v>
      </c>
      <c r="N841" s="25" t="n">
        <v>0.121286736192901</v>
      </c>
      <c r="O841" s="25" t="n">
        <v>0.833039660615898</v>
      </c>
      <c r="P841" s="25" t="n">
        <v>0.045673603191201</v>
      </c>
      <c r="Z841" s="12" t="n">
        <f aca="false">IF(AND($J841=1,$M841=1),N841*E841/Span_P+O841*F841/Span_S+P841*G841/Span_B,"")</f>
        <v>1.72865330050022</v>
      </c>
      <c r="AA841" s="12" t="n">
        <f aca="false">IF(AND($J841=1,$M841=1),SUMPRODUCT(MAX($J$6:$J$1062*(N841*$K$6:$K$1062/Span_P+O841*$F$6:$F$1062/Span_S+P841*$G$6:$G$1062/Span_B)-(1-$J$6:$J$1062)*1000000000)),"")</f>
        <v>1.72865330050022</v>
      </c>
      <c r="AB841" s="15" t="n">
        <f aca="false">IF(AND($J841=1,$M841=1),IF(AA841-Z841&lt;=0.000000001,1,0),"")</f>
        <v>1</v>
      </c>
      <c r="AC841" s="13" t="str">
        <f aca="false">IF(AND($J841=1,$M841=0),IF(S841="",0,S841*INDEX(Grid!$B$6:$H$156,R841+1,Q841+1))+IF(V841="",0,V841*INDEX(Grid!$B$6:$H$156,U841+1,T841+1))+IF(Y841="",0,Y841*INDEX(Grid!$B$6:$H$156,X841+1,W841+1)),"")</f>
        <v/>
      </c>
      <c r="AD841" s="13" t="str">
        <f aca="false">IF(AND($J841=1,$M841=0),IF(S841="",0,S841*Val_pt*(Ceiling_e-E_zero)*(1-(1-Half_gap)^Q841))+IF(V841="",0,V841*Val_pt*(Ceiling_e-E_zero)*(1-(1-Half_gap)^T841))+IF(Y841="",0,Y841*Val_pt*(Ceiling_e-E_zero)*(1-(1-Half_gap)^W841)),"")</f>
        <v/>
      </c>
      <c r="AE841" s="13" t="str">
        <f aca="false">IF(AND($J841=1,$M841=0),IF(S841="",0,S841*R841)+IF(V841="",0,V841*U841)+IF(Y841="",0,Y841*X841),"")</f>
        <v/>
      </c>
      <c r="AF841" s="12" t="str">
        <f aca="false">IF(AND($J841=1,$M841=0),MIN((AC841-E841)/Span_P,(AD841-F841)/Span_S,(AE841-G841)/Span_B),"")</f>
        <v/>
      </c>
      <c r="AG841" s="15" t="str">
        <f aca="false">IF(AND($J841=1,$M841=0),IF(AF841&gt;0.0000001,1,0),"")</f>
        <v/>
      </c>
      <c r="AH841" s="15" t="n">
        <f aca="false">IF($J841=1,IF($M841=1,AB841,AG841),"")</f>
        <v>1</v>
      </c>
      <c r="AI841" s="13" t="n">
        <f aca="false">IF($J841=1,(Ideal_P-E841)/Span_P,"")</f>
        <v>0.745837528845077</v>
      </c>
      <c r="AJ841" s="13" t="n">
        <f aca="false">IF($J841=1,(Ideal_S-F841)/Span_S,"")</f>
        <v>0.032258064516129</v>
      </c>
      <c r="AK841" s="13" t="n">
        <f aca="false">IF($J841=1,(Ideal_B-G841)/Span_B,"")</f>
        <v>0.466666666666667</v>
      </c>
      <c r="AL841" s="12" t="n">
        <f aca="false">IF($J841=1,MAX(ChA_1*AI841,ChA_2*AJ841,ChA_3*AK841)+Rho*(ChA_1*AI841+ChA_2*AJ841+ChA_3*AK841),"")</f>
        <v>0.74596200507108</v>
      </c>
      <c r="AM841" s="12" t="n">
        <f aca="false">IF($J841=1,MAX(ChB_1*AI841,ChB_2*AJ841,ChB_3*AK841)+Rho*(ChB_1*AI841+ChB_2*AJ841+ChB_3*AK841),"")</f>
        <v>1.49187411766904</v>
      </c>
      <c r="AN841" s="12" t="n">
        <f aca="false">IF($J841=1,MAX(Cx_1*(Ref_P-E841)/Span_P,Cx_2*(Ref_S-F841)/Span_S,Cx_3*(Ref_B-G841)/Span_B),"")</f>
        <v>1.88760818678346</v>
      </c>
    </row>
    <row r="842" customFormat="false" ht="15" hidden="false" customHeight="false" outlineLevel="0" collapsed="false">
      <c r="A842" s="2" t="n">
        <v>836</v>
      </c>
      <c r="B842" s="15" t="n">
        <f aca="false">INT(A842/151)</f>
        <v>5</v>
      </c>
      <c r="C842" s="15" t="n">
        <f aca="false">MOD(A842,151)</f>
        <v>81</v>
      </c>
      <c r="D842" s="15" t="n">
        <f aca="false">INDEX(Grid!$J$6:$P$156,C842+1,B842+1)</f>
        <v>1</v>
      </c>
      <c r="E842" s="16" t="n">
        <f aca="false">IF(D842=1,INDEX(Grid!$B$6:$H$156,C842+1,B842+1),"")</f>
        <v>113.185230426725</v>
      </c>
      <c r="F842" s="13" t="n">
        <f aca="false">Val_pt*(Ceiling_e-E_zero)*(1-(1-Half_gap)^B842)</f>
        <v>135.625</v>
      </c>
      <c r="G842" s="15" t="n">
        <f aca="false">C842</f>
        <v>81</v>
      </c>
      <c r="H842" s="15" t="n">
        <f aca="false">IF(D842=1,INDEX(Grid!$R$6:$X$156,C842+1,B842+1),"")</f>
        <v>59</v>
      </c>
      <c r="I842" s="2" t="str">
        <f aca="false">IF(D842=1,INDEX(Sch_label,H842+1),"")</f>
        <v>1–3, 5, 6</v>
      </c>
      <c r="J842" s="15" t="n">
        <f aca="false">IF(D842=1,INDEX(Grid!$Z$6:$AF$156,C842+1,B842+1),0)</f>
        <v>1</v>
      </c>
      <c r="K842" s="16" t="n">
        <f aca="false">IF(J842=1,E842,0)</f>
        <v>113.185230426725</v>
      </c>
      <c r="L842" s="17" t="n">
        <f aca="false">IF(D842=1,E842+W_board*F842,"")</f>
        <v>878.752998062161</v>
      </c>
      <c r="M842" s="24" t="n">
        <v>1</v>
      </c>
      <c r="N842" s="25" t="n">
        <v>0.121286736192901</v>
      </c>
      <c r="O842" s="25" t="n">
        <v>0.833039660615898</v>
      </c>
      <c r="P842" s="25" t="n">
        <v>0.0456736031912018</v>
      </c>
      <c r="Z842" s="12" t="n">
        <f aca="false">IF(AND($J842=1,$M842=1),N842*E842/Span_P+O842*F842/Span_S+P842*G842/Span_B,"")</f>
        <v>1.72865330050022</v>
      </c>
      <c r="AA842" s="12" t="n">
        <f aca="false">IF(AND($J842=1,$M842=1),SUMPRODUCT(MAX($J$6:$J$1062*(N842*$K$6:$K$1062/Span_P+O842*$F$6:$F$1062/Span_S+P842*$G$6:$G$1062/Span_B)-(1-$J$6:$J$1062)*1000000000)),"")</f>
        <v>1.72865330050022</v>
      </c>
      <c r="AB842" s="15" t="n">
        <f aca="false">IF(AND($J842=1,$M842=1),IF(AA842-Z842&lt;=0.000000001,1,0),"")</f>
        <v>1</v>
      </c>
      <c r="AC842" s="13" t="str">
        <f aca="false">IF(AND($J842=1,$M842=0),IF(S842="",0,S842*INDEX(Grid!$B$6:$H$156,R842+1,Q842+1))+IF(V842="",0,V842*INDEX(Grid!$B$6:$H$156,U842+1,T842+1))+IF(Y842="",0,Y842*INDEX(Grid!$B$6:$H$156,X842+1,W842+1)),"")</f>
        <v/>
      </c>
      <c r="AD842" s="13" t="str">
        <f aca="false">IF(AND($J842=1,$M842=0),IF(S842="",0,S842*Val_pt*(Ceiling_e-E_zero)*(1-(1-Half_gap)^Q842))+IF(V842="",0,V842*Val_pt*(Ceiling_e-E_zero)*(1-(1-Half_gap)^T842))+IF(Y842="",0,Y842*Val_pt*(Ceiling_e-E_zero)*(1-(1-Half_gap)^W842)),"")</f>
        <v/>
      </c>
      <c r="AE842" s="13" t="str">
        <f aca="false">IF(AND($J842=1,$M842=0),IF(S842="",0,S842*R842)+IF(V842="",0,V842*U842)+IF(Y842="",0,Y842*X842),"")</f>
        <v/>
      </c>
      <c r="AF842" s="12" t="str">
        <f aca="false">IF(AND($J842=1,$M842=0),MIN((AC842-E842)/Span_P,(AD842-F842)/Span_S,(AE842-G842)/Span_B),"")</f>
        <v/>
      </c>
      <c r="AG842" s="15" t="str">
        <f aca="false">IF(AND($J842=1,$M842=0),IF(AF842&gt;0.0000001,1,0),"")</f>
        <v/>
      </c>
      <c r="AH842" s="15" t="n">
        <f aca="false">IF($J842=1,IF($M842=1,AB842,AG842),"")</f>
        <v>1</v>
      </c>
      <c r="AI842" s="13" t="n">
        <f aca="false">IF($J842=1,(Ideal_P-E842)/Span_P,"")</f>
        <v>0.748348031621383</v>
      </c>
      <c r="AJ842" s="13" t="n">
        <f aca="false">IF($J842=1,(Ideal_S-F842)/Span_S,"")</f>
        <v>0.032258064516129</v>
      </c>
      <c r="AK842" s="13" t="n">
        <f aca="false">IF($J842=1,(Ideal_B-G842)/Span_B,"")</f>
        <v>0.46</v>
      </c>
      <c r="AL842" s="12" t="n">
        <f aca="false">IF($J842=1,MAX(ChA_1*AI842,ChA_2*AJ842,ChA_3*AK842)+Rho*(ChA_1*AI842+ChA_2*AJ842+ChA_3*AK842),"")</f>
        <v>0.748472092230996</v>
      </c>
      <c r="AM842" s="12" t="n">
        <f aca="false">IF($J842=1,MAX(ChB_1*AI842,ChB_2*AJ842,ChB_3*AK842)+Rho*(ChB_1*AI842+ChB_2*AJ842+ChB_3*AK842),"")</f>
        <v>1.49689495865554</v>
      </c>
      <c r="AN842" s="12" t="n">
        <f aca="false">IF($J842=1,MAX(Cx_1*(Ref_P-E842)/Span_P,Cx_2*(Ref_S-F842)/Span_S,Cx_3*(Ref_B-G842)/Span_B),"")</f>
        <v>1.89387784846689</v>
      </c>
    </row>
    <row r="843" customFormat="false" ht="15" hidden="false" customHeight="false" outlineLevel="0" collapsed="false">
      <c r="A843" s="2" t="n">
        <v>837</v>
      </c>
      <c r="B843" s="15" t="n">
        <f aca="false">INT(A843/151)</f>
        <v>5</v>
      </c>
      <c r="C843" s="15" t="n">
        <f aca="false">MOD(A843,151)</f>
        <v>82</v>
      </c>
      <c r="D843" s="15" t="n">
        <f aca="false">INDEX(Grid!$J$6:$P$156,C843+1,B843+1)</f>
        <v>1</v>
      </c>
      <c r="E843" s="16" t="n">
        <f aca="false">IF(D843=1,INDEX(Grid!$B$6:$H$156,C843+1,B843+1),"")</f>
        <v>112.276139517634</v>
      </c>
      <c r="F843" s="13" t="n">
        <f aca="false">Val_pt*(Ceiling_e-E_zero)*(1-(1-Half_gap)^B843)</f>
        <v>135.625</v>
      </c>
      <c r="G843" s="15" t="n">
        <f aca="false">C843</f>
        <v>82</v>
      </c>
      <c r="H843" s="15" t="n">
        <f aca="false">IF(D843=1,INDEX(Grid!$R$6:$X$156,C843+1,B843+1),"")</f>
        <v>59</v>
      </c>
      <c r="I843" s="2" t="str">
        <f aca="false">IF(D843=1,INDEX(Sch_label,H843+1),"")</f>
        <v>1–3, 5, 6</v>
      </c>
      <c r="J843" s="15" t="n">
        <f aca="false">IF(D843=1,INDEX(Grid!$Z$6:$AF$156,C843+1,B843+1),0)</f>
        <v>1</v>
      </c>
      <c r="K843" s="16" t="n">
        <f aca="false">IF(J843=1,E843,0)</f>
        <v>112.276139517634</v>
      </c>
      <c r="L843" s="17" t="n">
        <f aca="false">IF(D843=1,E843+W_board*F843,"")</f>
        <v>877.84390715307</v>
      </c>
      <c r="M843" s="24" t="n">
        <v>1</v>
      </c>
      <c r="N843" s="25" t="n">
        <v>0.121286736192901</v>
      </c>
      <c r="O843" s="25" t="n">
        <v>0.833039660615898</v>
      </c>
      <c r="P843" s="25" t="n">
        <v>0.045673603191202</v>
      </c>
      <c r="Z843" s="12" t="n">
        <f aca="false">IF(AND($J843=1,$M843=1),N843*E843/Span_P+O843*F843/Span_S+P843*G843/Span_B,"")</f>
        <v>1.72865330050022</v>
      </c>
      <c r="AA843" s="12" t="n">
        <f aca="false">IF(AND($J843=1,$M843=1),SUMPRODUCT(MAX($J$6:$J$1062*(N843*$K$6:$K$1062/Span_P+O843*$F$6:$F$1062/Span_S+P843*$G$6:$G$1062/Span_B)-(1-$J$6:$J$1062)*1000000000)),"")</f>
        <v>1.72865330050022</v>
      </c>
      <c r="AB843" s="15" t="n">
        <f aca="false">IF(AND($J843=1,$M843=1),IF(AA843-Z843&lt;=0.000000001,1,0),"")</f>
        <v>1</v>
      </c>
      <c r="AC843" s="13" t="str">
        <f aca="false">IF(AND($J843=1,$M843=0),IF(S843="",0,S843*INDEX(Grid!$B$6:$H$156,R843+1,Q843+1))+IF(V843="",0,V843*INDEX(Grid!$B$6:$H$156,U843+1,T843+1))+IF(Y843="",0,Y843*INDEX(Grid!$B$6:$H$156,X843+1,W843+1)),"")</f>
        <v/>
      </c>
      <c r="AD843" s="13" t="str">
        <f aca="false">IF(AND($J843=1,$M843=0),IF(S843="",0,S843*Val_pt*(Ceiling_e-E_zero)*(1-(1-Half_gap)^Q843))+IF(V843="",0,V843*Val_pt*(Ceiling_e-E_zero)*(1-(1-Half_gap)^T843))+IF(Y843="",0,Y843*Val_pt*(Ceiling_e-E_zero)*(1-(1-Half_gap)^W843)),"")</f>
        <v/>
      </c>
      <c r="AE843" s="13" t="str">
        <f aca="false">IF(AND($J843=1,$M843=0),IF(S843="",0,S843*R843)+IF(V843="",0,V843*U843)+IF(Y843="",0,Y843*X843),"")</f>
        <v/>
      </c>
      <c r="AF843" s="12" t="str">
        <f aca="false">IF(AND($J843=1,$M843=0),MIN((AC843-E843)/Span_P,(AD843-F843)/Span_S,(AE843-G843)/Span_B),"")</f>
        <v/>
      </c>
      <c r="AG843" s="15" t="str">
        <f aca="false">IF(AND($J843=1,$M843=0),IF(AF843&gt;0.0000001,1,0),"")</f>
        <v/>
      </c>
      <c r="AH843" s="15" t="n">
        <f aca="false">IF($J843=1,IF($M843=1,AB843,AG843),"")</f>
        <v>1</v>
      </c>
      <c r="AI843" s="13" t="n">
        <f aca="false">IF($J843=1,(Ideal_P-E843)/Span_P,"")</f>
        <v>0.750858534397689</v>
      </c>
      <c r="AJ843" s="13" t="n">
        <f aca="false">IF($J843=1,(Ideal_S-F843)/Span_S,"")</f>
        <v>0.032258064516129</v>
      </c>
      <c r="AK843" s="13" t="n">
        <f aca="false">IF($J843=1,(Ideal_B-G843)/Span_B,"")</f>
        <v>0.453333333333333</v>
      </c>
      <c r="AL843" s="12" t="n">
        <f aca="false">IF($J843=1,MAX(ChA_1*AI843,ChA_2*AJ843,ChA_3*AK843)+Rho*(ChA_1*AI843+ChA_2*AJ843+ChA_3*AK843),"")</f>
        <v>0.750982179390913</v>
      </c>
      <c r="AM843" s="12" t="n">
        <f aca="false">IF($J843=1,MAX(ChB_1*AI843,ChB_2*AJ843,ChB_3*AK843)+Rho*(ChB_1*AI843+ChB_2*AJ843+ChB_3*AK843),"")</f>
        <v>1.50191579964204</v>
      </c>
      <c r="AN843" s="12" t="n">
        <f aca="false">IF($J843=1,MAX(Cx_1*(Ref_P-E843)/Span_P,Cx_2*(Ref_S-F843)/Span_S,Cx_3*(Ref_B-G843)/Span_B),"")</f>
        <v>1.90014751015032</v>
      </c>
    </row>
    <row r="844" customFormat="false" ht="15" hidden="false" customHeight="false" outlineLevel="0" collapsed="false">
      <c r="A844" s="2" t="n">
        <v>838</v>
      </c>
      <c r="B844" s="15" t="n">
        <f aca="false">INT(A844/151)</f>
        <v>5</v>
      </c>
      <c r="C844" s="15" t="n">
        <f aca="false">MOD(A844,151)</f>
        <v>83</v>
      </c>
      <c r="D844" s="15" t="n">
        <f aca="false">INDEX(Grid!$J$6:$P$156,C844+1,B844+1)</f>
        <v>1</v>
      </c>
      <c r="E844" s="16" t="n">
        <f aca="false">IF(D844=1,INDEX(Grid!$B$6:$H$156,C844+1,B844+1),"")</f>
        <v>111.367048608544</v>
      </c>
      <c r="F844" s="13" t="n">
        <f aca="false">Val_pt*(Ceiling_e-E_zero)*(1-(1-Half_gap)^B844)</f>
        <v>135.625</v>
      </c>
      <c r="G844" s="15" t="n">
        <f aca="false">C844</f>
        <v>83</v>
      </c>
      <c r="H844" s="15" t="n">
        <f aca="false">IF(D844=1,INDEX(Grid!$R$6:$X$156,C844+1,B844+1),"")</f>
        <v>59</v>
      </c>
      <c r="I844" s="2" t="str">
        <f aca="false">IF(D844=1,INDEX(Sch_label,H844+1),"")</f>
        <v>1–3, 5, 6</v>
      </c>
      <c r="J844" s="15" t="n">
        <f aca="false">IF(D844=1,INDEX(Grid!$Z$6:$AF$156,C844+1,B844+1),0)</f>
        <v>1</v>
      </c>
      <c r="K844" s="16" t="n">
        <f aca="false">IF(J844=1,E844,0)</f>
        <v>111.367048608544</v>
      </c>
      <c r="L844" s="17" t="n">
        <f aca="false">IF(D844=1,E844+W_board*F844,"")</f>
        <v>876.934816243979</v>
      </c>
      <c r="M844" s="24" t="n">
        <v>1</v>
      </c>
      <c r="N844" s="25" t="n">
        <v>0.121286736192901</v>
      </c>
      <c r="O844" s="25" t="n">
        <v>0.833039660615898</v>
      </c>
      <c r="P844" s="25" t="n">
        <v>0.045673603191201</v>
      </c>
      <c r="Z844" s="12" t="n">
        <f aca="false">IF(AND($J844=1,$M844=1),N844*E844/Span_P+O844*F844/Span_S+P844*G844/Span_B,"")</f>
        <v>1.72865330050022</v>
      </c>
      <c r="AA844" s="12" t="n">
        <f aca="false">IF(AND($J844=1,$M844=1),SUMPRODUCT(MAX($J$6:$J$1062*(N844*$K$6:$K$1062/Span_P+O844*$F$6:$F$1062/Span_S+P844*$G$6:$G$1062/Span_B)-(1-$J$6:$J$1062)*1000000000)),"")</f>
        <v>1.72865330050022</v>
      </c>
      <c r="AB844" s="15" t="n">
        <f aca="false">IF(AND($J844=1,$M844=1),IF(AA844-Z844&lt;=0.000000001,1,0),"")</f>
        <v>1</v>
      </c>
      <c r="AC844" s="13" t="str">
        <f aca="false">IF(AND($J844=1,$M844=0),IF(S844="",0,S844*INDEX(Grid!$B$6:$H$156,R844+1,Q844+1))+IF(V844="",0,V844*INDEX(Grid!$B$6:$H$156,U844+1,T844+1))+IF(Y844="",0,Y844*INDEX(Grid!$B$6:$H$156,X844+1,W844+1)),"")</f>
        <v/>
      </c>
      <c r="AD844" s="13" t="str">
        <f aca="false">IF(AND($J844=1,$M844=0),IF(S844="",0,S844*Val_pt*(Ceiling_e-E_zero)*(1-(1-Half_gap)^Q844))+IF(V844="",0,V844*Val_pt*(Ceiling_e-E_zero)*(1-(1-Half_gap)^T844))+IF(Y844="",0,Y844*Val_pt*(Ceiling_e-E_zero)*(1-(1-Half_gap)^W844)),"")</f>
        <v/>
      </c>
      <c r="AE844" s="13" t="str">
        <f aca="false">IF(AND($J844=1,$M844=0),IF(S844="",0,S844*R844)+IF(V844="",0,V844*U844)+IF(Y844="",0,Y844*X844),"")</f>
        <v/>
      </c>
      <c r="AF844" s="12" t="str">
        <f aca="false">IF(AND($J844=1,$M844=0),MIN((AC844-E844)/Span_P,(AD844-F844)/Span_S,(AE844-G844)/Span_B),"")</f>
        <v/>
      </c>
      <c r="AG844" s="15" t="str">
        <f aca="false">IF(AND($J844=1,$M844=0),IF(AF844&gt;0.0000001,1,0),"")</f>
        <v/>
      </c>
      <c r="AH844" s="15" t="n">
        <f aca="false">IF($J844=1,IF($M844=1,AB844,AG844),"")</f>
        <v>1</v>
      </c>
      <c r="AI844" s="13" t="n">
        <f aca="false">IF($J844=1,(Ideal_P-E844)/Span_P,"")</f>
        <v>0.753369037173994</v>
      </c>
      <c r="AJ844" s="13" t="n">
        <f aca="false">IF($J844=1,(Ideal_S-F844)/Span_S,"")</f>
        <v>0.032258064516129</v>
      </c>
      <c r="AK844" s="13" t="n">
        <f aca="false">IF($J844=1,(Ideal_B-G844)/Span_B,"")</f>
        <v>0.446666666666667</v>
      </c>
      <c r="AL844" s="12" t="n">
        <f aca="false">IF($J844=1,MAX(ChA_1*AI844,ChA_2*AJ844,ChA_3*AK844)+Rho*(ChA_1*AI844+ChA_2*AJ844+ChA_3*AK844),"")</f>
        <v>0.75349226655083</v>
      </c>
      <c r="AM844" s="12" t="n">
        <f aca="false">IF($J844=1,MAX(ChB_1*AI844,ChB_2*AJ844,ChB_3*AK844)+Rho*(ChB_1*AI844+ChB_2*AJ844+ChB_3*AK844),"")</f>
        <v>1.50693664062854</v>
      </c>
      <c r="AN844" s="12" t="n">
        <f aca="false">IF($J844=1,MAX(Cx_1*(Ref_P-E844)/Span_P,Cx_2*(Ref_S-F844)/Span_S,Cx_3*(Ref_B-G844)/Span_B),"")</f>
        <v>1.90641717183375</v>
      </c>
    </row>
    <row r="845" customFormat="false" ht="15" hidden="false" customHeight="false" outlineLevel="0" collapsed="false">
      <c r="A845" s="2" t="n">
        <v>839</v>
      </c>
      <c r="B845" s="15" t="n">
        <f aca="false">INT(A845/151)</f>
        <v>5</v>
      </c>
      <c r="C845" s="15" t="n">
        <f aca="false">MOD(A845,151)</f>
        <v>84</v>
      </c>
      <c r="D845" s="15" t="n">
        <f aca="false">INDEX(Grid!$J$6:$P$156,C845+1,B845+1)</f>
        <v>1</v>
      </c>
      <c r="E845" s="16" t="n">
        <f aca="false">IF(D845=1,INDEX(Grid!$B$6:$H$156,C845+1,B845+1),"")</f>
        <v>110.457957699453</v>
      </c>
      <c r="F845" s="13" t="n">
        <f aca="false">Val_pt*(Ceiling_e-E_zero)*(1-(1-Half_gap)^B845)</f>
        <v>135.625</v>
      </c>
      <c r="G845" s="15" t="n">
        <f aca="false">C845</f>
        <v>84</v>
      </c>
      <c r="H845" s="15" t="n">
        <f aca="false">IF(D845=1,INDEX(Grid!$R$6:$X$156,C845+1,B845+1),"")</f>
        <v>59</v>
      </c>
      <c r="I845" s="2" t="str">
        <f aca="false">IF(D845=1,INDEX(Sch_label,H845+1),"")</f>
        <v>1–3, 5, 6</v>
      </c>
      <c r="J845" s="15" t="n">
        <f aca="false">IF(D845=1,INDEX(Grid!$Z$6:$AF$156,C845+1,B845+1),0)</f>
        <v>1</v>
      </c>
      <c r="K845" s="16" t="n">
        <f aca="false">IF(J845=1,E845,0)</f>
        <v>110.457957699453</v>
      </c>
      <c r="L845" s="17" t="n">
        <f aca="false">IF(D845=1,E845+W_board*F845,"")</f>
        <v>876.025725334888</v>
      </c>
      <c r="M845" s="24" t="n">
        <v>1</v>
      </c>
      <c r="N845" s="25" t="n">
        <v>0.121286736192901</v>
      </c>
      <c r="O845" s="25" t="n">
        <v>0.833039660615898</v>
      </c>
      <c r="P845" s="25" t="n">
        <v>0.0456736031912018</v>
      </c>
      <c r="Z845" s="12" t="n">
        <f aca="false">IF(AND($J845=1,$M845=1),N845*E845/Span_P+O845*F845/Span_S+P845*G845/Span_B,"")</f>
        <v>1.72865330050022</v>
      </c>
      <c r="AA845" s="12" t="n">
        <f aca="false">IF(AND($J845=1,$M845=1),SUMPRODUCT(MAX($J$6:$J$1062*(N845*$K$6:$K$1062/Span_P+O845*$F$6:$F$1062/Span_S+P845*$G$6:$G$1062/Span_B)-(1-$J$6:$J$1062)*1000000000)),"")</f>
        <v>1.72865330050022</v>
      </c>
      <c r="AB845" s="15" t="n">
        <f aca="false">IF(AND($J845=1,$M845=1),IF(AA845-Z845&lt;=0.000000001,1,0),"")</f>
        <v>1</v>
      </c>
      <c r="AC845" s="13" t="str">
        <f aca="false">IF(AND($J845=1,$M845=0),IF(S845="",0,S845*INDEX(Grid!$B$6:$H$156,R845+1,Q845+1))+IF(V845="",0,V845*INDEX(Grid!$B$6:$H$156,U845+1,T845+1))+IF(Y845="",0,Y845*INDEX(Grid!$B$6:$H$156,X845+1,W845+1)),"")</f>
        <v/>
      </c>
      <c r="AD845" s="13" t="str">
        <f aca="false">IF(AND($J845=1,$M845=0),IF(S845="",0,S845*Val_pt*(Ceiling_e-E_zero)*(1-(1-Half_gap)^Q845))+IF(V845="",0,V845*Val_pt*(Ceiling_e-E_zero)*(1-(1-Half_gap)^T845))+IF(Y845="",0,Y845*Val_pt*(Ceiling_e-E_zero)*(1-(1-Half_gap)^W845)),"")</f>
        <v/>
      </c>
      <c r="AE845" s="13" t="str">
        <f aca="false">IF(AND($J845=1,$M845=0),IF(S845="",0,S845*R845)+IF(V845="",0,V845*U845)+IF(Y845="",0,Y845*X845),"")</f>
        <v/>
      </c>
      <c r="AF845" s="12" t="str">
        <f aca="false">IF(AND($J845=1,$M845=0),MIN((AC845-E845)/Span_P,(AD845-F845)/Span_S,(AE845-G845)/Span_B),"")</f>
        <v/>
      </c>
      <c r="AG845" s="15" t="str">
        <f aca="false">IF(AND($J845=1,$M845=0),IF(AF845&gt;0.0000001,1,0),"")</f>
        <v/>
      </c>
      <c r="AH845" s="15" t="n">
        <f aca="false">IF($J845=1,IF($M845=1,AB845,AG845),"")</f>
        <v>1</v>
      </c>
      <c r="AI845" s="13" t="n">
        <f aca="false">IF($J845=1,(Ideal_P-E845)/Span_P,"")</f>
        <v>0.7558795399503</v>
      </c>
      <c r="AJ845" s="13" t="n">
        <f aca="false">IF($J845=1,(Ideal_S-F845)/Span_S,"")</f>
        <v>0.032258064516129</v>
      </c>
      <c r="AK845" s="13" t="n">
        <f aca="false">IF($J845=1,(Ideal_B-G845)/Span_B,"")</f>
        <v>0.44</v>
      </c>
      <c r="AL845" s="12" t="n">
        <f aca="false">IF($J845=1,MAX(ChA_1*AI845,ChA_2*AJ845,ChA_3*AK845)+Rho*(ChA_1*AI845+ChA_2*AJ845+ChA_3*AK845),"")</f>
        <v>0.756002353710747</v>
      </c>
      <c r="AM845" s="12" t="n">
        <f aca="false">IF($J845=1,MAX(ChB_1*AI845,ChB_2*AJ845,ChB_3*AK845)+Rho*(ChB_1*AI845+ChB_2*AJ845+ChB_3*AK845),"")</f>
        <v>1.51195748161504</v>
      </c>
      <c r="AN845" s="12" t="n">
        <f aca="false">IF($J845=1,MAX(Cx_1*(Ref_P-E845)/Span_P,Cx_2*(Ref_S-F845)/Span_S,Cx_3*(Ref_B-G845)/Span_B),"")</f>
        <v>1.91268683351718</v>
      </c>
    </row>
    <row r="846" customFormat="false" ht="15" hidden="false" customHeight="false" outlineLevel="0" collapsed="false">
      <c r="A846" s="2" t="n">
        <v>840</v>
      </c>
      <c r="B846" s="15" t="n">
        <f aca="false">INT(A846/151)</f>
        <v>5</v>
      </c>
      <c r="C846" s="15" t="n">
        <f aca="false">MOD(A846,151)</f>
        <v>85</v>
      </c>
      <c r="D846" s="15" t="n">
        <f aca="false">INDEX(Grid!$J$6:$P$156,C846+1,B846+1)</f>
        <v>1</v>
      </c>
      <c r="E846" s="16" t="n">
        <f aca="false">IF(D846=1,INDEX(Grid!$B$6:$H$156,C846+1,B846+1),"")</f>
        <v>109.548866790362</v>
      </c>
      <c r="F846" s="13" t="n">
        <f aca="false">Val_pt*(Ceiling_e-E_zero)*(1-(1-Half_gap)^B846)</f>
        <v>135.625</v>
      </c>
      <c r="G846" s="15" t="n">
        <f aca="false">C846</f>
        <v>85</v>
      </c>
      <c r="H846" s="15" t="n">
        <f aca="false">IF(D846=1,INDEX(Grid!$R$6:$X$156,C846+1,B846+1),"")</f>
        <v>59</v>
      </c>
      <c r="I846" s="2" t="str">
        <f aca="false">IF(D846=1,INDEX(Sch_label,H846+1),"")</f>
        <v>1–3, 5, 6</v>
      </c>
      <c r="J846" s="15" t="n">
        <f aca="false">IF(D846=1,INDEX(Grid!$Z$6:$AF$156,C846+1,B846+1),0)</f>
        <v>1</v>
      </c>
      <c r="K846" s="16" t="n">
        <f aca="false">IF(J846=1,E846,0)</f>
        <v>109.548866790362</v>
      </c>
      <c r="L846" s="17" t="n">
        <f aca="false">IF(D846=1,E846+W_board*F846,"")</f>
        <v>875.116634425797</v>
      </c>
      <c r="M846" s="24" t="n">
        <v>1</v>
      </c>
      <c r="N846" s="25" t="n">
        <v>0.121286736192901</v>
      </c>
      <c r="O846" s="25" t="n">
        <v>0.833039660615898</v>
      </c>
      <c r="P846" s="25" t="n">
        <v>0.0456736031912014</v>
      </c>
      <c r="Z846" s="12" t="n">
        <f aca="false">IF(AND($J846=1,$M846=1),N846*E846/Span_P+O846*F846/Span_S+P846*G846/Span_B,"")</f>
        <v>1.72865330050022</v>
      </c>
      <c r="AA846" s="12" t="n">
        <f aca="false">IF(AND($J846=1,$M846=1),SUMPRODUCT(MAX($J$6:$J$1062*(N846*$K$6:$K$1062/Span_P+O846*$F$6:$F$1062/Span_S+P846*$G$6:$G$1062/Span_B)-(1-$J$6:$J$1062)*1000000000)),"")</f>
        <v>1.72865330050022</v>
      </c>
      <c r="AB846" s="15" t="n">
        <f aca="false">IF(AND($J846=1,$M846=1),IF(AA846-Z846&lt;=0.000000001,1,0),"")</f>
        <v>1</v>
      </c>
      <c r="AC846" s="13" t="str">
        <f aca="false">IF(AND($J846=1,$M846=0),IF(S846="",0,S846*INDEX(Grid!$B$6:$H$156,R846+1,Q846+1))+IF(V846="",0,V846*INDEX(Grid!$B$6:$H$156,U846+1,T846+1))+IF(Y846="",0,Y846*INDEX(Grid!$B$6:$H$156,X846+1,W846+1)),"")</f>
        <v/>
      </c>
      <c r="AD846" s="13" t="str">
        <f aca="false">IF(AND($J846=1,$M846=0),IF(S846="",0,S846*Val_pt*(Ceiling_e-E_zero)*(1-(1-Half_gap)^Q846))+IF(V846="",0,V846*Val_pt*(Ceiling_e-E_zero)*(1-(1-Half_gap)^T846))+IF(Y846="",0,Y846*Val_pt*(Ceiling_e-E_zero)*(1-(1-Half_gap)^W846)),"")</f>
        <v/>
      </c>
      <c r="AE846" s="13" t="str">
        <f aca="false">IF(AND($J846=1,$M846=0),IF(S846="",0,S846*R846)+IF(V846="",0,V846*U846)+IF(Y846="",0,Y846*X846),"")</f>
        <v/>
      </c>
      <c r="AF846" s="12" t="str">
        <f aca="false">IF(AND($J846=1,$M846=0),MIN((AC846-E846)/Span_P,(AD846-F846)/Span_S,(AE846-G846)/Span_B),"")</f>
        <v/>
      </c>
      <c r="AG846" s="15" t="str">
        <f aca="false">IF(AND($J846=1,$M846=0),IF(AF846&gt;0.0000001,1,0),"")</f>
        <v/>
      </c>
      <c r="AH846" s="15" t="n">
        <f aca="false">IF($J846=1,IF($M846=1,AB846,AG846),"")</f>
        <v>1</v>
      </c>
      <c r="AI846" s="13" t="n">
        <f aca="false">IF($J846=1,(Ideal_P-E846)/Span_P,"")</f>
        <v>0.758390042726606</v>
      </c>
      <c r="AJ846" s="13" t="n">
        <f aca="false">IF($J846=1,(Ideal_S-F846)/Span_S,"")</f>
        <v>0.032258064516129</v>
      </c>
      <c r="AK846" s="13" t="n">
        <f aca="false">IF($J846=1,(Ideal_B-G846)/Span_B,"")</f>
        <v>0.433333333333333</v>
      </c>
      <c r="AL846" s="12" t="n">
        <f aca="false">IF($J846=1,MAX(ChA_1*AI846,ChA_2*AJ846,ChA_3*AK846)+Rho*(ChA_1*AI846+ChA_2*AJ846+ChA_3*AK846),"")</f>
        <v>0.758512440870663</v>
      </c>
      <c r="AM846" s="12" t="n">
        <f aca="false">IF($J846=1,MAX(ChB_1*AI846,ChB_2*AJ846,ChB_3*AK846)+Rho*(ChB_1*AI846+ChB_2*AJ846+ChB_3*AK846),"")</f>
        <v>1.51697832260154</v>
      </c>
      <c r="AN846" s="12" t="n">
        <f aca="false">IF($J846=1,MAX(Cx_1*(Ref_P-E846)/Span_P,Cx_2*(Ref_S-F846)/Span_S,Cx_3*(Ref_B-G846)/Span_B),"")</f>
        <v>1.91895649520061</v>
      </c>
    </row>
    <row r="847" customFormat="false" ht="15" hidden="false" customHeight="false" outlineLevel="0" collapsed="false">
      <c r="A847" s="2" t="n">
        <v>841</v>
      </c>
      <c r="B847" s="15" t="n">
        <f aca="false">INT(A847/151)</f>
        <v>5</v>
      </c>
      <c r="C847" s="15" t="n">
        <f aca="false">MOD(A847,151)</f>
        <v>86</v>
      </c>
      <c r="D847" s="15" t="n">
        <f aca="false">INDEX(Grid!$J$6:$P$156,C847+1,B847+1)</f>
        <v>1</v>
      </c>
      <c r="E847" s="16" t="n">
        <f aca="false">IF(D847=1,INDEX(Grid!$B$6:$H$156,C847+1,B847+1),"")</f>
        <v>104.620241696447</v>
      </c>
      <c r="F847" s="13" t="n">
        <f aca="false">Val_pt*(Ceiling_e-E_zero)*(1-(1-Half_gap)^B847)</f>
        <v>135.625</v>
      </c>
      <c r="G847" s="15" t="n">
        <f aca="false">C847</f>
        <v>86</v>
      </c>
      <c r="H847" s="15" t="n">
        <f aca="false">IF(D847=1,INDEX(Grid!$R$6:$X$156,C847+1,B847+1),"")</f>
        <v>55</v>
      </c>
      <c r="I847" s="2" t="str">
        <f aca="false">IF(D847=1,INDEX(Sch_label,H847+1),"")</f>
        <v>1, 2, 4–6</v>
      </c>
      <c r="J847" s="15" t="n">
        <f aca="false">IF(D847=1,INDEX(Grid!$Z$6:$AF$156,C847+1,B847+1),0)</f>
        <v>1</v>
      </c>
      <c r="K847" s="16" t="n">
        <f aca="false">IF(J847=1,E847,0)</f>
        <v>104.620241696447</v>
      </c>
      <c r="L847" s="17" t="n">
        <f aca="false">IF(D847=1,E847+W_board*F847,"")</f>
        <v>870.188009331883</v>
      </c>
      <c r="M847" s="24" t="n">
        <v>0</v>
      </c>
      <c r="Q847" s="24" t="n">
        <v>5</v>
      </c>
      <c r="R847" s="24" t="n">
        <v>85</v>
      </c>
      <c r="S847" s="25" t="n">
        <v>0.882499231470807</v>
      </c>
      <c r="T847" s="24" t="n">
        <v>5</v>
      </c>
      <c r="U847" s="24" t="n">
        <v>100</v>
      </c>
      <c r="V847" s="25" t="n">
        <v>0.0790652280965514</v>
      </c>
      <c r="W847" s="24" t="n">
        <v>6</v>
      </c>
      <c r="X847" s="24" t="n">
        <v>85</v>
      </c>
      <c r="Y847" s="25" t="n">
        <v>0.0384355404326418</v>
      </c>
      <c r="Z847" s="12" t="str">
        <f aca="false">IF(AND($J847=1,$M847=1),N847*E847/Span_P+O847*F847/Span_S+P847*G847/Span_B,"")</f>
        <v/>
      </c>
      <c r="AA847" s="12" t="str">
        <f aca="false">IF(AND($J847=1,$M847=1),SUMPRODUCT(MAX($J$6:$J$1062*(N847*$K$6:$K$1062/Span_P+O847*$F$6:$F$1062/Span_S+P847*$G$6:$G$1062/Span_B)-(1-$J$6:$J$1062)*1000000000)),"")</f>
        <v/>
      </c>
      <c r="AB847" s="15" t="str">
        <f aca="false">IF(AND($J847=1,$M847=1),IF(AA847-Z847&lt;=0.000000001,1,0),"")</f>
        <v/>
      </c>
      <c r="AC847" s="13" t="n">
        <f aca="false">IF(AND($J847=1,$M847=0),IF(S847="",0,S847*INDEX(Grid!$B$6:$H$156,R847+1,Q847+1))+IF(V847="",0,V847*INDEX(Grid!$B$6:$H$156,U847+1,T847+1))+IF(Y847="",0,Y847*INDEX(Grid!$B$6:$H$156,X847+1,W847+1)),"")</f>
        <v>105.069212300587</v>
      </c>
      <c r="AD847" s="13" t="n">
        <f aca="false">IF(AND($J847=1,$M847=0),IF(S847="",0,S847*Val_pt*(Ceiling_e-E_zero)*(1-(1-Half_gap)^Q847))+IF(V847="",0,V847*Val_pt*(Ceiling_e-E_zero)*(1-(1-Half_gap)^T847))+IF(Y847="",0,Y847*Val_pt*(Ceiling_e-E_zero)*(1-(1-Half_gap)^W847)),"")</f>
        <v>135.709077744696</v>
      </c>
      <c r="AE847" s="13" t="n">
        <f aca="false">IF(AND($J847=1,$M847=0),IF(S847="",0,S847*R847)+IF(V847="",0,V847*U847)+IF(Y847="",0,Y847*X847),"")</f>
        <v>86.1859784214483</v>
      </c>
      <c r="AF847" s="12" t="n">
        <f aca="false">IF(AND($J847=1,$M847=0),MIN((AC847-E847)/Span_P,(AD847-F847)/Span_S,(AE847-G847)/Span_B),"")</f>
        <v>0.00123985614298799</v>
      </c>
      <c r="AG847" s="15" t="n">
        <f aca="false">IF(AND($J847=1,$M847=0),IF(AF847&gt;0.0000001,1,0),"")</f>
        <v>1</v>
      </c>
      <c r="AH847" s="15" t="n">
        <f aca="false">IF($J847=1,IF($M847=1,AB847,AG847),"")</f>
        <v>1</v>
      </c>
      <c r="AI847" s="13" t="n">
        <f aca="false">IF($J847=1,(Ideal_P-E847)/Span_P,"")</f>
        <v>0.772000702406412</v>
      </c>
      <c r="AJ847" s="13" t="n">
        <f aca="false">IF($J847=1,(Ideal_S-F847)/Span_S,"")</f>
        <v>0.032258064516129</v>
      </c>
      <c r="AK847" s="13" t="n">
        <f aca="false">IF($J847=1,(Ideal_B-G847)/Span_B,"")</f>
        <v>0.426666666666667</v>
      </c>
      <c r="AL847" s="12" t="n">
        <f aca="false">IF($J847=1,MAX(ChA_1*AI847,ChA_2*AJ847,ChA_3*AK847)+Rho*(ChA_1*AI847+ChA_2*AJ847+ChA_3*AK847),"")</f>
        <v>0.772123794949771</v>
      </c>
      <c r="AM847" s="12" t="n">
        <f aca="false">IF($J847=1,MAX(ChB_1*AI847,ChB_2*AJ847,ChB_3*AK847)+Rho*(ChB_1*AI847+ChB_2*AJ847+ChB_3*AK847),"")</f>
        <v>1.54420169742642</v>
      </c>
      <c r="AN847" s="12" t="n">
        <f aca="false">IF($J847=1,MAX(Cx_1*(Ref_P-E847)/Span_P,Cx_2*(Ref_S-F847)/Span_S,Cx_3*(Ref_B-G847)/Span_B),"")</f>
        <v>1.95294738829424</v>
      </c>
    </row>
    <row r="848" customFormat="false" ht="15" hidden="false" customHeight="false" outlineLevel="0" collapsed="false">
      <c r="A848" s="2" t="n">
        <v>842</v>
      </c>
      <c r="B848" s="15" t="n">
        <f aca="false">INT(A848/151)</f>
        <v>5</v>
      </c>
      <c r="C848" s="15" t="n">
        <f aca="false">MOD(A848,151)</f>
        <v>87</v>
      </c>
      <c r="D848" s="15" t="n">
        <f aca="false">INDEX(Grid!$J$6:$P$156,C848+1,B848+1)</f>
        <v>1</v>
      </c>
      <c r="E848" s="16" t="n">
        <f aca="false">IF(D848=1,INDEX(Grid!$B$6:$H$156,C848+1,B848+1),"")</f>
        <v>103.711150787356</v>
      </c>
      <c r="F848" s="13" t="n">
        <f aca="false">Val_pt*(Ceiling_e-E_zero)*(1-(1-Half_gap)^B848)</f>
        <v>135.625</v>
      </c>
      <c r="G848" s="15" t="n">
        <f aca="false">C848</f>
        <v>87</v>
      </c>
      <c r="H848" s="15" t="n">
        <f aca="false">IF(D848=1,INDEX(Grid!$R$6:$X$156,C848+1,B848+1),"")</f>
        <v>55</v>
      </c>
      <c r="I848" s="2" t="str">
        <f aca="false">IF(D848=1,INDEX(Sch_label,H848+1),"")</f>
        <v>1, 2, 4–6</v>
      </c>
      <c r="J848" s="15" t="n">
        <f aca="false">IF(D848=1,INDEX(Grid!$Z$6:$AF$156,C848+1,B848+1),0)</f>
        <v>1</v>
      </c>
      <c r="K848" s="16" t="n">
        <f aca="false">IF(J848=1,E848,0)</f>
        <v>103.711150787356</v>
      </c>
      <c r="L848" s="17" t="n">
        <f aca="false">IF(D848=1,E848+W_board*F848,"")</f>
        <v>869.278918422792</v>
      </c>
      <c r="M848" s="24" t="n">
        <v>0</v>
      </c>
      <c r="Q848" s="24" t="n">
        <v>5</v>
      </c>
      <c r="R848" s="24" t="n">
        <v>85</v>
      </c>
      <c r="S848" s="25" t="n">
        <v>0.819463572080035</v>
      </c>
      <c r="T848" s="24" t="n">
        <v>5</v>
      </c>
      <c r="U848" s="24" t="n">
        <v>100</v>
      </c>
      <c r="V848" s="25" t="n">
        <v>0.144846283232512</v>
      </c>
      <c r="W848" s="24" t="n">
        <v>6</v>
      </c>
      <c r="X848" s="24" t="n">
        <v>85</v>
      </c>
      <c r="Y848" s="25" t="n">
        <v>0.0356901446874532</v>
      </c>
      <c r="Z848" s="12" t="str">
        <f aca="false">IF(AND($J848=1,$M848=1),N848*E848/Span_P+O848*F848/Span_S+P848*G848/Span_B,"")</f>
        <v/>
      </c>
      <c r="AA848" s="12" t="str">
        <f aca="false">IF(AND($J848=1,$M848=1),SUMPRODUCT(MAX($J$6:$J$1062*(N848*$K$6:$K$1062/Span_P+O848*$F$6:$F$1062/Span_S+P848*$G$6:$G$1062/Span_B)-(1-$J$6:$J$1062)*1000000000)),"")</f>
        <v/>
      </c>
      <c r="AB848" s="15" t="str">
        <f aca="false">IF(AND($J848=1,$M848=1),IF(AA848-Z848&lt;=0.000000001,1,0),"")</f>
        <v/>
      </c>
      <c r="AC848" s="13" t="n">
        <f aca="false">IF(AND($J848=1,$M848=0),IF(S848="",0,S848*INDEX(Grid!$B$6:$H$156,R848+1,Q848+1))+IF(V848="",0,V848*INDEX(Grid!$B$6:$H$156,U848+1,T848+1))+IF(Y848="",0,Y848*INDEX(Grid!$B$6:$H$156,X848+1,W848+1)),"")</f>
        <v>104.128052062629</v>
      </c>
      <c r="AD848" s="13" t="n">
        <f aca="false">IF(AND($J848=1,$M848=0),IF(S848="",0,S848*Val_pt*(Ceiling_e-E_zero)*(1-(1-Half_gap)^Q848))+IF(V848="",0,V848*Val_pt*(Ceiling_e-E_zero)*(1-(1-Half_gap)^T848))+IF(Y848="",0,Y848*Val_pt*(Ceiling_e-E_zero)*(1-(1-Half_gap)^W848)),"")</f>
        <v>135.703072191504</v>
      </c>
      <c r="AE848" s="13" t="n">
        <f aca="false">IF(AND($J848=1,$M848=0),IF(S848="",0,S848*R848)+IF(V848="",0,V848*U848)+IF(Y848="",0,Y848*X848),"")</f>
        <v>87.1726942484877</v>
      </c>
      <c r="AF848" s="12" t="n">
        <f aca="false">IF(AND($J848=1,$M848=0),MIN((AC848-E848)/Span_P,(AD848-F848)/Span_S,(AE848-G848)/Span_B),"")</f>
        <v>0.00115129498991768</v>
      </c>
      <c r="AG848" s="15" t="n">
        <f aca="false">IF(AND($J848=1,$M848=0),IF(AF848&gt;0.0000001,1,0),"")</f>
        <v>1</v>
      </c>
      <c r="AH848" s="15" t="n">
        <f aca="false">IF($J848=1,IF($M848=1,AB848,AG848),"")</f>
        <v>1</v>
      </c>
      <c r="AI848" s="13" t="n">
        <f aca="false">IF($J848=1,(Ideal_P-E848)/Span_P,"")</f>
        <v>0.774511205182718</v>
      </c>
      <c r="AJ848" s="13" t="n">
        <f aca="false">IF($J848=1,(Ideal_S-F848)/Span_S,"")</f>
        <v>0.032258064516129</v>
      </c>
      <c r="AK848" s="13" t="n">
        <f aca="false">IF($J848=1,(Ideal_B-G848)/Span_B,"")</f>
        <v>0.42</v>
      </c>
      <c r="AL848" s="12" t="n">
        <f aca="false">IF($J848=1,MAX(ChA_1*AI848,ChA_2*AJ848,ChA_3*AK848)+Rho*(ChA_1*AI848+ChA_2*AJ848+ChA_3*AK848),"")</f>
        <v>0.774633882109688</v>
      </c>
      <c r="AM848" s="12" t="n">
        <f aca="false">IF($J848=1,MAX(ChB_1*AI848,ChB_2*AJ848,ChB_3*AK848)+Rho*(ChB_1*AI848+ChB_2*AJ848+ChB_3*AK848),"")</f>
        <v>1.54922253841292</v>
      </c>
      <c r="AN848" s="12" t="n">
        <f aca="false">IF($J848=1,MAX(Cx_1*(Ref_P-E848)/Span_P,Cx_2*(Ref_S-F848)/Span_S,Cx_3*(Ref_B-G848)/Span_B),"")</f>
        <v>1.95921704997767</v>
      </c>
    </row>
    <row r="849" customFormat="false" ht="15" hidden="false" customHeight="false" outlineLevel="0" collapsed="false">
      <c r="A849" s="2" t="n">
        <v>843</v>
      </c>
      <c r="B849" s="15" t="n">
        <f aca="false">INT(A849/151)</f>
        <v>5</v>
      </c>
      <c r="C849" s="15" t="n">
        <f aca="false">MOD(A849,151)</f>
        <v>88</v>
      </c>
      <c r="D849" s="15" t="n">
        <f aca="false">INDEX(Grid!$J$6:$P$156,C849+1,B849+1)</f>
        <v>1</v>
      </c>
      <c r="E849" s="16" t="n">
        <f aca="false">IF(D849=1,INDEX(Grid!$B$6:$H$156,C849+1,B849+1),"")</f>
        <v>102.802059878266</v>
      </c>
      <c r="F849" s="13" t="n">
        <f aca="false">Val_pt*(Ceiling_e-E_zero)*(1-(1-Half_gap)^B849)</f>
        <v>135.625</v>
      </c>
      <c r="G849" s="15" t="n">
        <f aca="false">C849</f>
        <v>88</v>
      </c>
      <c r="H849" s="15" t="n">
        <f aca="false">IF(D849=1,INDEX(Grid!$R$6:$X$156,C849+1,B849+1),"")</f>
        <v>55</v>
      </c>
      <c r="I849" s="2" t="str">
        <f aca="false">IF(D849=1,INDEX(Sch_label,H849+1),"")</f>
        <v>1, 2, 4–6</v>
      </c>
      <c r="J849" s="15" t="n">
        <f aca="false">IF(D849=1,INDEX(Grid!$Z$6:$AF$156,C849+1,B849+1),0)</f>
        <v>1</v>
      </c>
      <c r="K849" s="16" t="n">
        <f aca="false">IF(J849=1,E849,0)</f>
        <v>102.802059878266</v>
      </c>
      <c r="L849" s="17" t="n">
        <f aca="false">IF(D849=1,E849+W_board*F849,"")</f>
        <v>868.369827513701</v>
      </c>
      <c r="M849" s="24" t="n">
        <v>0</v>
      </c>
      <c r="Q849" s="24" t="n">
        <v>5</v>
      </c>
      <c r="R849" s="24" t="n">
        <v>85</v>
      </c>
      <c r="S849" s="25" t="n">
        <v>0.756427912689264</v>
      </c>
      <c r="T849" s="24" t="n">
        <v>5</v>
      </c>
      <c r="U849" s="24" t="n">
        <v>100</v>
      </c>
      <c r="V849" s="25" t="n">
        <v>0.210627338368473</v>
      </c>
      <c r="W849" s="24" t="n">
        <v>6</v>
      </c>
      <c r="X849" s="24" t="n">
        <v>85</v>
      </c>
      <c r="Y849" s="25" t="n">
        <v>0.0329447489422621</v>
      </c>
      <c r="Z849" s="12" t="str">
        <f aca="false">IF(AND($J849=1,$M849=1),N849*E849/Span_P+O849*F849/Span_S+P849*G849/Span_B,"")</f>
        <v/>
      </c>
      <c r="AA849" s="12" t="str">
        <f aca="false">IF(AND($J849=1,$M849=1),SUMPRODUCT(MAX($J$6:$J$1062*(N849*$K$6:$K$1062/Span_P+O849*$F$6:$F$1062/Span_S+P849*$G$6:$G$1062/Span_B)-(1-$J$6:$J$1062)*1000000000)),"")</f>
        <v/>
      </c>
      <c r="AB849" s="15" t="str">
        <f aca="false">IF(AND($J849=1,$M849=1),IF(AA849-Z849&lt;=0.000000001,1,0),"")</f>
        <v/>
      </c>
      <c r="AC849" s="13" t="n">
        <f aca="false">IF(AND($J849=1,$M849=0),IF(S849="",0,S849*INDEX(Grid!$B$6:$H$156,R849+1,Q849+1))+IF(V849="",0,V849*INDEX(Grid!$B$6:$H$156,U849+1,T849+1))+IF(Y849="",0,Y849*INDEX(Grid!$B$6:$H$156,X849+1,W849+1)),"")</f>
        <v>103.186891824671</v>
      </c>
      <c r="AD849" s="13" t="n">
        <f aca="false">IF(AND($J849=1,$M849=0),IF(S849="",0,S849*Val_pt*(Ceiling_e-E_zero)*(1-(1-Half_gap)^Q849))+IF(V849="",0,V849*Val_pt*(Ceiling_e-E_zero)*(1-(1-Half_gap)^T849))+IF(Y849="",0,Y849*Val_pt*(Ceiling_e-E_zero)*(1-(1-Half_gap)^W849)),"")</f>
        <v>135.697066638311</v>
      </c>
      <c r="AE849" s="13" t="n">
        <f aca="false">IF(AND($J849=1,$M849=0),IF(S849="",0,S849*R849)+IF(V849="",0,V849*U849)+IF(Y849="",0,Y849*X849),"")</f>
        <v>88.159410075527</v>
      </c>
      <c r="AF849" s="12" t="n">
        <f aca="false">IF(AND($J849=1,$M849=0),MIN((AC849-E849)/Span_P,(AD849-F849)/Span_S,(AE849-G849)/Span_B),"")</f>
        <v>0.00106273383684487</v>
      </c>
      <c r="AG849" s="15" t="n">
        <f aca="false">IF(AND($J849=1,$M849=0),IF(AF849&gt;0.0000001,1,0),"")</f>
        <v>1</v>
      </c>
      <c r="AH849" s="15" t="n">
        <f aca="false">IF($J849=1,IF($M849=1,AB849,AG849),"")</f>
        <v>1</v>
      </c>
      <c r="AI849" s="13" t="n">
        <f aca="false">IF($J849=1,(Ideal_P-E849)/Span_P,"")</f>
        <v>0.777021707959024</v>
      </c>
      <c r="AJ849" s="13" t="n">
        <f aca="false">IF($J849=1,(Ideal_S-F849)/Span_S,"")</f>
        <v>0.032258064516129</v>
      </c>
      <c r="AK849" s="13" t="n">
        <f aca="false">IF($J849=1,(Ideal_B-G849)/Span_B,"")</f>
        <v>0.413333333333333</v>
      </c>
      <c r="AL849" s="12" t="n">
        <f aca="false">IF($J849=1,MAX(ChA_1*AI849,ChA_2*AJ849,ChA_3*AK849)+Rho*(ChA_1*AI849+ChA_2*AJ849+ChA_3*AK849),"")</f>
        <v>0.777143969269605</v>
      </c>
      <c r="AM849" s="12" t="n">
        <f aca="false">IF($J849=1,MAX(ChB_1*AI849,ChB_2*AJ849,ChB_3*AK849)+Rho*(ChB_1*AI849+ChB_2*AJ849+ChB_3*AK849),"")</f>
        <v>1.55424337939942</v>
      </c>
      <c r="AN849" s="12" t="n">
        <f aca="false">IF($J849=1,MAX(Cx_1*(Ref_P-E849)/Span_P,Cx_2*(Ref_S-F849)/Span_S,Cx_3*(Ref_B-G849)/Span_B),"")</f>
        <v>1.9654867116611</v>
      </c>
    </row>
    <row r="850" customFormat="false" ht="15" hidden="false" customHeight="false" outlineLevel="0" collapsed="false">
      <c r="A850" s="2" t="n">
        <v>844</v>
      </c>
      <c r="B850" s="15" t="n">
        <f aca="false">INT(A850/151)</f>
        <v>5</v>
      </c>
      <c r="C850" s="15" t="n">
        <f aca="false">MOD(A850,151)</f>
        <v>89</v>
      </c>
      <c r="D850" s="15" t="n">
        <f aca="false">INDEX(Grid!$J$6:$P$156,C850+1,B850+1)</f>
        <v>1</v>
      </c>
      <c r="E850" s="16" t="n">
        <f aca="false">IF(D850=1,INDEX(Grid!$B$6:$H$156,C850+1,B850+1),"")</f>
        <v>101.892968969175</v>
      </c>
      <c r="F850" s="13" t="n">
        <f aca="false">Val_pt*(Ceiling_e-E_zero)*(1-(1-Half_gap)^B850)</f>
        <v>135.625</v>
      </c>
      <c r="G850" s="15" t="n">
        <f aca="false">C850</f>
        <v>89</v>
      </c>
      <c r="H850" s="15" t="n">
        <f aca="false">IF(D850=1,INDEX(Grid!$R$6:$X$156,C850+1,B850+1),"")</f>
        <v>55</v>
      </c>
      <c r="I850" s="2" t="str">
        <f aca="false">IF(D850=1,INDEX(Sch_label,H850+1),"")</f>
        <v>1, 2, 4–6</v>
      </c>
      <c r="J850" s="15" t="n">
        <f aca="false">IF(D850=1,INDEX(Grid!$Z$6:$AF$156,C850+1,B850+1),0)</f>
        <v>1</v>
      </c>
      <c r="K850" s="16" t="n">
        <f aca="false">IF(J850=1,E850,0)</f>
        <v>101.892968969175</v>
      </c>
      <c r="L850" s="17" t="n">
        <f aca="false">IF(D850=1,E850+W_board*F850,"")</f>
        <v>867.46073660461</v>
      </c>
      <c r="M850" s="24" t="n">
        <v>0</v>
      </c>
      <c r="Q850" s="24" t="n">
        <v>5</v>
      </c>
      <c r="R850" s="24" t="n">
        <v>85</v>
      </c>
      <c r="S850" s="25" t="n">
        <v>0.693392253298491</v>
      </c>
      <c r="T850" s="24" t="n">
        <v>5</v>
      </c>
      <c r="U850" s="24" t="n">
        <v>100</v>
      </c>
      <c r="V850" s="25" t="n">
        <v>0.276408393504431</v>
      </c>
      <c r="W850" s="24" t="n">
        <v>6</v>
      </c>
      <c r="X850" s="24" t="n">
        <v>85</v>
      </c>
      <c r="Y850" s="25" t="n">
        <v>0.0301993531970763</v>
      </c>
      <c r="Z850" s="12" t="str">
        <f aca="false">IF(AND($J850=1,$M850=1),N850*E850/Span_P+O850*F850/Span_S+P850*G850/Span_B,"")</f>
        <v/>
      </c>
      <c r="AA850" s="12" t="str">
        <f aca="false">IF(AND($J850=1,$M850=1),SUMPRODUCT(MAX($J$6:$J$1062*(N850*$K$6:$K$1062/Span_P+O850*$F$6:$F$1062/Span_S+P850*$G$6:$G$1062/Span_B)-(1-$J$6:$J$1062)*1000000000)),"")</f>
        <v/>
      </c>
      <c r="AB850" s="15" t="str">
        <f aca="false">IF(AND($J850=1,$M850=1),IF(AA850-Z850&lt;=0.000000001,1,0),"")</f>
        <v/>
      </c>
      <c r="AC850" s="13" t="n">
        <f aca="false">IF(AND($J850=1,$M850=0),IF(S850="",0,S850*INDEX(Grid!$B$6:$H$156,R850+1,Q850+1))+IF(V850="",0,V850*INDEX(Grid!$B$6:$H$156,U850+1,T850+1))+IF(Y850="",0,Y850*INDEX(Grid!$B$6:$H$156,X850+1,W850+1)),"")</f>
        <v>102.245731586712</v>
      </c>
      <c r="AD850" s="13" t="n">
        <f aca="false">IF(AND($J850=1,$M850=0),IF(S850="",0,S850*Val_pt*(Ceiling_e-E_zero)*(1-(1-Half_gap)^Q850))+IF(V850="",0,V850*Val_pt*(Ceiling_e-E_zero)*(1-(1-Half_gap)^T850))+IF(Y850="",0,Y850*Val_pt*(Ceiling_e-E_zero)*(1-(1-Half_gap)^W850)),"")</f>
        <v>135.691061085118</v>
      </c>
      <c r="AE850" s="13" t="n">
        <f aca="false">IF(AND($J850=1,$M850=0),IF(S850="",0,S850*R850)+IF(V850="",0,V850*U850)+IF(Y850="",0,Y850*X850),"")</f>
        <v>89.1461259025664</v>
      </c>
      <c r="AF850" s="12" t="n">
        <f aca="false">IF(AND($J850=1,$M850=0),MIN((AC850-E850)/Span_P,(AD850-F850)/Span_S,(AE850-G850)/Span_B),"")</f>
        <v>0.000974172683774149</v>
      </c>
      <c r="AG850" s="15" t="n">
        <f aca="false">IF(AND($J850=1,$M850=0),IF(AF850&gt;0.0000001,1,0),"")</f>
        <v>1</v>
      </c>
      <c r="AH850" s="15" t="n">
        <f aca="false">IF($J850=1,IF($M850=1,AB850,AG850),"")</f>
        <v>1</v>
      </c>
      <c r="AI850" s="13" t="n">
        <f aca="false">IF($J850=1,(Ideal_P-E850)/Span_P,"")</f>
        <v>0.77953221073533</v>
      </c>
      <c r="AJ850" s="13" t="n">
        <f aca="false">IF($J850=1,(Ideal_S-F850)/Span_S,"")</f>
        <v>0.032258064516129</v>
      </c>
      <c r="AK850" s="13" t="n">
        <f aca="false">IF($J850=1,(Ideal_B-G850)/Span_B,"")</f>
        <v>0.406666666666667</v>
      </c>
      <c r="AL850" s="12" t="n">
        <f aca="false">IF($J850=1,MAX(ChA_1*AI850,ChA_2*AJ850,ChA_3*AK850)+Rho*(ChA_1*AI850+ChA_2*AJ850+ChA_3*AK850),"")</f>
        <v>0.779654056429521</v>
      </c>
      <c r="AM850" s="12" t="n">
        <f aca="false">IF($J850=1,MAX(ChB_1*AI850,ChB_2*AJ850,ChB_3*AK850)+Rho*(ChB_1*AI850+ChB_2*AJ850+ChB_3*AK850),"")</f>
        <v>1.55926422038592</v>
      </c>
      <c r="AN850" s="12" t="n">
        <f aca="false">IF($J850=1,MAX(Cx_1*(Ref_P-E850)/Span_P,Cx_2*(Ref_S-F850)/Span_S,Cx_3*(Ref_B-G850)/Span_B),"")</f>
        <v>1.97175637334452</v>
      </c>
    </row>
    <row r="851" customFormat="false" ht="15" hidden="false" customHeight="false" outlineLevel="0" collapsed="false">
      <c r="A851" s="2" t="n">
        <v>845</v>
      </c>
      <c r="B851" s="15" t="n">
        <f aca="false">INT(A851/151)</f>
        <v>5</v>
      </c>
      <c r="C851" s="15" t="n">
        <f aca="false">MOD(A851,151)</f>
        <v>90</v>
      </c>
      <c r="D851" s="15" t="n">
        <f aca="false">INDEX(Grid!$J$6:$P$156,C851+1,B851+1)</f>
        <v>1</v>
      </c>
      <c r="E851" s="16" t="n">
        <f aca="false">IF(D851=1,INDEX(Grid!$B$6:$H$156,C851+1,B851+1),"")</f>
        <v>100.983878060084</v>
      </c>
      <c r="F851" s="13" t="n">
        <f aca="false">Val_pt*(Ceiling_e-E_zero)*(1-(1-Half_gap)^B851)</f>
        <v>135.625</v>
      </c>
      <c r="G851" s="15" t="n">
        <f aca="false">C851</f>
        <v>90</v>
      </c>
      <c r="H851" s="15" t="n">
        <f aca="false">IF(D851=1,INDEX(Grid!$R$6:$X$156,C851+1,B851+1),"")</f>
        <v>55</v>
      </c>
      <c r="I851" s="2" t="str">
        <f aca="false">IF(D851=1,INDEX(Sch_label,H851+1),"")</f>
        <v>1, 2, 4–6</v>
      </c>
      <c r="J851" s="15" t="n">
        <f aca="false">IF(D851=1,INDEX(Grid!$Z$6:$AF$156,C851+1,B851+1),0)</f>
        <v>1</v>
      </c>
      <c r="K851" s="16" t="n">
        <f aca="false">IF(J851=1,E851,0)</f>
        <v>100.983878060084</v>
      </c>
      <c r="L851" s="17" t="n">
        <f aca="false">IF(D851=1,E851+W_board*F851,"")</f>
        <v>866.551645695519</v>
      </c>
      <c r="M851" s="24" t="n">
        <v>0</v>
      </c>
      <c r="Q851" s="24" t="n">
        <v>5</v>
      </c>
      <c r="R851" s="24" t="n">
        <v>85</v>
      </c>
      <c r="S851" s="25" t="n">
        <v>0.630356593907714</v>
      </c>
      <c r="T851" s="24" t="n">
        <v>5</v>
      </c>
      <c r="U851" s="24" t="n">
        <v>100</v>
      </c>
      <c r="V851" s="25" t="n">
        <v>0.342189448640392</v>
      </c>
      <c r="W851" s="24" t="n">
        <v>6</v>
      </c>
      <c r="X851" s="24" t="n">
        <v>85</v>
      </c>
      <c r="Y851" s="25" t="n">
        <v>0.0274539574518916</v>
      </c>
      <c r="Z851" s="12" t="str">
        <f aca="false">IF(AND($J851=1,$M851=1),N851*E851/Span_P+O851*F851/Span_S+P851*G851/Span_B,"")</f>
        <v/>
      </c>
      <c r="AA851" s="12" t="str">
        <f aca="false">IF(AND($J851=1,$M851=1),SUMPRODUCT(MAX($J$6:$J$1062*(N851*$K$6:$K$1062/Span_P+O851*$F$6:$F$1062/Span_S+P851*$G$6:$G$1062/Span_B)-(1-$J$6:$J$1062)*1000000000)),"")</f>
        <v/>
      </c>
      <c r="AB851" s="15" t="str">
        <f aca="false">IF(AND($J851=1,$M851=1),IF(AA851-Z851&lt;=0.000000001,1,0),"")</f>
        <v/>
      </c>
      <c r="AC851" s="13" t="n">
        <f aca="false">IF(AND($J851=1,$M851=0),IF(S851="",0,S851*INDEX(Grid!$B$6:$H$156,R851+1,Q851+1))+IF(V851="",0,V851*INDEX(Grid!$B$6:$H$156,U851+1,T851+1))+IF(Y851="",0,Y851*INDEX(Grid!$B$6:$H$156,X851+1,W851+1)),"")</f>
        <v>101.304571348754</v>
      </c>
      <c r="AD851" s="13" t="n">
        <f aca="false">IF(AND($J851=1,$M851=0),IF(S851="",0,S851*Val_pt*(Ceiling_e-E_zero)*(1-(1-Half_gap)^Q851))+IF(V851="",0,V851*Val_pt*(Ceiling_e-E_zero)*(1-(1-Half_gap)^T851))+IF(Y851="",0,Y851*Val_pt*(Ceiling_e-E_zero)*(1-(1-Half_gap)^W851)),"")</f>
        <v>135.685055531926</v>
      </c>
      <c r="AE851" s="13" t="n">
        <f aca="false">IF(AND($J851=1,$M851=0),IF(S851="",0,S851*R851)+IF(V851="",0,V851*U851)+IF(Y851="",0,Y851*X851),"")</f>
        <v>90.1328417296056</v>
      </c>
      <c r="AF851" s="12" t="n">
        <f aca="false">IF(AND($J851=1,$M851=0),MIN((AC851-E851)/Span_P,(AD851-F851)/Span_S,(AE851-G851)/Span_B),"")</f>
        <v>0.000885611530699237</v>
      </c>
      <c r="AG851" s="15" t="n">
        <f aca="false">IF(AND($J851=1,$M851=0),IF(AF851&gt;0.0000001,1,0),"")</f>
        <v>1</v>
      </c>
      <c r="AH851" s="15" t="n">
        <f aca="false">IF($J851=1,IF($M851=1,AB851,AG851),"")</f>
        <v>1</v>
      </c>
      <c r="AI851" s="13" t="n">
        <f aca="false">IF($J851=1,(Ideal_P-E851)/Span_P,"")</f>
        <v>0.782042713511635</v>
      </c>
      <c r="AJ851" s="13" t="n">
        <f aca="false">IF($J851=1,(Ideal_S-F851)/Span_S,"")</f>
        <v>0.032258064516129</v>
      </c>
      <c r="AK851" s="13" t="n">
        <f aca="false">IF($J851=1,(Ideal_B-G851)/Span_B,"")</f>
        <v>0.4</v>
      </c>
      <c r="AL851" s="12" t="n">
        <f aca="false">IF($J851=1,MAX(ChA_1*AI851,ChA_2*AJ851,ChA_3*AK851)+Rho*(ChA_1*AI851+ChA_2*AJ851+ChA_3*AK851),"")</f>
        <v>0.782164143589438</v>
      </c>
      <c r="AM851" s="12" t="n">
        <f aca="false">IF($J851=1,MAX(ChB_1*AI851,ChB_2*AJ851,ChB_3*AK851)+Rho*(ChB_1*AI851+ChB_2*AJ851+ChB_3*AK851),"")</f>
        <v>1.56428506137242</v>
      </c>
      <c r="AN851" s="12" t="n">
        <f aca="false">IF($J851=1,MAX(Cx_1*(Ref_P-E851)/Span_P,Cx_2*(Ref_S-F851)/Span_S,Cx_3*(Ref_B-G851)/Span_B),"")</f>
        <v>1.97802603502795</v>
      </c>
    </row>
    <row r="852" customFormat="false" ht="15" hidden="false" customHeight="false" outlineLevel="0" collapsed="false">
      <c r="A852" s="2" t="n">
        <v>846</v>
      </c>
      <c r="B852" s="15" t="n">
        <f aca="false">INT(A852/151)</f>
        <v>5</v>
      </c>
      <c r="C852" s="15" t="n">
        <f aca="false">MOD(A852,151)</f>
        <v>91</v>
      </c>
      <c r="D852" s="15" t="n">
        <f aca="false">INDEX(Grid!$J$6:$P$156,C852+1,B852+1)</f>
        <v>1</v>
      </c>
      <c r="E852" s="16" t="n">
        <f aca="false">IF(D852=1,INDEX(Grid!$B$6:$H$156,C852+1,B852+1),"")</f>
        <v>100.074787150993</v>
      </c>
      <c r="F852" s="13" t="n">
        <f aca="false">Val_pt*(Ceiling_e-E_zero)*(1-(1-Half_gap)^B852)</f>
        <v>135.625</v>
      </c>
      <c r="G852" s="15" t="n">
        <f aca="false">C852</f>
        <v>91</v>
      </c>
      <c r="H852" s="15" t="n">
        <f aca="false">IF(D852=1,INDEX(Grid!$R$6:$X$156,C852+1,B852+1),"")</f>
        <v>55</v>
      </c>
      <c r="I852" s="2" t="str">
        <f aca="false">IF(D852=1,INDEX(Sch_label,H852+1),"")</f>
        <v>1, 2, 4–6</v>
      </c>
      <c r="J852" s="15" t="n">
        <f aca="false">IF(D852=1,INDEX(Grid!$Z$6:$AF$156,C852+1,B852+1),0)</f>
        <v>1</v>
      </c>
      <c r="K852" s="16" t="n">
        <f aca="false">IF(J852=1,E852,0)</f>
        <v>100.074787150993</v>
      </c>
      <c r="L852" s="17" t="n">
        <f aca="false">IF(D852=1,E852+W_board*F852,"")</f>
        <v>865.642554786428</v>
      </c>
      <c r="M852" s="24" t="n">
        <v>0</v>
      </c>
      <c r="Q852" s="24" t="n">
        <v>5</v>
      </c>
      <c r="R852" s="24" t="n">
        <v>85</v>
      </c>
      <c r="S852" s="25" t="n">
        <v>0.567320934516947</v>
      </c>
      <c r="T852" s="24" t="n">
        <v>5</v>
      </c>
      <c r="U852" s="24" t="n">
        <v>100</v>
      </c>
      <c r="V852" s="25" t="n">
        <v>0.407970503776354</v>
      </c>
      <c r="W852" s="24" t="n">
        <v>6</v>
      </c>
      <c r="X852" s="24" t="n">
        <v>85</v>
      </c>
      <c r="Y852" s="25" t="n">
        <v>0.024708561706699</v>
      </c>
      <c r="Z852" s="12" t="str">
        <f aca="false">IF(AND($J852=1,$M852=1),N852*E852/Span_P+O852*F852/Span_S+P852*G852/Span_B,"")</f>
        <v/>
      </c>
      <c r="AA852" s="12" t="str">
        <f aca="false">IF(AND($J852=1,$M852=1),SUMPRODUCT(MAX($J$6:$J$1062*(N852*$K$6:$K$1062/Span_P+O852*$F$6:$F$1062/Span_S+P852*$G$6:$G$1062/Span_B)-(1-$J$6:$J$1062)*1000000000)),"")</f>
        <v/>
      </c>
      <c r="AB852" s="15" t="str">
        <f aca="false">IF(AND($J852=1,$M852=1),IF(AA852-Z852&lt;=0.000000001,1,0),"")</f>
        <v/>
      </c>
      <c r="AC852" s="13" t="n">
        <f aca="false">IF(AND($J852=1,$M852=0),IF(S852="",0,S852*INDEX(Grid!$B$6:$H$156,R852+1,Q852+1))+IF(V852="",0,V852*INDEX(Grid!$B$6:$H$156,U852+1,T852+1))+IF(Y852="",0,Y852*INDEX(Grid!$B$6:$H$156,X852+1,W852+1)),"")</f>
        <v>100.363411110797</v>
      </c>
      <c r="AD852" s="13" t="n">
        <f aca="false">IF(AND($J852=1,$M852=0),IF(S852="",0,S852*Val_pt*(Ceiling_e-E_zero)*(1-(1-Half_gap)^Q852))+IF(V852="",0,V852*Val_pt*(Ceiling_e-E_zero)*(1-(1-Half_gap)^T852))+IF(Y852="",0,Y852*Val_pt*(Ceiling_e-E_zero)*(1-(1-Half_gap)^W852)),"")</f>
        <v>135.679049978733</v>
      </c>
      <c r="AE852" s="13" t="n">
        <f aca="false">IF(AND($J852=1,$M852=0),IF(S852="",0,S852*R852)+IF(V852="",0,V852*U852)+IF(Y852="",0,Y852*X852),"")</f>
        <v>91.1195575566453</v>
      </c>
      <c r="AF852" s="12" t="n">
        <f aca="false">IF(AND($J852=1,$M852=0),MIN((AC852-E852)/Span_P,(AD852-F852)/Span_S,(AE852-G852)/Span_B),"")</f>
        <v>0.000797050377635347</v>
      </c>
      <c r="AG852" s="15" t="n">
        <f aca="false">IF(AND($J852=1,$M852=0),IF(AF852&gt;0.0000001,1,0),"")</f>
        <v>1</v>
      </c>
      <c r="AH852" s="15" t="n">
        <f aca="false">IF($J852=1,IF($M852=1,AB852,AG852),"")</f>
        <v>1</v>
      </c>
      <c r="AI852" s="13" t="n">
        <f aca="false">IF($J852=1,(Ideal_P-E852)/Span_P,"")</f>
        <v>0.784553216287941</v>
      </c>
      <c r="AJ852" s="13" t="n">
        <f aca="false">IF($J852=1,(Ideal_S-F852)/Span_S,"")</f>
        <v>0.032258064516129</v>
      </c>
      <c r="AK852" s="13" t="n">
        <f aca="false">IF($J852=1,(Ideal_B-G852)/Span_B,"")</f>
        <v>0.393333333333333</v>
      </c>
      <c r="AL852" s="12" t="n">
        <f aca="false">IF($J852=1,MAX(ChA_1*AI852,ChA_2*AJ852,ChA_3*AK852)+Rho*(ChA_1*AI852+ChA_2*AJ852+ChA_3*AK852),"")</f>
        <v>0.784674230749355</v>
      </c>
      <c r="AM852" s="12" t="n">
        <f aca="false">IF($J852=1,MAX(ChB_1*AI852,ChB_2*AJ852,ChB_3*AK852)+Rho*(ChB_1*AI852+ChB_2*AJ852+ChB_3*AK852),"")</f>
        <v>1.56930590235892</v>
      </c>
      <c r="AN852" s="12" t="n">
        <f aca="false">IF($J852=1,MAX(Cx_1*(Ref_P-E852)/Span_P,Cx_2*(Ref_S-F852)/Span_S,Cx_3*(Ref_B-G852)/Span_B),"")</f>
        <v>1.98429569671138</v>
      </c>
    </row>
    <row r="853" customFormat="false" ht="15" hidden="false" customHeight="false" outlineLevel="0" collapsed="false">
      <c r="A853" s="2" t="n">
        <v>847</v>
      </c>
      <c r="B853" s="15" t="n">
        <f aca="false">INT(A853/151)</f>
        <v>5</v>
      </c>
      <c r="C853" s="15" t="n">
        <f aca="false">MOD(A853,151)</f>
        <v>92</v>
      </c>
      <c r="D853" s="15" t="n">
        <f aca="false">INDEX(Grid!$J$6:$P$156,C853+1,B853+1)</f>
        <v>1</v>
      </c>
      <c r="E853" s="16" t="n">
        <f aca="false">IF(D853=1,INDEX(Grid!$B$6:$H$156,C853+1,B853+1),"")</f>
        <v>99.1656962419019</v>
      </c>
      <c r="F853" s="13" t="n">
        <f aca="false">Val_pt*(Ceiling_e-E_zero)*(1-(1-Half_gap)^B853)</f>
        <v>135.625</v>
      </c>
      <c r="G853" s="15" t="n">
        <f aca="false">C853</f>
        <v>92</v>
      </c>
      <c r="H853" s="15" t="n">
        <f aca="false">IF(D853=1,INDEX(Grid!$R$6:$X$156,C853+1,B853+1),"")</f>
        <v>55</v>
      </c>
      <c r="I853" s="2" t="str">
        <f aca="false">IF(D853=1,INDEX(Sch_label,H853+1),"")</f>
        <v>1, 2, 4–6</v>
      </c>
      <c r="J853" s="15" t="n">
        <f aca="false">IF(D853=1,INDEX(Grid!$Z$6:$AF$156,C853+1,B853+1),0)</f>
        <v>1</v>
      </c>
      <c r="K853" s="16" t="n">
        <f aca="false">IF(J853=1,E853,0)</f>
        <v>99.1656962419019</v>
      </c>
      <c r="L853" s="17" t="n">
        <f aca="false">IF(D853=1,E853+W_board*F853,"")</f>
        <v>864.733463877337</v>
      </c>
      <c r="M853" s="24" t="n">
        <v>0</v>
      </c>
      <c r="Q853" s="24" t="n">
        <v>5</v>
      </c>
      <c r="R853" s="24" t="n">
        <v>85</v>
      </c>
      <c r="S853" s="25" t="n">
        <v>0.504285275126175</v>
      </c>
      <c r="T853" s="24" t="n">
        <v>5</v>
      </c>
      <c r="U853" s="24" t="n">
        <v>100</v>
      </c>
      <c r="V853" s="25" t="n">
        <v>0.47375155891231</v>
      </c>
      <c r="W853" s="24" t="n">
        <v>6</v>
      </c>
      <c r="X853" s="24" t="n">
        <v>85</v>
      </c>
      <c r="Y853" s="25" t="n">
        <v>0.0219631659615095</v>
      </c>
      <c r="Z853" s="12" t="str">
        <f aca="false">IF(AND($J853=1,$M853=1),N853*E853/Span_P+O853*F853/Span_S+P853*G853/Span_B,"")</f>
        <v/>
      </c>
      <c r="AA853" s="12" t="str">
        <f aca="false">IF(AND($J853=1,$M853=1),SUMPRODUCT(MAX($J$6:$J$1062*(N853*$K$6:$K$1062/Span_P+O853*$F$6:$F$1062/Span_S+P853*$G$6:$G$1062/Span_B)-(1-$J$6:$J$1062)*1000000000)),"")</f>
        <v/>
      </c>
      <c r="AB853" s="15" t="str">
        <f aca="false">IF(AND($J853=1,$M853=1),IF(AA853-Z853&lt;=0.000000001,1,0),"")</f>
        <v/>
      </c>
      <c r="AC853" s="13" t="n">
        <f aca="false">IF(AND($J853=1,$M853=0),IF(S853="",0,S853*INDEX(Grid!$B$6:$H$156,R853+1,Q853+1))+IF(V853="",0,V853*INDEX(Grid!$B$6:$H$156,U853+1,T853+1))+IF(Y853="",0,Y853*INDEX(Grid!$B$6:$H$156,X853+1,W853+1)),"")</f>
        <v>99.4222508728382</v>
      </c>
      <c r="AD853" s="13" t="n">
        <f aca="false">IF(AND($J853=1,$M853=0),IF(S853="",0,S853*Val_pt*(Ceiling_e-E_zero)*(1-(1-Half_gap)^Q853))+IF(V853="",0,V853*Val_pt*(Ceiling_e-E_zero)*(1-(1-Half_gap)^T853))+IF(Y853="",0,Y853*Val_pt*(Ceiling_e-E_zero)*(1-(1-Half_gap)^W853)),"")</f>
        <v>135.67304442554</v>
      </c>
      <c r="AE853" s="13" t="n">
        <f aca="false">IF(AND($J853=1,$M853=0),IF(S853="",0,S853*R853)+IF(V853="",0,V853*U853)+IF(Y853="",0,Y853*X853),"")</f>
        <v>92.1062733836842</v>
      </c>
      <c r="AF853" s="12" t="n">
        <f aca="false">IF(AND($J853=1,$M853=0),MIN((AC853-E853)/Span_P,(AD853-F853)/Span_S,(AE853-G853)/Span_B),"")</f>
        <v>0.000708489224554444</v>
      </c>
      <c r="AG853" s="15" t="n">
        <f aca="false">IF(AND($J853=1,$M853=0),IF(AF853&gt;0.0000001,1,0),"")</f>
        <v>1</v>
      </c>
      <c r="AH853" s="15" t="n">
        <f aca="false">IF($J853=1,IF($M853=1,AB853,AG853),"")</f>
        <v>1</v>
      </c>
      <c r="AI853" s="13" t="n">
        <f aca="false">IF($J853=1,(Ideal_P-E853)/Span_P,"")</f>
        <v>0.787063719064247</v>
      </c>
      <c r="AJ853" s="13" t="n">
        <f aca="false">IF($J853=1,(Ideal_S-F853)/Span_S,"")</f>
        <v>0.032258064516129</v>
      </c>
      <c r="AK853" s="13" t="n">
        <f aca="false">IF($J853=1,(Ideal_B-G853)/Span_B,"")</f>
        <v>0.386666666666667</v>
      </c>
      <c r="AL853" s="12" t="n">
        <f aca="false">IF($J853=1,MAX(ChA_1*AI853,ChA_2*AJ853,ChA_3*AK853)+Rho*(ChA_1*AI853+ChA_2*AJ853+ChA_3*AK853),"")</f>
        <v>0.787184317909272</v>
      </c>
      <c r="AM853" s="12" t="n">
        <f aca="false">IF($J853=1,MAX(ChB_1*AI853,ChB_2*AJ853,ChB_3*AK853)+Rho*(ChB_1*AI853+ChB_2*AJ853+ChB_3*AK853),"")</f>
        <v>1.57432674334542</v>
      </c>
      <c r="AN853" s="12" t="n">
        <f aca="false">IF($J853=1,MAX(Cx_1*(Ref_P-E853)/Span_P,Cx_2*(Ref_S-F853)/Span_S,Cx_3*(Ref_B-G853)/Span_B),"")</f>
        <v>1.99056535839481</v>
      </c>
    </row>
    <row r="854" customFormat="false" ht="15" hidden="false" customHeight="false" outlineLevel="0" collapsed="false">
      <c r="A854" s="2" t="n">
        <v>848</v>
      </c>
      <c r="B854" s="15" t="n">
        <f aca="false">INT(A854/151)</f>
        <v>5</v>
      </c>
      <c r="C854" s="15" t="n">
        <f aca="false">MOD(A854,151)</f>
        <v>93</v>
      </c>
      <c r="D854" s="15" t="n">
        <f aca="false">INDEX(Grid!$J$6:$P$156,C854+1,B854+1)</f>
        <v>1</v>
      </c>
      <c r="E854" s="16" t="n">
        <f aca="false">IF(D854=1,INDEX(Grid!$B$6:$H$156,C854+1,B854+1),"")</f>
        <v>98.256605332811</v>
      </c>
      <c r="F854" s="13" t="n">
        <f aca="false">Val_pt*(Ceiling_e-E_zero)*(1-(1-Half_gap)^B854)</f>
        <v>135.625</v>
      </c>
      <c r="G854" s="15" t="n">
        <f aca="false">C854</f>
        <v>93</v>
      </c>
      <c r="H854" s="15" t="n">
        <f aca="false">IF(D854=1,INDEX(Grid!$R$6:$X$156,C854+1,B854+1),"")</f>
        <v>55</v>
      </c>
      <c r="I854" s="2" t="str">
        <f aca="false">IF(D854=1,INDEX(Sch_label,H854+1),"")</f>
        <v>1, 2, 4–6</v>
      </c>
      <c r="J854" s="15" t="n">
        <f aca="false">IF(D854=1,INDEX(Grid!$Z$6:$AF$156,C854+1,B854+1),0)</f>
        <v>1</v>
      </c>
      <c r="K854" s="16" t="n">
        <f aca="false">IF(J854=1,E854,0)</f>
        <v>98.256605332811</v>
      </c>
      <c r="L854" s="17" t="n">
        <f aca="false">IF(D854=1,E854+W_board*F854,"")</f>
        <v>863.824372968246</v>
      </c>
      <c r="M854" s="24" t="n">
        <v>0</v>
      </c>
      <c r="Q854" s="24" t="n">
        <v>5</v>
      </c>
      <c r="R854" s="24" t="n">
        <v>85</v>
      </c>
      <c r="S854" s="25" t="n">
        <v>0.441249615735481</v>
      </c>
      <c r="T854" s="24" t="n">
        <v>5</v>
      </c>
      <c r="U854" s="24" t="n">
        <v>100</v>
      </c>
      <c r="V854" s="25" t="n">
        <v>0.539532614048283</v>
      </c>
      <c r="W854" s="24" t="n">
        <v>6</v>
      </c>
      <c r="X854" s="24" t="n">
        <v>85</v>
      </c>
      <c r="Y854" s="25" t="n">
        <v>0.0192177702162767</v>
      </c>
      <c r="Z854" s="12" t="str">
        <f aca="false">IF(AND($J854=1,$M854=1),N854*E854/Span_P+O854*F854/Span_S+P854*G854/Span_B,"")</f>
        <v/>
      </c>
      <c r="AA854" s="12" t="str">
        <f aca="false">IF(AND($J854=1,$M854=1),SUMPRODUCT(MAX($J$6:$J$1062*(N854*$K$6:$K$1062/Span_P+O854*$F$6:$F$1062/Span_S+P854*$G$6:$G$1062/Span_B)-(1-$J$6:$J$1062)*1000000000)),"")</f>
        <v/>
      </c>
      <c r="AB854" s="15" t="str">
        <f aca="false">IF(AND($J854=1,$M854=1),IF(AA854-Z854&lt;=0.000000001,1,0),"")</f>
        <v/>
      </c>
      <c r="AC854" s="13" t="n">
        <f aca="false">IF(AND($J854=1,$M854=0),IF(S854="",0,S854*INDEX(Grid!$B$6:$H$156,R854+1,Q854+1))+IF(V854="",0,V854*INDEX(Grid!$B$6:$H$156,U854+1,T854+1))+IF(Y854="",0,Y854*INDEX(Grid!$B$6:$H$156,X854+1,W854+1)),"")</f>
        <v>98.4810906348885</v>
      </c>
      <c r="AD854" s="13" t="n">
        <f aca="false">IF(AND($J854=1,$M854=0),IF(S854="",0,S854*Val_pt*(Ceiling_e-E_zero)*(1-(1-Half_gap)^Q854))+IF(V854="",0,V854*Val_pt*(Ceiling_e-E_zero)*(1-(1-Half_gap)^T854))+IF(Y854="",0,Y854*Val_pt*(Ceiling_e-E_zero)*(1-(1-Half_gap)^W854)),"")</f>
        <v>135.667038872354</v>
      </c>
      <c r="AE854" s="13" t="n">
        <f aca="false">IF(AND($J854=1,$M854=0),IF(S854="",0,S854*R854)+IF(V854="",0,V854*U854)+IF(Y854="",0,Y854*X854),"")</f>
        <v>93.0929892107277</v>
      </c>
      <c r="AF854" s="12" t="n">
        <f aca="false">IF(AND($J854=1,$M854=0),MIN((AC854-E854)/Span_P,(AD854-F854)/Span_S,(AE854-G854)/Span_B),"")</f>
        <v>0.000619928071515935</v>
      </c>
      <c r="AG854" s="15" t="n">
        <f aca="false">IF(AND($J854=1,$M854=0),IF(AF854&gt;0.0000001,1,0),"")</f>
        <v>1</v>
      </c>
      <c r="AH854" s="15" t="n">
        <f aca="false">IF($J854=1,IF($M854=1,AB854,AG854),"")</f>
        <v>1</v>
      </c>
      <c r="AI854" s="13" t="n">
        <f aca="false">IF($J854=1,(Ideal_P-E854)/Span_P,"")</f>
        <v>0.789574221840553</v>
      </c>
      <c r="AJ854" s="13" t="n">
        <f aca="false">IF($J854=1,(Ideal_S-F854)/Span_S,"")</f>
        <v>0.032258064516129</v>
      </c>
      <c r="AK854" s="13" t="n">
        <f aca="false">IF($J854=1,(Ideal_B-G854)/Span_B,"")</f>
        <v>0.38</v>
      </c>
      <c r="AL854" s="12" t="n">
        <f aca="false">IF($J854=1,MAX(ChA_1*AI854,ChA_2*AJ854,ChA_3*AK854)+Rho*(ChA_1*AI854+ChA_2*AJ854+ChA_3*AK854),"")</f>
        <v>0.789694405069188</v>
      </c>
      <c r="AM854" s="12" t="n">
        <f aca="false">IF($J854=1,MAX(ChB_1*AI854,ChB_2*AJ854,ChB_3*AK854)+Rho*(ChB_1*AI854+ChB_2*AJ854+ChB_3*AK854),"")</f>
        <v>1.57934758433193</v>
      </c>
      <c r="AN854" s="12" t="n">
        <f aca="false">IF($J854=1,MAX(Cx_1*(Ref_P-E854)/Span_P,Cx_2*(Ref_S-F854)/Span_S,Cx_3*(Ref_B-G854)/Span_B),"")</f>
        <v>1.99683502007824</v>
      </c>
    </row>
    <row r="855" customFormat="false" ht="15" hidden="false" customHeight="false" outlineLevel="0" collapsed="false">
      <c r="A855" s="2" t="n">
        <v>849</v>
      </c>
      <c r="B855" s="15" t="n">
        <f aca="false">INT(A855/151)</f>
        <v>5</v>
      </c>
      <c r="C855" s="15" t="n">
        <f aca="false">MOD(A855,151)</f>
        <v>94</v>
      </c>
      <c r="D855" s="15" t="n">
        <f aca="false">INDEX(Grid!$J$6:$P$156,C855+1,B855+1)</f>
        <v>1</v>
      </c>
      <c r="E855" s="16" t="n">
        <f aca="false">IF(D855=1,INDEX(Grid!$B$6:$H$156,C855+1,B855+1),"")</f>
        <v>97.3475144237201</v>
      </c>
      <c r="F855" s="13" t="n">
        <f aca="false">Val_pt*(Ceiling_e-E_zero)*(1-(1-Half_gap)^B855)</f>
        <v>135.625</v>
      </c>
      <c r="G855" s="15" t="n">
        <f aca="false">C855</f>
        <v>94</v>
      </c>
      <c r="H855" s="15" t="n">
        <f aca="false">IF(D855=1,INDEX(Grid!$R$6:$X$156,C855+1,B855+1),"")</f>
        <v>55</v>
      </c>
      <c r="I855" s="2" t="str">
        <f aca="false">IF(D855=1,INDEX(Sch_label,H855+1),"")</f>
        <v>1, 2, 4–6</v>
      </c>
      <c r="J855" s="15" t="n">
        <f aca="false">IF(D855=1,INDEX(Grid!$Z$6:$AF$156,C855+1,B855+1),0)</f>
        <v>1</v>
      </c>
      <c r="K855" s="16" t="n">
        <f aca="false">IF(J855=1,E855,0)</f>
        <v>97.3475144237201</v>
      </c>
      <c r="L855" s="17" t="n">
        <f aca="false">IF(D855=1,E855+W_board*F855,"")</f>
        <v>862.915282059156</v>
      </c>
      <c r="M855" s="24" t="n">
        <v>0</v>
      </c>
      <c r="Q855" s="24" t="n">
        <v>5</v>
      </c>
      <c r="R855" s="24" t="n">
        <v>85</v>
      </c>
      <c r="S855" s="25" t="n">
        <v>0.378213956344631</v>
      </c>
      <c r="T855" s="24" t="n">
        <v>5</v>
      </c>
      <c r="U855" s="24" t="n">
        <v>100</v>
      </c>
      <c r="V855" s="25" t="n">
        <v>0.605313669184238</v>
      </c>
      <c r="W855" s="24" t="n">
        <v>6</v>
      </c>
      <c r="X855" s="24" t="n">
        <v>85</v>
      </c>
      <c r="Y855" s="25" t="n">
        <v>0.0164723744711312</v>
      </c>
      <c r="Z855" s="12" t="str">
        <f aca="false">IF(AND($J855=1,$M855=1),N855*E855/Span_P+O855*F855/Span_S+P855*G855/Span_B,"")</f>
        <v/>
      </c>
      <c r="AA855" s="12" t="str">
        <f aca="false">IF(AND($J855=1,$M855=1),SUMPRODUCT(MAX($J$6:$J$1062*(N855*$K$6:$K$1062/Span_P+O855*$F$6:$F$1062/Span_S+P855*$G$6:$G$1062/Span_B)-(1-$J$6:$J$1062)*1000000000)),"")</f>
        <v/>
      </c>
      <c r="AB855" s="15" t="str">
        <f aca="false">IF(AND($J855=1,$M855=1),IF(AA855-Z855&lt;=0.000000001,1,0),"")</f>
        <v/>
      </c>
      <c r="AC855" s="13" t="n">
        <f aca="false">IF(AND($J855=1,$M855=0),IF(S855="",0,S855*INDEX(Grid!$B$6:$H$156,R855+1,Q855+1))+IF(V855="",0,V855*INDEX(Grid!$B$6:$H$156,U855+1,T855+1))+IF(Y855="",0,Y855*INDEX(Grid!$B$6:$H$156,X855+1,W855+1)),"")</f>
        <v>97.5399303969228</v>
      </c>
      <c r="AD855" s="13" t="n">
        <f aca="false">IF(AND($J855=1,$M855=0),IF(S855="",0,S855*Val_pt*(Ceiling_e-E_zero)*(1-(1-Half_gap)^Q855))+IF(V855="",0,V855*Val_pt*(Ceiling_e-E_zero)*(1-(1-Half_gap)^T855))+IF(Y855="",0,Y855*Val_pt*(Ceiling_e-E_zero)*(1-(1-Half_gap)^W855)),"")</f>
        <v>135.661033319156</v>
      </c>
      <c r="AE855" s="13" t="n">
        <f aca="false">IF(AND($J855=1,$M855=0),IF(S855="",0,S855*R855)+IF(V855="",0,V855*U855)+IF(Y855="",0,Y855*X855),"")</f>
        <v>94.0797050377636</v>
      </c>
      <c r="AF855" s="12" t="n">
        <f aca="false">IF(AND($J855=1,$M855=0),MIN((AC855-E855)/Span_P,(AD855-F855)/Span_S,(AE855-G855)/Span_B),"")</f>
        <v>0.00053136691842397</v>
      </c>
      <c r="AG855" s="15" t="n">
        <f aca="false">IF(AND($J855=1,$M855=0),IF(AF855&gt;0.0000001,1,0),"")</f>
        <v>1</v>
      </c>
      <c r="AH855" s="15" t="n">
        <f aca="false">IF($J855=1,IF($M855=1,AB855,AG855),"")</f>
        <v>1</v>
      </c>
      <c r="AI855" s="13" t="n">
        <f aca="false">IF($J855=1,(Ideal_P-E855)/Span_P,"")</f>
        <v>0.792084724616858</v>
      </c>
      <c r="AJ855" s="13" t="n">
        <f aca="false">IF($J855=1,(Ideal_S-F855)/Span_S,"")</f>
        <v>0.032258064516129</v>
      </c>
      <c r="AK855" s="13" t="n">
        <f aca="false">IF($J855=1,(Ideal_B-G855)/Span_B,"")</f>
        <v>0.373333333333333</v>
      </c>
      <c r="AL855" s="12" t="n">
        <f aca="false">IF($J855=1,MAX(ChA_1*AI855,ChA_2*AJ855,ChA_3*AK855)+Rho*(ChA_1*AI855+ChA_2*AJ855+ChA_3*AK855),"")</f>
        <v>0.792204492229105</v>
      </c>
      <c r="AM855" s="12" t="n">
        <f aca="false">IF($J855=1,MAX(ChB_1*AI855,ChB_2*AJ855,ChB_3*AK855)+Rho*(ChB_1*AI855+ChB_2*AJ855+ChB_3*AK855),"")</f>
        <v>1.58436842531843</v>
      </c>
      <c r="AN855" s="12" t="n">
        <f aca="false">IF($J855=1,MAX(Cx_1*(Ref_P-E855)/Span_P,Cx_2*(Ref_S-F855)/Span_S,Cx_3*(Ref_B-G855)/Span_B),"")</f>
        <v>2.00310468176167</v>
      </c>
    </row>
    <row r="856" customFormat="false" ht="15" hidden="false" customHeight="false" outlineLevel="0" collapsed="false">
      <c r="A856" s="2" t="n">
        <v>850</v>
      </c>
      <c r="B856" s="15" t="n">
        <f aca="false">INT(A856/151)</f>
        <v>5</v>
      </c>
      <c r="C856" s="15" t="n">
        <f aca="false">MOD(A856,151)</f>
        <v>95</v>
      </c>
      <c r="D856" s="15" t="n">
        <f aca="false">INDEX(Grid!$J$6:$P$156,C856+1,B856+1)</f>
        <v>1</v>
      </c>
      <c r="E856" s="16" t="n">
        <f aca="false">IF(D856=1,INDEX(Grid!$B$6:$H$156,C856+1,B856+1),"")</f>
        <v>96.4384235146292</v>
      </c>
      <c r="F856" s="13" t="n">
        <f aca="false">Val_pt*(Ceiling_e-E_zero)*(1-(1-Half_gap)^B856)</f>
        <v>135.625</v>
      </c>
      <c r="G856" s="15" t="n">
        <f aca="false">C856</f>
        <v>95</v>
      </c>
      <c r="H856" s="15" t="n">
        <f aca="false">IF(D856=1,INDEX(Grid!$R$6:$X$156,C856+1,B856+1),"")</f>
        <v>55</v>
      </c>
      <c r="I856" s="2" t="str">
        <f aca="false">IF(D856=1,INDEX(Sch_label,H856+1),"")</f>
        <v>1, 2, 4–6</v>
      </c>
      <c r="J856" s="15" t="n">
        <f aca="false">IF(D856=1,INDEX(Grid!$Z$6:$AF$156,C856+1,B856+1),0)</f>
        <v>1</v>
      </c>
      <c r="K856" s="16" t="n">
        <f aca="false">IF(J856=1,E856,0)</f>
        <v>96.4384235146292</v>
      </c>
      <c r="L856" s="17" t="n">
        <f aca="false">IF(D856=1,E856+W_board*F856,"")</f>
        <v>862.006191150065</v>
      </c>
      <c r="M856" s="24" t="n">
        <v>0</v>
      </c>
      <c r="Q856" s="24" t="n">
        <v>5</v>
      </c>
      <c r="R856" s="24" t="n">
        <v>85</v>
      </c>
      <c r="S856" s="25" t="n">
        <v>0.31517829695385</v>
      </c>
      <c r="T856" s="24" t="n">
        <v>5</v>
      </c>
      <c r="U856" s="24" t="n">
        <v>100</v>
      </c>
      <c r="V856" s="25" t="n">
        <v>0.671094724320191</v>
      </c>
      <c r="W856" s="24" t="n">
        <v>6</v>
      </c>
      <c r="X856" s="24" t="n">
        <v>85</v>
      </c>
      <c r="Y856" s="25" t="n">
        <v>0.0137269787259449</v>
      </c>
      <c r="Z856" s="12" t="str">
        <f aca="false">IF(AND($J856=1,$M856=1),N856*E856/Span_P+O856*F856/Span_S+P856*G856/Span_B,"")</f>
        <v/>
      </c>
      <c r="AA856" s="12" t="str">
        <f aca="false">IF(AND($J856=1,$M856=1),SUMPRODUCT(MAX($J$6:$J$1062*(N856*$K$6:$K$1062/Span_P+O856*$F$6:$F$1062/Span_S+P856*$G$6:$G$1062/Span_B)-(1-$J$6:$J$1062)*1000000000)),"")</f>
        <v/>
      </c>
      <c r="AB856" s="15" t="str">
        <f aca="false">IF(AND($J856=1,$M856=1),IF(AA856-Z856&lt;=0.000000001,1,0),"")</f>
        <v/>
      </c>
      <c r="AC856" s="13" t="n">
        <f aca="false">IF(AND($J856=1,$M856=0),IF(S856="",0,S856*INDEX(Grid!$B$6:$H$156,R856+1,Q856+1))+IF(V856="",0,V856*INDEX(Grid!$B$6:$H$156,U856+1,T856+1))+IF(Y856="",0,Y856*INDEX(Grid!$B$6:$H$156,X856+1,W856+1)),"")</f>
        <v>96.5987701589631</v>
      </c>
      <c r="AD856" s="13" t="n">
        <f aca="false">IF(AND($J856=1,$M856=0),IF(S856="",0,S856*Val_pt*(Ceiling_e-E_zero)*(1-(1-Half_gap)^Q856))+IF(V856="",0,V856*Val_pt*(Ceiling_e-E_zero)*(1-(1-Half_gap)^T856))+IF(Y856="",0,Y856*Val_pt*(Ceiling_e-E_zero)*(1-(1-Half_gap)^W856)),"")</f>
        <v>135.655027765961</v>
      </c>
      <c r="AE856" s="13" t="n">
        <f aca="false">IF(AND($J856=1,$M856=0),IF(S856="",0,S856*R856)+IF(V856="",0,V856*U856)+IF(Y856="",0,Y856*X856),"")</f>
        <v>95.0664208648017</v>
      </c>
      <c r="AF856" s="12" t="n">
        <f aca="false">IF(AND($J856=1,$M856=0),MIN((AC856-E856)/Span_P,(AD856-F856)/Span_S,(AE856-G856)/Span_B),"")</f>
        <v>0.000442805765324262</v>
      </c>
      <c r="AG856" s="15" t="n">
        <f aca="false">IF(AND($J856=1,$M856=0),IF(AF856&gt;0.0000001,1,0),"")</f>
        <v>1</v>
      </c>
      <c r="AH856" s="15" t="n">
        <f aca="false">IF($J856=1,IF($M856=1,AB856,AG856),"")</f>
        <v>1</v>
      </c>
      <c r="AI856" s="13" t="n">
        <f aca="false">IF($J856=1,(Ideal_P-E856)/Span_P,"")</f>
        <v>0.794595227393164</v>
      </c>
      <c r="AJ856" s="13" t="n">
        <f aca="false">IF($J856=1,(Ideal_S-F856)/Span_S,"")</f>
        <v>0.032258064516129</v>
      </c>
      <c r="AK856" s="13" t="n">
        <f aca="false">IF($J856=1,(Ideal_B-G856)/Span_B,"")</f>
        <v>0.366666666666667</v>
      </c>
      <c r="AL856" s="12" t="n">
        <f aca="false">IF($J856=1,MAX(ChA_1*AI856,ChA_2*AJ856,ChA_3*AK856)+Rho*(ChA_1*AI856+ChA_2*AJ856+ChA_3*AK856),"")</f>
        <v>0.794714579389022</v>
      </c>
      <c r="AM856" s="12" t="n">
        <f aca="false">IF($J856=1,MAX(ChB_1*AI856,ChB_2*AJ856,ChB_3*AK856)+Rho*(ChB_1*AI856+ChB_2*AJ856+ChB_3*AK856),"")</f>
        <v>1.58938926630493</v>
      </c>
      <c r="AN856" s="12" t="n">
        <f aca="false">IF($J856=1,MAX(Cx_1*(Ref_P-E856)/Span_P,Cx_2*(Ref_S-F856)/Span_S,Cx_3*(Ref_B-G856)/Span_B),"")</f>
        <v>2.0093743434451</v>
      </c>
    </row>
    <row r="857" customFormat="false" ht="15" hidden="false" customHeight="false" outlineLevel="0" collapsed="false">
      <c r="A857" s="2" t="n">
        <v>851</v>
      </c>
      <c r="B857" s="15" t="n">
        <f aca="false">INT(A857/151)</f>
        <v>5</v>
      </c>
      <c r="C857" s="15" t="n">
        <f aca="false">MOD(A857,151)</f>
        <v>96</v>
      </c>
      <c r="D857" s="15" t="n">
        <f aca="false">INDEX(Grid!$J$6:$P$156,C857+1,B857+1)</f>
        <v>1</v>
      </c>
      <c r="E857" s="16" t="n">
        <f aca="false">IF(D857=1,INDEX(Grid!$B$6:$H$156,C857+1,B857+1),"")</f>
        <v>95.5293326055383</v>
      </c>
      <c r="F857" s="13" t="n">
        <f aca="false">Val_pt*(Ceiling_e-E_zero)*(1-(1-Half_gap)^B857)</f>
        <v>135.625</v>
      </c>
      <c r="G857" s="15" t="n">
        <f aca="false">C857</f>
        <v>96</v>
      </c>
      <c r="H857" s="15" t="n">
        <f aca="false">IF(D857=1,INDEX(Grid!$R$6:$X$156,C857+1,B857+1),"")</f>
        <v>55</v>
      </c>
      <c r="I857" s="2" t="str">
        <f aca="false">IF(D857=1,INDEX(Sch_label,H857+1),"")</f>
        <v>1, 2, 4–6</v>
      </c>
      <c r="J857" s="15" t="n">
        <f aca="false">IF(D857=1,INDEX(Grid!$Z$6:$AF$156,C857+1,B857+1),0)</f>
        <v>1</v>
      </c>
      <c r="K857" s="16" t="n">
        <f aca="false">IF(J857=1,E857,0)</f>
        <v>95.5293326055383</v>
      </c>
      <c r="L857" s="17" t="n">
        <f aca="false">IF(D857=1,E857+W_board*F857,"")</f>
        <v>861.097100240974</v>
      </c>
      <c r="M857" s="24" t="n">
        <v>0</v>
      </c>
      <c r="Q857" s="24" t="n">
        <v>5</v>
      </c>
      <c r="R857" s="24" t="n">
        <v>85</v>
      </c>
      <c r="S857" s="25" t="n">
        <v>0.252142637563088</v>
      </c>
      <c r="T857" s="24" t="n">
        <v>5</v>
      </c>
      <c r="U857" s="24" t="n">
        <v>100</v>
      </c>
      <c r="V857" s="25" t="n">
        <v>0.736875779456158</v>
      </c>
      <c r="W857" s="24" t="n">
        <v>6</v>
      </c>
      <c r="X857" s="24" t="n">
        <v>85</v>
      </c>
      <c r="Y857" s="25" t="n">
        <v>0.0109815829807543</v>
      </c>
      <c r="Z857" s="12" t="str">
        <f aca="false">IF(AND($J857=1,$M857=1),N857*E857/Span_P+O857*F857/Span_S+P857*G857/Span_B,"")</f>
        <v/>
      </c>
      <c r="AA857" s="12" t="str">
        <f aca="false">IF(AND($J857=1,$M857=1),SUMPRODUCT(MAX($J$6:$J$1062*(N857*$K$6:$K$1062/Span_P+O857*$F$6:$F$1062/Span_S+P857*$G$6:$G$1062/Span_B)-(1-$J$6:$J$1062)*1000000000)),"")</f>
        <v/>
      </c>
      <c r="AB857" s="15" t="str">
        <f aca="false">IF(AND($J857=1,$M857=1),IF(AA857-Z857&lt;=0.000000001,1,0),"")</f>
        <v/>
      </c>
      <c r="AC857" s="13" t="n">
        <f aca="false">IF(AND($J857=1,$M857=0),IF(S857="",0,S857*INDEX(Grid!$B$6:$H$156,R857+1,Q857+1))+IF(V857="",0,V857*INDEX(Grid!$B$6:$H$156,U857+1,T857+1))+IF(Y857="",0,Y857*INDEX(Grid!$B$6:$H$156,X857+1,W857+1)),"")</f>
        <v>95.6576099210067</v>
      </c>
      <c r="AD857" s="13" t="n">
        <f aca="false">IF(AND($J857=1,$M857=0),IF(S857="",0,S857*Val_pt*(Ceiling_e-E_zero)*(1-(1-Half_gap)^Q857))+IF(V857="",0,V857*Val_pt*(Ceiling_e-E_zero)*(1-(1-Half_gap)^T857))+IF(Y857="",0,Y857*Val_pt*(Ceiling_e-E_zero)*(1-(1-Half_gap)^W857)),"")</f>
        <v>135.64902221277</v>
      </c>
      <c r="AE857" s="13" t="n">
        <f aca="false">IF(AND($J857=1,$M857=0),IF(S857="",0,S857*R857)+IF(V857="",0,V857*U857)+IF(Y857="",0,Y857*X857),"")</f>
        <v>96.0531366918424</v>
      </c>
      <c r="AF857" s="12" t="n">
        <f aca="false">IF(AND($J857=1,$M857=0),MIN((AC857-E857)/Span_P,(AD857-F857)/Span_S,(AE857-G857)/Span_B),"")</f>
        <v>0.000354244612282621</v>
      </c>
      <c r="AG857" s="15" t="n">
        <f aca="false">IF(AND($J857=1,$M857=0),IF(AF857&gt;0.0000001,1,0),"")</f>
        <v>1</v>
      </c>
      <c r="AH857" s="15" t="n">
        <f aca="false">IF($J857=1,IF($M857=1,AB857,AG857),"")</f>
        <v>1</v>
      </c>
      <c r="AI857" s="13" t="n">
        <f aca="false">IF($J857=1,(Ideal_P-E857)/Span_P,"")</f>
        <v>0.79710573016947</v>
      </c>
      <c r="AJ857" s="13" t="n">
        <f aca="false">IF($J857=1,(Ideal_S-F857)/Span_S,"")</f>
        <v>0.032258064516129</v>
      </c>
      <c r="AK857" s="13" t="n">
        <f aca="false">IF($J857=1,(Ideal_B-G857)/Span_B,"")</f>
        <v>0.36</v>
      </c>
      <c r="AL857" s="12" t="n">
        <f aca="false">IF($J857=1,MAX(ChA_1*AI857,ChA_2*AJ857,ChA_3*AK857)+Rho*(ChA_1*AI857+ChA_2*AJ857+ChA_3*AK857),"")</f>
        <v>0.797224666548939</v>
      </c>
      <c r="AM857" s="12" t="n">
        <f aca="false">IF($J857=1,MAX(ChB_1*AI857,ChB_2*AJ857,ChB_3*AK857)+Rho*(ChB_1*AI857+ChB_2*AJ857+ChB_3*AK857),"")</f>
        <v>1.59441010729143</v>
      </c>
      <c r="AN857" s="12" t="n">
        <f aca="false">IF($J857=1,MAX(Cx_1*(Ref_P-E857)/Span_P,Cx_2*(Ref_S-F857)/Span_S,Cx_3*(Ref_B-G857)/Span_B),"")</f>
        <v>2.01564400512852</v>
      </c>
    </row>
    <row r="858" customFormat="false" ht="15" hidden="false" customHeight="false" outlineLevel="0" collapsed="false">
      <c r="A858" s="2" t="n">
        <v>852</v>
      </c>
      <c r="B858" s="15" t="n">
        <f aca="false">INT(A858/151)</f>
        <v>5</v>
      </c>
      <c r="C858" s="15" t="n">
        <f aca="false">MOD(A858,151)</f>
        <v>97</v>
      </c>
      <c r="D858" s="15" t="n">
        <f aca="false">INDEX(Grid!$J$6:$P$156,C858+1,B858+1)</f>
        <v>1</v>
      </c>
      <c r="E858" s="16" t="n">
        <f aca="false">IF(D858=1,INDEX(Grid!$B$6:$H$156,C858+1,B858+1),"")</f>
        <v>94.6202416964474</v>
      </c>
      <c r="F858" s="13" t="n">
        <f aca="false">Val_pt*(Ceiling_e-E_zero)*(1-(1-Half_gap)^B858)</f>
        <v>135.625</v>
      </c>
      <c r="G858" s="15" t="n">
        <f aca="false">C858</f>
        <v>97</v>
      </c>
      <c r="H858" s="15" t="n">
        <f aca="false">IF(D858=1,INDEX(Grid!$R$6:$X$156,C858+1,B858+1),"")</f>
        <v>55</v>
      </c>
      <c r="I858" s="2" t="str">
        <f aca="false">IF(D858=1,INDEX(Sch_label,H858+1),"")</f>
        <v>1, 2, 4–6</v>
      </c>
      <c r="J858" s="15" t="n">
        <f aca="false">IF(D858=1,INDEX(Grid!$Z$6:$AF$156,C858+1,B858+1),0)</f>
        <v>1</v>
      </c>
      <c r="K858" s="16" t="n">
        <f aca="false">IF(J858=1,E858,0)</f>
        <v>94.6202416964474</v>
      </c>
      <c r="L858" s="17" t="n">
        <f aca="false">IF(D858=1,E858+W_board*F858,"")</f>
        <v>860.188009331883</v>
      </c>
      <c r="M858" s="24" t="n">
        <v>0</v>
      </c>
      <c r="Q858" s="24" t="n">
        <v>5</v>
      </c>
      <c r="R858" s="24" t="n">
        <v>85</v>
      </c>
      <c r="S858" s="25" t="n">
        <v>0.189106978172316</v>
      </c>
      <c r="T858" s="24" t="n">
        <v>5</v>
      </c>
      <c r="U858" s="24" t="n">
        <v>100</v>
      </c>
      <c r="V858" s="25" t="n">
        <v>0.802656834592117</v>
      </c>
      <c r="W858" s="24" t="n">
        <v>6</v>
      </c>
      <c r="X858" s="24" t="n">
        <v>85</v>
      </c>
      <c r="Y858" s="25" t="n">
        <v>0.00823618723556672</v>
      </c>
      <c r="Z858" s="12" t="str">
        <f aca="false">IF(AND($J858=1,$M858=1),N858*E858/Span_P+O858*F858/Span_S+P858*G858/Span_B,"")</f>
        <v/>
      </c>
      <c r="AA858" s="12" t="str">
        <f aca="false">IF(AND($J858=1,$M858=1),SUMPRODUCT(MAX($J$6:$J$1062*(N858*$K$6:$K$1062/Span_P+O858*$F$6:$F$1062/Span_S+P858*$G$6:$G$1062/Span_B)-(1-$J$6:$J$1062)*1000000000)),"")</f>
        <v/>
      </c>
      <c r="AB858" s="15" t="str">
        <f aca="false">IF(AND($J858=1,$M858=1),IF(AA858-Z858&lt;=0.000000001,1,0),"")</f>
        <v/>
      </c>
      <c r="AC858" s="13" t="n">
        <f aca="false">IF(AND($J858=1,$M858=0),IF(S858="",0,S858*INDEX(Grid!$B$6:$H$156,R858+1,Q858+1))+IF(V858="",0,V858*INDEX(Grid!$B$6:$H$156,U858+1,T858+1))+IF(Y858="",0,Y858*INDEX(Grid!$B$6:$H$156,X858+1,W858+1)),"")</f>
        <v>94.7164496830485</v>
      </c>
      <c r="AD858" s="13" t="n">
        <f aca="false">IF(AND($J858=1,$M858=0),IF(S858="",0,S858*Val_pt*(Ceiling_e-E_zero)*(1-(1-Half_gap)^Q858))+IF(V858="",0,V858*Val_pt*(Ceiling_e-E_zero)*(1-(1-Half_gap)^T858))+IF(Y858="",0,Y858*Val_pt*(Ceiling_e-E_zero)*(1-(1-Half_gap)^W858)),"")</f>
        <v>135.643016659578</v>
      </c>
      <c r="AE858" s="13" t="n">
        <f aca="false">IF(AND($J858=1,$M858=0),IF(S858="",0,S858*R858)+IF(V858="",0,V858*U858)+IF(Y858="",0,Y858*X858),"")</f>
        <v>97.0398525188817</v>
      </c>
      <c r="AF858" s="12" t="n">
        <f aca="false">IF(AND($J858=1,$M858=0),MIN((AC858-E858)/Span_P,(AD858-F858)/Span_S,(AE858-G858)/Span_B),"")</f>
        <v>0.000265683459209645</v>
      </c>
      <c r="AG858" s="15" t="n">
        <f aca="false">IF(AND($J858=1,$M858=0),IF(AF858&gt;0.0000001,1,0),"")</f>
        <v>1</v>
      </c>
      <c r="AH858" s="15" t="n">
        <f aca="false">IF($J858=1,IF($M858=1,AB858,AG858),"")</f>
        <v>1</v>
      </c>
      <c r="AI858" s="13" t="n">
        <f aca="false">IF($J858=1,(Ideal_P-E858)/Span_P,"")</f>
        <v>0.799616232945776</v>
      </c>
      <c r="AJ858" s="13" t="n">
        <f aca="false">IF($J858=1,(Ideal_S-F858)/Span_S,"")</f>
        <v>0.032258064516129</v>
      </c>
      <c r="AK858" s="13" t="n">
        <f aca="false">IF($J858=1,(Ideal_B-G858)/Span_B,"")</f>
        <v>0.353333333333333</v>
      </c>
      <c r="AL858" s="12" t="n">
        <f aca="false">IF($J858=1,MAX(ChA_1*AI858,ChA_2*AJ858,ChA_3*AK858)+Rho*(ChA_1*AI858+ChA_2*AJ858+ChA_3*AK858),"")</f>
        <v>0.799734753708855</v>
      </c>
      <c r="AM858" s="12" t="n">
        <f aca="false">IF($J858=1,MAX(ChB_1*AI858,ChB_2*AJ858,ChB_3*AK858)+Rho*(ChB_1*AI858+ChB_2*AJ858+ChB_3*AK858),"")</f>
        <v>1.59943094827793</v>
      </c>
      <c r="AN858" s="12" t="n">
        <f aca="false">IF($J858=1,MAX(Cx_1*(Ref_P-E858)/Span_P,Cx_2*(Ref_S-F858)/Span_S,Cx_3*(Ref_B-G858)/Span_B),"")</f>
        <v>2.02191366681195</v>
      </c>
    </row>
    <row r="859" customFormat="false" ht="15" hidden="false" customHeight="false" outlineLevel="0" collapsed="false">
      <c r="A859" s="2" t="n">
        <v>853</v>
      </c>
      <c r="B859" s="15" t="n">
        <f aca="false">INT(A859/151)</f>
        <v>5</v>
      </c>
      <c r="C859" s="15" t="n">
        <f aca="false">MOD(A859,151)</f>
        <v>98</v>
      </c>
      <c r="D859" s="15" t="n">
        <f aca="false">INDEX(Grid!$J$6:$P$156,C859+1,B859+1)</f>
        <v>1</v>
      </c>
      <c r="E859" s="16" t="n">
        <f aca="false">IF(D859=1,INDEX(Grid!$B$6:$H$156,C859+1,B859+1),"")</f>
        <v>93.7111507873564</v>
      </c>
      <c r="F859" s="13" t="n">
        <f aca="false">Val_pt*(Ceiling_e-E_zero)*(1-(1-Half_gap)^B859)</f>
        <v>135.625</v>
      </c>
      <c r="G859" s="15" t="n">
        <f aca="false">C859</f>
        <v>98</v>
      </c>
      <c r="H859" s="15" t="n">
        <f aca="false">IF(D859=1,INDEX(Grid!$R$6:$X$156,C859+1,B859+1),"")</f>
        <v>55</v>
      </c>
      <c r="I859" s="2" t="str">
        <f aca="false">IF(D859=1,INDEX(Sch_label,H859+1),"")</f>
        <v>1, 2, 4–6</v>
      </c>
      <c r="J859" s="15" t="n">
        <f aca="false">IF(D859=1,INDEX(Grid!$Z$6:$AF$156,C859+1,B859+1),0)</f>
        <v>1</v>
      </c>
      <c r="K859" s="16" t="n">
        <f aca="false">IF(J859=1,E859,0)</f>
        <v>93.7111507873564</v>
      </c>
      <c r="L859" s="17" t="n">
        <f aca="false">IF(D859=1,E859+W_board*F859,"")</f>
        <v>859.278918422792</v>
      </c>
      <c r="M859" s="24" t="n">
        <v>0</v>
      </c>
      <c r="Q859" s="24" t="n">
        <v>5</v>
      </c>
      <c r="R859" s="24" t="n">
        <v>85</v>
      </c>
      <c r="S859" s="25" t="n">
        <v>0.126071318781544</v>
      </c>
      <c r="T859" s="24" t="n">
        <v>5</v>
      </c>
      <c r="U859" s="24" t="n">
        <v>100</v>
      </c>
      <c r="V859" s="25" t="n">
        <v>0.868437889728079</v>
      </c>
      <c r="W859" s="24" t="n">
        <v>6</v>
      </c>
      <c r="X859" s="24" t="n">
        <v>85</v>
      </c>
      <c r="Y859" s="25" t="n">
        <v>0.00549079149037746</v>
      </c>
      <c r="Z859" s="12" t="str">
        <f aca="false">IF(AND($J859=1,$M859=1),N859*E859/Span_P+O859*F859/Span_S+P859*G859/Span_B,"")</f>
        <v/>
      </c>
      <c r="AA859" s="12" t="str">
        <f aca="false">IF(AND($J859=1,$M859=1),SUMPRODUCT(MAX($J$6:$J$1062*(N859*$K$6:$K$1062/Span_P+O859*$F$6:$F$1062/Span_S+P859*$G$6:$G$1062/Span_B)-(1-$J$6:$J$1062)*1000000000)),"")</f>
        <v/>
      </c>
      <c r="AB859" s="15" t="str">
        <f aca="false">IF(AND($J859=1,$M859=1),IF(AA859-Z859&lt;=0.000000001,1,0),"")</f>
        <v/>
      </c>
      <c r="AC859" s="13" t="n">
        <f aca="false">IF(AND($J859=1,$M859=0),IF(S859="",0,S859*INDEX(Grid!$B$6:$H$156,R859+1,Q859+1))+IF(V859="",0,V859*INDEX(Grid!$B$6:$H$156,U859+1,T859+1))+IF(Y859="",0,Y859*INDEX(Grid!$B$6:$H$156,X859+1,W859+1)),"")</f>
        <v>93.7752894450906</v>
      </c>
      <c r="AD859" s="13" t="n">
        <f aca="false">IF(AND($J859=1,$M859=0),IF(S859="",0,S859*Val_pt*(Ceiling_e-E_zero)*(1-(1-Half_gap)^Q859))+IF(V859="",0,V859*Val_pt*(Ceiling_e-E_zero)*(1-(1-Half_gap)^T859))+IF(Y859="",0,Y859*Val_pt*(Ceiling_e-E_zero)*(1-(1-Half_gap)^W859)),"")</f>
        <v>135.637011106385</v>
      </c>
      <c r="AE859" s="13" t="n">
        <f aca="false">IF(AND($J859=1,$M859=0),IF(S859="",0,S859*R859)+IF(V859="",0,V859*U859)+IF(Y859="",0,Y859*X859),"")</f>
        <v>98.0265683459212</v>
      </c>
      <c r="AF859" s="12" t="n">
        <f aca="false">IF(AND($J859=1,$M859=0),MIN((AC859-E859)/Span_P,(AD859-F859)/Span_S,(AE859-G859)/Span_B),"")</f>
        <v>0.000177122306141021</v>
      </c>
      <c r="AG859" s="15" t="n">
        <f aca="false">IF(AND($J859=1,$M859=0),IF(AF859&gt;0.0000001,1,0),"")</f>
        <v>1</v>
      </c>
      <c r="AH859" s="15" t="n">
        <f aca="false">IF($J859=1,IF($M859=1,AB859,AG859),"")</f>
        <v>1</v>
      </c>
      <c r="AI859" s="13" t="n">
        <f aca="false">IF($J859=1,(Ideal_P-E859)/Span_P,"")</f>
        <v>0.802126735722082</v>
      </c>
      <c r="AJ859" s="13" t="n">
        <f aca="false">IF($J859=1,(Ideal_S-F859)/Span_S,"")</f>
        <v>0.032258064516129</v>
      </c>
      <c r="AK859" s="13" t="n">
        <f aca="false">IF($J859=1,(Ideal_B-G859)/Span_B,"")</f>
        <v>0.346666666666667</v>
      </c>
      <c r="AL859" s="12" t="n">
        <f aca="false">IF($J859=1,MAX(ChA_1*AI859,ChA_2*AJ859,ChA_3*AK859)+Rho*(ChA_1*AI859+ChA_2*AJ859+ChA_3*AK859),"")</f>
        <v>0.802244840868772</v>
      </c>
      <c r="AM859" s="12" t="n">
        <f aca="false">IF($J859=1,MAX(ChB_1*AI859,ChB_2*AJ859,ChB_3*AK859)+Rho*(ChB_1*AI859+ChB_2*AJ859+ChB_3*AK859),"")</f>
        <v>1.60445178926443</v>
      </c>
      <c r="AN859" s="12" t="n">
        <f aca="false">IF($J859=1,MAX(Cx_1*(Ref_P-E859)/Span_P,Cx_2*(Ref_S-F859)/Span_S,Cx_3*(Ref_B-G859)/Span_B),"")</f>
        <v>2.02818332849538</v>
      </c>
    </row>
    <row r="860" customFormat="false" ht="15" hidden="false" customHeight="false" outlineLevel="0" collapsed="false">
      <c r="A860" s="2" t="n">
        <v>854</v>
      </c>
      <c r="B860" s="15" t="n">
        <f aca="false">INT(A860/151)</f>
        <v>5</v>
      </c>
      <c r="C860" s="15" t="n">
        <f aca="false">MOD(A860,151)</f>
        <v>99</v>
      </c>
      <c r="D860" s="15" t="n">
        <f aca="false">INDEX(Grid!$J$6:$P$156,C860+1,B860+1)</f>
        <v>1</v>
      </c>
      <c r="E860" s="16" t="n">
        <f aca="false">IF(D860=1,INDEX(Grid!$B$6:$H$156,C860+1,B860+1),"")</f>
        <v>92.8020598782655</v>
      </c>
      <c r="F860" s="13" t="n">
        <f aca="false">Val_pt*(Ceiling_e-E_zero)*(1-(1-Half_gap)^B860)</f>
        <v>135.625</v>
      </c>
      <c r="G860" s="15" t="n">
        <f aca="false">C860</f>
        <v>99</v>
      </c>
      <c r="H860" s="15" t="n">
        <f aca="false">IF(D860=1,INDEX(Grid!$R$6:$X$156,C860+1,B860+1),"")</f>
        <v>55</v>
      </c>
      <c r="I860" s="2" t="str">
        <f aca="false">IF(D860=1,INDEX(Sch_label,H860+1),"")</f>
        <v>1, 2, 4–6</v>
      </c>
      <c r="J860" s="15" t="n">
        <f aca="false">IF(D860=1,INDEX(Grid!$Z$6:$AF$156,C860+1,B860+1),0)</f>
        <v>1</v>
      </c>
      <c r="K860" s="16" t="n">
        <f aca="false">IF(J860=1,E860,0)</f>
        <v>92.8020598782655</v>
      </c>
      <c r="L860" s="17" t="n">
        <f aca="false">IF(D860=1,E860+W_board*F860,"")</f>
        <v>858.369827513701</v>
      </c>
      <c r="M860" s="24" t="n">
        <v>0</v>
      </c>
      <c r="Q860" s="24" t="n">
        <v>5</v>
      </c>
      <c r="R860" s="24" t="n">
        <v>85</v>
      </c>
      <c r="S860" s="25" t="n">
        <v>0.0630356593907737</v>
      </c>
      <c r="T860" s="24" t="n">
        <v>5</v>
      </c>
      <c r="U860" s="24" t="n">
        <v>100</v>
      </c>
      <c r="V860" s="25" t="n">
        <v>0.934218944864043</v>
      </c>
      <c r="W860" s="24" t="n">
        <v>6</v>
      </c>
      <c r="X860" s="24" t="n">
        <v>85</v>
      </c>
      <c r="Y860" s="25" t="n">
        <v>0.00274539574518519</v>
      </c>
      <c r="Z860" s="12" t="str">
        <f aca="false">IF(AND($J860=1,$M860=1),N860*E860/Span_P+O860*F860/Span_S+P860*G860/Span_B,"")</f>
        <v/>
      </c>
      <c r="AA860" s="12" t="str">
        <f aca="false">IF(AND($J860=1,$M860=1),SUMPRODUCT(MAX($J$6:$J$1062*(N860*$K$6:$K$1062/Span_P+O860*$F$6:$F$1062/Span_S+P860*$G$6:$G$1062/Span_B)-(1-$J$6:$J$1062)*1000000000)),"")</f>
        <v/>
      </c>
      <c r="AB860" s="15" t="str">
        <f aca="false">IF(AND($J860=1,$M860=1),IF(AA860-Z860&lt;=0.000000001,1,0),"")</f>
        <v/>
      </c>
      <c r="AC860" s="13" t="n">
        <f aca="false">IF(AND($J860=1,$M860=0),IF(S860="",0,S860*INDEX(Grid!$B$6:$H$156,R860+1,Q860+1))+IF(V860="",0,V860*INDEX(Grid!$B$6:$H$156,U860+1,T860+1))+IF(Y860="",0,Y860*INDEX(Grid!$B$6:$H$156,X860+1,W860+1)),"")</f>
        <v>92.8341292071331</v>
      </c>
      <c r="AD860" s="13" t="n">
        <f aca="false">IF(AND($J860=1,$M860=0),IF(S860="",0,S860*Val_pt*(Ceiling_e-E_zero)*(1-(1-Half_gap)^Q860))+IF(V860="",0,V860*Val_pt*(Ceiling_e-E_zero)*(1-(1-Half_gap)^T860))+IF(Y860="",0,Y860*Val_pt*(Ceiling_e-E_zero)*(1-(1-Half_gap)^W860)),"")</f>
        <v>135.631005553193</v>
      </c>
      <c r="AE860" s="13" t="n">
        <f aca="false">IF(AND($J860=1,$M860=0),IF(S860="",0,S860*R860)+IF(V860="",0,V860*U860)+IF(Y860="",0,Y860*X860),"")</f>
        <v>99.0132841729608</v>
      </c>
      <c r="AF860" s="12" t="n">
        <f aca="false">IF(AND($J860=1,$M860=0),MIN((AC860-E860)/Span_P,(AD860-F860)/Span_S,(AE860-G860)/Span_B),"")</f>
        <v>8.85611530717933E-005</v>
      </c>
      <c r="AG860" s="15" t="n">
        <f aca="false">IF(AND($J860=1,$M860=0),IF(AF860&gt;0.0000001,1,0),"")</f>
        <v>1</v>
      </c>
      <c r="AH860" s="15" t="n">
        <f aca="false">IF($J860=1,IF($M860=1,AB860,AG860),"")</f>
        <v>1</v>
      </c>
      <c r="AI860" s="13" t="n">
        <f aca="false">IF($J860=1,(Ideal_P-E860)/Span_P,"")</f>
        <v>0.804637238498387</v>
      </c>
      <c r="AJ860" s="13" t="n">
        <f aca="false">IF($J860=1,(Ideal_S-F860)/Span_S,"")</f>
        <v>0.032258064516129</v>
      </c>
      <c r="AK860" s="13" t="n">
        <f aca="false">IF($J860=1,(Ideal_B-G860)/Span_B,"")</f>
        <v>0.34</v>
      </c>
      <c r="AL860" s="12" t="n">
        <f aca="false">IF($J860=1,MAX(ChA_1*AI860,ChA_2*AJ860,ChA_3*AK860)+Rho*(ChA_1*AI860+ChA_2*AJ860+ChA_3*AK860),"")</f>
        <v>0.804754928028689</v>
      </c>
      <c r="AM860" s="12" t="n">
        <f aca="false">IF($J860=1,MAX(ChB_1*AI860,ChB_2*AJ860,ChB_3*AK860)+Rho*(ChB_1*AI860+ChB_2*AJ860+ChB_3*AK860),"")</f>
        <v>1.60947263025093</v>
      </c>
      <c r="AN860" s="12" t="n">
        <f aca="false">IF($J860=1,MAX(Cx_1*(Ref_P-E860)/Span_P,Cx_2*(Ref_S-F860)/Span_S,Cx_3*(Ref_B-G860)/Span_B),"")</f>
        <v>2.03445299017881</v>
      </c>
    </row>
    <row r="861" customFormat="false" ht="15" hidden="false" customHeight="false" outlineLevel="0" collapsed="false">
      <c r="A861" s="2" t="n">
        <v>855</v>
      </c>
      <c r="B861" s="15" t="n">
        <f aca="false">INT(A861/151)</f>
        <v>5</v>
      </c>
      <c r="C861" s="15" t="n">
        <f aca="false">MOD(A861,151)</f>
        <v>100</v>
      </c>
      <c r="D861" s="15" t="n">
        <f aca="false">INDEX(Grid!$J$6:$P$156,C861+1,B861+1)</f>
        <v>1</v>
      </c>
      <c r="E861" s="16" t="n">
        <f aca="false">IF(D861=1,INDEX(Grid!$B$6:$H$156,C861+1,B861+1),"")</f>
        <v>91.8929689691746</v>
      </c>
      <c r="F861" s="13" t="n">
        <f aca="false">Val_pt*(Ceiling_e-E_zero)*(1-(1-Half_gap)^B861)</f>
        <v>135.625</v>
      </c>
      <c r="G861" s="15" t="n">
        <f aca="false">C861</f>
        <v>100</v>
      </c>
      <c r="H861" s="15" t="n">
        <f aca="false">IF(D861=1,INDEX(Grid!$R$6:$X$156,C861+1,B861+1),"")</f>
        <v>55</v>
      </c>
      <c r="I861" s="2" t="str">
        <f aca="false">IF(D861=1,INDEX(Sch_label,H861+1),"")</f>
        <v>1, 2, 4–6</v>
      </c>
      <c r="J861" s="15" t="n">
        <f aca="false">IF(D861=1,INDEX(Grid!$Z$6:$AF$156,C861+1,B861+1),0)</f>
        <v>1</v>
      </c>
      <c r="K861" s="16" t="n">
        <f aca="false">IF(J861=1,E861,0)</f>
        <v>91.8929689691746</v>
      </c>
      <c r="L861" s="17" t="n">
        <f aca="false">IF(D861=1,E861+W_board*F861,"")</f>
        <v>857.46073660461</v>
      </c>
      <c r="M861" s="24" t="n">
        <v>1</v>
      </c>
      <c r="N861" s="25" t="n">
        <v>0.119675542211489</v>
      </c>
      <c r="O861" s="25" t="n">
        <v>0.821973417681245</v>
      </c>
      <c r="P861" s="25" t="n">
        <v>0.0583510401072666</v>
      </c>
      <c r="Z861" s="12" t="n">
        <f aca="false">IF(AND($J861=1,$M861=1),N861*E861/Span_P+O861*F861/Span_S+P861*G861/Span_B,"")</f>
        <v>1.71321726907848</v>
      </c>
      <c r="AA861" s="12" t="n">
        <f aca="false">IF(AND($J861=1,$M861=1),SUMPRODUCT(MAX($J$6:$J$1062*(N861*$K$6:$K$1062/Span_P+O861*$F$6:$F$1062/Span_S+P861*$G$6:$G$1062/Span_B)-(1-$J$6:$J$1062)*1000000000)),"")</f>
        <v>1.71321726907848</v>
      </c>
      <c r="AB861" s="15" t="n">
        <f aca="false">IF(AND($J861=1,$M861=1),IF(AA861-Z861&lt;=0.000000001,1,0),"")</f>
        <v>1</v>
      </c>
      <c r="AC861" s="13" t="str">
        <f aca="false">IF(AND($J861=1,$M861=0),IF(S861="",0,S861*INDEX(Grid!$B$6:$H$156,R861+1,Q861+1))+IF(V861="",0,V861*INDEX(Grid!$B$6:$H$156,U861+1,T861+1))+IF(Y861="",0,Y861*INDEX(Grid!$B$6:$H$156,X861+1,W861+1)),"")</f>
        <v/>
      </c>
      <c r="AD861" s="13" t="str">
        <f aca="false">IF(AND($J861=1,$M861=0),IF(S861="",0,S861*Val_pt*(Ceiling_e-E_zero)*(1-(1-Half_gap)^Q861))+IF(V861="",0,V861*Val_pt*(Ceiling_e-E_zero)*(1-(1-Half_gap)^T861))+IF(Y861="",0,Y861*Val_pt*(Ceiling_e-E_zero)*(1-(1-Half_gap)^W861)),"")</f>
        <v/>
      </c>
      <c r="AE861" s="13" t="str">
        <f aca="false">IF(AND($J861=1,$M861=0),IF(S861="",0,S861*R861)+IF(V861="",0,V861*U861)+IF(Y861="",0,Y861*X861),"")</f>
        <v/>
      </c>
      <c r="AF861" s="12" t="str">
        <f aca="false">IF(AND($J861=1,$M861=0),MIN((AC861-E861)/Span_P,(AD861-F861)/Span_S,(AE861-G861)/Span_B),"")</f>
        <v/>
      </c>
      <c r="AG861" s="15" t="str">
        <f aca="false">IF(AND($J861=1,$M861=0),IF(AF861&gt;0.0000001,1,0),"")</f>
        <v/>
      </c>
      <c r="AH861" s="15" t="n">
        <f aca="false">IF($J861=1,IF($M861=1,AB861,AG861),"")</f>
        <v>1</v>
      </c>
      <c r="AI861" s="13" t="n">
        <f aca="false">IF($J861=1,(Ideal_P-E861)/Span_P,"")</f>
        <v>0.807147741274693</v>
      </c>
      <c r="AJ861" s="13" t="n">
        <f aca="false">IF($J861=1,(Ideal_S-F861)/Span_S,"")</f>
        <v>0.032258064516129</v>
      </c>
      <c r="AK861" s="13" t="n">
        <f aca="false">IF($J861=1,(Ideal_B-G861)/Span_B,"")</f>
        <v>0.333333333333333</v>
      </c>
      <c r="AL861" s="12" t="n">
        <f aca="false">IF($J861=1,MAX(ChA_1*AI861,ChA_2*AJ861,ChA_3*AK861)+Rho*(ChA_1*AI861+ChA_2*AJ861+ChA_3*AK861),"")</f>
        <v>0.807265015188605</v>
      </c>
      <c r="AM861" s="12" t="n">
        <f aca="false">IF($J861=1,MAX(ChB_1*AI861,ChB_2*AJ861,ChB_3*AK861)+Rho*(ChB_1*AI861+ChB_2*AJ861+ChB_3*AK861),"")</f>
        <v>1.61449347123743</v>
      </c>
      <c r="AN861" s="12" t="n">
        <f aca="false">IF($J861=1,MAX(Cx_1*(Ref_P-E861)/Span_P,Cx_2*(Ref_S-F861)/Span_S,Cx_3*(Ref_B-G861)/Span_B),"")</f>
        <v>2.04072265186224</v>
      </c>
    </row>
    <row r="862" customFormat="false" ht="15" hidden="false" customHeight="false" outlineLevel="0" collapsed="false">
      <c r="A862" s="2" t="n">
        <v>856</v>
      </c>
      <c r="B862" s="15" t="n">
        <f aca="false">INT(A862/151)</f>
        <v>5</v>
      </c>
      <c r="C862" s="15" t="n">
        <f aca="false">MOD(A862,151)</f>
        <v>101</v>
      </c>
      <c r="D862" s="15" t="n">
        <f aca="false">INDEX(Grid!$J$6:$P$156,C862+1,B862+1)</f>
        <v>1</v>
      </c>
      <c r="E862" s="16" t="n">
        <f aca="false">IF(D862=1,INDEX(Grid!$B$6:$H$156,C862+1,B862+1),"")</f>
        <v>66.6037127708275</v>
      </c>
      <c r="F862" s="13" t="n">
        <f aca="false">Val_pt*(Ceiling_e-E_zero)*(1-(1-Half_gap)^B862)</f>
        <v>135.625</v>
      </c>
      <c r="G862" s="15" t="n">
        <f aca="false">C862</f>
        <v>101</v>
      </c>
      <c r="H862" s="15" t="n">
        <f aca="false">IF(D862=1,INDEX(Grid!$R$6:$X$156,C862+1,B862+1),"")</f>
        <v>47</v>
      </c>
      <c r="I862" s="2" t="str">
        <f aca="false">IF(D862=1,INDEX(Sch_label,H862+1),"")</f>
        <v>1, 3–6</v>
      </c>
      <c r="J862" s="15" t="n">
        <f aca="false">IF(D862=1,INDEX(Grid!$Z$6:$AF$156,C862+1,B862+1),0)</f>
        <v>1</v>
      </c>
      <c r="K862" s="16" t="n">
        <f aca="false">IF(J862=1,E862,0)</f>
        <v>66.6037127708275</v>
      </c>
      <c r="L862" s="17" t="n">
        <f aca="false">IF(D862=1,E862+W_board*F862,"")</f>
        <v>832.171480406263</v>
      </c>
      <c r="M862" s="24" t="n">
        <v>0</v>
      </c>
      <c r="Q862" s="24" t="n">
        <v>5</v>
      </c>
      <c r="R862" s="24" t="n">
        <v>100</v>
      </c>
      <c r="S862" s="25" t="n">
        <v>0.652702767022037</v>
      </c>
      <c r="T862" s="24" t="n">
        <v>5</v>
      </c>
      <c r="U862" s="24" t="n">
        <v>150</v>
      </c>
      <c r="V862" s="25" t="n">
        <v>0.112973578882878</v>
      </c>
      <c r="W862" s="24" t="n">
        <v>6</v>
      </c>
      <c r="X862" s="24" t="n">
        <v>85</v>
      </c>
      <c r="Y862" s="25" t="n">
        <v>0.234323654095067</v>
      </c>
      <c r="Z862" s="12" t="str">
        <f aca="false">IF(AND($J862=1,$M862=1),N862*E862/Span_P+O862*F862/Span_S+P862*G862/Span_B,"")</f>
        <v/>
      </c>
      <c r="AA862" s="12" t="str">
        <f aca="false">IF(AND($J862=1,$M862=1),SUMPRODUCT(MAX($J$6:$J$1062*(N862*$K$6:$K$1062/Span_P+O862*$F$6:$F$1062/Span_S+P862*$G$6:$G$1062/Span_B)-(1-$J$6:$J$1062)*1000000000)),"")</f>
        <v/>
      </c>
      <c r="AB862" s="15" t="str">
        <f aca="false">IF(AND($J862=1,$M862=1),IF(AA862-Z862&lt;=0.000000001,1,0),"")</f>
        <v/>
      </c>
      <c r="AC862" s="13" t="n">
        <f aca="false">IF(AND($J862=1,$M862=0),IF(S862="",0,S862*INDEX(Grid!$B$6:$H$156,R862+1,Q862+1))+IF(V862="",0,V862*INDEX(Grid!$B$6:$H$156,U862+1,T862+1))+IF(Y862="",0,Y862*INDEX(Grid!$B$6:$H$156,X862+1,W862+1)),"")</f>
        <v>69.340878200501</v>
      </c>
      <c r="AD862" s="13" t="n">
        <f aca="false">IF(AND($J862=1,$M862=0),IF(S862="",0,S862*Val_pt*(Ceiling_e-E_zero)*(1-(1-Half_gap)^Q862))+IF(V862="",0,V862*Val_pt*(Ceiling_e-E_zero)*(1-(1-Half_gap)^T862))+IF(Y862="",0,Y862*Val_pt*(Ceiling_e-E_zero)*(1-(1-Half_gap)^W862)),"")</f>
        <v>136.13758299333</v>
      </c>
      <c r="AE862" s="13" t="n">
        <f aca="false">IF(AND($J862=1,$M862=0),IF(S862="",0,S862*R862)+IF(V862="",0,V862*U862)+IF(Y862="",0,Y862*X862),"")</f>
        <v>102.133824132716</v>
      </c>
      <c r="AF862" s="12" t="n">
        <f aca="false">IF(AND($J862=1,$M862=0),MIN((AC862-E862)/Span_P,(AD862-F862)/Span_S,(AE862-G862)/Span_B),"")</f>
        <v>0.007558827551416</v>
      </c>
      <c r="AG862" s="15" t="n">
        <f aca="false">IF(AND($J862=1,$M862=0),IF(AF862&gt;0.0000001,1,0),"")</f>
        <v>1</v>
      </c>
      <c r="AH862" s="15" t="n">
        <f aca="false">IF($J862=1,IF($M862=1,AB862,AG862),"")</f>
        <v>1</v>
      </c>
      <c r="AI862" s="13" t="n">
        <f aca="false">IF($J862=1,(Ideal_P-E862)/Span_P,"")</f>
        <v>0.876985363961017</v>
      </c>
      <c r="AJ862" s="13" t="n">
        <f aca="false">IF($J862=1,(Ideal_S-F862)/Span_S,"")</f>
        <v>0.032258064516129</v>
      </c>
      <c r="AK862" s="13" t="n">
        <f aca="false">IF($J862=1,(Ideal_B-G862)/Span_B,"")</f>
        <v>0.326666666666667</v>
      </c>
      <c r="AL862" s="12" t="n">
        <f aca="false">IF($J862=1,MAX(ChA_1*AI862,ChA_2*AJ862,ChA_3*AK862)+Rho*(ChA_1*AI862+ChA_2*AJ862+ChA_3*AK862),"")</f>
        <v>0.877108954970532</v>
      </c>
      <c r="AM862" s="12" t="n">
        <f aca="false">IF($J862=1,MAX(ChB_1*AI862,ChB_2*AJ862,ChB_3*AK862)+Rho*(ChB_1*AI862+ChB_2*AJ862+ChB_3*AK862),"")</f>
        <v>1.75418201746794</v>
      </c>
      <c r="AN862" s="12" t="n">
        <f aca="false">IF($J862=1,MAX(Cx_1*(Ref_P-E862)/Span_P,Cx_2*(Ref_S-F862)/Span_S,Cx_3*(Ref_B-G862)/Span_B),"")</f>
        <v>2.21513324051035</v>
      </c>
    </row>
    <row r="863" customFormat="false" ht="15" hidden="false" customHeight="false" outlineLevel="0" collapsed="false">
      <c r="A863" s="2" t="n">
        <v>857</v>
      </c>
      <c r="B863" s="15" t="n">
        <f aca="false">INT(A863/151)</f>
        <v>5</v>
      </c>
      <c r="C863" s="15" t="n">
        <f aca="false">MOD(A863,151)</f>
        <v>102</v>
      </c>
      <c r="D863" s="15" t="n">
        <f aca="false">INDEX(Grid!$J$6:$P$156,C863+1,B863+1)</f>
        <v>1</v>
      </c>
      <c r="E863" s="16" t="n">
        <f aca="false">IF(D863=1,INDEX(Grid!$B$6:$H$156,C863+1,B863+1),"")</f>
        <v>65.6946218617366</v>
      </c>
      <c r="F863" s="13" t="n">
        <f aca="false">Val_pt*(Ceiling_e-E_zero)*(1-(1-Half_gap)^B863)</f>
        <v>135.625</v>
      </c>
      <c r="G863" s="15" t="n">
        <f aca="false">C863</f>
        <v>102</v>
      </c>
      <c r="H863" s="15" t="n">
        <f aca="false">IF(D863=1,INDEX(Grid!$R$6:$X$156,C863+1,B863+1),"")</f>
        <v>47</v>
      </c>
      <c r="I863" s="2" t="str">
        <f aca="false">IF(D863=1,INDEX(Sch_label,H863+1),"")</f>
        <v>1, 3–6</v>
      </c>
      <c r="J863" s="15" t="n">
        <f aca="false">IF(D863=1,INDEX(Grid!$Z$6:$AF$156,C863+1,B863+1),0)</f>
        <v>1</v>
      </c>
      <c r="K863" s="16" t="n">
        <f aca="false">IF(J863=1,E863,0)</f>
        <v>65.6946218617366</v>
      </c>
      <c r="L863" s="17" t="n">
        <f aca="false">IF(D863=1,E863+W_board*F863,"")</f>
        <v>831.262389497172</v>
      </c>
      <c r="M863" s="24" t="n">
        <v>0</v>
      </c>
      <c r="Q863" s="24" t="n">
        <v>5</v>
      </c>
      <c r="R863" s="24" t="n">
        <v>100</v>
      </c>
      <c r="S863" s="25" t="n">
        <v>0.639382302388974</v>
      </c>
      <c r="T863" s="24" t="n">
        <v>5</v>
      </c>
      <c r="U863" s="24" t="n">
        <v>150</v>
      </c>
      <c r="V863" s="25" t="n">
        <v>0.13107615890567</v>
      </c>
      <c r="W863" s="24" t="n">
        <v>6</v>
      </c>
      <c r="X863" s="24" t="n">
        <v>85</v>
      </c>
      <c r="Y863" s="25" t="n">
        <v>0.229541538705352</v>
      </c>
      <c r="Z863" s="12" t="str">
        <f aca="false">IF(AND($J863=1,$M863=1),N863*E863/Span_P+O863*F863/Span_S+P863*G863/Span_B,"")</f>
        <v/>
      </c>
      <c r="AA863" s="12" t="str">
        <f aca="false">IF(AND($J863=1,$M863=1),SUMPRODUCT(MAX($J$6:$J$1062*(N863*$K$6:$K$1062/Span_P+O863*$F$6:$F$1062/Span_S+P863*$G$6:$G$1062/Span_B)-(1-$J$6:$J$1062)*1000000000)),"")</f>
        <v/>
      </c>
      <c r="AB863" s="15" t="str">
        <f aca="false">IF(AND($J863=1,$M863=1),IF(AA863-Z863&lt;=0.000000001,1,0),"")</f>
        <v/>
      </c>
      <c r="AC863" s="13" t="n">
        <f aca="false">IF(AND($J863=1,$M863=0),IF(S863="",0,S863*INDEX(Grid!$B$6:$H$156,R863+1,Q863+1))+IF(V863="",0,V863*INDEX(Grid!$B$6:$H$156,U863+1,T863+1))+IF(Y863="",0,Y863*INDEX(Grid!$B$6:$H$156,X863+1,W863+1)),"")</f>
        <v>68.3759267724402</v>
      </c>
      <c r="AD863" s="13" t="n">
        <f aca="false">IF(AND($J863=1,$M863=0),IF(S863="",0,S863*Val_pt*(Ceiling_e-E_zero)*(1-(1-Half_gap)^Q863))+IF(V863="",0,V863*Val_pt*(Ceiling_e-E_zero)*(1-(1-Half_gap)^T863))+IF(Y863="",0,Y863*Val_pt*(Ceiling_e-E_zero)*(1-(1-Half_gap)^W863)),"")</f>
        <v>136.127122115917</v>
      </c>
      <c r="AE863" s="13" t="n">
        <f aca="false">IF(AND($J863=1,$M863=0),IF(S863="",0,S863*R863)+IF(V863="",0,V863*U863)+IF(Y863="",0,Y863*X863),"")</f>
        <v>103.110684864703</v>
      </c>
      <c r="AF863" s="12" t="n">
        <f aca="false">IF(AND($J863=1,$M863=0),MIN((AC863-E863)/Span_P,(AD863-F863)/Span_S,(AE863-G863)/Span_B),"")</f>
        <v>0.00740456576468121</v>
      </c>
      <c r="AG863" s="15" t="n">
        <f aca="false">IF(AND($J863=1,$M863=0),IF(AF863&gt;0.0000001,1,0),"")</f>
        <v>1</v>
      </c>
      <c r="AH863" s="15" t="n">
        <f aca="false">IF($J863=1,IF($M863=1,AB863,AG863),"")</f>
        <v>1</v>
      </c>
      <c r="AI863" s="13" t="n">
        <f aca="false">IF($J863=1,(Ideal_P-E863)/Span_P,"")</f>
        <v>0.879495866737323</v>
      </c>
      <c r="AJ863" s="13" t="n">
        <f aca="false">IF($J863=1,(Ideal_S-F863)/Span_S,"")</f>
        <v>0.032258064516129</v>
      </c>
      <c r="AK863" s="13" t="n">
        <f aca="false">IF($J863=1,(Ideal_B-G863)/Span_B,"")</f>
        <v>0.32</v>
      </c>
      <c r="AL863" s="12" t="n">
        <f aca="false">IF($J863=1,MAX(ChA_1*AI863,ChA_2*AJ863,ChA_3*AK863)+Rho*(ChA_1*AI863+ChA_2*AJ863+ChA_3*AK863),"")</f>
        <v>0.879619042130448</v>
      </c>
      <c r="AM863" s="12" t="n">
        <f aca="false">IF($J863=1,MAX(ChB_1*AI863,ChB_2*AJ863,ChB_3*AK863)+Rho*(ChB_1*AI863+ChB_2*AJ863+ChB_3*AK863),"")</f>
        <v>1.75920285845445</v>
      </c>
      <c r="AN863" s="12" t="n">
        <f aca="false">IF($J863=1,MAX(Cx_1*(Ref_P-E863)/Span_P,Cx_2*(Ref_S-F863)/Span_S,Cx_3*(Ref_B-G863)/Span_B),"")</f>
        <v>2.22140290219377</v>
      </c>
    </row>
    <row r="864" customFormat="false" ht="15" hidden="false" customHeight="false" outlineLevel="0" collapsed="false">
      <c r="A864" s="2" t="n">
        <v>858</v>
      </c>
      <c r="B864" s="15" t="n">
        <f aca="false">INT(A864/151)</f>
        <v>5</v>
      </c>
      <c r="C864" s="15" t="n">
        <f aca="false">MOD(A864,151)</f>
        <v>103</v>
      </c>
      <c r="D864" s="15" t="n">
        <f aca="false">INDEX(Grid!$J$6:$P$156,C864+1,B864+1)</f>
        <v>1</v>
      </c>
      <c r="E864" s="16" t="n">
        <f aca="false">IF(D864=1,INDEX(Grid!$B$6:$H$156,C864+1,B864+1),"")</f>
        <v>64.7855309526457</v>
      </c>
      <c r="F864" s="13" t="n">
        <f aca="false">Val_pt*(Ceiling_e-E_zero)*(1-(1-Half_gap)^B864)</f>
        <v>135.625</v>
      </c>
      <c r="G864" s="15" t="n">
        <f aca="false">C864</f>
        <v>103</v>
      </c>
      <c r="H864" s="15" t="n">
        <f aca="false">IF(D864=1,INDEX(Grid!$R$6:$X$156,C864+1,B864+1),"")</f>
        <v>47</v>
      </c>
      <c r="I864" s="2" t="str">
        <f aca="false">IF(D864=1,INDEX(Sch_label,H864+1),"")</f>
        <v>1, 3–6</v>
      </c>
      <c r="J864" s="15" t="n">
        <f aca="false">IF(D864=1,INDEX(Grid!$Z$6:$AF$156,C864+1,B864+1),0)</f>
        <v>1</v>
      </c>
      <c r="K864" s="16" t="n">
        <f aca="false">IF(J864=1,E864,0)</f>
        <v>64.7855309526457</v>
      </c>
      <c r="L864" s="17" t="n">
        <f aca="false">IF(D864=1,E864+W_board*F864,"")</f>
        <v>830.353298588081</v>
      </c>
      <c r="M864" s="24" t="n">
        <v>0</v>
      </c>
      <c r="Q864" s="24" t="n">
        <v>5</v>
      </c>
      <c r="R864" s="24" t="n">
        <v>100</v>
      </c>
      <c r="S864" s="25" t="n">
        <v>0.626061837755865</v>
      </c>
      <c r="T864" s="24" t="n">
        <v>5</v>
      </c>
      <c r="U864" s="24" t="n">
        <v>150</v>
      </c>
      <c r="V864" s="25" t="n">
        <v>0.149178738928471</v>
      </c>
      <c r="W864" s="24" t="n">
        <v>6</v>
      </c>
      <c r="X864" s="24" t="n">
        <v>85</v>
      </c>
      <c r="Y864" s="25" t="n">
        <v>0.224759423315661</v>
      </c>
      <c r="Z864" s="12" t="str">
        <f aca="false">IF(AND($J864=1,$M864=1),N864*E864/Span_P+O864*F864/Span_S+P864*G864/Span_B,"")</f>
        <v/>
      </c>
      <c r="AA864" s="12" t="str">
        <f aca="false">IF(AND($J864=1,$M864=1),SUMPRODUCT(MAX($J$6:$J$1062*(N864*$K$6:$K$1062/Span_P+O864*$F$6:$F$1062/Span_S+P864*$G$6:$G$1062/Span_B)-(1-$J$6:$J$1062)*1000000000)),"")</f>
        <v/>
      </c>
      <c r="AB864" s="15" t="str">
        <f aca="false">IF(AND($J864=1,$M864=1),IF(AA864-Z864&lt;=0.000000001,1,0),"")</f>
        <v/>
      </c>
      <c r="AC864" s="13" t="n">
        <f aca="false">IF(AND($J864=1,$M864=0),IF(S864="",0,S864*INDEX(Grid!$B$6:$H$156,R864+1,Q864+1))+IF(V864="",0,V864*INDEX(Grid!$B$6:$H$156,U864+1,T864+1))+IF(Y864="",0,Y864*INDEX(Grid!$B$6:$H$156,X864+1,W864+1)),"")</f>
        <v>67.4109753443759</v>
      </c>
      <c r="AD864" s="13" t="n">
        <f aca="false">IF(AND($J864=1,$M864=0),IF(S864="",0,S864*Val_pt*(Ceiling_e-E_zero)*(1-(1-Half_gap)^Q864))+IF(V864="",0,V864*Val_pt*(Ceiling_e-E_zero)*(1-(1-Half_gap)^T864))+IF(Y864="",0,Y864*Val_pt*(Ceiling_e-E_zero)*(1-(1-Half_gap)^W864)),"")</f>
        <v>136.116661238503</v>
      </c>
      <c r="AE864" s="13" t="n">
        <f aca="false">IF(AND($J864=1,$M864=0),IF(S864="",0,S864*R864)+IF(V864="",0,V864*U864)+IF(Y864="",0,Y864*X864),"")</f>
        <v>104.087545596688</v>
      </c>
      <c r="AF864" s="12" t="n">
        <f aca="false">IF(AND($J864=1,$M864=0),MIN((AC864-E864)/Span_P,(AD864-F864)/Span_S,(AE864-G864)/Span_B),"")</f>
        <v>0.00725030397791708</v>
      </c>
      <c r="AG864" s="15" t="n">
        <f aca="false">IF(AND($J864=1,$M864=0),IF(AF864&gt;0.0000001,1,0),"")</f>
        <v>1</v>
      </c>
      <c r="AH864" s="15" t="n">
        <f aca="false">IF($J864=1,IF($M864=1,AB864,AG864),"")</f>
        <v>1</v>
      </c>
      <c r="AI864" s="13" t="n">
        <f aca="false">IF($J864=1,(Ideal_P-E864)/Span_P,"")</f>
        <v>0.882006369513629</v>
      </c>
      <c r="AJ864" s="13" t="n">
        <f aca="false">IF($J864=1,(Ideal_S-F864)/Span_S,"")</f>
        <v>0.032258064516129</v>
      </c>
      <c r="AK864" s="13" t="n">
        <f aca="false">IF($J864=1,(Ideal_B-G864)/Span_B,"")</f>
        <v>0.313333333333333</v>
      </c>
      <c r="AL864" s="12" t="n">
        <f aca="false">IF($J864=1,MAX(ChA_1*AI864,ChA_2*AJ864,ChA_3*AK864)+Rho*(ChA_1*AI864+ChA_2*AJ864+ChA_3*AK864),"")</f>
        <v>0.882129129290365</v>
      </c>
      <c r="AM864" s="12" t="n">
        <f aca="false">IF($J864=1,MAX(ChB_1*AI864,ChB_2*AJ864,ChB_3*AK864)+Rho*(ChB_1*AI864+ChB_2*AJ864+ChB_3*AK864),"")</f>
        <v>1.76422369944095</v>
      </c>
      <c r="AN864" s="12" t="n">
        <f aca="false">IF($J864=1,MAX(Cx_1*(Ref_P-E864)/Span_P,Cx_2*(Ref_S-F864)/Span_S,Cx_3*(Ref_B-G864)/Span_B),"")</f>
        <v>2.2276725638772</v>
      </c>
    </row>
    <row r="865" customFormat="false" ht="15" hidden="false" customHeight="false" outlineLevel="0" collapsed="false">
      <c r="A865" s="2" t="n">
        <v>859</v>
      </c>
      <c r="B865" s="15" t="n">
        <f aca="false">INT(A865/151)</f>
        <v>5</v>
      </c>
      <c r="C865" s="15" t="n">
        <f aca="false">MOD(A865,151)</f>
        <v>104</v>
      </c>
      <c r="D865" s="15" t="n">
        <f aca="false">INDEX(Grid!$J$6:$P$156,C865+1,B865+1)</f>
        <v>1</v>
      </c>
      <c r="E865" s="16" t="n">
        <f aca="false">IF(D865=1,INDEX(Grid!$B$6:$H$156,C865+1,B865+1),"")</f>
        <v>63.8764400435548</v>
      </c>
      <c r="F865" s="13" t="n">
        <f aca="false">Val_pt*(Ceiling_e-E_zero)*(1-(1-Half_gap)^B865)</f>
        <v>135.625</v>
      </c>
      <c r="G865" s="15" t="n">
        <f aca="false">C865</f>
        <v>104</v>
      </c>
      <c r="H865" s="15" t="n">
        <f aca="false">IF(D865=1,INDEX(Grid!$R$6:$X$156,C865+1,B865+1),"")</f>
        <v>47</v>
      </c>
      <c r="I865" s="2" t="str">
        <f aca="false">IF(D865=1,INDEX(Sch_label,H865+1),"")</f>
        <v>1, 3–6</v>
      </c>
      <c r="J865" s="15" t="n">
        <f aca="false">IF(D865=1,INDEX(Grid!$Z$6:$AF$156,C865+1,B865+1),0)</f>
        <v>1</v>
      </c>
      <c r="K865" s="16" t="n">
        <f aca="false">IF(J865=1,E865,0)</f>
        <v>63.8764400435548</v>
      </c>
      <c r="L865" s="17" t="n">
        <f aca="false">IF(D865=1,E865+W_board*F865,"")</f>
        <v>829.44420767899</v>
      </c>
      <c r="M865" s="24" t="n">
        <v>0</v>
      </c>
      <c r="Q865" s="24" t="n">
        <v>5</v>
      </c>
      <c r="R865" s="24" t="n">
        <v>100</v>
      </c>
      <c r="S865" s="25" t="n">
        <v>0.612741373122771</v>
      </c>
      <c r="T865" s="24" t="n">
        <v>5</v>
      </c>
      <c r="U865" s="24" t="n">
        <v>150</v>
      </c>
      <c r="V865" s="25" t="n">
        <v>0.167281318951269</v>
      </c>
      <c r="W865" s="24" t="n">
        <v>6</v>
      </c>
      <c r="X865" s="24" t="n">
        <v>85</v>
      </c>
      <c r="Y865" s="25" t="n">
        <v>0.219977307925962</v>
      </c>
      <c r="Z865" s="12" t="str">
        <f aca="false">IF(AND($J865=1,$M865=1),N865*E865/Span_P+O865*F865/Span_S+P865*G865/Span_B,"")</f>
        <v/>
      </c>
      <c r="AA865" s="12" t="str">
        <f aca="false">IF(AND($J865=1,$M865=1),SUMPRODUCT(MAX($J$6:$J$1062*(N865*$K$6:$K$1062/Span_P+O865*$F$6:$F$1062/Span_S+P865*$G$6:$G$1062/Span_B)-(1-$J$6:$J$1062)*1000000000)),"")</f>
        <v/>
      </c>
      <c r="AB865" s="15" t="str">
        <f aca="false">IF(AND($J865=1,$M865=1),IF(AA865-Z865&lt;=0.000000001,1,0),"")</f>
        <v/>
      </c>
      <c r="AC865" s="13" t="n">
        <f aca="false">IF(AND($J865=1,$M865=0),IF(S865="",0,S865*INDEX(Grid!$B$6:$H$156,R865+1,Q865+1))+IF(V865="",0,V865*INDEX(Grid!$B$6:$H$156,U865+1,T865+1))+IF(Y865="",0,Y865*INDEX(Grid!$B$6:$H$156,X865+1,W865+1)),"")</f>
        <v>66.4460239163128</v>
      </c>
      <c r="AD865" s="13" t="n">
        <f aca="false">IF(AND($J865=1,$M865=0),IF(S865="",0,S865*Val_pt*(Ceiling_e-E_zero)*(1-(1-Half_gap)^Q865))+IF(V865="",0,V865*Val_pt*(Ceiling_e-E_zero)*(1-(1-Half_gap)^T865))+IF(Y865="",0,Y865*Val_pt*(Ceiling_e-E_zero)*(1-(1-Half_gap)^W865)),"")</f>
        <v>136.106200361088</v>
      </c>
      <c r="AE865" s="13" t="n">
        <f aca="false">IF(AND($J865=1,$M865=0),IF(S865="",0,S865*R865)+IF(V865="",0,V865*U865)+IF(Y865="",0,Y865*X865),"")</f>
        <v>105.064406328674</v>
      </c>
      <c r="AF865" s="12" t="n">
        <f aca="false">IF(AND($J865=1,$M865=0),MIN((AC865-E865)/Span_P,(AD865-F865)/Span_S,(AE865-G865)/Span_B),"")</f>
        <v>0.00709604219116045</v>
      </c>
      <c r="AG865" s="15" t="n">
        <f aca="false">IF(AND($J865=1,$M865=0),IF(AF865&gt;0.0000001,1,0),"")</f>
        <v>1</v>
      </c>
      <c r="AH865" s="15" t="n">
        <f aca="false">IF($J865=1,IF($M865=1,AB865,AG865),"")</f>
        <v>1</v>
      </c>
      <c r="AI865" s="13" t="n">
        <f aca="false">IF($J865=1,(Ideal_P-E865)/Span_P,"")</f>
        <v>0.884516872289935</v>
      </c>
      <c r="AJ865" s="13" t="n">
        <f aca="false">IF($J865=1,(Ideal_S-F865)/Span_S,"")</f>
        <v>0.032258064516129</v>
      </c>
      <c r="AK865" s="13" t="n">
        <f aca="false">IF($J865=1,(Ideal_B-G865)/Span_B,"")</f>
        <v>0.306666666666667</v>
      </c>
      <c r="AL865" s="12" t="n">
        <f aca="false">IF($J865=1,MAX(ChA_1*AI865,ChA_2*AJ865,ChA_3*AK865)+Rho*(ChA_1*AI865+ChA_2*AJ865+ChA_3*AK865),"")</f>
        <v>0.884639216450282</v>
      </c>
      <c r="AM865" s="12" t="n">
        <f aca="false">IF($J865=1,MAX(ChB_1*AI865,ChB_2*AJ865,ChB_3*AK865)+Rho*(ChB_1*AI865+ChB_2*AJ865+ChB_3*AK865),"")</f>
        <v>1.76924454042745</v>
      </c>
      <c r="AN865" s="12" t="n">
        <f aca="false">IF($J865=1,MAX(Cx_1*(Ref_P-E865)/Span_P,Cx_2*(Ref_S-F865)/Span_S,Cx_3*(Ref_B-G865)/Span_B),"")</f>
        <v>2.23394222556063</v>
      </c>
    </row>
    <row r="866" customFormat="false" ht="15" hidden="false" customHeight="false" outlineLevel="0" collapsed="false">
      <c r="A866" s="2" t="n">
        <v>860</v>
      </c>
      <c r="B866" s="15" t="n">
        <f aca="false">INT(A866/151)</f>
        <v>5</v>
      </c>
      <c r="C866" s="15" t="n">
        <f aca="false">MOD(A866,151)</f>
        <v>105</v>
      </c>
      <c r="D866" s="15" t="n">
        <f aca="false">INDEX(Grid!$J$6:$P$156,C866+1,B866+1)</f>
        <v>1</v>
      </c>
      <c r="E866" s="16" t="n">
        <f aca="false">IF(D866=1,INDEX(Grid!$B$6:$H$156,C866+1,B866+1),"")</f>
        <v>62.9673491344639</v>
      </c>
      <c r="F866" s="13" t="n">
        <f aca="false">Val_pt*(Ceiling_e-E_zero)*(1-(1-Half_gap)^B866)</f>
        <v>135.625</v>
      </c>
      <c r="G866" s="15" t="n">
        <f aca="false">C866</f>
        <v>105</v>
      </c>
      <c r="H866" s="15" t="n">
        <f aca="false">IF(D866=1,INDEX(Grid!$R$6:$X$156,C866+1,B866+1),"")</f>
        <v>47</v>
      </c>
      <c r="I866" s="2" t="str">
        <f aca="false">IF(D866=1,INDEX(Sch_label,H866+1),"")</f>
        <v>1, 3–6</v>
      </c>
      <c r="J866" s="15" t="n">
        <f aca="false">IF(D866=1,INDEX(Grid!$Z$6:$AF$156,C866+1,B866+1),0)</f>
        <v>1</v>
      </c>
      <c r="K866" s="16" t="n">
        <f aca="false">IF(J866=1,E866,0)</f>
        <v>62.9673491344639</v>
      </c>
      <c r="L866" s="17" t="n">
        <f aca="false">IF(D866=1,E866+W_board*F866,"")</f>
        <v>828.535116769899</v>
      </c>
      <c r="M866" s="24" t="n">
        <v>0</v>
      </c>
      <c r="Q866" s="24" t="n">
        <v>5</v>
      </c>
      <c r="R866" s="24" t="n">
        <v>100</v>
      </c>
      <c r="S866" s="25" t="n">
        <v>0.599420908489668</v>
      </c>
      <c r="T866" s="24" t="n">
        <v>5</v>
      </c>
      <c r="U866" s="24" t="n">
        <v>150</v>
      </c>
      <c r="V866" s="25" t="n">
        <v>0.185383898974067</v>
      </c>
      <c r="W866" s="24" t="n">
        <v>6</v>
      </c>
      <c r="X866" s="24" t="n">
        <v>85</v>
      </c>
      <c r="Y866" s="25" t="n">
        <v>0.215195192536267</v>
      </c>
      <c r="Z866" s="12" t="str">
        <f aca="false">IF(AND($J866=1,$M866=1),N866*E866/Span_P+O866*F866/Span_S+P866*G866/Span_B,"")</f>
        <v/>
      </c>
      <c r="AA866" s="12" t="str">
        <f aca="false">IF(AND($J866=1,$M866=1),SUMPRODUCT(MAX($J$6:$J$1062*(N866*$K$6:$K$1062/Span_P+O866*$F$6:$F$1062/Span_S+P866*$G$6:$G$1062/Span_B)-(1-$J$6:$J$1062)*1000000000)),"")</f>
        <v/>
      </c>
      <c r="AB866" s="15" t="str">
        <f aca="false">IF(AND($J866=1,$M866=1),IF(AA866-Z866&lt;=0.000000001,1,0),"")</f>
        <v/>
      </c>
      <c r="AC866" s="13" t="n">
        <f aca="false">IF(AND($J866=1,$M866=0),IF(S866="",0,S866*INDEX(Grid!$B$6:$H$156,R866+1,Q866+1))+IF(V866="",0,V866*INDEX(Grid!$B$6:$H$156,U866+1,T866+1))+IF(Y866="",0,Y866*INDEX(Grid!$B$6:$H$156,X866+1,W866+1)),"")</f>
        <v>65.4810724882489</v>
      </c>
      <c r="AD866" s="13" t="n">
        <f aca="false">IF(AND($J866=1,$M866=0),IF(S866="",0,S866*Val_pt*(Ceiling_e-E_zero)*(1-(1-Half_gap)^Q866))+IF(V866="",0,V866*Val_pt*(Ceiling_e-E_zero)*(1-(1-Half_gap)^T866))+IF(Y866="",0,Y866*Val_pt*(Ceiling_e-E_zero)*(1-(1-Half_gap)^W866)),"")</f>
        <v>136.095739483673</v>
      </c>
      <c r="AE866" s="13" t="n">
        <f aca="false">IF(AND($J866=1,$M866=0),IF(S866="",0,S866*R866)+IF(V866="",0,V866*U866)+IF(Y866="",0,Y866*X866),"")</f>
        <v>106.041267060659</v>
      </c>
      <c r="AF866" s="12" t="n">
        <f aca="false">IF(AND($J866=1,$M866=0),MIN((AC866-E866)/Span_P,(AD866-F866)/Span_S,(AE866-G866)/Span_B),"")</f>
        <v>0.00694178040439604</v>
      </c>
      <c r="AG866" s="15" t="n">
        <f aca="false">IF(AND($J866=1,$M866=0),IF(AF866&gt;0.0000001,1,0),"")</f>
        <v>1</v>
      </c>
      <c r="AH866" s="15" t="n">
        <f aca="false">IF($J866=1,IF($M866=1,AB866,AG866),"")</f>
        <v>1</v>
      </c>
      <c r="AI866" s="13" t="n">
        <f aca="false">IF($J866=1,(Ideal_P-E866)/Span_P,"")</f>
        <v>0.88702737506624</v>
      </c>
      <c r="AJ866" s="13" t="n">
        <f aca="false">IF($J866=1,(Ideal_S-F866)/Span_S,"")</f>
        <v>0.032258064516129</v>
      </c>
      <c r="AK866" s="13" t="n">
        <f aca="false">IF($J866=1,(Ideal_B-G866)/Span_B,"")</f>
        <v>0.3</v>
      </c>
      <c r="AL866" s="12" t="n">
        <f aca="false">IF($J866=1,MAX(ChA_1*AI866,ChA_2*AJ866,ChA_3*AK866)+Rho*(ChA_1*AI866+ChA_2*AJ866+ChA_3*AK866),"")</f>
        <v>0.887149303610198</v>
      </c>
      <c r="AM866" s="12" t="n">
        <f aca="false">IF($J866=1,MAX(ChB_1*AI866,ChB_2*AJ866,ChB_3*AK866)+Rho*(ChB_1*AI866+ChB_2*AJ866+ChB_3*AK866),"")</f>
        <v>1.77426538141395</v>
      </c>
      <c r="AN866" s="12" t="n">
        <f aca="false">IF($J866=1,MAX(Cx_1*(Ref_P-E866)/Span_P,Cx_2*(Ref_S-F866)/Span_S,Cx_3*(Ref_B-G866)/Span_B),"")</f>
        <v>2.24021188724406</v>
      </c>
    </row>
    <row r="867" customFormat="false" ht="15" hidden="false" customHeight="false" outlineLevel="0" collapsed="false">
      <c r="A867" s="2" t="n">
        <v>861</v>
      </c>
      <c r="B867" s="15" t="n">
        <f aca="false">INT(A867/151)</f>
        <v>5</v>
      </c>
      <c r="C867" s="15" t="n">
        <f aca="false">MOD(A867,151)</f>
        <v>106</v>
      </c>
      <c r="D867" s="15" t="n">
        <f aca="false">INDEX(Grid!$J$6:$P$156,C867+1,B867+1)</f>
        <v>1</v>
      </c>
      <c r="E867" s="16" t="n">
        <f aca="false">IF(D867=1,INDEX(Grid!$B$6:$H$156,C867+1,B867+1),"")</f>
        <v>62.058258225373</v>
      </c>
      <c r="F867" s="13" t="n">
        <f aca="false">Val_pt*(Ceiling_e-E_zero)*(1-(1-Half_gap)^B867)</f>
        <v>135.625</v>
      </c>
      <c r="G867" s="15" t="n">
        <f aca="false">C867</f>
        <v>106</v>
      </c>
      <c r="H867" s="15" t="n">
        <f aca="false">IF(D867=1,INDEX(Grid!$R$6:$X$156,C867+1,B867+1),"")</f>
        <v>47</v>
      </c>
      <c r="I867" s="2" t="str">
        <f aca="false">IF(D867=1,INDEX(Sch_label,H867+1),"")</f>
        <v>1, 3–6</v>
      </c>
      <c r="J867" s="15" t="n">
        <f aca="false">IF(D867=1,INDEX(Grid!$Z$6:$AF$156,C867+1,B867+1),0)</f>
        <v>1</v>
      </c>
      <c r="K867" s="16" t="n">
        <f aca="false">IF(J867=1,E867,0)</f>
        <v>62.058258225373</v>
      </c>
      <c r="L867" s="17" t="n">
        <f aca="false">IF(D867=1,E867+W_board*F867,"")</f>
        <v>827.626025860809</v>
      </c>
      <c r="M867" s="24" t="n">
        <v>0</v>
      </c>
      <c r="Q867" s="24" t="n">
        <v>5</v>
      </c>
      <c r="R867" s="24" t="n">
        <v>100</v>
      </c>
      <c r="S867" s="25" t="n">
        <v>0.586100443856563</v>
      </c>
      <c r="T867" s="24" t="n">
        <v>5</v>
      </c>
      <c r="U867" s="24" t="n">
        <v>150</v>
      </c>
      <c r="V867" s="25" t="n">
        <v>0.203486478996866</v>
      </c>
      <c r="W867" s="24" t="n">
        <v>6</v>
      </c>
      <c r="X867" s="24" t="n">
        <v>85</v>
      </c>
      <c r="Y867" s="25" t="n">
        <v>0.210413077146572</v>
      </c>
      <c r="Z867" s="12" t="str">
        <f aca="false">IF(AND($J867=1,$M867=1),N867*E867/Span_P+O867*F867/Span_S+P867*G867/Span_B,"")</f>
        <v/>
      </c>
      <c r="AA867" s="12" t="str">
        <f aca="false">IF(AND($J867=1,$M867=1),SUMPRODUCT(MAX($J$6:$J$1062*(N867*$K$6:$K$1062/Span_P+O867*$F$6:$F$1062/Span_S+P867*$G$6:$G$1062/Span_B)-(1-$J$6:$J$1062)*1000000000)),"")</f>
        <v/>
      </c>
      <c r="AB867" s="15" t="str">
        <f aca="false">IF(AND($J867=1,$M867=1),IF(AA867-Z867&lt;=0.000000001,1,0),"")</f>
        <v/>
      </c>
      <c r="AC867" s="13" t="n">
        <f aca="false">IF(AND($J867=1,$M867=0),IF(S867="",0,S867*INDEX(Grid!$B$6:$H$156,R867+1,Q867+1))+IF(V867="",0,V867*INDEX(Grid!$B$6:$H$156,U867+1,T867+1))+IF(Y867="",0,Y867*INDEX(Grid!$B$6:$H$156,X867+1,W867+1)),"")</f>
        <v>64.5161210601848</v>
      </c>
      <c r="AD867" s="13" t="n">
        <f aca="false">IF(AND($J867=1,$M867=0),IF(S867="",0,S867*Val_pt*(Ceiling_e-E_zero)*(1-(1-Half_gap)^Q867))+IF(V867="",0,V867*Val_pt*(Ceiling_e-E_zero)*(1-(1-Half_gap)^T867))+IF(Y867="",0,Y867*Val_pt*(Ceiling_e-E_zero)*(1-(1-Half_gap)^W867)),"")</f>
        <v>136.085278606258</v>
      </c>
      <c r="AE867" s="13" t="n">
        <f aca="false">IF(AND($J867=1,$M867=0),IF(S867="",0,S867*R867)+IF(V867="",0,V867*U867)+IF(Y867="",0,Y867*X867),"")</f>
        <v>107.018127792645</v>
      </c>
      <c r="AF867" s="12" t="n">
        <f aca="false">IF(AND($J867=1,$M867=0),MIN((AC867-E867)/Span_P,(AD867-F867)/Span_S,(AE867-G867)/Span_B),"")</f>
        <v>0.00678751861763097</v>
      </c>
      <c r="AG867" s="15" t="n">
        <f aca="false">IF(AND($J867=1,$M867=0),IF(AF867&gt;0.0000001,1,0),"")</f>
        <v>1</v>
      </c>
      <c r="AH867" s="15" t="n">
        <f aca="false">IF($J867=1,IF($M867=1,AB867,AG867),"")</f>
        <v>1</v>
      </c>
      <c r="AI867" s="13" t="n">
        <f aca="false">IF($J867=1,(Ideal_P-E867)/Span_P,"")</f>
        <v>0.889537877842546</v>
      </c>
      <c r="AJ867" s="13" t="n">
        <f aca="false">IF($J867=1,(Ideal_S-F867)/Span_S,"")</f>
        <v>0.032258064516129</v>
      </c>
      <c r="AK867" s="13" t="n">
        <f aca="false">IF($J867=1,(Ideal_B-G867)/Span_B,"")</f>
        <v>0.293333333333333</v>
      </c>
      <c r="AL867" s="12" t="n">
        <f aca="false">IF($J867=1,MAX(ChA_1*AI867,ChA_2*AJ867,ChA_3*AK867)+Rho*(ChA_1*AI867+ChA_2*AJ867+ChA_3*AK867),"")</f>
        <v>0.889659390770115</v>
      </c>
      <c r="AM867" s="12" t="n">
        <f aca="false">IF($J867=1,MAX(ChB_1*AI867,ChB_2*AJ867,ChB_3*AK867)+Rho*(ChB_1*AI867+ChB_2*AJ867+ChB_3*AK867),"")</f>
        <v>1.77928622240045</v>
      </c>
      <c r="AN867" s="12" t="n">
        <f aca="false">IF($J867=1,MAX(Cx_1*(Ref_P-E867)/Span_P,Cx_2*(Ref_S-F867)/Span_S,Cx_3*(Ref_B-G867)/Span_B),"")</f>
        <v>2.24648154892749</v>
      </c>
    </row>
    <row r="868" customFormat="false" ht="15" hidden="false" customHeight="false" outlineLevel="0" collapsed="false">
      <c r="A868" s="2" t="n">
        <v>862</v>
      </c>
      <c r="B868" s="15" t="n">
        <f aca="false">INT(A868/151)</f>
        <v>5</v>
      </c>
      <c r="C868" s="15" t="n">
        <f aca="false">MOD(A868,151)</f>
        <v>107</v>
      </c>
      <c r="D868" s="15" t="n">
        <f aca="false">INDEX(Grid!$J$6:$P$156,C868+1,B868+1)</f>
        <v>1</v>
      </c>
      <c r="E868" s="16" t="n">
        <f aca="false">IF(D868=1,INDEX(Grid!$B$6:$H$156,C868+1,B868+1),"")</f>
        <v>61.1491673162821</v>
      </c>
      <c r="F868" s="13" t="n">
        <f aca="false">Val_pt*(Ceiling_e-E_zero)*(1-(1-Half_gap)^B868)</f>
        <v>135.625</v>
      </c>
      <c r="G868" s="15" t="n">
        <f aca="false">C868</f>
        <v>107</v>
      </c>
      <c r="H868" s="15" t="n">
        <f aca="false">IF(D868=1,INDEX(Grid!$R$6:$X$156,C868+1,B868+1),"")</f>
        <v>47</v>
      </c>
      <c r="I868" s="2" t="str">
        <f aca="false">IF(D868=1,INDEX(Sch_label,H868+1),"")</f>
        <v>1, 3–6</v>
      </c>
      <c r="J868" s="15" t="n">
        <f aca="false">IF(D868=1,INDEX(Grid!$Z$6:$AF$156,C868+1,B868+1),0)</f>
        <v>1</v>
      </c>
      <c r="K868" s="16" t="n">
        <f aca="false">IF(J868=1,E868,0)</f>
        <v>61.1491673162821</v>
      </c>
      <c r="L868" s="17" t="n">
        <f aca="false">IF(D868=1,E868+W_board*F868,"")</f>
        <v>826.716934951718</v>
      </c>
      <c r="M868" s="24" t="n">
        <v>0</v>
      </c>
      <c r="Q868" s="24" t="n">
        <v>5</v>
      </c>
      <c r="R868" s="24" t="n">
        <v>100</v>
      </c>
      <c r="S868" s="25" t="n">
        <v>0.572779979223443</v>
      </c>
      <c r="T868" s="24" t="n">
        <v>5</v>
      </c>
      <c r="U868" s="24" t="n">
        <v>150</v>
      </c>
      <c r="V868" s="25" t="n">
        <v>0.221589059019667</v>
      </c>
      <c r="W868" s="24" t="n">
        <v>6</v>
      </c>
      <c r="X868" s="24" t="n">
        <v>85</v>
      </c>
      <c r="Y868" s="25" t="n">
        <v>0.205630961756887</v>
      </c>
      <c r="Z868" s="12" t="str">
        <f aca="false">IF(AND($J868=1,$M868=1),N868*E868/Span_P+O868*F868/Span_S+P868*G868/Span_B,"")</f>
        <v/>
      </c>
      <c r="AA868" s="12" t="str">
        <f aca="false">IF(AND($J868=1,$M868=1),SUMPRODUCT(MAX($J$6:$J$1062*(N868*$K$6:$K$1062/Span_P+O868*$F$6:$F$1062/Span_S+P868*$G$6:$G$1062/Span_B)-(1-$J$6:$J$1062)*1000000000)),"")</f>
        <v/>
      </c>
      <c r="AB868" s="15" t="str">
        <f aca="false">IF(AND($J868=1,$M868=1),IF(AA868-Z868&lt;=0.000000001,1,0),"")</f>
        <v/>
      </c>
      <c r="AC868" s="13" t="n">
        <f aca="false">IF(AND($J868=1,$M868=0),IF(S868="",0,S868*INDEX(Grid!$B$6:$H$156,R868+1,Q868+1))+IF(V868="",0,V868*INDEX(Grid!$B$6:$H$156,U868+1,T868+1))+IF(Y868="",0,Y868*INDEX(Grid!$B$6:$H$156,X868+1,W868+1)),"")</f>
        <v>63.5511696321198</v>
      </c>
      <c r="AD868" s="13" t="n">
        <f aca="false">IF(AND($J868=1,$M868=0),IF(S868="",0,S868*Val_pt*(Ceiling_e-E_zero)*(1-(1-Half_gap)^Q868))+IF(V868="",0,V868*Val_pt*(Ceiling_e-E_zero)*(1-(1-Half_gap)^T868))+IF(Y868="",0,Y868*Val_pt*(Ceiling_e-E_zero)*(1-(1-Half_gap)^W868)),"")</f>
        <v>136.074817728843</v>
      </c>
      <c r="AE868" s="13" t="n">
        <f aca="false">IF(AND($J868=1,$M868=0),IF(S868="",0,S868*R868)+IF(V868="",0,V868*U868)+IF(Y868="",0,Y868*X868),"")</f>
        <v>107.99498852463</v>
      </c>
      <c r="AF868" s="12" t="n">
        <f aca="false">IF(AND($J868=1,$M868=0),MIN((AC868-E868)/Span_P,(AD868-F868)/Span_S,(AE868-G868)/Span_B),"")</f>
        <v>0.00663325683085888</v>
      </c>
      <c r="AG868" s="15" t="n">
        <f aca="false">IF(AND($J868=1,$M868=0),IF(AF868&gt;0.0000001,1,0),"")</f>
        <v>1</v>
      </c>
      <c r="AH868" s="15" t="n">
        <f aca="false">IF($J868=1,IF($M868=1,AB868,AG868),"")</f>
        <v>1</v>
      </c>
      <c r="AI868" s="13" t="n">
        <f aca="false">IF($J868=1,(Ideal_P-E868)/Span_P,"")</f>
        <v>0.892048380618852</v>
      </c>
      <c r="AJ868" s="13" t="n">
        <f aca="false">IF($J868=1,(Ideal_S-F868)/Span_S,"")</f>
        <v>0.032258064516129</v>
      </c>
      <c r="AK868" s="13" t="n">
        <f aca="false">IF($J868=1,(Ideal_B-G868)/Span_B,"")</f>
        <v>0.286666666666667</v>
      </c>
      <c r="AL868" s="12" t="n">
        <f aca="false">IF($J868=1,MAX(ChA_1*AI868,ChA_2*AJ868,ChA_3*AK868)+Rho*(ChA_1*AI868+ChA_2*AJ868+ChA_3*AK868),"")</f>
        <v>0.892169477930032</v>
      </c>
      <c r="AM868" s="12" t="n">
        <f aca="false">IF($J868=1,MAX(ChB_1*AI868,ChB_2*AJ868,ChB_3*AK868)+Rho*(ChB_1*AI868+ChB_2*AJ868+ChB_3*AK868),"")</f>
        <v>1.78430706338695</v>
      </c>
      <c r="AN868" s="12" t="n">
        <f aca="false">IF($J868=1,MAX(Cx_1*(Ref_P-E868)/Span_P,Cx_2*(Ref_S-F868)/Span_S,Cx_3*(Ref_B-G868)/Span_B),"")</f>
        <v>2.25275121061092</v>
      </c>
    </row>
    <row r="869" customFormat="false" ht="15" hidden="false" customHeight="false" outlineLevel="0" collapsed="false">
      <c r="A869" s="2" t="n">
        <v>863</v>
      </c>
      <c r="B869" s="15" t="n">
        <f aca="false">INT(A869/151)</f>
        <v>5</v>
      </c>
      <c r="C869" s="15" t="n">
        <f aca="false">MOD(A869,151)</f>
        <v>108</v>
      </c>
      <c r="D869" s="15" t="n">
        <f aca="false">INDEX(Grid!$J$6:$P$156,C869+1,B869+1)</f>
        <v>1</v>
      </c>
      <c r="E869" s="16" t="n">
        <f aca="false">IF(D869=1,INDEX(Grid!$B$6:$H$156,C869+1,B869+1),"")</f>
        <v>60.2400764071912</v>
      </c>
      <c r="F869" s="13" t="n">
        <f aca="false">Val_pt*(Ceiling_e-E_zero)*(1-(1-Half_gap)^B869)</f>
        <v>135.625</v>
      </c>
      <c r="G869" s="15" t="n">
        <f aca="false">C869</f>
        <v>108</v>
      </c>
      <c r="H869" s="15" t="n">
        <f aca="false">IF(D869=1,INDEX(Grid!$R$6:$X$156,C869+1,B869+1),"")</f>
        <v>47</v>
      </c>
      <c r="I869" s="2" t="str">
        <f aca="false">IF(D869=1,INDEX(Sch_label,H869+1),"")</f>
        <v>1, 3–6</v>
      </c>
      <c r="J869" s="15" t="n">
        <f aca="false">IF(D869=1,INDEX(Grid!$Z$6:$AF$156,C869+1,B869+1),0)</f>
        <v>1</v>
      </c>
      <c r="K869" s="16" t="n">
        <f aca="false">IF(J869=1,E869,0)</f>
        <v>60.2400764071912</v>
      </c>
      <c r="L869" s="17" t="n">
        <f aca="false">IF(D869=1,E869+W_board*F869,"")</f>
        <v>825.807844042627</v>
      </c>
      <c r="M869" s="24" t="n">
        <v>0</v>
      </c>
      <c r="Q869" s="24" t="n">
        <v>5</v>
      </c>
      <c r="R869" s="24" t="n">
        <v>100</v>
      </c>
      <c r="S869" s="25" t="n">
        <v>0.559459514590363</v>
      </c>
      <c r="T869" s="24" t="n">
        <v>5</v>
      </c>
      <c r="U869" s="24" t="n">
        <v>150</v>
      </c>
      <c r="V869" s="25" t="n">
        <v>0.239691639042462</v>
      </c>
      <c r="W869" s="24" t="n">
        <v>6</v>
      </c>
      <c r="X869" s="24" t="n">
        <v>85</v>
      </c>
      <c r="Y869" s="25" t="n">
        <v>0.200848846367181</v>
      </c>
      <c r="Z869" s="12" t="str">
        <f aca="false">IF(AND($J869=1,$M869=1),N869*E869/Span_P+O869*F869/Span_S+P869*G869/Span_B,"")</f>
        <v/>
      </c>
      <c r="AA869" s="12" t="str">
        <f aca="false">IF(AND($J869=1,$M869=1),SUMPRODUCT(MAX($J$6:$J$1062*(N869*$K$6:$K$1062/Span_P+O869*$F$6:$F$1062/Span_S+P869*$G$6:$G$1062/Span_B)-(1-$J$6:$J$1062)*1000000000)),"")</f>
        <v/>
      </c>
      <c r="AB869" s="15" t="str">
        <f aca="false">IF(AND($J869=1,$M869=1),IF(AA869-Z869&lt;=0.000000001,1,0),"")</f>
        <v/>
      </c>
      <c r="AC869" s="13" t="n">
        <f aca="false">IF(AND($J869=1,$M869=0),IF(S869="",0,S869*INDEX(Grid!$B$6:$H$156,R869+1,Q869+1))+IF(V869="",0,V869*INDEX(Grid!$B$6:$H$156,U869+1,T869+1))+IF(Y869="",0,Y869*INDEX(Grid!$B$6:$H$156,X869+1,W869+1)),"")</f>
        <v>62.5862182040577</v>
      </c>
      <c r="AD869" s="13" t="n">
        <f aca="false">IF(AND($J869=1,$M869=0),IF(S869="",0,S869*Val_pt*(Ceiling_e-E_zero)*(1-(1-Half_gap)^Q869))+IF(V869="",0,V869*Val_pt*(Ceiling_e-E_zero)*(1-(1-Half_gap)^T869))+IF(Y869="",0,Y869*Val_pt*(Ceiling_e-E_zero)*(1-(1-Half_gap)^W869)),"")</f>
        <v>136.064356851429</v>
      </c>
      <c r="AE869" s="13" t="n">
        <f aca="false">IF(AND($J869=1,$M869=0),IF(S869="",0,S869*R869)+IF(V869="",0,V869*U869)+IF(Y869="",0,Y869*X869),"")</f>
        <v>108.971849256616</v>
      </c>
      <c r="AF869" s="12" t="n">
        <f aca="false">IF(AND($J869=1,$M869=0),MIN((AC869-E869)/Span_P,(AD869-F869)/Span_S,(AE869-G869)/Span_B),"")</f>
        <v>0.00647899504410437</v>
      </c>
      <c r="AG869" s="15" t="n">
        <f aca="false">IF(AND($J869=1,$M869=0),IF(AF869&gt;0.0000001,1,0),"")</f>
        <v>1</v>
      </c>
      <c r="AH869" s="15" t="n">
        <f aca="false">IF($J869=1,IF($M869=1,AB869,AG869),"")</f>
        <v>1</v>
      </c>
      <c r="AI869" s="13" t="n">
        <f aca="false">IF($J869=1,(Ideal_P-E869)/Span_P,"")</f>
        <v>0.894558883395158</v>
      </c>
      <c r="AJ869" s="13" t="n">
        <f aca="false">IF($J869=1,(Ideal_S-F869)/Span_S,"")</f>
        <v>0.032258064516129</v>
      </c>
      <c r="AK869" s="13" t="n">
        <f aca="false">IF($J869=1,(Ideal_B-G869)/Span_B,"")</f>
        <v>0.28</v>
      </c>
      <c r="AL869" s="12" t="n">
        <f aca="false">IF($J869=1,MAX(ChA_1*AI869,ChA_2*AJ869,ChA_3*AK869)+Rho*(ChA_1*AI869+ChA_2*AJ869+ChA_3*AK869),"")</f>
        <v>0.894679565089949</v>
      </c>
      <c r="AM869" s="12" t="n">
        <f aca="false">IF($J869=1,MAX(ChB_1*AI869,ChB_2*AJ869,ChB_3*AK869)+Rho*(ChB_1*AI869+ChB_2*AJ869+ChB_3*AK869),"")</f>
        <v>1.78932790437345</v>
      </c>
      <c r="AN869" s="12" t="n">
        <f aca="false">IF($J869=1,MAX(Cx_1*(Ref_P-E869)/Span_P,Cx_2*(Ref_S-F869)/Span_S,Cx_3*(Ref_B-G869)/Span_B),"")</f>
        <v>2.25902087229435</v>
      </c>
    </row>
    <row r="870" customFormat="false" ht="15" hidden="false" customHeight="false" outlineLevel="0" collapsed="false">
      <c r="A870" s="2" t="n">
        <v>864</v>
      </c>
      <c r="B870" s="15" t="n">
        <f aca="false">INT(A870/151)</f>
        <v>5</v>
      </c>
      <c r="C870" s="15" t="n">
        <f aca="false">MOD(A870,151)</f>
        <v>109</v>
      </c>
      <c r="D870" s="15" t="n">
        <f aca="false">INDEX(Grid!$J$6:$P$156,C870+1,B870+1)</f>
        <v>1</v>
      </c>
      <c r="E870" s="16" t="n">
        <f aca="false">IF(D870=1,INDEX(Grid!$B$6:$H$156,C870+1,B870+1),"")</f>
        <v>59.3309854981003</v>
      </c>
      <c r="F870" s="13" t="n">
        <f aca="false">Val_pt*(Ceiling_e-E_zero)*(1-(1-Half_gap)^B870)</f>
        <v>135.625</v>
      </c>
      <c r="G870" s="15" t="n">
        <f aca="false">C870</f>
        <v>109</v>
      </c>
      <c r="H870" s="15" t="n">
        <f aca="false">IF(D870=1,INDEX(Grid!$R$6:$X$156,C870+1,B870+1),"")</f>
        <v>47</v>
      </c>
      <c r="I870" s="2" t="str">
        <f aca="false">IF(D870=1,INDEX(Sch_label,H870+1),"")</f>
        <v>1, 3–6</v>
      </c>
      <c r="J870" s="15" t="n">
        <f aca="false">IF(D870=1,INDEX(Grid!$Z$6:$AF$156,C870+1,B870+1),0)</f>
        <v>1</v>
      </c>
      <c r="K870" s="16" t="n">
        <f aca="false">IF(J870=1,E870,0)</f>
        <v>59.3309854981003</v>
      </c>
      <c r="L870" s="17" t="n">
        <f aca="false">IF(D870=1,E870+W_board*F870,"")</f>
        <v>824.898753133536</v>
      </c>
      <c r="M870" s="24" t="n">
        <v>0</v>
      </c>
      <c r="Q870" s="24" t="n">
        <v>5</v>
      </c>
      <c r="R870" s="24" t="n">
        <v>100</v>
      </c>
      <c r="S870" s="25" t="n">
        <v>0.546139049957249</v>
      </c>
      <c r="T870" s="24" t="n">
        <v>5</v>
      </c>
      <c r="U870" s="24" t="n">
        <v>150</v>
      </c>
      <c r="V870" s="25" t="n">
        <v>0.25779421906526</v>
      </c>
      <c r="W870" s="24" t="n">
        <v>6</v>
      </c>
      <c r="X870" s="24" t="n">
        <v>85</v>
      </c>
      <c r="Y870" s="25" t="n">
        <v>0.196066730977489</v>
      </c>
      <c r="Z870" s="12" t="str">
        <f aca="false">IF(AND($J870=1,$M870=1),N870*E870/Span_P+O870*F870/Span_S+P870*G870/Span_B,"")</f>
        <v/>
      </c>
      <c r="AA870" s="12" t="str">
        <f aca="false">IF(AND($J870=1,$M870=1),SUMPRODUCT(MAX($J$6:$J$1062*(N870*$K$6:$K$1062/Span_P+O870*$F$6:$F$1062/Span_S+P870*$G$6:$G$1062/Span_B)-(1-$J$6:$J$1062)*1000000000)),"")</f>
        <v/>
      </c>
      <c r="AB870" s="15" t="str">
        <f aca="false">IF(AND($J870=1,$M870=1),IF(AA870-Z870&lt;=0.000000001,1,0),"")</f>
        <v/>
      </c>
      <c r="AC870" s="13" t="n">
        <f aca="false">IF(AND($J870=1,$M870=0),IF(S870="",0,S870*INDEX(Grid!$B$6:$H$156,R870+1,Q870+1))+IF(V870="",0,V870*INDEX(Grid!$B$6:$H$156,U870+1,T870+1))+IF(Y870="",0,Y870*INDEX(Grid!$B$6:$H$156,X870+1,W870+1)),"")</f>
        <v>61.621266775993</v>
      </c>
      <c r="AD870" s="13" t="n">
        <f aca="false">IF(AND($J870=1,$M870=0),IF(S870="",0,S870*Val_pt*(Ceiling_e-E_zero)*(1-(1-Half_gap)^Q870))+IF(V870="",0,V870*Val_pt*(Ceiling_e-E_zero)*(1-(1-Half_gap)^T870))+IF(Y870="",0,Y870*Val_pt*(Ceiling_e-E_zero)*(1-(1-Half_gap)^W870)),"")</f>
        <v>136.053895974013</v>
      </c>
      <c r="AE870" s="13" t="n">
        <f aca="false">IF(AND($J870=1,$M870=0),IF(S870="",0,S870*R870)+IF(V870="",0,V870*U870)+IF(Y870="",0,Y870*X870),"")</f>
        <v>109.948709988601</v>
      </c>
      <c r="AF870" s="12" t="n">
        <f aca="false">IF(AND($J870=1,$M870=0),MIN((AC870-E870)/Span_P,(AD870-F870)/Span_S,(AE870-G870)/Span_B),"")</f>
        <v>0.00632473325733481</v>
      </c>
      <c r="AG870" s="15" t="n">
        <f aca="false">IF(AND($J870=1,$M870=0),IF(AF870&gt;0.0000001,1,0),"")</f>
        <v>1</v>
      </c>
      <c r="AH870" s="15" t="n">
        <f aca="false">IF($J870=1,IF($M870=1,AB870,AG870),"")</f>
        <v>1</v>
      </c>
      <c r="AI870" s="13" t="n">
        <f aca="false">IF($J870=1,(Ideal_P-E870)/Span_P,"")</f>
        <v>0.897069386171464</v>
      </c>
      <c r="AJ870" s="13" t="n">
        <f aca="false">IF($J870=1,(Ideal_S-F870)/Span_S,"")</f>
        <v>0.032258064516129</v>
      </c>
      <c r="AK870" s="13" t="n">
        <f aca="false">IF($J870=1,(Ideal_B-G870)/Span_B,"")</f>
        <v>0.273333333333333</v>
      </c>
      <c r="AL870" s="12" t="n">
        <f aca="false">IF($J870=1,MAX(ChA_1*AI870,ChA_2*AJ870,ChA_3*AK870)+Rho*(ChA_1*AI870+ChA_2*AJ870+ChA_3*AK870),"")</f>
        <v>0.897189652249866</v>
      </c>
      <c r="AM870" s="12" t="n">
        <f aca="false">IF($J870=1,MAX(ChB_1*AI870,ChB_2*AJ870,ChB_3*AK870)+Rho*(ChB_1*AI870+ChB_2*AJ870+ChB_3*AK870),"")</f>
        <v>1.79434874535995</v>
      </c>
      <c r="AN870" s="12" t="n">
        <f aca="false">IF($J870=1,MAX(Cx_1*(Ref_P-E870)/Span_P,Cx_2*(Ref_S-F870)/Span_S,Cx_3*(Ref_B-G870)/Span_B),"")</f>
        <v>2.26529053397777</v>
      </c>
    </row>
    <row r="871" customFormat="false" ht="15" hidden="false" customHeight="false" outlineLevel="0" collapsed="false">
      <c r="A871" s="2" t="n">
        <v>865</v>
      </c>
      <c r="B871" s="15" t="n">
        <f aca="false">INT(A871/151)</f>
        <v>5</v>
      </c>
      <c r="C871" s="15" t="n">
        <f aca="false">MOD(A871,151)</f>
        <v>110</v>
      </c>
      <c r="D871" s="15" t="n">
        <f aca="false">INDEX(Grid!$J$6:$P$156,C871+1,B871+1)</f>
        <v>1</v>
      </c>
      <c r="E871" s="16" t="n">
        <f aca="false">IF(D871=1,INDEX(Grid!$B$6:$H$156,C871+1,B871+1),"")</f>
        <v>58.4218945890094</v>
      </c>
      <c r="F871" s="13" t="n">
        <f aca="false">Val_pt*(Ceiling_e-E_zero)*(1-(1-Half_gap)^B871)</f>
        <v>135.625</v>
      </c>
      <c r="G871" s="15" t="n">
        <f aca="false">C871</f>
        <v>110</v>
      </c>
      <c r="H871" s="15" t="n">
        <f aca="false">IF(D871=1,INDEX(Grid!$R$6:$X$156,C871+1,B871+1),"")</f>
        <v>47</v>
      </c>
      <c r="I871" s="2" t="str">
        <f aca="false">IF(D871=1,INDEX(Sch_label,H871+1),"")</f>
        <v>1, 3–6</v>
      </c>
      <c r="J871" s="15" t="n">
        <f aca="false">IF(D871=1,INDEX(Grid!$Z$6:$AF$156,C871+1,B871+1),0)</f>
        <v>1</v>
      </c>
      <c r="K871" s="16" t="n">
        <f aca="false">IF(J871=1,E871,0)</f>
        <v>58.4218945890094</v>
      </c>
      <c r="L871" s="17" t="n">
        <f aca="false">IF(D871=1,E871+W_board*F871,"")</f>
        <v>823.989662224445</v>
      </c>
      <c r="M871" s="24" t="n">
        <v>0</v>
      </c>
      <c r="Q871" s="24" t="n">
        <v>5</v>
      </c>
      <c r="R871" s="24" t="n">
        <v>100</v>
      </c>
      <c r="S871" s="25" t="n">
        <v>0.532818585324148</v>
      </c>
      <c r="T871" s="24" t="n">
        <v>5</v>
      </c>
      <c r="U871" s="24" t="n">
        <v>150</v>
      </c>
      <c r="V871" s="25" t="n">
        <v>0.275896799088059</v>
      </c>
      <c r="W871" s="24" t="n">
        <v>6</v>
      </c>
      <c r="X871" s="24" t="n">
        <v>85</v>
      </c>
      <c r="Y871" s="25" t="n">
        <v>0.191284615587792</v>
      </c>
      <c r="Z871" s="12" t="str">
        <f aca="false">IF(AND($J871=1,$M871=1),N871*E871/Span_P+O871*F871/Span_S+P871*G871/Span_B,"")</f>
        <v/>
      </c>
      <c r="AA871" s="12" t="str">
        <f aca="false">IF(AND($J871=1,$M871=1),SUMPRODUCT(MAX($J$6:$J$1062*(N871*$K$6:$K$1062/Span_P+O871*$F$6:$F$1062/Span_S+P871*$G$6:$G$1062/Span_B)-(1-$J$6:$J$1062)*1000000000)),"")</f>
        <v/>
      </c>
      <c r="AB871" s="15" t="str">
        <f aca="false">IF(AND($J871=1,$M871=1),IF(AA871-Z871&lt;=0.000000001,1,0),"")</f>
        <v/>
      </c>
      <c r="AC871" s="13" t="n">
        <f aca="false">IF(AND($J871=1,$M871=0),IF(S871="",0,S871*INDEX(Grid!$B$6:$H$156,R871+1,Q871+1))+IF(V871="",0,V871*INDEX(Grid!$B$6:$H$156,U871+1,T871+1))+IF(Y871="",0,Y871*INDEX(Grid!$B$6:$H$156,X871+1,W871+1)),"")</f>
        <v>60.6563153479292</v>
      </c>
      <c r="AD871" s="13" t="n">
        <f aca="false">IF(AND($J871=1,$M871=0),IF(S871="",0,S871*Val_pt*(Ceiling_e-E_zero)*(1-(1-Half_gap)^Q871))+IF(V871="",0,V871*Val_pt*(Ceiling_e-E_zero)*(1-(1-Half_gap)^T871))+IF(Y871="",0,Y871*Val_pt*(Ceiling_e-E_zero)*(1-(1-Half_gap)^W871)),"")</f>
        <v>136.043435096598</v>
      </c>
      <c r="AE871" s="13" t="n">
        <f aca="false">IF(AND($J871=1,$M871=0),IF(S871="",0,S871*R871)+IF(V871="",0,V871*U871)+IF(Y871="",0,Y871*X871),"")</f>
        <v>110.925570720586</v>
      </c>
      <c r="AF871" s="12" t="n">
        <f aca="false">IF(AND($J871=1,$M871=0),MIN((AC871-E871)/Span_P,(AD871-F871)/Span_S,(AE871-G871)/Span_B),"")</f>
        <v>0.0061704714705711</v>
      </c>
      <c r="AG871" s="15" t="n">
        <f aca="false">IF(AND($J871=1,$M871=0),IF(AF871&gt;0.0000001,1,0),"")</f>
        <v>1</v>
      </c>
      <c r="AH871" s="15" t="n">
        <f aca="false">IF($J871=1,IF($M871=1,AB871,AG871),"")</f>
        <v>1</v>
      </c>
      <c r="AI871" s="13" t="n">
        <f aca="false">IF($J871=1,(Ideal_P-E871)/Span_P,"")</f>
        <v>0.899579888947769</v>
      </c>
      <c r="AJ871" s="13" t="n">
        <f aca="false">IF($J871=1,(Ideal_S-F871)/Span_S,"")</f>
        <v>0.032258064516129</v>
      </c>
      <c r="AK871" s="13" t="n">
        <f aca="false">IF($J871=1,(Ideal_B-G871)/Span_B,"")</f>
        <v>0.266666666666667</v>
      </c>
      <c r="AL871" s="12" t="n">
        <f aca="false">IF($J871=1,MAX(ChA_1*AI871,ChA_2*AJ871,ChA_3*AK871)+Rho*(ChA_1*AI871+ChA_2*AJ871+ChA_3*AK871),"")</f>
        <v>0.899699739409782</v>
      </c>
      <c r="AM871" s="12" t="n">
        <f aca="false">IF($J871=1,MAX(ChB_1*AI871,ChB_2*AJ871,ChB_3*AK871)+Rho*(ChB_1*AI871+ChB_2*AJ871+ChB_3*AK871),"")</f>
        <v>1.79936958634645</v>
      </c>
      <c r="AN871" s="12" t="n">
        <f aca="false">IF($J871=1,MAX(Cx_1*(Ref_P-E871)/Span_P,Cx_2*(Ref_S-F871)/Span_S,Cx_3*(Ref_B-G871)/Span_B),"")</f>
        <v>2.2715601956612</v>
      </c>
    </row>
    <row r="872" customFormat="false" ht="15" hidden="false" customHeight="false" outlineLevel="0" collapsed="false">
      <c r="A872" s="2" t="n">
        <v>866</v>
      </c>
      <c r="B872" s="15" t="n">
        <f aca="false">INT(A872/151)</f>
        <v>5</v>
      </c>
      <c r="C872" s="15" t="n">
        <f aca="false">MOD(A872,151)</f>
        <v>111</v>
      </c>
      <c r="D872" s="15" t="n">
        <f aca="false">INDEX(Grid!$J$6:$P$156,C872+1,B872+1)</f>
        <v>1</v>
      </c>
      <c r="E872" s="16" t="n">
        <f aca="false">IF(D872=1,INDEX(Grid!$B$6:$H$156,C872+1,B872+1),"")</f>
        <v>57.5128036799185</v>
      </c>
      <c r="F872" s="13" t="n">
        <f aca="false">Val_pt*(Ceiling_e-E_zero)*(1-(1-Half_gap)^B872)</f>
        <v>135.625</v>
      </c>
      <c r="G872" s="15" t="n">
        <f aca="false">C872</f>
        <v>111</v>
      </c>
      <c r="H872" s="15" t="n">
        <f aca="false">IF(D872=1,INDEX(Grid!$R$6:$X$156,C872+1,B872+1),"")</f>
        <v>47</v>
      </c>
      <c r="I872" s="2" t="str">
        <f aca="false">IF(D872=1,INDEX(Sch_label,H872+1),"")</f>
        <v>1, 3–6</v>
      </c>
      <c r="J872" s="15" t="n">
        <f aca="false">IF(D872=1,INDEX(Grid!$Z$6:$AF$156,C872+1,B872+1),0)</f>
        <v>1</v>
      </c>
      <c r="K872" s="16" t="n">
        <f aca="false">IF(J872=1,E872,0)</f>
        <v>57.5128036799185</v>
      </c>
      <c r="L872" s="17" t="n">
        <f aca="false">IF(D872=1,E872+W_board*F872,"")</f>
        <v>823.080571315354</v>
      </c>
      <c r="M872" s="24" t="n">
        <v>0</v>
      </c>
      <c r="Q872" s="24" t="n">
        <v>5</v>
      </c>
      <c r="R872" s="24" t="n">
        <v>100</v>
      </c>
      <c r="S872" s="25" t="n">
        <v>0.519498120691047</v>
      </c>
      <c r="T872" s="24" t="n">
        <v>5</v>
      </c>
      <c r="U872" s="24" t="n">
        <v>150</v>
      </c>
      <c r="V872" s="25" t="n">
        <v>0.293999379110858</v>
      </c>
      <c r="W872" s="24" t="n">
        <v>6</v>
      </c>
      <c r="X872" s="24" t="n">
        <v>85</v>
      </c>
      <c r="Y872" s="25" t="n">
        <v>0.186502500198096</v>
      </c>
      <c r="Z872" s="12" t="str">
        <f aca="false">IF(AND($J872=1,$M872=1),N872*E872/Span_P+O872*F872/Span_S+P872*G872/Span_B,"")</f>
        <v/>
      </c>
      <c r="AA872" s="12" t="str">
        <f aca="false">IF(AND($J872=1,$M872=1),SUMPRODUCT(MAX($J$6:$J$1062*(N872*$K$6:$K$1062/Span_P+O872*$F$6:$F$1062/Span_S+P872*$G$6:$G$1062/Span_B)-(1-$J$6:$J$1062)*1000000000)),"")</f>
        <v/>
      </c>
      <c r="AB872" s="15" t="str">
        <f aca="false">IF(AND($J872=1,$M872=1),IF(AA872-Z872&lt;=0.000000001,1,0),"")</f>
        <v/>
      </c>
      <c r="AC872" s="13" t="n">
        <f aca="false">IF(AND($J872=1,$M872=0),IF(S872="",0,S872*INDEX(Grid!$B$6:$H$156,R872+1,Q872+1))+IF(V872="",0,V872*INDEX(Grid!$B$6:$H$156,U872+1,T872+1))+IF(Y872="",0,Y872*INDEX(Grid!$B$6:$H$156,X872+1,W872+1)),"")</f>
        <v>59.6913639198656</v>
      </c>
      <c r="AD872" s="13" t="n">
        <f aca="false">IF(AND($J872=1,$M872=0),IF(S872="",0,S872*Val_pt*(Ceiling_e-E_zero)*(1-(1-Half_gap)^Q872))+IF(V872="",0,V872*Val_pt*(Ceiling_e-E_zero)*(1-(1-Half_gap)^T872))+IF(Y872="",0,Y872*Val_pt*(Ceiling_e-E_zero)*(1-(1-Half_gap)^W872)),"")</f>
        <v>136.032974219184</v>
      </c>
      <c r="AE872" s="13" t="n">
        <f aca="false">IF(AND($J872=1,$M872=0),IF(S872="",0,S872*R872)+IF(V872="",0,V872*U872)+IF(Y872="",0,Y872*X872),"")</f>
        <v>111.902431452572</v>
      </c>
      <c r="AF872" s="12" t="n">
        <f aca="false">IF(AND($J872=1,$M872=0),MIN((AC872-E872)/Span_P,(AD872-F872)/Span_S,(AE872-G872)/Span_B),"")</f>
        <v>0.00601620968381031</v>
      </c>
      <c r="AG872" s="15" t="n">
        <f aca="false">IF(AND($J872=1,$M872=0),IF(AF872&gt;0.0000001,1,0),"")</f>
        <v>1</v>
      </c>
      <c r="AH872" s="15" t="n">
        <f aca="false">IF($J872=1,IF($M872=1,AB872,AG872),"")</f>
        <v>1</v>
      </c>
      <c r="AI872" s="13" t="n">
        <f aca="false">IF($J872=1,(Ideal_P-E872)/Span_P,"")</f>
        <v>0.902090391724075</v>
      </c>
      <c r="AJ872" s="13" t="n">
        <f aca="false">IF($J872=1,(Ideal_S-F872)/Span_S,"")</f>
        <v>0.032258064516129</v>
      </c>
      <c r="AK872" s="13" t="n">
        <f aca="false">IF($J872=1,(Ideal_B-G872)/Span_B,"")</f>
        <v>0.26</v>
      </c>
      <c r="AL872" s="12" t="n">
        <f aca="false">IF($J872=1,MAX(ChA_1*AI872,ChA_2*AJ872,ChA_3*AK872)+Rho*(ChA_1*AI872+ChA_2*AJ872+ChA_3*AK872),"")</f>
        <v>0.902209826569699</v>
      </c>
      <c r="AM872" s="12" t="n">
        <f aca="false">IF($J872=1,MAX(ChB_1*AI872,ChB_2*AJ872,ChB_3*AK872)+Rho*(ChB_1*AI872+ChB_2*AJ872+ChB_3*AK872),"")</f>
        <v>1.80439042733295</v>
      </c>
      <c r="AN872" s="12" t="n">
        <f aca="false">IF($J872=1,MAX(Cx_1*(Ref_P-E872)/Span_P,Cx_2*(Ref_S-F872)/Span_S,Cx_3*(Ref_B-G872)/Span_B),"")</f>
        <v>2.27782985734463</v>
      </c>
    </row>
    <row r="873" customFormat="false" ht="15" hidden="false" customHeight="false" outlineLevel="0" collapsed="false">
      <c r="A873" s="2" t="n">
        <v>867</v>
      </c>
      <c r="B873" s="15" t="n">
        <f aca="false">INT(A873/151)</f>
        <v>5</v>
      </c>
      <c r="C873" s="15" t="n">
        <f aca="false">MOD(A873,151)</f>
        <v>112</v>
      </c>
      <c r="D873" s="15" t="n">
        <f aca="false">INDEX(Grid!$J$6:$P$156,C873+1,B873+1)</f>
        <v>1</v>
      </c>
      <c r="E873" s="16" t="n">
        <f aca="false">IF(D873=1,INDEX(Grid!$B$6:$H$156,C873+1,B873+1),"")</f>
        <v>56.6037127708275</v>
      </c>
      <c r="F873" s="13" t="n">
        <f aca="false">Val_pt*(Ceiling_e-E_zero)*(1-(1-Half_gap)^B873)</f>
        <v>135.625</v>
      </c>
      <c r="G873" s="15" t="n">
        <f aca="false">C873</f>
        <v>112</v>
      </c>
      <c r="H873" s="15" t="n">
        <f aca="false">IF(D873=1,INDEX(Grid!$R$6:$X$156,C873+1,B873+1),"")</f>
        <v>47</v>
      </c>
      <c r="I873" s="2" t="str">
        <f aca="false">IF(D873=1,INDEX(Sch_label,H873+1),"")</f>
        <v>1, 3–6</v>
      </c>
      <c r="J873" s="15" t="n">
        <f aca="false">IF(D873=1,INDEX(Grid!$Z$6:$AF$156,C873+1,B873+1),0)</f>
        <v>1</v>
      </c>
      <c r="K873" s="16" t="n">
        <f aca="false">IF(J873=1,E873,0)</f>
        <v>56.6037127708275</v>
      </c>
      <c r="L873" s="17" t="n">
        <f aca="false">IF(D873=1,E873+W_board*F873,"")</f>
        <v>822.171480406263</v>
      </c>
      <c r="M873" s="24" t="n">
        <v>0</v>
      </c>
      <c r="Q873" s="24" t="n">
        <v>5</v>
      </c>
      <c r="R873" s="24" t="n">
        <v>100</v>
      </c>
      <c r="S873" s="25" t="n">
        <v>0.506177656057943</v>
      </c>
      <c r="T873" s="24" t="n">
        <v>5</v>
      </c>
      <c r="U873" s="24" t="n">
        <v>150</v>
      </c>
      <c r="V873" s="25" t="n">
        <v>0.312101959133656</v>
      </c>
      <c r="W873" s="24" t="n">
        <v>6</v>
      </c>
      <c r="X873" s="24" t="n">
        <v>85</v>
      </c>
      <c r="Y873" s="25" t="n">
        <v>0.181720384808401</v>
      </c>
      <c r="Z873" s="12" t="str">
        <f aca="false">IF(AND($J873=1,$M873=1),N873*E873/Span_P+O873*F873/Span_S+P873*G873/Span_B,"")</f>
        <v/>
      </c>
      <c r="AA873" s="12" t="str">
        <f aca="false">IF(AND($J873=1,$M873=1),SUMPRODUCT(MAX($J$6:$J$1062*(N873*$K$6:$K$1062/Span_P+O873*$F$6:$F$1062/Span_S+P873*$G$6:$G$1062/Span_B)-(1-$J$6:$J$1062)*1000000000)),"")</f>
        <v/>
      </c>
      <c r="AB873" s="15" t="str">
        <f aca="false">IF(AND($J873=1,$M873=1),IF(AA873-Z873&lt;=0.000000001,1,0),"")</f>
        <v/>
      </c>
      <c r="AC873" s="13" t="n">
        <f aca="false">IF(AND($J873=1,$M873=0),IF(S873="",0,S873*INDEX(Grid!$B$6:$H$156,R873+1,Q873+1))+IF(V873="",0,V873*INDEX(Grid!$B$6:$H$156,U873+1,T873+1))+IF(Y873="",0,Y873*INDEX(Grid!$B$6:$H$156,X873+1,W873+1)),"")</f>
        <v>58.7264124918016</v>
      </c>
      <c r="AD873" s="13" t="n">
        <f aca="false">IF(AND($J873=1,$M873=0),IF(S873="",0,S873*Val_pt*(Ceiling_e-E_zero)*(1-(1-Half_gap)^Q873))+IF(V873="",0,V873*Val_pt*(Ceiling_e-E_zero)*(1-(1-Half_gap)^T873))+IF(Y873="",0,Y873*Val_pt*(Ceiling_e-E_zero)*(1-(1-Half_gap)^W873)),"")</f>
        <v>136.022513341768</v>
      </c>
      <c r="AE873" s="13" t="n">
        <f aca="false">IF(AND($J873=1,$M873=0),IF(S873="",0,S873*R873)+IF(V873="",0,V873*U873)+IF(Y873="",0,Y873*X873),"")</f>
        <v>112.879292184557</v>
      </c>
      <c r="AF873" s="12" t="n">
        <f aca="false">IF(AND($J873=1,$M873=0),MIN((AC873-E873)/Span_P,(AD873-F873)/Span_S,(AE873-G873)/Span_B),"")</f>
        <v>0.00586194789704564</v>
      </c>
      <c r="AG873" s="15" t="n">
        <f aca="false">IF(AND($J873=1,$M873=0),IF(AF873&gt;0.0000001,1,0),"")</f>
        <v>1</v>
      </c>
      <c r="AH873" s="15" t="n">
        <f aca="false">IF($J873=1,IF($M873=1,AB873,AG873),"")</f>
        <v>1</v>
      </c>
      <c r="AI873" s="13" t="n">
        <f aca="false">IF($J873=1,(Ideal_P-E873)/Span_P,"")</f>
        <v>0.904600894500381</v>
      </c>
      <c r="AJ873" s="13" t="n">
        <f aca="false">IF($J873=1,(Ideal_S-F873)/Span_S,"")</f>
        <v>0.032258064516129</v>
      </c>
      <c r="AK873" s="13" t="n">
        <f aca="false">IF($J873=1,(Ideal_B-G873)/Span_B,"")</f>
        <v>0.253333333333333</v>
      </c>
      <c r="AL873" s="12" t="n">
        <f aca="false">IF($J873=1,MAX(ChA_1*AI873,ChA_2*AJ873,ChA_3*AK873)+Rho*(ChA_1*AI873+ChA_2*AJ873+ChA_3*AK873),"")</f>
        <v>0.904719913729616</v>
      </c>
      <c r="AM873" s="12" t="n">
        <f aca="false">IF($J873=1,MAX(ChB_1*AI873,ChB_2*AJ873,ChB_3*AK873)+Rho*(ChB_1*AI873+ChB_2*AJ873+ChB_3*AK873),"")</f>
        <v>1.80941126831945</v>
      </c>
      <c r="AN873" s="12" t="n">
        <f aca="false">IF($J873=1,MAX(Cx_1*(Ref_P-E873)/Span_P,Cx_2*(Ref_S-F873)/Span_S,Cx_3*(Ref_B-G873)/Span_B),"")</f>
        <v>2.28409951902806</v>
      </c>
    </row>
    <row r="874" customFormat="false" ht="15" hidden="false" customHeight="false" outlineLevel="0" collapsed="false">
      <c r="A874" s="2" t="n">
        <v>868</v>
      </c>
      <c r="B874" s="15" t="n">
        <f aca="false">INT(A874/151)</f>
        <v>5</v>
      </c>
      <c r="C874" s="15" t="n">
        <f aca="false">MOD(A874,151)</f>
        <v>113</v>
      </c>
      <c r="D874" s="15" t="n">
        <f aca="false">INDEX(Grid!$J$6:$P$156,C874+1,B874+1)</f>
        <v>1</v>
      </c>
      <c r="E874" s="16" t="n">
        <f aca="false">IF(D874=1,INDEX(Grid!$B$6:$H$156,C874+1,B874+1),"")</f>
        <v>55.6946218617366</v>
      </c>
      <c r="F874" s="13" t="n">
        <f aca="false">Val_pt*(Ceiling_e-E_zero)*(1-(1-Half_gap)^B874)</f>
        <v>135.625</v>
      </c>
      <c r="G874" s="15" t="n">
        <f aca="false">C874</f>
        <v>113</v>
      </c>
      <c r="H874" s="15" t="n">
        <f aca="false">IF(D874=1,INDEX(Grid!$R$6:$X$156,C874+1,B874+1),"")</f>
        <v>47</v>
      </c>
      <c r="I874" s="2" t="str">
        <f aca="false">IF(D874=1,INDEX(Sch_label,H874+1),"")</f>
        <v>1, 3–6</v>
      </c>
      <c r="J874" s="15" t="n">
        <f aca="false">IF(D874=1,INDEX(Grid!$Z$6:$AF$156,C874+1,B874+1),0)</f>
        <v>1</v>
      </c>
      <c r="K874" s="16" t="n">
        <f aca="false">IF(J874=1,E874,0)</f>
        <v>55.6946218617366</v>
      </c>
      <c r="L874" s="17" t="n">
        <f aca="false">IF(D874=1,E874+W_board*F874,"")</f>
        <v>821.262389497172</v>
      </c>
      <c r="M874" s="24" t="n">
        <v>0</v>
      </c>
      <c r="Q874" s="24" t="n">
        <v>5</v>
      </c>
      <c r="R874" s="24" t="n">
        <v>100</v>
      </c>
      <c r="S874" s="25" t="n">
        <v>0.49285719142482</v>
      </c>
      <c r="T874" s="24" t="n">
        <v>5</v>
      </c>
      <c r="U874" s="24" t="n">
        <v>150</v>
      </c>
      <c r="V874" s="25" t="n">
        <v>0.330204539156456</v>
      </c>
      <c r="W874" s="24" t="n">
        <v>6</v>
      </c>
      <c r="X874" s="24" t="n">
        <v>85</v>
      </c>
      <c r="Y874" s="25" t="n">
        <v>0.176938269418709</v>
      </c>
      <c r="Z874" s="12" t="str">
        <f aca="false">IF(AND($J874=1,$M874=1),N874*E874/Span_P+O874*F874/Span_S+P874*G874/Span_B,"")</f>
        <v/>
      </c>
      <c r="AA874" s="12" t="str">
        <f aca="false">IF(AND($J874=1,$M874=1),SUMPRODUCT(MAX($J$6:$J$1062*(N874*$K$6:$K$1062/Span_P+O874*$F$6:$F$1062/Span_S+P874*$G$6:$G$1062/Span_B)-(1-$J$6:$J$1062)*1000000000)),"")</f>
        <v/>
      </c>
      <c r="AB874" s="15" t="str">
        <f aca="false">IF(AND($J874=1,$M874=1),IF(AA874-Z874&lt;=0.000000001,1,0),"")</f>
        <v/>
      </c>
      <c r="AC874" s="13" t="n">
        <f aca="false">IF(AND($J874=1,$M874=0),IF(S874="",0,S874*INDEX(Grid!$B$6:$H$156,R874+1,Q874+1))+IF(V874="",0,V874*INDEX(Grid!$B$6:$H$156,U874+1,T874+1))+IF(Y874="",0,Y874*INDEX(Grid!$B$6:$H$156,X874+1,W874+1)),"")</f>
        <v>57.761461063736</v>
      </c>
      <c r="AD874" s="13" t="n">
        <f aca="false">IF(AND($J874=1,$M874=0),IF(S874="",0,S874*Val_pt*(Ceiling_e-E_zero)*(1-(1-Half_gap)^Q874))+IF(V874="",0,V874*Val_pt*(Ceiling_e-E_zero)*(1-(1-Half_gap)^T874))+IF(Y874="",0,Y874*Val_pt*(Ceiling_e-E_zero)*(1-(1-Half_gap)^W874)),"")</f>
        <v>136.012052464351</v>
      </c>
      <c r="AE874" s="13" t="n">
        <f aca="false">IF(AND($J874=1,$M874=0),IF(S874="",0,S874*R874)+IF(V874="",0,V874*U874)+IF(Y874="",0,Y874*X874),"")</f>
        <v>113.856152916541</v>
      </c>
      <c r="AF874" s="12" t="n">
        <f aca="false">IF(AND($J874=1,$M874=0),MIN((AC874-E874)/Span_P,(AD874-F874)/Span_S,(AE874-G874)/Span_B),"")</f>
        <v>0.00570768611024937</v>
      </c>
      <c r="AG874" s="15" t="n">
        <f aca="false">IF(AND($J874=1,$M874=0),IF(AF874&gt;0.0000001,1,0),"")</f>
        <v>1</v>
      </c>
      <c r="AH874" s="15" t="n">
        <f aca="false">IF($J874=1,IF($M874=1,AB874,AG874),"")</f>
        <v>1</v>
      </c>
      <c r="AI874" s="13" t="n">
        <f aca="false">IF($J874=1,(Ideal_P-E874)/Span_P,"")</f>
        <v>0.907111397276687</v>
      </c>
      <c r="AJ874" s="13" t="n">
        <f aca="false">IF($J874=1,(Ideal_S-F874)/Span_S,"")</f>
        <v>0.032258064516129</v>
      </c>
      <c r="AK874" s="13" t="n">
        <f aca="false">IF($J874=1,(Ideal_B-G874)/Span_B,"")</f>
        <v>0.246666666666667</v>
      </c>
      <c r="AL874" s="12" t="n">
        <f aca="false">IF($J874=1,MAX(ChA_1*AI874,ChA_2*AJ874,ChA_3*AK874)+Rho*(ChA_1*AI874+ChA_2*AJ874+ChA_3*AK874),"")</f>
        <v>0.907230000889533</v>
      </c>
      <c r="AM874" s="12" t="n">
        <f aca="false">IF($J874=1,MAX(ChB_1*AI874,ChB_2*AJ874,ChB_3*AK874)+Rho*(ChB_1*AI874+ChB_2*AJ874+ChB_3*AK874),"")</f>
        <v>1.81443210930595</v>
      </c>
      <c r="AN874" s="12" t="n">
        <f aca="false">IF($J874=1,MAX(Cx_1*(Ref_P-E874)/Span_P,Cx_2*(Ref_S-F874)/Span_S,Cx_3*(Ref_B-G874)/Span_B),"")</f>
        <v>2.29036918071149</v>
      </c>
    </row>
    <row r="875" customFormat="false" ht="15" hidden="false" customHeight="false" outlineLevel="0" collapsed="false">
      <c r="A875" s="2" t="n">
        <v>869</v>
      </c>
      <c r="B875" s="15" t="n">
        <f aca="false">INT(A875/151)</f>
        <v>5</v>
      </c>
      <c r="C875" s="15" t="n">
        <f aca="false">MOD(A875,151)</f>
        <v>114</v>
      </c>
      <c r="D875" s="15" t="n">
        <f aca="false">INDEX(Grid!$J$6:$P$156,C875+1,B875+1)</f>
        <v>1</v>
      </c>
      <c r="E875" s="16" t="n">
        <f aca="false">IF(D875=1,INDEX(Grid!$B$6:$H$156,C875+1,B875+1),"")</f>
        <v>54.7855309526457</v>
      </c>
      <c r="F875" s="13" t="n">
        <f aca="false">Val_pt*(Ceiling_e-E_zero)*(1-(1-Half_gap)^B875)</f>
        <v>135.625</v>
      </c>
      <c r="G875" s="15" t="n">
        <f aca="false">C875</f>
        <v>114</v>
      </c>
      <c r="H875" s="15" t="n">
        <f aca="false">IF(D875=1,INDEX(Grid!$R$6:$X$156,C875+1,B875+1),"")</f>
        <v>47</v>
      </c>
      <c r="I875" s="2" t="str">
        <f aca="false">IF(D875=1,INDEX(Sch_label,H875+1),"")</f>
        <v>1, 3–6</v>
      </c>
      <c r="J875" s="15" t="n">
        <f aca="false">IF(D875=1,INDEX(Grid!$Z$6:$AF$156,C875+1,B875+1),0)</f>
        <v>1</v>
      </c>
      <c r="K875" s="16" t="n">
        <f aca="false">IF(J875=1,E875,0)</f>
        <v>54.7855309526457</v>
      </c>
      <c r="L875" s="17" t="n">
        <f aca="false">IF(D875=1,E875+W_board*F875,"")</f>
        <v>820.353298588081</v>
      </c>
      <c r="M875" s="24" t="n">
        <v>0</v>
      </c>
      <c r="Q875" s="24" t="n">
        <v>5</v>
      </c>
      <c r="R875" s="24" t="n">
        <v>100</v>
      </c>
      <c r="S875" s="25" t="n">
        <v>0.47953672679174</v>
      </c>
      <c r="T875" s="24" t="n">
        <v>5</v>
      </c>
      <c r="U875" s="24" t="n">
        <v>150</v>
      </c>
      <c r="V875" s="25" t="n">
        <v>0.348307119179253</v>
      </c>
      <c r="W875" s="24" t="n">
        <v>6</v>
      </c>
      <c r="X875" s="24" t="n">
        <v>85</v>
      </c>
      <c r="Y875" s="25" t="n">
        <v>0.17215615402901</v>
      </c>
      <c r="Z875" s="12" t="str">
        <f aca="false">IF(AND($J875=1,$M875=1),N875*E875/Span_P+O875*F875/Span_S+P875*G875/Span_B,"")</f>
        <v/>
      </c>
      <c r="AA875" s="12" t="str">
        <f aca="false">IF(AND($J875=1,$M875=1),SUMPRODUCT(MAX($J$6:$J$1062*(N875*$K$6:$K$1062/Span_P+O875*$F$6:$F$1062/Span_S+P875*$G$6:$G$1062/Span_B)-(1-$J$6:$J$1062)*1000000000)),"")</f>
        <v/>
      </c>
      <c r="AB875" s="15" t="str">
        <f aca="false">IF(AND($J875=1,$M875=1),IF(AA875-Z875&lt;=0.000000001,1,0),"")</f>
        <v/>
      </c>
      <c r="AC875" s="13" t="n">
        <f aca="false">IF(AND($J875=1,$M875=0),IF(S875="",0,S875*INDEX(Grid!$B$6:$H$156,R875+1,Q875+1))+IF(V875="",0,V875*INDEX(Grid!$B$6:$H$156,U875+1,T875+1))+IF(Y875="",0,Y875*INDEX(Grid!$B$6:$H$156,X875+1,W875+1)),"")</f>
        <v>56.7965096356741</v>
      </c>
      <c r="AD875" s="13" t="n">
        <f aca="false">IF(AND($J875=1,$M875=0),IF(S875="",0,S875*Val_pt*(Ceiling_e-E_zero)*(1-(1-Half_gap)^Q875))+IF(V875="",0,V875*Val_pt*(Ceiling_e-E_zero)*(1-(1-Half_gap)^T875))+IF(Y875="",0,Y875*Val_pt*(Ceiling_e-E_zero)*(1-(1-Half_gap)^W875)),"")</f>
        <v>136.001591586939</v>
      </c>
      <c r="AE875" s="13" t="n">
        <f aca="false">IF(AND($J875=1,$M875=0),IF(S875="",0,S875*R875)+IF(V875="",0,V875*U875)+IF(Y875="",0,Y875*X875),"")</f>
        <v>114.833013648528</v>
      </c>
      <c r="AF875" s="12" t="n">
        <f aca="false">IF(AND($J875=1,$M875=0),MIN((AC875-E875)/Span_P,(AD875-F875)/Span_S,(AE875-G875)/Span_B),"")</f>
        <v>0.00555342432351791</v>
      </c>
      <c r="AG875" s="15" t="n">
        <f aca="false">IF(AND($J875=1,$M875=0),IF(AF875&gt;0.0000001,1,0),"")</f>
        <v>1</v>
      </c>
      <c r="AH875" s="15" t="n">
        <f aca="false">IF($J875=1,IF($M875=1,AB875,AG875),"")</f>
        <v>1</v>
      </c>
      <c r="AI875" s="13" t="n">
        <f aca="false">IF($J875=1,(Ideal_P-E875)/Span_P,"")</f>
        <v>0.909621900052992</v>
      </c>
      <c r="AJ875" s="13" t="n">
        <f aca="false">IF($J875=1,(Ideal_S-F875)/Span_S,"")</f>
        <v>0.032258064516129</v>
      </c>
      <c r="AK875" s="13" t="n">
        <f aca="false">IF($J875=1,(Ideal_B-G875)/Span_B,"")</f>
        <v>0.24</v>
      </c>
      <c r="AL875" s="12" t="n">
        <f aca="false">IF($J875=1,MAX(ChA_1*AI875,ChA_2*AJ875,ChA_3*AK875)+Rho*(ChA_1*AI875+ChA_2*AJ875+ChA_3*AK875),"")</f>
        <v>0.909740088049449</v>
      </c>
      <c r="AM875" s="12" t="n">
        <f aca="false">IF($J875=1,MAX(ChB_1*AI875,ChB_2*AJ875,ChB_3*AK875)+Rho*(ChB_1*AI875+ChB_2*AJ875+ChB_3*AK875),"")</f>
        <v>1.81945295029245</v>
      </c>
      <c r="AN875" s="12" t="n">
        <f aca="false">IF($J875=1,MAX(Cx_1*(Ref_P-E875)/Span_P,Cx_2*(Ref_S-F875)/Span_S,Cx_3*(Ref_B-G875)/Span_B),"")</f>
        <v>2.29663884239492</v>
      </c>
    </row>
    <row r="876" customFormat="false" ht="15" hidden="false" customHeight="false" outlineLevel="0" collapsed="false">
      <c r="A876" s="2" t="n">
        <v>870</v>
      </c>
      <c r="B876" s="15" t="n">
        <f aca="false">INT(A876/151)</f>
        <v>5</v>
      </c>
      <c r="C876" s="15" t="n">
        <f aca="false">MOD(A876,151)</f>
        <v>115</v>
      </c>
      <c r="D876" s="15" t="n">
        <f aca="false">INDEX(Grid!$J$6:$P$156,C876+1,B876+1)</f>
        <v>1</v>
      </c>
      <c r="E876" s="16" t="n">
        <f aca="false">IF(D876=1,INDEX(Grid!$B$6:$H$156,C876+1,B876+1),"")</f>
        <v>53.8764400435548</v>
      </c>
      <c r="F876" s="13" t="n">
        <f aca="false">Val_pt*(Ceiling_e-E_zero)*(1-(1-Half_gap)^B876)</f>
        <v>135.625</v>
      </c>
      <c r="G876" s="15" t="n">
        <f aca="false">C876</f>
        <v>115</v>
      </c>
      <c r="H876" s="15" t="n">
        <f aca="false">IF(D876=1,INDEX(Grid!$R$6:$X$156,C876+1,B876+1),"")</f>
        <v>47</v>
      </c>
      <c r="I876" s="2" t="str">
        <f aca="false">IF(D876=1,INDEX(Sch_label,H876+1),"")</f>
        <v>1, 3–6</v>
      </c>
      <c r="J876" s="15" t="n">
        <f aca="false">IF(D876=1,INDEX(Grid!$Z$6:$AF$156,C876+1,B876+1),0)</f>
        <v>1</v>
      </c>
      <c r="K876" s="16" t="n">
        <f aca="false">IF(J876=1,E876,0)</f>
        <v>53.8764400435548</v>
      </c>
      <c r="L876" s="17" t="n">
        <f aca="false">IF(D876=1,E876+W_board*F876,"")</f>
        <v>819.44420767899</v>
      </c>
      <c r="M876" s="24" t="n">
        <v>0</v>
      </c>
      <c r="Q876" s="24" t="n">
        <v>5</v>
      </c>
      <c r="R876" s="24" t="n">
        <v>100</v>
      </c>
      <c r="S876" s="25" t="n">
        <v>0.466216262158624</v>
      </c>
      <c r="T876" s="24" t="n">
        <v>5</v>
      </c>
      <c r="U876" s="24" t="n">
        <v>150</v>
      </c>
      <c r="V876" s="25" t="n">
        <v>0.366409699202054</v>
      </c>
      <c r="W876" s="24" t="n">
        <v>6</v>
      </c>
      <c r="X876" s="24" t="n">
        <v>85</v>
      </c>
      <c r="Y876" s="25" t="n">
        <v>0.167374038639315</v>
      </c>
      <c r="Z876" s="12" t="str">
        <f aca="false">IF(AND($J876=1,$M876=1),N876*E876/Span_P+O876*F876/Span_S+P876*G876/Span_B,"")</f>
        <v/>
      </c>
      <c r="AA876" s="12" t="str">
        <f aca="false">IF(AND($J876=1,$M876=1),SUMPRODUCT(MAX($J$6:$J$1062*(N876*$K$6:$K$1062/Span_P+O876*$F$6:$F$1062/Span_S+P876*$G$6:$G$1062/Span_B)-(1-$J$6:$J$1062)*1000000000)),"")</f>
        <v/>
      </c>
      <c r="AB876" s="15" t="str">
        <f aca="false">IF(AND($J876=1,$M876=1),IF(AA876-Z876&lt;=0.000000001,1,0),"")</f>
        <v/>
      </c>
      <c r="AC876" s="13" t="n">
        <f aca="false">IF(AND($J876=1,$M876=0),IF(S876="",0,S876*INDEX(Grid!$B$6:$H$156,R876+1,Q876+1))+IF(V876="",0,V876*INDEX(Grid!$B$6:$H$156,U876+1,T876+1))+IF(Y876="",0,Y876*INDEX(Grid!$B$6:$H$156,X876+1,W876+1)),"")</f>
        <v>55.8315582076091</v>
      </c>
      <c r="AD876" s="13" t="n">
        <f aca="false">IF(AND($J876=1,$M876=0),IF(S876="",0,S876*Val_pt*(Ceiling_e-E_zero)*(1-(1-Half_gap)^Q876))+IF(V876="",0,V876*Val_pt*(Ceiling_e-E_zero)*(1-(1-Half_gap)^T876))+IF(Y876="",0,Y876*Val_pt*(Ceiling_e-E_zero)*(1-(1-Half_gap)^W876)),"")</f>
        <v>135.991130709523</v>
      </c>
      <c r="AE876" s="13" t="n">
        <f aca="false">IF(AND($J876=1,$M876=0),IF(S876="",0,S876*R876)+IF(V876="",0,V876*U876)+IF(Y876="",0,Y876*X876),"")</f>
        <v>115.809874380512</v>
      </c>
      <c r="AF876" s="12" t="n">
        <f aca="false">IF(AND($J876=1,$M876=0),MIN((AC876-E876)/Span_P,(AD876-F876)/Span_S,(AE876-G876)/Span_B),"")</f>
        <v>0.00539916253673745</v>
      </c>
      <c r="AG876" s="15" t="n">
        <f aca="false">IF(AND($J876=1,$M876=0),IF(AF876&gt;0.0000001,1,0),"")</f>
        <v>1</v>
      </c>
      <c r="AH876" s="15" t="n">
        <f aca="false">IF($J876=1,IF($M876=1,AB876,AG876),"")</f>
        <v>1</v>
      </c>
      <c r="AI876" s="13" t="n">
        <f aca="false">IF($J876=1,(Ideal_P-E876)/Span_P,"")</f>
        <v>0.912132402829298</v>
      </c>
      <c r="AJ876" s="13" t="n">
        <f aca="false">IF($J876=1,(Ideal_S-F876)/Span_S,"")</f>
        <v>0.032258064516129</v>
      </c>
      <c r="AK876" s="13" t="n">
        <f aca="false">IF($J876=1,(Ideal_B-G876)/Span_B,"")</f>
        <v>0.233333333333333</v>
      </c>
      <c r="AL876" s="12" t="n">
        <f aca="false">IF($J876=1,MAX(ChA_1*AI876,ChA_2*AJ876,ChA_3*AK876)+Rho*(ChA_1*AI876+ChA_2*AJ876+ChA_3*AK876),"")</f>
        <v>0.912250175209366</v>
      </c>
      <c r="AM876" s="12" t="n">
        <f aca="false">IF($J876=1,MAX(ChB_1*AI876,ChB_2*AJ876,ChB_3*AK876)+Rho*(ChB_1*AI876+ChB_2*AJ876+ChB_3*AK876),"")</f>
        <v>1.82447379127895</v>
      </c>
      <c r="AN876" s="12" t="n">
        <f aca="false">IF($J876=1,MAX(Cx_1*(Ref_P-E876)/Span_P,Cx_2*(Ref_S-F876)/Span_S,Cx_3*(Ref_B-G876)/Span_B),"")</f>
        <v>2.30290850407835</v>
      </c>
    </row>
    <row r="877" customFormat="false" ht="15" hidden="false" customHeight="false" outlineLevel="0" collapsed="false">
      <c r="A877" s="2" t="n">
        <v>871</v>
      </c>
      <c r="B877" s="15" t="n">
        <f aca="false">INT(A877/151)</f>
        <v>5</v>
      </c>
      <c r="C877" s="15" t="n">
        <f aca="false">MOD(A877,151)</f>
        <v>116</v>
      </c>
      <c r="D877" s="15" t="n">
        <f aca="false">INDEX(Grid!$J$6:$P$156,C877+1,B877+1)</f>
        <v>1</v>
      </c>
      <c r="E877" s="16" t="n">
        <f aca="false">IF(D877=1,INDEX(Grid!$B$6:$H$156,C877+1,B877+1),"")</f>
        <v>52.9673491344639</v>
      </c>
      <c r="F877" s="13" t="n">
        <f aca="false">Val_pt*(Ceiling_e-E_zero)*(1-(1-Half_gap)^B877)</f>
        <v>135.625</v>
      </c>
      <c r="G877" s="15" t="n">
        <f aca="false">C877</f>
        <v>116</v>
      </c>
      <c r="H877" s="15" t="n">
        <f aca="false">IF(D877=1,INDEX(Grid!$R$6:$X$156,C877+1,B877+1),"")</f>
        <v>47</v>
      </c>
      <c r="I877" s="2" t="str">
        <f aca="false">IF(D877=1,INDEX(Sch_label,H877+1),"")</f>
        <v>1, 3–6</v>
      </c>
      <c r="J877" s="15" t="n">
        <f aca="false">IF(D877=1,INDEX(Grid!$Z$6:$AF$156,C877+1,B877+1),0)</f>
        <v>1</v>
      </c>
      <c r="K877" s="16" t="n">
        <f aca="false">IF(J877=1,E877,0)</f>
        <v>52.9673491344639</v>
      </c>
      <c r="L877" s="17" t="n">
        <f aca="false">IF(D877=1,E877+W_board*F877,"")</f>
        <v>818.535116769899</v>
      </c>
      <c r="M877" s="24" t="n">
        <v>0</v>
      </c>
      <c r="Q877" s="24" t="n">
        <v>5</v>
      </c>
      <c r="R877" s="24" t="n">
        <v>100</v>
      </c>
      <c r="S877" s="25" t="n">
        <v>0.452895797525523</v>
      </c>
      <c r="T877" s="24" t="n">
        <v>5</v>
      </c>
      <c r="U877" s="24" t="n">
        <v>150</v>
      </c>
      <c r="V877" s="25" t="n">
        <v>0.384512279224851</v>
      </c>
      <c r="W877" s="24" t="n">
        <v>6</v>
      </c>
      <c r="X877" s="24" t="n">
        <v>85</v>
      </c>
      <c r="Y877" s="25" t="n">
        <v>0.162591923249624</v>
      </c>
      <c r="Z877" s="12" t="str">
        <f aca="false">IF(AND($J877=1,$M877=1),N877*E877/Span_P+O877*F877/Span_S+P877*G877/Span_B,"")</f>
        <v/>
      </c>
      <c r="AA877" s="12" t="str">
        <f aca="false">IF(AND($J877=1,$M877=1),SUMPRODUCT(MAX($J$6:$J$1062*(N877*$K$6:$K$1062/Span_P+O877*$F$6:$F$1062/Span_S+P877*$G$6:$G$1062/Span_B)-(1-$J$6:$J$1062)*1000000000)),"")</f>
        <v/>
      </c>
      <c r="AB877" s="15" t="str">
        <f aca="false">IF(AND($J877=1,$M877=1),IF(AA877-Z877&lt;=0.000000001,1,0),"")</f>
        <v/>
      </c>
      <c r="AC877" s="13" t="n">
        <f aca="false">IF(AND($J877=1,$M877=0),IF(S877="",0,S877*INDEX(Grid!$B$6:$H$156,R877+1,Q877+1))+IF(V877="",0,V877*INDEX(Grid!$B$6:$H$156,U877+1,T877+1))+IF(Y877="",0,Y877*INDEX(Grid!$B$6:$H$156,X877+1,W877+1)),"")</f>
        <v>54.8666067795456</v>
      </c>
      <c r="AD877" s="13" t="n">
        <f aca="false">IF(AND($J877=1,$M877=0),IF(S877="",0,S877*Val_pt*(Ceiling_e-E_zero)*(1-(1-Half_gap)^Q877))+IF(V877="",0,V877*Val_pt*(Ceiling_e-E_zero)*(1-(1-Half_gap)^T877))+IF(Y877="",0,Y877*Val_pt*(Ceiling_e-E_zero)*(1-(1-Half_gap)^W877)),"")</f>
        <v>135.980669832108</v>
      </c>
      <c r="AE877" s="13" t="n">
        <f aca="false">IF(AND($J877=1,$M877=0),IF(S877="",0,S877*R877)+IF(V877="",0,V877*U877)+IF(Y877="",0,Y877*X877),"")</f>
        <v>116.786735112498</v>
      </c>
      <c r="AF877" s="12" t="n">
        <f aca="false">IF(AND($J877=1,$M877=0),MIN((AC877-E877)/Span_P,(AD877-F877)/Span_S,(AE877-G877)/Span_B),"")</f>
        <v>0.0052449007499838</v>
      </c>
      <c r="AG877" s="15" t="n">
        <f aca="false">IF(AND($J877=1,$M877=0),IF(AF877&gt;0.0000001,1,0),"")</f>
        <v>1</v>
      </c>
      <c r="AH877" s="15" t="n">
        <f aca="false">IF($J877=1,IF($M877=1,AB877,AG877),"")</f>
        <v>1</v>
      </c>
      <c r="AI877" s="13" t="n">
        <f aca="false">IF($J877=1,(Ideal_P-E877)/Span_P,"")</f>
        <v>0.914642905605604</v>
      </c>
      <c r="AJ877" s="13" t="n">
        <f aca="false">IF($J877=1,(Ideal_S-F877)/Span_S,"")</f>
        <v>0.032258064516129</v>
      </c>
      <c r="AK877" s="13" t="n">
        <f aca="false">IF($J877=1,(Ideal_B-G877)/Span_B,"")</f>
        <v>0.226666666666667</v>
      </c>
      <c r="AL877" s="12" t="n">
        <f aca="false">IF($J877=1,MAX(ChA_1*AI877,ChA_2*AJ877,ChA_3*AK877)+Rho*(ChA_1*AI877+ChA_2*AJ877+ChA_3*AK877),"")</f>
        <v>0.914760262369283</v>
      </c>
      <c r="AM877" s="12" t="n">
        <f aca="false">IF($J877=1,MAX(ChB_1*AI877,ChB_2*AJ877,ChB_3*AK877)+Rho*(ChB_1*AI877+ChB_2*AJ877+ChB_3*AK877),"")</f>
        <v>1.82949463226545</v>
      </c>
      <c r="AN877" s="12" t="n">
        <f aca="false">IF($J877=1,MAX(Cx_1*(Ref_P-E877)/Span_P,Cx_2*(Ref_S-F877)/Span_S,Cx_3*(Ref_B-G877)/Span_B),"")</f>
        <v>2.30917816576178</v>
      </c>
    </row>
    <row r="878" customFormat="false" ht="15" hidden="false" customHeight="false" outlineLevel="0" collapsed="false">
      <c r="A878" s="2" t="n">
        <v>872</v>
      </c>
      <c r="B878" s="15" t="n">
        <f aca="false">INT(A878/151)</f>
        <v>5</v>
      </c>
      <c r="C878" s="15" t="n">
        <f aca="false">MOD(A878,151)</f>
        <v>117</v>
      </c>
      <c r="D878" s="15" t="n">
        <f aca="false">INDEX(Grid!$J$6:$P$156,C878+1,B878+1)</f>
        <v>1</v>
      </c>
      <c r="E878" s="16" t="n">
        <f aca="false">IF(D878=1,INDEX(Grid!$B$6:$H$156,C878+1,B878+1),"")</f>
        <v>52.058258225373</v>
      </c>
      <c r="F878" s="13" t="n">
        <f aca="false">Val_pt*(Ceiling_e-E_zero)*(1-(1-Half_gap)^B878)</f>
        <v>135.625</v>
      </c>
      <c r="G878" s="15" t="n">
        <f aca="false">C878</f>
        <v>117</v>
      </c>
      <c r="H878" s="15" t="n">
        <f aca="false">IF(D878=1,INDEX(Grid!$R$6:$X$156,C878+1,B878+1),"")</f>
        <v>47</v>
      </c>
      <c r="I878" s="2" t="str">
        <f aca="false">IF(D878=1,INDEX(Sch_label,H878+1),"")</f>
        <v>1, 3–6</v>
      </c>
      <c r="J878" s="15" t="n">
        <f aca="false">IF(D878=1,INDEX(Grid!$Z$6:$AF$156,C878+1,B878+1),0)</f>
        <v>1</v>
      </c>
      <c r="K878" s="16" t="n">
        <f aca="false">IF(J878=1,E878,0)</f>
        <v>52.058258225373</v>
      </c>
      <c r="L878" s="17" t="n">
        <f aca="false">IF(D878=1,E878+W_board*F878,"")</f>
        <v>817.626025860809</v>
      </c>
      <c r="M878" s="24" t="n">
        <v>0</v>
      </c>
      <c r="Q878" s="24" t="n">
        <v>5</v>
      </c>
      <c r="R878" s="24" t="n">
        <v>100</v>
      </c>
      <c r="S878" s="25" t="n">
        <v>0.439575332892424</v>
      </c>
      <c r="T878" s="24" t="n">
        <v>5</v>
      </c>
      <c r="U878" s="24" t="n">
        <v>150</v>
      </c>
      <c r="V878" s="25" t="n">
        <v>0.402614859247649</v>
      </c>
      <c r="W878" s="24" t="n">
        <v>6</v>
      </c>
      <c r="X878" s="24" t="n">
        <v>85</v>
      </c>
      <c r="Y878" s="25" t="n">
        <v>0.157809807859928</v>
      </c>
      <c r="Z878" s="12" t="str">
        <f aca="false">IF(AND($J878=1,$M878=1),N878*E878/Span_P+O878*F878/Span_S+P878*G878/Span_B,"")</f>
        <v/>
      </c>
      <c r="AA878" s="12" t="str">
        <f aca="false">IF(AND($J878=1,$M878=1),SUMPRODUCT(MAX($J$6:$J$1062*(N878*$K$6:$K$1062/Span_P+O878*$F$6:$F$1062/Span_S+P878*$G$6:$G$1062/Span_B)-(1-$J$6:$J$1062)*1000000000)),"")</f>
        <v/>
      </c>
      <c r="AB878" s="15" t="str">
        <f aca="false">IF(AND($J878=1,$M878=1),IF(AA878-Z878&lt;=0.000000001,1,0),"")</f>
        <v/>
      </c>
      <c r="AC878" s="13" t="n">
        <f aca="false">IF(AND($J878=1,$M878=0),IF(S878="",0,S878*INDEX(Grid!$B$6:$H$156,R878+1,Q878+1))+IF(V878="",0,V878*INDEX(Grid!$B$6:$H$156,U878+1,T878+1))+IF(Y878="",0,Y878*INDEX(Grid!$B$6:$H$156,X878+1,W878+1)),"")</f>
        <v>53.9016553514821</v>
      </c>
      <c r="AD878" s="13" t="n">
        <f aca="false">IF(AND($J878=1,$M878=0),IF(S878="",0,S878*Val_pt*(Ceiling_e-E_zero)*(1-(1-Half_gap)^Q878))+IF(V878="",0,V878*Val_pt*(Ceiling_e-E_zero)*(1-(1-Half_gap)^T878))+IF(Y878="",0,Y878*Val_pt*(Ceiling_e-E_zero)*(1-(1-Half_gap)^W878)),"")</f>
        <v>135.970208954694</v>
      </c>
      <c r="AE878" s="13" t="n">
        <f aca="false">IF(AND($J878=1,$M878=0),IF(S878="",0,S878*R878)+IF(V878="",0,V878*U878)+IF(Y878="",0,Y878*X878),"")</f>
        <v>117.763595844484</v>
      </c>
      <c r="AF878" s="12" t="n">
        <f aca="false">IF(AND($J878=1,$M878=0),MIN((AC878-E878)/Span_P,(AD878-F878)/Span_S,(AE878-G878)/Span_B),"")</f>
        <v>0.00509063896322396</v>
      </c>
      <c r="AG878" s="15" t="n">
        <f aca="false">IF(AND($J878=1,$M878=0),IF(AF878&gt;0.0000001,1,0),"")</f>
        <v>1</v>
      </c>
      <c r="AH878" s="15" t="n">
        <f aca="false">IF($J878=1,IF($M878=1,AB878,AG878),"")</f>
        <v>1</v>
      </c>
      <c r="AI878" s="13" t="n">
        <f aca="false">IF($J878=1,(Ideal_P-E878)/Span_P,"")</f>
        <v>0.91715340838191</v>
      </c>
      <c r="AJ878" s="13" t="n">
        <f aca="false">IF($J878=1,(Ideal_S-F878)/Span_S,"")</f>
        <v>0.032258064516129</v>
      </c>
      <c r="AK878" s="13" t="n">
        <f aca="false">IF($J878=1,(Ideal_B-G878)/Span_B,"")</f>
        <v>0.22</v>
      </c>
      <c r="AL878" s="12" t="n">
        <f aca="false">IF($J878=1,MAX(ChA_1*AI878,ChA_2*AJ878,ChA_3*AK878)+Rho*(ChA_1*AI878+ChA_2*AJ878+ChA_3*AK878),"")</f>
        <v>0.917270349529199</v>
      </c>
      <c r="AM878" s="12" t="n">
        <f aca="false">IF($J878=1,MAX(ChB_1*AI878,ChB_2*AJ878,ChB_3*AK878)+Rho*(ChB_1*AI878+ChB_2*AJ878+ChB_3*AK878),"")</f>
        <v>1.83451547325195</v>
      </c>
      <c r="AN878" s="12" t="n">
        <f aca="false">IF($J878=1,MAX(Cx_1*(Ref_P-E878)/Span_P,Cx_2*(Ref_S-F878)/Span_S,Cx_3*(Ref_B-G878)/Span_B),"")</f>
        <v>2.3154478274452</v>
      </c>
    </row>
    <row r="879" customFormat="false" ht="15" hidden="false" customHeight="false" outlineLevel="0" collapsed="false">
      <c r="A879" s="2" t="n">
        <v>873</v>
      </c>
      <c r="B879" s="15" t="n">
        <f aca="false">INT(A879/151)</f>
        <v>5</v>
      </c>
      <c r="C879" s="15" t="n">
        <f aca="false">MOD(A879,151)</f>
        <v>118</v>
      </c>
      <c r="D879" s="15" t="n">
        <f aca="false">INDEX(Grid!$J$6:$P$156,C879+1,B879+1)</f>
        <v>1</v>
      </c>
      <c r="E879" s="16" t="n">
        <f aca="false">IF(D879=1,INDEX(Grid!$B$6:$H$156,C879+1,B879+1),"")</f>
        <v>51.1491673162821</v>
      </c>
      <c r="F879" s="13" t="n">
        <f aca="false">Val_pt*(Ceiling_e-E_zero)*(1-(1-Half_gap)^B879)</f>
        <v>135.625</v>
      </c>
      <c r="G879" s="15" t="n">
        <f aca="false">C879</f>
        <v>118</v>
      </c>
      <c r="H879" s="15" t="n">
        <f aca="false">IF(D879=1,INDEX(Grid!$R$6:$X$156,C879+1,B879+1),"")</f>
        <v>47</v>
      </c>
      <c r="I879" s="2" t="str">
        <f aca="false">IF(D879=1,INDEX(Sch_label,H879+1),"")</f>
        <v>1, 3–6</v>
      </c>
      <c r="J879" s="15" t="n">
        <f aca="false">IF(D879=1,INDEX(Grid!$Z$6:$AF$156,C879+1,B879+1),0)</f>
        <v>1</v>
      </c>
      <c r="K879" s="16" t="n">
        <f aca="false">IF(J879=1,E879,0)</f>
        <v>51.1491673162821</v>
      </c>
      <c r="L879" s="17" t="n">
        <f aca="false">IF(D879=1,E879+W_board*F879,"")</f>
        <v>816.716934951718</v>
      </c>
      <c r="M879" s="24" t="n">
        <v>0</v>
      </c>
      <c r="Q879" s="24" t="n">
        <v>5</v>
      </c>
      <c r="R879" s="24" t="n">
        <v>100</v>
      </c>
      <c r="S879" s="25" t="n">
        <v>0.426254868259313</v>
      </c>
      <c r="T879" s="24" t="n">
        <v>5</v>
      </c>
      <c r="U879" s="24" t="n">
        <v>150</v>
      </c>
      <c r="V879" s="25" t="n">
        <v>0.420717439270448</v>
      </c>
      <c r="W879" s="24" t="n">
        <v>6</v>
      </c>
      <c r="X879" s="24" t="n">
        <v>85</v>
      </c>
      <c r="Y879" s="25" t="n">
        <v>0.153027692470237</v>
      </c>
      <c r="Z879" s="12" t="str">
        <f aca="false">IF(AND($J879=1,$M879=1),N879*E879/Span_P+O879*F879/Span_S+P879*G879/Span_B,"")</f>
        <v/>
      </c>
      <c r="AA879" s="12" t="str">
        <f aca="false">IF(AND($J879=1,$M879=1),SUMPRODUCT(MAX($J$6:$J$1062*(N879*$K$6:$K$1062/Span_P+O879*$F$6:$F$1062/Span_S+P879*$G$6:$G$1062/Span_B)-(1-$J$6:$J$1062)*1000000000)),"")</f>
        <v/>
      </c>
      <c r="AB879" s="15" t="str">
        <f aca="false">IF(AND($J879=1,$M879=1),IF(AA879-Z879&lt;=0.000000001,1,0),"")</f>
        <v/>
      </c>
      <c r="AC879" s="13" t="n">
        <f aca="false">IF(AND($J879=1,$M879=0),IF(S879="",0,S879*INDEX(Grid!$B$6:$H$156,R879+1,Q879+1))+IF(V879="",0,V879*INDEX(Grid!$B$6:$H$156,U879+1,T879+1))+IF(Y879="",0,Y879*INDEX(Grid!$B$6:$H$156,X879+1,W879+1)),"")</f>
        <v>52.9367039234176</v>
      </c>
      <c r="AD879" s="13" t="n">
        <f aca="false">IF(AND($J879=1,$M879=0),IF(S879="",0,S879*Val_pt*(Ceiling_e-E_zero)*(1-(1-Half_gap)^Q879))+IF(V879="",0,V879*Val_pt*(Ceiling_e-E_zero)*(1-(1-Half_gap)^T879))+IF(Y879="",0,Y879*Val_pt*(Ceiling_e-E_zero)*(1-(1-Half_gap)^W879)),"")</f>
        <v>135.959748077278</v>
      </c>
      <c r="AE879" s="13" t="n">
        <f aca="false">IF(AND($J879=1,$M879=0),IF(S879="",0,S879*R879)+IF(V879="",0,V879*U879)+IF(Y879="",0,Y879*X879),"")</f>
        <v>118.740456576469</v>
      </c>
      <c r="AF879" s="12" t="n">
        <f aca="false">IF(AND($J879=1,$M879=0),MIN((AC879-E879)/Span_P,(AD879-F879)/Span_S,(AE879-G879)/Span_B),"")</f>
        <v>0.00493637717645554</v>
      </c>
      <c r="AG879" s="15" t="n">
        <f aca="false">IF(AND($J879=1,$M879=0),IF(AF879&gt;0.0000001,1,0),"")</f>
        <v>1</v>
      </c>
      <c r="AH879" s="15" t="n">
        <f aca="false">IF($J879=1,IF($M879=1,AB879,AG879),"")</f>
        <v>1</v>
      </c>
      <c r="AI879" s="13" t="n">
        <f aca="false">IF($J879=1,(Ideal_P-E879)/Span_P,"")</f>
        <v>0.919663911158215</v>
      </c>
      <c r="AJ879" s="13" t="n">
        <f aca="false">IF($J879=1,(Ideal_S-F879)/Span_S,"")</f>
        <v>0.032258064516129</v>
      </c>
      <c r="AK879" s="13" t="n">
        <f aca="false">IF($J879=1,(Ideal_B-G879)/Span_B,"")</f>
        <v>0.213333333333333</v>
      </c>
      <c r="AL879" s="12" t="n">
        <f aca="false">IF($J879=1,MAX(ChA_1*AI879,ChA_2*AJ879,ChA_3*AK879)+Rho*(ChA_1*AI879+ChA_2*AJ879+ChA_3*AK879),"")</f>
        <v>0.919780436689116</v>
      </c>
      <c r="AM879" s="12" t="n">
        <f aca="false">IF($J879=1,MAX(ChB_1*AI879,ChB_2*AJ879,ChB_3*AK879)+Rho*(ChB_1*AI879+ChB_2*AJ879+ChB_3*AK879),"")</f>
        <v>1.83953631423845</v>
      </c>
      <c r="AN879" s="12" t="n">
        <f aca="false">IF($J879=1,MAX(Cx_1*(Ref_P-E879)/Span_P,Cx_2*(Ref_S-F879)/Span_S,Cx_3*(Ref_B-G879)/Span_B),"")</f>
        <v>2.32171748912863</v>
      </c>
    </row>
    <row r="880" customFormat="false" ht="15" hidden="false" customHeight="false" outlineLevel="0" collapsed="false">
      <c r="A880" s="2" t="n">
        <v>874</v>
      </c>
      <c r="B880" s="15" t="n">
        <f aca="false">INT(A880/151)</f>
        <v>5</v>
      </c>
      <c r="C880" s="15" t="n">
        <f aca="false">MOD(A880,151)</f>
        <v>119</v>
      </c>
      <c r="D880" s="15" t="n">
        <f aca="false">INDEX(Grid!$J$6:$P$156,C880+1,B880+1)</f>
        <v>1</v>
      </c>
      <c r="E880" s="16" t="n">
        <f aca="false">IF(D880=1,INDEX(Grid!$B$6:$H$156,C880+1,B880+1),"")</f>
        <v>50.2400764071912</v>
      </c>
      <c r="F880" s="13" t="n">
        <f aca="false">Val_pt*(Ceiling_e-E_zero)*(1-(1-Half_gap)^B880)</f>
        <v>135.625</v>
      </c>
      <c r="G880" s="15" t="n">
        <f aca="false">C880</f>
        <v>119</v>
      </c>
      <c r="H880" s="15" t="n">
        <f aca="false">IF(D880=1,INDEX(Grid!$R$6:$X$156,C880+1,B880+1),"")</f>
        <v>47</v>
      </c>
      <c r="I880" s="2" t="str">
        <f aca="false">IF(D880=1,INDEX(Sch_label,H880+1),"")</f>
        <v>1, 3–6</v>
      </c>
      <c r="J880" s="15" t="n">
        <f aca="false">IF(D880=1,INDEX(Grid!$Z$6:$AF$156,C880+1,B880+1),0)</f>
        <v>1</v>
      </c>
      <c r="K880" s="16" t="n">
        <f aca="false">IF(J880=1,E880,0)</f>
        <v>50.2400764071912</v>
      </c>
      <c r="L880" s="17" t="n">
        <f aca="false">IF(D880=1,E880+W_board*F880,"")</f>
        <v>815.807844042627</v>
      </c>
      <c r="M880" s="24" t="n">
        <v>0</v>
      </c>
      <c r="Q880" s="24" t="n">
        <v>5</v>
      </c>
      <c r="R880" s="24" t="n">
        <v>100</v>
      </c>
      <c r="S880" s="25" t="n">
        <v>0.412934403626193</v>
      </c>
      <c r="T880" s="24" t="n">
        <v>5</v>
      </c>
      <c r="U880" s="24" t="n">
        <v>150</v>
      </c>
      <c r="V880" s="25" t="n">
        <v>0.438820019293247</v>
      </c>
      <c r="W880" s="24" t="n">
        <v>6</v>
      </c>
      <c r="X880" s="24" t="n">
        <v>85</v>
      </c>
      <c r="Y880" s="25" t="n">
        <v>0.148245577080537</v>
      </c>
      <c r="Z880" s="12" t="str">
        <f aca="false">IF(AND($J880=1,$M880=1),N880*E880/Span_P+O880*F880/Span_S+P880*G880/Span_B,"")</f>
        <v/>
      </c>
      <c r="AA880" s="12" t="str">
        <f aca="false">IF(AND($J880=1,$M880=1),SUMPRODUCT(MAX($J$6:$J$1062*(N880*$K$6:$K$1062/Span_P+O880*$F$6:$F$1062/Span_S+P880*$G$6:$G$1062/Span_B)-(1-$J$6:$J$1062)*1000000000)),"")</f>
        <v/>
      </c>
      <c r="AB880" s="15" t="str">
        <f aca="false">IF(AND($J880=1,$M880=1),IF(AA880-Z880&lt;=0.000000001,1,0),"")</f>
        <v/>
      </c>
      <c r="AC880" s="13" t="n">
        <f aca="false">IF(AND($J880=1,$M880=0),IF(S880="",0,S880*INDEX(Grid!$B$6:$H$156,R880+1,Q880+1))+IF(V880="",0,V880*INDEX(Grid!$B$6:$H$156,U880+1,T880+1))+IF(Y880="",0,Y880*INDEX(Grid!$B$6:$H$156,X880+1,W880+1)),"")</f>
        <v>51.971752495352</v>
      </c>
      <c r="AD880" s="13" t="n">
        <f aca="false">IF(AND($J880=1,$M880=0),IF(S880="",0,S880*Val_pt*(Ceiling_e-E_zero)*(1-(1-Half_gap)^Q880))+IF(V880="",0,V880*Val_pt*(Ceiling_e-E_zero)*(1-(1-Half_gap)^T880))+IF(Y880="",0,Y880*Val_pt*(Ceiling_e-E_zero)*(1-(1-Half_gap)^W880)),"")</f>
        <v>135.949287199861</v>
      </c>
      <c r="AE880" s="13" t="n">
        <f aca="false">IF(AND($J880=1,$M880=0),IF(S880="",0,S880*R880)+IF(V880="",0,V880*U880)+IF(Y880="",0,Y880*X880),"")</f>
        <v>119.717317308452</v>
      </c>
      <c r="AF880" s="12" t="n">
        <f aca="false">IF(AND($J880=1,$M880=0),MIN((AC880-E880)/Span_P,(AD880-F880)/Span_S,(AE880-G880)/Span_B),"")</f>
        <v>0.00478211538964824</v>
      </c>
      <c r="AG880" s="15" t="n">
        <f aca="false">IF(AND($J880=1,$M880=0),IF(AF880&gt;0.0000001,1,0),"")</f>
        <v>1</v>
      </c>
      <c r="AH880" s="15" t="n">
        <f aca="false">IF($J880=1,IF($M880=1,AB880,AG880),"")</f>
        <v>1</v>
      </c>
      <c r="AI880" s="13" t="n">
        <f aca="false">IF($J880=1,(Ideal_P-E880)/Span_P,"")</f>
        <v>0.922174413934521</v>
      </c>
      <c r="AJ880" s="13" t="n">
        <f aca="false">IF($J880=1,(Ideal_S-F880)/Span_S,"")</f>
        <v>0.032258064516129</v>
      </c>
      <c r="AK880" s="13" t="n">
        <f aca="false">IF($J880=1,(Ideal_B-G880)/Span_B,"")</f>
        <v>0.206666666666667</v>
      </c>
      <c r="AL880" s="12" t="n">
        <f aca="false">IF($J880=1,MAX(ChA_1*AI880,ChA_2*AJ880,ChA_3*AK880)+Rho*(ChA_1*AI880+ChA_2*AJ880+ChA_3*AK880),"")</f>
        <v>0.922290523849033</v>
      </c>
      <c r="AM880" s="12" t="n">
        <f aca="false">IF($J880=1,MAX(ChB_1*AI880,ChB_2*AJ880,ChB_3*AK880)+Rho*(ChB_1*AI880+ChB_2*AJ880+ChB_3*AK880),"")</f>
        <v>1.84455715522495</v>
      </c>
      <c r="AN880" s="12" t="n">
        <f aca="false">IF($J880=1,MAX(Cx_1*(Ref_P-E880)/Span_P,Cx_2*(Ref_S-F880)/Span_S,Cx_3*(Ref_B-G880)/Span_B),"")</f>
        <v>2.32798715081206</v>
      </c>
    </row>
    <row r="881" customFormat="false" ht="15" hidden="false" customHeight="false" outlineLevel="0" collapsed="false">
      <c r="A881" s="2" t="n">
        <v>875</v>
      </c>
      <c r="B881" s="15" t="n">
        <f aca="false">INT(A881/151)</f>
        <v>5</v>
      </c>
      <c r="C881" s="15" t="n">
        <f aca="false">MOD(A881,151)</f>
        <v>120</v>
      </c>
      <c r="D881" s="15" t="n">
        <f aca="false">INDEX(Grid!$J$6:$P$156,C881+1,B881+1)</f>
        <v>1</v>
      </c>
      <c r="E881" s="16" t="n">
        <f aca="false">IF(D881=1,INDEX(Grid!$B$6:$H$156,C881+1,B881+1),"")</f>
        <v>49.3309854981003</v>
      </c>
      <c r="F881" s="13" t="n">
        <f aca="false">Val_pt*(Ceiling_e-E_zero)*(1-(1-Half_gap)^B881)</f>
        <v>135.625</v>
      </c>
      <c r="G881" s="15" t="n">
        <f aca="false">C881</f>
        <v>120</v>
      </c>
      <c r="H881" s="15" t="n">
        <f aca="false">IF(D881=1,INDEX(Grid!$R$6:$X$156,C881+1,B881+1),"")</f>
        <v>47</v>
      </c>
      <c r="I881" s="2" t="str">
        <f aca="false">IF(D881=1,INDEX(Sch_label,H881+1),"")</f>
        <v>1, 3–6</v>
      </c>
      <c r="J881" s="15" t="n">
        <f aca="false">IF(D881=1,INDEX(Grid!$Z$6:$AF$156,C881+1,B881+1),0)</f>
        <v>1</v>
      </c>
      <c r="K881" s="16" t="n">
        <f aca="false">IF(J881=1,E881,0)</f>
        <v>49.3309854981003</v>
      </c>
      <c r="L881" s="17" t="n">
        <f aca="false">IF(D881=1,E881+W_board*F881,"")</f>
        <v>814.898753133536</v>
      </c>
      <c r="M881" s="24" t="n">
        <v>0</v>
      </c>
      <c r="Q881" s="24" t="n">
        <v>5</v>
      </c>
      <c r="R881" s="24" t="n">
        <v>100</v>
      </c>
      <c r="S881" s="25" t="n">
        <v>0.399613938993119</v>
      </c>
      <c r="T881" s="24" t="n">
        <v>5</v>
      </c>
      <c r="U881" s="24" t="n">
        <v>150</v>
      </c>
      <c r="V881" s="25" t="n">
        <v>0.456922599316044</v>
      </c>
      <c r="W881" s="24" t="n">
        <v>6</v>
      </c>
      <c r="X881" s="24" t="n">
        <v>85</v>
      </c>
      <c r="Y881" s="25" t="n">
        <v>0.143463461690841</v>
      </c>
      <c r="Z881" s="12" t="str">
        <f aca="false">IF(AND($J881=1,$M881=1),N881*E881/Span_P+O881*F881/Span_S+P881*G881/Span_B,"")</f>
        <v/>
      </c>
      <c r="AA881" s="12" t="str">
        <f aca="false">IF(AND($J881=1,$M881=1),SUMPRODUCT(MAX($J$6:$J$1062*(N881*$K$6:$K$1062/Span_P+O881*$F$6:$F$1062/Span_S+P881*$G$6:$G$1062/Span_B)-(1-$J$6:$J$1062)*1000000000)),"")</f>
        <v/>
      </c>
      <c r="AB881" s="15" t="str">
        <f aca="false">IF(AND($J881=1,$M881=1),IF(AA881-Z881&lt;=0.000000001,1,0),"")</f>
        <v/>
      </c>
      <c r="AC881" s="13" t="n">
        <f aca="false">IF(AND($J881=1,$M881=0),IF(S881="",0,S881*INDEX(Grid!$B$6:$H$156,R881+1,Q881+1))+IF(V881="",0,V881*INDEX(Grid!$B$6:$H$156,U881+1,T881+1))+IF(Y881="",0,Y881*INDEX(Grid!$B$6:$H$156,X881+1,W881+1)),"")</f>
        <v>51.0068010672908</v>
      </c>
      <c r="AD881" s="13" t="n">
        <f aca="false">IF(AND($J881=1,$M881=0),IF(S881="",0,S881*Val_pt*(Ceiling_e-E_zero)*(1-(1-Half_gap)^Q881))+IF(V881="",0,V881*Val_pt*(Ceiling_e-E_zero)*(1-(1-Half_gap)^T881))+IF(Y881="",0,Y881*Val_pt*(Ceiling_e-E_zero)*(1-(1-Half_gap)^W881)),"")</f>
        <v>135.938826322449</v>
      </c>
      <c r="AE881" s="13" t="n">
        <f aca="false">IF(AND($J881=1,$M881=0),IF(S881="",0,S881*R881)+IF(V881="",0,V881*U881)+IF(Y881="",0,Y881*X881),"")</f>
        <v>120.69417804044</v>
      </c>
      <c r="AF881" s="12" t="n">
        <f aca="false">IF(AND($J881=1,$M881=0),MIN((AC881-E881)/Span_P,(AD881-F881)/Span_S,(AE881-G881)/Span_B),"")</f>
        <v>0.00462785360293208</v>
      </c>
      <c r="AG881" s="15" t="n">
        <f aca="false">IF(AND($J881=1,$M881=0),IF(AF881&gt;0.0000001,1,0),"")</f>
        <v>1</v>
      </c>
      <c r="AH881" s="15" t="n">
        <f aca="false">IF($J881=1,IF($M881=1,AB881,AG881),"")</f>
        <v>1</v>
      </c>
      <c r="AI881" s="13" t="n">
        <f aca="false">IF($J881=1,(Ideal_P-E881)/Span_P,"")</f>
        <v>0.924684916710827</v>
      </c>
      <c r="AJ881" s="13" t="n">
        <f aca="false">IF($J881=1,(Ideal_S-F881)/Span_S,"")</f>
        <v>0.032258064516129</v>
      </c>
      <c r="AK881" s="13" t="n">
        <f aca="false">IF($J881=1,(Ideal_B-G881)/Span_B,"")</f>
        <v>0.2</v>
      </c>
      <c r="AL881" s="12" t="n">
        <f aca="false">IF($J881=1,MAX(ChA_1*AI881,ChA_2*AJ881,ChA_3*AK881)+Rho*(ChA_1*AI881+ChA_2*AJ881+ChA_3*AK881),"")</f>
        <v>0.92480061100895</v>
      </c>
      <c r="AM881" s="12" t="n">
        <f aca="false">IF($J881=1,MAX(ChB_1*AI881,ChB_2*AJ881,ChB_3*AK881)+Rho*(ChB_1*AI881+ChB_2*AJ881+ChB_3*AK881),"")</f>
        <v>1.84957799621145</v>
      </c>
      <c r="AN881" s="12" t="n">
        <f aca="false">IF($J881=1,MAX(Cx_1*(Ref_P-E881)/Span_P,Cx_2*(Ref_S-F881)/Span_S,Cx_3*(Ref_B-G881)/Span_B),"")</f>
        <v>2.33425681249549</v>
      </c>
    </row>
    <row r="882" customFormat="false" ht="15" hidden="false" customHeight="false" outlineLevel="0" collapsed="false">
      <c r="A882" s="2" t="n">
        <v>876</v>
      </c>
      <c r="B882" s="15" t="n">
        <f aca="false">INT(A882/151)</f>
        <v>5</v>
      </c>
      <c r="C882" s="15" t="n">
        <f aca="false">MOD(A882,151)</f>
        <v>121</v>
      </c>
      <c r="D882" s="15" t="n">
        <f aca="false">INDEX(Grid!$J$6:$P$156,C882+1,B882+1)</f>
        <v>1</v>
      </c>
      <c r="E882" s="16" t="n">
        <f aca="false">IF(D882=1,INDEX(Grid!$B$6:$H$156,C882+1,B882+1),"")</f>
        <v>48.4218945890094</v>
      </c>
      <c r="F882" s="13" t="n">
        <f aca="false">Val_pt*(Ceiling_e-E_zero)*(1-(1-Half_gap)^B882)</f>
        <v>135.625</v>
      </c>
      <c r="G882" s="15" t="n">
        <f aca="false">C882</f>
        <v>121</v>
      </c>
      <c r="H882" s="15" t="n">
        <f aca="false">IF(D882=1,INDEX(Grid!$R$6:$X$156,C882+1,B882+1),"")</f>
        <v>47</v>
      </c>
      <c r="I882" s="2" t="str">
        <f aca="false">IF(D882=1,INDEX(Sch_label,H882+1),"")</f>
        <v>1, 3–6</v>
      </c>
      <c r="J882" s="15" t="n">
        <f aca="false">IF(D882=1,INDEX(Grid!$Z$6:$AF$156,C882+1,B882+1),0)</f>
        <v>1</v>
      </c>
      <c r="K882" s="16" t="n">
        <f aca="false">IF(J882=1,E882,0)</f>
        <v>48.4218945890094</v>
      </c>
      <c r="L882" s="17" t="n">
        <f aca="false">IF(D882=1,E882+W_board*F882,"")</f>
        <v>813.989662224445</v>
      </c>
      <c r="M882" s="24" t="n">
        <v>0</v>
      </c>
      <c r="Q882" s="24" t="n">
        <v>5</v>
      </c>
      <c r="R882" s="24" t="n">
        <v>100</v>
      </c>
      <c r="S882" s="25" t="n">
        <v>0.386293474360002</v>
      </c>
      <c r="T882" s="24" t="n">
        <v>5</v>
      </c>
      <c r="U882" s="24" t="n">
        <v>150</v>
      </c>
      <c r="V882" s="25" t="n">
        <v>0.475025179338844</v>
      </c>
      <c r="W882" s="24" t="n">
        <v>6</v>
      </c>
      <c r="X882" s="24" t="n">
        <v>85</v>
      </c>
      <c r="Y882" s="25" t="n">
        <v>0.138681346301152</v>
      </c>
      <c r="Z882" s="12" t="str">
        <f aca="false">IF(AND($J882=1,$M882=1),N882*E882/Span_P+O882*F882/Span_S+P882*G882/Span_B,"")</f>
        <v/>
      </c>
      <c r="AA882" s="12" t="str">
        <f aca="false">IF(AND($J882=1,$M882=1),SUMPRODUCT(MAX($J$6:$J$1062*(N882*$K$6:$K$1062/Span_P+O882*$F$6:$F$1062/Span_S+P882*$G$6:$G$1062/Span_B)-(1-$J$6:$J$1062)*1000000000)),"")</f>
        <v/>
      </c>
      <c r="AB882" s="15" t="str">
        <f aca="false">IF(AND($J882=1,$M882=1),IF(AA882-Z882&lt;=0.000000001,1,0),"")</f>
        <v/>
      </c>
      <c r="AC882" s="13" t="n">
        <f aca="false">IF(AND($J882=1,$M882=0),IF(S882="",0,S882*INDEX(Grid!$B$6:$H$156,R882+1,Q882+1))+IF(V882="",0,V882*INDEX(Grid!$B$6:$H$156,U882+1,T882+1))+IF(Y882="",0,Y882*INDEX(Grid!$B$6:$H$156,X882+1,W882+1)),"")</f>
        <v>50.0418496392259</v>
      </c>
      <c r="AD882" s="13" t="n">
        <f aca="false">IF(AND($J882=1,$M882=0),IF(S882="",0,S882*Val_pt*(Ceiling_e-E_zero)*(1-(1-Half_gap)^Q882))+IF(V882="",0,V882*Val_pt*(Ceiling_e-E_zero)*(1-(1-Half_gap)^T882))+IF(Y882="",0,Y882*Val_pt*(Ceiling_e-E_zero)*(1-(1-Half_gap)^W882)),"")</f>
        <v>135.928365445033</v>
      </c>
      <c r="AE882" s="13" t="n">
        <f aca="false">IF(AND($J882=1,$M882=0),IF(S882="",0,S882*R882)+IF(V882="",0,V882*U882)+IF(Y882="",0,Y882*X882),"")</f>
        <v>121.671038772425</v>
      </c>
      <c r="AF882" s="12" t="n">
        <f aca="false">IF(AND($J882=1,$M882=0),MIN((AC882-E882)/Span_P,(AD882-F882)/Span_S,(AE882-G882)/Span_B),"")</f>
        <v>0.00447359181616189</v>
      </c>
      <c r="AG882" s="15" t="n">
        <f aca="false">IF(AND($J882=1,$M882=0),IF(AF882&gt;0.0000001,1,0),"")</f>
        <v>1</v>
      </c>
      <c r="AH882" s="15" t="n">
        <f aca="false">IF($J882=1,IF($M882=1,AB882,AG882),"")</f>
        <v>1</v>
      </c>
      <c r="AI882" s="13" t="n">
        <f aca="false">IF($J882=1,(Ideal_P-E882)/Span_P,"")</f>
        <v>0.927195419487133</v>
      </c>
      <c r="AJ882" s="13" t="n">
        <f aca="false">IF($J882=1,(Ideal_S-F882)/Span_S,"")</f>
        <v>0.032258064516129</v>
      </c>
      <c r="AK882" s="13" t="n">
        <f aca="false">IF($J882=1,(Ideal_B-G882)/Span_B,"")</f>
        <v>0.193333333333333</v>
      </c>
      <c r="AL882" s="12" t="n">
        <f aca="false">IF($J882=1,MAX(ChA_1*AI882,ChA_2*AJ882,ChA_3*AK882)+Rho*(ChA_1*AI882+ChA_2*AJ882+ChA_3*AK882),"")</f>
        <v>0.927310698168866</v>
      </c>
      <c r="AM882" s="12" t="n">
        <f aca="false">IF($J882=1,MAX(ChB_1*AI882,ChB_2*AJ882,ChB_3*AK882)+Rho*(ChB_1*AI882+ChB_2*AJ882+ChB_3*AK882),"")</f>
        <v>1.85459883719795</v>
      </c>
      <c r="AN882" s="12" t="n">
        <f aca="false">IF($J882=1,MAX(Cx_1*(Ref_P-E882)/Span_P,Cx_2*(Ref_S-F882)/Span_S,Cx_3*(Ref_B-G882)/Span_B),"")</f>
        <v>2.34052647417892</v>
      </c>
    </row>
    <row r="883" customFormat="false" ht="15" hidden="false" customHeight="false" outlineLevel="0" collapsed="false">
      <c r="A883" s="2" t="n">
        <v>877</v>
      </c>
      <c r="B883" s="15" t="n">
        <f aca="false">INT(A883/151)</f>
        <v>5</v>
      </c>
      <c r="C883" s="15" t="n">
        <f aca="false">MOD(A883,151)</f>
        <v>122</v>
      </c>
      <c r="D883" s="15" t="n">
        <f aca="false">INDEX(Grid!$J$6:$P$156,C883+1,B883+1)</f>
        <v>1</v>
      </c>
      <c r="E883" s="16" t="n">
        <f aca="false">IF(D883=1,INDEX(Grid!$B$6:$H$156,C883+1,B883+1),"")</f>
        <v>47.5128036799185</v>
      </c>
      <c r="F883" s="13" t="n">
        <f aca="false">Val_pt*(Ceiling_e-E_zero)*(1-(1-Half_gap)^B883)</f>
        <v>135.625</v>
      </c>
      <c r="G883" s="15" t="n">
        <f aca="false">C883</f>
        <v>122</v>
      </c>
      <c r="H883" s="15" t="n">
        <f aca="false">IF(D883=1,INDEX(Grid!$R$6:$X$156,C883+1,B883+1),"")</f>
        <v>47</v>
      </c>
      <c r="I883" s="2" t="str">
        <f aca="false">IF(D883=1,INDEX(Sch_label,H883+1),"")</f>
        <v>1, 3–6</v>
      </c>
      <c r="J883" s="15" t="n">
        <f aca="false">IF(D883=1,INDEX(Grid!$Z$6:$AF$156,C883+1,B883+1),0)</f>
        <v>1</v>
      </c>
      <c r="K883" s="16" t="n">
        <f aca="false">IF(J883=1,E883,0)</f>
        <v>47.5128036799185</v>
      </c>
      <c r="L883" s="17" t="n">
        <f aca="false">IF(D883=1,E883+W_board*F883,"")</f>
        <v>813.080571315354</v>
      </c>
      <c r="M883" s="24" t="n">
        <v>0</v>
      </c>
      <c r="Q883" s="24" t="n">
        <v>5</v>
      </c>
      <c r="R883" s="24" t="n">
        <v>100</v>
      </c>
      <c r="S883" s="25" t="n">
        <v>0.372973009726901</v>
      </c>
      <c r="T883" s="24" t="n">
        <v>5</v>
      </c>
      <c r="U883" s="24" t="n">
        <v>150</v>
      </c>
      <c r="V883" s="25" t="n">
        <v>0.493127759361642</v>
      </c>
      <c r="W883" s="24" t="n">
        <v>6</v>
      </c>
      <c r="X883" s="24" t="n">
        <v>85</v>
      </c>
      <c r="Y883" s="25" t="n">
        <v>0.133899230911455</v>
      </c>
      <c r="Z883" s="12" t="str">
        <f aca="false">IF(AND($J883=1,$M883=1),N883*E883/Span_P+O883*F883/Span_S+P883*G883/Span_B,"")</f>
        <v/>
      </c>
      <c r="AA883" s="12" t="str">
        <f aca="false">IF(AND($J883=1,$M883=1),SUMPRODUCT(MAX($J$6:$J$1062*(N883*$K$6:$K$1062/Span_P+O883*$F$6:$F$1062/Span_S+P883*$G$6:$G$1062/Span_B)-(1-$J$6:$J$1062)*1000000000)),"")</f>
        <v/>
      </c>
      <c r="AB883" s="15" t="str">
        <f aca="false">IF(AND($J883=1,$M883=1),IF(AA883-Z883&lt;=0.000000001,1,0),"")</f>
        <v/>
      </c>
      <c r="AC883" s="13" t="n">
        <f aca="false">IF(AND($J883=1,$M883=0),IF(S883="",0,S883*INDEX(Grid!$B$6:$H$156,R883+1,Q883+1))+IF(V883="",0,V883*INDEX(Grid!$B$6:$H$156,U883+1,T883+1))+IF(Y883="",0,Y883*INDEX(Grid!$B$6:$H$156,X883+1,W883+1)),"")</f>
        <v>49.0768982111622</v>
      </c>
      <c r="AD883" s="13" t="n">
        <f aca="false">IF(AND($J883=1,$M883=0),IF(S883="",0,S883*Val_pt*(Ceiling_e-E_zero)*(1-(1-Half_gap)^Q883))+IF(V883="",0,V883*Val_pt*(Ceiling_e-E_zero)*(1-(1-Half_gap)^T883))+IF(Y883="",0,Y883*Val_pt*(Ceiling_e-E_zero)*(1-(1-Half_gap)^W883)),"")</f>
        <v>135.917904567619</v>
      </c>
      <c r="AE883" s="13" t="n">
        <f aca="false">IF(AND($J883=1,$M883=0),IF(S883="",0,S883*R883)+IF(V883="",0,V883*U883)+IF(Y883="",0,Y883*X883),"")</f>
        <v>122.64789950441</v>
      </c>
      <c r="AF883" s="12" t="n">
        <f aca="false">IF(AND($J883=1,$M883=0),MIN((AC883-E883)/Span_P,(AD883-F883)/Span_S,(AE883-G883)/Span_B),"")</f>
        <v>0.00431933002939901</v>
      </c>
      <c r="AG883" s="15" t="n">
        <f aca="false">IF(AND($J883=1,$M883=0),IF(AF883&gt;0.0000001,1,0),"")</f>
        <v>1</v>
      </c>
      <c r="AH883" s="15" t="n">
        <f aca="false">IF($J883=1,IF($M883=1,AB883,AG883),"")</f>
        <v>1</v>
      </c>
      <c r="AI883" s="13" t="n">
        <f aca="false">IF($J883=1,(Ideal_P-E883)/Span_P,"")</f>
        <v>0.929705922263438</v>
      </c>
      <c r="AJ883" s="13" t="n">
        <f aca="false">IF($J883=1,(Ideal_S-F883)/Span_S,"")</f>
        <v>0.032258064516129</v>
      </c>
      <c r="AK883" s="13" t="n">
        <f aca="false">IF($J883=1,(Ideal_B-G883)/Span_B,"")</f>
        <v>0.186666666666667</v>
      </c>
      <c r="AL883" s="12" t="n">
        <f aca="false">IF($J883=1,MAX(ChA_1*AI883,ChA_2*AJ883,ChA_3*AK883)+Rho*(ChA_1*AI883+ChA_2*AJ883+ChA_3*AK883),"")</f>
        <v>0.929820785328783</v>
      </c>
      <c r="AM883" s="12" t="n">
        <f aca="false">IF($J883=1,MAX(ChB_1*AI883,ChB_2*AJ883,ChB_3*AK883)+Rho*(ChB_1*AI883+ChB_2*AJ883+ChB_3*AK883),"")</f>
        <v>1.85961967818445</v>
      </c>
      <c r="AN883" s="12" t="n">
        <f aca="false">IF($J883=1,MAX(Cx_1*(Ref_P-E883)/Span_P,Cx_2*(Ref_S-F883)/Span_S,Cx_3*(Ref_B-G883)/Span_B),"")</f>
        <v>2.34679613586235</v>
      </c>
    </row>
    <row r="884" customFormat="false" ht="15" hidden="false" customHeight="false" outlineLevel="0" collapsed="false">
      <c r="A884" s="2" t="n">
        <v>878</v>
      </c>
      <c r="B884" s="15" t="n">
        <f aca="false">INT(A884/151)</f>
        <v>5</v>
      </c>
      <c r="C884" s="15" t="n">
        <f aca="false">MOD(A884,151)</f>
        <v>123</v>
      </c>
      <c r="D884" s="15" t="n">
        <f aca="false">INDEX(Grid!$J$6:$P$156,C884+1,B884+1)</f>
        <v>1</v>
      </c>
      <c r="E884" s="16" t="n">
        <f aca="false">IF(D884=1,INDEX(Grid!$B$6:$H$156,C884+1,B884+1),"")</f>
        <v>46.6037127708275</v>
      </c>
      <c r="F884" s="13" t="n">
        <f aca="false">Val_pt*(Ceiling_e-E_zero)*(1-(1-Half_gap)^B884)</f>
        <v>135.625</v>
      </c>
      <c r="G884" s="15" t="n">
        <f aca="false">C884</f>
        <v>123</v>
      </c>
      <c r="H884" s="15" t="n">
        <f aca="false">IF(D884=1,INDEX(Grid!$R$6:$X$156,C884+1,B884+1),"")</f>
        <v>47</v>
      </c>
      <c r="I884" s="2" t="str">
        <f aca="false">IF(D884=1,INDEX(Sch_label,H884+1),"")</f>
        <v>1, 3–6</v>
      </c>
      <c r="J884" s="15" t="n">
        <f aca="false">IF(D884=1,INDEX(Grid!$Z$6:$AF$156,C884+1,B884+1),0)</f>
        <v>1</v>
      </c>
      <c r="K884" s="16" t="n">
        <f aca="false">IF(J884=1,E884,0)</f>
        <v>46.6037127708275</v>
      </c>
      <c r="L884" s="17" t="n">
        <f aca="false">IF(D884=1,E884+W_board*F884,"")</f>
        <v>812.171480406263</v>
      </c>
      <c r="M884" s="24" t="n">
        <v>0</v>
      </c>
      <c r="Q884" s="24" t="n">
        <v>5</v>
      </c>
      <c r="R884" s="24" t="n">
        <v>100</v>
      </c>
      <c r="S884" s="25" t="n">
        <v>0.359652545093789</v>
      </c>
      <c r="T884" s="24" t="n">
        <v>5</v>
      </c>
      <c r="U884" s="24" t="n">
        <v>150</v>
      </c>
      <c r="V884" s="25" t="n">
        <v>0.511230339384443</v>
      </c>
      <c r="W884" s="24" t="n">
        <v>6</v>
      </c>
      <c r="X884" s="24" t="n">
        <v>85</v>
      </c>
      <c r="Y884" s="25" t="n">
        <v>0.129117115521765</v>
      </c>
      <c r="Z884" s="12" t="str">
        <f aca="false">IF(AND($J884=1,$M884=1),N884*E884/Span_P+O884*F884/Span_S+P884*G884/Span_B,"")</f>
        <v/>
      </c>
      <c r="AA884" s="12" t="str">
        <f aca="false">IF(AND($J884=1,$M884=1),SUMPRODUCT(MAX($J$6:$J$1062*(N884*$K$6:$K$1062/Span_P+O884*$F$6:$F$1062/Span_S+P884*$G$6:$G$1062/Span_B)-(1-$J$6:$J$1062)*1000000000)),"")</f>
        <v/>
      </c>
      <c r="AB884" s="15" t="str">
        <f aca="false">IF(AND($J884=1,$M884=1),IF(AA884-Z884&lt;=0.000000001,1,0),"")</f>
        <v/>
      </c>
      <c r="AC884" s="13" t="n">
        <f aca="false">IF(AND($J884=1,$M884=0),IF(S884="",0,S884*INDEX(Grid!$B$6:$H$156,R884+1,Q884+1))+IF(V884="",0,V884*INDEX(Grid!$B$6:$H$156,U884+1,T884+1))+IF(Y884="",0,Y884*INDEX(Grid!$B$6:$H$156,X884+1,W884+1)),"")</f>
        <v>48.1119467830977</v>
      </c>
      <c r="AD884" s="13" t="n">
        <f aca="false">IF(AND($J884=1,$M884=0),IF(S884="",0,S884*Val_pt*(Ceiling_e-E_zero)*(1-(1-Half_gap)^Q884))+IF(V884="",0,V884*Val_pt*(Ceiling_e-E_zero)*(1-(1-Half_gap)^T884))+IF(Y884="",0,Y884*Val_pt*(Ceiling_e-E_zero)*(1-(1-Half_gap)^W884)),"")</f>
        <v>135.907443690203</v>
      </c>
      <c r="AE884" s="13" t="n">
        <f aca="false">IF(AND($J884=1,$M884=0),IF(S884="",0,S884*R884)+IF(V884="",0,V884*U884)+IF(Y884="",0,Y884*X884),"")</f>
        <v>123.624760236395</v>
      </c>
      <c r="AF884" s="12" t="n">
        <f aca="false">IF(AND($J884=1,$M884=0),MIN((AC884-E884)/Span_P,(AD884-F884)/Span_S,(AE884-G884)/Span_B),"")</f>
        <v>0.00416506824262985</v>
      </c>
      <c r="AG884" s="15" t="n">
        <f aca="false">IF(AND($J884=1,$M884=0),IF(AF884&gt;0.0000001,1,0),"")</f>
        <v>1</v>
      </c>
      <c r="AH884" s="15" t="n">
        <f aca="false">IF($J884=1,IF($M884=1,AB884,AG884),"")</f>
        <v>1</v>
      </c>
      <c r="AI884" s="13" t="n">
        <f aca="false">IF($J884=1,(Ideal_P-E884)/Span_P,"")</f>
        <v>0.932216425039744</v>
      </c>
      <c r="AJ884" s="13" t="n">
        <f aca="false">IF($J884=1,(Ideal_S-F884)/Span_S,"")</f>
        <v>0.032258064516129</v>
      </c>
      <c r="AK884" s="13" t="n">
        <f aca="false">IF($J884=1,(Ideal_B-G884)/Span_B,"")</f>
        <v>0.18</v>
      </c>
      <c r="AL884" s="12" t="n">
        <f aca="false">IF($J884=1,MAX(ChA_1*AI884,ChA_2*AJ884,ChA_3*AK884)+Rho*(ChA_1*AI884+ChA_2*AJ884+ChA_3*AK884),"")</f>
        <v>0.9323308724887</v>
      </c>
      <c r="AM884" s="12" t="n">
        <f aca="false">IF($J884=1,MAX(ChB_1*AI884,ChB_2*AJ884,ChB_3*AK884)+Rho*(ChB_1*AI884+ChB_2*AJ884+ChB_3*AK884),"")</f>
        <v>1.86464051917095</v>
      </c>
      <c r="AN884" s="12" t="n">
        <f aca="false">IF($J884=1,MAX(Cx_1*(Ref_P-E884)/Span_P,Cx_2*(Ref_S-F884)/Span_S,Cx_3*(Ref_B-G884)/Span_B),"")</f>
        <v>2.35306579754578</v>
      </c>
    </row>
    <row r="885" customFormat="false" ht="15" hidden="false" customHeight="false" outlineLevel="0" collapsed="false">
      <c r="A885" s="2" t="n">
        <v>879</v>
      </c>
      <c r="B885" s="15" t="n">
        <f aca="false">INT(A885/151)</f>
        <v>5</v>
      </c>
      <c r="C885" s="15" t="n">
        <f aca="false">MOD(A885,151)</f>
        <v>124</v>
      </c>
      <c r="D885" s="15" t="n">
        <f aca="false">INDEX(Grid!$J$6:$P$156,C885+1,B885+1)</f>
        <v>1</v>
      </c>
      <c r="E885" s="16" t="n">
        <f aca="false">IF(D885=1,INDEX(Grid!$B$6:$H$156,C885+1,B885+1),"")</f>
        <v>45.6946218617366</v>
      </c>
      <c r="F885" s="13" t="n">
        <f aca="false">Val_pt*(Ceiling_e-E_zero)*(1-(1-Half_gap)^B885)</f>
        <v>135.625</v>
      </c>
      <c r="G885" s="15" t="n">
        <f aca="false">C885</f>
        <v>124</v>
      </c>
      <c r="H885" s="15" t="n">
        <f aca="false">IF(D885=1,INDEX(Grid!$R$6:$X$156,C885+1,B885+1),"")</f>
        <v>47</v>
      </c>
      <c r="I885" s="2" t="str">
        <f aca="false">IF(D885=1,INDEX(Sch_label,H885+1),"")</f>
        <v>1, 3–6</v>
      </c>
      <c r="J885" s="15" t="n">
        <f aca="false">IF(D885=1,INDEX(Grid!$Z$6:$AF$156,C885+1,B885+1),0)</f>
        <v>1</v>
      </c>
      <c r="K885" s="16" t="n">
        <f aca="false">IF(J885=1,E885,0)</f>
        <v>45.6946218617366</v>
      </c>
      <c r="L885" s="17" t="n">
        <f aca="false">IF(D885=1,E885+W_board*F885,"")</f>
        <v>811.262389497172</v>
      </c>
      <c r="M885" s="24" t="n">
        <v>0</v>
      </c>
      <c r="Q885" s="24" t="n">
        <v>5</v>
      </c>
      <c r="R885" s="24" t="n">
        <v>100</v>
      </c>
      <c r="S885" s="25" t="n">
        <v>0.346332080460686</v>
      </c>
      <c r="T885" s="24" t="n">
        <v>5</v>
      </c>
      <c r="U885" s="24" t="n">
        <v>150</v>
      </c>
      <c r="V885" s="25" t="n">
        <v>0.529332919407241</v>
      </c>
      <c r="W885" s="24" t="n">
        <v>6</v>
      </c>
      <c r="X885" s="24" t="n">
        <v>85</v>
      </c>
      <c r="Y885" s="25" t="n">
        <v>0.12433500013207</v>
      </c>
      <c r="Z885" s="12" t="str">
        <f aca="false">IF(AND($J885=1,$M885=1),N885*E885/Span_P+O885*F885/Span_S+P885*G885/Span_B,"")</f>
        <v/>
      </c>
      <c r="AA885" s="12" t="str">
        <f aca="false">IF(AND($J885=1,$M885=1),SUMPRODUCT(MAX($J$6:$J$1062*(N885*$K$6:$K$1062/Span_P+O885*$F$6:$F$1062/Span_S+P885*$G$6:$G$1062/Span_B)-(1-$J$6:$J$1062)*1000000000)),"")</f>
        <v/>
      </c>
      <c r="AB885" s="15" t="str">
        <f aca="false">IF(AND($J885=1,$M885=1),IF(AA885-Z885&lt;=0.000000001,1,0),"")</f>
        <v/>
      </c>
      <c r="AC885" s="13" t="n">
        <f aca="false">IF(AND($J885=1,$M885=0),IF(S885="",0,S885*INDEX(Grid!$B$6:$H$156,R885+1,Q885+1))+IF(V885="",0,V885*INDEX(Grid!$B$6:$H$156,U885+1,T885+1))+IF(Y885="",0,Y885*INDEX(Grid!$B$6:$H$156,X885+1,W885+1)),"")</f>
        <v>47.1469953550338</v>
      </c>
      <c r="AD885" s="13" t="n">
        <f aca="false">IF(AND($J885=1,$M885=0),IF(S885="",0,S885*Val_pt*(Ceiling_e-E_zero)*(1-(1-Half_gap)^Q885))+IF(V885="",0,V885*Val_pt*(Ceiling_e-E_zero)*(1-(1-Half_gap)^T885))+IF(Y885="",0,Y885*Val_pt*(Ceiling_e-E_zero)*(1-(1-Half_gap)^W885)),"")</f>
        <v>135.896982812788</v>
      </c>
      <c r="AE885" s="13" t="n">
        <f aca="false">IF(AND($J885=1,$M885=0),IF(S885="",0,S885*R885)+IF(V885="",0,V885*U885)+IF(Y885="",0,Y885*X885),"")</f>
        <v>124.601620968381</v>
      </c>
      <c r="AF885" s="12" t="n">
        <f aca="false">IF(AND($J885=1,$M885=0),MIN((AC885-E885)/Span_P,(AD885-F885)/Span_S,(AE885-G885)/Span_B),"")</f>
        <v>0.0040108064558653</v>
      </c>
      <c r="AG885" s="15" t="n">
        <f aca="false">IF(AND($J885=1,$M885=0),IF(AF885&gt;0.0000001,1,0),"")</f>
        <v>1</v>
      </c>
      <c r="AH885" s="15" t="n">
        <f aca="false">IF($J885=1,IF($M885=1,AB885,AG885),"")</f>
        <v>1</v>
      </c>
      <c r="AI885" s="13" t="n">
        <f aca="false">IF($J885=1,(Ideal_P-E885)/Span_P,"")</f>
        <v>0.93472692781605</v>
      </c>
      <c r="AJ885" s="13" t="n">
        <f aca="false">IF($J885=1,(Ideal_S-F885)/Span_S,"")</f>
        <v>0.032258064516129</v>
      </c>
      <c r="AK885" s="13" t="n">
        <f aca="false">IF($J885=1,(Ideal_B-G885)/Span_B,"")</f>
        <v>0.173333333333333</v>
      </c>
      <c r="AL885" s="12" t="n">
        <f aca="false">IF($J885=1,MAX(ChA_1*AI885,ChA_2*AJ885,ChA_3*AK885)+Rho*(ChA_1*AI885+ChA_2*AJ885+ChA_3*AK885),"")</f>
        <v>0.934840959648617</v>
      </c>
      <c r="AM885" s="12" t="n">
        <f aca="false">IF($J885=1,MAX(ChB_1*AI885,ChB_2*AJ885,ChB_3*AK885)+Rho*(ChB_1*AI885+ChB_2*AJ885+ChB_3*AK885),"")</f>
        <v>1.86966136015745</v>
      </c>
      <c r="AN885" s="12" t="n">
        <f aca="false">IF($J885=1,MAX(Cx_1*(Ref_P-E885)/Span_P,Cx_2*(Ref_S-F885)/Span_S,Cx_3*(Ref_B-G885)/Span_B),"")</f>
        <v>2.3593354592292</v>
      </c>
    </row>
    <row r="886" customFormat="false" ht="15" hidden="false" customHeight="false" outlineLevel="0" collapsed="false">
      <c r="A886" s="2" t="n">
        <v>880</v>
      </c>
      <c r="B886" s="15" t="n">
        <f aca="false">INT(A886/151)</f>
        <v>5</v>
      </c>
      <c r="C886" s="15" t="n">
        <f aca="false">MOD(A886,151)</f>
        <v>125</v>
      </c>
      <c r="D886" s="15" t="n">
        <f aca="false">INDEX(Grid!$J$6:$P$156,C886+1,B886+1)</f>
        <v>1</v>
      </c>
      <c r="E886" s="16" t="n">
        <f aca="false">IF(D886=1,INDEX(Grid!$B$6:$H$156,C886+1,B886+1),"")</f>
        <v>44.7855309526457</v>
      </c>
      <c r="F886" s="13" t="n">
        <f aca="false">Val_pt*(Ceiling_e-E_zero)*(1-(1-Half_gap)^B886)</f>
        <v>135.625</v>
      </c>
      <c r="G886" s="15" t="n">
        <f aca="false">C886</f>
        <v>125</v>
      </c>
      <c r="H886" s="15" t="n">
        <f aca="false">IF(D886=1,INDEX(Grid!$R$6:$X$156,C886+1,B886+1),"")</f>
        <v>47</v>
      </c>
      <c r="I886" s="2" t="str">
        <f aca="false">IF(D886=1,INDEX(Sch_label,H886+1),"")</f>
        <v>1, 3–6</v>
      </c>
      <c r="J886" s="15" t="n">
        <f aca="false">IF(D886=1,INDEX(Grid!$Z$6:$AF$156,C886+1,B886+1),0)</f>
        <v>1</v>
      </c>
      <c r="K886" s="16" t="n">
        <f aca="false">IF(J886=1,E886,0)</f>
        <v>44.7855309526457</v>
      </c>
      <c r="L886" s="17" t="n">
        <f aca="false">IF(D886=1,E886+W_board*F886,"")</f>
        <v>810.353298588081</v>
      </c>
      <c r="M886" s="24" t="n">
        <v>0</v>
      </c>
      <c r="Q886" s="24" t="n">
        <v>5</v>
      </c>
      <c r="R886" s="24" t="n">
        <v>100</v>
      </c>
      <c r="S886" s="25" t="n">
        <v>0.333011615827591</v>
      </c>
      <c r="T886" s="24" t="n">
        <v>5</v>
      </c>
      <c r="U886" s="24" t="n">
        <v>150</v>
      </c>
      <c r="V886" s="25" t="n">
        <v>0.547435499430038</v>
      </c>
      <c r="W886" s="24" t="n">
        <v>6</v>
      </c>
      <c r="X886" s="24" t="n">
        <v>85</v>
      </c>
      <c r="Y886" s="25" t="n">
        <v>0.119552884742372</v>
      </c>
      <c r="Z886" s="12" t="str">
        <f aca="false">IF(AND($J886=1,$M886=1),N886*E886/Span_P+O886*F886/Span_S+P886*G886/Span_B,"")</f>
        <v/>
      </c>
      <c r="AA886" s="12" t="str">
        <f aca="false">IF(AND($J886=1,$M886=1),SUMPRODUCT(MAX($J$6:$J$1062*(N886*$K$6:$K$1062/Span_P+O886*$F$6:$F$1062/Span_S+P886*$G$6:$G$1062/Span_B)-(1-$J$6:$J$1062)*1000000000)),"")</f>
        <v/>
      </c>
      <c r="AB886" s="15" t="str">
        <f aca="false">IF(AND($J886=1,$M886=1),IF(AA886-Z886&lt;=0.000000001,1,0),"")</f>
        <v/>
      </c>
      <c r="AC886" s="13" t="n">
        <f aca="false">IF(AND($J886=1,$M886=0),IF(S886="",0,S886*INDEX(Grid!$B$6:$H$156,R886+1,Q886+1))+IF(V886="",0,V886*INDEX(Grid!$B$6:$H$156,U886+1,T886+1))+IF(Y886="",0,Y886*INDEX(Grid!$B$6:$H$156,X886+1,W886+1)),"")</f>
        <v>46.1820439269705</v>
      </c>
      <c r="AD886" s="13" t="n">
        <f aca="false">IF(AND($J886=1,$M886=0),IF(S886="",0,S886*Val_pt*(Ceiling_e-E_zero)*(1-(1-Half_gap)^Q886))+IF(V886="",0,V886*Val_pt*(Ceiling_e-E_zero)*(1-(1-Half_gap)^T886))+IF(Y886="",0,Y886*Val_pt*(Ceiling_e-E_zero)*(1-(1-Half_gap)^W886)),"")</f>
        <v>135.886521935374</v>
      </c>
      <c r="AE886" s="13" t="n">
        <f aca="false">IF(AND($J886=1,$M886=0),IF(S886="",0,S886*R886)+IF(V886="",0,V886*U886)+IF(Y886="",0,Y886*X886),"")</f>
        <v>125.578481700366</v>
      </c>
      <c r="AF886" s="12" t="n">
        <f aca="false">IF(AND($J886=1,$M886=0),MIN((AC886-E886)/Span_P,(AD886-F886)/Span_S,(AE886-G886)/Span_B),"")</f>
        <v>0.0038565446691083</v>
      </c>
      <c r="AG886" s="15" t="n">
        <f aca="false">IF(AND($J886=1,$M886=0),IF(AF886&gt;0.0000001,1,0),"")</f>
        <v>1</v>
      </c>
      <c r="AH886" s="15" t="n">
        <f aca="false">IF($J886=1,IF($M886=1,AB886,AG886),"")</f>
        <v>1</v>
      </c>
      <c r="AI886" s="13" t="n">
        <f aca="false">IF($J886=1,(Ideal_P-E886)/Span_P,"")</f>
        <v>0.937237430592356</v>
      </c>
      <c r="AJ886" s="13" t="n">
        <f aca="false">IF($J886=1,(Ideal_S-F886)/Span_S,"")</f>
        <v>0.032258064516129</v>
      </c>
      <c r="AK886" s="13" t="n">
        <f aca="false">IF($J886=1,(Ideal_B-G886)/Span_B,"")</f>
        <v>0.166666666666667</v>
      </c>
      <c r="AL886" s="12" t="n">
        <f aca="false">IF($J886=1,MAX(ChA_1*AI886,ChA_2*AJ886,ChA_3*AK886)+Rho*(ChA_1*AI886+ChA_2*AJ886+ChA_3*AK886),"")</f>
        <v>0.937351046808533</v>
      </c>
      <c r="AM886" s="12" t="n">
        <f aca="false">IF($J886=1,MAX(ChB_1*AI886,ChB_2*AJ886,ChB_3*AK886)+Rho*(ChB_1*AI886+ChB_2*AJ886+ChB_3*AK886),"")</f>
        <v>1.87468220114395</v>
      </c>
      <c r="AN886" s="12" t="n">
        <f aca="false">IF($J886=1,MAX(Cx_1*(Ref_P-E886)/Span_P,Cx_2*(Ref_S-F886)/Span_S,Cx_3*(Ref_B-G886)/Span_B),"")</f>
        <v>2.36560512091263</v>
      </c>
    </row>
    <row r="887" customFormat="false" ht="15" hidden="false" customHeight="false" outlineLevel="0" collapsed="false">
      <c r="A887" s="2" t="n">
        <v>881</v>
      </c>
      <c r="B887" s="15" t="n">
        <f aca="false">INT(A887/151)</f>
        <v>5</v>
      </c>
      <c r="C887" s="15" t="n">
        <f aca="false">MOD(A887,151)</f>
        <v>126</v>
      </c>
      <c r="D887" s="15" t="n">
        <f aca="false">INDEX(Grid!$J$6:$P$156,C887+1,B887+1)</f>
        <v>1</v>
      </c>
      <c r="E887" s="16" t="n">
        <f aca="false">IF(D887=1,INDEX(Grid!$B$6:$H$156,C887+1,B887+1),"")</f>
        <v>43.8764400435548</v>
      </c>
      <c r="F887" s="13" t="n">
        <f aca="false">Val_pt*(Ceiling_e-E_zero)*(1-(1-Half_gap)^B887)</f>
        <v>135.625</v>
      </c>
      <c r="G887" s="15" t="n">
        <f aca="false">C887</f>
        <v>126</v>
      </c>
      <c r="H887" s="15" t="n">
        <f aca="false">IF(D887=1,INDEX(Grid!$R$6:$X$156,C887+1,B887+1),"")</f>
        <v>47</v>
      </c>
      <c r="I887" s="2" t="str">
        <f aca="false">IF(D887=1,INDEX(Sch_label,H887+1),"")</f>
        <v>1, 3–6</v>
      </c>
      <c r="J887" s="15" t="n">
        <f aca="false">IF(D887=1,INDEX(Grid!$Z$6:$AF$156,C887+1,B887+1),0)</f>
        <v>1</v>
      </c>
      <c r="K887" s="16" t="n">
        <f aca="false">IF(J887=1,E887,0)</f>
        <v>43.8764400435548</v>
      </c>
      <c r="L887" s="17" t="n">
        <f aca="false">IF(D887=1,E887+W_board*F887,"")</f>
        <v>809.44420767899</v>
      </c>
      <c r="M887" s="24" t="n">
        <v>0</v>
      </c>
      <c r="Q887" s="24" t="n">
        <v>5</v>
      </c>
      <c r="R887" s="24" t="n">
        <v>100</v>
      </c>
      <c r="S887" s="25" t="n">
        <v>0.319691151194497</v>
      </c>
      <c r="T887" s="24" t="n">
        <v>5</v>
      </c>
      <c r="U887" s="24" t="n">
        <v>150</v>
      </c>
      <c r="V887" s="25" t="n">
        <v>0.565538079452834</v>
      </c>
      <c r="W887" s="24" t="n">
        <v>6</v>
      </c>
      <c r="X887" s="24" t="n">
        <v>85</v>
      </c>
      <c r="Y887" s="25" t="n">
        <v>0.114770769352672</v>
      </c>
      <c r="Z887" s="12" t="str">
        <f aca="false">IF(AND($J887=1,$M887=1),N887*E887/Span_P+O887*F887/Span_S+P887*G887/Span_B,"")</f>
        <v/>
      </c>
      <c r="AA887" s="12" t="str">
        <f aca="false">IF(AND($J887=1,$M887=1),SUMPRODUCT(MAX($J$6:$J$1062*(N887*$K$6:$K$1062/Span_P+O887*$F$6:$F$1062/Span_S+P887*$G$6:$G$1062/Span_B)-(1-$J$6:$J$1062)*1000000000)),"")</f>
        <v/>
      </c>
      <c r="AB887" s="15" t="str">
        <f aca="false">IF(AND($J887=1,$M887=1),IF(AA887-Z887&lt;=0.000000001,1,0),"")</f>
        <v/>
      </c>
      <c r="AC887" s="13" t="n">
        <f aca="false">IF(AND($J887=1,$M887=0),IF(S887="",0,S887*INDEX(Grid!$B$6:$H$156,R887+1,Q887+1))+IF(V887="",0,V887*INDEX(Grid!$B$6:$H$156,U887+1,T887+1))+IF(Y887="",0,Y887*INDEX(Grid!$B$6:$H$156,X887+1,W887+1)),"")</f>
        <v>45.2170924989074</v>
      </c>
      <c r="AD887" s="13" t="n">
        <f aca="false">IF(AND($J887=1,$M887=0),IF(S887="",0,S887*Val_pt*(Ceiling_e-E_zero)*(1-(1-Half_gap)^Q887))+IF(V887="",0,V887*Val_pt*(Ceiling_e-E_zero)*(1-(1-Half_gap)^T887))+IF(Y887="",0,Y887*Val_pt*(Ceiling_e-E_zero)*(1-(1-Half_gap)^W887)),"")</f>
        <v>135.876061057959</v>
      </c>
      <c r="AE887" s="13" t="n">
        <f aca="false">IF(AND($J887=1,$M887=0),IF(S887="",0,S887*R887)+IF(V887="",0,V887*U887)+IF(Y887="",0,Y887*X887),"")</f>
        <v>126.555342432352</v>
      </c>
      <c r="AF887" s="12" t="n">
        <f aca="false">IF(AND($J887=1,$M887=0),MIN((AC887-E887)/Span_P,(AD887-F887)/Span_S,(AE887-G887)/Span_B),"")</f>
        <v>0.00370228288234613</v>
      </c>
      <c r="AG887" s="15" t="n">
        <f aca="false">IF(AND($J887=1,$M887=0),IF(AF887&gt;0.0000001,1,0),"")</f>
        <v>1</v>
      </c>
      <c r="AH887" s="15" t="n">
        <f aca="false">IF($J887=1,IF($M887=1,AB887,AG887),"")</f>
        <v>1</v>
      </c>
      <c r="AI887" s="13" t="n">
        <f aca="false">IF($J887=1,(Ideal_P-E887)/Span_P,"")</f>
        <v>0.939747933368662</v>
      </c>
      <c r="AJ887" s="13" t="n">
        <f aca="false">IF($J887=1,(Ideal_S-F887)/Span_S,"")</f>
        <v>0.032258064516129</v>
      </c>
      <c r="AK887" s="13" t="n">
        <f aca="false">IF($J887=1,(Ideal_B-G887)/Span_B,"")</f>
        <v>0.16</v>
      </c>
      <c r="AL887" s="12" t="n">
        <f aca="false">IF($J887=1,MAX(ChA_1*AI887,ChA_2*AJ887,ChA_3*AK887)+Rho*(ChA_1*AI887+ChA_2*AJ887+ChA_3*AK887),"")</f>
        <v>0.93986113396845</v>
      </c>
      <c r="AM887" s="12" t="n">
        <f aca="false">IF($J887=1,MAX(ChB_1*AI887,ChB_2*AJ887,ChB_3*AK887)+Rho*(ChB_1*AI887+ChB_2*AJ887+ChB_3*AK887),"")</f>
        <v>1.87970304213045</v>
      </c>
      <c r="AN887" s="12" t="n">
        <f aca="false">IF($J887=1,MAX(Cx_1*(Ref_P-E887)/Span_P,Cx_2*(Ref_S-F887)/Span_S,Cx_3*(Ref_B-G887)/Span_B),"")</f>
        <v>2.37187478259606</v>
      </c>
    </row>
    <row r="888" customFormat="false" ht="15" hidden="false" customHeight="false" outlineLevel="0" collapsed="false">
      <c r="A888" s="2" t="n">
        <v>882</v>
      </c>
      <c r="B888" s="15" t="n">
        <f aca="false">INT(A888/151)</f>
        <v>5</v>
      </c>
      <c r="C888" s="15" t="n">
        <f aca="false">MOD(A888,151)</f>
        <v>127</v>
      </c>
      <c r="D888" s="15" t="n">
        <f aca="false">INDEX(Grid!$J$6:$P$156,C888+1,B888+1)</f>
        <v>1</v>
      </c>
      <c r="E888" s="16" t="n">
        <f aca="false">IF(D888=1,INDEX(Grid!$B$6:$H$156,C888+1,B888+1),"")</f>
        <v>42.9673491344639</v>
      </c>
      <c r="F888" s="13" t="n">
        <f aca="false">Val_pt*(Ceiling_e-E_zero)*(1-(1-Half_gap)^B888)</f>
        <v>135.625</v>
      </c>
      <c r="G888" s="15" t="n">
        <f aca="false">C888</f>
        <v>127</v>
      </c>
      <c r="H888" s="15" t="n">
        <f aca="false">IF(D888=1,INDEX(Grid!$R$6:$X$156,C888+1,B888+1),"")</f>
        <v>47</v>
      </c>
      <c r="I888" s="2" t="str">
        <f aca="false">IF(D888=1,INDEX(Sch_label,H888+1),"")</f>
        <v>1, 3–6</v>
      </c>
      <c r="J888" s="15" t="n">
        <f aca="false">IF(D888=1,INDEX(Grid!$Z$6:$AF$156,C888+1,B888+1),0)</f>
        <v>1</v>
      </c>
      <c r="K888" s="16" t="n">
        <f aca="false">IF(J888=1,E888,0)</f>
        <v>42.9673491344639</v>
      </c>
      <c r="L888" s="17" t="n">
        <f aca="false">IF(D888=1,E888+W_board*F888,"")</f>
        <v>808.535116769899</v>
      </c>
      <c r="M888" s="24" t="n">
        <v>0</v>
      </c>
      <c r="Q888" s="24" t="n">
        <v>5</v>
      </c>
      <c r="R888" s="24" t="n">
        <v>100</v>
      </c>
      <c r="S888" s="25" t="n">
        <v>0.306370686561401</v>
      </c>
      <c r="T888" s="24" t="n">
        <v>5</v>
      </c>
      <c r="U888" s="24" t="n">
        <v>150</v>
      </c>
      <c r="V888" s="25" t="n">
        <v>0.583640659475631</v>
      </c>
      <c r="W888" s="24" t="n">
        <v>6</v>
      </c>
      <c r="X888" s="24" t="n">
        <v>85</v>
      </c>
      <c r="Y888" s="25" t="n">
        <v>0.109988653962974</v>
      </c>
      <c r="Z888" s="12" t="str">
        <f aca="false">IF(AND($J888=1,$M888=1),N888*E888/Span_P+O888*F888/Span_S+P888*G888/Span_B,"")</f>
        <v/>
      </c>
      <c r="AA888" s="12" t="str">
        <f aca="false">IF(AND($J888=1,$M888=1),SUMPRODUCT(MAX($J$6:$J$1062*(N888*$K$6:$K$1062/Span_P+O888*$F$6:$F$1062/Span_S+P888*$G$6:$G$1062/Span_B)-(1-$J$6:$J$1062)*1000000000)),"")</f>
        <v/>
      </c>
      <c r="AB888" s="15" t="str">
        <f aca="false">IF(AND($J888=1,$M888=1),IF(AA888-Z888&lt;=0.000000001,1,0),"")</f>
        <v/>
      </c>
      <c r="AC888" s="13" t="n">
        <f aca="false">IF(AND($J888=1,$M888=0),IF(S888="",0,S888*INDEX(Grid!$B$6:$H$156,R888+1,Q888+1))+IF(V888="",0,V888*INDEX(Grid!$B$6:$H$156,U888+1,T888+1))+IF(Y888="",0,Y888*INDEX(Grid!$B$6:$H$156,X888+1,W888+1)),"")</f>
        <v>44.2521410708441</v>
      </c>
      <c r="AD888" s="13" t="n">
        <f aca="false">IF(AND($J888=1,$M888=0),IF(S888="",0,S888*Val_pt*(Ceiling_e-E_zero)*(1-(1-Half_gap)^Q888))+IF(V888="",0,V888*Val_pt*(Ceiling_e-E_zero)*(1-(1-Half_gap)^T888))+IF(Y888="",0,Y888*Val_pt*(Ceiling_e-E_zero)*(1-(1-Half_gap)^W888)),"")</f>
        <v>135.865600180545</v>
      </c>
      <c r="AE888" s="13" t="n">
        <f aca="false">IF(AND($J888=1,$M888=0),IF(S888="",0,S888*R888)+IF(V888="",0,V888*U888)+IF(Y888="",0,Y888*X888),"")</f>
        <v>127.532203164338</v>
      </c>
      <c r="AF888" s="12" t="n">
        <f aca="false">IF(AND($J888=1,$M888=0),MIN((AC888-E888)/Span_P,(AD888-F888)/Span_S,(AE888-G888)/Span_B),"")</f>
        <v>0.00354802109558338</v>
      </c>
      <c r="AG888" s="15" t="n">
        <f aca="false">IF(AND($J888=1,$M888=0),IF(AF888&gt;0.0000001,1,0),"")</f>
        <v>1</v>
      </c>
      <c r="AH888" s="15" t="n">
        <f aca="false">IF($J888=1,IF($M888=1,AB888,AG888),"")</f>
        <v>1</v>
      </c>
      <c r="AI888" s="13" t="n">
        <f aca="false">IF($J888=1,(Ideal_P-E888)/Span_P,"")</f>
        <v>0.942258436144967</v>
      </c>
      <c r="AJ888" s="13" t="n">
        <f aca="false">IF($J888=1,(Ideal_S-F888)/Span_S,"")</f>
        <v>0.032258064516129</v>
      </c>
      <c r="AK888" s="13" t="n">
        <f aca="false">IF($J888=1,(Ideal_B-G888)/Span_B,"")</f>
        <v>0.153333333333333</v>
      </c>
      <c r="AL888" s="12" t="n">
        <f aca="false">IF($J888=1,MAX(ChA_1*AI888,ChA_2*AJ888,ChA_3*AK888)+Rho*(ChA_1*AI888+ChA_2*AJ888+ChA_3*AK888),"")</f>
        <v>0.942371221128367</v>
      </c>
      <c r="AM888" s="12" t="n">
        <f aca="false">IF($J888=1,MAX(ChB_1*AI888,ChB_2*AJ888,ChB_3*AK888)+Rho*(ChB_1*AI888+ChB_2*AJ888+ChB_3*AK888),"")</f>
        <v>1.88472388311695</v>
      </c>
      <c r="AN888" s="12" t="n">
        <f aca="false">IF($J888=1,MAX(Cx_1*(Ref_P-E888)/Span_P,Cx_2*(Ref_S-F888)/Span_S,Cx_3*(Ref_B-G888)/Span_B),"")</f>
        <v>2.37814444427949</v>
      </c>
    </row>
    <row r="889" customFormat="false" ht="15" hidden="false" customHeight="false" outlineLevel="0" collapsed="false">
      <c r="A889" s="2" t="n">
        <v>883</v>
      </c>
      <c r="B889" s="15" t="n">
        <f aca="false">INT(A889/151)</f>
        <v>5</v>
      </c>
      <c r="C889" s="15" t="n">
        <f aca="false">MOD(A889,151)</f>
        <v>128</v>
      </c>
      <c r="D889" s="15" t="n">
        <f aca="false">INDEX(Grid!$J$6:$P$156,C889+1,B889+1)</f>
        <v>1</v>
      </c>
      <c r="E889" s="16" t="n">
        <f aca="false">IF(D889=1,INDEX(Grid!$B$6:$H$156,C889+1,B889+1),"")</f>
        <v>42.058258225373</v>
      </c>
      <c r="F889" s="13" t="n">
        <f aca="false">Val_pt*(Ceiling_e-E_zero)*(1-(1-Half_gap)^B889)</f>
        <v>135.625</v>
      </c>
      <c r="G889" s="15" t="n">
        <f aca="false">C889</f>
        <v>128</v>
      </c>
      <c r="H889" s="15" t="n">
        <f aca="false">IF(D889=1,INDEX(Grid!$R$6:$X$156,C889+1,B889+1),"")</f>
        <v>47</v>
      </c>
      <c r="I889" s="2" t="str">
        <f aca="false">IF(D889=1,INDEX(Sch_label,H889+1),"")</f>
        <v>1, 3–6</v>
      </c>
      <c r="J889" s="15" t="n">
        <f aca="false">IF(D889=1,INDEX(Grid!$Z$6:$AF$156,C889+1,B889+1),0)</f>
        <v>1</v>
      </c>
      <c r="K889" s="16" t="n">
        <f aca="false">IF(J889=1,E889,0)</f>
        <v>42.058258225373</v>
      </c>
      <c r="L889" s="17" t="n">
        <f aca="false">IF(D889=1,E889+W_board*F889,"")</f>
        <v>807.626025860809</v>
      </c>
      <c r="M889" s="24" t="n">
        <v>0</v>
      </c>
      <c r="Q889" s="24" t="n">
        <v>5</v>
      </c>
      <c r="R889" s="24" t="n">
        <v>100</v>
      </c>
      <c r="S889" s="25" t="n">
        <v>0.293050221928305</v>
      </c>
      <c r="T889" s="24" t="n">
        <v>5</v>
      </c>
      <c r="U889" s="24" t="n">
        <v>150</v>
      </c>
      <c r="V889" s="25" t="n">
        <v>0.60174323949843</v>
      </c>
      <c r="W889" s="24" t="n">
        <v>6</v>
      </c>
      <c r="X889" s="24" t="n">
        <v>85</v>
      </c>
      <c r="Y889" s="25" t="n">
        <v>0.105206538573277</v>
      </c>
      <c r="Z889" s="12" t="str">
        <f aca="false">IF(AND($J889=1,$M889=1),N889*E889/Span_P+O889*F889/Span_S+P889*G889/Span_B,"")</f>
        <v/>
      </c>
      <c r="AA889" s="12" t="str">
        <f aca="false">IF(AND($J889=1,$M889=1),SUMPRODUCT(MAX($J$6:$J$1062*(N889*$K$6:$K$1062/Span_P+O889*$F$6:$F$1062/Span_S+P889*$G$6:$G$1062/Span_B)-(1-$J$6:$J$1062)*1000000000)),"")</f>
        <v/>
      </c>
      <c r="AB889" s="15" t="str">
        <f aca="false">IF(AND($J889=1,$M889=1),IF(AA889-Z889&lt;=0.000000001,1,0),"")</f>
        <v/>
      </c>
      <c r="AC889" s="13" t="n">
        <f aca="false">IF(AND($J889=1,$M889=0),IF(S889="",0,S889*INDEX(Grid!$B$6:$H$156,R889+1,Q889+1))+IF(V889="",0,V889*INDEX(Grid!$B$6:$H$156,U889+1,T889+1))+IF(Y889="",0,Y889*INDEX(Grid!$B$6:$H$156,X889+1,W889+1)),"")</f>
        <v>43.2871896427808</v>
      </c>
      <c r="AD889" s="13" t="n">
        <f aca="false">IF(AND($J889=1,$M889=0),IF(S889="",0,S889*Val_pt*(Ceiling_e-E_zero)*(1-(1-Half_gap)^Q889))+IF(V889="",0,V889*Val_pt*(Ceiling_e-E_zero)*(1-(1-Half_gap)^T889))+IF(Y889="",0,Y889*Val_pt*(Ceiling_e-E_zero)*(1-(1-Half_gap)^W889)),"")</f>
        <v>135.855139303131</v>
      </c>
      <c r="AE889" s="13" t="n">
        <f aca="false">IF(AND($J889=1,$M889=0),IF(S889="",0,S889*R889)+IF(V889="",0,V889*U889)+IF(Y889="",0,Y889*X889),"")</f>
        <v>128.509063896324</v>
      </c>
      <c r="AF889" s="12" t="n">
        <f aca="false">IF(AND($J889=1,$M889=0),MIN((AC889-E889)/Span_P,(AD889-F889)/Span_S,(AE889-G889)/Span_B),"")</f>
        <v>0.00339375930882082</v>
      </c>
      <c r="AG889" s="15" t="n">
        <f aca="false">IF(AND($J889=1,$M889=0),IF(AF889&gt;0.0000001,1,0),"")</f>
        <v>1</v>
      </c>
      <c r="AH889" s="15" t="n">
        <f aca="false">IF($J889=1,IF($M889=1,AB889,AG889),"")</f>
        <v>1</v>
      </c>
      <c r="AI889" s="13" t="n">
        <f aca="false">IF($J889=1,(Ideal_P-E889)/Span_P,"")</f>
        <v>0.944768938921273</v>
      </c>
      <c r="AJ889" s="13" t="n">
        <f aca="false">IF($J889=1,(Ideal_S-F889)/Span_S,"")</f>
        <v>0.032258064516129</v>
      </c>
      <c r="AK889" s="13" t="n">
        <f aca="false">IF($J889=1,(Ideal_B-G889)/Span_B,"")</f>
        <v>0.146666666666667</v>
      </c>
      <c r="AL889" s="12" t="n">
        <f aca="false">IF($J889=1,MAX(ChA_1*AI889,ChA_2*AJ889,ChA_3*AK889)+Rho*(ChA_1*AI889+ChA_2*AJ889+ChA_3*AK889),"")</f>
        <v>0.944881308288283</v>
      </c>
      <c r="AM889" s="12" t="n">
        <f aca="false">IF($J889=1,MAX(ChB_1*AI889,ChB_2*AJ889,ChB_3*AK889)+Rho*(ChB_1*AI889+ChB_2*AJ889+ChB_3*AK889),"")</f>
        <v>1.88974472410345</v>
      </c>
      <c r="AN889" s="12" t="n">
        <f aca="false">IF($J889=1,MAX(Cx_1*(Ref_P-E889)/Span_P,Cx_2*(Ref_S-F889)/Span_S,Cx_3*(Ref_B-G889)/Span_B),"")</f>
        <v>2.38441410596292</v>
      </c>
    </row>
    <row r="890" customFormat="false" ht="15" hidden="false" customHeight="false" outlineLevel="0" collapsed="false">
      <c r="A890" s="2" t="n">
        <v>884</v>
      </c>
      <c r="B890" s="15" t="n">
        <f aca="false">INT(A890/151)</f>
        <v>5</v>
      </c>
      <c r="C890" s="15" t="n">
        <f aca="false">MOD(A890,151)</f>
        <v>129</v>
      </c>
      <c r="D890" s="15" t="n">
        <f aca="false">INDEX(Grid!$J$6:$P$156,C890+1,B890+1)</f>
        <v>1</v>
      </c>
      <c r="E890" s="16" t="n">
        <f aca="false">IF(D890=1,INDEX(Grid!$B$6:$H$156,C890+1,B890+1),"")</f>
        <v>41.1491673162821</v>
      </c>
      <c r="F890" s="13" t="n">
        <f aca="false">Val_pt*(Ceiling_e-E_zero)*(1-(1-Half_gap)^B890)</f>
        <v>135.625</v>
      </c>
      <c r="G890" s="15" t="n">
        <f aca="false">C890</f>
        <v>129</v>
      </c>
      <c r="H890" s="15" t="n">
        <f aca="false">IF(D890=1,INDEX(Grid!$R$6:$X$156,C890+1,B890+1),"")</f>
        <v>47</v>
      </c>
      <c r="I890" s="2" t="str">
        <f aca="false">IF(D890=1,INDEX(Sch_label,H890+1),"")</f>
        <v>1, 3–6</v>
      </c>
      <c r="J890" s="15" t="n">
        <f aca="false">IF(D890=1,INDEX(Grid!$Z$6:$AF$156,C890+1,B890+1),0)</f>
        <v>1</v>
      </c>
      <c r="K890" s="16" t="n">
        <f aca="false">IF(J890=1,E890,0)</f>
        <v>41.1491673162821</v>
      </c>
      <c r="L890" s="17" t="n">
        <f aca="false">IF(D890=1,E890+W_board*F890,"")</f>
        <v>806.716934951718</v>
      </c>
      <c r="M890" s="24" t="n">
        <v>0</v>
      </c>
      <c r="Q890" s="24" t="n">
        <v>5</v>
      </c>
      <c r="R890" s="24" t="n">
        <v>100</v>
      </c>
      <c r="S890" s="25" t="n">
        <v>0.27972975729518</v>
      </c>
      <c r="T890" s="24" t="n">
        <v>5</v>
      </c>
      <c r="U890" s="24" t="n">
        <v>150</v>
      </c>
      <c r="V890" s="25" t="n">
        <v>0.61984581952123</v>
      </c>
      <c r="W890" s="24" t="n">
        <v>6</v>
      </c>
      <c r="X890" s="24" t="n">
        <v>85</v>
      </c>
      <c r="Y890" s="25" t="n">
        <v>0.100424423183591</v>
      </c>
      <c r="Z890" s="12" t="str">
        <f aca="false">IF(AND($J890=1,$M890=1),N890*E890/Span_P+O890*F890/Span_S+P890*G890/Span_B,"")</f>
        <v/>
      </c>
      <c r="AA890" s="12" t="str">
        <f aca="false">IF(AND($J890=1,$M890=1),SUMPRODUCT(MAX($J$6:$J$1062*(N890*$K$6:$K$1062/Span_P+O890*$F$6:$F$1062/Span_S+P890*$G$6:$G$1062/Span_B)-(1-$J$6:$J$1062)*1000000000)),"")</f>
        <v/>
      </c>
      <c r="AB890" s="15" t="str">
        <f aca="false">IF(AND($J890=1,$M890=1),IF(AA890-Z890&lt;=0.000000001,1,0),"")</f>
        <v/>
      </c>
      <c r="AC890" s="13" t="n">
        <f aca="false">IF(AND($J890=1,$M890=0),IF(S890="",0,S890*INDEX(Grid!$B$6:$H$156,R890+1,Q890+1))+IF(V890="",0,V890*INDEX(Grid!$B$6:$H$156,U890+1,T890+1))+IF(Y890="",0,Y890*INDEX(Grid!$B$6:$H$156,X890+1,W890+1)),"")</f>
        <v>42.3222382147152</v>
      </c>
      <c r="AD890" s="13" t="n">
        <f aca="false">IF(AND($J890=1,$M890=0),IF(S890="",0,S890*Val_pt*(Ceiling_e-E_zero)*(1-(1-Half_gap)^Q890))+IF(V890="",0,V890*Val_pt*(Ceiling_e-E_zero)*(1-(1-Half_gap)^T890))+IF(Y890="",0,Y890*Val_pt*(Ceiling_e-E_zero)*(1-(1-Half_gap)^W890)),"")</f>
        <v>135.844678425714</v>
      </c>
      <c r="AE890" s="13" t="n">
        <f aca="false">IF(AND($J890=1,$M890=0),IF(S890="",0,S890*R890)+IF(V890="",0,V890*U890)+IF(Y890="",0,Y890*X890),"")</f>
        <v>129.485924628308</v>
      </c>
      <c r="AF890" s="12" t="n">
        <f aca="false">IF(AND($J890=1,$M890=0),MIN((AC890-E890)/Span_P,(AD890-F890)/Span_S,(AE890-G890)/Span_B),"")</f>
        <v>0.00323949752205162</v>
      </c>
      <c r="AG890" s="15" t="n">
        <f aca="false">IF(AND($J890=1,$M890=0),IF(AF890&gt;0.0000001,1,0),"")</f>
        <v>1</v>
      </c>
      <c r="AH890" s="15" t="n">
        <f aca="false">IF($J890=1,IF($M890=1,AB890,AG890),"")</f>
        <v>1</v>
      </c>
      <c r="AI890" s="13" t="n">
        <f aca="false">IF($J890=1,(Ideal_P-E890)/Span_P,"")</f>
        <v>0.947279441697579</v>
      </c>
      <c r="AJ890" s="13" t="n">
        <f aca="false">IF($J890=1,(Ideal_S-F890)/Span_S,"")</f>
        <v>0.032258064516129</v>
      </c>
      <c r="AK890" s="13" t="n">
        <f aca="false">IF($J890=1,(Ideal_B-G890)/Span_B,"")</f>
        <v>0.14</v>
      </c>
      <c r="AL890" s="12" t="n">
        <f aca="false">IF($J890=1,MAX(ChA_1*AI890,ChA_2*AJ890,ChA_3*AK890)+Rho*(ChA_1*AI890+ChA_2*AJ890+ChA_3*AK890),"")</f>
        <v>0.9473913954482</v>
      </c>
      <c r="AM890" s="12" t="n">
        <f aca="false">IF($J890=1,MAX(ChB_1*AI890,ChB_2*AJ890,ChB_3*AK890)+Rho*(ChB_1*AI890+ChB_2*AJ890+ChB_3*AK890),"")</f>
        <v>1.89476556508995</v>
      </c>
      <c r="AN890" s="12" t="n">
        <f aca="false">IF($J890=1,MAX(Cx_1*(Ref_P-E890)/Span_P,Cx_2*(Ref_S-F890)/Span_S,Cx_3*(Ref_B-G890)/Span_B),"")</f>
        <v>2.39068376764635</v>
      </c>
    </row>
    <row r="891" customFormat="false" ht="15" hidden="false" customHeight="false" outlineLevel="0" collapsed="false">
      <c r="A891" s="2" t="n">
        <v>885</v>
      </c>
      <c r="B891" s="15" t="n">
        <f aca="false">INT(A891/151)</f>
        <v>5</v>
      </c>
      <c r="C891" s="15" t="n">
        <f aca="false">MOD(A891,151)</f>
        <v>130</v>
      </c>
      <c r="D891" s="15" t="n">
        <f aca="false">INDEX(Grid!$J$6:$P$156,C891+1,B891+1)</f>
        <v>1</v>
      </c>
      <c r="E891" s="16" t="n">
        <f aca="false">IF(D891=1,INDEX(Grid!$B$6:$H$156,C891+1,B891+1),"")</f>
        <v>40.2400764071912</v>
      </c>
      <c r="F891" s="13" t="n">
        <f aca="false">Val_pt*(Ceiling_e-E_zero)*(1-(1-Half_gap)^B891)</f>
        <v>135.625</v>
      </c>
      <c r="G891" s="15" t="n">
        <f aca="false">C891</f>
        <v>130</v>
      </c>
      <c r="H891" s="15" t="n">
        <f aca="false">IF(D891=1,INDEX(Grid!$R$6:$X$156,C891+1,B891+1),"")</f>
        <v>47</v>
      </c>
      <c r="I891" s="2" t="str">
        <f aca="false">IF(D891=1,INDEX(Sch_label,H891+1),"")</f>
        <v>1, 3–6</v>
      </c>
      <c r="J891" s="15" t="n">
        <f aca="false">IF(D891=1,INDEX(Grid!$Z$6:$AF$156,C891+1,B891+1),0)</f>
        <v>1</v>
      </c>
      <c r="K891" s="16" t="n">
        <f aca="false">IF(J891=1,E891,0)</f>
        <v>40.2400764071912</v>
      </c>
      <c r="L891" s="17" t="n">
        <f aca="false">IF(D891=1,E891+W_board*F891,"")</f>
        <v>805.807844042627</v>
      </c>
      <c r="M891" s="24" t="n">
        <v>0</v>
      </c>
      <c r="Q891" s="24" t="n">
        <v>5</v>
      </c>
      <c r="R891" s="24" t="n">
        <v>100</v>
      </c>
      <c r="S891" s="25" t="n">
        <v>0.266409292662082</v>
      </c>
      <c r="T891" s="24" t="n">
        <v>5</v>
      </c>
      <c r="U891" s="24" t="n">
        <v>150</v>
      </c>
      <c r="V891" s="25" t="n">
        <v>0.637948399544029</v>
      </c>
      <c r="W891" s="24" t="n">
        <v>6</v>
      </c>
      <c r="X891" s="24" t="n">
        <v>85</v>
      </c>
      <c r="Y891" s="25" t="n">
        <v>0.0956423077938914</v>
      </c>
      <c r="Z891" s="12" t="str">
        <f aca="false">IF(AND($J891=1,$M891=1),N891*E891/Span_P+O891*F891/Span_S+P891*G891/Span_B,"")</f>
        <v/>
      </c>
      <c r="AA891" s="12" t="str">
        <f aca="false">IF(AND($J891=1,$M891=1),SUMPRODUCT(MAX($J$6:$J$1062*(N891*$K$6:$K$1062/Span_P+O891*$F$6:$F$1062/Span_S+P891*$G$6:$G$1062/Span_B)-(1-$J$6:$J$1062)*1000000000)),"")</f>
        <v/>
      </c>
      <c r="AB891" s="15" t="str">
        <f aca="false">IF(AND($J891=1,$M891=1),IF(AA891-Z891&lt;=0.000000001,1,0),"")</f>
        <v/>
      </c>
      <c r="AC891" s="13" t="n">
        <f aca="false">IF(AND($J891=1,$M891=0),IF(S891="",0,S891*INDEX(Grid!$B$6:$H$156,R891+1,Q891+1))+IF(V891="",0,V891*INDEX(Grid!$B$6:$H$156,U891+1,T891+1))+IF(Y891="",0,Y891*INDEX(Grid!$B$6:$H$156,X891+1,W891+1)),"")</f>
        <v>41.3572867866517</v>
      </c>
      <c r="AD891" s="13" t="n">
        <f aca="false">IF(AND($J891=1,$M891=0),IF(S891="",0,S891*Val_pt*(Ceiling_e-E_zero)*(1-(1-Half_gap)^Q891))+IF(V891="",0,V891*Val_pt*(Ceiling_e-E_zero)*(1-(1-Half_gap)^T891))+IF(Y891="",0,Y891*Val_pt*(Ceiling_e-E_zero)*(1-(1-Half_gap)^W891)),"")</f>
        <v>135.834217548299</v>
      </c>
      <c r="AE891" s="13" t="n">
        <f aca="false">IF(AND($J891=1,$M891=0),IF(S891="",0,S891*R891)+IF(V891="",0,V891*U891)+IF(Y891="",0,Y891*X891),"")</f>
        <v>130.462785360293</v>
      </c>
      <c r="AF891" s="12" t="n">
        <f aca="false">IF(AND($J891=1,$M891=0),MIN((AC891-E891)/Span_P,(AD891-F891)/Span_S,(AE891-G891)/Span_B),"")</f>
        <v>0.00308523573528858</v>
      </c>
      <c r="AG891" s="15" t="n">
        <f aca="false">IF(AND($J891=1,$M891=0),IF(AF891&gt;0.0000001,1,0),"")</f>
        <v>1</v>
      </c>
      <c r="AH891" s="15" t="n">
        <f aca="false">IF($J891=1,IF($M891=1,AB891,AG891),"")</f>
        <v>1</v>
      </c>
      <c r="AI891" s="13" t="n">
        <f aca="false">IF($J891=1,(Ideal_P-E891)/Span_P,"")</f>
        <v>0.949789944473885</v>
      </c>
      <c r="AJ891" s="13" t="n">
        <f aca="false">IF($J891=1,(Ideal_S-F891)/Span_S,"")</f>
        <v>0.032258064516129</v>
      </c>
      <c r="AK891" s="13" t="n">
        <f aca="false">IF($J891=1,(Ideal_B-G891)/Span_B,"")</f>
        <v>0.133333333333333</v>
      </c>
      <c r="AL891" s="12" t="n">
        <f aca="false">IF($J891=1,MAX(ChA_1*AI891,ChA_2*AJ891,ChA_3*AK891)+Rho*(ChA_1*AI891+ChA_2*AJ891+ChA_3*AK891),"")</f>
        <v>0.949901482608117</v>
      </c>
      <c r="AM891" s="12" t="n">
        <f aca="false">IF($J891=1,MAX(ChB_1*AI891,ChB_2*AJ891,ChB_3*AK891)+Rho*(ChB_1*AI891+ChB_2*AJ891+ChB_3*AK891),"")</f>
        <v>1.89978640607645</v>
      </c>
      <c r="AN891" s="12" t="n">
        <f aca="false">IF($J891=1,MAX(Cx_1*(Ref_P-E891)/Span_P,Cx_2*(Ref_S-F891)/Span_S,Cx_3*(Ref_B-G891)/Span_B),"")</f>
        <v>2.39695342932978</v>
      </c>
    </row>
    <row r="892" customFormat="false" ht="15" hidden="false" customHeight="false" outlineLevel="0" collapsed="false">
      <c r="A892" s="2" t="n">
        <v>886</v>
      </c>
      <c r="B892" s="15" t="n">
        <f aca="false">INT(A892/151)</f>
        <v>5</v>
      </c>
      <c r="C892" s="15" t="n">
        <f aca="false">MOD(A892,151)</f>
        <v>131</v>
      </c>
      <c r="D892" s="15" t="n">
        <f aca="false">INDEX(Grid!$J$6:$P$156,C892+1,B892+1)</f>
        <v>1</v>
      </c>
      <c r="E892" s="16" t="n">
        <f aca="false">IF(D892=1,INDEX(Grid!$B$6:$H$156,C892+1,B892+1),"")</f>
        <v>39.3309854981003</v>
      </c>
      <c r="F892" s="13" t="n">
        <f aca="false">Val_pt*(Ceiling_e-E_zero)*(1-(1-Half_gap)^B892)</f>
        <v>135.625</v>
      </c>
      <c r="G892" s="15" t="n">
        <f aca="false">C892</f>
        <v>131</v>
      </c>
      <c r="H892" s="15" t="n">
        <f aca="false">IF(D892=1,INDEX(Grid!$R$6:$X$156,C892+1,B892+1),"")</f>
        <v>47</v>
      </c>
      <c r="I892" s="2" t="str">
        <f aca="false">IF(D892=1,INDEX(Sch_label,H892+1),"")</f>
        <v>1, 3–6</v>
      </c>
      <c r="J892" s="15" t="n">
        <f aca="false">IF(D892=1,INDEX(Grid!$Z$6:$AF$156,C892+1,B892+1),0)</f>
        <v>1</v>
      </c>
      <c r="K892" s="16" t="n">
        <f aca="false">IF(J892=1,E892,0)</f>
        <v>39.3309854981003</v>
      </c>
      <c r="L892" s="17" t="n">
        <f aca="false">IF(D892=1,E892+W_board*F892,"")</f>
        <v>804.898753133536</v>
      </c>
      <c r="M892" s="24" t="n">
        <v>0</v>
      </c>
      <c r="Q892" s="24" t="n">
        <v>5</v>
      </c>
      <c r="R892" s="24" t="n">
        <v>100</v>
      </c>
      <c r="S892" s="25" t="n">
        <v>0.253088828028971</v>
      </c>
      <c r="T892" s="24" t="n">
        <v>5</v>
      </c>
      <c r="U892" s="24" t="n">
        <v>150</v>
      </c>
      <c r="V892" s="25" t="n">
        <v>0.656050979566829</v>
      </c>
      <c r="W892" s="24" t="n">
        <v>6</v>
      </c>
      <c r="X892" s="24" t="n">
        <v>85</v>
      </c>
      <c r="Y892" s="25" t="n">
        <v>0.0908601924042006</v>
      </c>
      <c r="Z892" s="12" t="str">
        <f aca="false">IF(AND($J892=1,$M892=1),N892*E892/Span_P+O892*F892/Span_S+P892*G892/Span_B,"")</f>
        <v/>
      </c>
      <c r="AA892" s="12" t="str">
        <f aca="false">IF(AND($J892=1,$M892=1),SUMPRODUCT(MAX($J$6:$J$1062*(N892*$K$6:$K$1062/Span_P+O892*$F$6:$F$1062/Span_S+P892*$G$6:$G$1062/Span_B)-(1-$J$6:$J$1062)*1000000000)),"")</f>
        <v/>
      </c>
      <c r="AB892" s="15" t="str">
        <f aca="false">IF(AND($J892=1,$M892=1),IF(AA892-Z892&lt;=0.000000001,1,0),"")</f>
        <v/>
      </c>
      <c r="AC892" s="13" t="n">
        <f aca="false">IF(AND($J892=1,$M892=0),IF(S892="",0,S892*INDEX(Grid!$B$6:$H$156,R892+1,Q892+1))+IF(V892="",0,V892*INDEX(Grid!$B$6:$H$156,U892+1,T892+1))+IF(Y892="",0,Y892*INDEX(Grid!$B$6:$H$156,X892+1,W892+1)),"")</f>
        <v>40.3923353585873</v>
      </c>
      <c r="AD892" s="13" t="n">
        <f aca="false">IF(AND($J892=1,$M892=0),IF(S892="",0,S892*Val_pt*(Ceiling_e-E_zero)*(1-(1-Half_gap)^Q892))+IF(V892="",0,V892*Val_pt*(Ceiling_e-E_zero)*(1-(1-Half_gap)^T892))+IF(Y892="",0,Y892*Val_pt*(Ceiling_e-E_zero)*(1-(1-Half_gap)^W892)),"")</f>
        <v>135.823756670884</v>
      </c>
      <c r="AE892" s="13" t="n">
        <f aca="false">IF(AND($J892=1,$M892=0),IF(S892="",0,S892*R892)+IF(V892="",0,V892*U892)+IF(Y892="",0,Y892*X892),"")</f>
        <v>131.439646092278</v>
      </c>
      <c r="AF892" s="12" t="n">
        <f aca="false">IF(AND($J892=1,$M892=0),MIN((AC892-E892)/Span_P,(AD892-F892)/Span_S,(AE892-G892)/Span_B),"")</f>
        <v>0.00293097394852291</v>
      </c>
      <c r="AG892" s="15" t="n">
        <f aca="false">IF(AND($J892=1,$M892=0),IF(AF892&gt;0.0000001,1,0),"")</f>
        <v>1</v>
      </c>
      <c r="AH892" s="15" t="n">
        <f aca="false">IF($J892=1,IF($M892=1,AB892,AG892),"")</f>
        <v>1</v>
      </c>
      <c r="AI892" s="13" t="n">
        <f aca="false">IF($J892=1,(Ideal_P-E892)/Span_P,"")</f>
        <v>0.95230044725019</v>
      </c>
      <c r="AJ892" s="13" t="n">
        <f aca="false">IF($J892=1,(Ideal_S-F892)/Span_S,"")</f>
        <v>0.032258064516129</v>
      </c>
      <c r="AK892" s="13" t="n">
        <f aca="false">IF($J892=1,(Ideal_B-G892)/Span_B,"")</f>
        <v>0.126666666666667</v>
      </c>
      <c r="AL892" s="12" t="n">
        <f aca="false">IF($J892=1,MAX(ChA_1*AI892,ChA_2*AJ892,ChA_3*AK892)+Rho*(ChA_1*AI892+ChA_2*AJ892+ChA_3*AK892),"")</f>
        <v>0.952411569768034</v>
      </c>
      <c r="AM892" s="12" t="n">
        <f aca="false">IF($J892=1,MAX(ChB_1*AI892,ChB_2*AJ892,ChB_3*AK892)+Rho*(ChB_1*AI892+ChB_2*AJ892+ChB_3*AK892),"")</f>
        <v>1.90480724706295</v>
      </c>
      <c r="AN892" s="12" t="n">
        <f aca="false">IF($J892=1,MAX(Cx_1*(Ref_P-E892)/Span_P,Cx_2*(Ref_S-F892)/Span_S,Cx_3*(Ref_B-G892)/Span_B),"")</f>
        <v>2.40322309101321</v>
      </c>
    </row>
    <row r="893" customFormat="false" ht="15" hidden="false" customHeight="false" outlineLevel="0" collapsed="false">
      <c r="A893" s="2" t="n">
        <v>887</v>
      </c>
      <c r="B893" s="15" t="n">
        <f aca="false">INT(A893/151)</f>
        <v>5</v>
      </c>
      <c r="C893" s="15" t="n">
        <f aca="false">MOD(A893,151)</f>
        <v>132</v>
      </c>
      <c r="D893" s="15" t="n">
        <f aca="false">INDEX(Grid!$J$6:$P$156,C893+1,B893+1)</f>
        <v>1</v>
      </c>
      <c r="E893" s="16" t="n">
        <f aca="false">IF(D893=1,INDEX(Grid!$B$6:$H$156,C893+1,B893+1),"")</f>
        <v>38.4218945890094</v>
      </c>
      <c r="F893" s="13" t="n">
        <f aca="false">Val_pt*(Ceiling_e-E_zero)*(1-(1-Half_gap)^B893)</f>
        <v>135.625</v>
      </c>
      <c r="G893" s="15" t="n">
        <f aca="false">C893</f>
        <v>132</v>
      </c>
      <c r="H893" s="15" t="n">
        <f aca="false">IF(D893=1,INDEX(Grid!$R$6:$X$156,C893+1,B893+1),"")</f>
        <v>47</v>
      </c>
      <c r="I893" s="2" t="str">
        <f aca="false">IF(D893=1,INDEX(Sch_label,H893+1),"")</f>
        <v>1, 3–6</v>
      </c>
      <c r="J893" s="15" t="n">
        <f aca="false">IF(D893=1,INDEX(Grid!$Z$6:$AF$156,C893+1,B893+1),0)</f>
        <v>1</v>
      </c>
      <c r="K893" s="16" t="n">
        <f aca="false">IF(J893=1,E893,0)</f>
        <v>38.4218945890094</v>
      </c>
      <c r="L893" s="17" t="n">
        <f aca="false">IF(D893=1,E893+W_board*F893,"")</f>
        <v>803.989662224445</v>
      </c>
      <c r="M893" s="24" t="n">
        <v>0</v>
      </c>
      <c r="Q893" s="24" t="n">
        <v>5</v>
      </c>
      <c r="R893" s="24" t="n">
        <v>100</v>
      </c>
      <c r="S893" s="25" t="n">
        <v>0.239768363395867</v>
      </c>
      <c r="T893" s="24" t="n">
        <v>5</v>
      </c>
      <c r="U893" s="24" t="n">
        <v>150</v>
      </c>
      <c r="V893" s="25" t="n">
        <v>0.674153559589626</v>
      </c>
      <c r="W893" s="24" t="n">
        <v>6</v>
      </c>
      <c r="X893" s="24" t="n">
        <v>85</v>
      </c>
      <c r="Y893" s="25" t="n">
        <v>0.0860780770145061</v>
      </c>
      <c r="Z893" s="12" t="str">
        <f aca="false">IF(AND($J893=1,$M893=1),N893*E893/Span_P+O893*F893/Span_S+P893*G893/Span_B,"")</f>
        <v/>
      </c>
      <c r="AA893" s="12" t="str">
        <f aca="false">IF(AND($J893=1,$M893=1),SUMPRODUCT(MAX($J$6:$J$1062*(N893*$K$6:$K$1062/Span_P+O893*$F$6:$F$1062/Span_S+P893*$G$6:$G$1062/Span_B)-(1-$J$6:$J$1062)*1000000000)),"")</f>
        <v/>
      </c>
      <c r="AB893" s="15" t="str">
        <f aca="false">IF(AND($J893=1,$M893=1),IF(AA893-Z893&lt;=0.000000001,1,0),"")</f>
        <v/>
      </c>
      <c r="AC893" s="13" t="n">
        <f aca="false">IF(AND($J893=1,$M893=0),IF(S893="",0,S893*INDEX(Grid!$B$6:$H$156,R893+1,Q893+1))+IF(V893="",0,V893*INDEX(Grid!$B$6:$H$156,U893+1,T893+1))+IF(Y893="",0,Y893*INDEX(Grid!$B$6:$H$156,X893+1,W893+1)),"")</f>
        <v>39.4273839305234</v>
      </c>
      <c r="AD893" s="13" t="n">
        <f aca="false">IF(AND($J893=1,$M893=0),IF(S893="",0,S893*Val_pt*(Ceiling_e-E_zero)*(1-(1-Half_gap)^Q893))+IF(V893="",0,V893*Val_pt*(Ceiling_e-E_zero)*(1-(1-Half_gap)^T893))+IF(Y893="",0,Y893*Val_pt*(Ceiling_e-E_zero)*(1-(1-Half_gap)^W893)),"")</f>
        <v>135.813295793469</v>
      </c>
      <c r="AE893" s="13" t="n">
        <f aca="false">IF(AND($J893=1,$M893=0),IF(S893="",0,S893*R893)+IF(V893="",0,V893*U893)+IF(Y893="",0,Y893*X893),"")</f>
        <v>132.416506824264</v>
      </c>
      <c r="AF893" s="12" t="n">
        <f aca="false">IF(AND($J893=1,$M893=0),MIN((AC893-E893)/Span_P,(AD893-F893)/Span_S,(AE893-G893)/Span_B),"")</f>
        <v>0.00277671216175813</v>
      </c>
      <c r="AG893" s="15" t="n">
        <f aca="false">IF(AND($J893=1,$M893=0),IF(AF893&gt;0.0000001,1,0),"")</f>
        <v>1</v>
      </c>
      <c r="AH893" s="15" t="n">
        <f aca="false">IF($J893=1,IF($M893=1,AB893,AG893),"")</f>
        <v>1</v>
      </c>
      <c r="AI893" s="13" t="n">
        <f aca="false">IF($J893=1,(Ideal_P-E893)/Span_P,"")</f>
        <v>0.954810950026496</v>
      </c>
      <c r="AJ893" s="13" t="n">
        <f aca="false">IF($J893=1,(Ideal_S-F893)/Span_S,"")</f>
        <v>0.032258064516129</v>
      </c>
      <c r="AK893" s="13" t="n">
        <f aca="false">IF($J893=1,(Ideal_B-G893)/Span_B,"")</f>
        <v>0.12</v>
      </c>
      <c r="AL893" s="12" t="n">
        <f aca="false">IF($J893=1,MAX(ChA_1*AI893,ChA_2*AJ893,ChA_3*AK893)+Rho*(ChA_1*AI893+ChA_2*AJ893+ChA_3*AK893),"")</f>
        <v>0.95492165692795</v>
      </c>
      <c r="AM893" s="12" t="n">
        <f aca="false">IF($J893=1,MAX(ChB_1*AI893,ChB_2*AJ893,ChB_3*AK893)+Rho*(ChB_1*AI893+ChB_2*AJ893+ChB_3*AK893),"")</f>
        <v>1.90982808804945</v>
      </c>
      <c r="AN893" s="12" t="n">
        <f aca="false">IF($J893=1,MAX(Cx_1*(Ref_P-E893)/Span_P,Cx_2*(Ref_S-F893)/Span_S,Cx_3*(Ref_B-G893)/Span_B),"")</f>
        <v>2.40949275269663</v>
      </c>
    </row>
    <row r="894" customFormat="false" ht="15" hidden="false" customHeight="false" outlineLevel="0" collapsed="false">
      <c r="A894" s="2" t="n">
        <v>888</v>
      </c>
      <c r="B894" s="15" t="n">
        <f aca="false">INT(A894/151)</f>
        <v>5</v>
      </c>
      <c r="C894" s="15" t="n">
        <f aca="false">MOD(A894,151)</f>
        <v>133</v>
      </c>
      <c r="D894" s="15" t="n">
        <f aca="false">INDEX(Grid!$J$6:$P$156,C894+1,B894+1)</f>
        <v>1</v>
      </c>
      <c r="E894" s="16" t="n">
        <f aca="false">IF(D894=1,INDEX(Grid!$B$6:$H$156,C894+1,B894+1),"")</f>
        <v>37.5128036799185</v>
      </c>
      <c r="F894" s="13" t="n">
        <f aca="false">Val_pt*(Ceiling_e-E_zero)*(1-(1-Half_gap)^B894)</f>
        <v>135.625</v>
      </c>
      <c r="G894" s="15" t="n">
        <f aca="false">C894</f>
        <v>133</v>
      </c>
      <c r="H894" s="15" t="n">
        <f aca="false">IF(D894=1,INDEX(Grid!$R$6:$X$156,C894+1,B894+1),"")</f>
        <v>47</v>
      </c>
      <c r="I894" s="2" t="str">
        <f aca="false">IF(D894=1,INDEX(Sch_label,H894+1),"")</f>
        <v>1, 3–6</v>
      </c>
      <c r="J894" s="15" t="n">
        <f aca="false">IF(D894=1,INDEX(Grid!$Z$6:$AF$156,C894+1,B894+1),0)</f>
        <v>1</v>
      </c>
      <c r="K894" s="16" t="n">
        <f aca="false">IF(J894=1,E894,0)</f>
        <v>37.5128036799185</v>
      </c>
      <c r="L894" s="17" t="n">
        <f aca="false">IF(D894=1,E894+W_board*F894,"")</f>
        <v>803.080571315354</v>
      </c>
      <c r="M894" s="24" t="n">
        <v>0</v>
      </c>
      <c r="Q894" s="24" t="n">
        <v>5</v>
      </c>
      <c r="R894" s="24" t="n">
        <v>100</v>
      </c>
      <c r="S894" s="25" t="n">
        <v>0.22644789876277</v>
      </c>
      <c r="T894" s="24" t="n">
        <v>5</v>
      </c>
      <c r="U894" s="24" t="n">
        <v>150</v>
      </c>
      <c r="V894" s="25" t="n">
        <v>0.692256139612429</v>
      </c>
      <c r="W894" s="24" t="n">
        <v>6</v>
      </c>
      <c r="X894" s="24" t="n">
        <v>85</v>
      </c>
      <c r="Y894" s="25" t="n">
        <v>0.0812959616248066</v>
      </c>
      <c r="Z894" s="12" t="str">
        <f aca="false">IF(AND($J894=1,$M894=1),N894*E894/Span_P+O894*F894/Span_S+P894*G894/Span_B,"")</f>
        <v/>
      </c>
      <c r="AA894" s="12" t="str">
        <f aca="false">IF(AND($J894=1,$M894=1),SUMPRODUCT(MAX($J$6:$J$1062*(N894*$K$6:$K$1062/Span_P+O894*$F$6:$F$1062/Span_S+P894*$G$6:$G$1062/Span_B)-(1-$J$6:$J$1062)*1000000000)),"")</f>
        <v/>
      </c>
      <c r="AB894" s="15" t="str">
        <f aca="false">IF(AND($J894=1,$M894=1),IF(AA894-Z894&lt;=0.000000001,1,0),"")</f>
        <v/>
      </c>
      <c r="AC894" s="13" t="n">
        <f aca="false">IF(AND($J894=1,$M894=0),IF(S894="",0,S894*INDEX(Grid!$B$6:$H$156,R894+1,Q894+1))+IF(V894="",0,V894*INDEX(Grid!$B$6:$H$156,U894+1,T894+1))+IF(Y894="",0,Y894*INDEX(Grid!$B$6:$H$156,X894+1,W894+1)),"")</f>
        <v>38.46243250246</v>
      </c>
      <c r="AD894" s="13" t="n">
        <f aca="false">IF(AND($J894=1,$M894=0),IF(S894="",0,S894*Val_pt*(Ceiling_e-E_zero)*(1-(1-Half_gap)^Q894))+IF(V894="",0,V894*Val_pt*(Ceiling_e-E_zero)*(1-(1-Half_gap)^T894))+IF(Y894="",0,Y894*Val_pt*(Ceiling_e-E_zero)*(1-(1-Half_gap)^W894)),"")</f>
        <v>135.802834916055</v>
      </c>
      <c r="AE894" s="13" t="n">
        <f aca="false">IF(AND($J894=1,$M894=0),IF(S894="",0,S894*R894)+IF(V894="",0,V894*U894)+IF(Y894="",0,Y894*X894),"")</f>
        <v>133.39336755625</v>
      </c>
      <c r="AF894" s="12" t="n">
        <f aca="false">IF(AND($J894=1,$M894=0),MIN((AC894-E894)/Span_P,(AD894-F894)/Span_S,(AE894-G894)/Span_B),"")</f>
        <v>0.00262245037499547</v>
      </c>
      <c r="AG894" s="15" t="n">
        <f aca="false">IF(AND($J894=1,$M894=0),IF(AF894&gt;0.0000001,1,0),"")</f>
        <v>1</v>
      </c>
      <c r="AH894" s="15" t="n">
        <f aca="false">IF($J894=1,IF($M894=1,AB894,AG894),"")</f>
        <v>1</v>
      </c>
      <c r="AI894" s="13" t="n">
        <f aca="false">IF($J894=1,(Ideal_P-E894)/Span_P,"")</f>
        <v>0.957321452802802</v>
      </c>
      <c r="AJ894" s="13" t="n">
        <f aca="false">IF($J894=1,(Ideal_S-F894)/Span_S,"")</f>
        <v>0.032258064516129</v>
      </c>
      <c r="AK894" s="13" t="n">
        <f aca="false">IF($J894=1,(Ideal_B-G894)/Span_B,"")</f>
        <v>0.113333333333333</v>
      </c>
      <c r="AL894" s="12" t="n">
        <f aca="false">IF($J894=1,MAX(ChA_1*AI894,ChA_2*AJ894,ChA_3*AK894)+Rho*(ChA_1*AI894+ChA_2*AJ894+ChA_3*AK894),"")</f>
        <v>0.957431744087867</v>
      </c>
      <c r="AM894" s="12" t="n">
        <f aca="false">IF($J894=1,MAX(ChB_1*AI894,ChB_2*AJ894,ChB_3*AK894)+Rho*(ChB_1*AI894+ChB_2*AJ894+ChB_3*AK894),"")</f>
        <v>1.91484892903595</v>
      </c>
      <c r="AN894" s="12" t="n">
        <f aca="false">IF($J894=1,MAX(Cx_1*(Ref_P-E894)/Span_P,Cx_2*(Ref_S-F894)/Span_S,Cx_3*(Ref_B-G894)/Span_B),"")</f>
        <v>2.41576241438006</v>
      </c>
    </row>
    <row r="895" customFormat="false" ht="15" hidden="false" customHeight="false" outlineLevel="0" collapsed="false">
      <c r="A895" s="2" t="n">
        <v>889</v>
      </c>
      <c r="B895" s="15" t="n">
        <f aca="false">INT(A895/151)</f>
        <v>5</v>
      </c>
      <c r="C895" s="15" t="n">
        <f aca="false">MOD(A895,151)</f>
        <v>134</v>
      </c>
      <c r="D895" s="15" t="n">
        <f aca="false">INDEX(Grid!$J$6:$P$156,C895+1,B895+1)</f>
        <v>1</v>
      </c>
      <c r="E895" s="16" t="n">
        <f aca="false">IF(D895=1,INDEX(Grid!$B$6:$H$156,C895+1,B895+1),"")</f>
        <v>36.6037127708275</v>
      </c>
      <c r="F895" s="13" t="n">
        <f aca="false">Val_pt*(Ceiling_e-E_zero)*(1-(1-Half_gap)^B895)</f>
        <v>135.625</v>
      </c>
      <c r="G895" s="15" t="n">
        <f aca="false">C895</f>
        <v>134</v>
      </c>
      <c r="H895" s="15" t="n">
        <f aca="false">IF(D895=1,INDEX(Grid!$R$6:$X$156,C895+1,B895+1),"")</f>
        <v>47</v>
      </c>
      <c r="I895" s="2" t="str">
        <f aca="false">IF(D895=1,INDEX(Sch_label,H895+1),"")</f>
        <v>1, 3–6</v>
      </c>
      <c r="J895" s="15" t="n">
        <f aca="false">IF(D895=1,INDEX(Grid!$Z$6:$AF$156,C895+1,B895+1),0)</f>
        <v>1</v>
      </c>
      <c r="K895" s="16" t="n">
        <f aca="false">IF(J895=1,E895,0)</f>
        <v>36.6037127708275</v>
      </c>
      <c r="L895" s="17" t="n">
        <f aca="false">IF(D895=1,E895+W_board*F895,"")</f>
        <v>802.171480406263</v>
      </c>
      <c r="M895" s="24" t="n">
        <v>0</v>
      </c>
      <c r="Q895" s="24" t="n">
        <v>5</v>
      </c>
      <c r="R895" s="24" t="n">
        <v>100</v>
      </c>
      <c r="S895" s="25" t="n">
        <v>0.21312743412966</v>
      </c>
      <c r="T895" s="24" t="n">
        <v>5</v>
      </c>
      <c r="U895" s="24" t="n">
        <v>150</v>
      </c>
      <c r="V895" s="25" t="n">
        <v>0.710358719635224</v>
      </c>
      <c r="W895" s="24" t="n">
        <v>6</v>
      </c>
      <c r="X895" s="24" t="n">
        <v>85</v>
      </c>
      <c r="Y895" s="25" t="n">
        <v>0.0765138462351164</v>
      </c>
      <c r="Z895" s="12" t="str">
        <f aca="false">IF(AND($J895=1,$M895=1),N895*E895/Span_P+O895*F895/Span_S+P895*G895/Span_B,"")</f>
        <v/>
      </c>
      <c r="AA895" s="12" t="str">
        <f aca="false">IF(AND($J895=1,$M895=1),SUMPRODUCT(MAX($J$6:$J$1062*(N895*$K$6:$K$1062/Span_P+O895*$F$6:$F$1062/Span_S+P895*$G$6:$G$1062/Span_B)-(1-$J$6:$J$1062)*1000000000)),"")</f>
        <v/>
      </c>
      <c r="AB895" s="15" t="str">
        <f aca="false">IF(AND($J895=1,$M895=1),IF(AA895-Z895&lt;=0.000000001,1,0),"")</f>
        <v/>
      </c>
      <c r="AC895" s="13" t="n">
        <f aca="false">IF(AND($J895=1,$M895=0),IF(S895="",0,S895*INDEX(Grid!$B$6:$H$156,R895+1,Q895+1))+IF(V895="",0,V895*INDEX(Grid!$B$6:$H$156,U895+1,T895+1))+IF(Y895="",0,Y895*INDEX(Grid!$B$6:$H$156,X895+1,W895+1)),"")</f>
        <v>37.4974810743956</v>
      </c>
      <c r="AD895" s="13" t="n">
        <f aca="false">IF(AND($J895=1,$M895=0),IF(S895="",0,S895*Val_pt*(Ceiling_e-E_zero)*(1-(1-Half_gap)^Q895))+IF(V895="",0,V895*Val_pt*(Ceiling_e-E_zero)*(1-(1-Half_gap)^T895))+IF(Y895="",0,Y895*Val_pt*(Ceiling_e-E_zero)*(1-(1-Half_gap)^W895)),"")</f>
        <v>135.792374038639</v>
      </c>
      <c r="AE895" s="13" t="n">
        <f aca="false">IF(AND($J895=1,$M895=0),IF(S895="",0,S895*R895)+IF(V895="",0,V895*U895)+IF(Y895="",0,Y895*X895),"")</f>
        <v>134.370228288235</v>
      </c>
      <c r="AF895" s="12" t="n">
        <f aca="false">IF(AND($J895=1,$M895=0),MIN((AC895-E895)/Span_P,(AD895-F895)/Span_S,(AE895-G895)/Span_B),"")</f>
        <v>0.0024681885882298</v>
      </c>
      <c r="AG895" s="15" t="n">
        <f aca="false">IF(AND($J895=1,$M895=0),IF(AF895&gt;0.0000001,1,0),"")</f>
        <v>1</v>
      </c>
      <c r="AH895" s="15" t="n">
        <f aca="false">IF($J895=1,IF($M895=1,AB895,AG895),"")</f>
        <v>1</v>
      </c>
      <c r="AI895" s="13" t="n">
        <f aca="false">IF($J895=1,(Ideal_P-E895)/Span_P,"")</f>
        <v>0.959831955579108</v>
      </c>
      <c r="AJ895" s="13" t="n">
        <f aca="false">IF($J895=1,(Ideal_S-F895)/Span_S,"")</f>
        <v>0.032258064516129</v>
      </c>
      <c r="AK895" s="13" t="n">
        <f aca="false">IF($J895=1,(Ideal_B-G895)/Span_B,"")</f>
        <v>0.106666666666667</v>
      </c>
      <c r="AL895" s="12" t="n">
        <f aca="false">IF($J895=1,MAX(ChA_1*AI895,ChA_2*AJ895,ChA_3*AK895)+Rho*(ChA_1*AI895+ChA_2*AJ895+ChA_3*AK895),"")</f>
        <v>0.959941831247784</v>
      </c>
      <c r="AM895" s="12" t="n">
        <f aca="false">IF($J895=1,MAX(ChB_1*AI895,ChB_2*AJ895,ChB_3*AK895)+Rho*(ChB_1*AI895+ChB_2*AJ895+ChB_3*AK895),"")</f>
        <v>1.91986977002245</v>
      </c>
      <c r="AN895" s="12" t="n">
        <f aca="false">IF($J895=1,MAX(Cx_1*(Ref_P-E895)/Span_P,Cx_2*(Ref_S-F895)/Span_S,Cx_3*(Ref_B-G895)/Span_B),"")</f>
        <v>2.42203207606349</v>
      </c>
    </row>
    <row r="896" customFormat="false" ht="15" hidden="false" customHeight="false" outlineLevel="0" collapsed="false">
      <c r="A896" s="2" t="n">
        <v>890</v>
      </c>
      <c r="B896" s="15" t="n">
        <f aca="false">INT(A896/151)</f>
        <v>5</v>
      </c>
      <c r="C896" s="15" t="n">
        <f aca="false">MOD(A896,151)</f>
        <v>135</v>
      </c>
      <c r="D896" s="15" t="n">
        <f aca="false">INDEX(Grid!$J$6:$P$156,C896+1,B896+1)</f>
        <v>1</v>
      </c>
      <c r="E896" s="16" t="n">
        <f aca="false">IF(D896=1,INDEX(Grid!$B$6:$H$156,C896+1,B896+1),"")</f>
        <v>35.6946218617366</v>
      </c>
      <c r="F896" s="13" t="n">
        <f aca="false">Val_pt*(Ceiling_e-E_zero)*(1-(1-Half_gap)^B896)</f>
        <v>135.625</v>
      </c>
      <c r="G896" s="15" t="n">
        <f aca="false">C896</f>
        <v>135</v>
      </c>
      <c r="H896" s="15" t="n">
        <f aca="false">IF(D896=1,INDEX(Grid!$R$6:$X$156,C896+1,B896+1),"")</f>
        <v>47</v>
      </c>
      <c r="I896" s="2" t="str">
        <f aca="false">IF(D896=1,INDEX(Sch_label,H896+1),"")</f>
        <v>1, 3–6</v>
      </c>
      <c r="J896" s="15" t="n">
        <f aca="false">IF(D896=1,INDEX(Grid!$Z$6:$AF$156,C896+1,B896+1),0)</f>
        <v>1</v>
      </c>
      <c r="K896" s="16" t="n">
        <f aca="false">IF(J896=1,E896,0)</f>
        <v>35.6946218617366</v>
      </c>
      <c r="L896" s="17" t="n">
        <f aca="false">IF(D896=1,E896+W_board*F896,"")</f>
        <v>801.262389497172</v>
      </c>
      <c r="M896" s="24" t="n">
        <v>0</v>
      </c>
      <c r="Q896" s="24" t="n">
        <v>5</v>
      </c>
      <c r="R896" s="24" t="n">
        <v>100</v>
      </c>
      <c r="S896" s="25" t="n">
        <v>0.199806969496554</v>
      </c>
      <c r="T896" s="24" t="n">
        <v>5</v>
      </c>
      <c r="U896" s="24" t="n">
        <v>150</v>
      </c>
      <c r="V896" s="25" t="n">
        <v>0.728461299658023</v>
      </c>
      <c r="W896" s="24" t="n">
        <v>6</v>
      </c>
      <c r="X896" s="24" t="n">
        <v>85</v>
      </c>
      <c r="Y896" s="25" t="n">
        <v>0.0717317308454231</v>
      </c>
      <c r="Z896" s="12" t="str">
        <f aca="false">IF(AND($J896=1,$M896=1),N896*E896/Span_P+O896*F896/Span_S+P896*G896/Span_B,"")</f>
        <v/>
      </c>
      <c r="AA896" s="12" t="str">
        <f aca="false">IF(AND($J896=1,$M896=1),SUMPRODUCT(MAX($J$6:$J$1062*(N896*$K$6:$K$1062/Span_P+O896*$F$6:$F$1062/Span_S+P896*$G$6:$G$1062/Span_B)-(1-$J$6:$J$1062)*1000000000)),"")</f>
        <v/>
      </c>
      <c r="AB896" s="15" t="str">
        <f aca="false">IF(AND($J896=1,$M896=1),IF(AA896-Z896&lt;=0.000000001,1,0),"")</f>
        <v/>
      </c>
      <c r="AC896" s="13" t="n">
        <f aca="false">IF(AND($J896=1,$M896=0),IF(S896="",0,S896*INDEX(Grid!$B$6:$H$156,R896+1,Q896+1))+IF(V896="",0,V896*INDEX(Grid!$B$6:$H$156,U896+1,T896+1))+IF(Y896="",0,Y896*INDEX(Grid!$B$6:$H$156,X896+1,W896+1)),"")</f>
        <v>36.5325296463315</v>
      </c>
      <c r="AD896" s="13" t="n">
        <f aca="false">IF(AND($J896=1,$M896=0),IF(S896="",0,S896*Val_pt*(Ceiling_e-E_zero)*(1-(1-Half_gap)^Q896))+IF(V896="",0,V896*Val_pt*(Ceiling_e-E_zero)*(1-(1-Half_gap)^T896))+IF(Y896="",0,Y896*Val_pt*(Ceiling_e-E_zero)*(1-(1-Half_gap)^W896)),"")</f>
        <v>135.781913161224</v>
      </c>
      <c r="AE896" s="13" t="n">
        <f aca="false">IF(AND($J896=1,$M896=0),IF(S896="",0,S896*R896)+IF(V896="",0,V896*U896)+IF(Y896="",0,Y896*X896),"")</f>
        <v>135.34708902022</v>
      </c>
      <c r="AF896" s="12" t="n">
        <f aca="false">IF(AND($J896=1,$M896=0),MIN((AC896-E896)/Span_P,(AD896-F896)/Span_S,(AE896-G896)/Span_B),"")</f>
        <v>0.00231392680146406</v>
      </c>
      <c r="AG896" s="15" t="n">
        <f aca="false">IF(AND($J896=1,$M896=0),IF(AF896&gt;0.0000001,1,0),"")</f>
        <v>1</v>
      </c>
      <c r="AH896" s="15" t="n">
        <f aca="false">IF($J896=1,IF($M896=1,AB896,AG896),"")</f>
        <v>1</v>
      </c>
      <c r="AI896" s="13" t="n">
        <f aca="false">IF($J896=1,(Ideal_P-E896)/Span_P,"")</f>
        <v>0.962342458355413</v>
      </c>
      <c r="AJ896" s="13" t="n">
        <f aca="false">IF($J896=1,(Ideal_S-F896)/Span_S,"")</f>
        <v>0.032258064516129</v>
      </c>
      <c r="AK896" s="13" t="n">
        <f aca="false">IF($J896=1,(Ideal_B-G896)/Span_B,"")</f>
        <v>0.1</v>
      </c>
      <c r="AL896" s="12" t="n">
        <f aca="false">IF($J896=1,MAX(ChA_1*AI896,ChA_2*AJ896,ChA_3*AK896)+Rho*(ChA_1*AI896+ChA_2*AJ896+ChA_3*AK896),"")</f>
        <v>0.962451918407701</v>
      </c>
      <c r="AM896" s="12" t="n">
        <f aca="false">IF($J896=1,MAX(ChB_1*AI896,ChB_2*AJ896,ChB_3*AK896)+Rho*(ChB_1*AI896+ChB_2*AJ896+ChB_3*AK896),"")</f>
        <v>1.92489061100895</v>
      </c>
      <c r="AN896" s="12" t="n">
        <f aca="false">IF($J896=1,MAX(Cx_1*(Ref_P-E896)/Span_P,Cx_2*(Ref_S-F896)/Span_S,Cx_3*(Ref_B-G896)/Span_B),"")</f>
        <v>2.42830173774692</v>
      </c>
    </row>
    <row r="897" customFormat="false" ht="15" hidden="false" customHeight="false" outlineLevel="0" collapsed="false">
      <c r="A897" s="2" t="n">
        <v>891</v>
      </c>
      <c r="B897" s="15" t="n">
        <f aca="false">INT(A897/151)</f>
        <v>5</v>
      </c>
      <c r="C897" s="15" t="n">
        <f aca="false">MOD(A897,151)</f>
        <v>136</v>
      </c>
      <c r="D897" s="15" t="n">
        <f aca="false">INDEX(Grid!$J$6:$P$156,C897+1,B897+1)</f>
        <v>1</v>
      </c>
      <c r="E897" s="16" t="n">
        <f aca="false">IF(D897=1,INDEX(Grid!$B$6:$H$156,C897+1,B897+1),"")</f>
        <v>34.7855309526457</v>
      </c>
      <c r="F897" s="13" t="n">
        <f aca="false">Val_pt*(Ceiling_e-E_zero)*(1-(1-Half_gap)^B897)</f>
        <v>135.625</v>
      </c>
      <c r="G897" s="15" t="n">
        <f aca="false">C897</f>
        <v>136</v>
      </c>
      <c r="H897" s="15" t="n">
        <f aca="false">IF(D897=1,INDEX(Grid!$R$6:$X$156,C897+1,B897+1),"")</f>
        <v>47</v>
      </c>
      <c r="I897" s="2" t="str">
        <f aca="false">IF(D897=1,INDEX(Sch_label,H897+1),"")</f>
        <v>1, 3–6</v>
      </c>
      <c r="J897" s="15" t="n">
        <f aca="false">IF(D897=1,INDEX(Grid!$Z$6:$AF$156,C897+1,B897+1),0)</f>
        <v>1</v>
      </c>
      <c r="K897" s="16" t="n">
        <f aca="false">IF(J897=1,E897,0)</f>
        <v>34.7855309526457</v>
      </c>
      <c r="L897" s="17" t="n">
        <f aca="false">IF(D897=1,E897+W_board*F897,"")</f>
        <v>800.353298588081</v>
      </c>
      <c r="M897" s="24" t="n">
        <v>0</v>
      </c>
      <c r="Q897" s="24" t="n">
        <v>5</v>
      </c>
      <c r="R897" s="24" t="n">
        <v>100</v>
      </c>
      <c r="S897" s="25" t="n">
        <v>0.186486504863454</v>
      </c>
      <c r="T897" s="24" t="n">
        <v>5</v>
      </c>
      <c r="U897" s="24" t="n">
        <v>150</v>
      </c>
      <c r="V897" s="25" t="n">
        <v>0.746563879680828</v>
      </c>
      <c r="W897" s="24" t="n">
        <v>6</v>
      </c>
      <c r="X897" s="24" t="n">
        <v>85</v>
      </c>
      <c r="Y897" s="25" t="n">
        <v>0.0669496154557279</v>
      </c>
      <c r="Z897" s="12" t="str">
        <f aca="false">IF(AND($J897=1,$M897=1),N897*E897/Span_P+O897*F897/Span_S+P897*G897/Span_B,"")</f>
        <v/>
      </c>
      <c r="AA897" s="12" t="str">
        <f aca="false">IF(AND($J897=1,$M897=1),SUMPRODUCT(MAX($J$6:$J$1062*(N897*$K$6:$K$1062/Span_P+O897*$F$6:$F$1062/Span_S+P897*$G$6:$G$1062/Span_B)-(1-$J$6:$J$1062)*1000000000)),"")</f>
        <v/>
      </c>
      <c r="AB897" s="15" t="str">
        <f aca="false">IF(AND($J897=1,$M897=1),IF(AA897-Z897&lt;=0.000000001,1,0),"")</f>
        <v/>
      </c>
      <c r="AC897" s="13" t="n">
        <f aca="false">IF(AND($J897=1,$M897=0),IF(S897="",0,S897*INDEX(Grid!$B$6:$H$156,R897+1,Q897+1))+IF(V897="",0,V897*INDEX(Grid!$B$6:$H$156,U897+1,T897+1))+IF(Y897="",0,Y897*INDEX(Grid!$B$6:$H$156,X897+1,W897+1)),"")</f>
        <v>35.567578218268</v>
      </c>
      <c r="AD897" s="13" t="n">
        <f aca="false">IF(AND($J897=1,$M897=0),IF(S897="",0,S897*Val_pt*(Ceiling_e-E_zero)*(1-(1-Half_gap)^Q897))+IF(V897="",0,V897*Val_pt*(Ceiling_e-E_zero)*(1-(1-Half_gap)^T897))+IF(Y897="",0,Y897*Val_pt*(Ceiling_e-E_zero)*(1-(1-Half_gap)^W897)),"")</f>
        <v>135.771452283811</v>
      </c>
      <c r="AE897" s="13" t="n">
        <f aca="false">IF(AND($J897=1,$M897=0),IF(S897="",0,S897*R897)+IF(V897="",0,V897*U897)+IF(Y897="",0,Y897*X897),"")</f>
        <v>136.323949752206</v>
      </c>
      <c r="AF897" s="12" t="n">
        <f aca="false">IF(AND($J897=1,$M897=0),MIN((AC897-E897)/Span_P,(AD897-F897)/Span_S,(AE897-G897)/Span_B),"")</f>
        <v>0.00215966501470186</v>
      </c>
      <c r="AG897" s="15" t="n">
        <f aca="false">IF(AND($J897=1,$M897=0),IF(AF897&gt;0.0000001,1,0),"")</f>
        <v>1</v>
      </c>
      <c r="AH897" s="15" t="n">
        <f aca="false">IF($J897=1,IF($M897=1,AB897,AG897),"")</f>
        <v>1</v>
      </c>
      <c r="AI897" s="13" t="n">
        <f aca="false">IF($J897=1,(Ideal_P-E897)/Span_P,"")</f>
        <v>0.964852961131719</v>
      </c>
      <c r="AJ897" s="13" t="n">
        <f aca="false">IF($J897=1,(Ideal_S-F897)/Span_S,"")</f>
        <v>0.032258064516129</v>
      </c>
      <c r="AK897" s="13" t="n">
        <f aca="false">IF($J897=1,(Ideal_B-G897)/Span_B,"")</f>
        <v>0.0933333333333333</v>
      </c>
      <c r="AL897" s="12" t="n">
        <f aca="false">IF($J897=1,MAX(ChA_1*AI897,ChA_2*AJ897,ChA_3*AK897)+Rho*(ChA_1*AI897+ChA_2*AJ897+ChA_3*AK897),"")</f>
        <v>0.964962005567617</v>
      </c>
      <c r="AM897" s="12" t="n">
        <f aca="false">IF($J897=1,MAX(ChB_1*AI897,ChB_2*AJ897,ChB_3*AK897)+Rho*(ChB_1*AI897+ChB_2*AJ897+ChB_3*AK897),"")</f>
        <v>1.92991145199545</v>
      </c>
      <c r="AN897" s="12" t="n">
        <f aca="false">IF($J897=1,MAX(Cx_1*(Ref_P-E897)/Span_P,Cx_2*(Ref_S-F897)/Span_S,Cx_3*(Ref_B-G897)/Span_B),"")</f>
        <v>2.43457139943035</v>
      </c>
    </row>
    <row r="898" customFormat="false" ht="15" hidden="false" customHeight="false" outlineLevel="0" collapsed="false">
      <c r="A898" s="2" t="n">
        <v>892</v>
      </c>
      <c r="B898" s="15" t="n">
        <f aca="false">INT(A898/151)</f>
        <v>5</v>
      </c>
      <c r="C898" s="15" t="n">
        <f aca="false">MOD(A898,151)</f>
        <v>137</v>
      </c>
      <c r="D898" s="15" t="n">
        <f aca="false">INDEX(Grid!$J$6:$P$156,C898+1,B898+1)</f>
        <v>1</v>
      </c>
      <c r="E898" s="16" t="n">
        <f aca="false">IF(D898=1,INDEX(Grid!$B$6:$H$156,C898+1,B898+1),"")</f>
        <v>33.8764400435548</v>
      </c>
      <c r="F898" s="13" t="n">
        <f aca="false">Val_pt*(Ceiling_e-E_zero)*(1-(1-Half_gap)^B898)</f>
        <v>135.625</v>
      </c>
      <c r="G898" s="15" t="n">
        <f aca="false">C898</f>
        <v>137</v>
      </c>
      <c r="H898" s="15" t="n">
        <f aca="false">IF(D898=1,INDEX(Grid!$R$6:$X$156,C898+1,B898+1),"")</f>
        <v>47</v>
      </c>
      <c r="I898" s="2" t="str">
        <f aca="false">IF(D898=1,INDEX(Sch_label,H898+1),"")</f>
        <v>1, 3–6</v>
      </c>
      <c r="J898" s="15" t="n">
        <f aca="false">IF(D898=1,INDEX(Grid!$Z$6:$AF$156,C898+1,B898+1),0)</f>
        <v>1</v>
      </c>
      <c r="K898" s="16" t="n">
        <f aca="false">IF(J898=1,E898,0)</f>
        <v>33.8764400435548</v>
      </c>
      <c r="L898" s="17" t="n">
        <f aca="false">IF(D898=1,E898+W_board*F898,"")</f>
        <v>799.44420767899</v>
      </c>
      <c r="M898" s="24" t="n">
        <v>0</v>
      </c>
      <c r="Q898" s="24" t="n">
        <v>5</v>
      </c>
      <c r="R898" s="24" t="n">
        <v>100</v>
      </c>
      <c r="S898" s="25" t="n">
        <v>0.173166040230347</v>
      </c>
      <c r="T898" s="24" t="n">
        <v>5</v>
      </c>
      <c r="U898" s="24" t="n">
        <v>150</v>
      </c>
      <c r="V898" s="25" t="n">
        <v>0.764666459703621</v>
      </c>
      <c r="W898" s="24" t="n">
        <v>6</v>
      </c>
      <c r="X898" s="24" t="n">
        <v>85</v>
      </c>
      <c r="Y898" s="25" t="n">
        <v>0.0621675000660337</v>
      </c>
      <c r="Z898" s="12" t="str">
        <f aca="false">IF(AND($J898=1,$M898=1),N898*E898/Span_P+O898*F898/Span_S+P898*G898/Span_B,"")</f>
        <v/>
      </c>
      <c r="AA898" s="12" t="str">
        <f aca="false">IF(AND($J898=1,$M898=1),SUMPRODUCT(MAX($J$6:$J$1062*(N898*$K$6:$K$1062/Span_P+O898*$F$6:$F$1062/Span_S+P898*$G$6:$G$1062/Span_B)-(1-$J$6:$J$1062)*1000000000)),"")</f>
        <v/>
      </c>
      <c r="AB898" s="15" t="str">
        <f aca="false">IF(AND($J898=1,$M898=1),IF(AA898-Z898&lt;=0.000000001,1,0),"")</f>
        <v/>
      </c>
      <c r="AC898" s="13" t="n">
        <f aca="false">IF(AND($J898=1,$M898=0),IF(S898="",0,S898*INDEX(Grid!$B$6:$H$156,R898+1,Q898+1))+IF(V898="",0,V898*INDEX(Grid!$B$6:$H$156,U898+1,T898+1))+IF(Y898="",0,Y898*INDEX(Grid!$B$6:$H$156,X898+1,W898+1)),"")</f>
        <v>34.6026267902038</v>
      </c>
      <c r="AD898" s="13" t="n">
        <f aca="false">IF(AND($J898=1,$M898=0),IF(S898="",0,S898*Val_pt*(Ceiling_e-E_zero)*(1-(1-Half_gap)^Q898))+IF(V898="",0,V898*Val_pt*(Ceiling_e-E_zero)*(1-(1-Half_gap)^T898))+IF(Y898="",0,Y898*Val_pt*(Ceiling_e-E_zero)*(1-(1-Half_gap)^W898)),"")</f>
        <v>135.760991406395</v>
      </c>
      <c r="AE898" s="13" t="n">
        <f aca="false">IF(AND($J898=1,$M898=0),IF(S898="",0,S898*R898)+IF(V898="",0,V898*U898)+IF(Y898="",0,Y898*X898),"")</f>
        <v>137.300810484191</v>
      </c>
      <c r="AF898" s="12" t="n">
        <f aca="false">IF(AND($J898=1,$M898=0),MIN((AC898-E898)/Span_P,(AD898-F898)/Span_S,(AE898-G898)/Span_B),"")</f>
        <v>0.00200540322793653</v>
      </c>
      <c r="AG898" s="15" t="n">
        <f aca="false">IF(AND($J898=1,$M898=0),IF(AF898&gt;0.0000001,1,0),"")</f>
        <v>1</v>
      </c>
      <c r="AH898" s="15" t="n">
        <f aca="false">IF($J898=1,IF($M898=1,AB898,AG898),"")</f>
        <v>1</v>
      </c>
      <c r="AI898" s="13" t="n">
        <f aca="false">IF($J898=1,(Ideal_P-E898)/Span_P,"")</f>
        <v>0.967363463908025</v>
      </c>
      <c r="AJ898" s="13" t="n">
        <f aca="false">IF($J898=1,(Ideal_S-F898)/Span_S,"")</f>
        <v>0.032258064516129</v>
      </c>
      <c r="AK898" s="13" t="n">
        <f aca="false">IF($J898=1,(Ideal_B-G898)/Span_B,"")</f>
        <v>0.0866666666666667</v>
      </c>
      <c r="AL898" s="12" t="n">
        <f aca="false">IF($J898=1,MAX(ChA_1*AI898,ChA_2*AJ898,ChA_3*AK898)+Rho*(ChA_1*AI898+ChA_2*AJ898+ChA_3*AK898),"")</f>
        <v>0.967472092727534</v>
      </c>
      <c r="AM898" s="12" t="n">
        <f aca="false">IF($J898=1,MAX(ChB_1*AI898,ChB_2*AJ898,ChB_3*AK898)+Rho*(ChB_1*AI898+ChB_2*AJ898+ChB_3*AK898),"")</f>
        <v>1.93493229298195</v>
      </c>
      <c r="AN898" s="12" t="n">
        <f aca="false">IF($J898=1,MAX(Cx_1*(Ref_P-E898)/Span_P,Cx_2*(Ref_S-F898)/Span_S,Cx_3*(Ref_B-G898)/Span_B),"")</f>
        <v>2.44084106111378</v>
      </c>
    </row>
    <row r="899" customFormat="false" ht="15" hidden="false" customHeight="false" outlineLevel="0" collapsed="false">
      <c r="A899" s="2" t="n">
        <v>893</v>
      </c>
      <c r="B899" s="15" t="n">
        <f aca="false">INT(A899/151)</f>
        <v>5</v>
      </c>
      <c r="C899" s="15" t="n">
        <f aca="false">MOD(A899,151)</f>
        <v>138</v>
      </c>
      <c r="D899" s="15" t="n">
        <f aca="false">INDEX(Grid!$J$6:$P$156,C899+1,B899+1)</f>
        <v>1</v>
      </c>
      <c r="E899" s="16" t="n">
        <f aca="false">IF(D899=1,INDEX(Grid!$B$6:$H$156,C899+1,B899+1),"")</f>
        <v>32.9673491344639</v>
      </c>
      <c r="F899" s="13" t="n">
        <f aca="false">Val_pt*(Ceiling_e-E_zero)*(1-(1-Half_gap)^B899)</f>
        <v>135.625</v>
      </c>
      <c r="G899" s="15" t="n">
        <f aca="false">C899</f>
        <v>138</v>
      </c>
      <c r="H899" s="15" t="n">
        <f aca="false">IF(D899=1,INDEX(Grid!$R$6:$X$156,C899+1,B899+1),"")</f>
        <v>47</v>
      </c>
      <c r="I899" s="2" t="str">
        <f aca="false">IF(D899=1,INDEX(Sch_label,H899+1),"")</f>
        <v>1, 3–6</v>
      </c>
      <c r="J899" s="15" t="n">
        <f aca="false">IF(D899=1,INDEX(Grid!$Z$6:$AF$156,C899+1,B899+1),0)</f>
        <v>1</v>
      </c>
      <c r="K899" s="16" t="n">
        <f aca="false">IF(J899=1,E899,0)</f>
        <v>32.9673491344639</v>
      </c>
      <c r="L899" s="17" t="n">
        <f aca="false">IF(D899=1,E899+W_board*F899,"")</f>
        <v>798.535116769899</v>
      </c>
      <c r="M899" s="24" t="n">
        <v>0</v>
      </c>
      <c r="Q899" s="24" t="n">
        <v>5</v>
      </c>
      <c r="R899" s="24" t="n">
        <v>100</v>
      </c>
      <c r="S899" s="25" t="n">
        <v>0.159845575597243</v>
      </c>
      <c r="T899" s="24" t="n">
        <v>5</v>
      </c>
      <c r="U899" s="24" t="n">
        <v>150</v>
      </c>
      <c r="V899" s="25" t="n">
        <v>0.782769039726418</v>
      </c>
      <c r="W899" s="24" t="n">
        <v>6</v>
      </c>
      <c r="X899" s="24" t="n">
        <v>85</v>
      </c>
      <c r="Y899" s="25" t="n">
        <v>0.0573853846763384</v>
      </c>
      <c r="Z899" s="12" t="str">
        <f aca="false">IF(AND($J899=1,$M899=1),N899*E899/Span_P+O899*F899/Span_S+P899*G899/Span_B,"")</f>
        <v/>
      </c>
      <c r="AA899" s="12" t="str">
        <f aca="false">IF(AND($J899=1,$M899=1),SUMPRODUCT(MAX($J$6:$J$1062*(N899*$K$6:$K$1062/Span_P+O899*$F$6:$F$1062/Span_S+P899*$G$6:$G$1062/Span_B)-(1-$J$6:$J$1062)*1000000000)),"")</f>
        <v/>
      </c>
      <c r="AB899" s="15" t="str">
        <f aca="false">IF(AND($J899=1,$M899=1),IF(AA899-Z899&lt;=0.000000001,1,0),"")</f>
        <v/>
      </c>
      <c r="AC899" s="13" t="n">
        <f aca="false">IF(AND($J899=1,$M899=0),IF(S899="",0,S899*INDEX(Grid!$B$6:$H$156,R899+1,Q899+1))+IF(V899="",0,V899*INDEX(Grid!$B$6:$H$156,U899+1,T899+1))+IF(Y899="",0,Y899*INDEX(Grid!$B$6:$H$156,X899+1,W899+1)),"")</f>
        <v>33.6376753621398</v>
      </c>
      <c r="AD899" s="13" t="n">
        <f aca="false">IF(AND($J899=1,$M899=0),IF(S899="",0,S899*Val_pt*(Ceiling_e-E_zero)*(1-(1-Half_gap)^Q899))+IF(V899="",0,V899*Val_pt*(Ceiling_e-E_zero)*(1-(1-Half_gap)^T899))+IF(Y899="",0,Y899*Val_pt*(Ceiling_e-E_zero)*(1-(1-Half_gap)^W899)),"")</f>
        <v>135.750530528979</v>
      </c>
      <c r="AE899" s="13" t="n">
        <f aca="false">IF(AND($J899=1,$M899=0),IF(S899="",0,S899*R899)+IF(V899="",0,V899*U899)+IF(Y899="",0,Y899*X899),"")</f>
        <v>138.277671216176</v>
      </c>
      <c r="AF899" s="12" t="n">
        <f aca="false">IF(AND($J899=1,$M899=0),MIN((AC899-E899)/Span_P,(AD899-F899)/Span_S,(AE899-G899)/Span_B),"")</f>
        <v>0.00185114144117166</v>
      </c>
      <c r="AG899" s="15" t="n">
        <f aca="false">IF(AND($J899=1,$M899=0),IF(AF899&gt;0.0000001,1,0),"")</f>
        <v>1</v>
      </c>
      <c r="AH899" s="15" t="n">
        <f aca="false">IF($J899=1,IF($M899=1,AB899,AG899),"")</f>
        <v>1</v>
      </c>
      <c r="AI899" s="13" t="n">
        <f aca="false">IF($J899=1,(Ideal_P-E899)/Span_P,"")</f>
        <v>0.969873966684331</v>
      </c>
      <c r="AJ899" s="13" t="n">
        <f aca="false">IF($J899=1,(Ideal_S-F899)/Span_S,"")</f>
        <v>0.032258064516129</v>
      </c>
      <c r="AK899" s="13" t="n">
        <f aca="false">IF($J899=1,(Ideal_B-G899)/Span_B,"")</f>
        <v>0.08</v>
      </c>
      <c r="AL899" s="12" t="n">
        <f aca="false">IF($J899=1,MAX(ChA_1*AI899,ChA_2*AJ899,ChA_3*AK899)+Rho*(ChA_1*AI899+ChA_2*AJ899+ChA_3*AK899),"")</f>
        <v>0.969982179887451</v>
      </c>
      <c r="AM899" s="12" t="n">
        <f aca="false">IF($J899=1,MAX(ChB_1*AI899,ChB_2*AJ899,ChB_3*AK899)+Rho*(ChB_1*AI899+ChB_2*AJ899+ChB_3*AK899),"")</f>
        <v>1.93995313396845</v>
      </c>
      <c r="AN899" s="12" t="n">
        <f aca="false">IF($J899=1,MAX(Cx_1*(Ref_P-E899)/Span_P,Cx_2*(Ref_S-F899)/Span_S,Cx_3*(Ref_B-G899)/Span_B),"")</f>
        <v>2.44711072279721</v>
      </c>
    </row>
    <row r="900" customFormat="false" ht="15" hidden="false" customHeight="false" outlineLevel="0" collapsed="false">
      <c r="A900" s="2" t="n">
        <v>894</v>
      </c>
      <c r="B900" s="15" t="n">
        <f aca="false">INT(A900/151)</f>
        <v>5</v>
      </c>
      <c r="C900" s="15" t="n">
        <f aca="false">MOD(A900,151)</f>
        <v>139</v>
      </c>
      <c r="D900" s="15" t="n">
        <f aca="false">INDEX(Grid!$J$6:$P$156,C900+1,B900+1)</f>
        <v>1</v>
      </c>
      <c r="E900" s="16" t="n">
        <f aca="false">IF(D900=1,INDEX(Grid!$B$6:$H$156,C900+1,B900+1),"")</f>
        <v>32.058258225373</v>
      </c>
      <c r="F900" s="13" t="n">
        <f aca="false">Val_pt*(Ceiling_e-E_zero)*(1-(1-Half_gap)^B900)</f>
        <v>135.625</v>
      </c>
      <c r="G900" s="15" t="n">
        <f aca="false">C900</f>
        <v>139</v>
      </c>
      <c r="H900" s="15" t="n">
        <f aca="false">IF(D900=1,INDEX(Grid!$R$6:$X$156,C900+1,B900+1),"")</f>
        <v>47</v>
      </c>
      <c r="I900" s="2" t="str">
        <f aca="false">IF(D900=1,INDEX(Sch_label,H900+1),"")</f>
        <v>1, 3–6</v>
      </c>
      <c r="J900" s="15" t="n">
        <f aca="false">IF(D900=1,INDEX(Grid!$Z$6:$AF$156,C900+1,B900+1),0)</f>
        <v>1</v>
      </c>
      <c r="K900" s="16" t="n">
        <f aca="false">IF(J900=1,E900,0)</f>
        <v>32.058258225373</v>
      </c>
      <c r="L900" s="17" t="n">
        <f aca="false">IF(D900=1,E900+W_board*F900,"")</f>
        <v>797.626025860809</v>
      </c>
      <c r="M900" s="24" t="n">
        <v>0</v>
      </c>
      <c r="Q900" s="24" t="n">
        <v>5</v>
      </c>
      <c r="R900" s="24" t="n">
        <v>100</v>
      </c>
      <c r="S900" s="25" t="n">
        <v>0.146525110964141</v>
      </c>
      <c r="T900" s="24" t="n">
        <v>5</v>
      </c>
      <c r="U900" s="24" t="n">
        <v>150</v>
      </c>
      <c r="V900" s="25" t="n">
        <v>0.800871619749216</v>
      </c>
      <c r="W900" s="24" t="n">
        <v>6</v>
      </c>
      <c r="X900" s="24" t="n">
        <v>85</v>
      </c>
      <c r="Y900" s="25" t="n">
        <v>0.0526032692866427</v>
      </c>
      <c r="Z900" s="12" t="str">
        <f aca="false">IF(AND($J900=1,$M900=1),N900*E900/Span_P+O900*F900/Span_S+P900*G900/Span_B,"")</f>
        <v/>
      </c>
      <c r="AA900" s="12" t="str">
        <f aca="false">IF(AND($J900=1,$M900=1),SUMPRODUCT(MAX($J$6:$J$1062*(N900*$K$6:$K$1062/Span_P+O900*$F$6:$F$1062/Span_S+P900*$G$6:$G$1062/Span_B)-(1-$J$6:$J$1062)*1000000000)),"")</f>
        <v/>
      </c>
      <c r="AB900" s="15" t="str">
        <f aca="false">IF(AND($J900=1,$M900=1),IF(AA900-Z900&lt;=0.000000001,1,0),"")</f>
        <v/>
      </c>
      <c r="AC900" s="13" t="n">
        <f aca="false">IF(AND($J900=1,$M900=0),IF(S900="",0,S900*INDEX(Grid!$B$6:$H$156,R900+1,Q900+1))+IF(V900="",0,V900*INDEX(Grid!$B$6:$H$156,U900+1,T900+1))+IF(Y900="",0,Y900*INDEX(Grid!$B$6:$H$156,X900+1,W900+1)),"")</f>
        <v>32.672723934076</v>
      </c>
      <c r="AD900" s="13" t="n">
        <f aca="false">IF(AND($J900=1,$M900=0),IF(S900="",0,S900*Val_pt*(Ceiling_e-E_zero)*(1-(1-Half_gap)^Q900))+IF(V900="",0,V900*Val_pt*(Ceiling_e-E_zero)*(1-(1-Half_gap)^T900))+IF(Y900="",0,Y900*Val_pt*(Ceiling_e-E_zero)*(1-(1-Half_gap)^W900)),"")</f>
        <v>135.740069651565</v>
      </c>
      <c r="AE900" s="13" t="n">
        <f aca="false">IF(AND($J900=1,$M900=0),IF(S900="",0,S900*R900)+IF(V900="",0,V900*U900)+IF(Y900="",0,Y900*X900),"")</f>
        <v>139.254531948161</v>
      </c>
      <c r="AF900" s="12" t="n">
        <f aca="false">IF(AND($J900=1,$M900=0),MIN((AC900-E900)/Span_P,(AD900-F900)/Span_S,(AE900-G900)/Span_B),"")</f>
        <v>0.00169687965440744</v>
      </c>
      <c r="AG900" s="15" t="n">
        <f aca="false">IF(AND($J900=1,$M900=0),IF(AF900&gt;0.0000001,1,0),"")</f>
        <v>1</v>
      </c>
      <c r="AH900" s="15" t="n">
        <f aca="false">IF($J900=1,IF($M900=1,AB900,AG900),"")</f>
        <v>1</v>
      </c>
      <c r="AI900" s="13" t="n">
        <f aca="false">IF($J900=1,(Ideal_P-E900)/Span_P,"")</f>
        <v>0.972384469460637</v>
      </c>
      <c r="AJ900" s="13" t="n">
        <f aca="false">IF($J900=1,(Ideal_S-F900)/Span_S,"")</f>
        <v>0.032258064516129</v>
      </c>
      <c r="AK900" s="13" t="n">
        <f aca="false">IF($J900=1,(Ideal_B-G900)/Span_B,"")</f>
        <v>0.0733333333333333</v>
      </c>
      <c r="AL900" s="12" t="n">
        <f aca="false">IF($J900=1,MAX(ChA_1*AI900,ChA_2*AJ900,ChA_3*AK900)+Rho*(ChA_1*AI900+ChA_2*AJ900+ChA_3*AK900),"")</f>
        <v>0.972492267047368</v>
      </c>
      <c r="AM900" s="12" t="n">
        <f aca="false">IF($J900=1,MAX(ChB_1*AI900,ChB_2*AJ900,ChB_3*AK900)+Rho*(ChB_1*AI900+ChB_2*AJ900+ChB_3*AK900),"")</f>
        <v>1.94497397495495</v>
      </c>
      <c r="AN900" s="12" t="n">
        <f aca="false">IF($J900=1,MAX(Cx_1*(Ref_P-E900)/Span_P,Cx_2*(Ref_S-F900)/Span_S,Cx_3*(Ref_B-G900)/Span_B),"")</f>
        <v>2.45338038448064</v>
      </c>
    </row>
    <row r="901" customFormat="false" ht="15" hidden="false" customHeight="false" outlineLevel="0" collapsed="false">
      <c r="A901" s="2" t="n">
        <v>895</v>
      </c>
      <c r="B901" s="15" t="n">
        <f aca="false">INT(A901/151)</f>
        <v>5</v>
      </c>
      <c r="C901" s="15" t="n">
        <f aca="false">MOD(A901,151)</f>
        <v>140</v>
      </c>
      <c r="D901" s="15" t="n">
        <f aca="false">INDEX(Grid!$J$6:$P$156,C901+1,B901+1)</f>
        <v>1</v>
      </c>
      <c r="E901" s="16" t="n">
        <f aca="false">IF(D901=1,INDEX(Grid!$B$6:$H$156,C901+1,B901+1),"")</f>
        <v>31.1491673162821</v>
      </c>
      <c r="F901" s="13" t="n">
        <f aca="false">Val_pt*(Ceiling_e-E_zero)*(1-(1-Half_gap)^B901)</f>
        <v>135.625</v>
      </c>
      <c r="G901" s="15" t="n">
        <f aca="false">C901</f>
        <v>140</v>
      </c>
      <c r="H901" s="15" t="n">
        <f aca="false">IF(D901=1,INDEX(Grid!$R$6:$X$156,C901+1,B901+1),"")</f>
        <v>47</v>
      </c>
      <c r="I901" s="2" t="str">
        <f aca="false">IF(D901=1,INDEX(Sch_label,H901+1),"")</f>
        <v>1, 3–6</v>
      </c>
      <c r="J901" s="15" t="n">
        <f aca="false">IF(D901=1,INDEX(Grid!$Z$6:$AF$156,C901+1,B901+1),0)</f>
        <v>1</v>
      </c>
      <c r="K901" s="16" t="n">
        <f aca="false">IF(J901=1,E901,0)</f>
        <v>31.1491673162821</v>
      </c>
      <c r="L901" s="17" t="n">
        <f aca="false">IF(D901=1,E901+W_board*F901,"")</f>
        <v>796.716934951718</v>
      </c>
      <c r="M901" s="24" t="n">
        <v>0</v>
      </c>
      <c r="Q901" s="24" t="n">
        <v>5</v>
      </c>
      <c r="R901" s="24" t="n">
        <v>100</v>
      </c>
      <c r="S901" s="25" t="n">
        <v>0.133204646331043</v>
      </c>
      <c r="T901" s="24" t="n">
        <v>5</v>
      </c>
      <c r="U901" s="24" t="n">
        <v>150</v>
      </c>
      <c r="V901" s="25" t="n">
        <v>0.818974199772014</v>
      </c>
      <c r="W901" s="24" t="n">
        <v>6</v>
      </c>
      <c r="X901" s="24" t="n">
        <v>85</v>
      </c>
      <c r="Y901" s="25" t="n">
        <v>0.0478211538969456</v>
      </c>
      <c r="Z901" s="12" t="str">
        <f aca="false">IF(AND($J901=1,$M901=1),N901*E901/Span_P+O901*F901/Span_S+P901*G901/Span_B,"")</f>
        <v/>
      </c>
      <c r="AA901" s="12" t="str">
        <f aca="false">IF(AND($J901=1,$M901=1),SUMPRODUCT(MAX($J$6:$J$1062*(N901*$K$6:$K$1062/Span_P+O901*$F$6:$F$1062/Span_S+P901*$G$6:$G$1062/Span_B)-(1-$J$6:$J$1062)*1000000000)),"")</f>
        <v/>
      </c>
      <c r="AB901" s="15" t="str">
        <f aca="false">IF(AND($J901=1,$M901=1),IF(AA901-Z901&lt;=0.000000001,1,0),"")</f>
        <v/>
      </c>
      <c r="AC901" s="13" t="n">
        <f aca="false">IF(AND($J901=1,$M901=0),IF(S901="",0,S901*INDEX(Grid!$B$6:$H$156,R901+1,Q901+1))+IF(V901="",0,V901*INDEX(Grid!$B$6:$H$156,U901+1,T901+1))+IF(Y901="",0,Y901*INDEX(Grid!$B$6:$H$156,X901+1,W901+1)),"")</f>
        <v>31.7077725060125</v>
      </c>
      <c r="AD901" s="13" t="n">
        <f aca="false">IF(AND($J901=1,$M901=0),IF(S901="",0,S901*Val_pt*(Ceiling_e-E_zero)*(1-(1-Half_gap)^Q901))+IF(V901="",0,V901*Val_pt*(Ceiling_e-E_zero)*(1-(1-Half_gap)^T901))+IF(Y901="",0,Y901*Val_pt*(Ceiling_e-E_zero)*(1-(1-Half_gap)^W901)),"")</f>
        <v>135.72960877415</v>
      </c>
      <c r="AE901" s="13" t="n">
        <f aca="false">IF(AND($J901=1,$M901=0),IF(S901="",0,S901*R901)+IF(V901="",0,V901*U901)+IF(Y901="",0,Y901*X901),"")</f>
        <v>140.231392680147</v>
      </c>
      <c r="AF901" s="12" t="n">
        <f aca="false">IF(AND($J901=1,$M901=0),MIN((AC901-E901)/Span_P,(AD901-F901)/Span_S,(AE901-G901)/Span_B),"")</f>
        <v>0.00154261786764484</v>
      </c>
      <c r="AG901" s="15" t="n">
        <f aca="false">IF(AND($J901=1,$M901=0),IF(AF901&gt;0.0000001,1,0),"")</f>
        <v>1</v>
      </c>
      <c r="AH901" s="15" t="n">
        <f aca="false">IF($J901=1,IF($M901=1,AB901,AG901),"")</f>
        <v>1</v>
      </c>
      <c r="AI901" s="13" t="n">
        <f aca="false">IF($J901=1,(Ideal_P-E901)/Span_P,"")</f>
        <v>0.974894972236942</v>
      </c>
      <c r="AJ901" s="13" t="n">
        <f aca="false">IF($J901=1,(Ideal_S-F901)/Span_S,"")</f>
        <v>0.032258064516129</v>
      </c>
      <c r="AK901" s="13" t="n">
        <f aca="false">IF($J901=1,(Ideal_B-G901)/Span_B,"")</f>
        <v>0.0666666666666667</v>
      </c>
      <c r="AL901" s="12" t="n">
        <f aca="false">IF($J901=1,MAX(ChA_1*AI901,ChA_2*AJ901,ChA_3*AK901)+Rho*(ChA_1*AI901+ChA_2*AJ901+ChA_3*AK901),"")</f>
        <v>0.975002354207284</v>
      </c>
      <c r="AM901" s="12" t="n">
        <f aca="false">IF($J901=1,MAX(ChB_1*AI901,ChB_2*AJ901,ChB_3*AK901)+Rho*(ChB_1*AI901+ChB_2*AJ901+ChB_3*AK901),"")</f>
        <v>1.94999481594145</v>
      </c>
      <c r="AN901" s="12" t="n">
        <f aca="false">IF($J901=1,MAX(Cx_1*(Ref_P-E901)/Span_P,Cx_2*(Ref_S-F901)/Span_S,Cx_3*(Ref_B-G901)/Span_B),"")</f>
        <v>2.45965004616406</v>
      </c>
    </row>
    <row r="902" customFormat="false" ht="15" hidden="false" customHeight="false" outlineLevel="0" collapsed="false">
      <c r="A902" s="2" t="n">
        <v>896</v>
      </c>
      <c r="B902" s="15" t="n">
        <f aca="false">INT(A902/151)</f>
        <v>5</v>
      </c>
      <c r="C902" s="15" t="n">
        <f aca="false">MOD(A902,151)</f>
        <v>141</v>
      </c>
      <c r="D902" s="15" t="n">
        <f aca="false">INDEX(Grid!$J$6:$P$156,C902+1,B902+1)</f>
        <v>1</v>
      </c>
      <c r="E902" s="16" t="n">
        <f aca="false">IF(D902=1,INDEX(Grid!$B$6:$H$156,C902+1,B902+1),"")</f>
        <v>30.2400764071912</v>
      </c>
      <c r="F902" s="13" t="n">
        <f aca="false">Val_pt*(Ceiling_e-E_zero)*(1-(1-Half_gap)^B902)</f>
        <v>135.625</v>
      </c>
      <c r="G902" s="15" t="n">
        <f aca="false">C902</f>
        <v>141</v>
      </c>
      <c r="H902" s="15" t="n">
        <f aca="false">IF(D902=1,INDEX(Grid!$R$6:$X$156,C902+1,B902+1),"")</f>
        <v>47</v>
      </c>
      <c r="I902" s="2" t="str">
        <f aca="false">IF(D902=1,INDEX(Sch_label,H902+1),"")</f>
        <v>1, 3–6</v>
      </c>
      <c r="J902" s="15" t="n">
        <f aca="false">IF(D902=1,INDEX(Grid!$Z$6:$AF$156,C902+1,B902+1),0)</f>
        <v>1</v>
      </c>
      <c r="K902" s="16" t="n">
        <f aca="false">IF(J902=1,E902,0)</f>
        <v>30.2400764071912</v>
      </c>
      <c r="L902" s="17" t="n">
        <f aca="false">IF(D902=1,E902+W_board*F902,"")</f>
        <v>795.807844042627</v>
      </c>
      <c r="M902" s="24" t="n">
        <v>0</v>
      </c>
      <c r="Q902" s="24" t="n">
        <v>5</v>
      </c>
      <c r="R902" s="24" t="n">
        <v>100</v>
      </c>
      <c r="S902" s="25" t="n">
        <v>0.11988418169793</v>
      </c>
      <c r="T902" s="24" t="n">
        <v>5</v>
      </c>
      <c r="U902" s="24" t="n">
        <v>150</v>
      </c>
      <c r="V902" s="25" t="n">
        <v>0.837076779794814</v>
      </c>
      <c r="W902" s="24" t="n">
        <v>6</v>
      </c>
      <c r="X902" s="24" t="n">
        <v>85</v>
      </c>
      <c r="Y902" s="25" t="n">
        <v>0.0430390385072546</v>
      </c>
      <c r="Z902" s="12" t="str">
        <f aca="false">IF(AND($J902=1,$M902=1),N902*E902/Span_P+O902*F902/Span_S+P902*G902/Span_B,"")</f>
        <v/>
      </c>
      <c r="AA902" s="12" t="str">
        <f aca="false">IF(AND($J902=1,$M902=1),SUMPRODUCT(MAX($J$6:$J$1062*(N902*$K$6:$K$1062/Span_P+O902*$F$6:$F$1062/Span_S+P902*$G$6:$G$1062/Span_B)-(1-$J$6:$J$1062)*1000000000)),"")</f>
        <v/>
      </c>
      <c r="AB902" s="15" t="str">
        <f aca="false">IF(AND($J902=1,$M902=1),IF(AA902-Z902&lt;=0.000000001,1,0),"")</f>
        <v/>
      </c>
      <c r="AC902" s="13" t="n">
        <f aca="false">IF(AND($J902=1,$M902=0),IF(S902="",0,S902*INDEX(Grid!$B$6:$H$156,R902+1,Q902+1))+IF(V902="",0,V902*INDEX(Grid!$B$6:$H$156,U902+1,T902+1))+IF(Y902="",0,Y902*INDEX(Grid!$B$6:$H$156,X902+1,W902+1)),"")</f>
        <v>30.7428210779479</v>
      </c>
      <c r="AD902" s="13" t="n">
        <f aca="false">IF(AND($J902=1,$M902=0),IF(S902="",0,S902*Val_pt*(Ceiling_e-E_zero)*(1-(1-Half_gap)^Q902))+IF(V902="",0,V902*Val_pt*(Ceiling_e-E_zero)*(1-(1-Half_gap)^T902))+IF(Y902="",0,Y902*Val_pt*(Ceiling_e-E_zero)*(1-(1-Half_gap)^W902)),"")</f>
        <v>135.719147896734</v>
      </c>
      <c r="AE902" s="13" t="n">
        <f aca="false">IF(AND($J902=1,$M902=0),IF(S902="",0,S902*R902)+IF(V902="",0,V902*U902)+IF(Y902="",0,Y902*X902),"")</f>
        <v>141.208253412132</v>
      </c>
      <c r="AF902" s="12" t="n">
        <f aca="false">IF(AND($J902=1,$M902=0),MIN((AC902-E902)/Span_P,(AD902-F902)/Span_S,(AE902-G902)/Span_B),"")</f>
        <v>0.00138835608087718</v>
      </c>
      <c r="AG902" s="15" t="n">
        <f aca="false">IF(AND($J902=1,$M902=0),IF(AF902&gt;0.0000001,1,0),"")</f>
        <v>1</v>
      </c>
      <c r="AH902" s="15" t="n">
        <f aca="false">IF($J902=1,IF($M902=1,AB902,AG902),"")</f>
        <v>1</v>
      </c>
      <c r="AI902" s="13" t="n">
        <f aca="false">IF($J902=1,(Ideal_P-E902)/Span_P,"")</f>
        <v>0.977405475013248</v>
      </c>
      <c r="AJ902" s="13" t="n">
        <f aca="false">IF($J902=1,(Ideal_S-F902)/Span_S,"")</f>
        <v>0.032258064516129</v>
      </c>
      <c r="AK902" s="13" t="n">
        <f aca="false">IF($J902=1,(Ideal_B-G902)/Span_B,"")</f>
        <v>0.06</v>
      </c>
      <c r="AL902" s="12" t="n">
        <f aca="false">IF($J902=1,MAX(ChA_1*AI902,ChA_2*AJ902,ChA_3*AK902)+Rho*(ChA_1*AI902+ChA_2*AJ902+ChA_3*AK902),"")</f>
        <v>0.977512441367201</v>
      </c>
      <c r="AM902" s="12" t="n">
        <f aca="false">IF($J902=1,MAX(ChB_1*AI902,ChB_2*AJ902,ChB_3*AK902)+Rho*(ChB_1*AI902+ChB_2*AJ902+ChB_3*AK902),"")</f>
        <v>1.95501565692795</v>
      </c>
      <c r="AN902" s="12" t="n">
        <f aca="false">IF($J902=1,MAX(Cx_1*(Ref_P-E902)/Span_P,Cx_2*(Ref_S-F902)/Span_S,Cx_3*(Ref_B-G902)/Span_B),"")</f>
        <v>2.46591970784749</v>
      </c>
    </row>
    <row r="903" customFormat="false" ht="15" hidden="false" customHeight="false" outlineLevel="0" collapsed="false">
      <c r="A903" s="2" t="n">
        <v>897</v>
      </c>
      <c r="B903" s="15" t="n">
        <f aca="false">INT(A903/151)</f>
        <v>5</v>
      </c>
      <c r="C903" s="15" t="n">
        <f aca="false">MOD(A903,151)</f>
        <v>142</v>
      </c>
      <c r="D903" s="15" t="n">
        <f aca="false">INDEX(Grid!$J$6:$P$156,C903+1,B903+1)</f>
        <v>1</v>
      </c>
      <c r="E903" s="16" t="n">
        <f aca="false">IF(D903=1,INDEX(Grid!$B$6:$H$156,C903+1,B903+1),"")</f>
        <v>29.3309854981003</v>
      </c>
      <c r="F903" s="13" t="n">
        <f aca="false">Val_pt*(Ceiling_e-E_zero)*(1-(1-Half_gap)^B903)</f>
        <v>135.625</v>
      </c>
      <c r="G903" s="15" t="n">
        <f aca="false">C903</f>
        <v>142</v>
      </c>
      <c r="H903" s="15" t="n">
        <f aca="false">IF(D903=1,INDEX(Grid!$R$6:$X$156,C903+1,B903+1),"")</f>
        <v>47</v>
      </c>
      <c r="I903" s="2" t="str">
        <f aca="false">IF(D903=1,INDEX(Sch_label,H903+1),"")</f>
        <v>1, 3–6</v>
      </c>
      <c r="J903" s="15" t="n">
        <f aca="false">IF(D903=1,INDEX(Grid!$Z$6:$AF$156,C903+1,B903+1),0)</f>
        <v>1</v>
      </c>
      <c r="K903" s="16" t="n">
        <f aca="false">IF(J903=1,E903,0)</f>
        <v>29.3309854981003</v>
      </c>
      <c r="L903" s="17" t="n">
        <f aca="false">IF(D903=1,E903+W_board*F903,"")</f>
        <v>794.898753133536</v>
      </c>
      <c r="M903" s="24" t="n">
        <v>0</v>
      </c>
      <c r="Q903" s="24" t="n">
        <v>5</v>
      </c>
      <c r="R903" s="24" t="n">
        <v>100</v>
      </c>
      <c r="S903" s="25" t="n">
        <v>0.106563717064829</v>
      </c>
      <c r="T903" s="24" t="n">
        <v>5</v>
      </c>
      <c r="U903" s="24" t="n">
        <v>150</v>
      </c>
      <c r="V903" s="25" t="n">
        <v>0.855179359817612</v>
      </c>
      <c r="W903" s="24" t="n">
        <v>6</v>
      </c>
      <c r="X903" s="24" t="n">
        <v>85</v>
      </c>
      <c r="Y903" s="25" t="n">
        <v>0.0382569231175587</v>
      </c>
      <c r="Z903" s="12" t="str">
        <f aca="false">IF(AND($J903=1,$M903=1),N903*E903/Span_P+O903*F903/Span_S+P903*G903/Span_B,"")</f>
        <v/>
      </c>
      <c r="AA903" s="12" t="str">
        <f aca="false">IF(AND($J903=1,$M903=1),SUMPRODUCT(MAX($J$6:$J$1062*(N903*$K$6:$K$1062/Span_P+O903*$F$6:$F$1062/Span_S+P903*$G$6:$G$1062/Span_B)-(1-$J$6:$J$1062)*1000000000)),"")</f>
        <v/>
      </c>
      <c r="AB903" s="15" t="str">
        <f aca="false">IF(AND($J903=1,$M903=1),IF(AA903-Z903&lt;=0.000000001,1,0),"")</f>
        <v/>
      </c>
      <c r="AC903" s="13" t="n">
        <f aca="false">IF(AND($J903=1,$M903=0),IF(S903="",0,S903*INDEX(Grid!$B$6:$H$156,R903+1,Q903+1))+IF(V903="",0,V903*INDEX(Grid!$B$6:$H$156,U903+1,T903+1))+IF(Y903="",0,Y903*INDEX(Grid!$B$6:$H$156,X903+1,W903+1)),"")</f>
        <v>29.7778696498842</v>
      </c>
      <c r="AD903" s="13" t="n">
        <f aca="false">IF(AND($J903=1,$M903=0),IF(S903="",0,S903*Val_pt*(Ceiling_e-E_zero)*(1-(1-Half_gap)^Q903))+IF(V903="",0,V903*Val_pt*(Ceiling_e-E_zero)*(1-(1-Half_gap)^T903))+IF(Y903="",0,Y903*Val_pt*(Ceiling_e-E_zero)*(1-(1-Half_gap)^W903)),"")</f>
        <v>135.70868701932</v>
      </c>
      <c r="AE903" s="13" t="n">
        <f aca="false">IF(AND($J903=1,$M903=0),IF(S903="",0,S903*R903)+IF(V903="",0,V903*U903)+IF(Y903="",0,Y903*X903),"")</f>
        <v>142.185114144117</v>
      </c>
      <c r="AF903" s="12" t="n">
        <f aca="false">IF(AND($J903=1,$M903=0),MIN((AC903-E903)/Span_P,(AD903-F903)/Span_S,(AE903-G903)/Span_B),"")</f>
        <v>0.0012340942941143</v>
      </c>
      <c r="AG903" s="15" t="n">
        <f aca="false">IF(AND($J903=1,$M903=0),IF(AF903&gt;0.0000001,1,0),"")</f>
        <v>1</v>
      </c>
      <c r="AH903" s="15" t="n">
        <f aca="false">IF($J903=1,IF($M903=1,AB903,AG903),"")</f>
        <v>1</v>
      </c>
      <c r="AI903" s="13" t="n">
        <f aca="false">IF($J903=1,(Ideal_P-E903)/Span_P,"")</f>
        <v>0.979915977789554</v>
      </c>
      <c r="AJ903" s="13" t="n">
        <f aca="false">IF($J903=1,(Ideal_S-F903)/Span_S,"")</f>
        <v>0.032258064516129</v>
      </c>
      <c r="AK903" s="13" t="n">
        <f aca="false">IF($J903=1,(Ideal_B-G903)/Span_B,"")</f>
        <v>0.0533333333333333</v>
      </c>
      <c r="AL903" s="12" t="n">
        <f aca="false">IF($J903=1,MAX(ChA_1*AI903,ChA_2*AJ903,ChA_3*AK903)+Rho*(ChA_1*AI903+ChA_2*AJ903+ChA_3*AK903),"")</f>
        <v>0.980022528527118</v>
      </c>
      <c r="AM903" s="12" t="n">
        <f aca="false">IF($J903=1,MAX(ChB_1*AI903,ChB_2*AJ903,ChB_3*AK903)+Rho*(ChB_1*AI903+ChB_2*AJ903+ChB_3*AK903),"")</f>
        <v>1.96003649791445</v>
      </c>
      <c r="AN903" s="12" t="n">
        <f aca="false">IF($J903=1,MAX(Cx_1*(Ref_P-E903)/Span_P,Cx_2*(Ref_S-F903)/Span_S,Cx_3*(Ref_B-G903)/Span_B),"")</f>
        <v>2.47218936953092</v>
      </c>
    </row>
    <row r="904" customFormat="false" ht="15" hidden="false" customHeight="false" outlineLevel="0" collapsed="false">
      <c r="A904" s="2" t="n">
        <v>898</v>
      </c>
      <c r="B904" s="15" t="n">
        <f aca="false">INT(A904/151)</f>
        <v>5</v>
      </c>
      <c r="C904" s="15" t="n">
        <f aca="false">MOD(A904,151)</f>
        <v>143</v>
      </c>
      <c r="D904" s="15" t="n">
        <f aca="false">INDEX(Grid!$J$6:$P$156,C904+1,B904+1)</f>
        <v>1</v>
      </c>
      <c r="E904" s="16" t="n">
        <f aca="false">IF(D904=1,INDEX(Grid!$B$6:$H$156,C904+1,B904+1),"")</f>
        <v>28.4218945890094</v>
      </c>
      <c r="F904" s="13" t="n">
        <f aca="false">Val_pt*(Ceiling_e-E_zero)*(1-(1-Half_gap)^B904)</f>
        <v>135.625</v>
      </c>
      <c r="G904" s="15" t="n">
        <f aca="false">C904</f>
        <v>143</v>
      </c>
      <c r="H904" s="15" t="n">
        <f aca="false">IF(D904=1,INDEX(Grid!$R$6:$X$156,C904+1,B904+1),"")</f>
        <v>47</v>
      </c>
      <c r="I904" s="2" t="str">
        <f aca="false">IF(D904=1,INDEX(Sch_label,H904+1),"")</f>
        <v>1, 3–6</v>
      </c>
      <c r="J904" s="15" t="n">
        <f aca="false">IF(D904=1,INDEX(Grid!$Z$6:$AF$156,C904+1,B904+1),0)</f>
        <v>1</v>
      </c>
      <c r="K904" s="16" t="n">
        <f aca="false">IF(J904=1,E904,0)</f>
        <v>28.4218945890094</v>
      </c>
      <c r="L904" s="17" t="n">
        <f aca="false">IF(D904=1,E904+W_board*F904,"")</f>
        <v>793.989662224445</v>
      </c>
      <c r="M904" s="24" t="n">
        <v>0</v>
      </c>
      <c r="Q904" s="24" t="n">
        <v>5</v>
      </c>
      <c r="R904" s="24" t="n">
        <v>100</v>
      </c>
      <c r="S904" s="25" t="n">
        <v>0.0932432524319148</v>
      </c>
      <c r="T904" s="24" t="n">
        <v>5</v>
      </c>
      <c r="U904" s="24" t="n">
        <v>150</v>
      </c>
      <c r="V904" s="25" t="n">
        <v>0.873281939840458</v>
      </c>
      <c r="W904" s="24" t="n">
        <v>6</v>
      </c>
      <c r="X904" s="24" t="n">
        <v>85</v>
      </c>
      <c r="Y904" s="25" t="n">
        <v>0.033474807727711</v>
      </c>
      <c r="Z904" s="12" t="str">
        <f aca="false">IF(AND($J904=1,$M904=1),N904*E904/Span_P+O904*F904/Span_S+P904*G904/Span_B,"")</f>
        <v/>
      </c>
      <c r="AA904" s="12" t="str">
        <f aca="false">IF(AND($J904=1,$M904=1),SUMPRODUCT(MAX($J$6:$J$1062*(N904*$K$6:$K$1062/Span_P+O904*$F$6:$F$1062/Span_S+P904*$G$6:$G$1062/Span_B)-(1-$J$6:$J$1062)*1000000000)),"")</f>
        <v/>
      </c>
      <c r="AB904" s="15" t="str">
        <f aca="false">IF(AND($J904=1,$M904=1),IF(AA904-Z904&lt;=0.000000001,1,0),"")</f>
        <v/>
      </c>
      <c r="AC904" s="13" t="n">
        <f aca="false">IF(AND($J904=1,$M904=0),IF(S904="",0,S904*INDEX(Grid!$B$6:$H$156,R904+1,Q904+1))+IF(V904="",0,V904*INDEX(Grid!$B$6:$H$156,U904+1,T904+1))+IF(Y904="",0,Y904*INDEX(Grid!$B$6:$H$156,X904+1,W904+1)),"")</f>
        <v>28.8129182218343</v>
      </c>
      <c r="AD904" s="13" t="n">
        <f aca="false">IF(AND($J904=1,$M904=0),IF(S904="",0,S904*Val_pt*(Ceiling_e-E_zero)*(1-(1-Half_gap)^Q904))+IF(V904="",0,V904*Val_pt*(Ceiling_e-E_zero)*(1-(1-Half_gap)^T904))+IF(Y904="",0,Y904*Val_pt*(Ceiling_e-E_zero)*(1-(1-Half_gap)^W904)),"")</f>
        <v>135.698226141916</v>
      </c>
      <c r="AE904" s="13" t="n">
        <f aca="false">IF(AND($J904=1,$M904=0),IF(S904="",0,S904*R904)+IF(V904="",0,V904*U904)+IF(Y904="",0,Y904*X904),"")</f>
        <v>143.161974876116</v>
      </c>
      <c r="AF904" s="12" t="n">
        <f aca="false">IF(AND($J904=1,$M904=0),MIN((AC904-E904)/Span_P,(AD904-F904)/Span_S,(AE904-G904)/Span_B),"")</f>
        <v>0.00107983250738894</v>
      </c>
      <c r="AG904" s="15" t="n">
        <f aca="false">IF(AND($J904=1,$M904=0),IF(AF904&gt;0.0000001,1,0),"")</f>
        <v>1</v>
      </c>
      <c r="AH904" s="15" t="n">
        <f aca="false">IF($J904=1,IF($M904=1,AB904,AG904),"")</f>
        <v>1</v>
      </c>
      <c r="AI904" s="13" t="n">
        <f aca="false">IF($J904=1,(Ideal_P-E904)/Span_P,"")</f>
        <v>0.98242648056586</v>
      </c>
      <c r="AJ904" s="13" t="n">
        <f aca="false">IF($J904=1,(Ideal_S-F904)/Span_S,"")</f>
        <v>0.032258064516129</v>
      </c>
      <c r="AK904" s="13" t="n">
        <f aca="false">IF($J904=1,(Ideal_B-G904)/Span_B,"")</f>
        <v>0.0466666666666667</v>
      </c>
      <c r="AL904" s="12" t="n">
        <f aca="false">IF($J904=1,MAX(ChA_1*AI904,ChA_2*AJ904,ChA_3*AK904)+Rho*(ChA_1*AI904+ChA_2*AJ904+ChA_3*AK904),"")</f>
        <v>0.982532615687034</v>
      </c>
      <c r="AM904" s="12" t="n">
        <f aca="false">IF($J904=1,MAX(ChB_1*AI904,ChB_2*AJ904,ChB_3*AK904)+Rho*(ChB_1*AI904+ChB_2*AJ904+ChB_3*AK904),"")</f>
        <v>1.96505733890095</v>
      </c>
      <c r="AN904" s="12" t="n">
        <f aca="false">IF($J904=1,MAX(Cx_1*(Ref_P-E904)/Span_P,Cx_2*(Ref_S-F904)/Span_S,Cx_3*(Ref_B-G904)/Span_B),"")</f>
        <v>2.47845903121435</v>
      </c>
    </row>
    <row r="905" customFormat="false" ht="15" hidden="false" customHeight="false" outlineLevel="0" collapsed="false">
      <c r="A905" s="2" t="n">
        <v>899</v>
      </c>
      <c r="B905" s="15" t="n">
        <f aca="false">INT(A905/151)</f>
        <v>5</v>
      </c>
      <c r="C905" s="15" t="n">
        <f aca="false">MOD(A905,151)</f>
        <v>144</v>
      </c>
      <c r="D905" s="15" t="n">
        <f aca="false">INDEX(Grid!$J$6:$P$156,C905+1,B905+1)</f>
        <v>1</v>
      </c>
      <c r="E905" s="16" t="n">
        <f aca="false">IF(D905=1,INDEX(Grid!$B$6:$H$156,C905+1,B905+1),"")</f>
        <v>27.5128036799185</v>
      </c>
      <c r="F905" s="13" t="n">
        <f aca="false">Val_pt*(Ceiling_e-E_zero)*(1-(1-Half_gap)^B905)</f>
        <v>135.625</v>
      </c>
      <c r="G905" s="15" t="n">
        <f aca="false">C905</f>
        <v>144</v>
      </c>
      <c r="H905" s="15" t="n">
        <f aca="false">IF(D905=1,INDEX(Grid!$R$6:$X$156,C905+1,B905+1),"")</f>
        <v>47</v>
      </c>
      <c r="I905" s="2" t="str">
        <f aca="false">IF(D905=1,INDEX(Sch_label,H905+1),"")</f>
        <v>1, 3–6</v>
      </c>
      <c r="J905" s="15" t="n">
        <f aca="false">IF(D905=1,INDEX(Grid!$Z$6:$AF$156,C905+1,B905+1),0)</f>
        <v>1</v>
      </c>
      <c r="K905" s="16" t="n">
        <f aca="false">IF(J905=1,E905,0)</f>
        <v>27.5128036799185</v>
      </c>
      <c r="L905" s="17" t="n">
        <f aca="false">IF(D905=1,E905+W_board*F905,"")</f>
        <v>793.080571315354</v>
      </c>
      <c r="M905" s="24" t="n">
        <v>0</v>
      </c>
      <c r="Q905" s="24" t="n">
        <v>5</v>
      </c>
      <c r="R905" s="24" t="n">
        <v>100</v>
      </c>
      <c r="S905" s="25" t="n">
        <v>0.079922787798624</v>
      </c>
      <c r="T905" s="24" t="n">
        <v>5</v>
      </c>
      <c r="U905" s="24" t="n">
        <v>150</v>
      </c>
      <c r="V905" s="25" t="n">
        <v>0.891384519863209</v>
      </c>
      <c r="W905" s="24" t="n">
        <v>6</v>
      </c>
      <c r="X905" s="24" t="n">
        <v>85</v>
      </c>
      <c r="Y905" s="25" t="n">
        <v>0.0286926923381675</v>
      </c>
      <c r="Z905" s="12" t="str">
        <f aca="false">IF(AND($J905=1,$M905=1),N905*E905/Span_P+O905*F905/Span_S+P905*G905/Span_B,"")</f>
        <v/>
      </c>
      <c r="AA905" s="12" t="str">
        <f aca="false">IF(AND($J905=1,$M905=1),SUMPRODUCT(MAX($J$6:$J$1062*(N905*$K$6:$K$1062/Span_P+O905*$F$6:$F$1062/Span_S+P905*$G$6:$G$1062/Span_B)-(1-$J$6:$J$1062)*1000000000)),"")</f>
        <v/>
      </c>
      <c r="AB905" s="15" t="str">
        <f aca="false">IF(AND($J905=1,$M905=1),IF(AA905-Z905&lt;=0.000000001,1,0),"")</f>
        <v/>
      </c>
      <c r="AC905" s="13" t="n">
        <f aca="false">IF(AND($J905=1,$M905=0),IF(S905="",0,S905*INDEX(Grid!$B$6:$H$156,R905+1,Q905+1))+IF(V905="",0,V905*INDEX(Grid!$B$6:$H$156,U905+1,T905+1))+IF(Y905="",0,Y905*INDEX(Grid!$B$6:$H$156,X905+1,W905+1)),"")</f>
        <v>27.8479667937566</v>
      </c>
      <c r="AD905" s="13" t="n">
        <f aca="false">IF(AND($J905=1,$M905=0),IF(S905="",0,S905*Val_pt*(Ceiling_e-E_zero)*(1-(1-Half_gap)^Q905))+IF(V905="",0,V905*Val_pt*(Ceiling_e-E_zero)*(1-(1-Half_gap)^T905))+IF(Y905="",0,Y905*Val_pt*(Ceiling_e-E_zero)*(1-(1-Half_gap)^W905)),"")</f>
        <v>135.68776526449</v>
      </c>
      <c r="AE905" s="13" t="n">
        <f aca="false">IF(AND($J905=1,$M905=0),IF(S905="",0,S905*R905)+IF(V905="",0,V905*U905)+IF(Y905="",0,Y905*X905),"")</f>
        <v>144.138835608088</v>
      </c>
      <c r="AF905" s="12" t="n">
        <f aca="false">IF(AND($J905=1,$M905=0),MIN((AC905-E905)/Span_P,(AD905-F905)/Span_S,(AE905-G905)/Span_B),"")</f>
        <v>0.000925570720586393</v>
      </c>
      <c r="AG905" s="15" t="n">
        <f aca="false">IF(AND($J905=1,$M905=0),IF(AF905&gt;0.0000001,1,0),"")</f>
        <v>1</v>
      </c>
      <c r="AH905" s="15" t="n">
        <f aca="false">IF($J905=1,IF($M905=1,AB905,AG905),"")</f>
        <v>1</v>
      </c>
      <c r="AI905" s="13" t="n">
        <f aca="false">IF($J905=1,(Ideal_P-E905)/Span_P,"")</f>
        <v>0.984936983342165</v>
      </c>
      <c r="AJ905" s="13" t="n">
        <f aca="false">IF($J905=1,(Ideal_S-F905)/Span_S,"")</f>
        <v>0.032258064516129</v>
      </c>
      <c r="AK905" s="13" t="n">
        <f aca="false">IF($J905=1,(Ideal_B-G905)/Span_B,"")</f>
        <v>0.04</v>
      </c>
      <c r="AL905" s="12" t="n">
        <f aca="false">IF($J905=1,MAX(ChA_1*AI905,ChA_2*AJ905,ChA_3*AK905)+Rho*(ChA_1*AI905+ChA_2*AJ905+ChA_3*AK905),"")</f>
        <v>0.985042702846951</v>
      </c>
      <c r="AM905" s="12" t="n">
        <f aca="false">IF($J905=1,MAX(ChB_1*AI905,ChB_2*AJ905,ChB_3*AK905)+Rho*(ChB_1*AI905+ChB_2*AJ905+ChB_3*AK905),"")</f>
        <v>1.97007817988745</v>
      </c>
      <c r="AN905" s="12" t="n">
        <f aca="false">IF($J905=1,MAX(Cx_1*(Ref_P-E905)/Span_P,Cx_2*(Ref_S-F905)/Span_S,Cx_3*(Ref_B-G905)/Span_B),"")</f>
        <v>2.48472869289778</v>
      </c>
    </row>
    <row r="906" customFormat="false" ht="15" hidden="false" customHeight="false" outlineLevel="0" collapsed="false">
      <c r="A906" s="2" t="n">
        <v>900</v>
      </c>
      <c r="B906" s="15" t="n">
        <f aca="false">INT(A906/151)</f>
        <v>5</v>
      </c>
      <c r="C906" s="15" t="n">
        <f aca="false">MOD(A906,151)</f>
        <v>145</v>
      </c>
      <c r="D906" s="15" t="n">
        <f aca="false">INDEX(Grid!$J$6:$P$156,C906+1,B906+1)</f>
        <v>1</v>
      </c>
      <c r="E906" s="16" t="n">
        <f aca="false">IF(D906=1,INDEX(Grid!$B$6:$H$156,C906+1,B906+1),"")</f>
        <v>26.6037127708275</v>
      </c>
      <c r="F906" s="13" t="n">
        <f aca="false">Val_pt*(Ceiling_e-E_zero)*(1-(1-Half_gap)^B906)</f>
        <v>135.625</v>
      </c>
      <c r="G906" s="15" t="n">
        <f aca="false">C906</f>
        <v>145</v>
      </c>
      <c r="H906" s="15" t="n">
        <f aca="false">IF(D906=1,INDEX(Grid!$R$6:$X$156,C906+1,B906+1),"")</f>
        <v>47</v>
      </c>
      <c r="I906" s="2" t="str">
        <f aca="false">IF(D906=1,INDEX(Sch_label,H906+1),"")</f>
        <v>1, 3–6</v>
      </c>
      <c r="J906" s="15" t="n">
        <f aca="false">IF(D906=1,INDEX(Grid!$Z$6:$AF$156,C906+1,B906+1),0)</f>
        <v>1</v>
      </c>
      <c r="K906" s="16" t="n">
        <f aca="false">IF(J906=1,E906,0)</f>
        <v>26.6037127708275</v>
      </c>
      <c r="L906" s="17" t="n">
        <f aca="false">IF(D906=1,E906+W_board*F906,"")</f>
        <v>792.171480406263</v>
      </c>
      <c r="M906" s="24" t="n">
        <v>0</v>
      </c>
      <c r="Q906" s="24" t="n">
        <v>5</v>
      </c>
      <c r="R906" s="24" t="n">
        <v>100</v>
      </c>
      <c r="S906" s="25" t="n">
        <v>0.0666023231655131</v>
      </c>
      <c r="T906" s="24" t="n">
        <v>5</v>
      </c>
      <c r="U906" s="24" t="n">
        <v>150</v>
      </c>
      <c r="V906" s="25" t="n">
        <v>0.909487099886006</v>
      </c>
      <c r="W906" s="24" t="n">
        <v>6</v>
      </c>
      <c r="X906" s="24" t="n">
        <v>85</v>
      </c>
      <c r="Y906" s="25" t="n">
        <v>0.0239105769484782</v>
      </c>
      <c r="Z906" s="12" t="str">
        <f aca="false">IF(AND($J906=1,$M906=1),N906*E906/Span_P+O906*F906/Span_S+P906*G906/Span_B,"")</f>
        <v/>
      </c>
      <c r="AA906" s="12" t="str">
        <f aca="false">IF(AND($J906=1,$M906=1),SUMPRODUCT(MAX($J$6:$J$1062*(N906*$K$6:$K$1062/Span_P+O906*$F$6:$F$1062/Span_S+P906*$G$6:$G$1062/Span_B)-(1-$J$6:$J$1062)*1000000000)),"")</f>
        <v/>
      </c>
      <c r="AB906" s="15" t="str">
        <f aca="false">IF(AND($J906=1,$M906=1),IF(AA906-Z906&lt;=0.000000001,1,0),"")</f>
        <v/>
      </c>
      <c r="AC906" s="13" t="n">
        <f aca="false">IF(AND($J906=1,$M906=0),IF(S906="",0,S906*INDEX(Grid!$B$6:$H$156,R906+1,Q906+1))+IF(V906="",0,V906*INDEX(Grid!$B$6:$H$156,U906+1,T906+1))+IF(Y906="",0,Y906*INDEX(Grid!$B$6:$H$156,X906+1,W906+1)),"")</f>
        <v>26.8830153656921</v>
      </c>
      <c r="AD906" s="13" t="n">
        <f aca="false">IF(AND($J906=1,$M906=0),IF(S906="",0,S906*Val_pt*(Ceiling_e-E_zero)*(1-(1-Half_gap)^Q906))+IF(V906="",0,V906*Val_pt*(Ceiling_e-E_zero)*(1-(1-Half_gap)^T906))+IF(Y906="",0,Y906*Val_pt*(Ceiling_e-E_zero)*(1-(1-Half_gap)^W906)),"")</f>
        <v>135.677304387074</v>
      </c>
      <c r="AE906" s="13" t="n">
        <f aca="false">IF(AND($J906=1,$M906=0),IF(S906="",0,S906*R906)+IF(V906="",0,V906*U906)+IF(Y906="",0,Y906*X906),"")</f>
        <v>145.115696340073</v>
      </c>
      <c r="AF906" s="12" t="n">
        <f aca="false">IF(AND($J906=1,$M906=0),MIN((AC906-E906)/Span_P,(AD906-F906)/Span_S,(AE906-G906)/Span_B),"")</f>
        <v>0.000771308933816463</v>
      </c>
      <c r="AG906" s="15" t="n">
        <f aca="false">IF(AND($J906=1,$M906=0),IF(AF906&gt;0.0000001,1,0),"")</f>
        <v>1</v>
      </c>
      <c r="AH906" s="15" t="n">
        <f aca="false">IF($J906=1,IF($M906=1,AB906,AG906),"")</f>
        <v>1</v>
      </c>
      <c r="AI906" s="13" t="n">
        <f aca="false">IF($J906=1,(Ideal_P-E906)/Span_P,"")</f>
        <v>0.987447486118471</v>
      </c>
      <c r="AJ906" s="13" t="n">
        <f aca="false">IF($J906=1,(Ideal_S-F906)/Span_S,"")</f>
        <v>0.032258064516129</v>
      </c>
      <c r="AK906" s="13" t="n">
        <f aca="false">IF($J906=1,(Ideal_B-G906)/Span_B,"")</f>
        <v>0.0333333333333333</v>
      </c>
      <c r="AL906" s="12" t="n">
        <f aca="false">IF($J906=1,MAX(ChA_1*AI906,ChA_2*AJ906,ChA_3*AK906)+Rho*(ChA_1*AI906+ChA_2*AJ906+ChA_3*AK906),"")</f>
        <v>0.987552790006868</v>
      </c>
      <c r="AM906" s="12" t="n">
        <f aca="false">IF($J906=1,MAX(ChB_1*AI906,ChB_2*AJ906,ChB_3*AK906)+Rho*(ChB_1*AI906+ChB_2*AJ906+ChB_3*AK906),"")</f>
        <v>1.97509902087395</v>
      </c>
      <c r="AN906" s="12" t="n">
        <f aca="false">IF($J906=1,MAX(Cx_1*(Ref_P-E906)/Span_P,Cx_2*(Ref_S-F906)/Span_S,Cx_3*(Ref_B-G906)/Span_B),"")</f>
        <v>2.49099835458121</v>
      </c>
    </row>
    <row r="907" customFormat="false" ht="15" hidden="false" customHeight="false" outlineLevel="0" collapsed="false">
      <c r="A907" s="2" t="n">
        <v>901</v>
      </c>
      <c r="B907" s="15" t="n">
        <f aca="false">INT(A907/151)</f>
        <v>5</v>
      </c>
      <c r="C907" s="15" t="n">
        <f aca="false">MOD(A907,151)</f>
        <v>146</v>
      </c>
      <c r="D907" s="15" t="n">
        <f aca="false">INDEX(Grid!$J$6:$P$156,C907+1,B907+1)</f>
        <v>1</v>
      </c>
      <c r="E907" s="16" t="n">
        <f aca="false">IF(D907=1,INDEX(Grid!$B$6:$H$156,C907+1,B907+1),"")</f>
        <v>25.6946218617366</v>
      </c>
      <c r="F907" s="13" t="n">
        <f aca="false">Val_pt*(Ceiling_e-E_zero)*(1-(1-Half_gap)^B907)</f>
        <v>135.625</v>
      </c>
      <c r="G907" s="15" t="n">
        <f aca="false">C907</f>
        <v>146</v>
      </c>
      <c r="H907" s="15" t="n">
        <f aca="false">IF(D907=1,INDEX(Grid!$R$6:$X$156,C907+1,B907+1),"")</f>
        <v>47</v>
      </c>
      <c r="I907" s="2" t="str">
        <f aca="false">IF(D907=1,INDEX(Sch_label,H907+1),"")</f>
        <v>1, 3–6</v>
      </c>
      <c r="J907" s="15" t="n">
        <f aca="false">IF(D907=1,INDEX(Grid!$Z$6:$AF$156,C907+1,B907+1),0)</f>
        <v>1</v>
      </c>
      <c r="K907" s="16" t="n">
        <f aca="false">IF(J907=1,E907,0)</f>
        <v>25.6946218617366</v>
      </c>
      <c r="L907" s="17" t="n">
        <f aca="false">IF(D907=1,E907+W_board*F907,"")</f>
        <v>791.262389497172</v>
      </c>
      <c r="M907" s="24" t="n">
        <v>0</v>
      </c>
      <c r="Q907" s="24" t="n">
        <v>5</v>
      </c>
      <c r="R907" s="24" t="n">
        <v>100</v>
      </c>
      <c r="S907" s="25" t="n">
        <v>0.0532818585324146</v>
      </c>
      <c r="T907" s="24" t="n">
        <v>5</v>
      </c>
      <c r="U907" s="24" t="n">
        <v>150</v>
      </c>
      <c r="V907" s="25" t="n">
        <v>0.927589679908806</v>
      </c>
      <c r="W907" s="24" t="n">
        <v>6</v>
      </c>
      <c r="X907" s="24" t="n">
        <v>85</v>
      </c>
      <c r="Y907" s="25" t="n">
        <v>0.0191284615587793</v>
      </c>
      <c r="Z907" s="12" t="str">
        <f aca="false">IF(AND($J907=1,$M907=1),N907*E907/Span_P+O907*F907/Span_S+P907*G907/Span_B,"")</f>
        <v/>
      </c>
      <c r="AA907" s="12" t="str">
        <f aca="false">IF(AND($J907=1,$M907=1),SUMPRODUCT(MAX($J$6:$J$1062*(N907*$K$6:$K$1062/Span_P+O907*$F$6:$F$1062/Span_S+P907*$G$6:$G$1062/Span_B)-(1-$J$6:$J$1062)*1000000000)),"")</f>
        <v/>
      </c>
      <c r="AB907" s="15" t="str">
        <f aca="false">IF(AND($J907=1,$M907=1),IF(AA907-Z907&lt;=0.000000001,1,0),"")</f>
        <v/>
      </c>
      <c r="AC907" s="13" t="n">
        <f aca="false">IF(AND($J907=1,$M907=0),IF(S907="",0,S907*INDEX(Grid!$B$6:$H$156,R907+1,Q907+1))+IF(V907="",0,V907*INDEX(Grid!$B$6:$H$156,U907+1,T907+1))+IF(Y907="",0,Y907*INDEX(Grid!$B$6:$H$156,X907+1,W907+1)),"")</f>
        <v>25.9180639376286</v>
      </c>
      <c r="AD907" s="13" t="n">
        <f aca="false">IF(AND($J907=1,$M907=0),IF(S907="",0,S907*Val_pt*(Ceiling_e-E_zero)*(1-(1-Half_gap)^Q907))+IF(V907="",0,V907*Val_pt*(Ceiling_e-E_zero)*(1-(1-Half_gap)^T907))+IF(Y907="",0,Y907*Val_pt*(Ceiling_e-E_zero)*(1-(1-Half_gap)^W907)),"")</f>
        <v>135.66684350966</v>
      </c>
      <c r="AE907" s="13" t="n">
        <f aca="false">IF(AND($J907=1,$M907=0),IF(S907="",0,S907*R907)+IF(V907="",0,V907*U907)+IF(Y907="",0,Y907*X907),"")</f>
        <v>146.092557072059</v>
      </c>
      <c r="AF907" s="12" t="n">
        <f aca="false">IF(AND($J907=1,$M907=0),MIN((AC907-E907)/Span_P,(AD907-F907)/Span_S,(AE907-G907)/Span_B),"")</f>
        <v>0.000617047147057397</v>
      </c>
      <c r="AG907" s="15" t="n">
        <f aca="false">IF(AND($J907=1,$M907=0),IF(AF907&gt;0.0000001,1,0),"")</f>
        <v>1</v>
      </c>
      <c r="AH907" s="15" t="n">
        <f aca="false">IF($J907=1,IF($M907=1,AB907,AG907),"")</f>
        <v>1</v>
      </c>
      <c r="AI907" s="13" t="n">
        <f aca="false">IF($J907=1,(Ideal_P-E907)/Span_P,"")</f>
        <v>0.989957988894777</v>
      </c>
      <c r="AJ907" s="13" t="n">
        <f aca="false">IF($J907=1,(Ideal_S-F907)/Span_S,"")</f>
        <v>0.032258064516129</v>
      </c>
      <c r="AK907" s="13" t="n">
        <f aca="false">IF($J907=1,(Ideal_B-G907)/Span_B,"")</f>
        <v>0.0266666666666667</v>
      </c>
      <c r="AL907" s="12" t="n">
        <f aca="false">IF($J907=1,MAX(ChA_1*AI907,ChA_2*AJ907,ChA_3*AK907)+Rho*(ChA_1*AI907+ChA_2*AJ907+ChA_3*AK907),"")</f>
        <v>0.990062877166785</v>
      </c>
      <c r="AM907" s="12" t="n">
        <f aca="false">IF($J907=1,MAX(ChB_1*AI907,ChB_2*AJ907,ChB_3*AK907)+Rho*(ChB_1*AI907+ChB_2*AJ907+ChB_3*AK907),"")</f>
        <v>1.98011986186045</v>
      </c>
      <c r="AN907" s="12" t="n">
        <f aca="false">IF($J907=1,MAX(Cx_1*(Ref_P-E907)/Span_P,Cx_2*(Ref_S-F907)/Span_S,Cx_3*(Ref_B-G907)/Span_B),"")</f>
        <v>2.49726801626464</v>
      </c>
    </row>
    <row r="908" customFormat="false" ht="15" hidden="false" customHeight="false" outlineLevel="0" collapsed="false">
      <c r="A908" s="2" t="n">
        <v>902</v>
      </c>
      <c r="B908" s="15" t="n">
        <f aca="false">INT(A908/151)</f>
        <v>5</v>
      </c>
      <c r="C908" s="15" t="n">
        <f aca="false">MOD(A908,151)</f>
        <v>147</v>
      </c>
      <c r="D908" s="15" t="n">
        <f aca="false">INDEX(Grid!$J$6:$P$156,C908+1,B908+1)</f>
        <v>1</v>
      </c>
      <c r="E908" s="16" t="n">
        <f aca="false">IF(D908=1,INDEX(Grid!$B$6:$H$156,C908+1,B908+1),"")</f>
        <v>24.7855309526457</v>
      </c>
      <c r="F908" s="13" t="n">
        <f aca="false">Val_pt*(Ceiling_e-E_zero)*(1-(1-Half_gap)^B908)</f>
        <v>135.625</v>
      </c>
      <c r="G908" s="15" t="n">
        <f aca="false">C908</f>
        <v>147</v>
      </c>
      <c r="H908" s="15" t="n">
        <f aca="false">IF(D908=1,INDEX(Grid!$R$6:$X$156,C908+1,B908+1),"")</f>
        <v>47</v>
      </c>
      <c r="I908" s="2" t="str">
        <f aca="false">IF(D908=1,INDEX(Sch_label,H908+1),"")</f>
        <v>1, 3–6</v>
      </c>
      <c r="J908" s="15" t="n">
        <f aca="false">IF(D908=1,INDEX(Grid!$Z$6:$AF$156,C908+1,B908+1),0)</f>
        <v>1</v>
      </c>
      <c r="K908" s="16" t="n">
        <f aca="false">IF(J908=1,E908,0)</f>
        <v>24.7855309526457</v>
      </c>
      <c r="L908" s="17" t="n">
        <f aca="false">IF(D908=1,E908+W_board*F908,"")</f>
        <v>790.353298588081</v>
      </c>
      <c r="M908" s="24" t="n">
        <v>0</v>
      </c>
      <c r="Q908" s="24" t="n">
        <v>5</v>
      </c>
      <c r="R908" s="24" t="n">
        <v>100</v>
      </c>
      <c r="S908" s="25" t="n">
        <v>0.0399613938993112</v>
      </c>
      <c r="T908" s="24" t="n">
        <v>5</v>
      </c>
      <c r="U908" s="24" t="n">
        <v>150</v>
      </c>
      <c r="V908" s="25" t="n">
        <v>0.945692259931604</v>
      </c>
      <c r="W908" s="24" t="n">
        <v>6</v>
      </c>
      <c r="X908" s="24" t="n">
        <v>85</v>
      </c>
      <c r="Y908" s="25" t="n">
        <v>0.0143463461690844</v>
      </c>
      <c r="Z908" s="12" t="str">
        <f aca="false">IF(AND($J908=1,$M908=1),N908*E908/Span_P+O908*F908/Span_S+P908*G908/Span_B,"")</f>
        <v/>
      </c>
      <c r="AA908" s="12" t="str">
        <f aca="false">IF(AND($J908=1,$M908=1),SUMPRODUCT(MAX($J$6:$J$1062*(N908*$K$6:$K$1062/Span_P+O908*$F$6:$F$1062/Span_S+P908*$G$6:$G$1062/Span_B)-(1-$J$6:$J$1062)*1000000000)),"")</f>
        <v/>
      </c>
      <c r="AB908" s="15" t="str">
        <f aca="false">IF(AND($J908=1,$M908=1),IF(AA908-Z908&lt;=0.000000001,1,0),"")</f>
        <v/>
      </c>
      <c r="AC908" s="13" t="n">
        <f aca="false">IF(AND($J908=1,$M908=0),IF(S908="",0,S908*INDEX(Grid!$B$6:$H$156,R908+1,Q908+1))+IF(V908="",0,V908*INDEX(Grid!$B$6:$H$156,U908+1,T908+1))+IF(Y908="",0,Y908*INDEX(Grid!$B$6:$H$156,X908+1,W908+1)),"")</f>
        <v>24.9531125095647</v>
      </c>
      <c r="AD908" s="13" t="n">
        <f aca="false">IF(AND($J908=1,$M908=0),IF(S908="",0,S908*Val_pt*(Ceiling_e-E_zero)*(1-(1-Half_gap)^Q908))+IF(V908="",0,V908*Val_pt*(Ceiling_e-E_zero)*(1-(1-Half_gap)^T908))+IF(Y908="",0,Y908*Val_pt*(Ceiling_e-E_zero)*(1-(1-Half_gap)^W908)),"")</f>
        <v>135.656382632245</v>
      </c>
      <c r="AE908" s="13" t="n">
        <f aca="false">IF(AND($J908=1,$M908=0),IF(S908="",0,S908*R908)+IF(V908="",0,V908*U908)+IF(Y908="",0,Y908*X908),"")</f>
        <v>147.069417804044</v>
      </c>
      <c r="AF908" s="12" t="n">
        <f aca="false">IF(AND($J908=1,$M908=0),MIN((AC908-E908)/Span_P,(AD908-F908)/Span_S,(AE908-G908)/Span_B),"")</f>
        <v>0.000462785360292811</v>
      </c>
      <c r="AG908" s="15" t="n">
        <f aca="false">IF(AND($J908=1,$M908=0),IF(AF908&gt;0.0000001,1,0),"")</f>
        <v>1</v>
      </c>
      <c r="AH908" s="15" t="n">
        <f aca="false">IF($J908=1,IF($M908=1,AB908,AG908),"")</f>
        <v>1</v>
      </c>
      <c r="AI908" s="13" t="n">
        <f aca="false">IF($J908=1,(Ideal_P-E908)/Span_P,"")</f>
        <v>0.992468491671083</v>
      </c>
      <c r="AJ908" s="13" t="n">
        <f aca="false">IF($J908=1,(Ideal_S-F908)/Span_S,"")</f>
        <v>0.032258064516129</v>
      </c>
      <c r="AK908" s="13" t="n">
        <f aca="false">IF($J908=1,(Ideal_B-G908)/Span_B,"")</f>
        <v>0.02</v>
      </c>
      <c r="AL908" s="12" t="n">
        <f aca="false">IF($J908=1,MAX(ChA_1*AI908,ChA_2*AJ908,ChA_3*AK908)+Rho*(ChA_1*AI908+ChA_2*AJ908+ChA_3*AK908),"")</f>
        <v>0.992572964326701</v>
      </c>
      <c r="AM908" s="12" t="n">
        <f aca="false">IF($J908=1,MAX(ChB_1*AI908,ChB_2*AJ908,ChB_3*AK908)+Rho*(ChB_1*AI908+ChB_2*AJ908+ChB_3*AK908),"")</f>
        <v>1.98514070284695</v>
      </c>
      <c r="AN908" s="12" t="n">
        <f aca="false">IF($J908=1,MAX(Cx_1*(Ref_P-E908)/Span_P,Cx_2*(Ref_S-F908)/Span_S,Cx_3*(Ref_B-G908)/Span_B),"")</f>
        <v>2.50353767794806</v>
      </c>
    </row>
    <row r="909" customFormat="false" ht="15" hidden="false" customHeight="false" outlineLevel="0" collapsed="false">
      <c r="A909" s="2" t="n">
        <v>903</v>
      </c>
      <c r="B909" s="15" t="n">
        <f aca="false">INT(A909/151)</f>
        <v>5</v>
      </c>
      <c r="C909" s="15" t="n">
        <f aca="false">MOD(A909,151)</f>
        <v>148</v>
      </c>
      <c r="D909" s="15" t="n">
        <f aca="false">INDEX(Grid!$J$6:$P$156,C909+1,B909+1)</f>
        <v>1</v>
      </c>
      <c r="E909" s="16" t="n">
        <f aca="false">IF(D909=1,INDEX(Grid!$B$6:$H$156,C909+1,B909+1),"")</f>
        <v>23.8764400435548</v>
      </c>
      <c r="F909" s="13" t="n">
        <f aca="false">Val_pt*(Ceiling_e-E_zero)*(1-(1-Half_gap)^B909)</f>
        <v>135.625</v>
      </c>
      <c r="G909" s="15" t="n">
        <f aca="false">C909</f>
        <v>148</v>
      </c>
      <c r="H909" s="15" t="n">
        <f aca="false">IF(D909=1,INDEX(Grid!$R$6:$X$156,C909+1,B909+1),"")</f>
        <v>47</v>
      </c>
      <c r="I909" s="2" t="str">
        <f aca="false">IF(D909=1,INDEX(Sch_label,H909+1),"")</f>
        <v>1, 3–6</v>
      </c>
      <c r="J909" s="15" t="n">
        <f aca="false">IF(D909=1,INDEX(Grid!$Z$6:$AF$156,C909+1,B909+1),0)</f>
        <v>1</v>
      </c>
      <c r="K909" s="16" t="n">
        <f aca="false">IF(J909=1,E909,0)</f>
        <v>23.8764400435548</v>
      </c>
      <c r="L909" s="17" t="n">
        <f aca="false">IF(D909=1,E909+W_board*F909,"")</f>
        <v>789.44420767899</v>
      </c>
      <c r="M909" s="24" t="n">
        <v>0</v>
      </c>
      <c r="Q909" s="24" t="n">
        <v>5</v>
      </c>
      <c r="R909" s="24" t="n">
        <v>100</v>
      </c>
      <c r="S909" s="25" t="n">
        <v>0.0266409292662073</v>
      </c>
      <c r="T909" s="24" t="n">
        <v>5</v>
      </c>
      <c r="U909" s="24" t="n">
        <v>150</v>
      </c>
      <c r="V909" s="25" t="n">
        <v>0.963794839954403</v>
      </c>
      <c r="W909" s="24" t="n">
        <v>6</v>
      </c>
      <c r="X909" s="24" t="n">
        <v>85</v>
      </c>
      <c r="Y909" s="25" t="n">
        <v>0.00956423077938966</v>
      </c>
      <c r="Z909" s="12" t="str">
        <f aca="false">IF(AND($J909=1,$M909=1),N909*E909/Span_P+O909*F909/Span_S+P909*G909/Span_B,"")</f>
        <v/>
      </c>
      <c r="AA909" s="12" t="str">
        <f aca="false">IF(AND($J909=1,$M909=1),SUMPRODUCT(MAX($J$6:$J$1062*(N909*$K$6:$K$1062/Span_P+O909*$F$6:$F$1062/Span_S+P909*$G$6:$G$1062/Span_B)-(1-$J$6:$J$1062)*1000000000)),"")</f>
        <v/>
      </c>
      <c r="AB909" s="15" t="str">
        <f aca="false">IF(AND($J909=1,$M909=1),IF(AA909-Z909&lt;=0.000000001,1,0),"")</f>
        <v/>
      </c>
      <c r="AC909" s="13" t="n">
        <f aca="false">IF(AND($J909=1,$M909=0),IF(S909="",0,S909*INDEX(Grid!$B$6:$H$156,R909+1,Q909+1))+IF(V909="",0,V909*INDEX(Grid!$B$6:$H$156,U909+1,T909+1))+IF(Y909="",0,Y909*INDEX(Grid!$B$6:$H$156,X909+1,W909+1)),"")</f>
        <v>23.9881610815008</v>
      </c>
      <c r="AD909" s="13" t="n">
        <f aca="false">IF(AND($J909=1,$M909=0),IF(S909="",0,S909*Val_pt*(Ceiling_e-E_zero)*(1-(1-Half_gap)^Q909))+IF(V909="",0,V909*Val_pt*(Ceiling_e-E_zero)*(1-(1-Half_gap)^T909))+IF(Y909="",0,Y909*Val_pt*(Ceiling_e-E_zero)*(1-(1-Half_gap)^W909)),"")</f>
        <v>135.64592175483</v>
      </c>
      <c r="AE909" s="13" t="n">
        <f aca="false">IF(AND($J909=1,$M909=0),IF(S909="",0,S909*R909)+IF(V909="",0,V909*U909)+IF(Y909="",0,Y909*X909),"")</f>
        <v>148.046278536029</v>
      </c>
      <c r="AF909" s="12" t="n">
        <f aca="false">IF(AND($J909=1,$M909=0),MIN((AC909-E909)/Span_P,(AD909-F909)/Span_S,(AE909-G909)/Span_B),"")</f>
        <v>0.000308523573528681</v>
      </c>
      <c r="AG909" s="15" t="n">
        <f aca="false">IF(AND($J909=1,$M909=0),IF(AF909&gt;0.0000001,1,0),"")</f>
        <v>1</v>
      </c>
      <c r="AH909" s="15" t="n">
        <f aca="false">IF($J909=1,IF($M909=1,AB909,AG909),"")</f>
        <v>1</v>
      </c>
      <c r="AI909" s="13" t="n">
        <f aca="false">IF($J909=1,(Ideal_P-E909)/Span_P,"")</f>
        <v>0.994978994447388</v>
      </c>
      <c r="AJ909" s="13" t="n">
        <f aca="false">IF($J909=1,(Ideal_S-F909)/Span_S,"")</f>
        <v>0.032258064516129</v>
      </c>
      <c r="AK909" s="13" t="n">
        <f aca="false">IF($J909=1,(Ideal_B-G909)/Span_B,"")</f>
        <v>0.0133333333333333</v>
      </c>
      <c r="AL909" s="12" t="n">
        <f aca="false">IF($J909=1,MAX(ChA_1*AI909,ChA_2*AJ909,ChA_3*AK909)+Rho*(ChA_1*AI909+ChA_2*AJ909+ChA_3*AK909),"")</f>
        <v>0.995083051486618</v>
      </c>
      <c r="AM909" s="12" t="n">
        <f aca="false">IF($J909=1,MAX(ChB_1*AI909,ChB_2*AJ909,ChB_3*AK909)+Rho*(ChB_1*AI909+ChB_2*AJ909+ChB_3*AK909),"")</f>
        <v>1.99016154383345</v>
      </c>
      <c r="AN909" s="12" t="n">
        <f aca="false">IF($J909=1,MAX(Cx_1*(Ref_P-E909)/Span_P,Cx_2*(Ref_S-F909)/Span_S,Cx_3*(Ref_B-G909)/Span_B),"")</f>
        <v>2.50980733963149</v>
      </c>
    </row>
    <row r="910" customFormat="false" ht="15" hidden="false" customHeight="false" outlineLevel="0" collapsed="false">
      <c r="A910" s="2" t="n">
        <v>904</v>
      </c>
      <c r="B910" s="15" t="n">
        <f aca="false">INT(A910/151)</f>
        <v>5</v>
      </c>
      <c r="C910" s="15" t="n">
        <f aca="false">MOD(A910,151)</f>
        <v>149</v>
      </c>
      <c r="D910" s="15" t="n">
        <f aca="false">INDEX(Grid!$J$6:$P$156,C910+1,B910+1)</f>
        <v>1</v>
      </c>
      <c r="E910" s="16" t="n">
        <f aca="false">IF(D910=1,INDEX(Grid!$B$6:$H$156,C910+1,B910+1),"")</f>
        <v>22.9673491344639</v>
      </c>
      <c r="F910" s="13" t="n">
        <f aca="false">Val_pt*(Ceiling_e-E_zero)*(1-(1-Half_gap)^B910)</f>
        <v>135.625</v>
      </c>
      <c r="G910" s="15" t="n">
        <f aca="false">C910</f>
        <v>149</v>
      </c>
      <c r="H910" s="15" t="n">
        <f aca="false">IF(D910=1,INDEX(Grid!$R$6:$X$156,C910+1,B910+1),"")</f>
        <v>47</v>
      </c>
      <c r="I910" s="2" t="str">
        <f aca="false">IF(D910=1,INDEX(Sch_label,H910+1),"")</f>
        <v>1, 3–6</v>
      </c>
      <c r="J910" s="15" t="n">
        <f aca="false">IF(D910=1,INDEX(Grid!$Z$6:$AF$156,C910+1,B910+1),0)</f>
        <v>1</v>
      </c>
      <c r="K910" s="16" t="n">
        <f aca="false">IF(J910=1,E910,0)</f>
        <v>22.9673491344639</v>
      </c>
      <c r="L910" s="17" t="n">
        <f aca="false">IF(D910=1,E910+W_board*F910,"")</f>
        <v>788.535116769899</v>
      </c>
      <c r="M910" s="24" t="n">
        <v>0</v>
      </c>
      <c r="Q910" s="24" t="n">
        <v>5</v>
      </c>
      <c r="R910" s="24" t="n">
        <v>100</v>
      </c>
      <c r="S910" s="25" t="n">
        <v>0.0133204646331036</v>
      </c>
      <c r="T910" s="24" t="n">
        <v>5</v>
      </c>
      <c r="U910" s="24" t="n">
        <v>150</v>
      </c>
      <c r="V910" s="25" t="n">
        <v>0.981897419977202</v>
      </c>
      <c r="W910" s="24" t="n">
        <v>6</v>
      </c>
      <c r="X910" s="24" t="n">
        <v>85</v>
      </c>
      <c r="Y910" s="25" t="n">
        <v>0.004782115389695</v>
      </c>
      <c r="Z910" s="12" t="str">
        <f aca="false">IF(AND($J910=1,$M910=1),N910*E910/Span_P+O910*F910/Span_S+P910*G910/Span_B,"")</f>
        <v/>
      </c>
      <c r="AA910" s="12" t="str">
        <f aca="false">IF(AND($J910=1,$M910=1),SUMPRODUCT(MAX($J$6:$J$1062*(N910*$K$6:$K$1062/Span_P+O910*$F$6:$F$1062/Span_S+P910*$G$6:$G$1062/Span_B)-(1-$J$6:$J$1062)*1000000000)),"")</f>
        <v/>
      </c>
      <c r="AB910" s="15" t="str">
        <f aca="false">IF(AND($J910=1,$M910=1),IF(AA910-Z910&lt;=0.000000001,1,0),"")</f>
        <v/>
      </c>
      <c r="AC910" s="13" t="n">
        <f aca="false">IF(AND($J910=1,$M910=0),IF(S910="",0,S910*INDEX(Grid!$B$6:$H$156,R910+1,Q910+1))+IF(V910="",0,V910*INDEX(Grid!$B$6:$H$156,U910+1,T910+1))+IF(Y910="",0,Y910*INDEX(Grid!$B$6:$H$156,X910+1,W910+1)),"")</f>
        <v>23.0232096534369</v>
      </c>
      <c r="AD910" s="13" t="n">
        <f aca="false">IF(AND($J910=1,$M910=0),IF(S910="",0,S910*Val_pt*(Ceiling_e-E_zero)*(1-(1-Half_gap)^Q910))+IF(V910="",0,V910*Val_pt*(Ceiling_e-E_zero)*(1-(1-Half_gap)^T910))+IF(Y910="",0,Y910*Val_pt*(Ceiling_e-E_zero)*(1-(1-Half_gap)^W910)),"")</f>
        <v>135.635460877415</v>
      </c>
      <c r="AE910" s="13" t="n">
        <f aca="false">IF(AND($J910=1,$M910=0),IF(S910="",0,S910*R910)+IF(V910="",0,V910*U910)+IF(Y910="",0,Y910*X910),"")</f>
        <v>149.023139268015</v>
      </c>
      <c r="AF910" s="12" t="n">
        <f aca="false">IF(AND($J910=1,$M910=0),MIN((AC910-E910)/Span_P,(AD910-F910)/Span_S,(AE910-G910)/Span_B),"")</f>
        <v>0.000154261786764209</v>
      </c>
      <c r="AG910" s="15" t="n">
        <f aca="false">IF(AND($J910=1,$M910=0),IF(AF910&gt;0.0000001,1,0),"")</f>
        <v>1</v>
      </c>
      <c r="AH910" s="15" t="n">
        <f aca="false">IF($J910=1,IF($M910=1,AB910,AG910),"")</f>
        <v>1</v>
      </c>
      <c r="AI910" s="13" t="n">
        <f aca="false">IF($J910=1,(Ideal_P-E910)/Span_P,"")</f>
        <v>0.997489497223694</v>
      </c>
      <c r="AJ910" s="13" t="n">
        <f aca="false">IF($J910=1,(Ideal_S-F910)/Span_S,"")</f>
        <v>0.032258064516129</v>
      </c>
      <c r="AK910" s="13" t="n">
        <f aca="false">IF($J910=1,(Ideal_B-G910)/Span_B,"")</f>
        <v>0.00666666666666667</v>
      </c>
      <c r="AL910" s="12" t="n">
        <f aca="false">IF($J910=1,MAX(ChA_1*AI910,ChA_2*AJ910,ChA_3*AK910)+Rho*(ChA_1*AI910+ChA_2*AJ910+ChA_3*AK910),"")</f>
        <v>0.997593138646535</v>
      </c>
      <c r="AM910" s="12" t="n">
        <f aca="false">IF($J910=1,MAX(ChB_1*AI910,ChB_2*AJ910,ChB_3*AK910)+Rho*(ChB_1*AI910+ChB_2*AJ910+ChB_3*AK910),"")</f>
        <v>1.99518238481995</v>
      </c>
      <c r="AN910" s="12" t="n">
        <f aca="false">IF($J910=1,MAX(Cx_1*(Ref_P-E910)/Span_P,Cx_2*(Ref_S-F910)/Span_S,Cx_3*(Ref_B-G910)/Span_B),"")</f>
        <v>2.51607700131492</v>
      </c>
    </row>
    <row r="911" customFormat="false" ht="15" hidden="false" customHeight="false" outlineLevel="0" collapsed="false">
      <c r="A911" s="2" t="n">
        <v>905</v>
      </c>
      <c r="B911" s="15" t="n">
        <f aca="false">INT(A911/151)</f>
        <v>5</v>
      </c>
      <c r="C911" s="15" t="n">
        <f aca="false">MOD(A911,151)</f>
        <v>150</v>
      </c>
      <c r="D911" s="15" t="n">
        <f aca="false">INDEX(Grid!$J$6:$P$156,C911+1,B911+1)</f>
        <v>1</v>
      </c>
      <c r="E911" s="16" t="n">
        <f aca="false">IF(D911=1,INDEX(Grid!$B$6:$H$156,C911+1,B911+1),"")</f>
        <v>22.058258225373</v>
      </c>
      <c r="F911" s="13" t="n">
        <f aca="false">Val_pt*(Ceiling_e-E_zero)*(1-(1-Half_gap)^B911)</f>
        <v>135.625</v>
      </c>
      <c r="G911" s="15" t="n">
        <f aca="false">C911</f>
        <v>150</v>
      </c>
      <c r="H911" s="15" t="n">
        <f aca="false">IF(D911=1,INDEX(Grid!$R$6:$X$156,C911+1,B911+1),"")</f>
        <v>47</v>
      </c>
      <c r="I911" s="2" t="str">
        <f aca="false">IF(D911=1,INDEX(Sch_label,H911+1),"")</f>
        <v>1, 3–6</v>
      </c>
      <c r="J911" s="15" t="n">
        <f aca="false">IF(D911=1,INDEX(Grid!$Z$6:$AF$156,C911+1,B911+1),0)</f>
        <v>1</v>
      </c>
      <c r="K911" s="16" t="n">
        <f aca="false">IF(J911=1,E911,0)</f>
        <v>22.058258225373</v>
      </c>
      <c r="L911" s="17" t="n">
        <f aca="false">IF(D911=1,E911+W_board*F911,"")</f>
        <v>787.626025860809</v>
      </c>
      <c r="M911" s="24" t="n">
        <v>1</v>
      </c>
      <c r="N911" s="25" t="n">
        <v>0.001</v>
      </c>
      <c r="O911" s="25" t="n">
        <v>0.00317002592091662</v>
      </c>
      <c r="P911" s="25" t="n">
        <v>0.995829974079083</v>
      </c>
      <c r="Z911" s="12" t="n">
        <f aca="false">IF(AND($J911=1,$M911=1),N911*E911/Span_P+O911*F911/Span_S+P911*G911/Span_B,"")</f>
        <v>1.00223094097128</v>
      </c>
      <c r="AA911" s="12" t="n">
        <f aca="false">IF(AND($J911=1,$M911=1),SUMPRODUCT(MAX($J$6:$J$1062*(N911*$K$6:$K$1062/Span_P+O911*$F$6:$F$1062/Span_S+P911*$G$6:$G$1062/Span_B)-(1-$J$6:$J$1062)*1000000000)),"")</f>
        <v>1.00223094097128</v>
      </c>
      <c r="AB911" s="15" t="n">
        <f aca="false">IF(AND($J911=1,$M911=1),IF(AA911-Z911&lt;=0.000000001,1,0),"")</f>
        <v>1</v>
      </c>
      <c r="AC911" s="13" t="str">
        <f aca="false">IF(AND($J911=1,$M911=0),IF(S911="",0,S911*INDEX(Grid!$B$6:$H$156,R911+1,Q911+1))+IF(V911="",0,V911*INDEX(Grid!$B$6:$H$156,U911+1,T911+1))+IF(Y911="",0,Y911*INDEX(Grid!$B$6:$H$156,X911+1,W911+1)),"")</f>
        <v/>
      </c>
      <c r="AD911" s="13" t="str">
        <f aca="false">IF(AND($J911=1,$M911=0),IF(S911="",0,S911*Val_pt*(Ceiling_e-E_zero)*(1-(1-Half_gap)^Q911))+IF(V911="",0,V911*Val_pt*(Ceiling_e-E_zero)*(1-(1-Half_gap)^T911))+IF(Y911="",0,Y911*Val_pt*(Ceiling_e-E_zero)*(1-(1-Half_gap)^W911)),"")</f>
        <v/>
      </c>
      <c r="AE911" s="13" t="str">
        <f aca="false">IF(AND($J911=1,$M911=0),IF(S911="",0,S911*R911)+IF(V911="",0,V911*U911)+IF(Y911="",0,Y911*X911),"")</f>
        <v/>
      </c>
      <c r="AF911" s="12" t="str">
        <f aca="false">IF(AND($J911=1,$M911=0),MIN((AC911-E911)/Span_P,(AD911-F911)/Span_S,(AE911-G911)/Span_B),"")</f>
        <v/>
      </c>
      <c r="AG911" s="15" t="str">
        <f aca="false">IF(AND($J911=1,$M911=0),IF(AF911&gt;0.0000001,1,0),"")</f>
        <v/>
      </c>
      <c r="AH911" s="15" t="n">
        <f aca="false">IF($J911=1,IF($M911=1,AB911,AG911),"")</f>
        <v>1</v>
      </c>
      <c r="AI911" s="13" t="n">
        <f aca="false">IF($J911=1,(Ideal_P-E911)/Span_P,"")</f>
        <v>1</v>
      </c>
      <c r="AJ911" s="13" t="n">
        <f aca="false">IF($J911=1,(Ideal_S-F911)/Span_S,"")</f>
        <v>0.032258064516129</v>
      </c>
      <c r="AK911" s="13" t="n">
        <f aca="false">IF($J911=1,(Ideal_B-G911)/Span_B,"")</f>
        <v>0</v>
      </c>
      <c r="AL911" s="12" t="n">
        <f aca="false">IF($J911=1,MAX(ChA_1*AI911,ChA_2*AJ911,ChA_3*AK911)+Rho*(ChA_1*AI911+ChA_2*AJ911+ChA_3*AK911),"")</f>
        <v>1.00010322580645</v>
      </c>
      <c r="AM911" s="12" t="n">
        <f aca="false">IF($J911=1,MAX(ChB_1*AI911,ChB_2*AJ911,ChB_3*AK911)+Rho*(ChB_1*AI911+ChB_2*AJ911+ChB_3*AK911),"")</f>
        <v>2.00020322580645</v>
      </c>
      <c r="AN911" s="12" t="n">
        <f aca="false">IF($J911=1,MAX(Cx_1*(Ref_P-E911)/Span_P,Cx_2*(Ref_S-F911)/Span_S,Cx_3*(Ref_B-G911)/Span_B),"")</f>
        <v>2.52234666299835</v>
      </c>
    </row>
    <row r="912" customFormat="false" ht="15" hidden="false" customHeight="false" outlineLevel="0" collapsed="false">
      <c r="A912" s="2" t="n">
        <v>906</v>
      </c>
      <c r="B912" s="15" t="n">
        <f aca="false">INT(A912/151)</f>
        <v>6</v>
      </c>
      <c r="C912" s="15" t="n">
        <f aca="false">MOD(A912,151)</f>
        <v>0</v>
      </c>
      <c r="D912" s="15" t="n">
        <f aca="false">INDEX(Grid!$J$6:$P$156,C912+1,B912+1)</f>
        <v>1</v>
      </c>
      <c r="E912" s="16" t="n">
        <f aca="false">IF(D912=1,INDEX(Grid!$B$6:$H$156,C912+1,B912+1),"")</f>
        <v>106.59150319972</v>
      </c>
      <c r="F912" s="13" t="n">
        <f aca="false">Val_pt*(Ceiling_e-E_zero)*(1-(1-Half_gap)^B912)</f>
        <v>137.8125</v>
      </c>
      <c r="G912" s="15" t="n">
        <f aca="false">C912</f>
        <v>0</v>
      </c>
      <c r="H912" s="15" t="n">
        <f aca="false">IF(D912=1,INDEX(Grid!$R$6:$X$156,C912+1,B912+1),"")</f>
        <v>63</v>
      </c>
      <c r="I912" s="2" t="str">
        <f aca="false">IF(D912=1,INDEX(Sch_label,H912+1),"")</f>
        <v>1–6</v>
      </c>
      <c r="J912" s="15" t="n">
        <f aca="false">IF(D912=1,INDEX(Grid!$Z$6:$AF$156,C912+1,B912+1),0)</f>
        <v>1</v>
      </c>
      <c r="K912" s="16" t="n">
        <f aca="false">IF(J912=1,E912,0)</f>
        <v>106.59150319972</v>
      </c>
      <c r="L912" s="17" t="n">
        <f aca="false">IF(D912=1,E912+W_board*F912,"")</f>
        <v>884.507138055082</v>
      </c>
      <c r="M912" s="24" t="n">
        <v>1</v>
      </c>
      <c r="N912" s="25" t="n">
        <v>0.126964369697701</v>
      </c>
      <c r="O912" s="25" t="n">
        <v>0.872035630302299</v>
      </c>
      <c r="P912" s="25" t="n">
        <v>0.001</v>
      </c>
      <c r="Z912" s="12" t="n">
        <f aca="false">IF(AND($J912=1,$M912=1),N912*E912/Span_P+O912*F912/Span_S+P912*G912/Span_B,"")</f>
        <v>1.80957443173996</v>
      </c>
      <c r="AA912" s="12" t="n">
        <f aca="false">IF(AND($J912=1,$M912=1),SUMPRODUCT(MAX($J$6:$J$1062*(N912*$K$6:$K$1062/Span_P+O912*$F$6:$F$1062/Span_S+P912*$G$6:$G$1062/Span_B)-(1-$J$6:$J$1062)*1000000000)),"")</f>
        <v>1.80957443173996</v>
      </c>
      <c r="AB912" s="15" t="n">
        <f aca="false">IF(AND($J912=1,$M912=1),IF(AA912-Z912&lt;=0.000000001,1,0),"")</f>
        <v>1</v>
      </c>
      <c r="AC912" s="13" t="str">
        <f aca="false">IF(AND($J912=1,$M912=0),IF(S912="",0,S912*INDEX(Grid!$B$6:$H$156,R912+1,Q912+1))+IF(V912="",0,V912*INDEX(Grid!$B$6:$H$156,U912+1,T912+1))+IF(Y912="",0,Y912*INDEX(Grid!$B$6:$H$156,X912+1,W912+1)),"")</f>
        <v/>
      </c>
      <c r="AD912" s="13" t="str">
        <f aca="false">IF(AND($J912=1,$M912=0),IF(S912="",0,S912*Val_pt*(Ceiling_e-E_zero)*(1-(1-Half_gap)^Q912))+IF(V912="",0,V912*Val_pt*(Ceiling_e-E_zero)*(1-(1-Half_gap)^T912))+IF(Y912="",0,Y912*Val_pt*(Ceiling_e-E_zero)*(1-(1-Half_gap)^W912)),"")</f>
        <v/>
      </c>
      <c r="AE912" s="13" t="str">
        <f aca="false">IF(AND($J912=1,$M912=0),IF(S912="",0,S912*R912)+IF(V912="",0,V912*U912)+IF(Y912="",0,Y912*X912),"")</f>
        <v/>
      </c>
      <c r="AF912" s="12" t="str">
        <f aca="false">IF(AND($J912=1,$M912=0),MIN((AC912-E912)/Span_P,(AD912-F912)/Span_S,(AE912-G912)/Span_B),"")</f>
        <v/>
      </c>
      <c r="AG912" s="15" t="str">
        <f aca="false">IF(AND($J912=1,$M912=0),IF(AF912&gt;0.0000001,1,0),"")</f>
        <v/>
      </c>
      <c r="AH912" s="15" t="n">
        <f aca="false">IF($J912=1,IF($M912=1,AB912,AG912),"")</f>
        <v>1</v>
      </c>
      <c r="AI912" s="13" t="n">
        <f aca="false">IF($J912=1,(Ideal_P-E912)/Span_P,"")</f>
        <v>0.766556959181941</v>
      </c>
      <c r="AJ912" s="13" t="n">
        <f aca="false">IF($J912=1,(Ideal_S-F912)/Span_S,"")</f>
        <v>0</v>
      </c>
      <c r="AK912" s="13" t="n">
        <f aca="false">IF($J912=1,(Ideal_B-G912)/Span_B,"")</f>
        <v>1</v>
      </c>
      <c r="AL912" s="12" t="n">
        <f aca="false">IF($J912=1,MAX(ChA_1*AI912,ChA_2*AJ912,ChA_3*AK912)+Rho*(ChA_1*AI912+ChA_2*AJ912+ChA_3*AK912),"")</f>
        <v>1.00017665569592</v>
      </c>
      <c r="AM912" s="12" t="n">
        <f aca="false">IF($J912=1,MAX(ChB_1*AI912,ChB_2*AJ912,ChB_3*AK912)+Rho*(ChB_1*AI912+ChB_2*AJ912+ChB_3*AK912),"")</f>
        <v>1.53336722975572</v>
      </c>
      <c r="AN912" s="12" t="n">
        <f aca="false">IF($J912=1,MAX(Cx_1*(Ref_P-E912)/Span_P,Cx_2*(Ref_S-F912)/Span_S,Cx_3*(Ref_B-G912)/Span_B),"")</f>
        <v>2.54621848739496</v>
      </c>
    </row>
    <row r="913" customFormat="false" ht="15" hidden="false" customHeight="false" outlineLevel="0" collapsed="false">
      <c r="A913" s="2" t="n">
        <v>907</v>
      </c>
      <c r="B913" s="15" t="n">
        <f aca="false">INT(A913/151)</f>
        <v>6</v>
      </c>
      <c r="C913" s="15" t="n">
        <f aca="false">MOD(A913,151)</f>
        <v>1</v>
      </c>
      <c r="D913" s="15" t="n">
        <f aca="false">INDEX(Grid!$J$6:$P$156,C913+1,B913+1)</f>
        <v>1</v>
      </c>
      <c r="E913" s="16" t="n">
        <f aca="false">IF(D913=1,INDEX(Grid!$B$6:$H$156,C913+1,B913+1),"")</f>
        <v>105.68241229063</v>
      </c>
      <c r="F913" s="13" t="n">
        <f aca="false">Val_pt*(Ceiling_e-E_zero)*(1-(1-Half_gap)^B913)</f>
        <v>137.8125</v>
      </c>
      <c r="G913" s="15" t="n">
        <f aca="false">C913</f>
        <v>1</v>
      </c>
      <c r="H913" s="15" t="n">
        <f aca="false">IF(D913=1,INDEX(Grid!$R$6:$X$156,C913+1,B913+1),"")</f>
        <v>63</v>
      </c>
      <c r="I913" s="2" t="str">
        <f aca="false">IF(D913=1,INDEX(Sch_label,H913+1),"")</f>
        <v>1–6</v>
      </c>
      <c r="J913" s="15" t="n">
        <f aca="false">IF(D913=1,INDEX(Grid!$Z$6:$AF$156,C913+1,B913+1),0)</f>
        <v>1</v>
      </c>
      <c r="K913" s="16" t="n">
        <f aca="false">IF(J913=1,E913,0)</f>
        <v>105.68241229063</v>
      </c>
      <c r="L913" s="17" t="n">
        <f aca="false">IF(D913=1,E913+W_board*F913,"")</f>
        <v>883.598047145992</v>
      </c>
      <c r="M913" s="24" t="n">
        <v>1</v>
      </c>
      <c r="N913" s="25" t="n">
        <v>0.00265551057325527</v>
      </c>
      <c r="O913" s="25" t="n">
        <v>0.996344489426745</v>
      </c>
      <c r="P913" s="25" t="n">
        <v>0.001</v>
      </c>
      <c r="Z913" s="12" t="n">
        <f aca="false">IF(AND($J913=1,$M913=1),N913*E913/Span_P+O913*F913/Span_S+P913*G913/Span_B,"")</f>
        <v>2.02561079469717</v>
      </c>
      <c r="AA913" s="12" t="n">
        <f aca="false">IF(AND($J913=1,$M913=1),SUMPRODUCT(MAX($J$6:$J$1062*(N913*$K$6:$K$1062/Span_P+O913*$F$6:$F$1062/Span_S+P913*$G$6:$G$1062/Span_B)-(1-$J$6:$J$1062)*1000000000)),"")</f>
        <v>2.02561079469717</v>
      </c>
      <c r="AB913" s="15" t="n">
        <f aca="false">IF(AND($J913=1,$M913=1),IF(AA913-Z913&lt;=0.000000001,1,0),"")</f>
        <v>1</v>
      </c>
      <c r="AC913" s="13" t="str">
        <f aca="false">IF(AND($J913=1,$M913=0),IF(S913="",0,S913*INDEX(Grid!$B$6:$H$156,R913+1,Q913+1))+IF(V913="",0,V913*INDEX(Grid!$B$6:$H$156,U913+1,T913+1))+IF(Y913="",0,Y913*INDEX(Grid!$B$6:$H$156,X913+1,W913+1)),"")</f>
        <v/>
      </c>
      <c r="AD913" s="13" t="str">
        <f aca="false">IF(AND($J913=1,$M913=0),IF(S913="",0,S913*Val_pt*(Ceiling_e-E_zero)*(1-(1-Half_gap)^Q913))+IF(V913="",0,V913*Val_pt*(Ceiling_e-E_zero)*(1-(1-Half_gap)^T913))+IF(Y913="",0,Y913*Val_pt*(Ceiling_e-E_zero)*(1-(1-Half_gap)^W913)),"")</f>
        <v/>
      </c>
      <c r="AE913" s="13" t="str">
        <f aca="false">IF(AND($J913=1,$M913=0),IF(S913="",0,S913*R913)+IF(V913="",0,V913*U913)+IF(Y913="",0,Y913*X913),"")</f>
        <v/>
      </c>
      <c r="AF913" s="12" t="str">
        <f aca="false">IF(AND($J913=1,$M913=0),MIN((AC913-E913)/Span_P,(AD913-F913)/Span_S,(AE913-G913)/Span_B),"")</f>
        <v/>
      </c>
      <c r="AG913" s="15" t="str">
        <f aca="false">IF(AND($J913=1,$M913=0),IF(AF913&gt;0.0000001,1,0),"")</f>
        <v/>
      </c>
      <c r="AH913" s="15" t="n">
        <f aca="false">IF($J913=1,IF($M913=1,AB913,AG913),"")</f>
        <v>1</v>
      </c>
      <c r="AI913" s="13" t="n">
        <f aca="false">IF($J913=1,(Ideal_P-E913)/Span_P,"")</f>
        <v>0.769067461958247</v>
      </c>
      <c r="AJ913" s="13" t="n">
        <f aca="false">IF($J913=1,(Ideal_S-F913)/Span_S,"")</f>
        <v>0</v>
      </c>
      <c r="AK913" s="13" t="n">
        <f aca="false">IF($J913=1,(Ideal_B-G913)/Span_B,"")</f>
        <v>0.993333333333333</v>
      </c>
      <c r="AL913" s="12" t="n">
        <f aca="false">IF($J913=1,MAX(ChA_1*AI913,ChA_2*AJ913,ChA_3*AK913)+Rho*(ChA_1*AI913+ChA_2*AJ913+ChA_3*AK913),"")</f>
        <v>0.993509573412863</v>
      </c>
      <c r="AM913" s="12" t="n">
        <f aca="false">IF($J913=1,MAX(ChB_1*AI913,ChB_2*AJ913,ChB_3*AK913)+Rho*(ChB_1*AI913+ChB_2*AJ913+ChB_3*AK913),"")</f>
        <v>1.53838807074222</v>
      </c>
      <c r="AN913" s="12" t="n">
        <f aca="false">IF($J913=1,MAX(Cx_1*(Ref_P-E913)/Span_P,Cx_2*(Ref_S-F913)/Span_S,Cx_3*(Ref_B-G913)/Span_B),"")</f>
        <v>2.52941176470588</v>
      </c>
    </row>
    <row r="914" customFormat="false" ht="15" hidden="false" customHeight="false" outlineLevel="0" collapsed="false">
      <c r="A914" s="2" t="n">
        <v>908</v>
      </c>
      <c r="B914" s="15" t="n">
        <f aca="false">INT(A914/151)</f>
        <v>6</v>
      </c>
      <c r="C914" s="15" t="n">
        <f aca="false">MOD(A914,151)</f>
        <v>2</v>
      </c>
      <c r="D914" s="15" t="n">
        <f aca="false">INDEX(Grid!$J$6:$P$156,C914+1,B914+1)</f>
        <v>1</v>
      </c>
      <c r="E914" s="16" t="n">
        <f aca="false">IF(D914=1,INDEX(Grid!$B$6:$H$156,C914+1,B914+1),"")</f>
        <v>104.773321381539</v>
      </c>
      <c r="F914" s="13" t="n">
        <f aca="false">Val_pt*(Ceiling_e-E_zero)*(1-(1-Half_gap)^B914)</f>
        <v>137.8125</v>
      </c>
      <c r="G914" s="15" t="n">
        <f aca="false">C914</f>
        <v>2</v>
      </c>
      <c r="H914" s="15" t="n">
        <f aca="false">IF(D914=1,INDEX(Grid!$R$6:$X$156,C914+1,B914+1),"")</f>
        <v>63</v>
      </c>
      <c r="I914" s="2" t="str">
        <f aca="false">IF(D914=1,INDEX(Sch_label,H914+1),"")</f>
        <v>1–6</v>
      </c>
      <c r="J914" s="15" t="n">
        <f aca="false">IF(D914=1,INDEX(Grid!$Z$6:$AF$156,C914+1,B914+1),0)</f>
        <v>1</v>
      </c>
      <c r="K914" s="16" t="n">
        <f aca="false">IF(J914=1,E914,0)</f>
        <v>104.773321381539</v>
      </c>
      <c r="L914" s="17" t="n">
        <f aca="false">IF(D914=1,E914+W_board*F914,"")</f>
        <v>882.688956236901</v>
      </c>
      <c r="M914" s="24" t="n">
        <v>1</v>
      </c>
      <c r="N914" s="25" t="n">
        <v>0.00265551057325527</v>
      </c>
      <c r="O914" s="25" t="n">
        <v>0.996344489426745</v>
      </c>
      <c r="P914" s="25" t="n">
        <v>0.001</v>
      </c>
      <c r="Z914" s="12" t="n">
        <f aca="false">IF(AND($J914=1,$M914=1),N914*E914/Span_P+O914*F914/Span_S+P914*G914/Span_B,"")</f>
        <v>2.02561079469717</v>
      </c>
      <c r="AA914" s="12" t="n">
        <f aca="false">IF(AND($J914=1,$M914=1),SUMPRODUCT(MAX($J$6:$J$1062*(N914*$K$6:$K$1062/Span_P+O914*$F$6:$F$1062/Span_S+P914*$G$6:$G$1062/Span_B)-(1-$J$6:$J$1062)*1000000000)),"")</f>
        <v>2.02561079469717</v>
      </c>
      <c r="AB914" s="15" t="n">
        <f aca="false">IF(AND($J914=1,$M914=1),IF(AA914-Z914&lt;=0.000000001,1,0),"")</f>
        <v>1</v>
      </c>
      <c r="AC914" s="13" t="str">
        <f aca="false">IF(AND($J914=1,$M914=0),IF(S914="",0,S914*INDEX(Grid!$B$6:$H$156,R914+1,Q914+1))+IF(V914="",0,V914*INDEX(Grid!$B$6:$H$156,U914+1,T914+1))+IF(Y914="",0,Y914*INDEX(Grid!$B$6:$H$156,X914+1,W914+1)),"")</f>
        <v/>
      </c>
      <c r="AD914" s="13" t="str">
        <f aca="false">IF(AND($J914=1,$M914=0),IF(S914="",0,S914*Val_pt*(Ceiling_e-E_zero)*(1-(1-Half_gap)^Q914))+IF(V914="",0,V914*Val_pt*(Ceiling_e-E_zero)*(1-(1-Half_gap)^T914))+IF(Y914="",0,Y914*Val_pt*(Ceiling_e-E_zero)*(1-(1-Half_gap)^W914)),"")</f>
        <v/>
      </c>
      <c r="AE914" s="13" t="str">
        <f aca="false">IF(AND($J914=1,$M914=0),IF(S914="",0,S914*R914)+IF(V914="",0,V914*U914)+IF(Y914="",0,Y914*X914),"")</f>
        <v/>
      </c>
      <c r="AF914" s="12" t="str">
        <f aca="false">IF(AND($J914=1,$M914=0),MIN((AC914-E914)/Span_P,(AD914-F914)/Span_S,(AE914-G914)/Span_B),"")</f>
        <v/>
      </c>
      <c r="AG914" s="15" t="str">
        <f aca="false">IF(AND($J914=1,$M914=0),IF(AF914&gt;0.0000001,1,0),"")</f>
        <v/>
      </c>
      <c r="AH914" s="15" t="n">
        <f aca="false">IF($J914=1,IF($M914=1,AB914,AG914),"")</f>
        <v>1</v>
      </c>
      <c r="AI914" s="13" t="n">
        <f aca="false">IF($J914=1,(Ideal_P-E914)/Span_P,"")</f>
        <v>0.771577964734553</v>
      </c>
      <c r="AJ914" s="13" t="n">
        <f aca="false">IF($J914=1,(Ideal_S-F914)/Span_S,"")</f>
        <v>0</v>
      </c>
      <c r="AK914" s="13" t="n">
        <f aca="false">IF($J914=1,(Ideal_B-G914)/Span_B,"")</f>
        <v>0.986666666666667</v>
      </c>
      <c r="AL914" s="12" t="n">
        <f aca="false">IF($J914=1,MAX(ChA_1*AI914,ChA_2*AJ914,ChA_3*AK914)+Rho*(ChA_1*AI914+ChA_2*AJ914+ChA_3*AK914),"")</f>
        <v>0.986842491129807</v>
      </c>
      <c r="AM914" s="12" t="n">
        <f aca="false">IF($J914=1,MAX(ChB_1*AI914,ChB_2*AJ914,ChB_3*AK914)+Rho*(ChB_1*AI914+ChB_2*AJ914+ChB_3*AK914),"")</f>
        <v>1.54340891172872</v>
      </c>
      <c r="AN914" s="12" t="n">
        <f aca="false">IF($J914=1,MAX(Cx_1*(Ref_P-E914)/Span_P,Cx_2*(Ref_S-F914)/Span_S,Cx_3*(Ref_B-G914)/Span_B),"")</f>
        <v>2.51260504201681</v>
      </c>
    </row>
    <row r="915" customFormat="false" ht="15" hidden="false" customHeight="false" outlineLevel="0" collapsed="false">
      <c r="A915" s="2" t="n">
        <v>909</v>
      </c>
      <c r="B915" s="15" t="n">
        <f aca="false">INT(A915/151)</f>
        <v>6</v>
      </c>
      <c r="C915" s="15" t="n">
        <f aca="false">MOD(A915,151)</f>
        <v>3</v>
      </c>
      <c r="D915" s="15" t="n">
        <f aca="false">INDEX(Grid!$J$6:$P$156,C915+1,B915+1)</f>
        <v>1</v>
      </c>
      <c r="E915" s="16" t="n">
        <f aca="false">IF(D915=1,INDEX(Grid!$B$6:$H$156,C915+1,B915+1),"")</f>
        <v>103.864230472448</v>
      </c>
      <c r="F915" s="13" t="n">
        <f aca="false">Val_pt*(Ceiling_e-E_zero)*(1-(1-Half_gap)^B915)</f>
        <v>137.8125</v>
      </c>
      <c r="G915" s="15" t="n">
        <f aca="false">C915</f>
        <v>3</v>
      </c>
      <c r="H915" s="15" t="n">
        <f aca="false">IF(D915=1,INDEX(Grid!$R$6:$X$156,C915+1,B915+1),"")</f>
        <v>63</v>
      </c>
      <c r="I915" s="2" t="str">
        <f aca="false">IF(D915=1,INDEX(Sch_label,H915+1),"")</f>
        <v>1–6</v>
      </c>
      <c r="J915" s="15" t="n">
        <f aca="false">IF(D915=1,INDEX(Grid!$Z$6:$AF$156,C915+1,B915+1),0)</f>
        <v>1</v>
      </c>
      <c r="K915" s="16" t="n">
        <f aca="false">IF(J915=1,E915,0)</f>
        <v>103.864230472448</v>
      </c>
      <c r="L915" s="17" t="n">
        <f aca="false">IF(D915=1,E915+W_board*F915,"")</f>
        <v>881.77986532781</v>
      </c>
      <c r="M915" s="24" t="n">
        <v>1</v>
      </c>
      <c r="N915" s="25" t="n">
        <v>0.00265551057325527</v>
      </c>
      <c r="O915" s="25" t="n">
        <v>0.996344489426745</v>
      </c>
      <c r="P915" s="25" t="n">
        <v>0.001</v>
      </c>
      <c r="Z915" s="12" t="n">
        <f aca="false">IF(AND($J915=1,$M915=1),N915*E915/Span_P+O915*F915/Span_S+P915*G915/Span_B,"")</f>
        <v>2.02561079469717</v>
      </c>
      <c r="AA915" s="12" t="n">
        <f aca="false">IF(AND($J915=1,$M915=1),SUMPRODUCT(MAX($J$6:$J$1062*(N915*$K$6:$K$1062/Span_P+O915*$F$6:$F$1062/Span_S+P915*$G$6:$G$1062/Span_B)-(1-$J$6:$J$1062)*1000000000)),"")</f>
        <v>2.02561079469717</v>
      </c>
      <c r="AB915" s="15" t="n">
        <f aca="false">IF(AND($J915=1,$M915=1),IF(AA915-Z915&lt;=0.000000001,1,0),"")</f>
        <v>1</v>
      </c>
      <c r="AC915" s="13" t="str">
        <f aca="false">IF(AND($J915=1,$M915=0),IF(S915="",0,S915*INDEX(Grid!$B$6:$H$156,R915+1,Q915+1))+IF(V915="",0,V915*INDEX(Grid!$B$6:$H$156,U915+1,T915+1))+IF(Y915="",0,Y915*INDEX(Grid!$B$6:$H$156,X915+1,W915+1)),"")</f>
        <v/>
      </c>
      <c r="AD915" s="13" t="str">
        <f aca="false">IF(AND($J915=1,$M915=0),IF(S915="",0,S915*Val_pt*(Ceiling_e-E_zero)*(1-(1-Half_gap)^Q915))+IF(V915="",0,V915*Val_pt*(Ceiling_e-E_zero)*(1-(1-Half_gap)^T915))+IF(Y915="",0,Y915*Val_pt*(Ceiling_e-E_zero)*(1-(1-Half_gap)^W915)),"")</f>
        <v/>
      </c>
      <c r="AE915" s="13" t="str">
        <f aca="false">IF(AND($J915=1,$M915=0),IF(S915="",0,S915*R915)+IF(V915="",0,V915*U915)+IF(Y915="",0,Y915*X915),"")</f>
        <v/>
      </c>
      <c r="AF915" s="12" t="str">
        <f aca="false">IF(AND($J915=1,$M915=0),MIN((AC915-E915)/Span_P,(AD915-F915)/Span_S,(AE915-G915)/Span_B),"")</f>
        <v/>
      </c>
      <c r="AG915" s="15" t="str">
        <f aca="false">IF(AND($J915=1,$M915=0),IF(AF915&gt;0.0000001,1,0),"")</f>
        <v/>
      </c>
      <c r="AH915" s="15" t="n">
        <f aca="false">IF($J915=1,IF($M915=1,AB915,AG915),"")</f>
        <v>1</v>
      </c>
      <c r="AI915" s="13" t="n">
        <f aca="false">IF($J915=1,(Ideal_P-E915)/Span_P,"")</f>
        <v>0.774088467510859</v>
      </c>
      <c r="AJ915" s="13" t="n">
        <f aca="false">IF($J915=1,(Ideal_S-F915)/Span_S,"")</f>
        <v>0</v>
      </c>
      <c r="AK915" s="13" t="n">
        <f aca="false">IF($J915=1,(Ideal_B-G915)/Span_B,"")</f>
        <v>0.98</v>
      </c>
      <c r="AL915" s="12" t="n">
        <f aca="false">IF($J915=1,MAX(ChA_1*AI915,ChA_2*AJ915,ChA_3*AK915)+Rho*(ChA_1*AI915+ChA_2*AJ915+ChA_3*AK915),"")</f>
        <v>0.980175408846751</v>
      </c>
      <c r="AM915" s="12" t="n">
        <f aca="false">IF($J915=1,MAX(ChB_1*AI915,ChB_2*AJ915,ChB_3*AK915)+Rho*(ChB_1*AI915+ChB_2*AJ915+ChB_3*AK915),"")</f>
        <v>1.54842975271522</v>
      </c>
      <c r="AN915" s="12" t="n">
        <f aca="false">IF($J915=1,MAX(Cx_1*(Ref_P-E915)/Span_P,Cx_2*(Ref_S-F915)/Span_S,Cx_3*(Ref_B-G915)/Span_B),"")</f>
        <v>2.49579831932773</v>
      </c>
    </row>
    <row r="916" customFormat="false" ht="15" hidden="false" customHeight="false" outlineLevel="0" collapsed="false">
      <c r="A916" s="2" t="n">
        <v>910</v>
      </c>
      <c r="B916" s="15" t="n">
        <f aca="false">INT(A916/151)</f>
        <v>6</v>
      </c>
      <c r="C916" s="15" t="n">
        <f aca="false">MOD(A916,151)</f>
        <v>4</v>
      </c>
      <c r="D916" s="15" t="n">
        <f aca="false">INDEX(Grid!$J$6:$P$156,C916+1,B916+1)</f>
        <v>1</v>
      </c>
      <c r="E916" s="16" t="n">
        <f aca="false">IF(D916=1,INDEX(Grid!$B$6:$H$156,C916+1,B916+1),"")</f>
        <v>102.955139563357</v>
      </c>
      <c r="F916" s="13" t="n">
        <f aca="false">Val_pt*(Ceiling_e-E_zero)*(1-(1-Half_gap)^B916)</f>
        <v>137.8125</v>
      </c>
      <c r="G916" s="15" t="n">
        <f aca="false">C916</f>
        <v>4</v>
      </c>
      <c r="H916" s="15" t="n">
        <f aca="false">IF(D916=1,INDEX(Grid!$R$6:$X$156,C916+1,B916+1),"")</f>
        <v>63</v>
      </c>
      <c r="I916" s="2" t="str">
        <f aca="false">IF(D916=1,INDEX(Sch_label,H916+1),"")</f>
        <v>1–6</v>
      </c>
      <c r="J916" s="15" t="n">
        <f aca="false">IF(D916=1,INDEX(Grid!$Z$6:$AF$156,C916+1,B916+1),0)</f>
        <v>1</v>
      </c>
      <c r="K916" s="16" t="n">
        <f aca="false">IF(J916=1,E916,0)</f>
        <v>102.955139563357</v>
      </c>
      <c r="L916" s="17" t="n">
        <f aca="false">IF(D916=1,E916+W_board*F916,"")</f>
        <v>880.870774418719</v>
      </c>
      <c r="M916" s="24" t="n">
        <v>1</v>
      </c>
      <c r="N916" s="25" t="n">
        <v>0.00265551057325527</v>
      </c>
      <c r="O916" s="25" t="n">
        <v>0.996344489426745</v>
      </c>
      <c r="P916" s="25" t="n">
        <v>0.001</v>
      </c>
      <c r="Z916" s="12" t="n">
        <f aca="false">IF(AND($J916=1,$M916=1),N916*E916/Span_P+O916*F916/Span_S+P916*G916/Span_B,"")</f>
        <v>2.02561079469717</v>
      </c>
      <c r="AA916" s="12" t="n">
        <f aca="false">IF(AND($J916=1,$M916=1),SUMPRODUCT(MAX($J$6:$J$1062*(N916*$K$6:$K$1062/Span_P+O916*$F$6:$F$1062/Span_S+P916*$G$6:$G$1062/Span_B)-(1-$J$6:$J$1062)*1000000000)),"")</f>
        <v>2.02561079469717</v>
      </c>
      <c r="AB916" s="15" t="n">
        <f aca="false">IF(AND($J916=1,$M916=1),IF(AA916-Z916&lt;=0.000000001,1,0),"")</f>
        <v>1</v>
      </c>
      <c r="AC916" s="13" t="str">
        <f aca="false">IF(AND($J916=1,$M916=0),IF(S916="",0,S916*INDEX(Grid!$B$6:$H$156,R916+1,Q916+1))+IF(V916="",0,V916*INDEX(Grid!$B$6:$H$156,U916+1,T916+1))+IF(Y916="",0,Y916*INDEX(Grid!$B$6:$H$156,X916+1,W916+1)),"")</f>
        <v/>
      </c>
      <c r="AD916" s="13" t="str">
        <f aca="false">IF(AND($J916=1,$M916=0),IF(S916="",0,S916*Val_pt*(Ceiling_e-E_zero)*(1-(1-Half_gap)^Q916))+IF(V916="",0,V916*Val_pt*(Ceiling_e-E_zero)*(1-(1-Half_gap)^T916))+IF(Y916="",0,Y916*Val_pt*(Ceiling_e-E_zero)*(1-(1-Half_gap)^W916)),"")</f>
        <v/>
      </c>
      <c r="AE916" s="13" t="str">
        <f aca="false">IF(AND($J916=1,$M916=0),IF(S916="",0,S916*R916)+IF(V916="",0,V916*U916)+IF(Y916="",0,Y916*X916),"")</f>
        <v/>
      </c>
      <c r="AF916" s="12" t="str">
        <f aca="false">IF(AND($J916=1,$M916=0),MIN((AC916-E916)/Span_P,(AD916-F916)/Span_S,(AE916-G916)/Span_B),"")</f>
        <v/>
      </c>
      <c r="AG916" s="15" t="str">
        <f aca="false">IF(AND($J916=1,$M916=0),IF(AF916&gt;0.0000001,1,0),"")</f>
        <v/>
      </c>
      <c r="AH916" s="15" t="n">
        <f aca="false">IF($J916=1,IF($M916=1,AB916,AG916),"")</f>
        <v>1</v>
      </c>
      <c r="AI916" s="13" t="n">
        <f aca="false">IF($J916=1,(Ideal_P-E916)/Span_P,"")</f>
        <v>0.776598970287164</v>
      </c>
      <c r="AJ916" s="13" t="n">
        <f aca="false">IF($J916=1,(Ideal_S-F916)/Span_S,"")</f>
        <v>0</v>
      </c>
      <c r="AK916" s="13" t="n">
        <f aca="false">IF($J916=1,(Ideal_B-G916)/Span_B,"")</f>
        <v>0.973333333333333</v>
      </c>
      <c r="AL916" s="12" t="n">
        <f aca="false">IF($J916=1,MAX(ChA_1*AI916,ChA_2*AJ916,ChA_3*AK916)+Rho*(ChA_1*AI916+ChA_2*AJ916+ChA_3*AK916),"")</f>
        <v>0.973508326563696</v>
      </c>
      <c r="AM916" s="12" t="n">
        <f aca="false">IF($J916=1,MAX(ChB_1*AI916,ChB_2*AJ916,ChB_3*AK916)+Rho*(ChB_1*AI916+ChB_2*AJ916+ChB_3*AK916),"")</f>
        <v>1.55345059370172</v>
      </c>
      <c r="AN916" s="12" t="n">
        <f aca="false">IF($J916=1,MAX(Cx_1*(Ref_P-E916)/Span_P,Cx_2*(Ref_S-F916)/Span_S,Cx_3*(Ref_B-G916)/Span_B),"")</f>
        <v>2.47899159663866</v>
      </c>
    </row>
    <row r="917" customFormat="false" ht="15" hidden="false" customHeight="false" outlineLevel="0" collapsed="false">
      <c r="A917" s="2" t="n">
        <v>911</v>
      </c>
      <c r="B917" s="15" t="n">
        <f aca="false">INT(A917/151)</f>
        <v>6</v>
      </c>
      <c r="C917" s="15" t="n">
        <f aca="false">MOD(A917,151)</f>
        <v>5</v>
      </c>
      <c r="D917" s="15" t="n">
        <f aca="false">INDEX(Grid!$J$6:$P$156,C917+1,B917+1)</f>
        <v>1</v>
      </c>
      <c r="E917" s="16" t="n">
        <f aca="false">IF(D917=1,INDEX(Grid!$B$6:$H$156,C917+1,B917+1),"")</f>
        <v>102.046048654266</v>
      </c>
      <c r="F917" s="13" t="n">
        <f aca="false">Val_pt*(Ceiling_e-E_zero)*(1-(1-Half_gap)^B917)</f>
        <v>137.8125</v>
      </c>
      <c r="G917" s="15" t="n">
        <f aca="false">C917</f>
        <v>5</v>
      </c>
      <c r="H917" s="15" t="n">
        <f aca="false">IF(D917=1,INDEX(Grid!$R$6:$X$156,C917+1,B917+1),"")</f>
        <v>63</v>
      </c>
      <c r="I917" s="2" t="str">
        <f aca="false">IF(D917=1,INDEX(Sch_label,H917+1),"")</f>
        <v>1–6</v>
      </c>
      <c r="J917" s="15" t="n">
        <f aca="false">IF(D917=1,INDEX(Grid!$Z$6:$AF$156,C917+1,B917+1),0)</f>
        <v>1</v>
      </c>
      <c r="K917" s="16" t="n">
        <f aca="false">IF(J917=1,E917,0)</f>
        <v>102.046048654266</v>
      </c>
      <c r="L917" s="17" t="n">
        <f aca="false">IF(D917=1,E917+W_board*F917,"")</f>
        <v>879.961683509628</v>
      </c>
      <c r="M917" s="24" t="n">
        <v>1</v>
      </c>
      <c r="N917" s="25" t="n">
        <v>0.00265551057325527</v>
      </c>
      <c r="O917" s="25" t="n">
        <v>0.996344489426745</v>
      </c>
      <c r="P917" s="25" t="n">
        <v>0.001</v>
      </c>
      <c r="Z917" s="12" t="n">
        <f aca="false">IF(AND($J917=1,$M917=1),N917*E917/Span_P+O917*F917/Span_S+P917*G917/Span_B,"")</f>
        <v>2.02561079469717</v>
      </c>
      <c r="AA917" s="12" t="n">
        <f aca="false">IF(AND($J917=1,$M917=1),SUMPRODUCT(MAX($J$6:$J$1062*(N917*$K$6:$K$1062/Span_P+O917*$F$6:$F$1062/Span_S+P917*$G$6:$G$1062/Span_B)-(1-$J$6:$J$1062)*1000000000)),"")</f>
        <v>2.02561079469717</v>
      </c>
      <c r="AB917" s="15" t="n">
        <f aca="false">IF(AND($J917=1,$M917=1),IF(AA917-Z917&lt;=0.000000001,1,0),"")</f>
        <v>1</v>
      </c>
      <c r="AC917" s="13" t="str">
        <f aca="false">IF(AND($J917=1,$M917=0),IF(S917="",0,S917*INDEX(Grid!$B$6:$H$156,R917+1,Q917+1))+IF(V917="",0,V917*INDEX(Grid!$B$6:$H$156,U917+1,T917+1))+IF(Y917="",0,Y917*INDEX(Grid!$B$6:$H$156,X917+1,W917+1)),"")</f>
        <v/>
      </c>
      <c r="AD917" s="13" t="str">
        <f aca="false">IF(AND($J917=1,$M917=0),IF(S917="",0,S917*Val_pt*(Ceiling_e-E_zero)*(1-(1-Half_gap)^Q917))+IF(V917="",0,V917*Val_pt*(Ceiling_e-E_zero)*(1-(1-Half_gap)^T917))+IF(Y917="",0,Y917*Val_pt*(Ceiling_e-E_zero)*(1-(1-Half_gap)^W917)),"")</f>
        <v/>
      </c>
      <c r="AE917" s="13" t="str">
        <f aca="false">IF(AND($J917=1,$M917=0),IF(S917="",0,S917*R917)+IF(V917="",0,V917*U917)+IF(Y917="",0,Y917*X917),"")</f>
        <v/>
      </c>
      <c r="AF917" s="12" t="str">
        <f aca="false">IF(AND($J917=1,$M917=0),MIN((AC917-E917)/Span_P,(AD917-F917)/Span_S,(AE917-G917)/Span_B),"")</f>
        <v/>
      </c>
      <c r="AG917" s="15" t="str">
        <f aca="false">IF(AND($J917=1,$M917=0),IF(AF917&gt;0.0000001,1,0),"")</f>
        <v/>
      </c>
      <c r="AH917" s="15" t="n">
        <f aca="false">IF($J917=1,IF($M917=1,AB917,AG917),"")</f>
        <v>1</v>
      </c>
      <c r="AI917" s="13" t="n">
        <f aca="false">IF($J917=1,(Ideal_P-E917)/Span_P,"")</f>
        <v>0.77910947306347</v>
      </c>
      <c r="AJ917" s="13" t="n">
        <f aca="false">IF($J917=1,(Ideal_S-F917)/Span_S,"")</f>
        <v>0</v>
      </c>
      <c r="AK917" s="13" t="n">
        <f aca="false">IF($J917=1,(Ideal_B-G917)/Span_B,"")</f>
        <v>0.966666666666667</v>
      </c>
      <c r="AL917" s="12" t="n">
        <f aca="false">IF($J917=1,MAX(ChA_1*AI917,ChA_2*AJ917,ChA_3*AK917)+Rho*(ChA_1*AI917+ChA_2*AJ917+ChA_3*AK917),"")</f>
        <v>0.96684124428064</v>
      </c>
      <c r="AM917" s="12" t="n">
        <f aca="false">IF($J917=1,MAX(ChB_1*AI917,ChB_2*AJ917,ChB_3*AK917)+Rho*(ChB_1*AI917+ChB_2*AJ917+ChB_3*AK917),"")</f>
        <v>1.55847143468822</v>
      </c>
      <c r="AN917" s="12" t="n">
        <f aca="false">IF($J917=1,MAX(Cx_1*(Ref_P-E917)/Span_P,Cx_2*(Ref_S-F917)/Span_S,Cx_3*(Ref_B-G917)/Span_B),"")</f>
        <v>2.46218487394958</v>
      </c>
    </row>
    <row r="918" customFormat="false" ht="15" hidden="false" customHeight="false" outlineLevel="0" collapsed="false">
      <c r="A918" s="2" t="n">
        <v>912</v>
      </c>
      <c r="B918" s="15" t="n">
        <f aca="false">INT(A918/151)</f>
        <v>6</v>
      </c>
      <c r="C918" s="15" t="n">
        <f aca="false">MOD(A918,151)</f>
        <v>6</v>
      </c>
      <c r="D918" s="15" t="n">
        <f aca="false">INDEX(Grid!$J$6:$P$156,C918+1,B918+1)</f>
        <v>1</v>
      </c>
      <c r="E918" s="16" t="n">
        <f aca="false">IF(D918=1,INDEX(Grid!$B$6:$H$156,C918+1,B918+1),"")</f>
        <v>101.136957745175</v>
      </c>
      <c r="F918" s="13" t="n">
        <f aca="false">Val_pt*(Ceiling_e-E_zero)*(1-(1-Half_gap)^B918)</f>
        <v>137.8125</v>
      </c>
      <c r="G918" s="15" t="n">
        <f aca="false">C918</f>
        <v>6</v>
      </c>
      <c r="H918" s="15" t="n">
        <f aca="false">IF(D918=1,INDEX(Grid!$R$6:$X$156,C918+1,B918+1),"")</f>
        <v>63</v>
      </c>
      <c r="I918" s="2" t="str">
        <f aca="false">IF(D918=1,INDEX(Sch_label,H918+1),"")</f>
        <v>1–6</v>
      </c>
      <c r="J918" s="15" t="n">
        <f aca="false">IF(D918=1,INDEX(Grid!$Z$6:$AF$156,C918+1,B918+1),0)</f>
        <v>1</v>
      </c>
      <c r="K918" s="16" t="n">
        <f aca="false">IF(J918=1,E918,0)</f>
        <v>101.136957745175</v>
      </c>
      <c r="L918" s="17" t="n">
        <f aca="false">IF(D918=1,E918+W_board*F918,"")</f>
        <v>879.052592600537</v>
      </c>
      <c r="M918" s="24" t="n">
        <v>1</v>
      </c>
      <c r="N918" s="25" t="n">
        <v>0.00265551057325527</v>
      </c>
      <c r="O918" s="25" t="n">
        <v>0.996344489426745</v>
      </c>
      <c r="P918" s="25" t="n">
        <v>0.001</v>
      </c>
      <c r="Z918" s="12" t="n">
        <f aca="false">IF(AND($J918=1,$M918=1),N918*E918/Span_P+O918*F918/Span_S+P918*G918/Span_B,"")</f>
        <v>2.02561079469717</v>
      </c>
      <c r="AA918" s="12" t="n">
        <f aca="false">IF(AND($J918=1,$M918=1),SUMPRODUCT(MAX($J$6:$J$1062*(N918*$K$6:$K$1062/Span_P+O918*$F$6:$F$1062/Span_S+P918*$G$6:$G$1062/Span_B)-(1-$J$6:$J$1062)*1000000000)),"")</f>
        <v>2.02561079469717</v>
      </c>
      <c r="AB918" s="15" t="n">
        <f aca="false">IF(AND($J918=1,$M918=1),IF(AA918-Z918&lt;=0.000000001,1,0),"")</f>
        <v>1</v>
      </c>
      <c r="AC918" s="13" t="str">
        <f aca="false">IF(AND($J918=1,$M918=0),IF(S918="",0,S918*INDEX(Grid!$B$6:$H$156,R918+1,Q918+1))+IF(V918="",0,V918*INDEX(Grid!$B$6:$H$156,U918+1,T918+1))+IF(Y918="",0,Y918*INDEX(Grid!$B$6:$H$156,X918+1,W918+1)),"")</f>
        <v/>
      </c>
      <c r="AD918" s="13" t="str">
        <f aca="false">IF(AND($J918=1,$M918=0),IF(S918="",0,S918*Val_pt*(Ceiling_e-E_zero)*(1-(1-Half_gap)^Q918))+IF(V918="",0,V918*Val_pt*(Ceiling_e-E_zero)*(1-(1-Half_gap)^T918))+IF(Y918="",0,Y918*Val_pt*(Ceiling_e-E_zero)*(1-(1-Half_gap)^W918)),"")</f>
        <v/>
      </c>
      <c r="AE918" s="13" t="str">
        <f aca="false">IF(AND($J918=1,$M918=0),IF(S918="",0,S918*R918)+IF(V918="",0,V918*U918)+IF(Y918="",0,Y918*X918),"")</f>
        <v/>
      </c>
      <c r="AF918" s="12" t="str">
        <f aca="false">IF(AND($J918=1,$M918=0),MIN((AC918-E918)/Span_P,(AD918-F918)/Span_S,(AE918-G918)/Span_B),"")</f>
        <v/>
      </c>
      <c r="AG918" s="15" t="str">
        <f aca="false">IF(AND($J918=1,$M918=0),IF(AF918&gt;0.0000001,1,0),"")</f>
        <v/>
      </c>
      <c r="AH918" s="15" t="n">
        <f aca="false">IF($J918=1,IF($M918=1,AB918,AG918),"")</f>
        <v>1</v>
      </c>
      <c r="AI918" s="13" t="n">
        <f aca="false">IF($J918=1,(Ideal_P-E918)/Span_P,"")</f>
        <v>0.781619975839776</v>
      </c>
      <c r="AJ918" s="13" t="n">
        <f aca="false">IF($J918=1,(Ideal_S-F918)/Span_S,"")</f>
        <v>0</v>
      </c>
      <c r="AK918" s="13" t="n">
        <f aca="false">IF($J918=1,(Ideal_B-G918)/Span_B,"")</f>
        <v>0.96</v>
      </c>
      <c r="AL918" s="12" t="n">
        <f aca="false">IF($J918=1,MAX(ChA_1*AI918,ChA_2*AJ918,ChA_3*AK918)+Rho*(ChA_1*AI918+ChA_2*AJ918+ChA_3*AK918),"")</f>
        <v>0.960174161997584</v>
      </c>
      <c r="AM918" s="12" t="n">
        <f aca="false">IF($J918=1,MAX(ChB_1*AI918,ChB_2*AJ918,ChB_3*AK918)+Rho*(ChB_1*AI918+ChB_2*AJ918+ChB_3*AK918),"")</f>
        <v>1.56349227567472</v>
      </c>
      <c r="AN918" s="12" t="n">
        <f aca="false">IF($J918=1,MAX(Cx_1*(Ref_P-E918)/Span_P,Cx_2*(Ref_S-F918)/Span_S,Cx_3*(Ref_B-G918)/Span_B),"")</f>
        <v>2.4453781512605</v>
      </c>
    </row>
    <row r="919" customFormat="false" ht="15" hidden="false" customHeight="false" outlineLevel="0" collapsed="false">
      <c r="A919" s="2" t="n">
        <v>913</v>
      </c>
      <c r="B919" s="15" t="n">
        <f aca="false">INT(A919/151)</f>
        <v>6</v>
      </c>
      <c r="C919" s="15" t="n">
        <f aca="false">MOD(A919,151)</f>
        <v>7</v>
      </c>
      <c r="D919" s="15" t="n">
        <f aca="false">INDEX(Grid!$J$6:$P$156,C919+1,B919+1)</f>
        <v>1</v>
      </c>
      <c r="E919" s="16" t="n">
        <f aca="false">IF(D919=1,INDEX(Grid!$B$6:$H$156,C919+1,B919+1),"")</f>
        <v>100.227866836084</v>
      </c>
      <c r="F919" s="13" t="n">
        <f aca="false">Val_pt*(Ceiling_e-E_zero)*(1-(1-Half_gap)^B919)</f>
        <v>137.8125</v>
      </c>
      <c r="G919" s="15" t="n">
        <f aca="false">C919</f>
        <v>7</v>
      </c>
      <c r="H919" s="15" t="n">
        <f aca="false">IF(D919=1,INDEX(Grid!$R$6:$X$156,C919+1,B919+1),"")</f>
        <v>63</v>
      </c>
      <c r="I919" s="2" t="str">
        <f aca="false">IF(D919=1,INDEX(Sch_label,H919+1),"")</f>
        <v>1–6</v>
      </c>
      <c r="J919" s="15" t="n">
        <f aca="false">IF(D919=1,INDEX(Grid!$Z$6:$AF$156,C919+1,B919+1),0)</f>
        <v>1</v>
      </c>
      <c r="K919" s="16" t="n">
        <f aca="false">IF(J919=1,E919,0)</f>
        <v>100.227866836084</v>
      </c>
      <c r="L919" s="17" t="n">
        <f aca="false">IF(D919=1,E919+W_board*F919,"")</f>
        <v>878.143501691446</v>
      </c>
      <c r="M919" s="24" t="n">
        <v>1</v>
      </c>
      <c r="N919" s="25" t="n">
        <v>0.00265551057325527</v>
      </c>
      <c r="O919" s="25" t="n">
        <v>0.996344489426745</v>
      </c>
      <c r="P919" s="25" t="n">
        <v>0.001</v>
      </c>
      <c r="Z919" s="12" t="n">
        <f aca="false">IF(AND($J919=1,$M919=1),N919*E919/Span_P+O919*F919/Span_S+P919*G919/Span_B,"")</f>
        <v>2.02561079469717</v>
      </c>
      <c r="AA919" s="12" t="n">
        <f aca="false">IF(AND($J919=1,$M919=1),SUMPRODUCT(MAX($J$6:$J$1062*(N919*$K$6:$K$1062/Span_P+O919*$F$6:$F$1062/Span_S+P919*$G$6:$G$1062/Span_B)-(1-$J$6:$J$1062)*1000000000)),"")</f>
        <v>2.02561079469717</v>
      </c>
      <c r="AB919" s="15" t="n">
        <f aca="false">IF(AND($J919=1,$M919=1),IF(AA919-Z919&lt;=0.000000001,1,0),"")</f>
        <v>1</v>
      </c>
      <c r="AC919" s="13" t="str">
        <f aca="false">IF(AND($J919=1,$M919=0),IF(S919="",0,S919*INDEX(Grid!$B$6:$H$156,R919+1,Q919+1))+IF(V919="",0,V919*INDEX(Grid!$B$6:$H$156,U919+1,T919+1))+IF(Y919="",0,Y919*INDEX(Grid!$B$6:$H$156,X919+1,W919+1)),"")</f>
        <v/>
      </c>
      <c r="AD919" s="13" t="str">
        <f aca="false">IF(AND($J919=1,$M919=0),IF(S919="",0,S919*Val_pt*(Ceiling_e-E_zero)*(1-(1-Half_gap)^Q919))+IF(V919="",0,V919*Val_pt*(Ceiling_e-E_zero)*(1-(1-Half_gap)^T919))+IF(Y919="",0,Y919*Val_pt*(Ceiling_e-E_zero)*(1-(1-Half_gap)^W919)),"")</f>
        <v/>
      </c>
      <c r="AE919" s="13" t="str">
        <f aca="false">IF(AND($J919=1,$M919=0),IF(S919="",0,S919*R919)+IF(V919="",0,V919*U919)+IF(Y919="",0,Y919*X919),"")</f>
        <v/>
      </c>
      <c r="AF919" s="12" t="str">
        <f aca="false">IF(AND($J919=1,$M919=0),MIN((AC919-E919)/Span_P,(AD919-F919)/Span_S,(AE919-G919)/Span_B),"")</f>
        <v/>
      </c>
      <c r="AG919" s="15" t="str">
        <f aca="false">IF(AND($J919=1,$M919=0),IF(AF919&gt;0.0000001,1,0),"")</f>
        <v/>
      </c>
      <c r="AH919" s="15" t="n">
        <f aca="false">IF($J919=1,IF($M919=1,AB919,AG919),"")</f>
        <v>1</v>
      </c>
      <c r="AI919" s="13" t="n">
        <f aca="false">IF($J919=1,(Ideal_P-E919)/Span_P,"")</f>
        <v>0.784130478616082</v>
      </c>
      <c r="AJ919" s="13" t="n">
        <f aca="false">IF($J919=1,(Ideal_S-F919)/Span_S,"")</f>
        <v>0</v>
      </c>
      <c r="AK919" s="13" t="n">
        <f aca="false">IF($J919=1,(Ideal_B-G919)/Span_B,"")</f>
        <v>0.953333333333333</v>
      </c>
      <c r="AL919" s="12" t="n">
        <f aca="false">IF($J919=1,MAX(ChA_1*AI919,ChA_2*AJ919,ChA_3*AK919)+Rho*(ChA_1*AI919+ChA_2*AJ919+ChA_3*AK919),"")</f>
        <v>0.953507079714528</v>
      </c>
      <c r="AM919" s="12" t="n">
        <f aca="false">IF($J919=1,MAX(ChB_1*AI919,ChB_2*AJ919,ChB_3*AK919)+Rho*(ChB_1*AI919+ChB_2*AJ919+ChB_3*AK919),"")</f>
        <v>1.56851311666122</v>
      </c>
      <c r="AN919" s="12" t="n">
        <f aca="false">IF($J919=1,MAX(Cx_1*(Ref_P-E919)/Span_P,Cx_2*(Ref_S-F919)/Span_S,Cx_3*(Ref_B-G919)/Span_B),"")</f>
        <v>2.42857142857143</v>
      </c>
    </row>
    <row r="920" customFormat="false" ht="15" hidden="false" customHeight="false" outlineLevel="0" collapsed="false">
      <c r="A920" s="2" t="n">
        <v>914</v>
      </c>
      <c r="B920" s="15" t="n">
        <f aca="false">INT(A920/151)</f>
        <v>6</v>
      </c>
      <c r="C920" s="15" t="n">
        <f aca="false">MOD(A920,151)</f>
        <v>8</v>
      </c>
      <c r="D920" s="15" t="n">
        <f aca="false">INDEX(Grid!$J$6:$P$156,C920+1,B920+1)</f>
        <v>1</v>
      </c>
      <c r="E920" s="16" t="n">
        <f aca="false">IF(D920=1,INDEX(Grid!$B$6:$H$156,C920+1,B920+1),"")</f>
        <v>99.3187759269932</v>
      </c>
      <c r="F920" s="13" t="n">
        <f aca="false">Val_pt*(Ceiling_e-E_zero)*(1-(1-Half_gap)^B920)</f>
        <v>137.8125</v>
      </c>
      <c r="G920" s="15" t="n">
        <f aca="false">C920</f>
        <v>8</v>
      </c>
      <c r="H920" s="15" t="n">
        <f aca="false">IF(D920=1,INDEX(Grid!$R$6:$X$156,C920+1,B920+1),"")</f>
        <v>63</v>
      </c>
      <c r="I920" s="2" t="str">
        <f aca="false">IF(D920=1,INDEX(Sch_label,H920+1),"")</f>
        <v>1–6</v>
      </c>
      <c r="J920" s="15" t="n">
        <f aca="false">IF(D920=1,INDEX(Grid!$Z$6:$AF$156,C920+1,B920+1),0)</f>
        <v>1</v>
      </c>
      <c r="K920" s="16" t="n">
        <f aca="false">IF(J920=1,E920,0)</f>
        <v>99.3187759269932</v>
      </c>
      <c r="L920" s="17" t="n">
        <f aca="false">IF(D920=1,E920+W_board*F920,"")</f>
        <v>877.234410782355</v>
      </c>
      <c r="M920" s="24" t="n">
        <v>1</v>
      </c>
      <c r="N920" s="25" t="n">
        <v>0.00265551057325527</v>
      </c>
      <c r="O920" s="25" t="n">
        <v>0.996344489426745</v>
      </c>
      <c r="P920" s="25" t="n">
        <v>0.001</v>
      </c>
      <c r="Z920" s="12" t="n">
        <f aca="false">IF(AND($J920=1,$M920=1),N920*E920/Span_P+O920*F920/Span_S+P920*G920/Span_B,"")</f>
        <v>2.02561079469717</v>
      </c>
      <c r="AA920" s="12" t="n">
        <f aca="false">IF(AND($J920=1,$M920=1),SUMPRODUCT(MAX($J$6:$J$1062*(N920*$K$6:$K$1062/Span_P+O920*$F$6:$F$1062/Span_S+P920*$G$6:$G$1062/Span_B)-(1-$J$6:$J$1062)*1000000000)),"")</f>
        <v>2.02561079469717</v>
      </c>
      <c r="AB920" s="15" t="n">
        <f aca="false">IF(AND($J920=1,$M920=1),IF(AA920-Z920&lt;=0.000000001,1,0),"")</f>
        <v>1</v>
      </c>
      <c r="AC920" s="13" t="str">
        <f aca="false">IF(AND($J920=1,$M920=0),IF(S920="",0,S920*INDEX(Grid!$B$6:$H$156,R920+1,Q920+1))+IF(V920="",0,V920*INDEX(Grid!$B$6:$H$156,U920+1,T920+1))+IF(Y920="",0,Y920*INDEX(Grid!$B$6:$H$156,X920+1,W920+1)),"")</f>
        <v/>
      </c>
      <c r="AD920" s="13" t="str">
        <f aca="false">IF(AND($J920=1,$M920=0),IF(S920="",0,S920*Val_pt*(Ceiling_e-E_zero)*(1-(1-Half_gap)^Q920))+IF(V920="",0,V920*Val_pt*(Ceiling_e-E_zero)*(1-(1-Half_gap)^T920))+IF(Y920="",0,Y920*Val_pt*(Ceiling_e-E_zero)*(1-(1-Half_gap)^W920)),"")</f>
        <v/>
      </c>
      <c r="AE920" s="13" t="str">
        <f aca="false">IF(AND($J920=1,$M920=0),IF(S920="",0,S920*R920)+IF(V920="",0,V920*U920)+IF(Y920="",0,Y920*X920),"")</f>
        <v/>
      </c>
      <c r="AF920" s="12" t="str">
        <f aca="false">IF(AND($J920=1,$M920=0),MIN((AC920-E920)/Span_P,(AD920-F920)/Span_S,(AE920-G920)/Span_B),"")</f>
        <v/>
      </c>
      <c r="AG920" s="15" t="str">
        <f aca="false">IF(AND($J920=1,$M920=0),IF(AF920&gt;0.0000001,1,0),"")</f>
        <v/>
      </c>
      <c r="AH920" s="15" t="n">
        <f aca="false">IF($J920=1,IF($M920=1,AB920,AG920),"")</f>
        <v>1</v>
      </c>
      <c r="AI920" s="13" t="n">
        <f aca="false">IF($J920=1,(Ideal_P-E920)/Span_P,"")</f>
        <v>0.786640981392388</v>
      </c>
      <c r="AJ920" s="13" t="n">
        <f aca="false">IF($J920=1,(Ideal_S-F920)/Span_S,"")</f>
        <v>0</v>
      </c>
      <c r="AK920" s="13" t="n">
        <f aca="false">IF($J920=1,(Ideal_B-G920)/Span_B,"")</f>
        <v>0.946666666666667</v>
      </c>
      <c r="AL920" s="12" t="n">
        <f aca="false">IF($J920=1,MAX(ChA_1*AI920,ChA_2*AJ920,ChA_3*AK920)+Rho*(ChA_1*AI920+ChA_2*AJ920+ChA_3*AK920),"")</f>
        <v>0.946839997431473</v>
      </c>
      <c r="AM920" s="12" t="n">
        <f aca="false">IF($J920=1,MAX(ChB_1*AI920,ChB_2*AJ920,ChB_3*AK920)+Rho*(ChB_1*AI920+ChB_2*AJ920+ChB_3*AK920),"")</f>
        <v>1.57353395764772</v>
      </c>
      <c r="AN920" s="12" t="n">
        <f aca="false">IF($J920=1,MAX(Cx_1*(Ref_P-E920)/Span_P,Cx_2*(Ref_S-F920)/Span_S,Cx_3*(Ref_B-G920)/Span_B),"")</f>
        <v>2.41176470588235</v>
      </c>
    </row>
    <row r="921" customFormat="false" ht="15" hidden="false" customHeight="false" outlineLevel="0" collapsed="false">
      <c r="A921" s="2" t="n">
        <v>915</v>
      </c>
      <c r="B921" s="15" t="n">
        <f aca="false">INT(A921/151)</f>
        <v>6</v>
      </c>
      <c r="C921" s="15" t="n">
        <f aca="false">MOD(A921,151)</f>
        <v>9</v>
      </c>
      <c r="D921" s="15" t="n">
        <f aca="false">INDEX(Grid!$J$6:$P$156,C921+1,B921+1)</f>
        <v>1</v>
      </c>
      <c r="E921" s="16" t="n">
        <f aca="false">IF(D921=1,INDEX(Grid!$B$6:$H$156,C921+1,B921+1),"")</f>
        <v>98.4096850179023</v>
      </c>
      <c r="F921" s="13" t="n">
        <f aca="false">Val_pt*(Ceiling_e-E_zero)*(1-(1-Half_gap)^B921)</f>
        <v>137.8125</v>
      </c>
      <c r="G921" s="15" t="n">
        <f aca="false">C921</f>
        <v>9</v>
      </c>
      <c r="H921" s="15" t="n">
        <f aca="false">IF(D921=1,INDEX(Grid!$R$6:$X$156,C921+1,B921+1),"")</f>
        <v>63</v>
      </c>
      <c r="I921" s="2" t="str">
        <f aca="false">IF(D921=1,INDEX(Sch_label,H921+1),"")</f>
        <v>1–6</v>
      </c>
      <c r="J921" s="15" t="n">
        <f aca="false">IF(D921=1,INDEX(Grid!$Z$6:$AF$156,C921+1,B921+1),0)</f>
        <v>1</v>
      </c>
      <c r="K921" s="16" t="n">
        <f aca="false">IF(J921=1,E921,0)</f>
        <v>98.4096850179023</v>
      </c>
      <c r="L921" s="17" t="n">
        <f aca="false">IF(D921=1,E921+W_board*F921,"")</f>
        <v>876.325319873264</v>
      </c>
      <c r="M921" s="24" t="n">
        <v>1</v>
      </c>
      <c r="N921" s="25" t="n">
        <v>0.00265551057325521</v>
      </c>
      <c r="O921" s="25" t="n">
        <v>0.996344489426745</v>
      </c>
      <c r="P921" s="25" t="n">
        <v>0.001</v>
      </c>
      <c r="Z921" s="12" t="n">
        <f aca="false">IF(AND($J921=1,$M921=1),N921*E921/Span_P+O921*F921/Span_S+P921*G921/Span_B,"")</f>
        <v>2.02561079469717</v>
      </c>
      <c r="AA921" s="12" t="n">
        <f aca="false">IF(AND($J921=1,$M921=1),SUMPRODUCT(MAX($J$6:$J$1062*(N921*$K$6:$K$1062/Span_P+O921*$F$6:$F$1062/Span_S+P921*$G$6:$G$1062/Span_B)-(1-$J$6:$J$1062)*1000000000)),"")</f>
        <v>2.02561079469717</v>
      </c>
      <c r="AB921" s="15" t="n">
        <f aca="false">IF(AND($J921=1,$M921=1),IF(AA921-Z921&lt;=0.000000001,1,0),"")</f>
        <v>1</v>
      </c>
      <c r="AC921" s="13" t="str">
        <f aca="false">IF(AND($J921=1,$M921=0),IF(S921="",0,S921*INDEX(Grid!$B$6:$H$156,R921+1,Q921+1))+IF(V921="",0,V921*INDEX(Grid!$B$6:$H$156,U921+1,T921+1))+IF(Y921="",0,Y921*INDEX(Grid!$B$6:$H$156,X921+1,W921+1)),"")</f>
        <v/>
      </c>
      <c r="AD921" s="13" t="str">
        <f aca="false">IF(AND($J921=1,$M921=0),IF(S921="",0,S921*Val_pt*(Ceiling_e-E_zero)*(1-(1-Half_gap)^Q921))+IF(V921="",0,V921*Val_pt*(Ceiling_e-E_zero)*(1-(1-Half_gap)^T921))+IF(Y921="",0,Y921*Val_pt*(Ceiling_e-E_zero)*(1-(1-Half_gap)^W921)),"")</f>
        <v/>
      </c>
      <c r="AE921" s="13" t="str">
        <f aca="false">IF(AND($J921=1,$M921=0),IF(S921="",0,S921*R921)+IF(V921="",0,V921*U921)+IF(Y921="",0,Y921*X921),"")</f>
        <v/>
      </c>
      <c r="AF921" s="12" t="str">
        <f aca="false">IF(AND($J921=1,$M921=0),MIN((AC921-E921)/Span_P,(AD921-F921)/Span_S,(AE921-G921)/Span_B),"")</f>
        <v/>
      </c>
      <c r="AG921" s="15" t="str">
        <f aca="false">IF(AND($J921=1,$M921=0),IF(AF921&gt;0.0000001,1,0),"")</f>
        <v/>
      </c>
      <c r="AH921" s="15" t="n">
        <f aca="false">IF($J921=1,IF($M921=1,AB921,AG921),"")</f>
        <v>1</v>
      </c>
      <c r="AI921" s="13" t="n">
        <f aca="false">IF($J921=1,(Ideal_P-E921)/Span_P,"")</f>
        <v>0.789151484168693</v>
      </c>
      <c r="AJ921" s="13" t="n">
        <f aca="false">IF($J921=1,(Ideal_S-F921)/Span_S,"")</f>
        <v>0</v>
      </c>
      <c r="AK921" s="13" t="n">
        <f aca="false">IF($J921=1,(Ideal_B-G921)/Span_B,"")</f>
        <v>0.94</v>
      </c>
      <c r="AL921" s="12" t="n">
        <f aca="false">IF($J921=1,MAX(ChA_1*AI921,ChA_2*AJ921,ChA_3*AK921)+Rho*(ChA_1*AI921+ChA_2*AJ921+ChA_3*AK921),"")</f>
        <v>0.940172915148417</v>
      </c>
      <c r="AM921" s="12" t="n">
        <f aca="false">IF($J921=1,MAX(ChB_1*AI921,ChB_2*AJ921,ChB_3*AK921)+Rho*(ChB_1*AI921+ChB_2*AJ921+ChB_3*AK921),"")</f>
        <v>1.57855479863422</v>
      </c>
      <c r="AN921" s="12" t="n">
        <f aca="false">IF($J921=1,MAX(Cx_1*(Ref_P-E921)/Span_P,Cx_2*(Ref_S-F921)/Span_S,Cx_3*(Ref_B-G921)/Span_B),"")</f>
        <v>2.39495798319328</v>
      </c>
    </row>
    <row r="922" customFormat="false" ht="15" hidden="false" customHeight="false" outlineLevel="0" collapsed="false">
      <c r="A922" s="2" t="n">
        <v>916</v>
      </c>
      <c r="B922" s="15" t="n">
        <f aca="false">INT(A922/151)</f>
        <v>6</v>
      </c>
      <c r="C922" s="15" t="n">
        <f aca="false">MOD(A922,151)</f>
        <v>10</v>
      </c>
      <c r="D922" s="15" t="n">
        <f aca="false">INDEX(Grid!$J$6:$P$156,C922+1,B922+1)</f>
        <v>1</v>
      </c>
      <c r="E922" s="16" t="n">
        <f aca="false">IF(D922=1,INDEX(Grid!$B$6:$H$156,C922+1,B922+1),"")</f>
        <v>97.5005941088114</v>
      </c>
      <c r="F922" s="13" t="n">
        <f aca="false">Val_pt*(Ceiling_e-E_zero)*(1-(1-Half_gap)^B922)</f>
        <v>137.8125</v>
      </c>
      <c r="G922" s="15" t="n">
        <f aca="false">C922</f>
        <v>10</v>
      </c>
      <c r="H922" s="15" t="n">
        <f aca="false">IF(D922=1,INDEX(Grid!$R$6:$X$156,C922+1,B922+1),"")</f>
        <v>63</v>
      </c>
      <c r="I922" s="2" t="str">
        <f aca="false">IF(D922=1,INDEX(Sch_label,H922+1),"")</f>
        <v>1–6</v>
      </c>
      <c r="J922" s="15" t="n">
        <f aca="false">IF(D922=1,INDEX(Grid!$Z$6:$AF$156,C922+1,B922+1),0)</f>
        <v>1</v>
      </c>
      <c r="K922" s="16" t="n">
        <f aca="false">IF(J922=1,E922,0)</f>
        <v>97.5005941088114</v>
      </c>
      <c r="L922" s="17" t="n">
        <f aca="false">IF(D922=1,E922+W_board*F922,"")</f>
        <v>875.416228964173</v>
      </c>
      <c r="M922" s="24" t="n">
        <v>1</v>
      </c>
      <c r="N922" s="25" t="n">
        <v>0.00265551057325527</v>
      </c>
      <c r="O922" s="25" t="n">
        <v>0.996344489426745</v>
      </c>
      <c r="P922" s="25" t="n">
        <v>0.001</v>
      </c>
      <c r="Z922" s="12" t="n">
        <f aca="false">IF(AND($J922=1,$M922=1),N922*E922/Span_P+O922*F922/Span_S+P922*G922/Span_B,"")</f>
        <v>2.02561079469717</v>
      </c>
      <c r="AA922" s="12" t="n">
        <f aca="false">IF(AND($J922=1,$M922=1),SUMPRODUCT(MAX($J$6:$J$1062*(N922*$K$6:$K$1062/Span_P+O922*$F$6:$F$1062/Span_S+P922*$G$6:$G$1062/Span_B)-(1-$J$6:$J$1062)*1000000000)),"")</f>
        <v>2.02561079469717</v>
      </c>
      <c r="AB922" s="15" t="n">
        <f aca="false">IF(AND($J922=1,$M922=1),IF(AA922-Z922&lt;=0.000000001,1,0),"")</f>
        <v>1</v>
      </c>
      <c r="AC922" s="13" t="str">
        <f aca="false">IF(AND($J922=1,$M922=0),IF(S922="",0,S922*INDEX(Grid!$B$6:$H$156,R922+1,Q922+1))+IF(V922="",0,V922*INDEX(Grid!$B$6:$H$156,U922+1,T922+1))+IF(Y922="",0,Y922*INDEX(Grid!$B$6:$H$156,X922+1,W922+1)),"")</f>
        <v/>
      </c>
      <c r="AD922" s="13" t="str">
        <f aca="false">IF(AND($J922=1,$M922=0),IF(S922="",0,S922*Val_pt*(Ceiling_e-E_zero)*(1-(1-Half_gap)^Q922))+IF(V922="",0,V922*Val_pt*(Ceiling_e-E_zero)*(1-(1-Half_gap)^T922))+IF(Y922="",0,Y922*Val_pt*(Ceiling_e-E_zero)*(1-(1-Half_gap)^W922)),"")</f>
        <v/>
      </c>
      <c r="AE922" s="13" t="str">
        <f aca="false">IF(AND($J922=1,$M922=0),IF(S922="",0,S922*R922)+IF(V922="",0,V922*U922)+IF(Y922="",0,Y922*X922),"")</f>
        <v/>
      </c>
      <c r="AF922" s="12" t="str">
        <f aca="false">IF(AND($J922=1,$M922=0),MIN((AC922-E922)/Span_P,(AD922-F922)/Span_S,(AE922-G922)/Span_B),"")</f>
        <v/>
      </c>
      <c r="AG922" s="15" t="str">
        <f aca="false">IF(AND($J922=1,$M922=0),IF(AF922&gt;0.0000001,1,0),"")</f>
        <v/>
      </c>
      <c r="AH922" s="15" t="n">
        <f aca="false">IF($J922=1,IF($M922=1,AB922,AG922),"")</f>
        <v>1</v>
      </c>
      <c r="AI922" s="13" t="n">
        <f aca="false">IF($J922=1,(Ideal_P-E922)/Span_P,"")</f>
        <v>0.791661986944999</v>
      </c>
      <c r="AJ922" s="13" t="n">
        <f aca="false">IF($J922=1,(Ideal_S-F922)/Span_S,"")</f>
        <v>0</v>
      </c>
      <c r="AK922" s="13" t="n">
        <f aca="false">IF($J922=1,(Ideal_B-G922)/Span_B,"")</f>
        <v>0.933333333333333</v>
      </c>
      <c r="AL922" s="12" t="n">
        <f aca="false">IF($J922=1,MAX(ChA_1*AI922,ChA_2*AJ922,ChA_3*AK922)+Rho*(ChA_1*AI922+ChA_2*AJ922+ChA_3*AK922),"")</f>
        <v>0.933505832865361</v>
      </c>
      <c r="AM922" s="12" t="n">
        <f aca="false">IF($J922=1,MAX(ChB_1*AI922,ChB_2*AJ922,ChB_3*AK922)+Rho*(ChB_1*AI922+ChB_2*AJ922+ChB_3*AK922),"")</f>
        <v>1.58357563962072</v>
      </c>
      <c r="AN922" s="12" t="n">
        <f aca="false">IF($J922=1,MAX(Cx_1*(Ref_P-E922)/Span_P,Cx_2*(Ref_S-F922)/Span_S,Cx_3*(Ref_B-G922)/Span_B),"")</f>
        <v>2.3781512605042</v>
      </c>
    </row>
    <row r="923" customFormat="false" ht="15" hidden="false" customHeight="false" outlineLevel="0" collapsed="false">
      <c r="A923" s="2" t="n">
        <v>917</v>
      </c>
      <c r="B923" s="15" t="n">
        <f aca="false">INT(A923/151)</f>
        <v>6</v>
      </c>
      <c r="C923" s="15" t="n">
        <f aca="false">MOD(A923,151)</f>
        <v>11</v>
      </c>
      <c r="D923" s="15" t="n">
        <f aca="false">INDEX(Grid!$J$6:$P$156,C923+1,B923+1)</f>
        <v>1</v>
      </c>
      <c r="E923" s="16" t="n">
        <f aca="false">IF(D923=1,INDEX(Grid!$B$6:$H$156,C923+1,B923+1),"")</f>
        <v>96.5915031997205</v>
      </c>
      <c r="F923" s="13" t="n">
        <f aca="false">Val_pt*(Ceiling_e-E_zero)*(1-(1-Half_gap)^B923)</f>
        <v>137.8125</v>
      </c>
      <c r="G923" s="15" t="n">
        <f aca="false">C923</f>
        <v>11</v>
      </c>
      <c r="H923" s="15" t="n">
        <f aca="false">IF(D923=1,INDEX(Grid!$R$6:$X$156,C923+1,B923+1),"")</f>
        <v>63</v>
      </c>
      <c r="I923" s="2" t="str">
        <f aca="false">IF(D923=1,INDEX(Sch_label,H923+1),"")</f>
        <v>1–6</v>
      </c>
      <c r="J923" s="15" t="n">
        <f aca="false">IF(D923=1,INDEX(Grid!$Z$6:$AF$156,C923+1,B923+1),0)</f>
        <v>1</v>
      </c>
      <c r="K923" s="16" t="n">
        <f aca="false">IF(J923=1,E923,0)</f>
        <v>96.5915031997205</v>
      </c>
      <c r="L923" s="17" t="n">
        <f aca="false">IF(D923=1,E923+W_board*F923,"")</f>
        <v>874.507138055082</v>
      </c>
      <c r="M923" s="24" t="n">
        <v>1</v>
      </c>
      <c r="N923" s="25" t="n">
        <v>0.00265551057325527</v>
      </c>
      <c r="O923" s="25" t="n">
        <v>0.996344489426745</v>
      </c>
      <c r="P923" s="25" t="n">
        <v>0.001</v>
      </c>
      <c r="Z923" s="12" t="n">
        <f aca="false">IF(AND($J923=1,$M923=1),N923*E923/Span_P+O923*F923/Span_S+P923*G923/Span_B,"")</f>
        <v>2.02561079469717</v>
      </c>
      <c r="AA923" s="12" t="n">
        <f aca="false">IF(AND($J923=1,$M923=1),SUMPRODUCT(MAX($J$6:$J$1062*(N923*$K$6:$K$1062/Span_P+O923*$F$6:$F$1062/Span_S+P923*$G$6:$G$1062/Span_B)-(1-$J$6:$J$1062)*1000000000)),"")</f>
        <v>2.02561079469717</v>
      </c>
      <c r="AB923" s="15" t="n">
        <f aca="false">IF(AND($J923=1,$M923=1),IF(AA923-Z923&lt;=0.000000001,1,0),"")</f>
        <v>1</v>
      </c>
      <c r="AC923" s="13" t="str">
        <f aca="false">IF(AND($J923=1,$M923=0),IF(S923="",0,S923*INDEX(Grid!$B$6:$H$156,R923+1,Q923+1))+IF(V923="",0,V923*INDEX(Grid!$B$6:$H$156,U923+1,T923+1))+IF(Y923="",0,Y923*INDEX(Grid!$B$6:$H$156,X923+1,W923+1)),"")</f>
        <v/>
      </c>
      <c r="AD923" s="13" t="str">
        <f aca="false">IF(AND($J923=1,$M923=0),IF(S923="",0,S923*Val_pt*(Ceiling_e-E_zero)*(1-(1-Half_gap)^Q923))+IF(V923="",0,V923*Val_pt*(Ceiling_e-E_zero)*(1-(1-Half_gap)^T923))+IF(Y923="",0,Y923*Val_pt*(Ceiling_e-E_zero)*(1-(1-Half_gap)^W923)),"")</f>
        <v/>
      </c>
      <c r="AE923" s="13" t="str">
        <f aca="false">IF(AND($J923=1,$M923=0),IF(S923="",0,S923*R923)+IF(V923="",0,V923*U923)+IF(Y923="",0,Y923*X923),"")</f>
        <v/>
      </c>
      <c r="AF923" s="12" t="str">
        <f aca="false">IF(AND($J923=1,$M923=0),MIN((AC923-E923)/Span_P,(AD923-F923)/Span_S,(AE923-G923)/Span_B),"")</f>
        <v/>
      </c>
      <c r="AG923" s="15" t="str">
        <f aca="false">IF(AND($J923=1,$M923=0),IF(AF923&gt;0.0000001,1,0),"")</f>
        <v/>
      </c>
      <c r="AH923" s="15" t="n">
        <f aca="false">IF($J923=1,IF($M923=1,AB923,AG923),"")</f>
        <v>1</v>
      </c>
      <c r="AI923" s="13" t="n">
        <f aca="false">IF($J923=1,(Ideal_P-E923)/Span_P,"")</f>
        <v>0.794172489721305</v>
      </c>
      <c r="AJ923" s="13" t="n">
        <f aca="false">IF($J923=1,(Ideal_S-F923)/Span_S,"")</f>
        <v>0</v>
      </c>
      <c r="AK923" s="13" t="n">
        <f aca="false">IF($J923=1,(Ideal_B-G923)/Span_B,"")</f>
        <v>0.926666666666667</v>
      </c>
      <c r="AL923" s="12" t="n">
        <f aca="false">IF($J923=1,MAX(ChA_1*AI923,ChA_2*AJ923,ChA_3*AK923)+Rho*(ChA_1*AI923+ChA_2*AJ923+ChA_3*AK923),"")</f>
        <v>0.926838750582306</v>
      </c>
      <c r="AM923" s="12" t="n">
        <f aca="false">IF($J923=1,MAX(ChB_1*AI923,ChB_2*AJ923,ChB_3*AK923)+Rho*(ChB_1*AI923+ChB_2*AJ923+ChB_3*AK923),"")</f>
        <v>1.58859648060722</v>
      </c>
      <c r="AN923" s="12" t="n">
        <f aca="false">IF($J923=1,MAX(Cx_1*(Ref_P-E923)/Span_P,Cx_2*(Ref_S-F923)/Span_S,Cx_3*(Ref_B-G923)/Span_B),"")</f>
        <v>2.36134453781513</v>
      </c>
    </row>
    <row r="924" customFormat="false" ht="15" hidden="false" customHeight="false" outlineLevel="0" collapsed="false">
      <c r="A924" s="2" t="n">
        <v>918</v>
      </c>
      <c r="B924" s="15" t="n">
        <f aca="false">INT(A924/151)</f>
        <v>6</v>
      </c>
      <c r="C924" s="15" t="n">
        <f aca="false">MOD(A924,151)</f>
        <v>12</v>
      </c>
      <c r="D924" s="15" t="n">
        <f aca="false">INDEX(Grid!$J$6:$P$156,C924+1,B924+1)</f>
        <v>1</v>
      </c>
      <c r="E924" s="16" t="n">
        <f aca="false">IF(D924=1,INDEX(Grid!$B$6:$H$156,C924+1,B924+1),"")</f>
        <v>95.6824122906296</v>
      </c>
      <c r="F924" s="13" t="n">
        <f aca="false">Val_pt*(Ceiling_e-E_zero)*(1-(1-Half_gap)^B924)</f>
        <v>137.8125</v>
      </c>
      <c r="G924" s="15" t="n">
        <f aca="false">C924</f>
        <v>12</v>
      </c>
      <c r="H924" s="15" t="n">
        <f aca="false">IF(D924=1,INDEX(Grid!$R$6:$X$156,C924+1,B924+1),"")</f>
        <v>63</v>
      </c>
      <c r="I924" s="2" t="str">
        <f aca="false">IF(D924=1,INDEX(Sch_label,H924+1),"")</f>
        <v>1–6</v>
      </c>
      <c r="J924" s="15" t="n">
        <f aca="false">IF(D924=1,INDEX(Grid!$Z$6:$AF$156,C924+1,B924+1),0)</f>
        <v>1</v>
      </c>
      <c r="K924" s="16" t="n">
        <f aca="false">IF(J924=1,E924,0)</f>
        <v>95.6824122906296</v>
      </c>
      <c r="L924" s="17" t="n">
        <f aca="false">IF(D924=1,E924+W_board*F924,"")</f>
        <v>873.598047145992</v>
      </c>
      <c r="M924" s="24" t="n">
        <v>1</v>
      </c>
      <c r="N924" s="25" t="n">
        <v>0.00265551057325533</v>
      </c>
      <c r="O924" s="25" t="n">
        <v>0.996344489426745</v>
      </c>
      <c r="P924" s="25" t="n">
        <v>0.001</v>
      </c>
      <c r="Z924" s="12" t="n">
        <f aca="false">IF(AND($J924=1,$M924=1),N924*E924/Span_P+O924*F924/Span_S+P924*G924/Span_B,"")</f>
        <v>2.02561079469717</v>
      </c>
      <c r="AA924" s="12" t="n">
        <f aca="false">IF(AND($J924=1,$M924=1),SUMPRODUCT(MAX($J$6:$J$1062*(N924*$K$6:$K$1062/Span_P+O924*$F$6:$F$1062/Span_S+P924*$G$6:$G$1062/Span_B)-(1-$J$6:$J$1062)*1000000000)),"")</f>
        <v>2.02561079469717</v>
      </c>
      <c r="AB924" s="15" t="n">
        <f aca="false">IF(AND($J924=1,$M924=1),IF(AA924-Z924&lt;=0.000000001,1,0),"")</f>
        <v>1</v>
      </c>
      <c r="AC924" s="13" t="str">
        <f aca="false">IF(AND($J924=1,$M924=0),IF(S924="",0,S924*INDEX(Grid!$B$6:$H$156,R924+1,Q924+1))+IF(V924="",0,V924*INDEX(Grid!$B$6:$H$156,U924+1,T924+1))+IF(Y924="",0,Y924*INDEX(Grid!$B$6:$H$156,X924+1,W924+1)),"")</f>
        <v/>
      </c>
      <c r="AD924" s="13" t="str">
        <f aca="false">IF(AND($J924=1,$M924=0),IF(S924="",0,S924*Val_pt*(Ceiling_e-E_zero)*(1-(1-Half_gap)^Q924))+IF(V924="",0,V924*Val_pt*(Ceiling_e-E_zero)*(1-(1-Half_gap)^T924))+IF(Y924="",0,Y924*Val_pt*(Ceiling_e-E_zero)*(1-(1-Half_gap)^W924)),"")</f>
        <v/>
      </c>
      <c r="AE924" s="13" t="str">
        <f aca="false">IF(AND($J924=1,$M924=0),IF(S924="",0,S924*R924)+IF(V924="",0,V924*U924)+IF(Y924="",0,Y924*X924),"")</f>
        <v/>
      </c>
      <c r="AF924" s="12" t="str">
        <f aca="false">IF(AND($J924=1,$M924=0),MIN((AC924-E924)/Span_P,(AD924-F924)/Span_S,(AE924-G924)/Span_B),"")</f>
        <v/>
      </c>
      <c r="AG924" s="15" t="str">
        <f aca="false">IF(AND($J924=1,$M924=0),IF(AF924&gt;0.0000001,1,0),"")</f>
        <v/>
      </c>
      <c r="AH924" s="15" t="n">
        <f aca="false">IF($J924=1,IF($M924=1,AB924,AG924),"")</f>
        <v>1</v>
      </c>
      <c r="AI924" s="13" t="n">
        <f aca="false">IF($J924=1,(Ideal_P-E924)/Span_P,"")</f>
        <v>0.796682992497611</v>
      </c>
      <c r="AJ924" s="13" t="n">
        <f aca="false">IF($J924=1,(Ideal_S-F924)/Span_S,"")</f>
        <v>0</v>
      </c>
      <c r="AK924" s="13" t="n">
        <f aca="false">IF($J924=1,(Ideal_B-G924)/Span_B,"")</f>
        <v>0.92</v>
      </c>
      <c r="AL924" s="12" t="n">
        <f aca="false">IF($J924=1,MAX(ChA_1*AI924,ChA_2*AJ924,ChA_3*AK924)+Rho*(ChA_1*AI924+ChA_2*AJ924+ChA_3*AK924),"")</f>
        <v>0.92017166829925</v>
      </c>
      <c r="AM924" s="12" t="n">
        <f aca="false">IF($J924=1,MAX(ChB_1*AI924,ChB_2*AJ924,ChB_3*AK924)+Rho*(ChB_1*AI924+ChB_2*AJ924+ChB_3*AK924),"")</f>
        <v>1.59361732159372</v>
      </c>
      <c r="AN924" s="12" t="n">
        <f aca="false">IF($J924=1,MAX(Cx_1*(Ref_P-E924)/Span_P,Cx_2*(Ref_S-F924)/Span_S,Cx_3*(Ref_B-G924)/Span_B),"")</f>
        <v>2.34453781512605</v>
      </c>
    </row>
    <row r="925" customFormat="false" ht="15" hidden="false" customHeight="false" outlineLevel="0" collapsed="false">
      <c r="A925" s="2" t="n">
        <v>919</v>
      </c>
      <c r="B925" s="15" t="n">
        <f aca="false">INT(A925/151)</f>
        <v>6</v>
      </c>
      <c r="C925" s="15" t="n">
        <f aca="false">MOD(A925,151)</f>
        <v>13</v>
      </c>
      <c r="D925" s="15" t="n">
        <f aca="false">INDEX(Grid!$J$6:$P$156,C925+1,B925+1)</f>
        <v>1</v>
      </c>
      <c r="E925" s="16" t="n">
        <f aca="false">IF(D925=1,INDEX(Grid!$B$6:$H$156,C925+1,B925+1),"")</f>
        <v>94.7733213815387</v>
      </c>
      <c r="F925" s="13" t="n">
        <f aca="false">Val_pt*(Ceiling_e-E_zero)*(1-(1-Half_gap)^B925)</f>
        <v>137.8125</v>
      </c>
      <c r="G925" s="15" t="n">
        <f aca="false">C925</f>
        <v>13</v>
      </c>
      <c r="H925" s="15" t="n">
        <f aca="false">IF(D925=1,INDEX(Grid!$R$6:$X$156,C925+1,B925+1),"")</f>
        <v>63</v>
      </c>
      <c r="I925" s="2" t="str">
        <f aca="false">IF(D925=1,INDEX(Sch_label,H925+1),"")</f>
        <v>1–6</v>
      </c>
      <c r="J925" s="15" t="n">
        <f aca="false">IF(D925=1,INDEX(Grid!$Z$6:$AF$156,C925+1,B925+1),0)</f>
        <v>1</v>
      </c>
      <c r="K925" s="16" t="n">
        <f aca="false">IF(J925=1,E925,0)</f>
        <v>94.7733213815387</v>
      </c>
      <c r="L925" s="17" t="n">
        <f aca="false">IF(D925=1,E925+W_board*F925,"")</f>
        <v>872.688956236901</v>
      </c>
      <c r="M925" s="24" t="n">
        <v>1</v>
      </c>
      <c r="N925" s="25" t="n">
        <v>0.00265551057325527</v>
      </c>
      <c r="O925" s="25" t="n">
        <v>0.996344489426745</v>
      </c>
      <c r="P925" s="25" t="n">
        <v>0.001</v>
      </c>
      <c r="Z925" s="12" t="n">
        <f aca="false">IF(AND($J925=1,$M925=1),N925*E925/Span_P+O925*F925/Span_S+P925*G925/Span_B,"")</f>
        <v>2.02561079469717</v>
      </c>
      <c r="AA925" s="12" t="n">
        <f aca="false">IF(AND($J925=1,$M925=1),SUMPRODUCT(MAX($J$6:$J$1062*(N925*$K$6:$K$1062/Span_P+O925*$F$6:$F$1062/Span_S+P925*$G$6:$G$1062/Span_B)-(1-$J$6:$J$1062)*1000000000)),"")</f>
        <v>2.02561079469717</v>
      </c>
      <c r="AB925" s="15" t="n">
        <f aca="false">IF(AND($J925=1,$M925=1),IF(AA925-Z925&lt;=0.000000001,1,0),"")</f>
        <v>1</v>
      </c>
      <c r="AC925" s="13" t="str">
        <f aca="false">IF(AND($J925=1,$M925=0),IF(S925="",0,S925*INDEX(Grid!$B$6:$H$156,R925+1,Q925+1))+IF(V925="",0,V925*INDEX(Grid!$B$6:$H$156,U925+1,T925+1))+IF(Y925="",0,Y925*INDEX(Grid!$B$6:$H$156,X925+1,W925+1)),"")</f>
        <v/>
      </c>
      <c r="AD925" s="13" t="str">
        <f aca="false">IF(AND($J925=1,$M925=0),IF(S925="",0,S925*Val_pt*(Ceiling_e-E_zero)*(1-(1-Half_gap)^Q925))+IF(V925="",0,V925*Val_pt*(Ceiling_e-E_zero)*(1-(1-Half_gap)^T925))+IF(Y925="",0,Y925*Val_pt*(Ceiling_e-E_zero)*(1-(1-Half_gap)^W925)),"")</f>
        <v/>
      </c>
      <c r="AE925" s="13" t="str">
        <f aca="false">IF(AND($J925=1,$M925=0),IF(S925="",0,S925*R925)+IF(V925="",0,V925*U925)+IF(Y925="",0,Y925*X925),"")</f>
        <v/>
      </c>
      <c r="AF925" s="12" t="str">
        <f aca="false">IF(AND($J925=1,$M925=0),MIN((AC925-E925)/Span_P,(AD925-F925)/Span_S,(AE925-G925)/Span_B),"")</f>
        <v/>
      </c>
      <c r="AG925" s="15" t="str">
        <f aca="false">IF(AND($J925=1,$M925=0),IF(AF925&gt;0.0000001,1,0),"")</f>
        <v/>
      </c>
      <c r="AH925" s="15" t="n">
        <f aca="false">IF($J925=1,IF($M925=1,AB925,AG925),"")</f>
        <v>1</v>
      </c>
      <c r="AI925" s="13" t="n">
        <f aca="false">IF($J925=1,(Ideal_P-E925)/Span_P,"")</f>
        <v>0.799193495273916</v>
      </c>
      <c r="AJ925" s="13" t="n">
        <f aca="false">IF($J925=1,(Ideal_S-F925)/Span_S,"")</f>
        <v>0</v>
      </c>
      <c r="AK925" s="13" t="n">
        <f aca="false">IF($J925=1,(Ideal_B-G925)/Span_B,"")</f>
        <v>0.913333333333333</v>
      </c>
      <c r="AL925" s="12" t="n">
        <f aca="false">IF($J925=1,MAX(ChA_1*AI925,ChA_2*AJ925,ChA_3*AK925)+Rho*(ChA_1*AI925+ChA_2*AJ925+ChA_3*AK925),"")</f>
        <v>0.913504586016194</v>
      </c>
      <c r="AM925" s="12" t="n">
        <f aca="false">IF($J925=1,MAX(ChB_1*AI925,ChB_2*AJ925,ChB_3*AK925)+Rho*(ChB_1*AI925+ChB_2*AJ925+ChB_3*AK925),"")</f>
        <v>1.59863816258022</v>
      </c>
      <c r="AN925" s="12" t="n">
        <f aca="false">IF($J925=1,MAX(Cx_1*(Ref_P-E925)/Span_P,Cx_2*(Ref_S-F925)/Span_S,Cx_3*(Ref_B-G925)/Span_B),"")</f>
        <v>2.32773109243698</v>
      </c>
    </row>
    <row r="926" customFormat="false" ht="15" hidden="false" customHeight="false" outlineLevel="0" collapsed="false">
      <c r="A926" s="2" t="n">
        <v>920</v>
      </c>
      <c r="B926" s="15" t="n">
        <f aca="false">INT(A926/151)</f>
        <v>6</v>
      </c>
      <c r="C926" s="15" t="n">
        <f aca="false">MOD(A926,151)</f>
        <v>14</v>
      </c>
      <c r="D926" s="15" t="n">
        <f aca="false">INDEX(Grid!$J$6:$P$156,C926+1,B926+1)</f>
        <v>1</v>
      </c>
      <c r="E926" s="16" t="n">
        <f aca="false">IF(D926=1,INDEX(Grid!$B$6:$H$156,C926+1,B926+1),"")</f>
        <v>93.8642304724477</v>
      </c>
      <c r="F926" s="13" t="n">
        <f aca="false">Val_pt*(Ceiling_e-E_zero)*(1-(1-Half_gap)^B926)</f>
        <v>137.8125</v>
      </c>
      <c r="G926" s="15" t="n">
        <f aca="false">C926</f>
        <v>14</v>
      </c>
      <c r="H926" s="15" t="n">
        <f aca="false">IF(D926=1,INDEX(Grid!$R$6:$X$156,C926+1,B926+1),"")</f>
        <v>63</v>
      </c>
      <c r="I926" s="2" t="str">
        <f aca="false">IF(D926=1,INDEX(Sch_label,H926+1),"")</f>
        <v>1–6</v>
      </c>
      <c r="J926" s="15" t="n">
        <f aca="false">IF(D926=1,INDEX(Grid!$Z$6:$AF$156,C926+1,B926+1),0)</f>
        <v>1</v>
      </c>
      <c r="K926" s="16" t="n">
        <f aca="false">IF(J926=1,E926,0)</f>
        <v>93.8642304724477</v>
      </c>
      <c r="L926" s="17" t="n">
        <f aca="false">IF(D926=1,E926+W_board*F926,"")</f>
        <v>871.77986532781</v>
      </c>
      <c r="M926" s="24" t="n">
        <v>1</v>
      </c>
      <c r="N926" s="25" t="n">
        <v>0.00265551057325527</v>
      </c>
      <c r="O926" s="25" t="n">
        <v>0.996344489426745</v>
      </c>
      <c r="P926" s="25" t="n">
        <v>0.001</v>
      </c>
      <c r="Z926" s="12" t="n">
        <f aca="false">IF(AND($J926=1,$M926=1),N926*E926/Span_P+O926*F926/Span_S+P926*G926/Span_B,"")</f>
        <v>2.02561079469717</v>
      </c>
      <c r="AA926" s="12" t="n">
        <f aca="false">IF(AND($J926=1,$M926=1),SUMPRODUCT(MAX($J$6:$J$1062*(N926*$K$6:$K$1062/Span_P+O926*$F$6:$F$1062/Span_S+P926*$G$6:$G$1062/Span_B)-(1-$J$6:$J$1062)*1000000000)),"")</f>
        <v>2.02561079469717</v>
      </c>
      <c r="AB926" s="15" t="n">
        <f aca="false">IF(AND($J926=1,$M926=1),IF(AA926-Z926&lt;=0.000000001,1,0),"")</f>
        <v>1</v>
      </c>
      <c r="AC926" s="13" t="str">
        <f aca="false">IF(AND($J926=1,$M926=0),IF(S926="",0,S926*INDEX(Grid!$B$6:$H$156,R926+1,Q926+1))+IF(V926="",0,V926*INDEX(Grid!$B$6:$H$156,U926+1,T926+1))+IF(Y926="",0,Y926*INDEX(Grid!$B$6:$H$156,X926+1,W926+1)),"")</f>
        <v/>
      </c>
      <c r="AD926" s="13" t="str">
        <f aca="false">IF(AND($J926=1,$M926=0),IF(S926="",0,S926*Val_pt*(Ceiling_e-E_zero)*(1-(1-Half_gap)^Q926))+IF(V926="",0,V926*Val_pt*(Ceiling_e-E_zero)*(1-(1-Half_gap)^T926))+IF(Y926="",0,Y926*Val_pt*(Ceiling_e-E_zero)*(1-(1-Half_gap)^W926)),"")</f>
        <v/>
      </c>
      <c r="AE926" s="13" t="str">
        <f aca="false">IF(AND($J926=1,$M926=0),IF(S926="",0,S926*R926)+IF(V926="",0,V926*U926)+IF(Y926="",0,Y926*X926),"")</f>
        <v/>
      </c>
      <c r="AF926" s="12" t="str">
        <f aca="false">IF(AND($J926=1,$M926=0),MIN((AC926-E926)/Span_P,(AD926-F926)/Span_S,(AE926-G926)/Span_B),"")</f>
        <v/>
      </c>
      <c r="AG926" s="15" t="str">
        <f aca="false">IF(AND($J926=1,$M926=0),IF(AF926&gt;0.0000001,1,0),"")</f>
        <v/>
      </c>
      <c r="AH926" s="15" t="n">
        <f aca="false">IF($J926=1,IF($M926=1,AB926,AG926),"")</f>
        <v>1</v>
      </c>
      <c r="AI926" s="13" t="n">
        <f aca="false">IF($J926=1,(Ideal_P-E926)/Span_P,"")</f>
        <v>0.801703998050222</v>
      </c>
      <c r="AJ926" s="13" t="n">
        <f aca="false">IF($J926=1,(Ideal_S-F926)/Span_S,"")</f>
        <v>0</v>
      </c>
      <c r="AK926" s="13" t="n">
        <f aca="false">IF($J926=1,(Ideal_B-G926)/Span_B,"")</f>
        <v>0.906666666666667</v>
      </c>
      <c r="AL926" s="12" t="n">
        <f aca="false">IF($J926=1,MAX(ChA_1*AI926,ChA_2*AJ926,ChA_3*AK926)+Rho*(ChA_1*AI926+ChA_2*AJ926+ChA_3*AK926),"")</f>
        <v>0.906837503733138</v>
      </c>
      <c r="AM926" s="12" t="n">
        <f aca="false">IF($J926=1,MAX(ChB_1*AI926,ChB_2*AJ926,ChB_3*AK926)+Rho*(ChB_1*AI926+ChB_2*AJ926+ChB_3*AK926),"")</f>
        <v>1.60365900356672</v>
      </c>
      <c r="AN926" s="12" t="n">
        <f aca="false">IF($J926=1,MAX(Cx_1*(Ref_P-E926)/Span_P,Cx_2*(Ref_S-F926)/Span_S,Cx_3*(Ref_B-G926)/Span_B),"")</f>
        <v>2.3109243697479</v>
      </c>
    </row>
    <row r="927" customFormat="false" ht="15" hidden="false" customHeight="false" outlineLevel="0" collapsed="false">
      <c r="A927" s="2" t="n">
        <v>921</v>
      </c>
      <c r="B927" s="15" t="n">
        <f aca="false">INT(A927/151)</f>
        <v>6</v>
      </c>
      <c r="C927" s="15" t="n">
        <f aca="false">MOD(A927,151)</f>
        <v>15</v>
      </c>
      <c r="D927" s="15" t="n">
        <f aca="false">INDEX(Grid!$J$6:$P$156,C927+1,B927+1)</f>
        <v>1</v>
      </c>
      <c r="E927" s="16" t="n">
        <f aca="false">IF(D927=1,INDEX(Grid!$B$6:$H$156,C927+1,B927+1),"")</f>
        <v>92.9551395633568</v>
      </c>
      <c r="F927" s="13" t="n">
        <f aca="false">Val_pt*(Ceiling_e-E_zero)*(1-(1-Half_gap)^B927)</f>
        <v>137.8125</v>
      </c>
      <c r="G927" s="15" t="n">
        <f aca="false">C927</f>
        <v>15</v>
      </c>
      <c r="H927" s="15" t="n">
        <f aca="false">IF(D927=1,INDEX(Grid!$R$6:$X$156,C927+1,B927+1),"")</f>
        <v>63</v>
      </c>
      <c r="I927" s="2" t="str">
        <f aca="false">IF(D927=1,INDEX(Sch_label,H927+1),"")</f>
        <v>1–6</v>
      </c>
      <c r="J927" s="15" t="n">
        <f aca="false">IF(D927=1,INDEX(Grid!$Z$6:$AF$156,C927+1,B927+1),0)</f>
        <v>1</v>
      </c>
      <c r="K927" s="16" t="n">
        <f aca="false">IF(J927=1,E927,0)</f>
        <v>92.9551395633568</v>
      </c>
      <c r="L927" s="17" t="n">
        <f aca="false">IF(D927=1,E927+W_board*F927,"")</f>
        <v>870.870774418719</v>
      </c>
      <c r="M927" s="24" t="n">
        <v>1</v>
      </c>
      <c r="N927" s="25" t="n">
        <v>0.00265551057325527</v>
      </c>
      <c r="O927" s="25" t="n">
        <v>0.996344489426745</v>
      </c>
      <c r="P927" s="25" t="n">
        <v>0.001</v>
      </c>
      <c r="Z927" s="12" t="n">
        <f aca="false">IF(AND($J927=1,$M927=1),N927*E927/Span_P+O927*F927/Span_S+P927*G927/Span_B,"")</f>
        <v>2.02561079469717</v>
      </c>
      <c r="AA927" s="12" t="n">
        <f aca="false">IF(AND($J927=1,$M927=1),SUMPRODUCT(MAX($J$6:$J$1062*(N927*$K$6:$K$1062/Span_P+O927*$F$6:$F$1062/Span_S+P927*$G$6:$G$1062/Span_B)-(1-$J$6:$J$1062)*1000000000)),"")</f>
        <v>2.02561079469717</v>
      </c>
      <c r="AB927" s="15" t="n">
        <f aca="false">IF(AND($J927=1,$M927=1),IF(AA927-Z927&lt;=0.000000001,1,0),"")</f>
        <v>1</v>
      </c>
      <c r="AC927" s="13" t="str">
        <f aca="false">IF(AND($J927=1,$M927=0),IF(S927="",0,S927*INDEX(Grid!$B$6:$H$156,R927+1,Q927+1))+IF(V927="",0,V927*INDEX(Grid!$B$6:$H$156,U927+1,T927+1))+IF(Y927="",0,Y927*INDEX(Grid!$B$6:$H$156,X927+1,W927+1)),"")</f>
        <v/>
      </c>
      <c r="AD927" s="13" t="str">
        <f aca="false">IF(AND($J927=1,$M927=0),IF(S927="",0,S927*Val_pt*(Ceiling_e-E_zero)*(1-(1-Half_gap)^Q927))+IF(V927="",0,V927*Val_pt*(Ceiling_e-E_zero)*(1-(1-Half_gap)^T927))+IF(Y927="",0,Y927*Val_pt*(Ceiling_e-E_zero)*(1-(1-Half_gap)^W927)),"")</f>
        <v/>
      </c>
      <c r="AE927" s="13" t="str">
        <f aca="false">IF(AND($J927=1,$M927=0),IF(S927="",0,S927*R927)+IF(V927="",0,V927*U927)+IF(Y927="",0,Y927*X927),"")</f>
        <v/>
      </c>
      <c r="AF927" s="12" t="str">
        <f aca="false">IF(AND($J927=1,$M927=0),MIN((AC927-E927)/Span_P,(AD927-F927)/Span_S,(AE927-G927)/Span_B),"")</f>
        <v/>
      </c>
      <c r="AG927" s="15" t="str">
        <f aca="false">IF(AND($J927=1,$M927=0),IF(AF927&gt;0.0000001,1,0),"")</f>
        <v/>
      </c>
      <c r="AH927" s="15" t="n">
        <f aca="false">IF($J927=1,IF($M927=1,AB927,AG927),"")</f>
        <v>1</v>
      </c>
      <c r="AI927" s="13" t="n">
        <f aca="false">IF($J927=1,(Ideal_P-E927)/Span_P,"")</f>
        <v>0.804214500826528</v>
      </c>
      <c r="AJ927" s="13" t="n">
        <f aca="false">IF($J927=1,(Ideal_S-F927)/Span_S,"")</f>
        <v>0</v>
      </c>
      <c r="AK927" s="13" t="n">
        <f aca="false">IF($J927=1,(Ideal_B-G927)/Span_B,"")</f>
        <v>0.9</v>
      </c>
      <c r="AL927" s="12" t="n">
        <f aca="false">IF($J927=1,MAX(ChA_1*AI927,ChA_2*AJ927,ChA_3*AK927)+Rho*(ChA_1*AI927+ChA_2*AJ927+ChA_3*AK927),"")</f>
        <v>0.900170421450083</v>
      </c>
      <c r="AM927" s="12" t="n">
        <f aca="false">IF($J927=1,MAX(ChB_1*AI927,ChB_2*AJ927,ChB_3*AK927)+Rho*(ChB_1*AI927+ChB_2*AJ927+ChB_3*AK927),"")</f>
        <v>1.60867984455322</v>
      </c>
      <c r="AN927" s="12" t="n">
        <f aca="false">IF($J927=1,MAX(Cx_1*(Ref_P-E927)/Span_P,Cx_2*(Ref_S-F927)/Span_S,Cx_3*(Ref_B-G927)/Span_B),"")</f>
        <v>2.29411764705882</v>
      </c>
    </row>
    <row r="928" customFormat="false" ht="15" hidden="false" customHeight="false" outlineLevel="0" collapsed="false">
      <c r="A928" s="2" t="n">
        <v>922</v>
      </c>
      <c r="B928" s="15" t="n">
        <f aca="false">INT(A928/151)</f>
        <v>6</v>
      </c>
      <c r="C928" s="15" t="n">
        <f aca="false">MOD(A928,151)</f>
        <v>16</v>
      </c>
      <c r="D928" s="15" t="n">
        <f aca="false">INDEX(Grid!$J$6:$P$156,C928+1,B928+1)</f>
        <v>1</v>
      </c>
      <c r="E928" s="16" t="n">
        <f aca="false">IF(D928=1,INDEX(Grid!$B$6:$H$156,C928+1,B928+1),"")</f>
        <v>92.0460486542659</v>
      </c>
      <c r="F928" s="13" t="n">
        <f aca="false">Val_pt*(Ceiling_e-E_zero)*(1-(1-Half_gap)^B928)</f>
        <v>137.8125</v>
      </c>
      <c r="G928" s="15" t="n">
        <f aca="false">C928</f>
        <v>16</v>
      </c>
      <c r="H928" s="15" t="n">
        <f aca="false">IF(D928=1,INDEX(Grid!$R$6:$X$156,C928+1,B928+1),"")</f>
        <v>63</v>
      </c>
      <c r="I928" s="2" t="str">
        <f aca="false">IF(D928=1,INDEX(Sch_label,H928+1),"")</f>
        <v>1–6</v>
      </c>
      <c r="J928" s="15" t="n">
        <f aca="false">IF(D928=1,INDEX(Grid!$Z$6:$AF$156,C928+1,B928+1),0)</f>
        <v>1</v>
      </c>
      <c r="K928" s="16" t="n">
        <f aca="false">IF(J928=1,E928,0)</f>
        <v>92.0460486542659</v>
      </c>
      <c r="L928" s="17" t="n">
        <f aca="false">IF(D928=1,E928+W_board*F928,"")</f>
        <v>869.961683509628</v>
      </c>
      <c r="M928" s="24" t="n">
        <v>1</v>
      </c>
      <c r="N928" s="25" t="n">
        <v>0.0026555105732552</v>
      </c>
      <c r="O928" s="25" t="n">
        <v>0.996344489426745</v>
      </c>
      <c r="P928" s="25" t="n">
        <v>0.001</v>
      </c>
      <c r="Z928" s="12" t="n">
        <f aca="false">IF(AND($J928=1,$M928=1),N928*E928/Span_P+O928*F928/Span_S+P928*G928/Span_B,"")</f>
        <v>2.02561079469717</v>
      </c>
      <c r="AA928" s="12" t="n">
        <f aca="false">IF(AND($J928=1,$M928=1),SUMPRODUCT(MAX($J$6:$J$1062*(N928*$K$6:$K$1062/Span_P+O928*$F$6:$F$1062/Span_S+P928*$G$6:$G$1062/Span_B)-(1-$J$6:$J$1062)*1000000000)),"")</f>
        <v>2.02561079469717</v>
      </c>
      <c r="AB928" s="15" t="n">
        <f aca="false">IF(AND($J928=1,$M928=1),IF(AA928-Z928&lt;=0.000000001,1,0),"")</f>
        <v>1</v>
      </c>
      <c r="AC928" s="13" t="str">
        <f aca="false">IF(AND($J928=1,$M928=0),IF(S928="",0,S928*INDEX(Grid!$B$6:$H$156,R928+1,Q928+1))+IF(V928="",0,V928*INDEX(Grid!$B$6:$H$156,U928+1,T928+1))+IF(Y928="",0,Y928*INDEX(Grid!$B$6:$H$156,X928+1,W928+1)),"")</f>
        <v/>
      </c>
      <c r="AD928" s="13" t="str">
        <f aca="false">IF(AND($J928=1,$M928=0),IF(S928="",0,S928*Val_pt*(Ceiling_e-E_zero)*(1-(1-Half_gap)^Q928))+IF(V928="",0,V928*Val_pt*(Ceiling_e-E_zero)*(1-(1-Half_gap)^T928))+IF(Y928="",0,Y928*Val_pt*(Ceiling_e-E_zero)*(1-(1-Half_gap)^W928)),"")</f>
        <v/>
      </c>
      <c r="AE928" s="13" t="str">
        <f aca="false">IF(AND($J928=1,$M928=0),IF(S928="",0,S928*R928)+IF(V928="",0,V928*U928)+IF(Y928="",0,Y928*X928),"")</f>
        <v/>
      </c>
      <c r="AF928" s="12" t="str">
        <f aca="false">IF(AND($J928=1,$M928=0),MIN((AC928-E928)/Span_P,(AD928-F928)/Span_S,(AE928-G928)/Span_B),"")</f>
        <v/>
      </c>
      <c r="AG928" s="15" t="str">
        <f aca="false">IF(AND($J928=1,$M928=0),IF(AF928&gt;0.0000001,1,0),"")</f>
        <v/>
      </c>
      <c r="AH928" s="15" t="n">
        <f aca="false">IF($J928=1,IF($M928=1,AB928,AG928),"")</f>
        <v>1</v>
      </c>
      <c r="AI928" s="13" t="n">
        <f aca="false">IF($J928=1,(Ideal_P-E928)/Span_P,"")</f>
        <v>0.806725003602834</v>
      </c>
      <c r="AJ928" s="13" t="n">
        <f aca="false">IF($J928=1,(Ideal_S-F928)/Span_S,"")</f>
        <v>0</v>
      </c>
      <c r="AK928" s="13" t="n">
        <f aca="false">IF($J928=1,(Ideal_B-G928)/Span_B,"")</f>
        <v>0.893333333333333</v>
      </c>
      <c r="AL928" s="12" t="n">
        <f aca="false">IF($J928=1,MAX(ChA_1*AI928,ChA_2*AJ928,ChA_3*AK928)+Rho*(ChA_1*AI928+ChA_2*AJ928+ChA_3*AK928),"")</f>
        <v>0.893503339167027</v>
      </c>
      <c r="AM928" s="12" t="n">
        <f aca="false">IF($J928=1,MAX(ChB_1*AI928,ChB_2*AJ928,ChB_3*AK928)+Rho*(ChB_1*AI928+ChB_2*AJ928+ChB_3*AK928),"")</f>
        <v>1.61370068553972</v>
      </c>
      <c r="AN928" s="12" t="n">
        <f aca="false">IF($J928=1,MAX(Cx_1*(Ref_P-E928)/Span_P,Cx_2*(Ref_S-F928)/Span_S,Cx_3*(Ref_B-G928)/Span_B),"")</f>
        <v>2.27731092436975</v>
      </c>
    </row>
    <row r="929" customFormat="false" ht="15" hidden="false" customHeight="false" outlineLevel="0" collapsed="false">
      <c r="A929" s="2" t="n">
        <v>923</v>
      </c>
      <c r="B929" s="15" t="n">
        <f aca="false">INT(A929/151)</f>
        <v>6</v>
      </c>
      <c r="C929" s="15" t="n">
        <f aca="false">MOD(A929,151)</f>
        <v>17</v>
      </c>
      <c r="D929" s="15" t="n">
        <f aca="false">INDEX(Grid!$J$6:$P$156,C929+1,B929+1)</f>
        <v>1</v>
      </c>
      <c r="E929" s="16" t="n">
        <f aca="false">IF(D929=1,INDEX(Grid!$B$6:$H$156,C929+1,B929+1),"")</f>
        <v>91.136957745175</v>
      </c>
      <c r="F929" s="13" t="n">
        <f aca="false">Val_pt*(Ceiling_e-E_zero)*(1-(1-Half_gap)^B929)</f>
        <v>137.8125</v>
      </c>
      <c r="G929" s="15" t="n">
        <f aca="false">C929</f>
        <v>17</v>
      </c>
      <c r="H929" s="15" t="n">
        <f aca="false">IF(D929=1,INDEX(Grid!$R$6:$X$156,C929+1,B929+1),"")</f>
        <v>63</v>
      </c>
      <c r="I929" s="2" t="str">
        <f aca="false">IF(D929=1,INDEX(Sch_label,H929+1),"")</f>
        <v>1–6</v>
      </c>
      <c r="J929" s="15" t="n">
        <f aca="false">IF(D929=1,INDEX(Grid!$Z$6:$AF$156,C929+1,B929+1),0)</f>
        <v>1</v>
      </c>
      <c r="K929" s="16" t="n">
        <f aca="false">IF(J929=1,E929,0)</f>
        <v>91.136957745175</v>
      </c>
      <c r="L929" s="17" t="n">
        <f aca="false">IF(D929=1,E929+W_board*F929,"")</f>
        <v>869.052592600537</v>
      </c>
      <c r="M929" s="24" t="n">
        <v>1</v>
      </c>
      <c r="N929" s="25" t="n">
        <v>0.00265551057325527</v>
      </c>
      <c r="O929" s="25" t="n">
        <v>0.996344489426745</v>
      </c>
      <c r="P929" s="25" t="n">
        <v>0.001</v>
      </c>
      <c r="Z929" s="12" t="n">
        <f aca="false">IF(AND($J929=1,$M929=1),N929*E929/Span_P+O929*F929/Span_S+P929*G929/Span_B,"")</f>
        <v>2.02561079469717</v>
      </c>
      <c r="AA929" s="12" t="n">
        <f aca="false">IF(AND($J929=1,$M929=1),SUMPRODUCT(MAX($J$6:$J$1062*(N929*$K$6:$K$1062/Span_P+O929*$F$6:$F$1062/Span_S+P929*$G$6:$G$1062/Span_B)-(1-$J$6:$J$1062)*1000000000)),"")</f>
        <v>2.02561079469717</v>
      </c>
      <c r="AB929" s="15" t="n">
        <f aca="false">IF(AND($J929=1,$M929=1),IF(AA929-Z929&lt;=0.000000001,1,0),"")</f>
        <v>1</v>
      </c>
      <c r="AC929" s="13" t="str">
        <f aca="false">IF(AND($J929=1,$M929=0),IF(S929="",0,S929*INDEX(Grid!$B$6:$H$156,R929+1,Q929+1))+IF(V929="",0,V929*INDEX(Grid!$B$6:$H$156,U929+1,T929+1))+IF(Y929="",0,Y929*INDEX(Grid!$B$6:$H$156,X929+1,W929+1)),"")</f>
        <v/>
      </c>
      <c r="AD929" s="13" t="str">
        <f aca="false">IF(AND($J929=1,$M929=0),IF(S929="",0,S929*Val_pt*(Ceiling_e-E_zero)*(1-(1-Half_gap)^Q929))+IF(V929="",0,V929*Val_pt*(Ceiling_e-E_zero)*(1-(1-Half_gap)^T929))+IF(Y929="",0,Y929*Val_pt*(Ceiling_e-E_zero)*(1-(1-Half_gap)^W929)),"")</f>
        <v/>
      </c>
      <c r="AE929" s="13" t="str">
        <f aca="false">IF(AND($J929=1,$M929=0),IF(S929="",0,S929*R929)+IF(V929="",0,V929*U929)+IF(Y929="",0,Y929*X929),"")</f>
        <v/>
      </c>
      <c r="AF929" s="12" t="str">
        <f aca="false">IF(AND($J929=1,$M929=0),MIN((AC929-E929)/Span_P,(AD929-F929)/Span_S,(AE929-G929)/Span_B),"")</f>
        <v/>
      </c>
      <c r="AG929" s="15" t="str">
        <f aca="false">IF(AND($J929=1,$M929=0),IF(AF929&gt;0.0000001,1,0),"")</f>
        <v/>
      </c>
      <c r="AH929" s="15" t="n">
        <f aca="false">IF($J929=1,IF($M929=1,AB929,AG929),"")</f>
        <v>1</v>
      </c>
      <c r="AI929" s="13" t="n">
        <f aca="false">IF($J929=1,(Ideal_P-E929)/Span_P,"")</f>
        <v>0.809235506379139</v>
      </c>
      <c r="AJ929" s="13" t="n">
        <f aca="false">IF($J929=1,(Ideal_S-F929)/Span_S,"")</f>
        <v>0</v>
      </c>
      <c r="AK929" s="13" t="n">
        <f aca="false">IF($J929=1,(Ideal_B-G929)/Span_B,"")</f>
        <v>0.886666666666667</v>
      </c>
      <c r="AL929" s="12" t="n">
        <f aca="false">IF($J929=1,MAX(ChA_1*AI929,ChA_2*AJ929,ChA_3*AK929)+Rho*(ChA_1*AI929+ChA_2*AJ929+ChA_3*AK929),"")</f>
        <v>0.886836256883971</v>
      </c>
      <c r="AM929" s="12" t="n">
        <f aca="false">IF($J929=1,MAX(ChB_1*AI929,ChB_2*AJ929,ChB_3*AK929)+Rho*(ChB_1*AI929+ChB_2*AJ929+ChB_3*AK929),"")</f>
        <v>1.61872152652622</v>
      </c>
      <c r="AN929" s="12" t="n">
        <f aca="false">IF($J929=1,MAX(Cx_1*(Ref_P-E929)/Span_P,Cx_2*(Ref_S-F929)/Span_S,Cx_3*(Ref_B-G929)/Span_B),"")</f>
        <v>2.26050420168067</v>
      </c>
    </row>
    <row r="930" customFormat="false" ht="15" hidden="false" customHeight="false" outlineLevel="0" collapsed="false">
      <c r="A930" s="2" t="n">
        <v>924</v>
      </c>
      <c r="B930" s="15" t="n">
        <f aca="false">INT(A930/151)</f>
        <v>6</v>
      </c>
      <c r="C930" s="15" t="n">
        <f aca="false">MOD(A930,151)</f>
        <v>18</v>
      </c>
      <c r="D930" s="15" t="n">
        <f aca="false">INDEX(Grid!$J$6:$P$156,C930+1,B930+1)</f>
        <v>1</v>
      </c>
      <c r="E930" s="16" t="n">
        <f aca="false">IF(D930=1,INDEX(Grid!$B$6:$H$156,C930+1,B930+1),"")</f>
        <v>90.2278668360841</v>
      </c>
      <c r="F930" s="13" t="n">
        <f aca="false">Val_pt*(Ceiling_e-E_zero)*(1-(1-Half_gap)^B930)</f>
        <v>137.8125</v>
      </c>
      <c r="G930" s="15" t="n">
        <f aca="false">C930</f>
        <v>18</v>
      </c>
      <c r="H930" s="15" t="n">
        <f aca="false">IF(D930=1,INDEX(Grid!$R$6:$X$156,C930+1,B930+1),"")</f>
        <v>63</v>
      </c>
      <c r="I930" s="2" t="str">
        <f aca="false">IF(D930=1,INDEX(Sch_label,H930+1),"")</f>
        <v>1–6</v>
      </c>
      <c r="J930" s="15" t="n">
        <f aca="false">IF(D930=1,INDEX(Grid!$Z$6:$AF$156,C930+1,B930+1),0)</f>
        <v>1</v>
      </c>
      <c r="K930" s="16" t="n">
        <f aca="false">IF(J930=1,E930,0)</f>
        <v>90.2278668360841</v>
      </c>
      <c r="L930" s="17" t="n">
        <f aca="false">IF(D930=1,E930+W_board*F930,"")</f>
        <v>868.143501691446</v>
      </c>
      <c r="M930" s="24" t="n">
        <v>1</v>
      </c>
      <c r="N930" s="25" t="n">
        <v>0.00265551057325527</v>
      </c>
      <c r="O930" s="25" t="n">
        <v>0.996344489426745</v>
      </c>
      <c r="P930" s="25" t="n">
        <v>0.001</v>
      </c>
      <c r="Z930" s="12" t="n">
        <f aca="false">IF(AND($J930=1,$M930=1),N930*E930/Span_P+O930*F930/Span_S+P930*G930/Span_B,"")</f>
        <v>2.02561079469717</v>
      </c>
      <c r="AA930" s="12" t="n">
        <f aca="false">IF(AND($J930=1,$M930=1),SUMPRODUCT(MAX($J$6:$J$1062*(N930*$K$6:$K$1062/Span_P+O930*$F$6:$F$1062/Span_S+P930*$G$6:$G$1062/Span_B)-(1-$J$6:$J$1062)*1000000000)),"")</f>
        <v>2.02561079469717</v>
      </c>
      <c r="AB930" s="15" t="n">
        <f aca="false">IF(AND($J930=1,$M930=1),IF(AA930-Z930&lt;=0.000000001,1,0),"")</f>
        <v>1</v>
      </c>
      <c r="AC930" s="13" t="str">
        <f aca="false">IF(AND($J930=1,$M930=0),IF(S930="",0,S930*INDEX(Grid!$B$6:$H$156,R930+1,Q930+1))+IF(V930="",0,V930*INDEX(Grid!$B$6:$H$156,U930+1,T930+1))+IF(Y930="",0,Y930*INDEX(Grid!$B$6:$H$156,X930+1,W930+1)),"")</f>
        <v/>
      </c>
      <c r="AD930" s="13" t="str">
        <f aca="false">IF(AND($J930=1,$M930=0),IF(S930="",0,S930*Val_pt*(Ceiling_e-E_zero)*(1-(1-Half_gap)^Q930))+IF(V930="",0,V930*Val_pt*(Ceiling_e-E_zero)*(1-(1-Half_gap)^T930))+IF(Y930="",0,Y930*Val_pt*(Ceiling_e-E_zero)*(1-(1-Half_gap)^W930)),"")</f>
        <v/>
      </c>
      <c r="AE930" s="13" t="str">
        <f aca="false">IF(AND($J930=1,$M930=0),IF(S930="",0,S930*R930)+IF(V930="",0,V930*U930)+IF(Y930="",0,Y930*X930),"")</f>
        <v/>
      </c>
      <c r="AF930" s="12" t="str">
        <f aca="false">IF(AND($J930=1,$M930=0),MIN((AC930-E930)/Span_P,(AD930-F930)/Span_S,(AE930-G930)/Span_B),"")</f>
        <v/>
      </c>
      <c r="AG930" s="15" t="str">
        <f aca="false">IF(AND($J930=1,$M930=0),IF(AF930&gt;0.0000001,1,0),"")</f>
        <v/>
      </c>
      <c r="AH930" s="15" t="n">
        <f aca="false">IF($J930=1,IF($M930=1,AB930,AG930),"")</f>
        <v>1</v>
      </c>
      <c r="AI930" s="13" t="n">
        <f aca="false">IF($J930=1,(Ideal_P-E930)/Span_P,"")</f>
        <v>0.811746009155445</v>
      </c>
      <c r="AJ930" s="13" t="n">
        <f aca="false">IF($J930=1,(Ideal_S-F930)/Span_S,"")</f>
        <v>0</v>
      </c>
      <c r="AK930" s="13" t="n">
        <f aca="false">IF($J930=1,(Ideal_B-G930)/Span_B,"")</f>
        <v>0.88</v>
      </c>
      <c r="AL930" s="12" t="n">
        <f aca="false">IF($J930=1,MAX(ChA_1*AI930,ChA_2*AJ930,ChA_3*AK930)+Rho*(ChA_1*AI930+ChA_2*AJ930+ChA_3*AK930),"")</f>
        <v>0.880169174600916</v>
      </c>
      <c r="AM930" s="12" t="n">
        <f aca="false">IF($J930=1,MAX(ChB_1*AI930,ChB_2*AJ930,ChB_3*AK930)+Rho*(ChB_1*AI930+ChB_2*AJ930+ChB_3*AK930),"")</f>
        <v>1.62374236751272</v>
      </c>
      <c r="AN930" s="12" t="n">
        <f aca="false">IF($J930=1,MAX(Cx_1*(Ref_P-E930)/Span_P,Cx_2*(Ref_S-F930)/Span_S,Cx_3*(Ref_B-G930)/Span_B),"")</f>
        <v>2.2436974789916</v>
      </c>
    </row>
    <row r="931" customFormat="false" ht="15" hidden="false" customHeight="false" outlineLevel="0" collapsed="false">
      <c r="A931" s="2" t="n">
        <v>925</v>
      </c>
      <c r="B931" s="15" t="n">
        <f aca="false">INT(A931/151)</f>
        <v>6</v>
      </c>
      <c r="C931" s="15" t="n">
        <f aca="false">MOD(A931,151)</f>
        <v>19</v>
      </c>
      <c r="D931" s="15" t="n">
        <f aca="false">INDEX(Grid!$J$6:$P$156,C931+1,B931+1)</f>
        <v>1</v>
      </c>
      <c r="E931" s="16" t="n">
        <f aca="false">IF(D931=1,INDEX(Grid!$B$6:$H$156,C931+1,B931+1),"")</f>
        <v>89.3187759269932</v>
      </c>
      <c r="F931" s="13" t="n">
        <f aca="false">Val_pt*(Ceiling_e-E_zero)*(1-(1-Half_gap)^B931)</f>
        <v>137.8125</v>
      </c>
      <c r="G931" s="15" t="n">
        <f aca="false">C931</f>
        <v>19</v>
      </c>
      <c r="H931" s="15" t="n">
        <f aca="false">IF(D931=1,INDEX(Grid!$R$6:$X$156,C931+1,B931+1),"")</f>
        <v>63</v>
      </c>
      <c r="I931" s="2" t="str">
        <f aca="false">IF(D931=1,INDEX(Sch_label,H931+1),"")</f>
        <v>1–6</v>
      </c>
      <c r="J931" s="15" t="n">
        <f aca="false">IF(D931=1,INDEX(Grid!$Z$6:$AF$156,C931+1,B931+1),0)</f>
        <v>1</v>
      </c>
      <c r="K931" s="16" t="n">
        <f aca="false">IF(J931=1,E931,0)</f>
        <v>89.3187759269932</v>
      </c>
      <c r="L931" s="17" t="n">
        <f aca="false">IF(D931=1,E931+W_board*F931,"")</f>
        <v>867.234410782355</v>
      </c>
      <c r="M931" s="24" t="n">
        <v>1</v>
      </c>
      <c r="N931" s="25" t="n">
        <v>0.00265551057325523</v>
      </c>
      <c r="O931" s="25" t="n">
        <v>0.996344489426745</v>
      </c>
      <c r="P931" s="25" t="n">
        <v>0.001</v>
      </c>
      <c r="Z931" s="12" t="n">
        <f aca="false">IF(AND($J931=1,$M931=1),N931*E931/Span_P+O931*F931/Span_S+P931*G931/Span_B,"")</f>
        <v>2.02561079469717</v>
      </c>
      <c r="AA931" s="12" t="n">
        <f aca="false">IF(AND($J931=1,$M931=1),SUMPRODUCT(MAX($J$6:$J$1062*(N931*$K$6:$K$1062/Span_P+O931*$F$6:$F$1062/Span_S+P931*$G$6:$G$1062/Span_B)-(1-$J$6:$J$1062)*1000000000)),"")</f>
        <v>2.02561079469717</v>
      </c>
      <c r="AB931" s="15" t="n">
        <f aca="false">IF(AND($J931=1,$M931=1),IF(AA931-Z931&lt;=0.000000001,1,0),"")</f>
        <v>1</v>
      </c>
      <c r="AC931" s="13" t="str">
        <f aca="false">IF(AND($J931=1,$M931=0),IF(S931="",0,S931*INDEX(Grid!$B$6:$H$156,R931+1,Q931+1))+IF(V931="",0,V931*INDEX(Grid!$B$6:$H$156,U931+1,T931+1))+IF(Y931="",0,Y931*INDEX(Grid!$B$6:$H$156,X931+1,W931+1)),"")</f>
        <v/>
      </c>
      <c r="AD931" s="13" t="str">
        <f aca="false">IF(AND($J931=1,$M931=0),IF(S931="",0,S931*Val_pt*(Ceiling_e-E_zero)*(1-(1-Half_gap)^Q931))+IF(V931="",0,V931*Val_pt*(Ceiling_e-E_zero)*(1-(1-Half_gap)^T931))+IF(Y931="",0,Y931*Val_pt*(Ceiling_e-E_zero)*(1-(1-Half_gap)^W931)),"")</f>
        <v/>
      </c>
      <c r="AE931" s="13" t="str">
        <f aca="false">IF(AND($J931=1,$M931=0),IF(S931="",0,S931*R931)+IF(V931="",0,V931*U931)+IF(Y931="",0,Y931*X931),"")</f>
        <v/>
      </c>
      <c r="AF931" s="12" t="str">
        <f aca="false">IF(AND($J931=1,$M931=0),MIN((AC931-E931)/Span_P,(AD931-F931)/Span_S,(AE931-G931)/Span_B),"")</f>
        <v/>
      </c>
      <c r="AG931" s="15" t="str">
        <f aca="false">IF(AND($J931=1,$M931=0),IF(AF931&gt;0.0000001,1,0),"")</f>
        <v/>
      </c>
      <c r="AH931" s="15" t="n">
        <f aca="false">IF($J931=1,IF($M931=1,AB931,AG931),"")</f>
        <v>1</v>
      </c>
      <c r="AI931" s="13" t="n">
        <f aca="false">IF($J931=1,(Ideal_P-E931)/Span_P,"")</f>
        <v>0.814256511931751</v>
      </c>
      <c r="AJ931" s="13" t="n">
        <f aca="false">IF($J931=1,(Ideal_S-F931)/Span_S,"")</f>
        <v>0</v>
      </c>
      <c r="AK931" s="13" t="n">
        <f aca="false">IF($J931=1,(Ideal_B-G931)/Span_B,"")</f>
        <v>0.873333333333333</v>
      </c>
      <c r="AL931" s="12" t="n">
        <f aca="false">IF($J931=1,MAX(ChA_1*AI931,ChA_2*AJ931,ChA_3*AK931)+Rho*(ChA_1*AI931+ChA_2*AJ931+ChA_3*AK931),"")</f>
        <v>0.87350209231786</v>
      </c>
      <c r="AM931" s="12" t="n">
        <f aca="false">IF($J931=1,MAX(ChB_1*AI931,ChB_2*AJ931,ChB_3*AK931)+Rho*(ChB_1*AI931+ChB_2*AJ931+ChB_3*AK931),"")</f>
        <v>1.62876320849922</v>
      </c>
      <c r="AN931" s="12" t="n">
        <f aca="false">IF($J931=1,MAX(Cx_1*(Ref_P-E931)/Span_P,Cx_2*(Ref_S-F931)/Span_S,Cx_3*(Ref_B-G931)/Span_B),"")</f>
        <v>2.22689075630252</v>
      </c>
    </row>
    <row r="932" customFormat="false" ht="15" hidden="false" customHeight="false" outlineLevel="0" collapsed="false">
      <c r="A932" s="2" t="n">
        <v>926</v>
      </c>
      <c r="B932" s="15" t="n">
        <f aca="false">INT(A932/151)</f>
        <v>6</v>
      </c>
      <c r="C932" s="15" t="n">
        <f aca="false">MOD(A932,151)</f>
        <v>20</v>
      </c>
      <c r="D932" s="15" t="n">
        <f aca="false">INDEX(Grid!$J$6:$P$156,C932+1,B932+1)</f>
        <v>1</v>
      </c>
      <c r="E932" s="16" t="n">
        <f aca="false">IF(D932=1,INDEX(Grid!$B$6:$H$156,C932+1,B932+1),"")</f>
        <v>88.4096850179023</v>
      </c>
      <c r="F932" s="13" t="n">
        <f aca="false">Val_pt*(Ceiling_e-E_zero)*(1-(1-Half_gap)^B932)</f>
        <v>137.8125</v>
      </c>
      <c r="G932" s="15" t="n">
        <f aca="false">C932</f>
        <v>20</v>
      </c>
      <c r="H932" s="15" t="n">
        <f aca="false">IF(D932=1,INDEX(Grid!$R$6:$X$156,C932+1,B932+1),"")</f>
        <v>63</v>
      </c>
      <c r="I932" s="2" t="str">
        <f aca="false">IF(D932=1,INDEX(Sch_label,H932+1),"")</f>
        <v>1–6</v>
      </c>
      <c r="J932" s="15" t="n">
        <f aca="false">IF(D932=1,INDEX(Grid!$Z$6:$AF$156,C932+1,B932+1),0)</f>
        <v>1</v>
      </c>
      <c r="K932" s="16" t="n">
        <f aca="false">IF(J932=1,E932,0)</f>
        <v>88.4096850179023</v>
      </c>
      <c r="L932" s="17" t="n">
        <f aca="false">IF(D932=1,E932+W_board*F932,"")</f>
        <v>866.325319873264</v>
      </c>
      <c r="M932" s="24" t="n">
        <v>1</v>
      </c>
      <c r="N932" s="25" t="n">
        <v>0.00265551057325527</v>
      </c>
      <c r="O932" s="25" t="n">
        <v>0.996344489426745</v>
      </c>
      <c r="P932" s="25" t="n">
        <v>0.001</v>
      </c>
      <c r="Z932" s="12" t="n">
        <f aca="false">IF(AND($J932=1,$M932=1),N932*E932/Span_P+O932*F932/Span_S+P932*G932/Span_B,"")</f>
        <v>2.02561079469717</v>
      </c>
      <c r="AA932" s="12" t="n">
        <f aca="false">IF(AND($J932=1,$M932=1),SUMPRODUCT(MAX($J$6:$J$1062*(N932*$K$6:$K$1062/Span_P+O932*$F$6:$F$1062/Span_S+P932*$G$6:$G$1062/Span_B)-(1-$J$6:$J$1062)*1000000000)),"")</f>
        <v>2.02561079469717</v>
      </c>
      <c r="AB932" s="15" t="n">
        <f aca="false">IF(AND($J932=1,$M932=1),IF(AA932-Z932&lt;=0.000000001,1,0),"")</f>
        <v>1</v>
      </c>
      <c r="AC932" s="13" t="str">
        <f aca="false">IF(AND($J932=1,$M932=0),IF(S932="",0,S932*INDEX(Grid!$B$6:$H$156,R932+1,Q932+1))+IF(V932="",0,V932*INDEX(Grid!$B$6:$H$156,U932+1,T932+1))+IF(Y932="",0,Y932*INDEX(Grid!$B$6:$H$156,X932+1,W932+1)),"")</f>
        <v/>
      </c>
      <c r="AD932" s="13" t="str">
        <f aca="false">IF(AND($J932=1,$M932=0),IF(S932="",0,S932*Val_pt*(Ceiling_e-E_zero)*(1-(1-Half_gap)^Q932))+IF(V932="",0,V932*Val_pt*(Ceiling_e-E_zero)*(1-(1-Half_gap)^T932))+IF(Y932="",0,Y932*Val_pt*(Ceiling_e-E_zero)*(1-(1-Half_gap)^W932)),"")</f>
        <v/>
      </c>
      <c r="AE932" s="13" t="str">
        <f aca="false">IF(AND($J932=1,$M932=0),IF(S932="",0,S932*R932)+IF(V932="",0,V932*U932)+IF(Y932="",0,Y932*X932),"")</f>
        <v/>
      </c>
      <c r="AF932" s="12" t="str">
        <f aca="false">IF(AND($J932=1,$M932=0),MIN((AC932-E932)/Span_P,(AD932-F932)/Span_S,(AE932-G932)/Span_B),"")</f>
        <v/>
      </c>
      <c r="AG932" s="15" t="str">
        <f aca="false">IF(AND($J932=1,$M932=0),IF(AF932&gt;0.0000001,1,0),"")</f>
        <v/>
      </c>
      <c r="AH932" s="15" t="n">
        <f aca="false">IF($J932=1,IF($M932=1,AB932,AG932),"")</f>
        <v>1</v>
      </c>
      <c r="AI932" s="13" t="n">
        <f aca="false">IF($J932=1,(Ideal_P-E932)/Span_P,"")</f>
        <v>0.816767014708057</v>
      </c>
      <c r="AJ932" s="13" t="n">
        <f aca="false">IF($J932=1,(Ideal_S-F932)/Span_S,"")</f>
        <v>0</v>
      </c>
      <c r="AK932" s="13" t="n">
        <f aca="false">IF($J932=1,(Ideal_B-G932)/Span_B,"")</f>
        <v>0.866666666666667</v>
      </c>
      <c r="AL932" s="12" t="n">
        <f aca="false">IF($J932=1,MAX(ChA_1*AI932,ChA_2*AJ932,ChA_3*AK932)+Rho*(ChA_1*AI932+ChA_2*AJ932+ChA_3*AK932),"")</f>
        <v>0.866835010034804</v>
      </c>
      <c r="AM932" s="12" t="n">
        <f aca="false">IF($J932=1,MAX(ChB_1*AI932,ChB_2*AJ932,ChB_3*AK932)+Rho*(ChB_1*AI932+ChB_2*AJ932+ChB_3*AK932),"")</f>
        <v>1.63378404948572</v>
      </c>
      <c r="AN932" s="12" t="n">
        <f aca="false">IF($J932=1,MAX(Cx_1*(Ref_P-E932)/Span_P,Cx_2*(Ref_S-F932)/Span_S,Cx_3*(Ref_B-G932)/Span_B),"")</f>
        <v>2.21008403361345</v>
      </c>
    </row>
    <row r="933" customFormat="false" ht="15" hidden="false" customHeight="false" outlineLevel="0" collapsed="false">
      <c r="A933" s="2" t="n">
        <v>927</v>
      </c>
      <c r="B933" s="15" t="n">
        <f aca="false">INT(A933/151)</f>
        <v>6</v>
      </c>
      <c r="C933" s="15" t="n">
        <f aca="false">MOD(A933,151)</f>
        <v>21</v>
      </c>
      <c r="D933" s="15" t="n">
        <f aca="false">INDEX(Grid!$J$6:$P$156,C933+1,B933+1)</f>
        <v>1</v>
      </c>
      <c r="E933" s="16" t="n">
        <f aca="false">IF(D933=1,INDEX(Grid!$B$6:$H$156,C933+1,B933+1),"")</f>
        <v>87.5005941088114</v>
      </c>
      <c r="F933" s="13" t="n">
        <f aca="false">Val_pt*(Ceiling_e-E_zero)*(1-(1-Half_gap)^B933)</f>
        <v>137.8125</v>
      </c>
      <c r="G933" s="15" t="n">
        <f aca="false">C933</f>
        <v>21</v>
      </c>
      <c r="H933" s="15" t="n">
        <f aca="false">IF(D933=1,INDEX(Grid!$R$6:$X$156,C933+1,B933+1),"")</f>
        <v>63</v>
      </c>
      <c r="I933" s="2" t="str">
        <f aca="false">IF(D933=1,INDEX(Sch_label,H933+1),"")</f>
        <v>1–6</v>
      </c>
      <c r="J933" s="15" t="n">
        <f aca="false">IF(D933=1,INDEX(Grid!$Z$6:$AF$156,C933+1,B933+1),0)</f>
        <v>1</v>
      </c>
      <c r="K933" s="16" t="n">
        <f aca="false">IF(J933=1,E933,0)</f>
        <v>87.5005941088114</v>
      </c>
      <c r="L933" s="17" t="n">
        <f aca="false">IF(D933=1,E933+W_board*F933,"")</f>
        <v>865.416228964173</v>
      </c>
      <c r="M933" s="24" t="n">
        <v>1</v>
      </c>
      <c r="N933" s="25" t="n">
        <v>0.00265551057325526</v>
      </c>
      <c r="O933" s="25" t="n">
        <v>0.996344489426745</v>
      </c>
      <c r="P933" s="25" t="n">
        <v>0.001</v>
      </c>
      <c r="Z933" s="12" t="n">
        <f aca="false">IF(AND($J933=1,$M933=1),N933*E933/Span_P+O933*F933/Span_S+P933*G933/Span_B,"")</f>
        <v>2.02561079469717</v>
      </c>
      <c r="AA933" s="12" t="n">
        <f aca="false">IF(AND($J933=1,$M933=1),SUMPRODUCT(MAX($J$6:$J$1062*(N933*$K$6:$K$1062/Span_P+O933*$F$6:$F$1062/Span_S+P933*$G$6:$G$1062/Span_B)-(1-$J$6:$J$1062)*1000000000)),"")</f>
        <v>2.02561079469717</v>
      </c>
      <c r="AB933" s="15" t="n">
        <f aca="false">IF(AND($J933=1,$M933=1),IF(AA933-Z933&lt;=0.000000001,1,0),"")</f>
        <v>1</v>
      </c>
      <c r="AC933" s="13" t="str">
        <f aca="false">IF(AND($J933=1,$M933=0),IF(S933="",0,S933*INDEX(Grid!$B$6:$H$156,R933+1,Q933+1))+IF(V933="",0,V933*INDEX(Grid!$B$6:$H$156,U933+1,T933+1))+IF(Y933="",0,Y933*INDEX(Grid!$B$6:$H$156,X933+1,W933+1)),"")</f>
        <v/>
      </c>
      <c r="AD933" s="13" t="str">
        <f aca="false">IF(AND($J933=1,$M933=0),IF(S933="",0,S933*Val_pt*(Ceiling_e-E_zero)*(1-(1-Half_gap)^Q933))+IF(V933="",0,V933*Val_pt*(Ceiling_e-E_zero)*(1-(1-Half_gap)^T933))+IF(Y933="",0,Y933*Val_pt*(Ceiling_e-E_zero)*(1-(1-Half_gap)^W933)),"")</f>
        <v/>
      </c>
      <c r="AE933" s="13" t="str">
        <f aca="false">IF(AND($J933=1,$M933=0),IF(S933="",0,S933*R933)+IF(V933="",0,V933*U933)+IF(Y933="",0,Y933*X933),"")</f>
        <v/>
      </c>
      <c r="AF933" s="12" t="str">
        <f aca="false">IF(AND($J933=1,$M933=0),MIN((AC933-E933)/Span_P,(AD933-F933)/Span_S,(AE933-G933)/Span_B),"")</f>
        <v/>
      </c>
      <c r="AG933" s="15" t="str">
        <f aca="false">IF(AND($J933=1,$M933=0),IF(AF933&gt;0.0000001,1,0),"")</f>
        <v/>
      </c>
      <c r="AH933" s="15" t="n">
        <f aca="false">IF($J933=1,IF($M933=1,AB933,AG933),"")</f>
        <v>1</v>
      </c>
      <c r="AI933" s="13" t="n">
        <f aca="false">IF($J933=1,(Ideal_P-E933)/Span_P,"")</f>
        <v>0.819277517484363</v>
      </c>
      <c r="AJ933" s="13" t="n">
        <f aca="false">IF($J933=1,(Ideal_S-F933)/Span_S,"")</f>
        <v>0</v>
      </c>
      <c r="AK933" s="13" t="n">
        <f aca="false">IF($J933=1,(Ideal_B-G933)/Span_B,"")</f>
        <v>0.86</v>
      </c>
      <c r="AL933" s="12" t="n">
        <f aca="false">IF($J933=1,MAX(ChA_1*AI933,ChA_2*AJ933,ChA_3*AK933)+Rho*(ChA_1*AI933+ChA_2*AJ933+ChA_3*AK933),"")</f>
        <v>0.860167927751748</v>
      </c>
      <c r="AM933" s="12" t="n">
        <f aca="false">IF($J933=1,MAX(ChB_1*AI933,ChB_2*AJ933,ChB_3*AK933)+Rho*(ChB_1*AI933+ChB_2*AJ933+ChB_3*AK933),"")</f>
        <v>1.63880489047222</v>
      </c>
      <c r="AN933" s="12" t="n">
        <f aca="false">IF($J933=1,MAX(Cx_1*(Ref_P-E933)/Span_P,Cx_2*(Ref_S-F933)/Span_S,Cx_3*(Ref_B-G933)/Span_B),"")</f>
        <v>2.19327731092437</v>
      </c>
    </row>
    <row r="934" customFormat="false" ht="15" hidden="false" customHeight="false" outlineLevel="0" collapsed="false">
      <c r="A934" s="2" t="n">
        <v>928</v>
      </c>
      <c r="B934" s="15" t="n">
        <f aca="false">INT(A934/151)</f>
        <v>6</v>
      </c>
      <c r="C934" s="15" t="n">
        <f aca="false">MOD(A934,151)</f>
        <v>22</v>
      </c>
      <c r="D934" s="15" t="n">
        <f aca="false">INDEX(Grid!$J$6:$P$156,C934+1,B934+1)</f>
        <v>1</v>
      </c>
      <c r="E934" s="16" t="n">
        <f aca="false">IF(D934=1,INDEX(Grid!$B$6:$H$156,C934+1,B934+1),"")</f>
        <v>86.5915031997205</v>
      </c>
      <c r="F934" s="13" t="n">
        <f aca="false">Val_pt*(Ceiling_e-E_zero)*(1-(1-Half_gap)^B934)</f>
        <v>137.8125</v>
      </c>
      <c r="G934" s="15" t="n">
        <f aca="false">C934</f>
        <v>22</v>
      </c>
      <c r="H934" s="15" t="n">
        <f aca="false">IF(D934=1,INDEX(Grid!$R$6:$X$156,C934+1,B934+1),"")</f>
        <v>63</v>
      </c>
      <c r="I934" s="2" t="str">
        <f aca="false">IF(D934=1,INDEX(Sch_label,H934+1),"")</f>
        <v>1–6</v>
      </c>
      <c r="J934" s="15" t="n">
        <f aca="false">IF(D934=1,INDEX(Grid!$Z$6:$AF$156,C934+1,B934+1),0)</f>
        <v>1</v>
      </c>
      <c r="K934" s="16" t="n">
        <f aca="false">IF(J934=1,E934,0)</f>
        <v>86.5915031997205</v>
      </c>
      <c r="L934" s="17" t="n">
        <f aca="false">IF(D934=1,E934+W_board*F934,"")</f>
        <v>864.507138055082</v>
      </c>
      <c r="M934" s="24" t="n">
        <v>1</v>
      </c>
      <c r="N934" s="25" t="n">
        <v>0.00265551057325526</v>
      </c>
      <c r="O934" s="25" t="n">
        <v>0.996344489426745</v>
      </c>
      <c r="P934" s="25" t="n">
        <v>0.001</v>
      </c>
      <c r="Z934" s="12" t="n">
        <f aca="false">IF(AND($J934=1,$M934=1),N934*E934/Span_P+O934*F934/Span_S+P934*G934/Span_B,"")</f>
        <v>2.02561079469717</v>
      </c>
      <c r="AA934" s="12" t="n">
        <f aca="false">IF(AND($J934=1,$M934=1),SUMPRODUCT(MAX($J$6:$J$1062*(N934*$K$6:$K$1062/Span_P+O934*$F$6:$F$1062/Span_S+P934*$G$6:$G$1062/Span_B)-(1-$J$6:$J$1062)*1000000000)),"")</f>
        <v>2.02561079469717</v>
      </c>
      <c r="AB934" s="15" t="n">
        <f aca="false">IF(AND($J934=1,$M934=1),IF(AA934-Z934&lt;=0.000000001,1,0),"")</f>
        <v>1</v>
      </c>
      <c r="AC934" s="13" t="str">
        <f aca="false">IF(AND($J934=1,$M934=0),IF(S934="",0,S934*INDEX(Grid!$B$6:$H$156,R934+1,Q934+1))+IF(V934="",0,V934*INDEX(Grid!$B$6:$H$156,U934+1,T934+1))+IF(Y934="",0,Y934*INDEX(Grid!$B$6:$H$156,X934+1,W934+1)),"")</f>
        <v/>
      </c>
      <c r="AD934" s="13" t="str">
        <f aca="false">IF(AND($J934=1,$M934=0),IF(S934="",0,S934*Val_pt*(Ceiling_e-E_zero)*(1-(1-Half_gap)^Q934))+IF(V934="",0,V934*Val_pt*(Ceiling_e-E_zero)*(1-(1-Half_gap)^T934))+IF(Y934="",0,Y934*Val_pt*(Ceiling_e-E_zero)*(1-(1-Half_gap)^W934)),"")</f>
        <v/>
      </c>
      <c r="AE934" s="13" t="str">
        <f aca="false">IF(AND($J934=1,$M934=0),IF(S934="",0,S934*R934)+IF(V934="",0,V934*U934)+IF(Y934="",0,Y934*X934),"")</f>
        <v/>
      </c>
      <c r="AF934" s="12" t="str">
        <f aca="false">IF(AND($J934=1,$M934=0),MIN((AC934-E934)/Span_P,(AD934-F934)/Span_S,(AE934-G934)/Span_B),"")</f>
        <v/>
      </c>
      <c r="AG934" s="15" t="str">
        <f aca="false">IF(AND($J934=1,$M934=0),IF(AF934&gt;0.0000001,1,0),"")</f>
        <v/>
      </c>
      <c r="AH934" s="15" t="n">
        <f aca="false">IF($J934=1,IF($M934=1,AB934,AG934),"")</f>
        <v>1</v>
      </c>
      <c r="AI934" s="13" t="n">
        <f aca="false">IF($J934=1,(Ideal_P-E934)/Span_P,"")</f>
        <v>0.821788020260668</v>
      </c>
      <c r="AJ934" s="13" t="n">
        <f aca="false">IF($J934=1,(Ideal_S-F934)/Span_S,"")</f>
        <v>0</v>
      </c>
      <c r="AK934" s="13" t="n">
        <f aca="false">IF($J934=1,(Ideal_B-G934)/Span_B,"")</f>
        <v>0.853333333333333</v>
      </c>
      <c r="AL934" s="12" t="n">
        <f aca="false">IF($J934=1,MAX(ChA_1*AI934,ChA_2*AJ934,ChA_3*AK934)+Rho*(ChA_1*AI934+ChA_2*AJ934+ChA_3*AK934),"")</f>
        <v>0.853500845468693</v>
      </c>
      <c r="AM934" s="12" t="n">
        <f aca="false">IF($J934=1,MAX(ChB_1*AI934,ChB_2*AJ934,ChB_3*AK934)+Rho*(ChB_1*AI934+ChB_2*AJ934+ChB_3*AK934),"")</f>
        <v>1.64382573145872</v>
      </c>
      <c r="AN934" s="12" t="n">
        <f aca="false">IF($J934=1,MAX(Cx_1*(Ref_P-E934)/Span_P,Cx_2*(Ref_S-F934)/Span_S,Cx_3*(Ref_B-G934)/Span_B),"")</f>
        <v>2.17647058823529</v>
      </c>
    </row>
    <row r="935" customFormat="false" ht="15" hidden="false" customHeight="false" outlineLevel="0" collapsed="false">
      <c r="A935" s="2" t="n">
        <v>929</v>
      </c>
      <c r="B935" s="15" t="n">
        <f aca="false">INT(A935/151)</f>
        <v>6</v>
      </c>
      <c r="C935" s="15" t="n">
        <f aca="false">MOD(A935,151)</f>
        <v>23</v>
      </c>
      <c r="D935" s="15" t="n">
        <f aca="false">INDEX(Grid!$J$6:$P$156,C935+1,B935+1)</f>
        <v>1</v>
      </c>
      <c r="E935" s="16" t="n">
        <f aca="false">IF(D935=1,INDEX(Grid!$B$6:$H$156,C935+1,B935+1),"")</f>
        <v>85.6824122906296</v>
      </c>
      <c r="F935" s="13" t="n">
        <f aca="false">Val_pt*(Ceiling_e-E_zero)*(1-(1-Half_gap)^B935)</f>
        <v>137.8125</v>
      </c>
      <c r="G935" s="15" t="n">
        <f aca="false">C935</f>
        <v>23</v>
      </c>
      <c r="H935" s="15" t="n">
        <f aca="false">IF(D935=1,INDEX(Grid!$R$6:$X$156,C935+1,B935+1),"")</f>
        <v>63</v>
      </c>
      <c r="I935" s="2" t="str">
        <f aca="false">IF(D935=1,INDEX(Sch_label,H935+1),"")</f>
        <v>1–6</v>
      </c>
      <c r="J935" s="15" t="n">
        <f aca="false">IF(D935=1,INDEX(Grid!$Z$6:$AF$156,C935+1,B935+1),0)</f>
        <v>1</v>
      </c>
      <c r="K935" s="16" t="n">
        <f aca="false">IF(J935=1,E935,0)</f>
        <v>85.6824122906296</v>
      </c>
      <c r="L935" s="17" t="n">
        <f aca="false">IF(D935=1,E935+W_board*F935,"")</f>
        <v>863.598047145992</v>
      </c>
      <c r="M935" s="24" t="n">
        <v>1</v>
      </c>
      <c r="N935" s="25" t="n">
        <v>0.00265551057325527</v>
      </c>
      <c r="O935" s="25" t="n">
        <v>0.996344489426745</v>
      </c>
      <c r="P935" s="25" t="n">
        <v>0.001</v>
      </c>
      <c r="Z935" s="12" t="n">
        <f aca="false">IF(AND($J935=1,$M935=1),N935*E935/Span_P+O935*F935/Span_S+P935*G935/Span_B,"")</f>
        <v>2.02561079469717</v>
      </c>
      <c r="AA935" s="12" t="n">
        <f aca="false">IF(AND($J935=1,$M935=1),SUMPRODUCT(MAX($J$6:$J$1062*(N935*$K$6:$K$1062/Span_P+O935*$F$6:$F$1062/Span_S+P935*$G$6:$G$1062/Span_B)-(1-$J$6:$J$1062)*1000000000)),"")</f>
        <v>2.02561079469717</v>
      </c>
      <c r="AB935" s="15" t="n">
        <f aca="false">IF(AND($J935=1,$M935=1),IF(AA935-Z935&lt;=0.000000001,1,0),"")</f>
        <v>1</v>
      </c>
      <c r="AC935" s="13" t="str">
        <f aca="false">IF(AND($J935=1,$M935=0),IF(S935="",0,S935*INDEX(Grid!$B$6:$H$156,R935+1,Q935+1))+IF(V935="",0,V935*INDEX(Grid!$B$6:$H$156,U935+1,T935+1))+IF(Y935="",0,Y935*INDEX(Grid!$B$6:$H$156,X935+1,W935+1)),"")</f>
        <v/>
      </c>
      <c r="AD935" s="13" t="str">
        <f aca="false">IF(AND($J935=1,$M935=0),IF(S935="",0,S935*Val_pt*(Ceiling_e-E_zero)*(1-(1-Half_gap)^Q935))+IF(V935="",0,V935*Val_pt*(Ceiling_e-E_zero)*(1-(1-Half_gap)^T935))+IF(Y935="",0,Y935*Val_pt*(Ceiling_e-E_zero)*(1-(1-Half_gap)^W935)),"")</f>
        <v/>
      </c>
      <c r="AE935" s="13" t="str">
        <f aca="false">IF(AND($J935=1,$M935=0),IF(S935="",0,S935*R935)+IF(V935="",0,V935*U935)+IF(Y935="",0,Y935*X935),"")</f>
        <v/>
      </c>
      <c r="AF935" s="12" t="str">
        <f aca="false">IF(AND($J935=1,$M935=0),MIN((AC935-E935)/Span_P,(AD935-F935)/Span_S,(AE935-G935)/Span_B),"")</f>
        <v/>
      </c>
      <c r="AG935" s="15" t="str">
        <f aca="false">IF(AND($J935=1,$M935=0),IF(AF935&gt;0.0000001,1,0),"")</f>
        <v/>
      </c>
      <c r="AH935" s="15" t="n">
        <f aca="false">IF($J935=1,IF($M935=1,AB935,AG935),"")</f>
        <v>1</v>
      </c>
      <c r="AI935" s="13" t="n">
        <f aca="false">IF($J935=1,(Ideal_P-E935)/Span_P,"")</f>
        <v>0.824298523036974</v>
      </c>
      <c r="AJ935" s="13" t="n">
        <f aca="false">IF($J935=1,(Ideal_S-F935)/Span_S,"")</f>
        <v>0</v>
      </c>
      <c r="AK935" s="13" t="n">
        <f aca="false">IF($J935=1,(Ideal_B-G935)/Span_B,"")</f>
        <v>0.846666666666667</v>
      </c>
      <c r="AL935" s="12" t="n">
        <f aca="false">IF($J935=1,MAX(ChA_1*AI935,ChA_2*AJ935,ChA_3*AK935)+Rho*(ChA_1*AI935+ChA_2*AJ935+ChA_3*AK935),"")</f>
        <v>0.846833763185637</v>
      </c>
      <c r="AM935" s="12" t="n">
        <f aca="false">IF($J935=1,MAX(ChB_1*AI935,ChB_2*AJ935,ChB_3*AK935)+Rho*(ChB_1*AI935+ChB_2*AJ935+ChB_3*AK935),"")</f>
        <v>1.64884657244522</v>
      </c>
      <c r="AN935" s="12" t="n">
        <f aca="false">IF($J935=1,MAX(Cx_1*(Ref_P-E935)/Span_P,Cx_2*(Ref_S-F935)/Span_S,Cx_3*(Ref_B-G935)/Span_B),"")</f>
        <v>2.15966386554622</v>
      </c>
    </row>
    <row r="936" customFormat="false" ht="15" hidden="false" customHeight="false" outlineLevel="0" collapsed="false">
      <c r="A936" s="2" t="n">
        <v>930</v>
      </c>
      <c r="B936" s="15" t="n">
        <f aca="false">INT(A936/151)</f>
        <v>6</v>
      </c>
      <c r="C936" s="15" t="n">
        <f aca="false">MOD(A936,151)</f>
        <v>24</v>
      </c>
      <c r="D936" s="15" t="n">
        <f aca="false">INDEX(Grid!$J$6:$P$156,C936+1,B936+1)</f>
        <v>1</v>
      </c>
      <c r="E936" s="16" t="n">
        <f aca="false">IF(D936=1,INDEX(Grid!$B$6:$H$156,C936+1,B936+1),"")</f>
        <v>84.7733213815387</v>
      </c>
      <c r="F936" s="13" t="n">
        <f aca="false">Val_pt*(Ceiling_e-E_zero)*(1-(1-Half_gap)^B936)</f>
        <v>137.8125</v>
      </c>
      <c r="G936" s="15" t="n">
        <f aca="false">C936</f>
        <v>24</v>
      </c>
      <c r="H936" s="15" t="n">
        <f aca="false">IF(D936=1,INDEX(Grid!$R$6:$X$156,C936+1,B936+1),"")</f>
        <v>63</v>
      </c>
      <c r="I936" s="2" t="str">
        <f aca="false">IF(D936=1,INDEX(Sch_label,H936+1),"")</f>
        <v>1–6</v>
      </c>
      <c r="J936" s="15" t="n">
        <f aca="false">IF(D936=1,INDEX(Grid!$Z$6:$AF$156,C936+1,B936+1),0)</f>
        <v>1</v>
      </c>
      <c r="K936" s="16" t="n">
        <f aca="false">IF(J936=1,E936,0)</f>
        <v>84.7733213815387</v>
      </c>
      <c r="L936" s="17" t="n">
        <f aca="false">IF(D936=1,E936+W_board*F936,"")</f>
        <v>862.688956236901</v>
      </c>
      <c r="M936" s="24" t="n">
        <v>1</v>
      </c>
      <c r="N936" s="25" t="n">
        <v>0.00265551057325529</v>
      </c>
      <c r="O936" s="25" t="n">
        <v>0.996344489426745</v>
      </c>
      <c r="P936" s="25" t="n">
        <v>0.001</v>
      </c>
      <c r="Z936" s="12" t="n">
        <f aca="false">IF(AND($J936=1,$M936=1),N936*E936/Span_P+O936*F936/Span_S+P936*G936/Span_B,"")</f>
        <v>2.02561079469717</v>
      </c>
      <c r="AA936" s="12" t="n">
        <f aca="false">IF(AND($J936=1,$M936=1),SUMPRODUCT(MAX($J$6:$J$1062*(N936*$K$6:$K$1062/Span_P+O936*$F$6:$F$1062/Span_S+P936*$G$6:$G$1062/Span_B)-(1-$J$6:$J$1062)*1000000000)),"")</f>
        <v>2.02561079469717</v>
      </c>
      <c r="AB936" s="15" t="n">
        <f aca="false">IF(AND($J936=1,$M936=1),IF(AA936-Z936&lt;=0.000000001,1,0),"")</f>
        <v>1</v>
      </c>
      <c r="AC936" s="13" t="str">
        <f aca="false">IF(AND($J936=1,$M936=0),IF(S936="",0,S936*INDEX(Grid!$B$6:$H$156,R936+1,Q936+1))+IF(V936="",0,V936*INDEX(Grid!$B$6:$H$156,U936+1,T936+1))+IF(Y936="",0,Y936*INDEX(Grid!$B$6:$H$156,X936+1,W936+1)),"")</f>
        <v/>
      </c>
      <c r="AD936" s="13" t="str">
        <f aca="false">IF(AND($J936=1,$M936=0),IF(S936="",0,S936*Val_pt*(Ceiling_e-E_zero)*(1-(1-Half_gap)^Q936))+IF(V936="",0,V936*Val_pt*(Ceiling_e-E_zero)*(1-(1-Half_gap)^T936))+IF(Y936="",0,Y936*Val_pt*(Ceiling_e-E_zero)*(1-(1-Half_gap)^W936)),"")</f>
        <v/>
      </c>
      <c r="AE936" s="13" t="str">
        <f aca="false">IF(AND($J936=1,$M936=0),IF(S936="",0,S936*R936)+IF(V936="",0,V936*U936)+IF(Y936="",0,Y936*X936),"")</f>
        <v/>
      </c>
      <c r="AF936" s="12" t="str">
        <f aca="false">IF(AND($J936=1,$M936=0),MIN((AC936-E936)/Span_P,(AD936-F936)/Span_S,(AE936-G936)/Span_B),"")</f>
        <v/>
      </c>
      <c r="AG936" s="15" t="str">
        <f aca="false">IF(AND($J936=1,$M936=0),IF(AF936&gt;0.0000001,1,0),"")</f>
        <v/>
      </c>
      <c r="AH936" s="15" t="n">
        <f aca="false">IF($J936=1,IF($M936=1,AB936,AG936),"")</f>
        <v>1</v>
      </c>
      <c r="AI936" s="13" t="n">
        <f aca="false">IF($J936=1,(Ideal_P-E936)/Span_P,"")</f>
        <v>0.82680902581328</v>
      </c>
      <c r="AJ936" s="13" t="n">
        <f aca="false">IF($J936=1,(Ideal_S-F936)/Span_S,"")</f>
        <v>0</v>
      </c>
      <c r="AK936" s="13" t="n">
        <f aca="false">IF($J936=1,(Ideal_B-G936)/Span_B,"")</f>
        <v>0.84</v>
      </c>
      <c r="AL936" s="12" t="n">
        <f aca="false">IF($J936=1,MAX(ChA_1*AI936,ChA_2*AJ936,ChA_3*AK936)+Rho*(ChA_1*AI936+ChA_2*AJ936+ChA_3*AK936),"")</f>
        <v>0.840166680902581</v>
      </c>
      <c r="AM936" s="12" t="n">
        <f aca="false">IF($J936=1,MAX(ChB_1*AI936,ChB_2*AJ936,ChB_3*AK936)+Rho*(ChB_1*AI936+ChB_2*AJ936+ChB_3*AK936),"")</f>
        <v>1.65386741343172</v>
      </c>
      <c r="AN936" s="12" t="n">
        <f aca="false">IF($J936=1,MAX(Cx_1*(Ref_P-E936)/Span_P,Cx_2*(Ref_S-F936)/Span_S,Cx_3*(Ref_B-G936)/Span_B),"")</f>
        <v>2.14285714285714</v>
      </c>
    </row>
    <row r="937" customFormat="false" ht="15" hidden="false" customHeight="false" outlineLevel="0" collapsed="false">
      <c r="A937" s="2" t="n">
        <v>931</v>
      </c>
      <c r="B937" s="15" t="n">
        <f aca="false">INT(A937/151)</f>
        <v>6</v>
      </c>
      <c r="C937" s="15" t="n">
        <f aca="false">MOD(A937,151)</f>
        <v>25</v>
      </c>
      <c r="D937" s="15" t="n">
        <f aca="false">INDEX(Grid!$J$6:$P$156,C937+1,B937+1)</f>
        <v>1</v>
      </c>
      <c r="E937" s="16" t="n">
        <f aca="false">IF(D937=1,INDEX(Grid!$B$6:$H$156,C937+1,B937+1),"")</f>
        <v>83.8642304724477</v>
      </c>
      <c r="F937" s="13" t="n">
        <f aca="false">Val_pt*(Ceiling_e-E_zero)*(1-(1-Half_gap)^B937)</f>
        <v>137.8125</v>
      </c>
      <c r="G937" s="15" t="n">
        <f aca="false">C937</f>
        <v>25</v>
      </c>
      <c r="H937" s="15" t="n">
        <f aca="false">IF(D937=1,INDEX(Grid!$R$6:$X$156,C937+1,B937+1),"")</f>
        <v>63</v>
      </c>
      <c r="I937" s="2" t="str">
        <f aca="false">IF(D937=1,INDEX(Sch_label,H937+1),"")</f>
        <v>1–6</v>
      </c>
      <c r="J937" s="15" t="n">
        <f aca="false">IF(D937=1,INDEX(Grid!$Z$6:$AF$156,C937+1,B937+1),0)</f>
        <v>1</v>
      </c>
      <c r="K937" s="16" t="n">
        <f aca="false">IF(J937=1,E937,0)</f>
        <v>83.8642304724477</v>
      </c>
      <c r="L937" s="17" t="n">
        <f aca="false">IF(D937=1,E937+W_board*F937,"")</f>
        <v>861.77986532781</v>
      </c>
      <c r="M937" s="24" t="n">
        <v>1</v>
      </c>
      <c r="N937" s="25" t="n">
        <v>0.00265551057325521</v>
      </c>
      <c r="O937" s="25" t="n">
        <v>0.996344489426745</v>
      </c>
      <c r="P937" s="25" t="n">
        <v>0.001</v>
      </c>
      <c r="Z937" s="12" t="n">
        <f aca="false">IF(AND($J937=1,$M937=1),N937*E937/Span_P+O937*F937/Span_S+P937*G937/Span_B,"")</f>
        <v>2.02561079469717</v>
      </c>
      <c r="AA937" s="12" t="n">
        <f aca="false">IF(AND($J937=1,$M937=1),SUMPRODUCT(MAX($J$6:$J$1062*(N937*$K$6:$K$1062/Span_P+O937*$F$6:$F$1062/Span_S+P937*$G$6:$G$1062/Span_B)-(1-$J$6:$J$1062)*1000000000)),"")</f>
        <v>2.02561079469717</v>
      </c>
      <c r="AB937" s="15" t="n">
        <f aca="false">IF(AND($J937=1,$M937=1),IF(AA937-Z937&lt;=0.000000001,1,0),"")</f>
        <v>1</v>
      </c>
      <c r="AC937" s="13" t="str">
        <f aca="false">IF(AND($J937=1,$M937=0),IF(S937="",0,S937*INDEX(Grid!$B$6:$H$156,R937+1,Q937+1))+IF(V937="",0,V937*INDEX(Grid!$B$6:$H$156,U937+1,T937+1))+IF(Y937="",0,Y937*INDEX(Grid!$B$6:$H$156,X937+1,W937+1)),"")</f>
        <v/>
      </c>
      <c r="AD937" s="13" t="str">
        <f aca="false">IF(AND($J937=1,$M937=0),IF(S937="",0,S937*Val_pt*(Ceiling_e-E_zero)*(1-(1-Half_gap)^Q937))+IF(V937="",0,V937*Val_pt*(Ceiling_e-E_zero)*(1-(1-Half_gap)^T937))+IF(Y937="",0,Y937*Val_pt*(Ceiling_e-E_zero)*(1-(1-Half_gap)^W937)),"")</f>
        <v/>
      </c>
      <c r="AE937" s="13" t="str">
        <f aca="false">IF(AND($J937=1,$M937=0),IF(S937="",0,S937*R937)+IF(V937="",0,V937*U937)+IF(Y937="",0,Y937*X937),"")</f>
        <v/>
      </c>
      <c r="AF937" s="12" t="str">
        <f aca="false">IF(AND($J937=1,$M937=0),MIN((AC937-E937)/Span_P,(AD937-F937)/Span_S,(AE937-G937)/Span_B),"")</f>
        <v/>
      </c>
      <c r="AG937" s="15" t="str">
        <f aca="false">IF(AND($J937=1,$M937=0),IF(AF937&gt;0.0000001,1,0),"")</f>
        <v/>
      </c>
      <c r="AH937" s="15" t="n">
        <f aca="false">IF($J937=1,IF($M937=1,AB937,AG937),"")</f>
        <v>1</v>
      </c>
      <c r="AI937" s="13" t="n">
        <f aca="false">IF($J937=1,(Ideal_P-E937)/Span_P,"")</f>
        <v>0.829319528589586</v>
      </c>
      <c r="AJ937" s="13" t="n">
        <f aca="false">IF($J937=1,(Ideal_S-F937)/Span_S,"")</f>
        <v>0</v>
      </c>
      <c r="AK937" s="13" t="n">
        <f aca="false">IF($J937=1,(Ideal_B-G937)/Span_B,"")</f>
        <v>0.833333333333333</v>
      </c>
      <c r="AL937" s="12" t="n">
        <f aca="false">IF($J937=1,MAX(ChA_1*AI937,ChA_2*AJ937,ChA_3*AK937)+Rho*(ChA_1*AI937+ChA_2*AJ937+ChA_3*AK937),"")</f>
        <v>0.833499598619526</v>
      </c>
      <c r="AM937" s="12" t="n">
        <f aca="false">IF($J937=1,MAX(ChB_1*AI937,ChB_2*AJ937,ChB_3*AK937)+Rho*(ChB_1*AI937+ChB_2*AJ937+ChB_3*AK937),"")</f>
        <v>1.65888825441822</v>
      </c>
      <c r="AN937" s="12" t="n">
        <f aca="false">IF($J937=1,MAX(Cx_1*(Ref_P-E937)/Span_P,Cx_2*(Ref_S-F937)/Span_S,Cx_3*(Ref_B-G937)/Span_B),"")</f>
        <v>2.12605042016807</v>
      </c>
    </row>
    <row r="938" customFormat="false" ht="15" hidden="false" customHeight="false" outlineLevel="0" collapsed="false">
      <c r="A938" s="2" t="n">
        <v>932</v>
      </c>
      <c r="B938" s="15" t="n">
        <f aca="false">INT(A938/151)</f>
        <v>6</v>
      </c>
      <c r="C938" s="15" t="n">
        <f aca="false">MOD(A938,151)</f>
        <v>26</v>
      </c>
      <c r="D938" s="15" t="n">
        <f aca="false">INDEX(Grid!$J$6:$P$156,C938+1,B938+1)</f>
        <v>1</v>
      </c>
      <c r="E938" s="16" t="n">
        <f aca="false">IF(D938=1,INDEX(Grid!$B$6:$H$156,C938+1,B938+1),"")</f>
        <v>82.9551395633568</v>
      </c>
      <c r="F938" s="13" t="n">
        <f aca="false">Val_pt*(Ceiling_e-E_zero)*(1-(1-Half_gap)^B938)</f>
        <v>137.8125</v>
      </c>
      <c r="G938" s="15" t="n">
        <f aca="false">C938</f>
        <v>26</v>
      </c>
      <c r="H938" s="15" t="n">
        <f aca="false">IF(D938=1,INDEX(Grid!$R$6:$X$156,C938+1,B938+1),"")</f>
        <v>63</v>
      </c>
      <c r="I938" s="2" t="str">
        <f aca="false">IF(D938=1,INDEX(Sch_label,H938+1),"")</f>
        <v>1–6</v>
      </c>
      <c r="J938" s="15" t="n">
        <f aca="false">IF(D938=1,INDEX(Grid!$Z$6:$AF$156,C938+1,B938+1),0)</f>
        <v>1</v>
      </c>
      <c r="K938" s="16" t="n">
        <f aca="false">IF(J938=1,E938,0)</f>
        <v>82.9551395633568</v>
      </c>
      <c r="L938" s="17" t="n">
        <f aca="false">IF(D938=1,E938+W_board*F938,"")</f>
        <v>860.870774418719</v>
      </c>
      <c r="M938" s="24" t="n">
        <v>1</v>
      </c>
      <c r="N938" s="25" t="n">
        <v>0.00265551057325526</v>
      </c>
      <c r="O938" s="25" t="n">
        <v>0.996344489426745</v>
      </c>
      <c r="P938" s="25" t="n">
        <v>0.001</v>
      </c>
      <c r="Z938" s="12" t="n">
        <f aca="false">IF(AND($J938=1,$M938=1),N938*E938/Span_P+O938*F938/Span_S+P938*G938/Span_B,"")</f>
        <v>2.02561079469717</v>
      </c>
      <c r="AA938" s="12" t="n">
        <f aca="false">IF(AND($J938=1,$M938=1),SUMPRODUCT(MAX($J$6:$J$1062*(N938*$K$6:$K$1062/Span_P+O938*$F$6:$F$1062/Span_S+P938*$G$6:$G$1062/Span_B)-(1-$J$6:$J$1062)*1000000000)),"")</f>
        <v>2.02561079469717</v>
      </c>
      <c r="AB938" s="15" t="n">
        <f aca="false">IF(AND($J938=1,$M938=1),IF(AA938-Z938&lt;=0.000000001,1,0),"")</f>
        <v>1</v>
      </c>
      <c r="AC938" s="13" t="str">
        <f aca="false">IF(AND($J938=1,$M938=0),IF(S938="",0,S938*INDEX(Grid!$B$6:$H$156,R938+1,Q938+1))+IF(V938="",0,V938*INDEX(Grid!$B$6:$H$156,U938+1,T938+1))+IF(Y938="",0,Y938*INDEX(Grid!$B$6:$H$156,X938+1,W938+1)),"")</f>
        <v/>
      </c>
      <c r="AD938" s="13" t="str">
        <f aca="false">IF(AND($J938=1,$M938=0),IF(S938="",0,S938*Val_pt*(Ceiling_e-E_zero)*(1-(1-Half_gap)^Q938))+IF(V938="",0,V938*Val_pt*(Ceiling_e-E_zero)*(1-(1-Half_gap)^T938))+IF(Y938="",0,Y938*Val_pt*(Ceiling_e-E_zero)*(1-(1-Half_gap)^W938)),"")</f>
        <v/>
      </c>
      <c r="AE938" s="13" t="str">
        <f aca="false">IF(AND($J938=1,$M938=0),IF(S938="",0,S938*R938)+IF(V938="",0,V938*U938)+IF(Y938="",0,Y938*X938),"")</f>
        <v/>
      </c>
      <c r="AF938" s="12" t="str">
        <f aca="false">IF(AND($J938=1,$M938=0),MIN((AC938-E938)/Span_P,(AD938-F938)/Span_S,(AE938-G938)/Span_B),"")</f>
        <v/>
      </c>
      <c r="AG938" s="15" t="str">
        <f aca="false">IF(AND($J938=1,$M938=0),IF(AF938&gt;0.0000001,1,0),"")</f>
        <v/>
      </c>
      <c r="AH938" s="15" t="n">
        <f aca="false">IF($J938=1,IF($M938=1,AB938,AG938),"")</f>
        <v>1</v>
      </c>
      <c r="AI938" s="13" t="n">
        <f aca="false">IF($J938=1,(Ideal_P-E938)/Span_P,"")</f>
        <v>0.831830031365891</v>
      </c>
      <c r="AJ938" s="13" t="n">
        <f aca="false">IF($J938=1,(Ideal_S-F938)/Span_S,"")</f>
        <v>0</v>
      </c>
      <c r="AK938" s="13" t="n">
        <f aca="false">IF($J938=1,(Ideal_B-G938)/Span_B,"")</f>
        <v>0.826666666666667</v>
      </c>
      <c r="AL938" s="12" t="n">
        <f aca="false">IF($J938=1,MAX(ChA_1*AI938,ChA_2*AJ938,ChA_3*AK938)+Rho*(ChA_1*AI938+ChA_2*AJ938+ChA_3*AK938),"")</f>
        <v>0.831995881035695</v>
      </c>
      <c r="AM938" s="12" t="n">
        <f aca="false">IF($J938=1,MAX(ChB_1*AI938,ChB_2*AJ938,ChB_3*AK938)+Rho*(ChB_1*AI938+ChB_2*AJ938+ChB_3*AK938),"")</f>
        <v>1.66390909540472</v>
      </c>
      <c r="AN938" s="12" t="n">
        <f aca="false">IF($J938=1,MAX(Cx_1*(Ref_P-E938)/Span_P,Cx_2*(Ref_S-F938)/Span_S,Cx_3*(Ref_B-G938)/Span_B),"")</f>
        <v>2.10924369747899</v>
      </c>
    </row>
    <row r="939" customFormat="false" ht="15" hidden="false" customHeight="false" outlineLevel="0" collapsed="false">
      <c r="A939" s="2" t="n">
        <v>933</v>
      </c>
      <c r="B939" s="15" t="n">
        <f aca="false">INT(A939/151)</f>
        <v>6</v>
      </c>
      <c r="C939" s="15" t="n">
        <f aca="false">MOD(A939,151)</f>
        <v>27</v>
      </c>
      <c r="D939" s="15" t="n">
        <f aca="false">INDEX(Grid!$J$6:$P$156,C939+1,B939+1)</f>
        <v>1</v>
      </c>
      <c r="E939" s="16" t="n">
        <f aca="false">IF(D939=1,INDEX(Grid!$B$6:$H$156,C939+1,B939+1),"")</f>
        <v>82.0460486542659</v>
      </c>
      <c r="F939" s="13" t="n">
        <f aca="false">Val_pt*(Ceiling_e-E_zero)*(1-(1-Half_gap)^B939)</f>
        <v>137.8125</v>
      </c>
      <c r="G939" s="15" t="n">
        <f aca="false">C939</f>
        <v>27</v>
      </c>
      <c r="H939" s="15" t="n">
        <f aca="false">IF(D939=1,INDEX(Grid!$R$6:$X$156,C939+1,B939+1),"")</f>
        <v>63</v>
      </c>
      <c r="I939" s="2" t="str">
        <f aca="false">IF(D939=1,INDEX(Sch_label,H939+1),"")</f>
        <v>1–6</v>
      </c>
      <c r="J939" s="15" t="n">
        <f aca="false">IF(D939=1,INDEX(Grid!$Z$6:$AF$156,C939+1,B939+1),0)</f>
        <v>1</v>
      </c>
      <c r="K939" s="16" t="n">
        <f aca="false">IF(J939=1,E939,0)</f>
        <v>82.0460486542659</v>
      </c>
      <c r="L939" s="17" t="n">
        <f aca="false">IF(D939=1,E939+W_board*F939,"")</f>
        <v>859.961683509628</v>
      </c>
      <c r="M939" s="24" t="n">
        <v>1</v>
      </c>
      <c r="N939" s="25" t="n">
        <v>0.00265551057325527</v>
      </c>
      <c r="O939" s="25" t="n">
        <v>0.996344489426745</v>
      </c>
      <c r="P939" s="25" t="n">
        <v>0.001</v>
      </c>
      <c r="Z939" s="12" t="n">
        <f aca="false">IF(AND($J939=1,$M939=1),N939*E939/Span_P+O939*F939/Span_S+P939*G939/Span_B,"")</f>
        <v>2.02561079469717</v>
      </c>
      <c r="AA939" s="12" t="n">
        <f aca="false">IF(AND($J939=1,$M939=1),SUMPRODUCT(MAX($J$6:$J$1062*(N939*$K$6:$K$1062/Span_P+O939*$F$6:$F$1062/Span_S+P939*$G$6:$G$1062/Span_B)-(1-$J$6:$J$1062)*1000000000)),"")</f>
        <v>2.02561079469717</v>
      </c>
      <c r="AB939" s="15" t="n">
        <f aca="false">IF(AND($J939=1,$M939=1),IF(AA939-Z939&lt;=0.000000001,1,0),"")</f>
        <v>1</v>
      </c>
      <c r="AC939" s="13" t="str">
        <f aca="false">IF(AND($J939=1,$M939=0),IF(S939="",0,S939*INDEX(Grid!$B$6:$H$156,R939+1,Q939+1))+IF(V939="",0,V939*INDEX(Grid!$B$6:$H$156,U939+1,T939+1))+IF(Y939="",0,Y939*INDEX(Grid!$B$6:$H$156,X939+1,W939+1)),"")</f>
        <v/>
      </c>
      <c r="AD939" s="13" t="str">
        <f aca="false">IF(AND($J939=1,$M939=0),IF(S939="",0,S939*Val_pt*(Ceiling_e-E_zero)*(1-(1-Half_gap)^Q939))+IF(V939="",0,V939*Val_pt*(Ceiling_e-E_zero)*(1-(1-Half_gap)^T939))+IF(Y939="",0,Y939*Val_pt*(Ceiling_e-E_zero)*(1-(1-Half_gap)^W939)),"")</f>
        <v/>
      </c>
      <c r="AE939" s="13" t="str">
        <f aca="false">IF(AND($J939=1,$M939=0),IF(S939="",0,S939*R939)+IF(V939="",0,V939*U939)+IF(Y939="",0,Y939*X939),"")</f>
        <v/>
      </c>
      <c r="AF939" s="12" t="str">
        <f aca="false">IF(AND($J939=1,$M939=0),MIN((AC939-E939)/Span_P,(AD939-F939)/Span_S,(AE939-G939)/Span_B),"")</f>
        <v/>
      </c>
      <c r="AG939" s="15" t="str">
        <f aca="false">IF(AND($J939=1,$M939=0),IF(AF939&gt;0.0000001,1,0),"")</f>
        <v/>
      </c>
      <c r="AH939" s="15" t="n">
        <f aca="false">IF($J939=1,IF($M939=1,AB939,AG939),"")</f>
        <v>1</v>
      </c>
      <c r="AI939" s="13" t="n">
        <f aca="false">IF($J939=1,(Ideal_P-E939)/Span_P,"")</f>
        <v>0.834340534142197</v>
      </c>
      <c r="AJ939" s="13" t="n">
        <f aca="false">IF($J939=1,(Ideal_S-F939)/Span_S,"")</f>
        <v>0</v>
      </c>
      <c r="AK939" s="13" t="n">
        <f aca="false">IF($J939=1,(Ideal_B-G939)/Span_B,"")</f>
        <v>0.82</v>
      </c>
      <c r="AL939" s="12" t="n">
        <f aca="false">IF($J939=1,MAX(ChA_1*AI939,ChA_2*AJ939,ChA_3*AK939)+Rho*(ChA_1*AI939+ChA_2*AJ939+ChA_3*AK939),"")</f>
        <v>0.834505968195611</v>
      </c>
      <c r="AM939" s="12" t="n">
        <f aca="false">IF($J939=1,MAX(ChB_1*AI939,ChB_2*AJ939,ChB_3*AK939)+Rho*(ChB_1*AI939+ChB_2*AJ939+ChB_3*AK939),"")</f>
        <v>1.66892993639122</v>
      </c>
      <c r="AN939" s="12" t="n">
        <f aca="false">IF($J939=1,MAX(Cx_1*(Ref_P-E939)/Span_P,Cx_2*(Ref_S-F939)/Span_S,Cx_3*(Ref_B-G939)/Span_B),"")</f>
        <v>2.10863319676021</v>
      </c>
    </row>
    <row r="940" customFormat="false" ht="15" hidden="false" customHeight="false" outlineLevel="0" collapsed="false">
      <c r="A940" s="2" t="n">
        <v>934</v>
      </c>
      <c r="B940" s="15" t="n">
        <f aca="false">INT(A940/151)</f>
        <v>6</v>
      </c>
      <c r="C940" s="15" t="n">
        <f aca="false">MOD(A940,151)</f>
        <v>28</v>
      </c>
      <c r="D940" s="15" t="n">
        <f aca="false">INDEX(Grid!$J$6:$P$156,C940+1,B940+1)</f>
        <v>1</v>
      </c>
      <c r="E940" s="16" t="n">
        <f aca="false">IF(D940=1,INDEX(Grid!$B$6:$H$156,C940+1,B940+1),"")</f>
        <v>81.136957745175</v>
      </c>
      <c r="F940" s="13" t="n">
        <f aca="false">Val_pt*(Ceiling_e-E_zero)*(1-(1-Half_gap)^B940)</f>
        <v>137.8125</v>
      </c>
      <c r="G940" s="15" t="n">
        <f aca="false">C940</f>
        <v>28</v>
      </c>
      <c r="H940" s="15" t="n">
        <f aca="false">IF(D940=1,INDEX(Grid!$R$6:$X$156,C940+1,B940+1),"")</f>
        <v>63</v>
      </c>
      <c r="I940" s="2" t="str">
        <f aca="false">IF(D940=1,INDEX(Sch_label,H940+1),"")</f>
        <v>1–6</v>
      </c>
      <c r="J940" s="15" t="n">
        <f aca="false">IF(D940=1,INDEX(Grid!$Z$6:$AF$156,C940+1,B940+1),0)</f>
        <v>1</v>
      </c>
      <c r="K940" s="16" t="n">
        <f aca="false">IF(J940=1,E940,0)</f>
        <v>81.136957745175</v>
      </c>
      <c r="L940" s="17" t="n">
        <f aca="false">IF(D940=1,E940+W_board*F940,"")</f>
        <v>859.052592600537</v>
      </c>
      <c r="M940" s="24" t="n">
        <v>1</v>
      </c>
      <c r="N940" s="25" t="n">
        <v>0.00265551057325529</v>
      </c>
      <c r="O940" s="25" t="n">
        <v>0.996344489426745</v>
      </c>
      <c r="P940" s="25" t="n">
        <v>0.001</v>
      </c>
      <c r="Z940" s="12" t="n">
        <f aca="false">IF(AND($J940=1,$M940=1),N940*E940/Span_P+O940*F940/Span_S+P940*G940/Span_B,"")</f>
        <v>2.02561079469717</v>
      </c>
      <c r="AA940" s="12" t="n">
        <f aca="false">IF(AND($J940=1,$M940=1),SUMPRODUCT(MAX($J$6:$J$1062*(N940*$K$6:$K$1062/Span_P+O940*$F$6:$F$1062/Span_S+P940*$G$6:$G$1062/Span_B)-(1-$J$6:$J$1062)*1000000000)),"")</f>
        <v>2.02561079469717</v>
      </c>
      <c r="AB940" s="15" t="n">
        <f aca="false">IF(AND($J940=1,$M940=1),IF(AA940-Z940&lt;=0.000000001,1,0),"")</f>
        <v>1</v>
      </c>
      <c r="AC940" s="13" t="str">
        <f aca="false">IF(AND($J940=1,$M940=0),IF(S940="",0,S940*INDEX(Grid!$B$6:$H$156,R940+1,Q940+1))+IF(V940="",0,V940*INDEX(Grid!$B$6:$H$156,U940+1,T940+1))+IF(Y940="",0,Y940*INDEX(Grid!$B$6:$H$156,X940+1,W940+1)),"")</f>
        <v/>
      </c>
      <c r="AD940" s="13" t="str">
        <f aca="false">IF(AND($J940=1,$M940=0),IF(S940="",0,S940*Val_pt*(Ceiling_e-E_zero)*(1-(1-Half_gap)^Q940))+IF(V940="",0,V940*Val_pt*(Ceiling_e-E_zero)*(1-(1-Half_gap)^T940))+IF(Y940="",0,Y940*Val_pt*(Ceiling_e-E_zero)*(1-(1-Half_gap)^W940)),"")</f>
        <v/>
      </c>
      <c r="AE940" s="13" t="str">
        <f aca="false">IF(AND($J940=1,$M940=0),IF(S940="",0,S940*R940)+IF(V940="",0,V940*U940)+IF(Y940="",0,Y940*X940),"")</f>
        <v/>
      </c>
      <c r="AF940" s="12" t="str">
        <f aca="false">IF(AND($J940=1,$M940=0),MIN((AC940-E940)/Span_P,(AD940-F940)/Span_S,(AE940-G940)/Span_B),"")</f>
        <v/>
      </c>
      <c r="AG940" s="15" t="str">
        <f aca="false">IF(AND($J940=1,$M940=0),IF(AF940&gt;0.0000001,1,0),"")</f>
        <v/>
      </c>
      <c r="AH940" s="15" t="n">
        <f aca="false">IF($J940=1,IF($M940=1,AB940,AG940),"")</f>
        <v>1</v>
      </c>
      <c r="AI940" s="13" t="n">
        <f aca="false">IF($J940=1,(Ideal_P-E940)/Span_P,"")</f>
        <v>0.836851036918503</v>
      </c>
      <c r="AJ940" s="13" t="n">
        <f aca="false">IF($J940=1,(Ideal_S-F940)/Span_S,"")</f>
        <v>0</v>
      </c>
      <c r="AK940" s="13" t="n">
        <f aca="false">IF($J940=1,(Ideal_B-G940)/Span_B,"")</f>
        <v>0.813333333333333</v>
      </c>
      <c r="AL940" s="12" t="n">
        <f aca="false">IF($J940=1,MAX(ChA_1*AI940,ChA_2*AJ940,ChA_3*AK940)+Rho*(ChA_1*AI940+ChA_2*AJ940+ChA_3*AK940),"")</f>
        <v>0.837016055355528</v>
      </c>
      <c r="AM940" s="12" t="n">
        <f aca="false">IF($J940=1,MAX(ChB_1*AI940,ChB_2*AJ940,ChB_3*AK940)+Rho*(ChB_1*AI940+ChB_2*AJ940+ChB_3*AK940),"")</f>
        <v>1.67395077737772</v>
      </c>
      <c r="AN940" s="12" t="n">
        <f aca="false">IF($J940=1,MAX(Cx_1*(Ref_P-E940)/Span_P,Cx_2*(Ref_S-F940)/Span_S,Cx_3*(Ref_B-G940)/Span_B),"")</f>
        <v>2.11490285844364</v>
      </c>
    </row>
    <row r="941" customFormat="false" ht="15" hidden="false" customHeight="false" outlineLevel="0" collapsed="false">
      <c r="A941" s="2" t="n">
        <v>935</v>
      </c>
      <c r="B941" s="15" t="n">
        <f aca="false">INT(A941/151)</f>
        <v>6</v>
      </c>
      <c r="C941" s="15" t="n">
        <f aca="false">MOD(A941,151)</f>
        <v>29</v>
      </c>
      <c r="D941" s="15" t="n">
        <f aca="false">INDEX(Grid!$J$6:$P$156,C941+1,B941+1)</f>
        <v>1</v>
      </c>
      <c r="E941" s="16" t="n">
        <f aca="false">IF(D941=1,INDEX(Grid!$B$6:$H$156,C941+1,B941+1),"")</f>
        <v>80.2278668360841</v>
      </c>
      <c r="F941" s="13" t="n">
        <f aca="false">Val_pt*(Ceiling_e-E_zero)*(1-(1-Half_gap)^B941)</f>
        <v>137.8125</v>
      </c>
      <c r="G941" s="15" t="n">
        <f aca="false">C941</f>
        <v>29</v>
      </c>
      <c r="H941" s="15" t="n">
        <f aca="false">IF(D941=1,INDEX(Grid!$R$6:$X$156,C941+1,B941+1),"")</f>
        <v>63</v>
      </c>
      <c r="I941" s="2" t="str">
        <f aca="false">IF(D941=1,INDEX(Sch_label,H941+1),"")</f>
        <v>1–6</v>
      </c>
      <c r="J941" s="15" t="n">
        <f aca="false">IF(D941=1,INDEX(Grid!$Z$6:$AF$156,C941+1,B941+1),0)</f>
        <v>1</v>
      </c>
      <c r="K941" s="16" t="n">
        <f aca="false">IF(J941=1,E941,0)</f>
        <v>80.2278668360841</v>
      </c>
      <c r="L941" s="17" t="n">
        <f aca="false">IF(D941=1,E941+W_board*F941,"")</f>
        <v>858.143501691446</v>
      </c>
      <c r="M941" s="24" t="n">
        <v>1</v>
      </c>
      <c r="N941" s="25" t="n">
        <v>0.00265551057325527</v>
      </c>
      <c r="O941" s="25" t="n">
        <v>0.996344489426745</v>
      </c>
      <c r="P941" s="25" t="n">
        <v>0.001</v>
      </c>
      <c r="Z941" s="12" t="n">
        <f aca="false">IF(AND($J941=1,$M941=1),N941*E941/Span_P+O941*F941/Span_S+P941*G941/Span_B,"")</f>
        <v>2.02561079469717</v>
      </c>
      <c r="AA941" s="12" t="n">
        <f aca="false">IF(AND($J941=1,$M941=1),SUMPRODUCT(MAX($J$6:$J$1062*(N941*$K$6:$K$1062/Span_P+O941*$F$6:$F$1062/Span_S+P941*$G$6:$G$1062/Span_B)-(1-$J$6:$J$1062)*1000000000)),"")</f>
        <v>2.02561079469717</v>
      </c>
      <c r="AB941" s="15" t="n">
        <f aca="false">IF(AND($J941=1,$M941=1),IF(AA941-Z941&lt;=0.000000001,1,0),"")</f>
        <v>1</v>
      </c>
      <c r="AC941" s="13" t="str">
        <f aca="false">IF(AND($J941=1,$M941=0),IF(S941="",0,S941*INDEX(Grid!$B$6:$H$156,R941+1,Q941+1))+IF(V941="",0,V941*INDEX(Grid!$B$6:$H$156,U941+1,T941+1))+IF(Y941="",0,Y941*INDEX(Grid!$B$6:$H$156,X941+1,W941+1)),"")</f>
        <v/>
      </c>
      <c r="AD941" s="13" t="str">
        <f aca="false">IF(AND($J941=1,$M941=0),IF(S941="",0,S941*Val_pt*(Ceiling_e-E_zero)*(1-(1-Half_gap)^Q941))+IF(V941="",0,V941*Val_pt*(Ceiling_e-E_zero)*(1-(1-Half_gap)^T941))+IF(Y941="",0,Y941*Val_pt*(Ceiling_e-E_zero)*(1-(1-Half_gap)^W941)),"")</f>
        <v/>
      </c>
      <c r="AE941" s="13" t="str">
        <f aca="false">IF(AND($J941=1,$M941=0),IF(S941="",0,S941*R941)+IF(V941="",0,V941*U941)+IF(Y941="",0,Y941*X941),"")</f>
        <v/>
      </c>
      <c r="AF941" s="12" t="str">
        <f aca="false">IF(AND($J941=1,$M941=0),MIN((AC941-E941)/Span_P,(AD941-F941)/Span_S,(AE941-G941)/Span_B),"")</f>
        <v/>
      </c>
      <c r="AG941" s="15" t="str">
        <f aca="false">IF(AND($J941=1,$M941=0),IF(AF941&gt;0.0000001,1,0),"")</f>
        <v/>
      </c>
      <c r="AH941" s="15" t="n">
        <f aca="false">IF($J941=1,IF($M941=1,AB941,AG941),"")</f>
        <v>1</v>
      </c>
      <c r="AI941" s="13" t="n">
        <f aca="false">IF($J941=1,(Ideal_P-E941)/Span_P,"")</f>
        <v>0.839361539694809</v>
      </c>
      <c r="AJ941" s="13" t="n">
        <f aca="false">IF($J941=1,(Ideal_S-F941)/Span_S,"")</f>
        <v>0</v>
      </c>
      <c r="AK941" s="13" t="n">
        <f aca="false">IF($J941=1,(Ideal_B-G941)/Span_B,"")</f>
        <v>0.806666666666667</v>
      </c>
      <c r="AL941" s="12" t="n">
        <f aca="false">IF($J941=1,MAX(ChA_1*AI941,ChA_2*AJ941,ChA_3*AK941)+Rho*(ChA_1*AI941+ChA_2*AJ941+ChA_3*AK941),"")</f>
        <v>0.839526142515445</v>
      </c>
      <c r="AM941" s="12" t="n">
        <f aca="false">IF($J941=1,MAX(ChB_1*AI941,ChB_2*AJ941,ChB_3*AK941)+Rho*(ChB_1*AI941+ChB_2*AJ941+ChB_3*AK941),"")</f>
        <v>1.67897161836422</v>
      </c>
      <c r="AN941" s="12" t="n">
        <f aca="false">IF($J941=1,MAX(Cx_1*(Ref_P-E941)/Span_P,Cx_2*(Ref_S-F941)/Span_S,Cx_3*(Ref_B-G941)/Span_B),"")</f>
        <v>2.12117252012707</v>
      </c>
    </row>
    <row r="942" customFormat="false" ht="15" hidden="false" customHeight="false" outlineLevel="0" collapsed="false">
      <c r="A942" s="2" t="n">
        <v>936</v>
      </c>
      <c r="B942" s="15" t="n">
        <f aca="false">INT(A942/151)</f>
        <v>6</v>
      </c>
      <c r="C942" s="15" t="n">
        <f aca="false">MOD(A942,151)</f>
        <v>30</v>
      </c>
      <c r="D942" s="15" t="n">
        <f aca="false">INDEX(Grid!$J$6:$P$156,C942+1,B942+1)</f>
        <v>1</v>
      </c>
      <c r="E942" s="16" t="n">
        <f aca="false">IF(D942=1,INDEX(Grid!$B$6:$H$156,C942+1,B942+1),"")</f>
        <v>79.3187759269932</v>
      </c>
      <c r="F942" s="13" t="n">
        <f aca="false">Val_pt*(Ceiling_e-E_zero)*(1-(1-Half_gap)^B942)</f>
        <v>137.8125</v>
      </c>
      <c r="G942" s="15" t="n">
        <f aca="false">C942</f>
        <v>30</v>
      </c>
      <c r="H942" s="15" t="n">
        <f aca="false">IF(D942=1,INDEX(Grid!$R$6:$X$156,C942+1,B942+1),"")</f>
        <v>63</v>
      </c>
      <c r="I942" s="2" t="str">
        <f aca="false">IF(D942=1,INDEX(Sch_label,H942+1),"")</f>
        <v>1–6</v>
      </c>
      <c r="J942" s="15" t="n">
        <f aca="false">IF(D942=1,INDEX(Grid!$Z$6:$AF$156,C942+1,B942+1),0)</f>
        <v>1</v>
      </c>
      <c r="K942" s="16" t="n">
        <f aca="false">IF(J942=1,E942,0)</f>
        <v>79.3187759269932</v>
      </c>
      <c r="L942" s="17" t="n">
        <f aca="false">IF(D942=1,E942+W_board*F942,"")</f>
        <v>857.234410782355</v>
      </c>
      <c r="M942" s="24" t="n">
        <v>1</v>
      </c>
      <c r="N942" s="25" t="n">
        <v>0.0026555105732552</v>
      </c>
      <c r="O942" s="25" t="n">
        <v>0.996344489426745</v>
      </c>
      <c r="P942" s="25" t="n">
        <v>0.001</v>
      </c>
      <c r="Z942" s="12" t="n">
        <f aca="false">IF(AND($J942=1,$M942=1),N942*E942/Span_P+O942*F942/Span_S+P942*G942/Span_B,"")</f>
        <v>2.02561079469717</v>
      </c>
      <c r="AA942" s="12" t="n">
        <f aca="false">IF(AND($J942=1,$M942=1),SUMPRODUCT(MAX($J$6:$J$1062*(N942*$K$6:$K$1062/Span_P+O942*$F$6:$F$1062/Span_S+P942*$G$6:$G$1062/Span_B)-(1-$J$6:$J$1062)*1000000000)),"")</f>
        <v>2.02561079469717</v>
      </c>
      <c r="AB942" s="15" t="n">
        <f aca="false">IF(AND($J942=1,$M942=1),IF(AA942-Z942&lt;=0.000000001,1,0),"")</f>
        <v>1</v>
      </c>
      <c r="AC942" s="13" t="str">
        <f aca="false">IF(AND($J942=1,$M942=0),IF(S942="",0,S942*INDEX(Grid!$B$6:$H$156,R942+1,Q942+1))+IF(V942="",0,V942*INDEX(Grid!$B$6:$H$156,U942+1,T942+1))+IF(Y942="",0,Y942*INDEX(Grid!$B$6:$H$156,X942+1,W942+1)),"")</f>
        <v/>
      </c>
      <c r="AD942" s="13" t="str">
        <f aca="false">IF(AND($J942=1,$M942=0),IF(S942="",0,S942*Val_pt*(Ceiling_e-E_zero)*(1-(1-Half_gap)^Q942))+IF(V942="",0,V942*Val_pt*(Ceiling_e-E_zero)*(1-(1-Half_gap)^T942))+IF(Y942="",0,Y942*Val_pt*(Ceiling_e-E_zero)*(1-(1-Half_gap)^W942)),"")</f>
        <v/>
      </c>
      <c r="AE942" s="13" t="str">
        <f aca="false">IF(AND($J942=1,$M942=0),IF(S942="",0,S942*R942)+IF(V942="",0,V942*U942)+IF(Y942="",0,Y942*X942),"")</f>
        <v/>
      </c>
      <c r="AF942" s="12" t="str">
        <f aca="false">IF(AND($J942=1,$M942=0),MIN((AC942-E942)/Span_P,(AD942-F942)/Span_S,(AE942-G942)/Span_B),"")</f>
        <v/>
      </c>
      <c r="AG942" s="15" t="str">
        <f aca="false">IF(AND($J942=1,$M942=0),IF(AF942&gt;0.0000001,1,0),"")</f>
        <v/>
      </c>
      <c r="AH942" s="15" t="n">
        <f aca="false">IF($J942=1,IF($M942=1,AB942,AG942),"")</f>
        <v>1</v>
      </c>
      <c r="AI942" s="13" t="n">
        <f aca="false">IF($J942=1,(Ideal_P-E942)/Span_P,"")</f>
        <v>0.841872042471115</v>
      </c>
      <c r="AJ942" s="13" t="n">
        <f aca="false">IF($J942=1,(Ideal_S-F942)/Span_S,"")</f>
        <v>0</v>
      </c>
      <c r="AK942" s="13" t="n">
        <f aca="false">IF($J942=1,(Ideal_B-G942)/Span_B,"")</f>
        <v>0.8</v>
      </c>
      <c r="AL942" s="12" t="n">
        <f aca="false">IF($J942=1,MAX(ChA_1*AI942,ChA_2*AJ942,ChA_3*AK942)+Rho*(ChA_1*AI942+ChA_2*AJ942+ChA_3*AK942),"")</f>
        <v>0.842036229675362</v>
      </c>
      <c r="AM942" s="12" t="n">
        <f aca="false">IF($J942=1,MAX(ChB_1*AI942,ChB_2*AJ942,ChB_3*AK942)+Rho*(ChB_1*AI942+ChB_2*AJ942+ChB_3*AK942),"")</f>
        <v>1.68399245935072</v>
      </c>
      <c r="AN942" s="12" t="n">
        <f aca="false">IF($J942=1,MAX(Cx_1*(Ref_P-E942)/Span_P,Cx_2*(Ref_S-F942)/Span_S,Cx_3*(Ref_B-G942)/Span_B),"")</f>
        <v>2.1274421818105</v>
      </c>
    </row>
    <row r="943" customFormat="false" ht="15" hidden="false" customHeight="false" outlineLevel="0" collapsed="false">
      <c r="A943" s="2" t="n">
        <v>937</v>
      </c>
      <c r="B943" s="15" t="n">
        <f aca="false">INT(A943/151)</f>
        <v>6</v>
      </c>
      <c r="C943" s="15" t="n">
        <f aca="false">MOD(A943,151)</f>
        <v>31</v>
      </c>
      <c r="D943" s="15" t="n">
        <f aca="false">INDEX(Grid!$J$6:$P$156,C943+1,B943+1)</f>
        <v>1</v>
      </c>
      <c r="E943" s="16" t="n">
        <f aca="false">IF(D943=1,INDEX(Grid!$B$6:$H$156,C943+1,B943+1),"")</f>
        <v>78.4096850179023</v>
      </c>
      <c r="F943" s="13" t="n">
        <f aca="false">Val_pt*(Ceiling_e-E_zero)*(1-(1-Half_gap)^B943)</f>
        <v>137.8125</v>
      </c>
      <c r="G943" s="15" t="n">
        <f aca="false">C943</f>
        <v>31</v>
      </c>
      <c r="H943" s="15" t="n">
        <f aca="false">IF(D943=1,INDEX(Grid!$R$6:$X$156,C943+1,B943+1),"")</f>
        <v>63</v>
      </c>
      <c r="I943" s="2" t="str">
        <f aca="false">IF(D943=1,INDEX(Sch_label,H943+1),"")</f>
        <v>1–6</v>
      </c>
      <c r="J943" s="15" t="n">
        <f aca="false">IF(D943=1,INDEX(Grid!$Z$6:$AF$156,C943+1,B943+1),0)</f>
        <v>1</v>
      </c>
      <c r="K943" s="16" t="n">
        <f aca="false">IF(J943=1,E943,0)</f>
        <v>78.4096850179023</v>
      </c>
      <c r="L943" s="17" t="n">
        <f aca="false">IF(D943=1,E943+W_board*F943,"")</f>
        <v>856.325319873264</v>
      </c>
      <c r="M943" s="24" t="n">
        <v>1</v>
      </c>
      <c r="N943" s="25" t="n">
        <v>0.00265551057325527</v>
      </c>
      <c r="O943" s="25" t="n">
        <v>0.996344489426745</v>
      </c>
      <c r="P943" s="25" t="n">
        <v>0.001</v>
      </c>
      <c r="Z943" s="12" t="n">
        <f aca="false">IF(AND($J943=1,$M943=1),N943*E943/Span_P+O943*F943/Span_S+P943*G943/Span_B,"")</f>
        <v>2.02561079469717</v>
      </c>
      <c r="AA943" s="12" t="n">
        <f aca="false">IF(AND($J943=1,$M943=1),SUMPRODUCT(MAX($J$6:$J$1062*(N943*$K$6:$K$1062/Span_P+O943*$F$6:$F$1062/Span_S+P943*$G$6:$G$1062/Span_B)-(1-$J$6:$J$1062)*1000000000)),"")</f>
        <v>2.02561079469717</v>
      </c>
      <c r="AB943" s="15" t="n">
        <f aca="false">IF(AND($J943=1,$M943=1),IF(AA943-Z943&lt;=0.000000001,1,0),"")</f>
        <v>1</v>
      </c>
      <c r="AC943" s="13" t="str">
        <f aca="false">IF(AND($J943=1,$M943=0),IF(S943="",0,S943*INDEX(Grid!$B$6:$H$156,R943+1,Q943+1))+IF(V943="",0,V943*INDEX(Grid!$B$6:$H$156,U943+1,T943+1))+IF(Y943="",0,Y943*INDEX(Grid!$B$6:$H$156,X943+1,W943+1)),"")</f>
        <v/>
      </c>
      <c r="AD943" s="13" t="str">
        <f aca="false">IF(AND($J943=1,$M943=0),IF(S943="",0,S943*Val_pt*(Ceiling_e-E_zero)*(1-(1-Half_gap)^Q943))+IF(V943="",0,V943*Val_pt*(Ceiling_e-E_zero)*(1-(1-Half_gap)^T943))+IF(Y943="",0,Y943*Val_pt*(Ceiling_e-E_zero)*(1-(1-Half_gap)^W943)),"")</f>
        <v/>
      </c>
      <c r="AE943" s="13" t="str">
        <f aca="false">IF(AND($J943=1,$M943=0),IF(S943="",0,S943*R943)+IF(V943="",0,V943*U943)+IF(Y943="",0,Y943*X943),"")</f>
        <v/>
      </c>
      <c r="AF943" s="12" t="str">
        <f aca="false">IF(AND($J943=1,$M943=0),MIN((AC943-E943)/Span_P,(AD943-F943)/Span_S,(AE943-G943)/Span_B),"")</f>
        <v/>
      </c>
      <c r="AG943" s="15" t="str">
        <f aca="false">IF(AND($J943=1,$M943=0),IF(AF943&gt;0.0000001,1,0),"")</f>
        <v/>
      </c>
      <c r="AH943" s="15" t="n">
        <f aca="false">IF($J943=1,IF($M943=1,AB943,AG943),"")</f>
        <v>1</v>
      </c>
      <c r="AI943" s="13" t="n">
        <f aca="false">IF($J943=1,(Ideal_P-E943)/Span_P,"")</f>
        <v>0.84438254524742</v>
      </c>
      <c r="AJ943" s="13" t="n">
        <f aca="false">IF($J943=1,(Ideal_S-F943)/Span_S,"")</f>
        <v>0</v>
      </c>
      <c r="AK943" s="13" t="n">
        <f aca="false">IF($J943=1,(Ideal_B-G943)/Span_B,"")</f>
        <v>0.793333333333333</v>
      </c>
      <c r="AL943" s="12" t="n">
        <f aca="false">IF($J943=1,MAX(ChA_1*AI943,ChA_2*AJ943,ChA_3*AK943)+Rho*(ChA_1*AI943+ChA_2*AJ943+ChA_3*AK943),"")</f>
        <v>0.844546316835278</v>
      </c>
      <c r="AM943" s="12" t="n">
        <f aca="false">IF($J943=1,MAX(ChB_1*AI943,ChB_2*AJ943,ChB_3*AK943)+Rho*(ChB_1*AI943+ChB_2*AJ943+ChB_3*AK943),"")</f>
        <v>1.68901330033722</v>
      </c>
      <c r="AN943" s="12" t="n">
        <f aca="false">IF($J943=1,MAX(Cx_1*(Ref_P-E943)/Span_P,Cx_2*(Ref_S-F943)/Span_S,Cx_3*(Ref_B-G943)/Span_B),"")</f>
        <v>2.13371184349393</v>
      </c>
    </row>
    <row r="944" customFormat="false" ht="15" hidden="false" customHeight="false" outlineLevel="0" collapsed="false">
      <c r="A944" s="2" t="n">
        <v>938</v>
      </c>
      <c r="B944" s="15" t="n">
        <f aca="false">INT(A944/151)</f>
        <v>6</v>
      </c>
      <c r="C944" s="15" t="n">
        <f aca="false">MOD(A944,151)</f>
        <v>32</v>
      </c>
      <c r="D944" s="15" t="n">
        <f aca="false">INDEX(Grid!$J$6:$P$156,C944+1,B944+1)</f>
        <v>1</v>
      </c>
      <c r="E944" s="16" t="n">
        <f aca="false">IF(D944=1,INDEX(Grid!$B$6:$H$156,C944+1,B944+1),"")</f>
        <v>77.5005941088114</v>
      </c>
      <c r="F944" s="13" t="n">
        <f aca="false">Val_pt*(Ceiling_e-E_zero)*(1-(1-Half_gap)^B944)</f>
        <v>137.8125</v>
      </c>
      <c r="G944" s="15" t="n">
        <f aca="false">C944</f>
        <v>32</v>
      </c>
      <c r="H944" s="15" t="n">
        <f aca="false">IF(D944=1,INDEX(Grid!$R$6:$X$156,C944+1,B944+1),"")</f>
        <v>63</v>
      </c>
      <c r="I944" s="2" t="str">
        <f aca="false">IF(D944=1,INDEX(Sch_label,H944+1),"")</f>
        <v>1–6</v>
      </c>
      <c r="J944" s="15" t="n">
        <f aca="false">IF(D944=1,INDEX(Grid!$Z$6:$AF$156,C944+1,B944+1),0)</f>
        <v>1</v>
      </c>
      <c r="K944" s="16" t="n">
        <f aca="false">IF(J944=1,E944,0)</f>
        <v>77.5005941088114</v>
      </c>
      <c r="L944" s="17" t="n">
        <f aca="false">IF(D944=1,E944+W_board*F944,"")</f>
        <v>855.416228964173</v>
      </c>
      <c r="M944" s="24" t="n">
        <v>1</v>
      </c>
      <c r="N944" s="25" t="n">
        <v>0.00265551057325529</v>
      </c>
      <c r="O944" s="25" t="n">
        <v>0.996344489426745</v>
      </c>
      <c r="P944" s="25" t="n">
        <v>0.001</v>
      </c>
      <c r="Z944" s="12" t="n">
        <f aca="false">IF(AND($J944=1,$M944=1),N944*E944/Span_P+O944*F944/Span_S+P944*G944/Span_B,"")</f>
        <v>2.02561079469717</v>
      </c>
      <c r="AA944" s="12" t="n">
        <f aca="false">IF(AND($J944=1,$M944=1),SUMPRODUCT(MAX($J$6:$J$1062*(N944*$K$6:$K$1062/Span_P+O944*$F$6:$F$1062/Span_S+P944*$G$6:$G$1062/Span_B)-(1-$J$6:$J$1062)*1000000000)),"")</f>
        <v>2.02561079469717</v>
      </c>
      <c r="AB944" s="15" t="n">
        <f aca="false">IF(AND($J944=1,$M944=1),IF(AA944-Z944&lt;=0.000000001,1,0),"")</f>
        <v>1</v>
      </c>
      <c r="AC944" s="13" t="str">
        <f aca="false">IF(AND($J944=1,$M944=0),IF(S944="",0,S944*INDEX(Grid!$B$6:$H$156,R944+1,Q944+1))+IF(V944="",0,V944*INDEX(Grid!$B$6:$H$156,U944+1,T944+1))+IF(Y944="",0,Y944*INDEX(Grid!$B$6:$H$156,X944+1,W944+1)),"")</f>
        <v/>
      </c>
      <c r="AD944" s="13" t="str">
        <f aca="false">IF(AND($J944=1,$M944=0),IF(S944="",0,S944*Val_pt*(Ceiling_e-E_zero)*(1-(1-Half_gap)^Q944))+IF(V944="",0,V944*Val_pt*(Ceiling_e-E_zero)*(1-(1-Half_gap)^T944))+IF(Y944="",0,Y944*Val_pt*(Ceiling_e-E_zero)*(1-(1-Half_gap)^W944)),"")</f>
        <v/>
      </c>
      <c r="AE944" s="13" t="str">
        <f aca="false">IF(AND($J944=1,$M944=0),IF(S944="",0,S944*R944)+IF(V944="",0,V944*U944)+IF(Y944="",0,Y944*X944),"")</f>
        <v/>
      </c>
      <c r="AF944" s="12" t="str">
        <f aca="false">IF(AND($J944=1,$M944=0),MIN((AC944-E944)/Span_P,(AD944-F944)/Span_S,(AE944-G944)/Span_B),"")</f>
        <v/>
      </c>
      <c r="AG944" s="15" t="str">
        <f aca="false">IF(AND($J944=1,$M944=0),IF(AF944&gt;0.0000001,1,0),"")</f>
        <v/>
      </c>
      <c r="AH944" s="15" t="n">
        <f aca="false">IF($J944=1,IF($M944=1,AB944,AG944),"")</f>
        <v>1</v>
      </c>
      <c r="AI944" s="13" t="n">
        <f aca="false">IF($J944=1,(Ideal_P-E944)/Span_P,"")</f>
        <v>0.846893048023726</v>
      </c>
      <c r="AJ944" s="13" t="n">
        <f aca="false">IF($J944=1,(Ideal_S-F944)/Span_S,"")</f>
        <v>0</v>
      </c>
      <c r="AK944" s="13" t="n">
        <f aca="false">IF($J944=1,(Ideal_B-G944)/Span_B,"")</f>
        <v>0.786666666666667</v>
      </c>
      <c r="AL944" s="12" t="n">
        <f aca="false">IF($J944=1,MAX(ChA_1*AI944,ChA_2*AJ944,ChA_3*AK944)+Rho*(ChA_1*AI944+ChA_2*AJ944+ChA_3*AK944),"")</f>
        <v>0.847056403995195</v>
      </c>
      <c r="AM944" s="12" t="n">
        <f aca="false">IF($J944=1,MAX(ChB_1*AI944,ChB_2*AJ944,ChB_3*AK944)+Rho*(ChB_1*AI944+ChB_2*AJ944+ChB_3*AK944),"")</f>
        <v>1.69403414132372</v>
      </c>
      <c r="AN944" s="12" t="n">
        <f aca="false">IF($J944=1,MAX(Cx_1*(Ref_P-E944)/Span_P,Cx_2*(Ref_S-F944)/Span_S,Cx_3*(Ref_B-G944)/Span_B),"")</f>
        <v>2.13998150517736</v>
      </c>
    </row>
    <row r="945" customFormat="false" ht="15" hidden="false" customHeight="false" outlineLevel="0" collapsed="false">
      <c r="A945" s="2" t="n">
        <v>939</v>
      </c>
      <c r="B945" s="15" t="n">
        <f aca="false">INT(A945/151)</f>
        <v>6</v>
      </c>
      <c r="C945" s="15" t="n">
        <f aca="false">MOD(A945,151)</f>
        <v>33</v>
      </c>
      <c r="D945" s="15" t="n">
        <f aca="false">INDEX(Grid!$J$6:$P$156,C945+1,B945+1)</f>
        <v>1</v>
      </c>
      <c r="E945" s="16" t="n">
        <f aca="false">IF(D945=1,INDEX(Grid!$B$6:$H$156,C945+1,B945+1),"")</f>
        <v>76.5915031997205</v>
      </c>
      <c r="F945" s="13" t="n">
        <f aca="false">Val_pt*(Ceiling_e-E_zero)*(1-(1-Half_gap)^B945)</f>
        <v>137.8125</v>
      </c>
      <c r="G945" s="15" t="n">
        <f aca="false">C945</f>
        <v>33</v>
      </c>
      <c r="H945" s="15" t="n">
        <f aca="false">IF(D945=1,INDEX(Grid!$R$6:$X$156,C945+1,B945+1),"")</f>
        <v>63</v>
      </c>
      <c r="I945" s="2" t="str">
        <f aca="false">IF(D945=1,INDEX(Sch_label,H945+1),"")</f>
        <v>1–6</v>
      </c>
      <c r="J945" s="15" t="n">
        <f aca="false">IF(D945=1,INDEX(Grid!$Z$6:$AF$156,C945+1,B945+1),0)</f>
        <v>1</v>
      </c>
      <c r="K945" s="16" t="n">
        <f aca="false">IF(J945=1,E945,0)</f>
        <v>76.5915031997205</v>
      </c>
      <c r="L945" s="17" t="n">
        <f aca="false">IF(D945=1,E945+W_board*F945,"")</f>
        <v>854.507138055082</v>
      </c>
      <c r="M945" s="24" t="n">
        <v>1</v>
      </c>
      <c r="N945" s="25" t="n">
        <v>0.00265551057325526</v>
      </c>
      <c r="O945" s="25" t="n">
        <v>0.996344489426745</v>
      </c>
      <c r="P945" s="25" t="n">
        <v>0.001</v>
      </c>
      <c r="Z945" s="12" t="n">
        <f aca="false">IF(AND($J945=1,$M945=1),N945*E945/Span_P+O945*F945/Span_S+P945*G945/Span_B,"")</f>
        <v>2.02561079469717</v>
      </c>
      <c r="AA945" s="12" t="n">
        <f aca="false">IF(AND($J945=1,$M945=1),SUMPRODUCT(MAX($J$6:$J$1062*(N945*$K$6:$K$1062/Span_P+O945*$F$6:$F$1062/Span_S+P945*$G$6:$G$1062/Span_B)-(1-$J$6:$J$1062)*1000000000)),"")</f>
        <v>2.02561079469717</v>
      </c>
      <c r="AB945" s="15" t="n">
        <f aca="false">IF(AND($J945=1,$M945=1),IF(AA945-Z945&lt;=0.000000001,1,0),"")</f>
        <v>1</v>
      </c>
      <c r="AC945" s="13" t="str">
        <f aca="false">IF(AND($J945=1,$M945=0),IF(S945="",0,S945*INDEX(Grid!$B$6:$H$156,R945+1,Q945+1))+IF(V945="",0,V945*INDEX(Grid!$B$6:$H$156,U945+1,T945+1))+IF(Y945="",0,Y945*INDEX(Grid!$B$6:$H$156,X945+1,W945+1)),"")</f>
        <v/>
      </c>
      <c r="AD945" s="13" t="str">
        <f aca="false">IF(AND($J945=1,$M945=0),IF(S945="",0,S945*Val_pt*(Ceiling_e-E_zero)*(1-(1-Half_gap)^Q945))+IF(V945="",0,V945*Val_pt*(Ceiling_e-E_zero)*(1-(1-Half_gap)^T945))+IF(Y945="",0,Y945*Val_pt*(Ceiling_e-E_zero)*(1-(1-Half_gap)^W945)),"")</f>
        <v/>
      </c>
      <c r="AE945" s="13" t="str">
        <f aca="false">IF(AND($J945=1,$M945=0),IF(S945="",0,S945*R945)+IF(V945="",0,V945*U945)+IF(Y945="",0,Y945*X945),"")</f>
        <v/>
      </c>
      <c r="AF945" s="12" t="str">
        <f aca="false">IF(AND($J945=1,$M945=0),MIN((AC945-E945)/Span_P,(AD945-F945)/Span_S,(AE945-G945)/Span_B),"")</f>
        <v/>
      </c>
      <c r="AG945" s="15" t="str">
        <f aca="false">IF(AND($J945=1,$M945=0),IF(AF945&gt;0.0000001,1,0),"")</f>
        <v/>
      </c>
      <c r="AH945" s="15" t="n">
        <f aca="false">IF($J945=1,IF($M945=1,AB945,AG945),"")</f>
        <v>1</v>
      </c>
      <c r="AI945" s="13" t="n">
        <f aca="false">IF($J945=1,(Ideal_P-E945)/Span_P,"")</f>
        <v>0.849403550800032</v>
      </c>
      <c r="AJ945" s="13" t="n">
        <f aca="false">IF($J945=1,(Ideal_S-F945)/Span_S,"")</f>
        <v>0</v>
      </c>
      <c r="AK945" s="13" t="n">
        <f aca="false">IF($J945=1,(Ideal_B-G945)/Span_B,"")</f>
        <v>0.78</v>
      </c>
      <c r="AL945" s="12" t="n">
        <f aca="false">IF($J945=1,MAX(ChA_1*AI945,ChA_2*AJ945,ChA_3*AK945)+Rho*(ChA_1*AI945+ChA_2*AJ945+ChA_3*AK945),"")</f>
        <v>0.849566491155112</v>
      </c>
      <c r="AM945" s="12" t="n">
        <f aca="false">IF($J945=1,MAX(ChB_1*AI945,ChB_2*AJ945,ChB_3*AK945)+Rho*(ChB_1*AI945+ChB_2*AJ945+ChB_3*AK945),"")</f>
        <v>1.69905498231022</v>
      </c>
      <c r="AN945" s="12" t="n">
        <f aca="false">IF($J945=1,MAX(Cx_1*(Ref_P-E945)/Span_P,Cx_2*(Ref_S-F945)/Span_S,Cx_3*(Ref_B-G945)/Span_B),"")</f>
        <v>2.14625116686079</v>
      </c>
    </row>
    <row r="946" customFormat="false" ht="15" hidden="false" customHeight="false" outlineLevel="0" collapsed="false">
      <c r="A946" s="2" t="n">
        <v>940</v>
      </c>
      <c r="B946" s="15" t="n">
        <f aca="false">INT(A946/151)</f>
        <v>6</v>
      </c>
      <c r="C946" s="15" t="n">
        <f aca="false">MOD(A946,151)</f>
        <v>34</v>
      </c>
      <c r="D946" s="15" t="n">
        <f aca="false">INDEX(Grid!$J$6:$P$156,C946+1,B946+1)</f>
        <v>1</v>
      </c>
      <c r="E946" s="16" t="n">
        <f aca="false">IF(D946=1,INDEX(Grid!$B$6:$H$156,C946+1,B946+1),"")</f>
        <v>75.6824122906296</v>
      </c>
      <c r="F946" s="13" t="n">
        <f aca="false">Val_pt*(Ceiling_e-E_zero)*(1-(1-Half_gap)^B946)</f>
        <v>137.8125</v>
      </c>
      <c r="G946" s="15" t="n">
        <f aca="false">C946</f>
        <v>34</v>
      </c>
      <c r="H946" s="15" t="n">
        <f aca="false">IF(D946=1,INDEX(Grid!$R$6:$X$156,C946+1,B946+1),"")</f>
        <v>63</v>
      </c>
      <c r="I946" s="2" t="str">
        <f aca="false">IF(D946=1,INDEX(Sch_label,H946+1),"")</f>
        <v>1–6</v>
      </c>
      <c r="J946" s="15" t="n">
        <f aca="false">IF(D946=1,INDEX(Grid!$Z$6:$AF$156,C946+1,B946+1),0)</f>
        <v>1</v>
      </c>
      <c r="K946" s="16" t="n">
        <f aca="false">IF(J946=1,E946,0)</f>
        <v>75.6824122906296</v>
      </c>
      <c r="L946" s="17" t="n">
        <f aca="false">IF(D946=1,E946+W_board*F946,"")</f>
        <v>853.598047145992</v>
      </c>
      <c r="M946" s="24" t="n">
        <v>1</v>
      </c>
      <c r="N946" s="25" t="n">
        <v>0.00265551057325527</v>
      </c>
      <c r="O946" s="25" t="n">
        <v>0.996344489426745</v>
      </c>
      <c r="P946" s="25" t="n">
        <v>0.001</v>
      </c>
      <c r="Z946" s="12" t="n">
        <f aca="false">IF(AND($J946=1,$M946=1),N946*E946/Span_P+O946*F946/Span_S+P946*G946/Span_B,"")</f>
        <v>2.02561079469717</v>
      </c>
      <c r="AA946" s="12" t="n">
        <f aca="false">IF(AND($J946=1,$M946=1),SUMPRODUCT(MAX($J$6:$J$1062*(N946*$K$6:$K$1062/Span_P+O946*$F$6:$F$1062/Span_S+P946*$G$6:$G$1062/Span_B)-(1-$J$6:$J$1062)*1000000000)),"")</f>
        <v>2.02561079469717</v>
      </c>
      <c r="AB946" s="15" t="n">
        <f aca="false">IF(AND($J946=1,$M946=1),IF(AA946-Z946&lt;=0.000000001,1,0),"")</f>
        <v>1</v>
      </c>
      <c r="AC946" s="13" t="str">
        <f aca="false">IF(AND($J946=1,$M946=0),IF(S946="",0,S946*INDEX(Grid!$B$6:$H$156,R946+1,Q946+1))+IF(V946="",0,V946*INDEX(Grid!$B$6:$H$156,U946+1,T946+1))+IF(Y946="",0,Y946*INDEX(Grid!$B$6:$H$156,X946+1,W946+1)),"")</f>
        <v/>
      </c>
      <c r="AD946" s="13" t="str">
        <f aca="false">IF(AND($J946=1,$M946=0),IF(S946="",0,S946*Val_pt*(Ceiling_e-E_zero)*(1-(1-Half_gap)^Q946))+IF(V946="",0,V946*Val_pt*(Ceiling_e-E_zero)*(1-(1-Half_gap)^T946))+IF(Y946="",0,Y946*Val_pt*(Ceiling_e-E_zero)*(1-(1-Half_gap)^W946)),"")</f>
        <v/>
      </c>
      <c r="AE946" s="13" t="str">
        <f aca="false">IF(AND($J946=1,$M946=0),IF(S946="",0,S946*R946)+IF(V946="",0,V946*U946)+IF(Y946="",0,Y946*X946),"")</f>
        <v/>
      </c>
      <c r="AF946" s="12" t="str">
        <f aca="false">IF(AND($J946=1,$M946=0),MIN((AC946-E946)/Span_P,(AD946-F946)/Span_S,(AE946-G946)/Span_B),"")</f>
        <v/>
      </c>
      <c r="AG946" s="15" t="str">
        <f aca="false">IF(AND($J946=1,$M946=0),IF(AF946&gt;0.0000001,1,0),"")</f>
        <v/>
      </c>
      <c r="AH946" s="15" t="n">
        <f aca="false">IF($J946=1,IF($M946=1,AB946,AG946),"")</f>
        <v>1</v>
      </c>
      <c r="AI946" s="13" t="n">
        <f aca="false">IF($J946=1,(Ideal_P-E946)/Span_P,"")</f>
        <v>0.851914053576338</v>
      </c>
      <c r="AJ946" s="13" t="n">
        <f aca="false">IF($J946=1,(Ideal_S-F946)/Span_S,"")</f>
        <v>0</v>
      </c>
      <c r="AK946" s="13" t="n">
        <f aca="false">IF($J946=1,(Ideal_B-G946)/Span_B,"")</f>
        <v>0.773333333333333</v>
      </c>
      <c r="AL946" s="12" t="n">
        <f aca="false">IF($J946=1,MAX(ChA_1*AI946,ChA_2*AJ946,ChA_3*AK946)+Rho*(ChA_1*AI946+ChA_2*AJ946+ChA_3*AK946),"")</f>
        <v>0.852076578315029</v>
      </c>
      <c r="AM946" s="12" t="n">
        <f aca="false">IF($J946=1,MAX(ChB_1*AI946,ChB_2*AJ946,ChB_3*AK946)+Rho*(ChB_1*AI946+ChB_2*AJ946+ChB_3*AK946),"")</f>
        <v>1.70407582329672</v>
      </c>
      <c r="AN946" s="12" t="n">
        <f aca="false">IF($J946=1,MAX(Cx_1*(Ref_P-E946)/Span_P,Cx_2*(Ref_S-F946)/Span_S,Cx_3*(Ref_B-G946)/Span_B),"")</f>
        <v>2.15252082854421</v>
      </c>
    </row>
    <row r="947" customFormat="false" ht="15" hidden="false" customHeight="false" outlineLevel="0" collapsed="false">
      <c r="A947" s="2" t="n">
        <v>941</v>
      </c>
      <c r="B947" s="15" t="n">
        <f aca="false">INT(A947/151)</f>
        <v>6</v>
      </c>
      <c r="C947" s="15" t="n">
        <f aca="false">MOD(A947,151)</f>
        <v>35</v>
      </c>
      <c r="D947" s="15" t="n">
        <f aca="false">INDEX(Grid!$J$6:$P$156,C947+1,B947+1)</f>
        <v>1</v>
      </c>
      <c r="E947" s="16" t="n">
        <f aca="false">IF(D947=1,INDEX(Grid!$B$6:$H$156,C947+1,B947+1),"")</f>
        <v>74.7733213815387</v>
      </c>
      <c r="F947" s="13" t="n">
        <f aca="false">Val_pt*(Ceiling_e-E_zero)*(1-(1-Half_gap)^B947)</f>
        <v>137.8125</v>
      </c>
      <c r="G947" s="15" t="n">
        <f aca="false">C947</f>
        <v>35</v>
      </c>
      <c r="H947" s="15" t="n">
        <f aca="false">IF(D947=1,INDEX(Grid!$R$6:$X$156,C947+1,B947+1),"")</f>
        <v>63</v>
      </c>
      <c r="I947" s="2" t="str">
        <f aca="false">IF(D947=1,INDEX(Sch_label,H947+1),"")</f>
        <v>1–6</v>
      </c>
      <c r="J947" s="15" t="n">
        <f aca="false">IF(D947=1,INDEX(Grid!$Z$6:$AF$156,C947+1,B947+1),0)</f>
        <v>1</v>
      </c>
      <c r="K947" s="16" t="n">
        <f aca="false">IF(J947=1,E947,0)</f>
        <v>74.7733213815387</v>
      </c>
      <c r="L947" s="17" t="n">
        <f aca="false">IF(D947=1,E947+W_board*F947,"")</f>
        <v>852.688956236901</v>
      </c>
      <c r="M947" s="24" t="n">
        <v>1</v>
      </c>
      <c r="N947" s="25" t="n">
        <v>0.0026555105732552</v>
      </c>
      <c r="O947" s="25" t="n">
        <v>0.996344489426745</v>
      </c>
      <c r="P947" s="25" t="n">
        <v>0.001</v>
      </c>
      <c r="Z947" s="12" t="n">
        <f aca="false">IF(AND($J947=1,$M947=1),N947*E947/Span_P+O947*F947/Span_S+P947*G947/Span_B,"")</f>
        <v>2.02561079469717</v>
      </c>
      <c r="AA947" s="12" t="n">
        <f aca="false">IF(AND($J947=1,$M947=1),SUMPRODUCT(MAX($J$6:$J$1062*(N947*$K$6:$K$1062/Span_P+O947*$F$6:$F$1062/Span_S+P947*$G$6:$G$1062/Span_B)-(1-$J$6:$J$1062)*1000000000)),"")</f>
        <v>2.02561079469717</v>
      </c>
      <c r="AB947" s="15" t="n">
        <f aca="false">IF(AND($J947=1,$M947=1),IF(AA947-Z947&lt;=0.000000001,1,0),"")</f>
        <v>1</v>
      </c>
      <c r="AC947" s="13" t="str">
        <f aca="false">IF(AND($J947=1,$M947=0),IF(S947="",0,S947*INDEX(Grid!$B$6:$H$156,R947+1,Q947+1))+IF(V947="",0,V947*INDEX(Grid!$B$6:$H$156,U947+1,T947+1))+IF(Y947="",0,Y947*INDEX(Grid!$B$6:$H$156,X947+1,W947+1)),"")</f>
        <v/>
      </c>
      <c r="AD947" s="13" t="str">
        <f aca="false">IF(AND($J947=1,$M947=0),IF(S947="",0,S947*Val_pt*(Ceiling_e-E_zero)*(1-(1-Half_gap)^Q947))+IF(V947="",0,V947*Val_pt*(Ceiling_e-E_zero)*(1-(1-Half_gap)^T947))+IF(Y947="",0,Y947*Val_pt*(Ceiling_e-E_zero)*(1-(1-Half_gap)^W947)),"")</f>
        <v/>
      </c>
      <c r="AE947" s="13" t="str">
        <f aca="false">IF(AND($J947=1,$M947=0),IF(S947="",0,S947*R947)+IF(V947="",0,V947*U947)+IF(Y947="",0,Y947*X947),"")</f>
        <v/>
      </c>
      <c r="AF947" s="12" t="str">
        <f aca="false">IF(AND($J947=1,$M947=0),MIN((AC947-E947)/Span_P,(AD947-F947)/Span_S,(AE947-G947)/Span_B),"")</f>
        <v/>
      </c>
      <c r="AG947" s="15" t="str">
        <f aca="false">IF(AND($J947=1,$M947=0),IF(AF947&gt;0.0000001,1,0),"")</f>
        <v/>
      </c>
      <c r="AH947" s="15" t="n">
        <f aca="false">IF($J947=1,IF($M947=1,AB947,AG947),"")</f>
        <v>1</v>
      </c>
      <c r="AI947" s="13" t="n">
        <f aca="false">IF($J947=1,(Ideal_P-E947)/Span_P,"")</f>
        <v>0.854424556352643</v>
      </c>
      <c r="AJ947" s="13" t="n">
        <f aca="false">IF($J947=1,(Ideal_S-F947)/Span_S,"")</f>
        <v>0</v>
      </c>
      <c r="AK947" s="13" t="n">
        <f aca="false">IF($J947=1,(Ideal_B-G947)/Span_B,"")</f>
        <v>0.766666666666667</v>
      </c>
      <c r="AL947" s="12" t="n">
        <f aca="false">IF($J947=1,MAX(ChA_1*AI947,ChA_2*AJ947,ChA_3*AK947)+Rho*(ChA_1*AI947+ChA_2*AJ947+ChA_3*AK947),"")</f>
        <v>0.854586665474945</v>
      </c>
      <c r="AM947" s="12" t="n">
        <f aca="false">IF($J947=1,MAX(ChB_1*AI947,ChB_2*AJ947,ChB_3*AK947)+Rho*(ChB_1*AI947+ChB_2*AJ947+ChB_3*AK947),"")</f>
        <v>1.70909666428322</v>
      </c>
      <c r="AN947" s="12" t="n">
        <f aca="false">IF($J947=1,MAX(Cx_1*(Ref_P-E947)/Span_P,Cx_2*(Ref_S-F947)/Span_S,Cx_3*(Ref_B-G947)/Span_B),"")</f>
        <v>2.15879049022764</v>
      </c>
    </row>
    <row r="948" customFormat="false" ht="15" hidden="false" customHeight="false" outlineLevel="0" collapsed="false">
      <c r="A948" s="2" t="n">
        <v>942</v>
      </c>
      <c r="B948" s="15" t="n">
        <f aca="false">INT(A948/151)</f>
        <v>6</v>
      </c>
      <c r="C948" s="15" t="n">
        <f aca="false">MOD(A948,151)</f>
        <v>36</v>
      </c>
      <c r="D948" s="15" t="n">
        <f aca="false">INDEX(Grid!$J$6:$P$156,C948+1,B948+1)</f>
        <v>1</v>
      </c>
      <c r="E948" s="16" t="n">
        <f aca="false">IF(D948=1,INDEX(Grid!$B$6:$H$156,C948+1,B948+1),"")</f>
        <v>73.8642304724477</v>
      </c>
      <c r="F948" s="13" t="n">
        <f aca="false">Val_pt*(Ceiling_e-E_zero)*(1-(1-Half_gap)^B948)</f>
        <v>137.8125</v>
      </c>
      <c r="G948" s="15" t="n">
        <f aca="false">C948</f>
        <v>36</v>
      </c>
      <c r="H948" s="15" t="n">
        <f aca="false">IF(D948=1,INDEX(Grid!$R$6:$X$156,C948+1,B948+1),"")</f>
        <v>63</v>
      </c>
      <c r="I948" s="2" t="str">
        <f aca="false">IF(D948=1,INDEX(Sch_label,H948+1),"")</f>
        <v>1–6</v>
      </c>
      <c r="J948" s="15" t="n">
        <f aca="false">IF(D948=1,INDEX(Grid!$Z$6:$AF$156,C948+1,B948+1),0)</f>
        <v>1</v>
      </c>
      <c r="K948" s="16" t="n">
        <f aca="false">IF(J948=1,E948,0)</f>
        <v>73.8642304724477</v>
      </c>
      <c r="L948" s="17" t="n">
        <f aca="false">IF(D948=1,E948+W_board*F948,"")</f>
        <v>851.77986532781</v>
      </c>
      <c r="M948" s="24" t="n">
        <v>1</v>
      </c>
      <c r="N948" s="25" t="n">
        <v>0.0026555105732553</v>
      </c>
      <c r="O948" s="25" t="n">
        <v>0.996344489426745</v>
      </c>
      <c r="P948" s="25" t="n">
        <v>0.001</v>
      </c>
      <c r="Z948" s="12" t="n">
        <f aca="false">IF(AND($J948=1,$M948=1),N948*E948/Span_P+O948*F948/Span_S+P948*G948/Span_B,"")</f>
        <v>2.02561079469717</v>
      </c>
      <c r="AA948" s="12" t="n">
        <f aca="false">IF(AND($J948=1,$M948=1),SUMPRODUCT(MAX($J$6:$J$1062*(N948*$K$6:$K$1062/Span_P+O948*$F$6:$F$1062/Span_S+P948*$G$6:$G$1062/Span_B)-(1-$J$6:$J$1062)*1000000000)),"")</f>
        <v>2.02561079469717</v>
      </c>
      <c r="AB948" s="15" t="n">
        <f aca="false">IF(AND($J948=1,$M948=1),IF(AA948-Z948&lt;=0.000000001,1,0),"")</f>
        <v>1</v>
      </c>
      <c r="AC948" s="13" t="str">
        <f aca="false">IF(AND($J948=1,$M948=0),IF(S948="",0,S948*INDEX(Grid!$B$6:$H$156,R948+1,Q948+1))+IF(V948="",0,V948*INDEX(Grid!$B$6:$H$156,U948+1,T948+1))+IF(Y948="",0,Y948*INDEX(Grid!$B$6:$H$156,X948+1,W948+1)),"")</f>
        <v/>
      </c>
      <c r="AD948" s="13" t="str">
        <f aca="false">IF(AND($J948=1,$M948=0),IF(S948="",0,S948*Val_pt*(Ceiling_e-E_zero)*(1-(1-Half_gap)^Q948))+IF(V948="",0,V948*Val_pt*(Ceiling_e-E_zero)*(1-(1-Half_gap)^T948))+IF(Y948="",0,Y948*Val_pt*(Ceiling_e-E_zero)*(1-(1-Half_gap)^W948)),"")</f>
        <v/>
      </c>
      <c r="AE948" s="13" t="str">
        <f aca="false">IF(AND($J948=1,$M948=0),IF(S948="",0,S948*R948)+IF(V948="",0,V948*U948)+IF(Y948="",0,Y948*X948),"")</f>
        <v/>
      </c>
      <c r="AF948" s="12" t="str">
        <f aca="false">IF(AND($J948=1,$M948=0),MIN((AC948-E948)/Span_P,(AD948-F948)/Span_S,(AE948-G948)/Span_B),"")</f>
        <v/>
      </c>
      <c r="AG948" s="15" t="str">
        <f aca="false">IF(AND($J948=1,$M948=0),IF(AF948&gt;0.0000001,1,0),"")</f>
        <v/>
      </c>
      <c r="AH948" s="15" t="n">
        <f aca="false">IF($J948=1,IF($M948=1,AB948,AG948),"")</f>
        <v>1</v>
      </c>
      <c r="AI948" s="13" t="n">
        <f aca="false">IF($J948=1,(Ideal_P-E948)/Span_P,"")</f>
        <v>0.856935059128949</v>
      </c>
      <c r="AJ948" s="13" t="n">
        <f aca="false">IF($J948=1,(Ideal_S-F948)/Span_S,"")</f>
        <v>0</v>
      </c>
      <c r="AK948" s="13" t="n">
        <f aca="false">IF($J948=1,(Ideal_B-G948)/Span_B,"")</f>
        <v>0.76</v>
      </c>
      <c r="AL948" s="12" t="n">
        <f aca="false">IF($J948=1,MAX(ChA_1*AI948,ChA_2*AJ948,ChA_3*AK948)+Rho*(ChA_1*AI948+ChA_2*AJ948+ChA_3*AK948),"")</f>
        <v>0.857096752634862</v>
      </c>
      <c r="AM948" s="12" t="n">
        <f aca="false">IF($J948=1,MAX(ChB_1*AI948,ChB_2*AJ948,ChB_3*AK948)+Rho*(ChB_1*AI948+ChB_2*AJ948+ChB_3*AK948),"")</f>
        <v>1.71411750526972</v>
      </c>
      <c r="AN948" s="12" t="n">
        <f aca="false">IF($J948=1,MAX(Cx_1*(Ref_P-E948)/Span_P,Cx_2*(Ref_S-F948)/Span_S,Cx_3*(Ref_B-G948)/Span_B),"")</f>
        <v>2.16506015191107</v>
      </c>
    </row>
    <row r="949" customFormat="false" ht="15" hidden="false" customHeight="false" outlineLevel="0" collapsed="false">
      <c r="A949" s="2" t="n">
        <v>943</v>
      </c>
      <c r="B949" s="15" t="n">
        <f aca="false">INT(A949/151)</f>
        <v>6</v>
      </c>
      <c r="C949" s="15" t="n">
        <f aca="false">MOD(A949,151)</f>
        <v>37</v>
      </c>
      <c r="D949" s="15" t="n">
        <f aca="false">INDEX(Grid!$J$6:$P$156,C949+1,B949+1)</f>
        <v>1</v>
      </c>
      <c r="E949" s="16" t="n">
        <f aca="false">IF(D949=1,INDEX(Grid!$B$6:$H$156,C949+1,B949+1),"")</f>
        <v>72.9551395633568</v>
      </c>
      <c r="F949" s="13" t="n">
        <f aca="false">Val_pt*(Ceiling_e-E_zero)*(1-(1-Half_gap)^B949)</f>
        <v>137.8125</v>
      </c>
      <c r="G949" s="15" t="n">
        <f aca="false">C949</f>
        <v>37</v>
      </c>
      <c r="H949" s="15" t="n">
        <f aca="false">IF(D949=1,INDEX(Grid!$R$6:$X$156,C949+1,B949+1),"")</f>
        <v>63</v>
      </c>
      <c r="I949" s="2" t="str">
        <f aca="false">IF(D949=1,INDEX(Sch_label,H949+1),"")</f>
        <v>1–6</v>
      </c>
      <c r="J949" s="15" t="n">
        <f aca="false">IF(D949=1,INDEX(Grid!$Z$6:$AF$156,C949+1,B949+1),0)</f>
        <v>1</v>
      </c>
      <c r="K949" s="16" t="n">
        <f aca="false">IF(J949=1,E949,0)</f>
        <v>72.9551395633568</v>
      </c>
      <c r="L949" s="17" t="n">
        <f aca="false">IF(D949=1,E949+W_board*F949,"")</f>
        <v>850.870774418719</v>
      </c>
      <c r="M949" s="24" t="n">
        <v>1</v>
      </c>
      <c r="N949" s="25" t="n">
        <v>0.00265551057325527</v>
      </c>
      <c r="O949" s="25" t="n">
        <v>0.996344489426745</v>
      </c>
      <c r="P949" s="25" t="n">
        <v>0.001</v>
      </c>
      <c r="Z949" s="12" t="n">
        <f aca="false">IF(AND($J949=1,$M949=1),N949*E949/Span_P+O949*F949/Span_S+P949*G949/Span_B,"")</f>
        <v>2.02561079469717</v>
      </c>
      <c r="AA949" s="12" t="n">
        <f aca="false">IF(AND($J949=1,$M949=1),SUMPRODUCT(MAX($J$6:$J$1062*(N949*$K$6:$K$1062/Span_P+O949*$F$6:$F$1062/Span_S+P949*$G$6:$G$1062/Span_B)-(1-$J$6:$J$1062)*1000000000)),"")</f>
        <v>2.02561079469717</v>
      </c>
      <c r="AB949" s="15" t="n">
        <f aca="false">IF(AND($J949=1,$M949=1),IF(AA949-Z949&lt;=0.000000001,1,0),"")</f>
        <v>1</v>
      </c>
      <c r="AC949" s="13" t="str">
        <f aca="false">IF(AND($J949=1,$M949=0),IF(S949="",0,S949*INDEX(Grid!$B$6:$H$156,R949+1,Q949+1))+IF(V949="",0,V949*INDEX(Grid!$B$6:$H$156,U949+1,T949+1))+IF(Y949="",0,Y949*INDEX(Grid!$B$6:$H$156,X949+1,W949+1)),"")</f>
        <v/>
      </c>
      <c r="AD949" s="13" t="str">
        <f aca="false">IF(AND($J949=1,$M949=0),IF(S949="",0,S949*Val_pt*(Ceiling_e-E_zero)*(1-(1-Half_gap)^Q949))+IF(V949="",0,V949*Val_pt*(Ceiling_e-E_zero)*(1-(1-Half_gap)^T949))+IF(Y949="",0,Y949*Val_pt*(Ceiling_e-E_zero)*(1-(1-Half_gap)^W949)),"")</f>
        <v/>
      </c>
      <c r="AE949" s="13" t="str">
        <f aca="false">IF(AND($J949=1,$M949=0),IF(S949="",0,S949*R949)+IF(V949="",0,V949*U949)+IF(Y949="",0,Y949*X949),"")</f>
        <v/>
      </c>
      <c r="AF949" s="12" t="str">
        <f aca="false">IF(AND($J949=1,$M949=0),MIN((AC949-E949)/Span_P,(AD949-F949)/Span_S,(AE949-G949)/Span_B),"")</f>
        <v/>
      </c>
      <c r="AG949" s="15" t="str">
        <f aca="false">IF(AND($J949=1,$M949=0),IF(AF949&gt;0.0000001,1,0),"")</f>
        <v/>
      </c>
      <c r="AH949" s="15" t="n">
        <f aca="false">IF($J949=1,IF($M949=1,AB949,AG949),"")</f>
        <v>1</v>
      </c>
      <c r="AI949" s="13" t="n">
        <f aca="false">IF($J949=1,(Ideal_P-E949)/Span_P,"")</f>
        <v>0.859445561905255</v>
      </c>
      <c r="AJ949" s="13" t="n">
        <f aca="false">IF($J949=1,(Ideal_S-F949)/Span_S,"")</f>
        <v>0</v>
      </c>
      <c r="AK949" s="13" t="n">
        <f aca="false">IF($J949=1,(Ideal_B-G949)/Span_B,"")</f>
        <v>0.753333333333333</v>
      </c>
      <c r="AL949" s="12" t="n">
        <f aca="false">IF($J949=1,MAX(ChA_1*AI949,ChA_2*AJ949,ChA_3*AK949)+Rho*(ChA_1*AI949+ChA_2*AJ949+ChA_3*AK949),"")</f>
        <v>0.859606839794779</v>
      </c>
      <c r="AM949" s="12" t="n">
        <f aca="false">IF($J949=1,MAX(ChB_1*AI949,ChB_2*AJ949,ChB_3*AK949)+Rho*(ChB_1*AI949+ChB_2*AJ949+ChB_3*AK949),"")</f>
        <v>1.71913834625622</v>
      </c>
      <c r="AN949" s="12" t="n">
        <f aca="false">IF($J949=1,MAX(Cx_1*(Ref_P-E949)/Span_P,Cx_2*(Ref_S-F949)/Span_S,Cx_3*(Ref_B-G949)/Span_B),"")</f>
        <v>2.1713298135945</v>
      </c>
    </row>
    <row r="950" customFormat="false" ht="15" hidden="false" customHeight="false" outlineLevel="0" collapsed="false">
      <c r="A950" s="2" t="n">
        <v>944</v>
      </c>
      <c r="B950" s="15" t="n">
        <f aca="false">INT(A950/151)</f>
        <v>6</v>
      </c>
      <c r="C950" s="15" t="n">
        <f aca="false">MOD(A950,151)</f>
        <v>38</v>
      </c>
      <c r="D950" s="15" t="n">
        <f aca="false">INDEX(Grid!$J$6:$P$156,C950+1,B950+1)</f>
        <v>1</v>
      </c>
      <c r="E950" s="16" t="n">
        <f aca="false">IF(D950=1,INDEX(Grid!$B$6:$H$156,C950+1,B950+1),"")</f>
        <v>72.0460486542659</v>
      </c>
      <c r="F950" s="13" t="n">
        <f aca="false">Val_pt*(Ceiling_e-E_zero)*(1-(1-Half_gap)^B950)</f>
        <v>137.8125</v>
      </c>
      <c r="G950" s="15" t="n">
        <f aca="false">C950</f>
        <v>38</v>
      </c>
      <c r="H950" s="15" t="n">
        <f aca="false">IF(D950=1,INDEX(Grid!$R$6:$X$156,C950+1,B950+1),"")</f>
        <v>63</v>
      </c>
      <c r="I950" s="2" t="str">
        <f aca="false">IF(D950=1,INDEX(Sch_label,H950+1),"")</f>
        <v>1–6</v>
      </c>
      <c r="J950" s="15" t="n">
        <f aca="false">IF(D950=1,INDEX(Grid!$Z$6:$AF$156,C950+1,B950+1),0)</f>
        <v>1</v>
      </c>
      <c r="K950" s="16" t="n">
        <f aca="false">IF(J950=1,E950,0)</f>
        <v>72.0460486542659</v>
      </c>
      <c r="L950" s="17" t="n">
        <f aca="false">IF(D950=1,E950+W_board*F950,"")</f>
        <v>849.961683509628</v>
      </c>
      <c r="M950" s="24" t="n">
        <v>1</v>
      </c>
      <c r="N950" s="25" t="n">
        <v>0.00265551057325526</v>
      </c>
      <c r="O950" s="25" t="n">
        <v>0.996344489426745</v>
      </c>
      <c r="P950" s="25" t="n">
        <v>0.001</v>
      </c>
      <c r="Z950" s="12" t="n">
        <f aca="false">IF(AND($J950=1,$M950=1),N950*E950/Span_P+O950*F950/Span_S+P950*G950/Span_B,"")</f>
        <v>2.02561079469717</v>
      </c>
      <c r="AA950" s="12" t="n">
        <f aca="false">IF(AND($J950=1,$M950=1),SUMPRODUCT(MAX($J$6:$J$1062*(N950*$K$6:$K$1062/Span_P+O950*$F$6:$F$1062/Span_S+P950*$G$6:$G$1062/Span_B)-(1-$J$6:$J$1062)*1000000000)),"")</f>
        <v>2.02561079469717</v>
      </c>
      <c r="AB950" s="15" t="n">
        <f aca="false">IF(AND($J950=1,$M950=1),IF(AA950-Z950&lt;=0.000000001,1,0),"")</f>
        <v>1</v>
      </c>
      <c r="AC950" s="13" t="str">
        <f aca="false">IF(AND($J950=1,$M950=0),IF(S950="",0,S950*INDEX(Grid!$B$6:$H$156,R950+1,Q950+1))+IF(V950="",0,V950*INDEX(Grid!$B$6:$H$156,U950+1,T950+1))+IF(Y950="",0,Y950*INDEX(Grid!$B$6:$H$156,X950+1,W950+1)),"")</f>
        <v/>
      </c>
      <c r="AD950" s="13" t="str">
        <f aca="false">IF(AND($J950=1,$M950=0),IF(S950="",0,S950*Val_pt*(Ceiling_e-E_zero)*(1-(1-Half_gap)^Q950))+IF(V950="",0,V950*Val_pt*(Ceiling_e-E_zero)*(1-(1-Half_gap)^T950))+IF(Y950="",0,Y950*Val_pt*(Ceiling_e-E_zero)*(1-(1-Half_gap)^W950)),"")</f>
        <v/>
      </c>
      <c r="AE950" s="13" t="str">
        <f aca="false">IF(AND($J950=1,$M950=0),IF(S950="",0,S950*R950)+IF(V950="",0,V950*U950)+IF(Y950="",0,Y950*X950),"")</f>
        <v/>
      </c>
      <c r="AF950" s="12" t="str">
        <f aca="false">IF(AND($J950=1,$M950=0),MIN((AC950-E950)/Span_P,(AD950-F950)/Span_S,(AE950-G950)/Span_B),"")</f>
        <v/>
      </c>
      <c r="AG950" s="15" t="str">
        <f aca="false">IF(AND($J950=1,$M950=0),IF(AF950&gt;0.0000001,1,0),"")</f>
        <v/>
      </c>
      <c r="AH950" s="15" t="n">
        <f aca="false">IF($J950=1,IF($M950=1,AB950,AG950),"")</f>
        <v>1</v>
      </c>
      <c r="AI950" s="13" t="n">
        <f aca="false">IF($J950=1,(Ideal_P-E950)/Span_P,"")</f>
        <v>0.861956064681561</v>
      </c>
      <c r="AJ950" s="13" t="n">
        <f aca="false">IF($J950=1,(Ideal_S-F950)/Span_S,"")</f>
        <v>0</v>
      </c>
      <c r="AK950" s="13" t="n">
        <f aca="false">IF($J950=1,(Ideal_B-G950)/Span_B,"")</f>
        <v>0.746666666666667</v>
      </c>
      <c r="AL950" s="12" t="n">
        <f aca="false">IF($J950=1,MAX(ChA_1*AI950,ChA_2*AJ950,ChA_3*AK950)+Rho*(ChA_1*AI950+ChA_2*AJ950+ChA_3*AK950),"")</f>
        <v>0.862116926954695</v>
      </c>
      <c r="AM950" s="12" t="n">
        <f aca="false">IF($J950=1,MAX(ChB_1*AI950,ChB_2*AJ950,ChB_3*AK950)+Rho*(ChB_1*AI950+ChB_2*AJ950+ChB_3*AK950),"")</f>
        <v>1.72415918724272</v>
      </c>
      <c r="AN950" s="12" t="n">
        <f aca="false">IF($J950=1,MAX(Cx_1*(Ref_P-E950)/Span_P,Cx_2*(Ref_S-F950)/Span_S,Cx_3*(Ref_B-G950)/Span_B),"")</f>
        <v>2.17759947527793</v>
      </c>
    </row>
    <row r="951" customFormat="false" ht="15" hidden="false" customHeight="false" outlineLevel="0" collapsed="false">
      <c r="A951" s="2" t="n">
        <v>945</v>
      </c>
      <c r="B951" s="15" t="n">
        <f aca="false">INT(A951/151)</f>
        <v>6</v>
      </c>
      <c r="C951" s="15" t="n">
        <f aca="false">MOD(A951,151)</f>
        <v>39</v>
      </c>
      <c r="D951" s="15" t="n">
        <f aca="false">INDEX(Grid!$J$6:$P$156,C951+1,B951+1)</f>
        <v>1</v>
      </c>
      <c r="E951" s="16" t="n">
        <f aca="false">IF(D951=1,INDEX(Grid!$B$6:$H$156,C951+1,B951+1),"")</f>
        <v>71.136957745175</v>
      </c>
      <c r="F951" s="13" t="n">
        <f aca="false">Val_pt*(Ceiling_e-E_zero)*(1-(1-Half_gap)^B951)</f>
        <v>137.8125</v>
      </c>
      <c r="G951" s="15" t="n">
        <f aca="false">C951</f>
        <v>39</v>
      </c>
      <c r="H951" s="15" t="n">
        <f aca="false">IF(D951=1,INDEX(Grid!$R$6:$X$156,C951+1,B951+1),"")</f>
        <v>63</v>
      </c>
      <c r="I951" s="2" t="str">
        <f aca="false">IF(D951=1,INDEX(Sch_label,H951+1),"")</f>
        <v>1–6</v>
      </c>
      <c r="J951" s="15" t="n">
        <f aca="false">IF(D951=1,INDEX(Grid!$Z$6:$AF$156,C951+1,B951+1),0)</f>
        <v>1</v>
      </c>
      <c r="K951" s="16" t="n">
        <f aca="false">IF(J951=1,E951,0)</f>
        <v>71.136957745175</v>
      </c>
      <c r="L951" s="17" t="n">
        <f aca="false">IF(D951=1,E951+W_board*F951,"")</f>
        <v>849.052592600537</v>
      </c>
      <c r="M951" s="24" t="n">
        <v>1</v>
      </c>
      <c r="N951" s="25" t="n">
        <v>0.0026555105732552</v>
      </c>
      <c r="O951" s="25" t="n">
        <v>0.996344489426745</v>
      </c>
      <c r="P951" s="25" t="n">
        <v>0.001</v>
      </c>
      <c r="Z951" s="12" t="n">
        <f aca="false">IF(AND($J951=1,$M951=1),N951*E951/Span_P+O951*F951/Span_S+P951*G951/Span_B,"")</f>
        <v>2.02561079469717</v>
      </c>
      <c r="AA951" s="12" t="n">
        <f aca="false">IF(AND($J951=1,$M951=1),SUMPRODUCT(MAX($J$6:$J$1062*(N951*$K$6:$K$1062/Span_P+O951*$F$6:$F$1062/Span_S+P951*$G$6:$G$1062/Span_B)-(1-$J$6:$J$1062)*1000000000)),"")</f>
        <v>2.02561079469717</v>
      </c>
      <c r="AB951" s="15" t="n">
        <f aca="false">IF(AND($J951=1,$M951=1),IF(AA951-Z951&lt;=0.000000001,1,0),"")</f>
        <v>1</v>
      </c>
      <c r="AC951" s="13" t="str">
        <f aca="false">IF(AND($J951=1,$M951=0),IF(S951="",0,S951*INDEX(Grid!$B$6:$H$156,R951+1,Q951+1))+IF(V951="",0,V951*INDEX(Grid!$B$6:$H$156,U951+1,T951+1))+IF(Y951="",0,Y951*INDEX(Grid!$B$6:$H$156,X951+1,W951+1)),"")</f>
        <v/>
      </c>
      <c r="AD951" s="13" t="str">
        <f aca="false">IF(AND($J951=1,$M951=0),IF(S951="",0,S951*Val_pt*(Ceiling_e-E_zero)*(1-(1-Half_gap)^Q951))+IF(V951="",0,V951*Val_pt*(Ceiling_e-E_zero)*(1-(1-Half_gap)^T951))+IF(Y951="",0,Y951*Val_pt*(Ceiling_e-E_zero)*(1-(1-Half_gap)^W951)),"")</f>
        <v/>
      </c>
      <c r="AE951" s="13" t="str">
        <f aca="false">IF(AND($J951=1,$M951=0),IF(S951="",0,S951*R951)+IF(V951="",0,V951*U951)+IF(Y951="",0,Y951*X951),"")</f>
        <v/>
      </c>
      <c r="AF951" s="12" t="str">
        <f aca="false">IF(AND($J951=1,$M951=0),MIN((AC951-E951)/Span_P,(AD951-F951)/Span_S,(AE951-G951)/Span_B),"")</f>
        <v/>
      </c>
      <c r="AG951" s="15" t="str">
        <f aca="false">IF(AND($J951=1,$M951=0),IF(AF951&gt;0.0000001,1,0),"")</f>
        <v/>
      </c>
      <c r="AH951" s="15" t="n">
        <f aca="false">IF($J951=1,IF($M951=1,AB951,AG951),"")</f>
        <v>1</v>
      </c>
      <c r="AI951" s="13" t="n">
        <f aca="false">IF($J951=1,(Ideal_P-E951)/Span_P,"")</f>
        <v>0.864466567457866</v>
      </c>
      <c r="AJ951" s="13" t="n">
        <f aca="false">IF($J951=1,(Ideal_S-F951)/Span_S,"")</f>
        <v>0</v>
      </c>
      <c r="AK951" s="13" t="n">
        <f aca="false">IF($J951=1,(Ideal_B-G951)/Span_B,"")</f>
        <v>0.74</v>
      </c>
      <c r="AL951" s="12" t="n">
        <f aca="false">IF($J951=1,MAX(ChA_1*AI951,ChA_2*AJ951,ChA_3*AK951)+Rho*(ChA_1*AI951+ChA_2*AJ951+ChA_3*AK951),"")</f>
        <v>0.864627014114612</v>
      </c>
      <c r="AM951" s="12" t="n">
        <f aca="false">IF($J951=1,MAX(ChB_1*AI951,ChB_2*AJ951,ChB_3*AK951)+Rho*(ChB_1*AI951+ChB_2*AJ951+ChB_3*AK951),"")</f>
        <v>1.72918002822922</v>
      </c>
      <c r="AN951" s="12" t="n">
        <f aca="false">IF($J951=1,MAX(Cx_1*(Ref_P-E951)/Span_P,Cx_2*(Ref_S-F951)/Span_S,Cx_3*(Ref_B-G951)/Span_B),"")</f>
        <v>2.18386913696136</v>
      </c>
    </row>
    <row r="952" customFormat="false" ht="15" hidden="false" customHeight="false" outlineLevel="0" collapsed="false">
      <c r="A952" s="2" t="n">
        <v>946</v>
      </c>
      <c r="B952" s="15" t="n">
        <f aca="false">INT(A952/151)</f>
        <v>6</v>
      </c>
      <c r="C952" s="15" t="n">
        <f aca="false">MOD(A952,151)</f>
        <v>40</v>
      </c>
      <c r="D952" s="15" t="n">
        <f aca="false">INDEX(Grid!$J$6:$P$156,C952+1,B952+1)</f>
        <v>1</v>
      </c>
      <c r="E952" s="16" t="n">
        <f aca="false">IF(D952=1,INDEX(Grid!$B$6:$H$156,C952+1,B952+1),"")</f>
        <v>70.2278668360841</v>
      </c>
      <c r="F952" s="13" t="n">
        <f aca="false">Val_pt*(Ceiling_e-E_zero)*(1-(1-Half_gap)^B952)</f>
        <v>137.8125</v>
      </c>
      <c r="G952" s="15" t="n">
        <f aca="false">C952</f>
        <v>40</v>
      </c>
      <c r="H952" s="15" t="n">
        <f aca="false">IF(D952=1,INDEX(Grid!$R$6:$X$156,C952+1,B952+1),"")</f>
        <v>63</v>
      </c>
      <c r="I952" s="2" t="str">
        <f aca="false">IF(D952=1,INDEX(Sch_label,H952+1),"")</f>
        <v>1–6</v>
      </c>
      <c r="J952" s="15" t="n">
        <f aca="false">IF(D952=1,INDEX(Grid!$Z$6:$AF$156,C952+1,B952+1),0)</f>
        <v>1</v>
      </c>
      <c r="K952" s="16" t="n">
        <f aca="false">IF(J952=1,E952,0)</f>
        <v>70.2278668360841</v>
      </c>
      <c r="L952" s="17" t="n">
        <f aca="false">IF(D952=1,E952+W_board*F952,"")</f>
        <v>848.143501691446</v>
      </c>
      <c r="M952" s="24" t="n">
        <v>1</v>
      </c>
      <c r="N952" s="25" t="n">
        <v>0.00265551057325529</v>
      </c>
      <c r="O952" s="25" t="n">
        <v>0.996344489426745</v>
      </c>
      <c r="P952" s="25" t="n">
        <v>0.001</v>
      </c>
      <c r="Z952" s="12" t="n">
        <f aca="false">IF(AND($J952=1,$M952=1),N952*E952/Span_P+O952*F952/Span_S+P952*G952/Span_B,"")</f>
        <v>2.02561079469717</v>
      </c>
      <c r="AA952" s="12" t="n">
        <f aca="false">IF(AND($J952=1,$M952=1),SUMPRODUCT(MAX($J$6:$J$1062*(N952*$K$6:$K$1062/Span_P+O952*$F$6:$F$1062/Span_S+P952*$G$6:$G$1062/Span_B)-(1-$J$6:$J$1062)*1000000000)),"")</f>
        <v>2.02561079469717</v>
      </c>
      <c r="AB952" s="15" t="n">
        <f aca="false">IF(AND($J952=1,$M952=1),IF(AA952-Z952&lt;=0.000000001,1,0),"")</f>
        <v>1</v>
      </c>
      <c r="AC952" s="13" t="str">
        <f aca="false">IF(AND($J952=1,$M952=0),IF(S952="",0,S952*INDEX(Grid!$B$6:$H$156,R952+1,Q952+1))+IF(V952="",0,V952*INDEX(Grid!$B$6:$H$156,U952+1,T952+1))+IF(Y952="",0,Y952*INDEX(Grid!$B$6:$H$156,X952+1,W952+1)),"")</f>
        <v/>
      </c>
      <c r="AD952" s="13" t="str">
        <f aca="false">IF(AND($J952=1,$M952=0),IF(S952="",0,S952*Val_pt*(Ceiling_e-E_zero)*(1-(1-Half_gap)^Q952))+IF(V952="",0,V952*Val_pt*(Ceiling_e-E_zero)*(1-(1-Half_gap)^T952))+IF(Y952="",0,Y952*Val_pt*(Ceiling_e-E_zero)*(1-(1-Half_gap)^W952)),"")</f>
        <v/>
      </c>
      <c r="AE952" s="13" t="str">
        <f aca="false">IF(AND($J952=1,$M952=0),IF(S952="",0,S952*R952)+IF(V952="",0,V952*U952)+IF(Y952="",0,Y952*X952),"")</f>
        <v/>
      </c>
      <c r="AF952" s="12" t="str">
        <f aca="false">IF(AND($J952=1,$M952=0),MIN((AC952-E952)/Span_P,(AD952-F952)/Span_S,(AE952-G952)/Span_B),"")</f>
        <v/>
      </c>
      <c r="AG952" s="15" t="str">
        <f aca="false">IF(AND($J952=1,$M952=0),IF(AF952&gt;0.0000001,1,0),"")</f>
        <v/>
      </c>
      <c r="AH952" s="15" t="n">
        <f aca="false">IF($J952=1,IF($M952=1,AB952,AG952),"")</f>
        <v>1</v>
      </c>
      <c r="AI952" s="13" t="n">
        <f aca="false">IF($J952=1,(Ideal_P-E952)/Span_P,"")</f>
        <v>0.866977070234172</v>
      </c>
      <c r="AJ952" s="13" t="n">
        <f aca="false">IF($J952=1,(Ideal_S-F952)/Span_S,"")</f>
        <v>0</v>
      </c>
      <c r="AK952" s="13" t="n">
        <f aca="false">IF($J952=1,(Ideal_B-G952)/Span_B,"")</f>
        <v>0.733333333333333</v>
      </c>
      <c r="AL952" s="12" t="n">
        <f aca="false">IF($J952=1,MAX(ChA_1*AI952,ChA_2*AJ952,ChA_3*AK952)+Rho*(ChA_1*AI952+ChA_2*AJ952+ChA_3*AK952),"")</f>
        <v>0.867137101274529</v>
      </c>
      <c r="AM952" s="12" t="n">
        <f aca="false">IF($J952=1,MAX(ChB_1*AI952,ChB_2*AJ952,ChB_3*AK952)+Rho*(ChB_1*AI952+ChB_2*AJ952+ChB_3*AK952),"")</f>
        <v>1.73420086921572</v>
      </c>
      <c r="AN952" s="12" t="n">
        <f aca="false">IF($J952=1,MAX(Cx_1*(Ref_P-E952)/Span_P,Cx_2*(Ref_S-F952)/Span_S,Cx_3*(Ref_B-G952)/Span_B),"")</f>
        <v>2.19013879864479</v>
      </c>
    </row>
    <row r="953" customFormat="false" ht="15" hidden="false" customHeight="false" outlineLevel="0" collapsed="false">
      <c r="A953" s="2" t="n">
        <v>947</v>
      </c>
      <c r="B953" s="15" t="n">
        <f aca="false">INT(A953/151)</f>
        <v>6</v>
      </c>
      <c r="C953" s="15" t="n">
        <f aca="false">MOD(A953,151)</f>
        <v>41</v>
      </c>
      <c r="D953" s="15" t="n">
        <f aca="false">INDEX(Grid!$J$6:$P$156,C953+1,B953+1)</f>
        <v>1</v>
      </c>
      <c r="E953" s="16" t="n">
        <f aca="false">IF(D953=1,INDEX(Grid!$B$6:$H$156,C953+1,B953+1),"")</f>
        <v>69.3187759269932</v>
      </c>
      <c r="F953" s="13" t="n">
        <f aca="false">Val_pt*(Ceiling_e-E_zero)*(1-(1-Half_gap)^B953)</f>
        <v>137.8125</v>
      </c>
      <c r="G953" s="15" t="n">
        <f aca="false">C953</f>
        <v>41</v>
      </c>
      <c r="H953" s="15" t="n">
        <f aca="false">IF(D953=1,INDEX(Grid!$R$6:$X$156,C953+1,B953+1),"")</f>
        <v>63</v>
      </c>
      <c r="I953" s="2" t="str">
        <f aca="false">IF(D953=1,INDEX(Sch_label,H953+1),"")</f>
        <v>1–6</v>
      </c>
      <c r="J953" s="15" t="n">
        <f aca="false">IF(D953=1,INDEX(Grid!$Z$6:$AF$156,C953+1,B953+1),0)</f>
        <v>1</v>
      </c>
      <c r="K953" s="16" t="n">
        <f aca="false">IF(J953=1,E953,0)</f>
        <v>69.3187759269932</v>
      </c>
      <c r="L953" s="17" t="n">
        <f aca="false">IF(D953=1,E953+W_board*F953,"")</f>
        <v>847.234410782355</v>
      </c>
      <c r="M953" s="24" t="n">
        <v>1</v>
      </c>
      <c r="N953" s="25" t="n">
        <v>0.00265551057325528</v>
      </c>
      <c r="O953" s="25" t="n">
        <v>0.996344489426745</v>
      </c>
      <c r="P953" s="25" t="n">
        <v>0.001</v>
      </c>
      <c r="Z953" s="12" t="n">
        <f aca="false">IF(AND($J953=1,$M953=1),N953*E953/Span_P+O953*F953/Span_S+P953*G953/Span_B,"")</f>
        <v>2.02561079469717</v>
      </c>
      <c r="AA953" s="12" t="n">
        <f aca="false">IF(AND($J953=1,$M953=1),SUMPRODUCT(MAX($J$6:$J$1062*(N953*$K$6:$K$1062/Span_P+O953*$F$6:$F$1062/Span_S+P953*$G$6:$G$1062/Span_B)-(1-$J$6:$J$1062)*1000000000)),"")</f>
        <v>2.02561079469717</v>
      </c>
      <c r="AB953" s="15" t="n">
        <f aca="false">IF(AND($J953=1,$M953=1),IF(AA953-Z953&lt;=0.000000001,1,0),"")</f>
        <v>1</v>
      </c>
      <c r="AC953" s="13" t="str">
        <f aca="false">IF(AND($J953=1,$M953=0),IF(S953="",0,S953*INDEX(Grid!$B$6:$H$156,R953+1,Q953+1))+IF(V953="",0,V953*INDEX(Grid!$B$6:$H$156,U953+1,T953+1))+IF(Y953="",0,Y953*INDEX(Grid!$B$6:$H$156,X953+1,W953+1)),"")</f>
        <v/>
      </c>
      <c r="AD953" s="13" t="str">
        <f aca="false">IF(AND($J953=1,$M953=0),IF(S953="",0,S953*Val_pt*(Ceiling_e-E_zero)*(1-(1-Half_gap)^Q953))+IF(V953="",0,V953*Val_pt*(Ceiling_e-E_zero)*(1-(1-Half_gap)^T953))+IF(Y953="",0,Y953*Val_pt*(Ceiling_e-E_zero)*(1-(1-Half_gap)^W953)),"")</f>
        <v/>
      </c>
      <c r="AE953" s="13" t="str">
        <f aca="false">IF(AND($J953=1,$M953=0),IF(S953="",0,S953*R953)+IF(V953="",0,V953*U953)+IF(Y953="",0,Y953*X953),"")</f>
        <v/>
      </c>
      <c r="AF953" s="12" t="str">
        <f aca="false">IF(AND($J953=1,$M953=0),MIN((AC953-E953)/Span_P,(AD953-F953)/Span_S,(AE953-G953)/Span_B),"")</f>
        <v/>
      </c>
      <c r="AG953" s="15" t="str">
        <f aca="false">IF(AND($J953=1,$M953=0),IF(AF953&gt;0.0000001,1,0),"")</f>
        <v/>
      </c>
      <c r="AH953" s="15" t="n">
        <f aca="false">IF($J953=1,IF($M953=1,AB953,AG953),"")</f>
        <v>1</v>
      </c>
      <c r="AI953" s="13" t="n">
        <f aca="false">IF($J953=1,(Ideal_P-E953)/Span_P,"")</f>
        <v>0.869487573010478</v>
      </c>
      <c r="AJ953" s="13" t="n">
        <f aca="false">IF($J953=1,(Ideal_S-F953)/Span_S,"")</f>
        <v>0</v>
      </c>
      <c r="AK953" s="13" t="n">
        <f aca="false">IF($J953=1,(Ideal_B-G953)/Span_B,"")</f>
        <v>0.726666666666667</v>
      </c>
      <c r="AL953" s="12" t="n">
        <f aca="false">IF($J953=1,MAX(ChA_1*AI953,ChA_2*AJ953,ChA_3*AK953)+Rho*(ChA_1*AI953+ChA_2*AJ953+ChA_3*AK953),"")</f>
        <v>0.869647188434446</v>
      </c>
      <c r="AM953" s="12" t="n">
        <f aca="false">IF($J953=1,MAX(ChB_1*AI953,ChB_2*AJ953,ChB_3*AK953)+Rho*(ChB_1*AI953+ChB_2*AJ953+ChB_3*AK953),"")</f>
        <v>1.73922171020222</v>
      </c>
      <c r="AN953" s="12" t="n">
        <f aca="false">IF($J953=1,MAX(Cx_1*(Ref_P-E953)/Span_P,Cx_2*(Ref_S-F953)/Span_S,Cx_3*(Ref_B-G953)/Span_B),"")</f>
        <v>2.19640846032821</v>
      </c>
    </row>
    <row r="954" customFormat="false" ht="15" hidden="false" customHeight="false" outlineLevel="0" collapsed="false">
      <c r="A954" s="2" t="n">
        <v>948</v>
      </c>
      <c r="B954" s="15" t="n">
        <f aca="false">INT(A954/151)</f>
        <v>6</v>
      </c>
      <c r="C954" s="15" t="n">
        <f aca="false">MOD(A954,151)</f>
        <v>42</v>
      </c>
      <c r="D954" s="15" t="n">
        <f aca="false">INDEX(Grid!$J$6:$P$156,C954+1,B954+1)</f>
        <v>1</v>
      </c>
      <c r="E954" s="16" t="n">
        <f aca="false">IF(D954=1,INDEX(Grid!$B$6:$H$156,C954+1,B954+1),"")</f>
        <v>68.4096850179023</v>
      </c>
      <c r="F954" s="13" t="n">
        <f aca="false">Val_pt*(Ceiling_e-E_zero)*(1-(1-Half_gap)^B954)</f>
        <v>137.8125</v>
      </c>
      <c r="G954" s="15" t="n">
        <f aca="false">C954</f>
        <v>42</v>
      </c>
      <c r="H954" s="15" t="n">
        <f aca="false">IF(D954=1,INDEX(Grid!$R$6:$X$156,C954+1,B954+1),"")</f>
        <v>63</v>
      </c>
      <c r="I954" s="2" t="str">
        <f aca="false">IF(D954=1,INDEX(Sch_label,H954+1),"")</f>
        <v>1–6</v>
      </c>
      <c r="J954" s="15" t="n">
        <f aca="false">IF(D954=1,INDEX(Grid!$Z$6:$AF$156,C954+1,B954+1),0)</f>
        <v>1</v>
      </c>
      <c r="K954" s="16" t="n">
        <f aca="false">IF(J954=1,E954,0)</f>
        <v>68.4096850179023</v>
      </c>
      <c r="L954" s="17" t="n">
        <f aca="false">IF(D954=1,E954+W_board*F954,"")</f>
        <v>846.325319873264</v>
      </c>
      <c r="M954" s="24" t="n">
        <v>1</v>
      </c>
      <c r="N954" s="25" t="n">
        <v>0.00265551057325526</v>
      </c>
      <c r="O954" s="25" t="n">
        <v>0.996344489426745</v>
      </c>
      <c r="P954" s="25" t="n">
        <v>0.001</v>
      </c>
      <c r="Z954" s="12" t="n">
        <f aca="false">IF(AND($J954=1,$M954=1),N954*E954/Span_P+O954*F954/Span_S+P954*G954/Span_B,"")</f>
        <v>2.02561079469717</v>
      </c>
      <c r="AA954" s="12" t="n">
        <f aca="false">IF(AND($J954=1,$M954=1),SUMPRODUCT(MAX($J$6:$J$1062*(N954*$K$6:$K$1062/Span_P+O954*$F$6:$F$1062/Span_S+P954*$G$6:$G$1062/Span_B)-(1-$J$6:$J$1062)*1000000000)),"")</f>
        <v>2.02561079469717</v>
      </c>
      <c r="AB954" s="15" t="n">
        <f aca="false">IF(AND($J954=1,$M954=1),IF(AA954-Z954&lt;=0.000000001,1,0),"")</f>
        <v>1</v>
      </c>
      <c r="AC954" s="13" t="str">
        <f aca="false">IF(AND($J954=1,$M954=0),IF(S954="",0,S954*INDEX(Grid!$B$6:$H$156,R954+1,Q954+1))+IF(V954="",0,V954*INDEX(Grid!$B$6:$H$156,U954+1,T954+1))+IF(Y954="",0,Y954*INDEX(Grid!$B$6:$H$156,X954+1,W954+1)),"")</f>
        <v/>
      </c>
      <c r="AD954" s="13" t="str">
        <f aca="false">IF(AND($J954=1,$M954=0),IF(S954="",0,S954*Val_pt*(Ceiling_e-E_zero)*(1-(1-Half_gap)^Q954))+IF(V954="",0,V954*Val_pt*(Ceiling_e-E_zero)*(1-(1-Half_gap)^T954))+IF(Y954="",0,Y954*Val_pt*(Ceiling_e-E_zero)*(1-(1-Half_gap)^W954)),"")</f>
        <v/>
      </c>
      <c r="AE954" s="13" t="str">
        <f aca="false">IF(AND($J954=1,$M954=0),IF(S954="",0,S954*R954)+IF(V954="",0,V954*U954)+IF(Y954="",0,Y954*X954),"")</f>
        <v/>
      </c>
      <c r="AF954" s="12" t="str">
        <f aca="false">IF(AND($J954=1,$M954=0),MIN((AC954-E954)/Span_P,(AD954-F954)/Span_S,(AE954-G954)/Span_B),"")</f>
        <v/>
      </c>
      <c r="AG954" s="15" t="str">
        <f aca="false">IF(AND($J954=1,$M954=0),IF(AF954&gt;0.0000001,1,0),"")</f>
        <v/>
      </c>
      <c r="AH954" s="15" t="n">
        <f aca="false">IF($J954=1,IF($M954=1,AB954,AG954),"")</f>
        <v>1</v>
      </c>
      <c r="AI954" s="13" t="n">
        <f aca="false">IF($J954=1,(Ideal_P-E954)/Span_P,"")</f>
        <v>0.871998075786784</v>
      </c>
      <c r="AJ954" s="13" t="n">
        <f aca="false">IF($J954=1,(Ideal_S-F954)/Span_S,"")</f>
        <v>0</v>
      </c>
      <c r="AK954" s="13" t="n">
        <f aca="false">IF($J954=1,(Ideal_B-G954)/Span_B,"")</f>
        <v>0.72</v>
      </c>
      <c r="AL954" s="12" t="n">
        <f aca="false">IF($J954=1,MAX(ChA_1*AI954,ChA_2*AJ954,ChA_3*AK954)+Rho*(ChA_1*AI954+ChA_2*AJ954+ChA_3*AK954),"")</f>
        <v>0.872157275594362</v>
      </c>
      <c r="AM954" s="12" t="n">
        <f aca="false">IF($J954=1,MAX(ChB_1*AI954,ChB_2*AJ954,ChB_3*AK954)+Rho*(ChB_1*AI954+ChB_2*AJ954+ChB_3*AK954),"")</f>
        <v>1.74424255118872</v>
      </c>
      <c r="AN954" s="12" t="n">
        <f aca="false">IF($J954=1,MAX(Cx_1*(Ref_P-E954)/Span_P,Cx_2*(Ref_S-F954)/Span_S,Cx_3*(Ref_B-G954)/Span_B),"")</f>
        <v>2.20267812201164</v>
      </c>
    </row>
    <row r="955" customFormat="false" ht="15" hidden="false" customHeight="false" outlineLevel="0" collapsed="false">
      <c r="A955" s="2" t="n">
        <v>949</v>
      </c>
      <c r="B955" s="15" t="n">
        <f aca="false">INT(A955/151)</f>
        <v>6</v>
      </c>
      <c r="C955" s="15" t="n">
        <f aca="false">MOD(A955,151)</f>
        <v>43</v>
      </c>
      <c r="D955" s="15" t="n">
        <f aca="false">INDEX(Grid!$J$6:$P$156,C955+1,B955+1)</f>
        <v>1</v>
      </c>
      <c r="E955" s="16" t="n">
        <f aca="false">IF(D955=1,INDEX(Grid!$B$6:$H$156,C955+1,B955+1),"")</f>
        <v>67.5005941088114</v>
      </c>
      <c r="F955" s="13" t="n">
        <f aca="false">Val_pt*(Ceiling_e-E_zero)*(1-(1-Half_gap)^B955)</f>
        <v>137.8125</v>
      </c>
      <c r="G955" s="15" t="n">
        <f aca="false">C955</f>
        <v>43</v>
      </c>
      <c r="H955" s="15" t="n">
        <f aca="false">IF(D955=1,INDEX(Grid!$R$6:$X$156,C955+1,B955+1),"")</f>
        <v>63</v>
      </c>
      <c r="I955" s="2" t="str">
        <f aca="false">IF(D955=1,INDEX(Sch_label,H955+1),"")</f>
        <v>1–6</v>
      </c>
      <c r="J955" s="15" t="n">
        <f aca="false">IF(D955=1,INDEX(Grid!$Z$6:$AF$156,C955+1,B955+1),0)</f>
        <v>1</v>
      </c>
      <c r="K955" s="16" t="n">
        <f aca="false">IF(J955=1,E955,0)</f>
        <v>67.5005941088114</v>
      </c>
      <c r="L955" s="17" t="n">
        <f aca="false">IF(D955=1,E955+W_board*F955,"")</f>
        <v>845.416228964173</v>
      </c>
      <c r="M955" s="24" t="n">
        <v>1</v>
      </c>
      <c r="N955" s="25" t="n">
        <v>0.00265551057325526</v>
      </c>
      <c r="O955" s="25" t="n">
        <v>0.996344489426745</v>
      </c>
      <c r="P955" s="25" t="n">
        <v>0.001</v>
      </c>
      <c r="Z955" s="12" t="n">
        <f aca="false">IF(AND($J955=1,$M955=1),N955*E955/Span_P+O955*F955/Span_S+P955*G955/Span_B,"")</f>
        <v>2.02561079469717</v>
      </c>
      <c r="AA955" s="12" t="n">
        <f aca="false">IF(AND($J955=1,$M955=1),SUMPRODUCT(MAX($J$6:$J$1062*(N955*$K$6:$K$1062/Span_P+O955*$F$6:$F$1062/Span_S+P955*$G$6:$G$1062/Span_B)-(1-$J$6:$J$1062)*1000000000)),"")</f>
        <v>2.02561079469717</v>
      </c>
      <c r="AB955" s="15" t="n">
        <f aca="false">IF(AND($J955=1,$M955=1),IF(AA955-Z955&lt;=0.000000001,1,0),"")</f>
        <v>1</v>
      </c>
      <c r="AC955" s="13" t="str">
        <f aca="false">IF(AND($J955=1,$M955=0),IF(S955="",0,S955*INDEX(Grid!$B$6:$H$156,R955+1,Q955+1))+IF(V955="",0,V955*INDEX(Grid!$B$6:$H$156,U955+1,T955+1))+IF(Y955="",0,Y955*INDEX(Grid!$B$6:$H$156,X955+1,W955+1)),"")</f>
        <v/>
      </c>
      <c r="AD955" s="13" t="str">
        <f aca="false">IF(AND($J955=1,$M955=0),IF(S955="",0,S955*Val_pt*(Ceiling_e-E_zero)*(1-(1-Half_gap)^Q955))+IF(V955="",0,V955*Val_pt*(Ceiling_e-E_zero)*(1-(1-Half_gap)^T955))+IF(Y955="",0,Y955*Val_pt*(Ceiling_e-E_zero)*(1-(1-Half_gap)^W955)),"")</f>
        <v/>
      </c>
      <c r="AE955" s="13" t="str">
        <f aca="false">IF(AND($J955=1,$M955=0),IF(S955="",0,S955*R955)+IF(V955="",0,V955*U955)+IF(Y955="",0,Y955*X955),"")</f>
        <v/>
      </c>
      <c r="AF955" s="12" t="str">
        <f aca="false">IF(AND($J955=1,$M955=0),MIN((AC955-E955)/Span_P,(AD955-F955)/Span_S,(AE955-G955)/Span_B),"")</f>
        <v/>
      </c>
      <c r="AG955" s="15" t="str">
        <f aca="false">IF(AND($J955=1,$M955=0),IF(AF955&gt;0.0000001,1,0),"")</f>
        <v/>
      </c>
      <c r="AH955" s="15" t="n">
        <f aca="false">IF($J955=1,IF($M955=1,AB955,AG955),"")</f>
        <v>1</v>
      </c>
      <c r="AI955" s="13" t="n">
        <f aca="false">IF($J955=1,(Ideal_P-E955)/Span_P,"")</f>
        <v>0.874508578563089</v>
      </c>
      <c r="AJ955" s="13" t="n">
        <f aca="false">IF($J955=1,(Ideal_S-F955)/Span_S,"")</f>
        <v>0</v>
      </c>
      <c r="AK955" s="13" t="n">
        <f aca="false">IF($J955=1,(Ideal_B-G955)/Span_B,"")</f>
        <v>0.713333333333333</v>
      </c>
      <c r="AL955" s="12" t="n">
        <f aca="false">IF($J955=1,MAX(ChA_1*AI955,ChA_2*AJ955,ChA_3*AK955)+Rho*(ChA_1*AI955+ChA_2*AJ955+ChA_3*AK955),"")</f>
        <v>0.874667362754279</v>
      </c>
      <c r="AM955" s="12" t="n">
        <f aca="false">IF($J955=1,MAX(ChB_1*AI955,ChB_2*AJ955,ChB_3*AK955)+Rho*(ChB_1*AI955+ChB_2*AJ955+ChB_3*AK955),"")</f>
        <v>1.74926339217522</v>
      </c>
      <c r="AN955" s="12" t="n">
        <f aca="false">IF($J955=1,MAX(Cx_1*(Ref_P-E955)/Span_P,Cx_2*(Ref_S-F955)/Span_S,Cx_3*(Ref_B-G955)/Span_B),"")</f>
        <v>2.20894778369507</v>
      </c>
    </row>
    <row r="956" customFormat="false" ht="15" hidden="false" customHeight="false" outlineLevel="0" collapsed="false">
      <c r="A956" s="2" t="n">
        <v>950</v>
      </c>
      <c r="B956" s="15" t="n">
        <f aca="false">INT(A956/151)</f>
        <v>6</v>
      </c>
      <c r="C956" s="15" t="n">
        <f aca="false">MOD(A956,151)</f>
        <v>44</v>
      </c>
      <c r="D956" s="15" t="n">
        <f aca="false">INDEX(Grid!$J$6:$P$156,C956+1,B956+1)</f>
        <v>1</v>
      </c>
      <c r="E956" s="16" t="n">
        <f aca="false">IF(D956=1,INDEX(Grid!$B$6:$H$156,C956+1,B956+1),"")</f>
        <v>66.5915031997205</v>
      </c>
      <c r="F956" s="13" t="n">
        <f aca="false">Val_pt*(Ceiling_e-E_zero)*(1-(1-Half_gap)^B956)</f>
        <v>137.8125</v>
      </c>
      <c r="G956" s="15" t="n">
        <f aca="false">C956</f>
        <v>44</v>
      </c>
      <c r="H956" s="15" t="n">
        <f aca="false">IF(D956=1,INDEX(Grid!$R$6:$X$156,C956+1,B956+1),"")</f>
        <v>63</v>
      </c>
      <c r="I956" s="2" t="str">
        <f aca="false">IF(D956=1,INDEX(Sch_label,H956+1),"")</f>
        <v>1–6</v>
      </c>
      <c r="J956" s="15" t="n">
        <f aca="false">IF(D956=1,INDEX(Grid!$Z$6:$AF$156,C956+1,B956+1),0)</f>
        <v>1</v>
      </c>
      <c r="K956" s="16" t="n">
        <f aca="false">IF(J956=1,E956,0)</f>
        <v>66.5915031997205</v>
      </c>
      <c r="L956" s="17" t="n">
        <f aca="false">IF(D956=1,E956+W_board*F956,"")</f>
        <v>844.507138055082</v>
      </c>
      <c r="M956" s="24" t="n">
        <v>1</v>
      </c>
      <c r="N956" s="25" t="n">
        <v>0.00265551057325523</v>
      </c>
      <c r="O956" s="25" t="n">
        <v>0.996344489426745</v>
      </c>
      <c r="P956" s="25" t="n">
        <v>0.001</v>
      </c>
      <c r="Z956" s="12" t="n">
        <f aca="false">IF(AND($J956=1,$M956=1),N956*E956/Span_P+O956*F956/Span_S+P956*G956/Span_B,"")</f>
        <v>2.02561079469717</v>
      </c>
      <c r="AA956" s="12" t="n">
        <f aca="false">IF(AND($J956=1,$M956=1),SUMPRODUCT(MAX($J$6:$J$1062*(N956*$K$6:$K$1062/Span_P+O956*$F$6:$F$1062/Span_S+P956*$G$6:$G$1062/Span_B)-(1-$J$6:$J$1062)*1000000000)),"")</f>
        <v>2.02561079469717</v>
      </c>
      <c r="AB956" s="15" t="n">
        <f aca="false">IF(AND($J956=1,$M956=1),IF(AA956-Z956&lt;=0.000000001,1,0),"")</f>
        <v>1</v>
      </c>
      <c r="AC956" s="13" t="str">
        <f aca="false">IF(AND($J956=1,$M956=0),IF(S956="",0,S956*INDEX(Grid!$B$6:$H$156,R956+1,Q956+1))+IF(V956="",0,V956*INDEX(Grid!$B$6:$H$156,U956+1,T956+1))+IF(Y956="",0,Y956*INDEX(Grid!$B$6:$H$156,X956+1,W956+1)),"")</f>
        <v/>
      </c>
      <c r="AD956" s="13" t="str">
        <f aca="false">IF(AND($J956=1,$M956=0),IF(S956="",0,S956*Val_pt*(Ceiling_e-E_zero)*(1-(1-Half_gap)^Q956))+IF(V956="",0,V956*Val_pt*(Ceiling_e-E_zero)*(1-(1-Half_gap)^T956))+IF(Y956="",0,Y956*Val_pt*(Ceiling_e-E_zero)*(1-(1-Half_gap)^W956)),"")</f>
        <v/>
      </c>
      <c r="AE956" s="13" t="str">
        <f aca="false">IF(AND($J956=1,$M956=0),IF(S956="",0,S956*R956)+IF(V956="",0,V956*U956)+IF(Y956="",0,Y956*X956),"")</f>
        <v/>
      </c>
      <c r="AF956" s="12" t="str">
        <f aca="false">IF(AND($J956=1,$M956=0),MIN((AC956-E956)/Span_P,(AD956-F956)/Span_S,(AE956-G956)/Span_B),"")</f>
        <v/>
      </c>
      <c r="AG956" s="15" t="str">
        <f aca="false">IF(AND($J956=1,$M956=0),IF(AF956&gt;0.0000001,1,0),"")</f>
        <v/>
      </c>
      <c r="AH956" s="15" t="n">
        <f aca="false">IF($J956=1,IF($M956=1,AB956,AG956),"")</f>
        <v>1</v>
      </c>
      <c r="AI956" s="13" t="n">
        <f aca="false">IF($J956=1,(Ideal_P-E956)/Span_P,"")</f>
        <v>0.877019081339395</v>
      </c>
      <c r="AJ956" s="13" t="n">
        <f aca="false">IF($J956=1,(Ideal_S-F956)/Span_S,"")</f>
        <v>0</v>
      </c>
      <c r="AK956" s="13" t="n">
        <f aca="false">IF($J956=1,(Ideal_B-G956)/Span_B,"")</f>
        <v>0.706666666666667</v>
      </c>
      <c r="AL956" s="12" t="n">
        <f aca="false">IF($J956=1,MAX(ChA_1*AI956,ChA_2*AJ956,ChA_3*AK956)+Rho*(ChA_1*AI956+ChA_2*AJ956+ChA_3*AK956),"")</f>
        <v>0.877177449914196</v>
      </c>
      <c r="AM956" s="12" t="n">
        <f aca="false">IF($J956=1,MAX(ChB_1*AI956,ChB_2*AJ956,ChB_3*AK956)+Rho*(ChB_1*AI956+ChB_2*AJ956+ChB_3*AK956),"")</f>
        <v>1.75428423316172</v>
      </c>
      <c r="AN956" s="12" t="n">
        <f aca="false">IF($J956=1,MAX(Cx_1*(Ref_P-E956)/Span_P,Cx_2*(Ref_S-F956)/Span_S,Cx_3*(Ref_B-G956)/Span_B),"")</f>
        <v>2.2152174453785</v>
      </c>
    </row>
    <row r="957" customFormat="false" ht="15" hidden="false" customHeight="false" outlineLevel="0" collapsed="false">
      <c r="A957" s="2" t="n">
        <v>951</v>
      </c>
      <c r="B957" s="15" t="n">
        <f aca="false">INT(A957/151)</f>
        <v>6</v>
      </c>
      <c r="C957" s="15" t="n">
        <f aca="false">MOD(A957,151)</f>
        <v>45</v>
      </c>
      <c r="D957" s="15" t="n">
        <f aca="false">INDEX(Grid!$J$6:$P$156,C957+1,B957+1)</f>
        <v>1</v>
      </c>
      <c r="E957" s="16" t="n">
        <f aca="false">IF(D957=1,INDEX(Grid!$B$6:$H$156,C957+1,B957+1),"")</f>
        <v>65.6824122906296</v>
      </c>
      <c r="F957" s="13" t="n">
        <f aca="false">Val_pt*(Ceiling_e-E_zero)*(1-(1-Half_gap)^B957)</f>
        <v>137.8125</v>
      </c>
      <c r="G957" s="15" t="n">
        <f aca="false">C957</f>
        <v>45</v>
      </c>
      <c r="H957" s="15" t="n">
        <f aca="false">IF(D957=1,INDEX(Grid!$R$6:$X$156,C957+1,B957+1),"")</f>
        <v>63</v>
      </c>
      <c r="I957" s="2" t="str">
        <f aca="false">IF(D957=1,INDEX(Sch_label,H957+1),"")</f>
        <v>1–6</v>
      </c>
      <c r="J957" s="15" t="n">
        <f aca="false">IF(D957=1,INDEX(Grid!$Z$6:$AF$156,C957+1,B957+1),0)</f>
        <v>1</v>
      </c>
      <c r="K957" s="16" t="n">
        <f aca="false">IF(J957=1,E957,0)</f>
        <v>65.6824122906296</v>
      </c>
      <c r="L957" s="17" t="n">
        <f aca="false">IF(D957=1,E957+W_board*F957,"")</f>
        <v>843.598047145992</v>
      </c>
      <c r="M957" s="24" t="n">
        <v>1</v>
      </c>
      <c r="N957" s="25" t="n">
        <v>0.00265551057325526</v>
      </c>
      <c r="O957" s="25" t="n">
        <v>0.996344489426745</v>
      </c>
      <c r="P957" s="25" t="n">
        <v>0.001</v>
      </c>
      <c r="Z957" s="12" t="n">
        <f aca="false">IF(AND($J957=1,$M957=1),N957*E957/Span_P+O957*F957/Span_S+P957*G957/Span_B,"")</f>
        <v>2.02561079469717</v>
      </c>
      <c r="AA957" s="12" t="n">
        <f aca="false">IF(AND($J957=1,$M957=1),SUMPRODUCT(MAX($J$6:$J$1062*(N957*$K$6:$K$1062/Span_P+O957*$F$6:$F$1062/Span_S+P957*$G$6:$G$1062/Span_B)-(1-$J$6:$J$1062)*1000000000)),"")</f>
        <v>2.02561079469717</v>
      </c>
      <c r="AB957" s="15" t="n">
        <f aca="false">IF(AND($J957=1,$M957=1),IF(AA957-Z957&lt;=0.000000001,1,0),"")</f>
        <v>1</v>
      </c>
      <c r="AC957" s="13" t="str">
        <f aca="false">IF(AND($J957=1,$M957=0),IF(S957="",0,S957*INDEX(Grid!$B$6:$H$156,R957+1,Q957+1))+IF(V957="",0,V957*INDEX(Grid!$B$6:$H$156,U957+1,T957+1))+IF(Y957="",0,Y957*INDEX(Grid!$B$6:$H$156,X957+1,W957+1)),"")</f>
        <v/>
      </c>
      <c r="AD957" s="13" t="str">
        <f aca="false">IF(AND($J957=1,$M957=0),IF(S957="",0,S957*Val_pt*(Ceiling_e-E_zero)*(1-(1-Half_gap)^Q957))+IF(V957="",0,V957*Val_pt*(Ceiling_e-E_zero)*(1-(1-Half_gap)^T957))+IF(Y957="",0,Y957*Val_pt*(Ceiling_e-E_zero)*(1-(1-Half_gap)^W957)),"")</f>
        <v/>
      </c>
      <c r="AE957" s="13" t="str">
        <f aca="false">IF(AND($J957=1,$M957=0),IF(S957="",0,S957*R957)+IF(V957="",0,V957*U957)+IF(Y957="",0,Y957*X957),"")</f>
        <v/>
      </c>
      <c r="AF957" s="12" t="str">
        <f aca="false">IF(AND($J957=1,$M957=0),MIN((AC957-E957)/Span_P,(AD957-F957)/Span_S,(AE957-G957)/Span_B),"")</f>
        <v/>
      </c>
      <c r="AG957" s="15" t="str">
        <f aca="false">IF(AND($J957=1,$M957=0),IF(AF957&gt;0.0000001,1,0),"")</f>
        <v/>
      </c>
      <c r="AH957" s="15" t="n">
        <f aca="false">IF($J957=1,IF($M957=1,AB957,AG957),"")</f>
        <v>1</v>
      </c>
      <c r="AI957" s="13" t="n">
        <f aca="false">IF($J957=1,(Ideal_P-E957)/Span_P,"")</f>
        <v>0.879529584115701</v>
      </c>
      <c r="AJ957" s="13" t="n">
        <f aca="false">IF($J957=1,(Ideal_S-F957)/Span_S,"")</f>
        <v>0</v>
      </c>
      <c r="AK957" s="13" t="n">
        <f aca="false">IF($J957=1,(Ideal_B-G957)/Span_B,"")</f>
        <v>0.7</v>
      </c>
      <c r="AL957" s="12" t="n">
        <f aca="false">IF($J957=1,MAX(ChA_1*AI957,ChA_2*AJ957,ChA_3*AK957)+Rho*(ChA_1*AI957+ChA_2*AJ957+ChA_3*AK957),"")</f>
        <v>0.879687537074113</v>
      </c>
      <c r="AM957" s="12" t="n">
        <f aca="false">IF($J957=1,MAX(ChB_1*AI957,ChB_2*AJ957,ChB_3*AK957)+Rho*(ChB_1*AI957+ChB_2*AJ957+ChB_3*AK957),"")</f>
        <v>1.75930507414823</v>
      </c>
      <c r="AN957" s="12" t="n">
        <f aca="false">IF($J957=1,MAX(Cx_1*(Ref_P-E957)/Span_P,Cx_2*(Ref_S-F957)/Span_S,Cx_3*(Ref_B-G957)/Span_B),"")</f>
        <v>2.22148710706193</v>
      </c>
    </row>
    <row r="958" customFormat="false" ht="15" hidden="false" customHeight="false" outlineLevel="0" collapsed="false">
      <c r="A958" s="2" t="n">
        <v>952</v>
      </c>
      <c r="B958" s="15" t="n">
        <f aca="false">INT(A958/151)</f>
        <v>6</v>
      </c>
      <c r="C958" s="15" t="n">
        <f aca="false">MOD(A958,151)</f>
        <v>46</v>
      </c>
      <c r="D958" s="15" t="n">
        <f aca="false">INDEX(Grid!$J$6:$P$156,C958+1,B958+1)</f>
        <v>1</v>
      </c>
      <c r="E958" s="16" t="n">
        <f aca="false">IF(D958=1,INDEX(Grid!$B$6:$H$156,C958+1,B958+1),"")</f>
        <v>64.7733213815386</v>
      </c>
      <c r="F958" s="13" t="n">
        <f aca="false">Val_pt*(Ceiling_e-E_zero)*(1-(1-Half_gap)^B958)</f>
        <v>137.8125</v>
      </c>
      <c r="G958" s="15" t="n">
        <f aca="false">C958</f>
        <v>46</v>
      </c>
      <c r="H958" s="15" t="n">
        <f aca="false">IF(D958=1,INDEX(Grid!$R$6:$X$156,C958+1,B958+1),"")</f>
        <v>63</v>
      </c>
      <c r="I958" s="2" t="str">
        <f aca="false">IF(D958=1,INDEX(Sch_label,H958+1),"")</f>
        <v>1–6</v>
      </c>
      <c r="J958" s="15" t="n">
        <f aca="false">IF(D958=1,INDEX(Grid!$Z$6:$AF$156,C958+1,B958+1),0)</f>
        <v>1</v>
      </c>
      <c r="K958" s="16" t="n">
        <f aca="false">IF(J958=1,E958,0)</f>
        <v>64.7733213815386</v>
      </c>
      <c r="L958" s="17" t="n">
        <f aca="false">IF(D958=1,E958+W_board*F958,"")</f>
        <v>842.688956236901</v>
      </c>
      <c r="M958" s="24" t="n">
        <v>1</v>
      </c>
      <c r="N958" s="25" t="n">
        <v>0.00265551057325531</v>
      </c>
      <c r="O958" s="25" t="n">
        <v>0.996344489426745</v>
      </c>
      <c r="P958" s="25" t="n">
        <v>0.001</v>
      </c>
      <c r="Z958" s="12" t="n">
        <f aca="false">IF(AND($J958=1,$M958=1),N958*E958/Span_P+O958*F958/Span_S+P958*G958/Span_B,"")</f>
        <v>2.02561079469717</v>
      </c>
      <c r="AA958" s="12" t="n">
        <f aca="false">IF(AND($J958=1,$M958=1),SUMPRODUCT(MAX($J$6:$J$1062*(N958*$K$6:$K$1062/Span_P+O958*$F$6:$F$1062/Span_S+P958*$G$6:$G$1062/Span_B)-(1-$J$6:$J$1062)*1000000000)),"")</f>
        <v>2.02561079469717</v>
      </c>
      <c r="AB958" s="15" t="n">
        <f aca="false">IF(AND($J958=1,$M958=1),IF(AA958-Z958&lt;=0.000000001,1,0),"")</f>
        <v>1</v>
      </c>
      <c r="AC958" s="13" t="str">
        <f aca="false">IF(AND($J958=1,$M958=0),IF(S958="",0,S958*INDEX(Grid!$B$6:$H$156,R958+1,Q958+1))+IF(V958="",0,V958*INDEX(Grid!$B$6:$H$156,U958+1,T958+1))+IF(Y958="",0,Y958*INDEX(Grid!$B$6:$H$156,X958+1,W958+1)),"")</f>
        <v/>
      </c>
      <c r="AD958" s="13" t="str">
        <f aca="false">IF(AND($J958=1,$M958=0),IF(S958="",0,S958*Val_pt*(Ceiling_e-E_zero)*(1-(1-Half_gap)^Q958))+IF(V958="",0,V958*Val_pt*(Ceiling_e-E_zero)*(1-(1-Half_gap)^T958))+IF(Y958="",0,Y958*Val_pt*(Ceiling_e-E_zero)*(1-(1-Half_gap)^W958)),"")</f>
        <v/>
      </c>
      <c r="AE958" s="13" t="str">
        <f aca="false">IF(AND($J958=1,$M958=0),IF(S958="",0,S958*R958)+IF(V958="",0,V958*U958)+IF(Y958="",0,Y958*X958),"")</f>
        <v/>
      </c>
      <c r="AF958" s="12" t="str">
        <f aca="false">IF(AND($J958=1,$M958=0),MIN((AC958-E958)/Span_P,(AD958-F958)/Span_S,(AE958-G958)/Span_B),"")</f>
        <v/>
      </c>
      <c r="AG958" s="15" t="str">
        <f aca="false">IF(AND($J958=1,$M958=0),IF(AF958&gt;0.0000001,1,0),"")</f>
        <v/>
      </c>
      <c r="AH958" s="15" t="n">
        <f aca="false">IF($J958=1,IF($M958=1,AB958,AG958),"")</f>
        <v>1</v>
      </c>
      <c r="AI958" s="13" t="n">
        <f aca="false">IF($J958=1,(Ideal_P-E958)/Span_P,"")</f>
        <v>0.882040086892007</v>
      </c>
      <c r="AJ958" s="13" t="n">
        <f aca="false">IF($J958=1,(Ideal_S-F958)/Span_S,"")</f>
        <v>0</v>
      </c>
      <c r="AK958" s="13" t="n">
        <f aca="false">IF($J958=1,(Ideal_B-G958)/Span_B,"")</f>
        <v>0.693333333333333</v>
      </c>
      <c r="AL958" s="12" t="n">
        <f aca="false">IF($J958=1,MAX(ChA_1*AI958,ChA_2*AJ958,ChA_3*AK958)+Rho*(ChA_1*AI958+ChA_2*AJ958+ChA_3*AK958),"")</f>
        <v>0.882197624234029</v>
      </c>
      <c r="AM958" s="12" t="n">
        <f aca="false">IF($J958=1,MAX(ChB_1*AI958,ChB_2*AJ958,ChB_3*AK958)+Rho*(ChB_1*AI958+ChB_2*AJ958+ChB_3*AK958),"")</f>
        <v>1.76432591513473</v>
      </c>
      <c r="AN958" s="12" t="n">
        <f aca="false">IF($J958=1,MAX(Cx_1*(Ref_P-E958)/Span_P,Cx_2*(Ref_S-F958)/Span_S,Cx_3*(Ref_B-G958)/Span_B),"")</f>
        <v>2.22775676874536</v>
      </c>
    </row>
    <row r="959" customFormat="false" ht="15" hidden="false" customHeight="false" outlineLevel="0" collapsed="false">
      <c r="A959" s="2" t="n">
        <v>953</v>
      </c>
      <c r="B959" s="15" t="n">
        <f aca="false">INT(A959/151)</f>
        <v>6</v>
      </c>
      <c r="C959" s="15" t="n">
        <f aca="false">MOD(A959,151)</f>
        <v>47</v>
      </c>
      <c r="D959" s="15" t="n">
        <f aca="false">INDEX(Grid!$J$6:$P$156,C959+1,B959+1)</f>
        <v>1</v>
      </c>
      <c r="E959" s="16" t="n">
        <f aca="false">IF(D959=1,INDEX(Grid!$B$6:$H$156,C959+1,B959+1),"")</f>
        <v>63.8642304724477</v>
      </c>
      <c r="F959" s="13" t="n">
        <f aca="false">Val_pt*(Ceiling_e-E_zero)*(1-(1-Half_gap)^B959)</f>
        <v>137.8125</v>
      </c>
      <c r="G959" s="15" t="n">
        <f aca="false">C959</f>
        <v>47</v>
      </c>
      <c r="H959" s="15" t="n">
        <f aca="false">IF(D959=1,INDEX(Grid!$R$6:$X$156,C959+1,B959+1),"")</f>
        <v>63</v>
      </c>
      <c r="I959" s="2" t="str">
        <f aca="false">IF(D959=1,INDEX(Sch_label,H959+1),"")</f>
        <v>1–6</v>
      </c>
      <c r="J959" s="15" t="n">
        <f aca="false">IF(D959=1,INDEX(Grid!$Z$6:$AF$156,C959+1,B959+1),0)</f>
        <v>1</v>
      </c>
      <c r="K959" s="16" t="n">
        <f aca="false">IF(J959=1,E959,0)</f>
        <v>63.8642304724477</v>
      </c>
      <c r="L959" s="17" t="n">
        <f aca="false">IF(D959=1,E959+W_board*F959,"")</f>
        <v>841.77986532781</v>
      </c>
      <c r="M959" s="24" t="n">
        <v>1</v>
      </c>
      <c r="N959" s="25" t="n">
        <v>0.00265551057325523</v>
      </c>
      <c r="O959" s="25" t="n">
        <v>0.996344489426745</v>
      </c>
      <c r="P959" s="25" t="n">
        <v>0.001</v>
      </c>
      <c r="Z959" s="12" t="n">
        <f aca="false">IF(AND($J959=1,$M959=1),N959*E959/Span_P+O959*F959/Span_S+P959*G959/Span_B,"")</f>
        <v>2.02561079469717</v>
      </c>
      <c r="AA959" s="12" t="n">
        <f aca="false">IF(AND($J959=1,$M959=1),SUMPRODUCT(MAX($J$6:$J$1062*(N959*$K$6:$K$1062/Span_P+O959*$F$6:$F$1062/Span_S+P959*$G$6:$G$1062/Span_B)-(1-$J$6:$J$1062)*1000000000)),"")</f>
        <v>2.02561079469717</v>
      </c>
      <c r="AB959" s="15" t="n">
        <f aca="false">IF(AND($J959=1,$M959=1),IF(AA959-Z959&lt;=0.000000001,1,0),"")</f>
        <v>1</v>
      </c>
      <c r="AC959" s="13" t="str">
        <f aca="false">IF(AND($J959=1,$M959=0),IF(S959="",0,S959*INDEX(Grid!$B$6:$H$156,R959+1,Q959+1))+IF(V959="",0,V959*INDEX(Grid!$B$6:$H$156,U959+1,T959+1))+IF(Y959="",0,Y959*INDEX(Grid!$B$6:$H$156,X959+1,W959+1)),"")</f>
        <v/>
      </c>
      <c r="AD959" s="13" t="str">
        <f aca="false">IF(AND($J959=1,$M959=0),IF(S959="",0,S959*Val_pt*(Ceiling_e-E_zero)*(1-(1-Half_gap)^Q959))+IF(V959="",0,V959*Val_pt*(Ceiling_e-E_zero)*(1-(1-Half_gap)^T959))+IF(Y959="",0,Y959*Val_pt*(Ceiling_e-E_zero)*(1-(1-Half_gap)^W959)),"")</f>
        <v/>
      </c>
      <c r="AE959" s="13" t="str">
        <f aca="false">IF(AND($J959=1,$M959=0),IF(S959="",0,S959*R959)+IF(V959="",0,V959*U959)+IF(Y959="",0,Y959*X959),"")</f>
        <v/>
      </c>
      <c r="AF959" s="12" t="str">
        <f aca="false">IF(AND($J959=1,$M959=0),MIN((AC959-E959)/Span_P,(AD959-F959)/Span_S,(AE959-G959)/Span_B),"")</f>
        <v/>
      </c>
      <c r="AG959" s="15" t="str">
        <f aca="false">IF(AND($J959=1,$M959=0),IF(AF959&gt;0.0000001,1,0),"")</f>
        <v/>
      </c>
      <c r="AH959" s="15" t="n">
        <f aca="false">IF($J959=1,IF($M959=1,AB959,AG959),"")</f>
        <v>1</v>
      </c>
      <c r="AI959" s="13" t="n">
        <f aca="false">IF($J959=1,(Ideal_P-E959)/Span_P,"")</f>
        <v>0.884550589668313</v>
      </c>
      <c r="AJ959" s="13" t="n">
        <f aca="false">IF($J959=1,(Ideal_S-F959)/Span_S,"")</f>
        <v>0</v>
      </c>
      <c r="AK959" s="13" t="n">
        <f aca="false">IF($J959=1,(Ideal_B-G959)/Span_B,"")</f>
        <v>0.686666666666667</v>
      </c>
      <c r="AL959" s="12" t="n">
        <f aca="false">IF($J959=1,MAX(ChA_1*AI959,ChA_2*AJ959,ChA_3*AK959)+Rho*(ChA_1*AI959+ChA_2*AJ959+ChA_3*AK959),"")</f>
        <v>0.884707711393946</v>
      </c>
      <c r="AM959" s="12" t="n">
        <f aca="false">IF($J959=1,MAX(ChB_1*AI959,ChB_2*AJ959,ChB_3*AK959)+Rho*(ChB_1*AI959+ChB_2*AJ959+ChB_3*AK959),"")</f>
        <v>1.76934675612123</v>
      </c>
      <c r="AN959" s="12" t="n">
        <f aca="false">IF($J959=1,MAX(Cx_1*(Ref_P-E959)/Span_P,Cx_2*(Ref_S-F959)/Span_S,Cx_3*(Ref_B-G959)/Span_B),"")</f>
        <v>2.23402643042879</v>
      </c>
    </row>
    <row r="960" customFormat="false" ht="15" hidden="false" customHeight="false" outlineLevel="0" collapsed="false">
      <c r="A960" s="2" t="n">
        <v>954</v>
      </c>
      <c r="B960" s="15" t="n">
        <f aca="false">INT(A960/151)</f>
        <v>6</v>
      </c>
      <c r="C960" s="15" t="n">
        <f aca="false">MOD(A960,151)</f>
        <v>48</v>
      </c>
      <c r="D960" s="15" t="n">
        <f aca="false">INDEX(Grid!$J$6:$P$156,C960+1,B960+1)</f>
        <v>1</v>
      </c>
      <c r="E960" s="16" t="n">
        <f aca="false">IF(D960=1,INDEX(Grid!$B$6:$H$156,C960+1,B960+1),"")</f>
        <v>62.9551395633568</v>
      </c>
      <c r="F960" s="13" t="n">
        <f aca="false">Val_pt*(Ceiling_e-E_zero)*(1-(1-Half_gap)^B960)</f>
        <v>137.8125</v>
      </c>
      <c r="G960" s="15" t="n">
        <f aca="false">C960</f>
        <v>48</v>
      </c>
      <c r="H960" s="15" t="n">
        <f aca="false">IF(D960=1,INDEX(Grid!$R$6:$X$156,C960+1,B960+1),"")</f>
        <v>63</v>
      </c>
      <c r="I960" s="2" t="str">
        <f aca="false">IF(D960=1,INDEX(Sch_label,H960+1),"")</f>
        <v>1–6</v>
      </c>
      <c r="J960" s="15" t="n">
        <f aca="false">IF(D960=1,INDEX(Grid!$Z$6:$AF$156,C960+1,B960+1),0)</f>
        <v>1</v>
      </c>
      <c r="K960" s="16" t="n">
        <f aca="false">IF(J960=1,E960,0)</f>
        <v>62.9551395633568</v>
      </c>
      <c r="L960" s="17" t="n">
        <f aca="false">IF(D960=1,E960+W_board*F960,"")</f>
        <v>840.870774418719</v>
      </c>
      <c r="M960" s="24" t="n">
        <v>1</v>
      </c>
      <c r="N960" s="25" t="n">
        <v>0.00265551057325526</v>
      </c>
      <c r="O960" s="25" t="n">
        <v>0.996344489426745</v>
      </c>
      <c r="P960" s="25" t="n">
        <v>0.001</v>
      </c>
      <c r="Z960" s="12" t="n">
        <f aca="false">IF(AND($J960=1,$M960=1),N960*E960/Span_P+O960*F960/Span_S+P960*G960/Span_B,"")</f>
        <v>2.02561079469717</v>
      </c>
      <c r="AA960" s="12" t="n">
        <f aca="false">IF(AND($J960=1,$M960=1),SUMPRODUCT(MAX($J$6:$J$1062*(N960*$K$6:$K$1062/Span_P+O960*$F$6:$F$1062/Span_S+P960*$G$6:$G$1062/Span_B)-(1-$J$6:$J$1062)*1000000000)),"")</f>
        <v>2.02561079469717</v>
      </c>
      <c r="AB960" s="15" t="n">
        <f aca="false">IF(AND($J960=1,$M960=1),IF(AA960-Z960&lt;=0.000000001,1,0),"")</f>
        <v>1</v>
      </c>
      <c r="AC960" s="13" t="str">
        <f aca="false">IF(AND($J960=1,$M960=0),IF(S960="",0,S960*INDEX(Grid!$B$6:$H$156,R960+1,Q960+1))+IF(V960="",0,V960*INDEX(Grid!$B$6:$H$156,U960+1,T960+1))+IF(Y960="",0,Y960*INDEX(Grid!$B$6:$H$156,X960+1,W960+1)),"")</f>
        <v/>
      </c>
      <c r="AD960" s="13" t="str">
        <f aca="false">IF(AND($J960=1,$M960=0),IF(S960="",0,S960*Val_pt*(Ceiling_e-E_zero)*(1-(1-Half_gap)^Q960))+IF(V960="",0,V960*Val_pt*(Ceiling_e-E_zero)*(1-(1-Half_gap)^T960))+IF(Y960="",0,Y960*Val_pt*(Ceiling_e-E_zero)*(1-(1-Half_gap)^W960)),"")</f>
        <v/>
      </c>
      <c r="AE960" s="13" t="str">
        <f aca="false">IF(AND($J960=1,$M960=0),IF(S960="",0,S960*R960)+IF(V960="",0,V960*U960)+IF(Y960="",0,Y960*X960),"")</f>
        <v/>
      </c>
      <c r="AF960" s="12" t="str">
        <f aca="false">IF(AND($J960=1,$M960=0),MIN((AC960-E960)/Span_P,(AD960-F960)/Span_S,(AE960-G960)/Span_B),"")</f>
        <v/>
      </c>
      <c r="AG960" s="15" t="str">
        <f aca="false">IF(AND($J960=1,$M960=0),IF(AF960&gt;0.0000001,1,0),"")</f>
        <v/>
      </c>
      <c r="AH960" s="15" t="n">
        <f aca="false">IF($J960=1,IF($M960=1,AB960,AG960),"")</f>
        <v>1</v>
      </c>
      <c r="AI960" s="13" t="n">
        <f aca="false">IF($J960=1,(Ideal_P-E960)/Span_P,"")</f>
        <v>0.887061092444618</v>
      </c>
      <c r="AJ960" s="13" t="n">
        <f aca="false">IF($J960=1,(Ideal_S-F960)/Span_S,"")</f>
        <v>0</v>
      </c>
      <c r="AK960" s="13" t="n">
        <f aca="false">IF($J960=1,(Ideal_B-G960)/Span_B,"")</f>
        <v>0.68</v>
      </c>
      <c r="AL960" s="12" t="n">
        <f aca="false">IF($J960=1,MAX(ChA_1*AI960,ChA_2*AJ960,ChA_3*AK960)+Rho*(ChA_1*AI960+ChA_2*AJ960+ChA_3*AK960),"")</f>
        <v>0.887217798553863</v>
      </c>
      <c r="AM960" s="12" t="n">
        <f aca="false">IF($J960=1,MAX(ChB_1*AI960,ChB_2*AJ960,ChB_3*AK960)+Rho*(ChB_1*AI960+ChB_2*AJ960+ChB_3*AK960),"")</f>
        <v>1.77436759710773</v>
      </c>
      <c r="AN960" s="12" t="n">
        <f aca="false">IF($J960=1,MAX(Cx_1*(Ref_P-E960)/Span_P,Cx_2*(Ref_S-F960)/Span_S,Cx_3*(Ref_B-G960)/Span_B),"")</f>
        <v>2.24029609211222</v>
      </c>
    </row>
    <row r="961" customFormat="false" ht="15" hidden="false" customHeight="false" outlineLevel="0" collapsed="false">
      <c r="A961" s="2" t="n">
        <v>955</v>
      </c>
      <c r="B961" s="15" t="n">
        <f aca="false">INT(A961/151)</f>
        <v>6</v>
      </c>
      <c r="C961" s="15" t="n">
        <f aca="false">MOD(A961,151)</f>
        <v>49</v>
      </c>
      <c r="D961" s="15" t="n">
        <f aca="false">INDEX(Grid!$J$6:$P$156,C961+1,B961+1)</f>
        <v>1</v>
      </c>
      <c r="E961" s="16" t="n">
        <f aca="false">IF(D961=1,INDEX(Grid!$B$6:$H$156,C961+1,B961+1),"")</f>
        <v>62.0460486542659</v>
      </c>
      <c r="F961" s="13" t="n">
        <f aca="false">Val_pt*(Ceiling_e-E_zero)*(1-(1-Half_gap)^B961)</f>
        <v>137.8125</v>
      </c>
      <c r="G961" s="15" t="n">
        <f aca="false">C961</f>
        <v>49</v>
      </c>
      <c r="H961" s="15" t="n">
        <f aca="false">IF(D961=1,INDEX(Grid!$R$6:$X$156,C961+1,B961+1),"")</f>
        <v>63</v>
      </c>
      <c r="I961" s="2" t="str">
        <f aca="false">IF(D961=1,INDEX(Sch_label,H961+1),"")</f>
        <v>1–6</v>
      </c>
      <c r="J961" s="15" t="n">
        <f aca="false">IF(D961=1,INDEX(Grid!$Z$6:$AF$156,C961+1,B961+1),0)</f>
        <v>1</v>
      </c>
      <c r="K961" s="16" t="n">
        <f aca="false">IF(J961=1,E961,0)</f>
        <v>62.0460486542659</v>
      </c>
      <c r="L961" s="17" t="n">
        <f aca="false">IF(D961=1,E961+W_board*F961,"")</f>
        <v>839.961683509628</v>
      </c>
      <c r="M961" s="24" t="n">
        <v>1</v>
      </c>
      <c r="N961" s="25" t="n">
        <v>0.00265551057325526</v>
      </c>
      <c r="O961" s="25" t="n">
        <v>0.996344489426745</v>
      </c>
      <c r="P961" s="25" t="n">
        <v>0.001</v>
      </c>
      <c r="Z961" s="12" t="n">
        <f aca="false">IF(AND($J961=1,$M961=1),N961*E961/Span_P+O961*F961/Span_S+P961*G961/Span_B,"")</f>
        <v>2.02561079469717</v>
      </c>
      <c r="AA961" s="12" t="n">
        <f aca="false">IF(AND($J961=1,$M961=1),SUMPRODUCT(MAX($J$6:$J$1062*(N961*$K$6:$K$1062/Span_P+O961*$F$6:$F$1062/Span_S+P961*$G$6:$G$1062/Span_B)-(1-$J$6:$J$1062)*1000000000)),"")</f>
        <v>2.02561079469717</v>
      </c>
      <c r="AB961" s="15" t="n">
        <f aca="false">IF(AND($J961=1,$M961=1),IF(AA961-Z961&lt;=0.000000001,1,0),"")</f>
        <v>1</v>
      </c>
      <c r="AC961" s="13" t="str">
        <f aca="false">IF(AND($J961=1,$M961=0),IF(S961="",0,S961*INDEX(Grid!$B$6:$H$156,R961+1,Q961+1))+IF(V961="",0,V961*INDEX(Grid!$B$6:$H$156,U961+1,T961+1))+IF(Y961="",0,Y961*INDEX(Grid!$B$6:$H$156,X961+1,W961+1)),"")</f>
        <v/>
      </c>
      <c r="AD961" s="13" t="str">
        <f aca="false">IF(AND($J961=1,$M961=0),IF(S961="",0,S961*Val_pt*(Ceiling_e-E_zero)*(1-(1-Half_gap)^Q961))+IF(V961="",0,V961*Val_pt*(Ceiling_e-E_zero)*(1-(1-Half_gap)^T961))+IF(Y961="",0,Y961*Val_pt*(Ceiling_e-E_zero)*(1-(1-Half_gap)^W961)),"")</f>
        <v/>
      </c>
      <c r="AE961" s="13" t="str">
        <f aca="false">IF(AND($J961=1,$M961=0),IF(S961="",0,S961*R961)+IF(V961="",0,V961*U961)+IF(Y961="",0,Y961*X961),"")</f>
        <v/>
      </c>
      <c r="AF961" s="12" t="str">
        <f aca="false">IF(AND($J961=1,$M961=0),MIN((AC961-E961)/Span_P,(AD961-F961)/Span_S,(AE961-G961)/Span_B),"")</f>
        <v/>
      </c>
      <c r="AG961" s="15" t="str">
        <f aca="false">IF(AND($J961=1,$M961=0),IF(AF961&gt;0.0000001,1,0),"")</f>
        <v/>
      </c>
      <c r="AH961" s="15" t="n">
        <f aca="false">IF($J961=1,IF($M961=1,AB961,AG961),"")</f>
        <v>1</v>
      </c>
      <c r="AI961" s="13" t="n">
        <f aca="false">IF($J961=1,(Ideal_P-E961)/Span_P,"")</f>
        <v>0.889571595220924</v>
      </c>
      <c r="AJ961" s="13" t="n">
        <f aca="false">IF($J961=1,(Ideal_S-F961)/Span_S,"")</f>
        <v>0</v>
      </c>
      <c r="AK961" s="13" t="n">
        <f aca="false">IF($J961=1,(Ideal_B-G961)/Span_B,"")</f>
        <v>0.673333333333333</v>
      </c>
      <c r="AL961" s="12" t="n">
        <f aca="false">IF($J961=1,MAX(ChA_1*AI961,ChA_2*AJ961,ChA_3*AK961)+Rho*(ChA_1*AI961+ChA_2*AJ961+ChA_3*AK961),"")</f>
        <v>0.889727885713779</v>
      </c>
      <c r="AM961" s="12" t="n">
        <f aca="false">IF($J961=1,MAX(ChB_1*AI961,ChB_2*AJ961,ChB_3*AK961)+Rho*(ChB_1*AI961+ChB_2*AJ961+ChB_3*AK961),"")</f>
        <v>1.77938843809423</v>
      </c>
      <c r="AN961" s="12" t="n">
        <f aca="false">IF($J961=1,MAX(Cx_1*(Ref_P-E961)/Span_P,Cx_2*(Ref_S-F961)/Span_S,Cx_3*(Ref_B-G961)/Span_B),"")</f>
        <v>2.24656575379564</v>
      </c>
    </row>
    <row r="962" customFormat="false" ht="15" hidden="false" customHeight="false" outlineLevel="0" collapsed="false">
      <c r="A962" s="2" t="n">
        <v>956</v>
      </c>
      <c r="B962" s="15" t="n">
        <f aca="false">INT(A962/151)</f>
        <v>6</v>
      </c>
      <c r="C962" s="15" t="n">
        <f aca="false">MOD(A962,151)</f>
        <v>50</v>
      </c>
      <c r="D962" s="15" t="n">
        <f aca="false">INDEX(Grid!$J$6:$P$156,C962+1,B962+1)</f>
        <v>1</v>
      </c>
      <c r="E962" s="16" t="n">
        <f aca="false">IF(D962=1,INDEX(Grid!$B$6:$H$156,C962+1,B962+1),"")</f>
        <v>61.136957745175</v>
      </c>
      <c r="F962" s="13" t="n">
        <f aca="false">Val_pt*(Ceiling_e-E_zero)*(1-(1-Half_gap)^B962)</f>
        <v>137.8125</v>
      </c>
      <c r="G962" s="15" t="n">
        <f aca="false">C962</f>
        <v>50</v>
      </c>
      <c r="H962" s="15" t="n">
        <f aca="false">IF(D962=1,INDEX(Grid!$R$6:$X$156,C962+1,B962+1),"")</f>
        <v>63</v>
      </c>
      <c r="I962" s="2" t="str">
        <f aca="false">IF(D962=1,INDEX(Sch_label,H962+1),"")</f>
        <v>1–6</v>
      </c>
      <c r="J962" s="15" t="n">
        <f aca="false">IF(D962=1,INDEX(Grid!$Z$6:$AF$156,C962+1,B962+1),0)</f>
        <v>1</v>
      </c>
      <c r="K962" s="16" t="n">
        <f aca="false">IF(J962=1,E962,0)</f>
        <v>61.136957745175</v>
      </c>
      <c r="L962" s="17" t="n">
        <f aca="false">IF(D962=1,E962+W_board*F962,"")</f>
        <v>839.052592600537</v>
      </c>
      <c r="M962" s="24" t="n">
        <v>1</v>
      </c>
      <c r="N962" s="25" t="n">
        <v>0.00265551057325528</v>
      </c>
      <c r="O962" s="25" t="n">
        <v>0.996344489426745</v>
      </c>
      <c r="P962" s="25" t="n">
        <v>0.001</v>
      </c>
      <c r="Z962" s="12" t="n">
        <f aca="false">IF(AND($J962=1,$M962=1),N962*E962/Span_P+O962*F962/Span_S+P962*G962/Span_B,"")</f>
        <v>2.02561079469717</v>
      </c>
      <c r="AA962" s="12" t="n">
        <f aca="false">IF(AND($J962=1,$M962=1),SUMPRODUCT(MAX($J$6:$J$1062*(N962*$K$6:$K$1062/Span_P+O962*$F$6:$F$1062/Span_S+P962*$G$6:$G$1062/Span_B)-(1-$J$6:$J$1062)*1000000000)),"")</f>
        <v>2.02561079469717</v>
      </c>
      <c r="AB962" s="15" t="n">
        <f aca="false">IF(AND($J962=1,$M962=1),IF(AA962-Z962&lt;=0.000000001,1,0),"")</f>
        <v>1</v>
      </c>
      <c r="AC962" s="13" t="str">
        <f aca="false">IF(AND($J962=1,$M962=0),IF(S962="",0,S962*INDEX(Grid!$B$6:$H$156,R962+1,Q962+1))+IF(V962="",0,V962*INDEX(Grid!$B$6:$H$156,U962+1,T962+1))+IF(Y962="",0,Y962*INDEX(Grid!$B$6:$H$156,X962+1,W962+1)),"")</f>
        <v/>
      </c>
      <c r="AD962" s="13" t="str">
        <f aca="false">IF(AND($J962=1,$M962=0),IF(S962="",0,S962*Val_pt*(Ceiling_e-E_zero)*(1-(1-Half_gap)^Q962))+IF(V962="",0,V962*Val_pt*(Ceiling_e-E_zero)*(1-(1-Half_gap)^T962))+IF(Y962="",0,Y962*Val_pt*(Ceiling_e-E_zero)*(1-(1-Half_gap)^W962)),"")</f>
        <v/>
      </c>
      <c r="AE962" s="13" t="str">
        <f aca="false">IF(AND($J962=1,$M962=0),IF(S962="",0,S962*R962)+IF(V962="",0,V962*U962)+IF(Y962="",0,Y962*X962),"")</f>
        <v/>
      </c>
      <c r="AF962" s="12" t="str">
        <f aca="false">IF(AND($J962=1,$M962=0),MIN((AC962-E962)/Span_P,(AD962-F962)/Span_S,(AE962-G962)/Span_B),"")</f>
        <v/>
      </c>
      <c r="AG962" s="15" t="str">
        <f aca="false">IF(AND($J962=1,$M962=0),IF(AF962&gt;0.0000001,1,0),"")</f>
        <v/>
      </c>
      <c r="AH962" s="15" t="n">
        <f aca="false">IF($J962=1,IF($M962=1,AB962,AG962),"")</f>
        <v>1</v>
      </c>
      <c r="AI962" s="13" t="n">
        <f aca="false">IF($J962=1,(Ideal_P-E962)/Span_P,"")</f>
        <v>0.89208209799723</v>
      </c>
      <c r="AJ962" s="13" t="n">
        <f aca="false">IF($J962=1,(Ideal_S-F962)/Span_S,"")</f>
        <v>0</v>
      </c>
      <c r="AK962" s="13" t="n">
        <f aca="false">IF($J962=1,(Ideal_B-G962)/Span_B,"")</f>
        <v>0.666666666666667</v>
      </c>
      <c r="AL962" s="12" t="n">
        <f aca="false">IF($J962=1,MAX(ChA_1*AI962,ChA_2*AJ962,ChA_3*AK962)+Rho*(ChA_1*AI962+ChA_2*AJ962+ChA_3*AK962),"")</f>
        <v>0.892237972873696</v>
      </c>
      <c r="AM962" s="12" t="n">
        <f aca="false">IF($J962=1,MAX(ChB_1*AI962,ChB_2*AJ962,ChB_3*AK962)+Rho*(ChB_1*AI962+ChB_2*AJ962+ChB_3*AK962),"")</f>
        <v>1.78440927908073</v>
      </c>
      <c r="AN962" s="12" t="n">
        <f aca="false">IF($J962=1,MAX(Cx_1*(Ref_P-E962)/Span_P,Cx_2*(Ref_S-F962)/Span_S,Cx_3*(Ref_B-G962)/Span_B),"")</f>
        <v>2.25283541547907</v>
      </c>
    </row>
    <row r="963" customFormat="false" ht="15" hidden="false" customHeight="false" outlineLevel="0" collapsed="false">
      <c r="A963" s="2" t="n">
        <v>957</v>
      </c>
      <c r="B963" s="15" t="n">
        <f aca="false">INT(A963/151)</f>
        <v>6</v>
      </c>
      <c r="C963" s="15" t="n">
        <f aca="false">MOD(A963,151)</f>
        <v>51</v>
      </c>
      <c r="D963" s="15" t="n">
        <f aca="false">INDEX(Grid!$J$6:$P$156,C963+1,B963+1)</f>
        <v>1</v>
      </c>
      <c r="E963" s="16" t="n">
        <f aca="false">IF(D963=1,INDEX(Grid!$B$6:$H$156,C963+1,B963+1),"")</f>
        <v>60.2278668360841</v>
      </c>
      <c r="F963" s="13" t="n">
        <f aca="false">Val_pt*(Ceiling_e-E_zero)*(1-(1-Half_gap)^B963)</f>
        <v>137.8125</v>
      </c>
      <c r="G963" s="15" t="n">
        <f aca="false">C963</f>
        <v>51</v>
      </c>
      <c r="H963" s="15" t="n">
        <f aca="false">IF(D963=1,INDEX(Grid!$R$6:$X$156,C963+1,B963+1),"")</f>
        <v>63</v>
      </c>
      <c r="I963" s="2" t="str">
        <f aca="false">IF(D963=1,INDEX(Sch_label,H963+1),"")</f>
        <v>1–6</v>
      </c>
      <c r="J963" s="15" t="n">
        <f aca="false">IF(D963=1,INDEX(Grid!$Z$6:$AF$156,C963+1,B963+1),0)</f>
        <v>1</v>
      </c>
      <c r="K963" s="16" t="n">
        <f aca="false">IF(J963=1,E963,0)</f>
        <v>60.2278668360841</v>
      </c>
      <c r="L963" s="17" t="n">
        <f aca="false">IF(D963=1,E963+W_board*F963,"")</f>
        <v>838.143501691446</v>
      </c>
      <c r="M963" s="24" t="n">
        <v>1</v>
      </c>
      <c r="N963" s="25" t="n">
        <v>0.00265551057325526</v>
      </c>
      <c r="O963" s="25" t="n">
        <v>0.996344489426745</v>
      </c>
      <c r="P963" s="25" t="n">
        <v>0.001</v>
      </c>
      <c r="Z963" s="12" t="n">
        <f aca="false">IF(AND($J963=1,$M963=1),N963*E963/Span_P+O963*F963/Span_S+P963*G963/Span_B,"")</f>
        <v>2.02561079469717</v>
      </c>
      <c r="AA963" s="12" t="n">
        <f aca="false">IF(AND($J963=1,$M963=1),SUMPRODUCT(MAX($J$6:$J$1062*(N963*$K$6:$K$1062/Span_P+O963*$F$6:$F$1062/Span_S+P963*$G$6:$G$1062/Span_B)-(1-$J$6:$J$1062)*1000000000)),"")</f>
        <v>2.02561079469717</v>
      </c>
      <c r="AB963" s="15" t="n">
        <f aca="false">IF(AND($J963=1,$M963=1),IF(AA963-Z963&lt;=0.000000001,1,0),"")</f>
        <v>1</v>
      </c>
      <c r="AC963" s="13" t="str">
        <f aca="false">IF(AND($J963=1,$M963=0),IF(S963="",0,S963*INDEX(Grid!$B$6:$H$156,R963+1,Q963+1))+IF(V963="",0,V963*INDEX(Grid!$B$6:$H$156,U963+1,T963+1))+IF(Y963="",0,Y963*INDEX(Grid!$B$6:$H$156,X963+1,W963+1)),"")</f>
        <v/>
      </c>
      <c r="AD963" s="13" t="str">
        <f aca="false">IF(AND($J963=1,$M963=0),IF(S963="",0,S963*Val_pt*(Ceiling_e-E_zero)*(1-(1-Half_gap)^Q963))+IF(V963="",0,V963*Val_pt*(Ceiling_e-E_zero)*(1-(1-Half_gap)^T963))+IF(Y963="",0,Y963*Val_pt*(Ceiling_e-E_zero)*(1-(1-Half_gap)^W963)),"")</f>
        <v/>
      </c>
      <c r="AE963" s="13" t="str">
        <f aca="false">IF(AND($J963=1,$M963=0),IF(S963="",0,S963*R963)+IF(V963="",0,V963*U963)+IF(Y963="",0,Y963*X963),"")</f>
        <v/>
      </c>
      <c r="AF963" s="12" t="str">
        <f aca="false">IF(AND($J963=1,$M963=0),MIN((AC963-E963)/Span_P,(AD963-F963)/Span_S,(AE963-G963)/Span_B),"")</f>
        <v/>
      </c>
      <c r="AG963" s="15" t="str">
        <f aca="false">IF(AND($J963=1,$M963=0),IF(AF963&gt;0.0000001,1,0),"")</f>
        <v/>
      </c>
      <c r="AH963" s="15" t="n">
        <f aca="false">IF($J963=1,IF($M963=1,AB963,AG963),"")</f>
        <v>1</v>
      </c>
      <c r="AI963" s="13" t="n">
        <f aca="false">IF($J963=1,(Ideal_P-E963)/Span_P,"")</f>
        <v>0.894592600773536</v>
      </c>
      <c r="AJ963" s="13" t="n">
        <f aca="false">IF($J963=1,(Ideal_S-F963)/Span_S,"")</f>
        <v>0</v>
      </c>
      <c r="AK963" s="13" t="n">
        <f aca="false">IF($J963=1,(Ideal_B-G963)/Span_B,"")</f>
        <v>0.66</v>
      </c>
      <c r="AL963" s="12" t="n">
        <f aca="false">IF($J963=1,MAX(ChA_1*AI963,ChA_2*AJ963,ChA_3*AK963)+Rho*(ChA_1*AI963+ChA_2*AJ963+ChA_3*AK963),"")</f>
        <v>0.894748060033613</v>
      </c>
      <c r="AM963" s="12" t="n">
        <f aca="false">IF($J963=1,MAX(ChB_1*AI963,ChB_2*AJ963,ChB_3*AK963)+Rho*(ChB_1*AI963+ChB_2*AJ963+ChB_3*AK963),"")</f>
        <v>1.78943012006723</v>
      </c>
      <c r="AN963" s="12" t="n">
        <f aca="false">IF($J963=1,MAX(Cx_1*(Ref_P-E963)/Span_P,Cx_2*(Ref_S-F963)/Span_S,Cx_3*(Ref_B-G963)/Span_B),"")</f>
        <v>2.2591050771625</v>
      </c>
    </row>
    <row r="964" customFormat="false" ht="15" hidden="false" customHeight="false" outlineLevel="0" collapsed="false">
      <c r="A964" s="2" t="n">
        <v>958</v>
      </c>
      <c r="B964" s="15" t="n">
        <f aca="false">INT(A964/151)</f>
        <v>6</v>
      </c>
      <c r="C964" s="15" t="n">
        <f aca="false">MOD(A964,151)</f>
        <v>52</v>
      </c>
      <c r="D964" s="15" t="n">
        <f aca="false">INDEX(Grid!$J$6:$P$156,C964+1,B964+1)</f>
        <v>1</v>
      </c>
      <c r="E964" s="16" t="n">
        <f aca="false">IF(D964=1,INDEX(Grid!$B$6:$H$156,C964+1,B964+1),"")</f>
        <v>59.3187759269932</v>
      </c>
      <c r="F964" s="13" t="n">
        <f aca="false">Val_pt*(Ceiling_e-E_zero)*(1-(1-Half_gap)^B964)</f>
        <v>137.8125</v>
      </c>
      <c r="G964" s="15" t="n">
        <f aca="false">C964</f>
        <v>52</v>
      </c>
      <c r="H964" s="15" t="n">
        <f aca="false">IF(D964=1,INDEX(Grid!$R$6:$X$156,C964+1,B964+1),"")</f>
        <v>63</v>
      </c>
      <c r="I964" s="2" t="str">
        <f aca="false">IF(D964=1,INDEX(Sch_label,H964+1),"")</f>
        <v>1–6</v>
      </c>
      <c r="J964" s="15" t="n">
        <f aca="false">IF(D964=1,INDEX(Grid!$Z$6:$AF$156,C964+1,B964+1),0)</f>
        <v>1</v>
      </c>
      <c r="K964" s="16" t="n">
        <f aca="false">IF(J964=1,E964,0)</f>
        <v>59.3187759269932</v>
      </c>
      <c r="L964" s="17" t="n">
        <f aca="false">IF(D964=1,E964+W_board*F964,"")</f>
        <v>837.234410782355</v>
      </c>
      <c r="M964" s="24" t="n">
        <v>1</v>
      </c>
      <c r="N964" s="25" t="n">
        <v>0.00265551057325526</v>
      </c>
      <c r="O964" s="25" t="n">
        <v>0.996344489426745</v>
      </c>
      <c r="P964" s="25" t="n">
        <v>0.001</v>
      </c>
      <c r="Z964" s="12" t="n">
        <f aca="false">IF(AND($J964=1,$M964=1),N964*E964/Span_P+O964*F964/Span_S+P964*G964/Span_B,"")</f>
        <v>2.02561079469717</v>
      </c>
      <c r="AA964" s="12" t="n">
        <f aca="false">IF(AND($J964=1,$M964=1),SUMPRODUCT(MAX($J$6:$J$1062*(N964*$K$6:$K$1062/Span_P+O964*$F$6:$F$1062/Span_S+P964*$G$6:$G$1062/Span_B)-(1-$J$6:$J$1062)*1000000000)),"")</f>
        <v>2.02561079469717</v>
      </c>
      <c r="AB964" s="15" t="n">
        <f aca="false">IF(AND($J964=1,$M964=1),IF(AA964-Z964&lt;=0.000000001,1,0),"")</f>
        <v>1</v>
      </c>
      <c r="AC964" s="13" t="str">
        <f aca="false">IF(AND($J964=1,$M964=0),IF(S964="",0,S964*INDEX(Grid!$B$6:$H$156,R964+1,Q964+1))+IF(V964="",0,V964*INDEX(Grid!$B$6:$H$156,U964+1,T964+1))+IF(Y964="",0,Y964*INDEX(Grid!$B$6:$H$156,X964+1,W964+1)),"")</f>
        <v/>
      </c>
      <c r="AD964" s="13" t="str">
        <f aca="false">IF(AND($J964=1,$M964=0),IF(S964="",0,S964*Val_pt*(Ceiling_e-E_zero)*(1-(1-Half_gap)^Q964))+IF(V964="",0,V964*Val_pt*(Ceiling_e-E_zero)*(1-(1-Half_gap)^T964))+IF(Y964="",0,Y964*Val_pt*(Ceiling_e-E_zero)*(1-(1-Half_gap)^W964)),"")</f>
        <v/>
      </c>
      <c r="AE964" s="13" t="str">
        <f aca="false">IF(AND($J964=1,$M964=0),IF(S964="",0,S964*R964)+IF(V964="",0,V964*U964)+IF(Y964="",0,Y964*X964),"")</f>
        <v/>
      </c>
      <c r="AF964" s="12" t="str">
        <f aca="false">IF(AND($J964=1,$M964=0),MIN((AC964-E964)/Span_P,(AD964-F964)/Span_S,(AE964-G964)/Span_B),"")</f>
        <v/>
      </c>
      <c r="AG964" s="15" t="str">
        <f aca="false">IF(AND($J964=1,$M964=0),IF(AF964&gt;0.0000001,1,0),"")</f>
        <v/>
      </c>
      <c r="AH964" s="15" t="n">
        <f aca="false">IF($J964=1,IF($M964=1,AB964,AG964),"")</f>
        <v>1</v>
      </c>
      <c r="AI964" s="13" t="n">
        <f aca="false">IF($J964=1,(Ideal_P-E964)/Span_P,"")</f>
        <v>0.897103103549841</v>
      </c>
      <c r="AJ964" s="13" t="n">
        <f aca="false">IF($J964=1,(Ideal_S-F964)/Span_S,"")</f>
        <v>0</v>
      </c>
      <c r="AK964" s="13" t="n">
        <f aca="false">IF($J964=1,(Ideal_B-G964)/Span_B,"")</f>
        <v>0.653333333333333</v>
      </c>
      <c r="AL964" s="12" t="n">
        <f aca="false">IF($J964=1,MAX(ChA_1*AI964,ChA_2*AJ964,ChA_3*AK964)+Rho*(ChA_1*AI964+ChA_2*AJ964+ChA_3*AK964),"")</f>
        <v>0.89725814719353</v>
      </c>
      <c r="AM964" s="12" t="n">
        <f aca="false">IF($J964=1,MAX(ChB_1*AI964,ChB_2*AJ964,ChB_3*AK964)+Rho*(ChB_1*AI964+ChB_2*AJ964+ChB_3*AK964),"")</f>
        <v>1.79445096105373</v>
      </c>
      <c r="AN964" s="12" t="n">
        <f aca="false">IF($J964=1,MAX(Cx_1*(Ref_P-E964)/Span_P,Cx_2*(Ref_S-F964)/Span_S,Cx_3*(Ref_B-G964)/Span_B),"")</f>
        <v>2.26537473884593</v>
      </c>
    </row>
    <row r="965" customFormat="false" ht="15" hidden="false" customHeight="false" outlineLevel="0" collapsed="false">
      <c r="A965" s="2" t="n">
        <v>959</v>
      </c>
      <c r="B965" s="15" t="n">
        <f aca="false">INT(A965/151)</f>
        <v>6</v>
      </c>
      <c r="C965" s="15" t="n">
        <f aca="false">MOD(A965,151)</f>
        <v>53</v>
      </c>
      <c r="D965" s="15" t="n">
        <f aca="false">INDEX(Grid!$J$6:$P$156,C965+1,B965+1)</f>
        <v>1</v>
      </c>
      <c r="E965" s="16" t="n">
        <f aca="false">IF(D965=1,INDEX(Grid!$B$6:$H$156,C965+1,B965+1),"")</f>
        <v>58.4096850179023</v>
      </c>
      <c r="F965" s="13" t="n">
        <f aca="false">Val_pt*(Ceiling_e-E_zero)*(1-(1-Half_gap)^B965)</f>
        <v>137.8125</v>
      </c>
      <c r="G965" s="15" t="n">
        <f aca="false">C965</f>
        <v>53</v>
      </c>
      <c r="H965" s="15" t="n">
        <f aca="false">IF(D965=1,INDEX(Grid!$R$6:$X$156,C965+1,B965+1),"")</f>
        <v>63</v>
      </c>
      <c r="I965" s="2" t="str">
        <f aca="false">IF(D965=1,INDEX(Sch_label,H965+1),"")</f>
        <v>1–6</v>
      </c>
      <c r="J965" s="15" t="n">
        <f aca="false">IF(D965=1,INDEX(Grid!$Z$6:$AF$156,C965+1,B965+1),0)</f>
        <v>1</v>
      </c>
      <c r="K965" s="16" t="n">
        <f aca="false">IF(J965=1,E965,0)</f>
        <v>58.4096850179023</v>
      </c>
      <c r="L965" s="17" t="n">
        <f aca="false">IF(D965=1,E965+W_board*F965,"")</f>
        <v>836.325319873264</v>
      </c>
      <c r="M965" s="24" t="n">
        <v>1</v>
      </c>
      <c r="N965" s="25" t="n">
        <v>0.00265551057325526</v>
      </c>
      <c r="O965" s="25" t="n">
        <v>0.996344489426745</v>
      </c>
      <c r="P965" s="25" t="n">
        <v>0.001</v>
      </c>
      <c r="Z965" s="12" t="n">
        <f aca="false">IF(AND($J965=1,$M965=1),N965*E965/Span_P+O965*F965/Span_S+P965*G965/Span_B,"")</f>
        <v>2.02561079469717</v>
      </c>
      <c r="AA965" s="12" t="n">
        <f aca="false">IF(AND($J965=1,$M965=1),SUMPRODUCT(MAX($J$6:$J$1062*(N965*$K$6:$K$1062/Span_P+O965*$F$6:$F$1062/Span_S+P965*$G$6:$G$1062/Span_B)-(1-$J$6:$J$1062)*1000000000)),"")</f>
        <v>2.02561079469717</v>
      </c>
      <c r="AB965" s="15" t="n">
        <f aca="false">IF(AND($J965=1,$M965=1),IF(AA965-Z965&lt;=0.000000001,1,0),"")</f>
        <v>1</v>
      </c>
      <c r="AC965" s="13" t="str">
        <f aca="false">IF(AND($J965=1,$M965=0),IF(S965="",0,S965*INDEX(Grid!$B$6:$H$156,R965+1,Q965+1))+IF(V965="",0,V965*INDEX(Grid!$B$6:$H$156,U965+1,T965+1))+IF(Y965="",0,Y965*INDEX(Grid!$B$6:$H$156,X965+1,W965+1)),"")</f>
        <v/>
      </c>
      <c r="AD965" s="13" t="str">
        <f aca="false">IF(AND($J965=1,$M965=0),IF(S965="",0,S965*Val_pt*(Ceiling_e-E_zero)*(1-(1-Half_gap)^Q965))+IF(V965="",0,V965*Val_pt*(Ceiling_e-E_zero)*(1-(1-Half_gap)^T965))+IF(Y965="",0,Y965*Val_pt*(Ceiling_e-E_zero)*(1-(1-Half_gap)^W965)),"")</f>
        <v/>
      </c>
      <c r="AE965" s="13" t="str">
        <f aca="false">IF(AND($J965=1,$M965=0),IF(S965="",0,S965*R965)+IF(V965="",0,V965*U965)+IF(Y965="",0,Y965*X965),"")</f>
        <v/>
      </c>
      <c r="AF965" s="12" t="str">
        <f aca="false">IF(AND($J965=1,$M965=0),MIN((AC965-E965)/Span_P,(AD965-F965)/Span_S,(AE965-G965)/Span_B),"")</f>
        <v/>
      </c>
      <c r="AG965" s="15" t="str">
        <f aca="false">IF(AND($J965=1,$M965=0),IF(AF965&gt;0.0000001,1,0),"")</f>
        <v/>
      </c>
      <c r="AH965" s="15" t="n">
        <f aca="false">IF($J965=1,IF($M965=1,AB965,AG965),"")</f>
        <v>1</v>
      </c>
      <c r="AI965" s="13" t="n">
        <f aca="false">IF($J965=1,(Ideal_P-E965)/Span_P,"")</f>
        <v>0.899613606326147</v>
      </c>
      <c r="AJ965" s="13" t="n">
        <f aca="false">IF($J965=1,(Ideal_S-F965)/Span_S,"")</f>
        <v>0</v>
      </c>
      <c r="AK965" s="13" t="n">
        <f aca="false">IF($J965=1,(Ideal_B-G965)/Span_B,"")</f>
        <v>0.646666666666667</v>
      </c>
      <c r="AL965" s="12" t="n">
        <f aca="false">IF($J965=1,MAX(ChA_1*AI965,ChA_2*AJ965,ChA_3*AK965)+Rho*(ChA_1*AI965+ChA_2*AJ965+ChA_3*AK965),"")</f>
        <v>0.899768234353446</v>
      </c>
      <c r="AM965" s="12" t="n">
        <f aca="false">IF($J965=1,MAX(ChB_1*AI965,ChB_2*AJ965,ChB_3*AK965)+Rho*(ChB_1*AI965+ChB_2*AJ965+ChB_3*AK965),"")</f>
        <v>1.79947180204023</v>
      </c>
      <c r="AN965" s="12" t="n">
        <f aca="false">IF($J965=1,MAX(Cx_1*(Ref_P-E965)/Span_P,Cx_2*(Ref_S-F965)/Span_S,Cx_3*(Ref_B-G965)/Span_B),"")</f>
        <v>2.27164440052936</v>
      </c>
    </row>
    <row r="966" customFormat="false" ht="15" hidden="false" customHeight="false" outlineLevel="0" collapsed="false">
      <c r="A966" s="2" t="n">
        <v>960</v>
      </c>
      <c r="B966" s="15" t="n">
        <f aca="false">INT(A966/151)</f>
        <v>6</v>
      </c>
      <c r="C966" s="15" t="n">
        <f aca="false">MOD(A966,151)</f>
        <v>54</v>
      </c>
      <c r="D966" s="15" t="n">
        <f aca="false">INDEX(Grid!$J$6:$P$156,C966+1,B966+1)</f>
        <v>1</v>
      </c>
      <c r="E966" s="16" t="n">
        <f aca="false">IF(D966=1,INDEX(Grid!$B$6:$H$156,C966+1,B966+1),"")</f>
        <v>57.5005941088114</v>
      </c>
      <c r="F966" s="13" t="n">
        <f aca="false">Val_pt*(Ceiling_e-E_zero)*(1-(1-Half_gap)^B966)</f>
        <v>137.8125</v>
      </c>
      <c r="G966" s="15" t="n">
        <f aca="false">C966</f>
        <v>54</v>
      </c>
      <c r="H966" s="15" t="n">
        <f aca="false">IF(D966=1,INDEX(Grid!$R$6:$X$156,C966+1,B966+1),"")</f>
        <v>63</v>
      </c>
      <c r="I966" s="2" t="str">
        <f aca="false">IF(D966=1,INDEX(Sch_label,H966+1),"")</f>
        <v>1–6</v>
      </c>
      <c r="J966" s="15" t="n">
        <f aca="false">IF(D966=1,INDEX(Grid!$Z$6:$AF$156,C966+1,B966+1),0)</f>
        <v>1</v>
      </c>
      <c r="K966" s="16" t="n">
        <f aca="false">IF(J966=1,E966,0)</f>
        <v>57.5005941088114</v>
      </c>
      <c r="L966" s="17" t="n">
        <f aca="false">IF(D966=1,E966+W_board*F966,"")</f>
        <v>835.416228964173</v>
      </c>
      <c r="M966" s="24" t="n">
        <v>1</v>
      </c>
      <c r="N966" s="25" t="n">
        <v>0.00265551057325526</v>
      </c>
      <c r="O966" s="25" t="n">
        <v>0.996344489426745</v>
      </c>
      <c r="P966" s="25" t="n">
        <v>0.001</v>
      </c>
      <c r="Z966" s="12" t="n">
        <f aca="false">IF(AND($J966=1,$M966=1),N966*E966/Span_P+O966*F966/Span_S+P966*G966/Span_B,"")</f>
        <v>2.02561079469717</v>
      </c>
      <c r="AA966" s="12" t="n">
        <f aca="false">IF(AND($J966=1,$M966=1),SUMPRODUCT(MAX($J$6:$J$1062*(N966*$K$6:$K$1062/Span_P+O966*$F$6:$F$1062/Span_S+P966*$G$6:$G$1062/Span_B)-(1-$J$6:$J$1062)*1000000000)),"")</f>
        <v>2.02561079469717</v>
      </c>
      <c r="AB966" s="15" t="n">
        <f aca="false">IF(AND($J966=1,$M966=1),IF(AA966-Z966&lt;=0.000000001,1,0),"")</f>
        <v>1</v>
      </c>
      <c r="AC966" s="13" t="str">
        <f aca="false">IF(AND($J966=1,$M966=0),IF(S966="",0,S966*INDEX(Grid!$B$6:$H$156,R966+1,Q966+1))+IF(V966="",0,V966*INDEX(Grid!$B$6:$H$156,U966+1,T966+1))+IF(Y966="",0,Y966*INDEX(Grid!$B$6:$H$156,X966+1,W966+1)),"")</f>
        <v/>
      </c>
      <c r="AD966" s="13" t="str">
        <f aca="false">IF(AND($J966=1,$M966=0),IF(S966="",0,S966*Val_pt*(Ceiling_e-E_zero)*(1-(1-Half_gap)^Q966))+IF(V966="",0,V966*Val_pt*(Ceiling_e-E_zero)*(1-(1-Half_gap)^T966))+IF(Y966="",0,Y966*Val_pt*(Ceiling_e-E_zero)*(1-(1-Half_gap)^W966)),"")</f>
        <v/>
      </c>
      <c r="AE966" s="13" t="str">
        <f aca="false">IF(AND($J966=1,$M966=0),IF(S966="",0,S966*R966)+IF(V966="",0,V966*U966)+IF(Y966="",0,Y966*X966),"")</f>
        <v/>
      </c>
      <c r="AF966" s="12" t="str">
        <f aca="false">IF(AND($J966=1,$M966=0),MIN((AC966-E966)/Span_P,(AD966-F966)/Span_S,(AE966-G966)/Span_B),"")</f>
        <v/>
      </c>
      <c r="AG966" s="15" t="str">
        <f aca="false">IF(AND($J966=1,$M966=0),IF(AF966&gt;0.0000001,1,0),"")</f>
        <v/>
      </c>
      <c r="AH966" s="15" t="n">
        <f aca="false">IF($J966=1,IF($M966=1,AB966,AG966),"")</f>
        <v>1</v>
      </c>
      <c r="AI966" s="13" t="n">
        <f aca="false">IF($J966=1,(Ideal_P-E966)/Span_P,"")</f>
        <v>0.902124109102453</v>
      </c>
      <c r="AJ966" s="13" t="n">
        <f aca="false">IF($J966=1,(Ideal_S-F966)/Span_S,"")</f>
        <v>0</v>
      </c>
      <c r="AK966" s="13" t="n">
        <f aca="false">IF($J966=1,(Ideal_B-G966)/Span_B,"")</f>
        <v>0.64</v>
      </c>
      <c r="AL966" s="12" t="n">
        <f aca="false">IF($J966=1,MAX(ChA_1*AI966,ChA_2*AJ966,ChA_3*AK966)+Rho*(ChA_1*AI966+ChA_2*AJ966+ChA_3*AK966),"")</f>
        <v>0.902278321513363</v>
      </c>
      <c r="AM966" s="12" t="n">
        <f aca="false">IF($J966=1,MAX(ChB_1*AI966,ChB_2*AJ966,ChB_3*AK966)+Rho*(ChB_1*AI966+ChB_2*AJ966+ChB_3*AK966),"")</f>
        <v>1.80449264302673</v>
      </c>
      <c r="AN966" s="12" t="n">
        <f aca="false">IF($J966=1,MAX(Cx_1*(Ref_P-E966)/Span_P,Cx_2*(Ref_S-F966)/Span_S,Cx_3*(Ref_B-G966)/Span_B),"")</f>
        <v>2.27791406221279</v>
      </c>
    </row>
    <row r="967" customFormat="false" ht="15" hidden="false" customHeight="false" outlineLevel="0" collapsed="false">
      <c r="A967" s="2" t="n">
        <v>961</v>
      </c>
      <c r="B967" s="15" t="n">
        <f aca="false">INT(A967/151)</f>
        <v>6</v>
      </c>
      <c r="C967" s="15" t="n">
        <f aca="false">MOD(A967,151)</f>
        <v>55</v>
      </c>
      <c r="D967" s="15" t="n">
        <f aca="false">INDEX(Grid!$J$6:$P$156,C967+1,B967+1)</f>
        <v>1</v>
      </c>
      <c r="E967" s="16" t="n">
        <f aca="false">IF(D967=1,INDEX(Grid!$B$6:$H$156,C967+1,B967+1),"")</f>
        <v>56.5915031997205</v>
      </c>
      <c r="F967" s="13" t="n">
        <f aca="false">Val_pt*(Ceiling_e-E_zero)*(1-(1-Half_gap)^B967)</f>
        <v>137.8125</v>
      </c>
      <c r="G967" s="15" t="n">
        <f aca="false">C967</f>
        <v>55</v>
      </c>
      <c r="H967" s="15" t="n">
        <f aca="false">IF(D967=1,INDEX(Grid!$R$6:$X$156,C967+1,B967+1),"")</f>
        <v>63</v>
      </c>
      <c r="I967" s="2" t="str">
        <f aca="false">IF(D967=1,INDEX(Sch_label,H967+1),"")</f>
        <v>1–6</v>
      </c>
      <c r="J967" s="15" t="n">
        <f aca="false">IF(D967=1,INDEX(Grid!$Z$6:$AF$156,C967+1,B967+1),0)</f>
        <v>1</v>
      </c>
      <c r="K967" s="16" t="n">
        <f aca="false">IF(J967=1,E967,0)</f>
        <v>56.5915031997205</v>
      </c>
      <c r="L967" s="17" t="n">
        <f aca="false">IF(D967=1,E967+W_board*F967,"")</f>
        <v>834.507138055082</v>
      </c>
      <c r="M967" s="24" t="n">
        <v>1</v>
      </c>
      <c r="N967" s="25" t="n">
        <v>0.00265551057325525</v>
      </c>
      <c r="O967" s="25" t="n">
        <v>0.996344489426745</v>
      </c>
      <c r="P967" s="25" t="n">
        <v>0.001</v>
      </c>
      <c r="Z967" s="12" t="n">
        <f aca="false">IF(AND($J967=1,$M967=1),N967*E967/Span_P+O967*F967/Span_S+P967*G967/Span_B,"")</f>
        <v>2.02561079469717</v>
      </c>
      <c r="AA967" s="12" t="n">
        <f aca="false">IF(AND($J967=1,$M967=1),SUMPRODUCT(MAX($J$6:$J$1062*(N967*$K$6:$K$1062/Span_P+O967*$F$6:$F$1062/Span_S+P967*$G$6:$G$1062/Span_B)-(1-$J$6:$J$1062)*1000000000)),"")</f>
        <v>2.02561079469717</v>
      </c>
      <c r="AB967" s="15" t="n">
        <f aca="false">IF(AND($J967=1,$M967=1),IF(AA967-Z967&lt;=0.000000001,1,0),"")</f>
        <v>1</v>
      </c>
      <c r="AC967" s="13" t="str">
        <f aca="false">IF(AND($J967=1,$M967=0),IF(S967="",0,S967*INDEX(Grid!$B$6:$H$156,R967+1,Q967+1))+IF(V967="",0,V967*INDEX(Grid!$B$6:$H$156,U967+1,T967+1))+IF(Y967="",0,Y967*INDEX(Grid!$B$6:$H$156,X967+1,W967+1)),"")</f>
        <v/>
      </c>
      <c r="AD967" s="13" t="str">
        <f aca="false">IF(AND($J967=1,$M967=0),IF(S967="",0,S967*Val_pt*(Ceiling_e-E_zero)*(1-(1-Half_gap)^Q967))+IF(V967="",0,V967*Val_pt*(Ceiling_e-E_zero)*(1-(1-Half_gap)^T967))+IF(Y967="",0,Y967*Val_pt*(Ceiling_e-E_zero)*(1-(1-Half_gap)^W967)),"")</f>
        <v/>
      </c>
      <c r="AE967" s="13" t="str">
        <f aca="false">IF(AND($J967=1,$M967=0),IF(S967="",0,S967*R967)+IF(V967="",0,V967*U967)+IF(Y967="",0,Y967*X967),"")</f>
        <v/>
      </c>
      <c r="AF967" s="12" t="str">
        <f aca="false">IF(AND($J967=1,$M967=0),MIN((AC967-E967)/Span_P,(AD967-F967)/Span_S,(AE967-G967)/Span_B),"")</f>
        <v/>
      </c>
      <c r="AG967" s="15" t="str">
        <f aca="false">IF(AND($J967=1,$M967=0),IF(AF967&gt;0.0000001,1,0),"")</f>
        <v/>
      </c>
      <c r="AH967" s="15" t="n">
        <f aca="false">IF($J967=1,IF($M967=1,AB967,AG967),"")</f>
        <v>1</v>
      </c>
      <c r="AI967" s="13" t="n">
        <f aca="false">IF($J967=1,(Ideal_P-E967)/Span_P,"")</f>
        <v>0.904634611878759</v>
      </c>
      <c r="AJ967" s="13" t="n">
        <f aca="false">IF($J967=1,(Ideal_S-F967)/Span_S,"")</f>
        <v>0</v>
      </c>
      <c r="AK967" s="13" t="n">
        <f aca="false">IF($J967=1,(Ideal_B-G967)/Span_B,"")</f>
        <v>0.633333333333333</v>
      </c>
      <c r="AL967" s="12" t="n">
        <f aca="false">IF($J967=1,MAX(ChA_1*AI967,ChA_2*AJ967,ChA_3*AK967)+Rho*(ChA_1*AI967+ChA_2*AJ967+ChA_3*AK967),"")</f>
        <v>0.90478840867328</v>
      </c>
      <c r="AM967" s="12" t="n">
        <f aca="false">IF($J967=1,MAX(ChB_1*AI967,ChB_2*AJ967,ChB_3*AK967)+Rho*(ChB_1*AI967+ChB_2*AJ967+ChB_3*AK967),"")</f>
        <v>1.80951348401323</v>
      </c>
      <c r="AN967" s="12" t="n">
        <f aca="false">IF($J967=1,MAX(Cx_1*(Ref_P-E967)/Span_P,Cx_2*(Ref_S-F967)/Span_S,Cx_3*(Ref_B-G967)/Span_B),"")</f>
        <v>2.28418372389622</v>
      </c>
    </row>
    <row r="968" customFormat="false" ht="15" hidden="false" customHeight="false" outlineLevel="0" collapsed="false">
      <c r="A968" s="2" t="n">
        <v>962</v>
      </c>
      <c r="B968" s="15" t="n">
        <f aca="false">INT(A968/151)</f>
        <v>6</v>
      </c>
      <c r="C968" s="15" t="n">
        <f aca="false">MOD(A968,151)</f>
        <v>56</v>
      </c>
      <c r="D968" s="15" t="n">
        <f aca="false">INDEX(Grid!$J$6:$P$156,C968+1,B968+1)</f>
        <v>1</v>
      </c>
      <c r="E968" s="16" t="n">
        <f aca="false">IF(D968=1,INDEX(Grid!$B$6:$H$156,C968+1,B968+1),"")</f>
        <v>55.6824122906296</v>
      </c>
      <c r="F968" s="13" t="n">
        <f aca="false">Val_pt*(Ceiling_e-E_zero)*(1-(1-Half_gap)^B968)</f>
        <v>137.8125</v>
      </c>
      <c r="G968" s="15" t="n">
        <f aca="false">C968</f>
        <v>56</v>
      </c>
      <c r="H968" s="15" t="n">
        <f aca="false">IF(D968=1,INDEX(Grid!$R$6:$X$156,C968+1,B968+1),"")</f>
        <v>63</v>
      </c>
      <c r="I968" s="2" t="str">
        <f aca="false">IF(D968=1,INDEX(Sch_label,H968+1),"")</f>
        <v>1–6</v>
      </c>
      <c r="J968" s="15" t="n">
        <f aca="false">IF(D968=1,INDEX(Grid!$Z$6:$AF$156,C968+1,B968+1),0)</f>
        <v>1</v>
      </c>
      <c r="K968" s="16" t="n">
        <f aca="false">IF(J968=1,E968,0)</f>
        <v>55.6824122906296</v>
      </c>
      <c r="L968" s="17" t="n">
        <f aca="false">IF(D968=1,E968+W_board*F968,"")</f>
        <v>833.598047145992</v>
      </c>
      <c r="M968" s="24" t="n">
        <v>1</v>
      </c>
      <c r="N968" s="25" t="n">
        <v>0.00265551057325529</v>
      </c>
      <c r="O968" s="25" t="n">
        <v>0.996344489426745</v>
      </c>
      <c r="P968" s="25" t="n">
        <v>0.001</v>
      </c>
      <c r="Z968" s="12" t="n">
        <f aca="false">IF(AND($J968=1,$M968=1),N968*E968/Span_P+O968*F968/Span_S+P968*G968/Span_B,"")</f>
        <v>2.02561079469717</v>
      </c>
      <c r="AA968" s="12" t="n">
        <f aca="false">IF(AND($J968=1,$M968=1),SUMPRODUCT(MAX($J$6:$J$1062*(N968*$K$6:$K$1062/Span_P+O968*$F$6:$F$1062/Span_S+P968*$G$6:$G$1062/Span_B)-(1-$J$6:$J$1062)*1000000000)),"")</f>
        <v>2.02561079469717</v>
      </c>
      <c r="AB968" s="15" t="n">
        <f aca="false">IF(AND($J968=1,$M968=1),IF(AA968-Z968&lt;=0.000000001,1,0),"")</f>
        <v>1</v>
      </c>
      <c r="AC968" s="13" t="str">
        <f aca="false">IF(AND($J968=1,$M968=0),IF(S968="",0,S968*INDEX(Grid!$B$6:$H$156,R968+1,Q968+1))+IF(V968="",0,V968*INDEX(Grid!$B$6:$H$156,U968+1,T968+1))+IF(Y968="",0,Y968*INDEX(Grid!$B$6:$H$156,X968+1,W968+1)),"")</f>
        <v/>
      </c>
      <c r="AD968" s="13" t="str">
        <f aca="false">IF(AND($J968=1,$M968=0),IF(S968="",0,S968*Val_pt*(Ceiling_e-E_zero)*(1-(1-Half_gap)^Q968))+IF(V968="",0,V968*Val_pt*(Ceiling_e-E_zero)*(1-(1-Half_gap)^T968))+IF(Y968="",0,Y968*Val_pt*(Ceiling_e-E_zero)*(1-(1-Half_gap)^W968)),"")</f>
        <v/>
      </c>
      <c r="AE968" s="13" t="str">
        <f aca="false">IF(AND($J968=1,$M968=0),IF(S968="",0,S968*R968)+IF(V968="",0,V968*U968)+IF(Y968="",0,Y968*X968),"")</f>
        <v/>
      </c>
      <c r="AF968" s="12" t="str">
        <f aca="false">IF(AND($J968=1,$M968=0),MIN((AC968-E968)/Span_P,(AD968-F968)/Span_S,(AE968-G968)/Span_B),"")</f>
        <v/>
      </c>
      <c r="AG968" s="15" t="str">
        <f aca="false">IF(AND($J968=1,$M968=0),IF(AF968&gt;0.0000001,1,0),"")</f>
        <v/>
      </c>
      <c r="AH968" s="15" t="n">
        <f aca="false">IF($J968=1,IF($M968=1,AB968,AG968),"")</f>
        <v>1</v>
      </c>
      <c r="AI968" s="13" t="n">
        <f aca="false">IF($J968=1,(Ideal_P-E968)/Span_P,"")</f>
        <v>0.907145114655064</v>
      </c>
      <c r="AJ968" s="13" t="n">
        <f aca="false">IF($J968=1,(Ideal_S-F968)/Span_S,"")</f>
        <v>0</v>
      </c>
      <c r="AK968" s="13" t="n">
        <f aca="false">IF($J968=1,(Ideal_B-G968)/Span_B,"")</f>
        <v>0.626666666666667</v>
      </c>
      <c r="AL968" s="12" t="n">
        <f aca="false">IF($J968=1,MAX(ChA_1*AI968,ChA_2*AJ968,ChA_3*AK968)+Rho*(ChA_1*AI968+ChA_2*AJ968+ChA_3*AK968),"")</f>
        <v>0.907298495833197</v>
      </c>
      <c r="AM968" s="12" t="n">
        <f aca="false">IF($J968=1,MAX(ChB_1*AI968,ChB_2*AJ968,ChB_3*AK968)+Rho*(ChB_1*AI968+ChB_2*AJ968+ChB_3*AK968),"")</f>
        <v>1.81453432499973</v>
      </c>
      <c r="AN968" s="12" t="n">
        <f aca="false">IF($J968=1,MAX(Cx_1*(Ref_P-E968)/Span_P,Cx_2*(Ref_S-F968)/Span_S,Cx_3*(Ref_B-G968)/Span_B),"")</f>
        <v>2.29045338557965</v>
      </c>
    </row>
    <row r="969" customFormat="false" ht="15" hidden="false" customHeight="false" outlineLevel="0" collapsed="false">
      <c r="A969" s="2" t="n">
        <v>963</v>
      </c>
      <c r="B969" s="15" t="n">
        <f aca="false">INT(A969/151)</f>
        <v>6</v>
      </c>
      <c r="C969" s="15" t="n">
        <f aca="false">MOD(A969,151)</f>
        <v>57</v>
      </c>
      <c r="D969" s="15" t="n">
        <f aca="false">INDEX(Grid!$J$6:$P$156,C969+1,B969+1)</f>
        <v>1</v>
      </c>
      <c r="E969" s="16" t="n">
        <f aca="false">IF(D969=1,INDEX(Grid!$B$6:$H$156,C969+1,B969+1),"")</f>
        <v>54.7733213815387</v>
      </c>
      <c r="F969" s="13" t="n">
        <f aca="false">Val_pt*(Ceiling_e-E_zero)*(1-(1-Half_gap)^B969)</f>
        <v>137.8125</v>
      </c>
      <c r="G969" s="15" t="n">
        <f aca="false">C969</f>
        <v>57</v>
      </c>
      <c r="H969" s="15" t="n">
        <f aca="false">IF(D969=1,INDEX(Grid!$R$6:$X$156,C969+1,B969+1),"")</f>
        <v>63</v>
      </c>
      <c r="I969" s="2" t="str">
        <f aca="false">IF(D969=1,INDEX(Sch_label,H969+1),"")</f>
        <v>1–6</v>
      </c>
      <c r="J969" s="15" t="n">
        <f aca="false">IF(D969=1,INDEX(Grid!$Z$6:$AF$156,C969+1,B969+1),0)</f>
        <v>1</v>
      </c>
      <c r="K969" s="16" t="n">
        <f aca="false">IF(J969=1,E969,0)</f>
        <v>54.7733213815387</v>
      </c>
      <c r="L969" s="17" t="n">
        <f aca="false">IF(D969=1,E969+W_board*F969,"")</f>
        <v>832.688956236901</v>
      </c>
      <c r="M969" s="24" t="n">
        <v>1</v>
      </c>
      <c r="N969" s="25" t="n">
        <v>0.00265551057325523</v>
      </c>
      <c r="O969" s="25" t="n">
        <v>0.996344489426745</v>
      </c>
      <c r="P969" s="25" t="n">
        <v>0.001</v>
      </c>
      <c r="Z969" s="12" t="n">
        <f aca="false">IF(AND($J969=1,$M969=1),N969*E969/Span_P+O969*F969/Span_S+P969*G969/Span_B,"")</f>
        <v>2.02561079469717</v>
      </c>
      <c r="AA969" s="12" t="n">
        <f aca="false">IF(AND($J969=1,$M969=1),SUMPRODUCT(MAX($J$6:$J$1062*(N969*$K$6:$K$1062/Span_P+O969*$F$6:$F$1062/Span_S+P969*$G$6:$G$1062/Span_B)-(1-$J$6:$J$1062)*1000000000)),"")</f>
        <v>2.02561079469717</v>
      </c>
      <c r="AB969" s="15" t="n">
        <f aca="false">IF(AND($J969=1,$M969=1),IF(AA969-Z969&lt;=0.000000001,1,0),"")</f>
        <v>1</v>
      </c>
      <c r="AC969" s="13" t="str">
        <f aca="false">IF(AND($J969=1,$M969=0),IF(S969="",0,S969*INDEX(Grid!$B$6:$H$156,R969+1,Q969+1))+IF(V969="",0,V969*INDEX(Grid!$B$6:$H$156,U969+1,T969+1))+IF(Y969="",0,Y969*INDEX(Grid!$B$6:$H$156,X969+1,W969+1)),"")</f>
        <v/>
      </c>
      <c r="AD969" s="13" t="str">
        <f aca="false">IF(AND($J969=1,$M969=0),IF(S969="",0,S969*Val_pt*(Ceiling_e-E_zero)*(1-(1-Half_gap)^Q969))+IF(V969="",0,V969*Val_pt*(Ceiling_e-E_zero)*(1-(1-Half_gap)^T969))+IF(Y969="",0,Y969*Val_pt*(Ceiling_e-E_zero)*(1-(1-Half_gap)^W969)),"")</f>
        <v/>
      </c>
      <c r="AE969" s="13" t="str">
        <f aca="false">IF(AND($J969=1,$M969=0),IF(S969="",0,S969*R969)+IF(V969="",0,V969*U969)+IF(Y969="",0,Y969*X969),"")</f>
        <v/>
      </c>
      <c r="AF969" s="12" t="str">
        <f aca="false">IF(AND($J969=1,$M969=0),MIN((AC969-E969)/Span_P,(AD969-F969)/Span_S,(AE969-G969)/Span_B),"")</f>
        <v/>
      </c>
      <c r="AG969" s="15" t="str">
        <f aca="false">IF(AND($J969=1,$M969=0),IF(AF969&gt;0.0000001,1,0),"")</f>
        <v/>
      </c>
      <c r="AH969" s="15" t="n">
        <f aca="false">IF($J969=1,IF($M969=1,AB969,AG969),"")</f>
        <v>1</v>
      </c>
      <c r="AI969" s="13" t="n">
        <f aca="false">IF($J969=1,(Ideal_P-E969)/Span_P,"")</f>
        <v>0.90965561743137</v>
      </c>
      <c r="AJ969" s="13" t="n">
        <f aca="false">IF($J969=1,(Ideal_S-F969)/Span_S,"")</f>
        <v>0</v>
      </c>
      <c r="AK969" s="13" t="n">
        <f aca="false">IF($J969=1,(Ideal_B-G969)/Span_B,"")</f>
        <v>0.62</v>
      </c>
      <c r="AL969" s="12" t="n">
        <f aca="false">IF($J969=1,MAX(ChA_1*AI969,ChA_2*AJ969,ChA_3*AK969)+Rho*(ChA_1*AI969+ChA_2*AJ969+ChA_3*AK969),"")</f>
        <v>0.909808582993113</v>
      </c>
      <c r="AM969" s="12" t="n">
        <f aca="false">IF($J969=1,MAX(ChB_1*AI969,ChB_2*AJ969,ChB_3*AK969)+Rho*(ChB_1*AI969+ChB_2*AJ969+ChB_3*AK969),"")</f>
        <v>1.81955516598623</v>
      </c>
      <c r="AN969" s="12" t="n">
        <f aca="false">IF($J969=1,MAX(Cx_1*(Ref_P-E969)/Span_P,Cx_2*(Ref_S-F969)/Span_S,Cx_3*(Ref_B-G969)/Span_B),"")</f>
        <v>2.29672304726307</v>
      </c>
    </row>
    <row r="970" customFormat="false" ht="15" hidden="false" customHeight="false" outlineLevel="0" collapsed="false">
      <c r="A970" s="2" t="n">
        <v>964</v>
      </c>
      <c r="B970" s="15" t="n">
        <f aca="false">INT(A970/151)</f>
        <v>6</v>
      </c>
      <c r="C970" s="15" t="n">
        <f aca="false">MOD(A970,151)</f>
        <v>58</v>
      </c>
      <c r="D970" s="15" t="n">
        <f aca="false">INDEX(Grid!$J$6:$P$156,C970+1,B970+1)</f>
        <v>1</v>
      </c>
      <c r="E970" s="16" t="n">
        <f aca="false">IF(D970=1,INDEX(Grid!$B$6:$H$156,C970+1,B970+1),"")</f>
        <v>53.8642304724477</v>
      </c>
      <c r="F970" s="13" t="n">
        <f aca="false">Val_pt*(Ceiling_e-E_zero)*(1-(1-Half_gap)^B970)</f>
        <v>137.8125</v>
      </c>
      <c r="G970" s="15" t="n">
        <f aca="false">C970</f>
        <v>58</v>
      </c>
      <c r="H970" s="15" t="n">
        <f aca="false">IF(D970=1,INDEX(Grid!$R$6:$X$156,C970+1,B970+1),"")</f>
        <v>63</v>
      </c>
      <c r="I970" s="2" t="str">
        <f aca="false">IF(D970=1,INDEX(Sch_label,H970+1),"")</f>
        <v>1–6</v>
      </c>
      <c r="J970" s="15" t="n">
        <f aca="false">IF(D970=1,INDEX(Grid!$Z$6:$AF$156,C970+1,B970+1),0)</f>
        <v>1</v>
      </c>
      <c r="K970" s="16" t="n">
        <f aca="false">IF(J970=1,E970,0)</f>
        <v>53.8642304724477</v>
      </c>
      <c r="L970" s="17" t="n">
        <f aca="false">IF(D970=1,E970+W_board*F970,"")</f>
        <v>831.77986532781</v>
      </c>
      <c r="M970" s="24" t="n">
        <v>1</v>
      </c>
      <c r="N970" s="25" t="n">
        <v>0.00265551057325526</v>
      </c>
      <c r="O970" s="25" t="n">
        <v>0.996344489426745</v>
      </c>
      <c r="P970" s="25" t="n">
        <v>0.001</v>
      </c>
      <c r="Z970" s="12" t="n">
        <f aca="false">IF(AND($J970=1,$M970=1),N970*E970/Span_P+O970*F970/Span_S+P970*G970/Span_B,"")</f>
        <v>2.02561079469717</v>
      </c>
      <c r="AA970" s="12" t="n">
        <f aca="false">IF(AND($J970=1,$M970=1),SUMPRODUCT(MAX($J$6:$J$1062*(N970*$K$6:$K$1062/Span_P+O970*$F$6:$F$1062/Span_S+P970*$G$6:$G$1062/Span_B)-(1-$J$6:$J$1062)*1000000000)),"")</f>
        <v>2.02561079469717</v>
      </c>
      <c r="AB970" s="15" t="n">
        <f aca="false">IF(AND($J970=1,$M970=1),IF(AA970-Z970&lt;=0.000000001,1,0),"")</f>
        <v>1</v>
      </c>
      <c r="AC970" s="13" t="str">
        <f aca="false">IF(AND($J970=1,$M970=0),IF(S970="",0,S970*INDEX(Grid!$B$6:$H$156,R970+1,Q970+1))+IF(V970="",0,V970*INDEX(Grid!$B$6:$H$156,U970+1,T970+1))+IF(Y970="",0,Y970*INDEX(Grid!$B$6:$H$156,X970+1,W970+1)),"")</f>
        <v/>
      </c>
      <c r="AD970" s="13" t="str">
        <f aca="false">IF(AND($J970=1,$M970=0),IF(S970="",0,S970*Val_pt*(Ceiling_e-E_zero)*(1-(1-Half_gap)^Q970))+IF(V970="",0,V970*Val_pt*(Ceiling_e-E_zero)*(1-(1-Half_gap)^T970))+IF(Y970="",0,Y970*Val_pt*(Ceiling_e-E_zero)*(1-(1-Half_gap)^W970)),"")</f>
        <v/>
      </c>
      <c r="AE970" s="13" t="str">
        <f aca="false">IF(AND($J970=1,$M970=0),IF(S970="",0,S970*R970)+IF(V970="",0,V970*U970)+IF(Y970="",0,Y970*X970),"")</f>
        <v/>
      </c>
      <c r="AF970" s="12" t="str">
        <f aca="false">IF(AND($J970=1,$M970=0),MIN((AC970-E970)/Span_P,(AD970-F970)/Span_S,(AE970-G970)/Span_B),"")</f>
        <v/>
      </c>
      <c r="AG970" s="15" t="str">
        <f aca="false">IF(AND($J970=1,$M970=0),IF(AF970&gt;0.0000001,1,0),"")</f>
        <v/>
      </c>
      <c r="AH970" s="15" t="n">
        <f aca="false">IF($J970=1,IF($M970=1,AB970,AG970),"")</f>
        <v>1</v>
      </c>
      <c r="AI970" s="13" t="n">
        <f aca="false">IF($J970=1,(Ideal_P-E970)/Span_P,"")</f>
        <v>0.912166120207676</v>
      </c>
      <c r="AJ970" s="13" t="n">
        <f aca="false">IF($J970=1,(Ideal_S-F970)/Span_S,"")</f>
        <v>0</v>
      </c>
      <c r="AK970" s="13" t="n">
        <f aca="false">IF($J970=1,(Ideal_B-G970)/Span_B,"")</f>
        <v>0.613333333333333</v>
      </c>
      <c r="AL970" s="12" t="n">
        <f aca="false">IF($J970=1,MAX(ChA_1*AI970,ChA_2*AJ970,ChA_3*AK970)+Rho*(ChA_1*AI970+ChA_2*AJ970+ChA_3*AK970),"")</f>
        <v>0.91231867015303</v>
      </c>
      <c r="AM970" s="12" t="n">
        <f aca="false">IF($J970=1,MAX(ChB_1*AI970,ChB_2*AJ970,ChB_3*AK970)+Rho*(ChB_1*AI970+ChB_2*AJ970+ChB_3*AK970),"")</f>
        <v>1.82457600697273</v>
      </c>
      <c r="AN970" s="12" t="n">
        <f aca="false">IF($J970=1,MAX(Cx_1*(Ref_P-E970)/Span_P,Cx_2*(Ref_S-F970)/Span_S,Cx_3*(Ref_B-G970)/Span_B),"")</f>
        <v>2.3029927089465</v>
      </c>
    </row>
    <row r="971" customFormat="false" ht="15" hidden="false" customHeight="false" outlineLevel="0" collapsed="false">
      <c r="A971" s="2" t="n">
        <v>965</v>
      </c>
      <c r="B971" s="15" t="n">
        <f aca="false">INT(A971/151)</f>
        <v>6</v>
      </c>
      <c r="C971" s="15" t="n">
        <f aca="false">MOD(A971,151)</f>
        <v>59</v>
      </c>
      <c r="D971" s="15" t="n">
        <f aca="false">INDEX(Grid!$J$6:$P$156,C971+1,B971+1)</f>
        <v>1</v>
      </c>
      <c r="E971" s="16" t="n">
        <f aca="false">IF(D971=1,INDEX(Grid!$B$6:$H$156,C971+1,B971+1),"")</f>
        <v>52.9551395633568</v>
      </c>
      <c r="F971" s="13" t="n">
        <f aca="false">Val_pt*(Ceiling_e-E_zero)*(1-(1-Half_gap)^B971)</f>
        <v>137.8125</v>
      </c>
      <c r="G971" s="15" t="n">
        <f aca="false">C971</f>
        <v>59</v>
      </c>
      <c r="H971" s="15" t="n">
        <f aca="false">IF(D971=1,INDEX(Grid!$R$6:$X$156,C971+1,B971+1),"")</f>
        <v>63</v>
      </c>
      <c r="I971" s="2" t="str">
        <f aca="false">IF(D971=1,INDEX(Sch_label,H971+1),"")</f>
        <v>1–6</v>
      </c>
      <c r="J971" s="15" t="n">
        <f aca="false">IF(D971=1,INDEX(Grid!$Z$6:$AF$156,C971+1,B971+1),0)</f>
        <v>1</v>
      </c>
      <c r="K971" s="16" t="n">
        <f aca="false">IF(J971=1,E971,0)</f>
        <v>52.9551395633568</v>
      </c>
      <c r="L971" s="17" t="n">
        <f aca="false">IF(D971=1,E971+W_board*F971,"")</f>
        <v>830.870774418719</v>
      </c>
      <c r="M971" s="24" t="n">
        <v>1</v>
      </c>
      <c r="N971" s="25" t="n">
        <v>0.00265551057325528</v>
      </c>
      <c r="O971" s="25" t="n">
        <v>0.996344489426745</v>
      </c>
      <c r="P971" s="25" t="n">
        <v>0.001</v>
      </c>
      <c r="Z971" s="12" t="n">
        <f aca="false">IF(AND($J971=1,$M971=1),N971*E971/Span_P+O971*F971/Span_S+P971*G971/Span_B,"")</f>
        <v>2.02561079469717</v>
      </c>
      <c r="AA971" s="12" t="n">
        <f aca="false">IF(AND($J971=1,$M971=1),SUMPRODUCT(MAX($J$6:$J$1062*(N971*$K$6:$K$1062/Span_P+O971*$F$6:$F$1062/Span_S+P971*$G$6:$G$1062/Span_B)-(1-$J$6:$J$1062)*1000000000)),"")</f>
        <v>2.02561079469717</v>
      </c>
      <c r="AB971" s="15" t="n">
        <f aca="false">IF(AND($J971=1,$M971=1),IF(AA971-Z971&lt;=0.000000001,1,0),"")</f>
        <v>1</v>
      </c>
      <c r="AC971" s="13" t="str">
        <f aca="false">IF(AND($J971=1,$M971=0),IF(S971="",0,S971*INDEX(Grid!$B$6:$H$156,R971+1,Q971+1))+IF(V971="",0,V971*INDEX(Grid!$B$6:$H$156,U971+1,T971+1))+IF(Y971="",0,Y971*INDEX(Grid!$B$6:$H$156,X971+1,W971+1)),"")</f>
        <v/>
      </c>
      <c r="AD971" s="13" t="str">
        <f aca="false">IF(AND($J971=1,$M971=0),IF(S971="",0,S971*Val_pt*(Ceiling_e-E_zero)*(1-(1-Half_gap)^Q971))+IF(V971="",0,V971*Val_pt*(Ceiling_e-E_zero)*(1-(1-Half_gap)^T971))+IF(Y971="",0,Y971*Val_pt*(Ceiling_e-E_zero)*(1-(1-Half_gap)^W971)),"")</f>
        <v/>
      </c>
      <c r="AE971" s="13" t="str">
        <f aca="false">IF(AND($J971=1,$M971=0),IF(S971="",0,S971*R971)+IF(V971="",0,V971*U971)+IF(Y971="",0,Y971*X971),"")</f>
        <v/>
      </c>
      <c r="AF971" s="12" t="str">
        <f aca="false">IF(AND($J971=1,$M971=0),MIN((AC971-E971)/Span_P,(AD971-F971)/Span_S,(AE971-G971)/Span_B),"")</f>
        <v/>
      </c>
      <c r="AG971" s="15" t="str">
        <f aca="false">IF(AND($J971=1,$M971=0),IF(AF971&gt;0.0000001,1,0),"")</f>
        <v/>
      </c>
      <c r="AH971" s="15" t="n">
        <f aca="false">IF($J971=1,IF($M971=1,AB971,AG971),"")</f>
        <v>1</v>
      </c>
      <c r="AI971" s="13" t="n">
        <f aca="false">IF($J971=1,(Ideal_P-E971)/Span_P,"")</f>
        <v>0.914676622983982</v>
      </c>
      <c r="AJ971" s="13" t="n">
        <f aca="false">IF($J971=1,(Ideal_S-F971)/Span_S,"")</f>
        <v>0</v>
      </c>
      <c r="AK971" s="13" t="n">
        <f aca="false">IF($J971=1,(Ideal_B-G971)/Span_B,"")</f>
        <v>0.606666666666667</v>
      </c>
      <c r="AL971" s="12" t="n">
        <f aca="false">IF($J971=1,MAX(ChA_1*AI971,ChA_2*AJ971,ChA_3*AK971)+Rho*(ChA_1*AI971+ChA_2*AJ971+ChA_3*AK971),"")</f>
        <v>0.914828757312947</v>
      </c>
      <c r="AM971" s="12" t="n">
        <f aca="false">IF($J971=1,MAX(ChB_1*AI971,ChB_2*AJ971,ChB_3*AK971)+Rho*(ChB_1*AI971+ChB_2*AJ971+ChB_3*AK971),"")</f>
        <v>1.82959684795923</v>
      </c>
      <c r="AN971" s="12" t="n">
        <f aca="false">IF($J971=1,MAX(Cx_1*(Ref_P-E971)/Span_P,Cx_2*(Ref_S-F971)/Span_S,Cx_3*(Ref_B-G971)/Span_B),"")</f>
        <v>2.30926237062993</v>
      </c>
    </row>
    <row r="972" customFormat="false" ht="15" hidden="false" customHeight="false" outlineLevel="0" collapsed="false">
      <c r="A972" s="2" t="n">
        <v>966</v>
      </c>
      <c r="B972" s="15" t="n">
        <f aca="false">INT(A972/151)</f>
        <v>6</v>
      </c>
      <c r="C972" s="15" t="n">
        <f aca="false">MOD(A972,151)</f>
        <v>60</v>
      </c>
      <c r="D972" s="15" t="n">
        <f aca="false">INDEX(Grid!$J$6:$P$156,C972+1,B972+1)</f>
        <v>1</v>
      </c>
      <c r="E972" s="16" t="n">
        <f aca="false">IF(D972=1,INDEX(Grid!$B$6:$H$156,C972+1,B972+1),"")</f>
        <v>52.0460486542659</v>
      </c>
      <c r="F972" s="13" t="n">
        <f aca="false">Val_pt*(Ceiling_e-E_zero)*(1-(1-Half_gap)^B972)</f>
        <v>137.8125</v>
      </c>
      <c r="G972" s="15" t="n">
        <f aca="false">C972</f>
        <v>60</v>
      </c>
      <c r="H972" s="15" t="n">
        <f aca="false">IF(D972=1,INDEX(Grid!$R$6:$X$156,C972+1,B972+1),"")</f>
        <v>63</v>
      </c>
      <c r="I972" s="2" t="str">
        <f aca="false">IF(D972=1,INDEX(Sch_label,H972+1),"")</f>
        <v>1–6</v>
      </c>
      <c r="J972" s="15" t="n">
        <f aca="false">IF(D972=1,INDEX(Grid!$Z$6:$AF$156,C972+1,B972+1),0)</f>
        <v>1</v>
      </c>
      <c r="K972" s="16" t="n">
        <f aca="false">IF(J972=1,E972,0)</f>
        <v>52.0460486542659</v>
      </c>
      <c r="L972" s="17" t="n">
        <f aca="false">IF(D972=1,E972+W_board*F972,"")</f>
        <v>829.961683509628</v>
      </c>
      <c r="M972" s="24" t="n">
        <v>1</v>
      </c>
      <c r="N972" s="25" t="n">
        <v>0.00265551057325526</v>
      </c>
      <c r="O972" s="25" t="n">
        <v>0.996344489426745</v>
      </c>
      <c r="P972" s="25" t="n">
        <v>0.001</v>
      </c>
      <c r="Z972" s="12" t="n">
        <f aca="false">IF(AND($J972=1,$M972=1),N972*E972/Span_P+O972*F972/Span_S+P972*G972/Span_B,"")</f>
        <v>2.02561079469717</v>
      </c>
      <c r="AA972" s="12" t="n">
        <f aca="false">IF(AND($J972=1,$M972=1),SUMPRODUCT(MAX($J$6:$J$1062*(N972*$K$6:$K$1062/Span_P+O972*$F$6:$F$1062/Span_S+P972*$G$6:$G$1062/Span_B)-(1-$J$6:$J$1062)*1000000000)),"")</f>
        <v>2.02561079469717</v>
      </c>
      <c r="AB972" s="15" t="n">
        <f aca="false">IF(AND($J972=1,$M972=1),IF(AA972-Z972&lt;=0.000000001,1,0),"")</f>
        <v>1</v>
      </c>
      <c r="AC972" s="13" t="str">
        <f aca="false">IF(AND($J972=1,$M972=0),IF(S972="",0,S972*INDEX(Grid!$B$6:$H$156,R972+1,Q972+1))+IF(V972="",0,V972*INDEX(Grid!$B$6:$H$156,U972+1,T972+1))+IF(Y972="",0,Y972*INDEX(Grid!$B$6:$H$156,X972+1,W972+1)),"")</f>
        <v/>
      </c>
      <c r="AD972" s="13" t="str">
        <f aca="false">IF(AND($J972=1,$M972=0),IF(S972="",0,S972*Val_pt*(Ceiling_e-E_zero)*(1-(1-Half_gap)^Q972))+IF(V972="",0,V972*Val_pt*(Ceiling_e-E_zero)*(1-(1-Half_gap)^T972))+IF(Y972="",0,Y972*Val_pt*(Ceiling_e-E_zero)*(1-(1-Half_gap)^W972)),"")</f>
        <v/>
      </c>
      <c r="AE972" s="13" t="str">
        <f aca="false">IF(AND($J972=1,$M972=0),IF(S972="",0,S972*R972)+IF(V972="",0,V972*U972)+IF(Y972="",0,Y972*X972),"")</f>
        <v/>
      </c>
      <c r="AF972" s="12" t="str">
        <f aca="false">IF(AND($J972=1,$M972=0),MIN((AC972-E972)/Span_P,(AD972-F972)/Span_S,(AE972-G972)/Span_B),"")</f>
        <v/>
      </c>
      <c r="AG972" s="15" t="str">
        <f aca="false">IF(AND($J972=1,$M972=0),IF(AF972&gt;0.0000001,1,0),"")</f>
        <v/>
      </c>
      <c r="AH972" s="15" t="n">
        <f aca="false">IF($J972=1,IF($M972=1,AB972,AG972),"")</f>
        <v>1</v>
      </c>
      <c r="AI972" s="13" t="n">
        <f aca="false">IF($J972=1,(Ideal_P-E972)/Span_P,"")</f>
        <v>0.917187125760288</v>
      </c>
      <c r="AJ972" s="13" t="n">
        <f aca="false">IF($J972=1,(Ideal_S-F972)/Span_S,"")</f>
        <v>0</v>
      </c>
      <c r="AK972" s="13" t="n">
        <f aca="false">IF($J972=1,(Ideal_B-G972)/Span_B,"")</f>
        <v>0.6</v>
      </c>
      <c r="AL972" s="12" t="n">
        <f aca="false">IF($J972=1,MAX(ChA_1*AI972,ChA_2*AJ972,ChA_3*AK972)+Rho*(ChA_1*AI972+ChA_2*AJ972+ChA_3*AK972),"")</f>
        <v>0.917338844472864</v>
      </c>
      <c r="AM972" s="12" t="n">
        <f aca="false">IF($J972=1,MAX(ChB_1*AI972,ChB_2*AJ972,ChB_3*AK972)+Rho*(ChB_1*AI972+ChB_2*AJ972+ChB_3*AK972),"")</f>
        <v>1.83461768894573</v>
      </c>
      <c r="AN972" s="12" t="n">
        <f aca="false">IF($J972=1,MAX(Cx_1*(Ref_P-E972)/Span_P,Cx_2*(Ref_S-F972)/Span_S,Cx_3*(Ref_B-G972)/Span_B),"")</f>
        <v>2.31553203231336</v>
      </c>
    </row>
    <row r="973" customFormat="false" ht="15" hidden="false" customHeight="false" outlineLevel="0" collapsed="false">
      <c r="A973" s="2" t="n">
        <v>967</v>
      </c>
      <c r="B973" s="15" t="n">
        <f aca="false">INT(A973/151)</f>
        <v>6</v>
      </c>
      <c r="C973" s="15" t="n">
        <f aca="false">MOD(A973,151)</f>
        <v>61</v>
      </c>
      <c r="D973" s="15" t="n">
        <f aca="false">INDEX(Grid!$J$6:$P$156,C973+1,B973+1)</f>
        <v>1</v>
      </c>
      <c r="E973" s="16" t="n">
        <f aca="false">IF(D973=1,INDEX(Grid!$B$6:$H$156,C973+1,B973+1),"")</f>
        <v>51.136957745175</v>
      </c>
      <c r="F973" s="13" t="n">
        <f aca="false">Val_pt*(Ceiling_e-E_zero)*(1-(1-Half_gap)^B973)</f>
        <v>137.8125</v>
      </c>
      <c r="G973" s="15" t="n">
        <f aca="false">C973</f>
        <v>61</v>
      </c>
      <c r="H973" s="15" t="n">
        <f aca="false">IF(D973=1,INDEX(Grid!$R$6:$X$156,C973+1,B973+1),"")</f>
        <v>63</v>
      </c>
      <c r="I973" s="2" t="str">
        <f aca="false">IF(D973=1,INDEX(Sch_label,H973+1),"")</f>
        <v>1–6</v>
      </c>
      <c r="J973" s="15" t="n">
        <f aca="false">IF(D973=1,INDEX(Grid!$Z$6:$AF$156,C973+1,B973+1),0)</f>
        <v>1</v>
      </c>
      <c r="K973" s="16" t="n">
        <f aca="false">IF(J973=1,E973,0)</f>
        <v>51.136957745175</v>
      </c>
      <c r="L973" s="17" t="n">
        <f aca="false">IF(D973=1,E973+W_board*F973,"")</f>
        <v>829.052592600537</v>
      </c>
      <c r="M973" s="24" t="n">
        <v>1</v>
      </c>
      <c r="N973" s="25" t="n">
        <v>0.00265551057325526</v>
      </c>
      <c r="O973" s="25" t="n">
        <v>0.996344489426745</v>
      </c>
      <c r="P973" s="25" t="n">
        <v>0.001</v>
      </c>
      <c r="Z973" s="12" t="n">
        <f aca="false">IF(AND($J973=1,$M973=1),N973*E973/Span_P+O973*F973/Span_S+P973*G973/Span_B,"")</f>
        <v>2.02561079469717</v>
      </c>
      <c r="AA973" s="12" t="n">
        <f aca="false">IF(AND($J973=1,$M973=1),SUMPRODUCT(MAX($J$6:$J$1062*(N973*$K$6:$K$1062/Span_P+O973*$F$6:$F$1062/Span_S+P973*$G$6:$G$1062/Span_B)-(1-$J$6:$J$1062)*1000000000)),"")</f>
        <v>2.02561079469717</v>
      </c>
      <c r="AB973" s="15" t="n">
        <f aca="false">IF(AND($J973=1,$M973=1),IF(AA973-Z973&lt;=0.000000001,1,0),"")</f>
        <v>1</v>
      </c>
      <c r="AC973" s="13" t="str">
        <f aca="false">IF(AND($J973=1,$M973=0),IF(S973="",0,S973*INDEX(Grid!$B$6:$H$156,R973+1,Q973+1))+IF(V973="",0,V973*INDEX(Grid!$B$6:$H$156,U973+1,T973+1))+IF(Y973="",0,Y973*INDEX(Grid!$B$6:$H$156,X973+1,W973+1)),"")</f>
        <v/>
      </c>
      <c r="AD973" s="13" t="str">
        <f aca="false">IF(AND($J973=1,$M973=0),IF(S973="",0,S973*Val_pt*(Ceiling_e-E_zero)*(1-(1-Half_gap)^Q973))+IF(V973="",0,V973*Val_pt*(Ceiling_e-E_zero)*(1-(1-Half_gap)^T973))+IF(Y973="",0,Y973*Val_pt*(Ceiling_e-E_zero)*(1-(1-Half_gap)^W973)),"")</f>
        <v/>
      </c>
      <c r="AE973" s="13" t="str">
        <f aca="false">IF(AND($J973=1,$M973=0),IF(S973="",0,S973*R973)+IF(V973="",0,V973*U973)+IF(Y973="",0,Y973*X973),"")</f>
        <v/>
      </c>
      <c r="AF973" s="12" t="str">
        <f aca="false">IF(AND($J973=1,$M973=0),MIN((AC973-E973)/Span_P,(AD973-F973)/Span_S,(AE973-G973)/Span_B),"")</f>
        <v/>
      </c>
      <c r="AG973" s="15" t="str">
        <f aca="false">IF(AND($J973=1,$M973=0),IF(AF973&gt;0.0000001,1,0),"")</f>
        <v/>
      </c>
      <c r="AH973" s="15" t="n">
        <f aca="false">IF($J973=1,IF($M973=1,AB973,AG973),"")</f>
        <v>1</v>
      </c>
      <c r="AI973" s="13" t="n">
        <f aca="false">IF($J973=1,(Ideal_P-E973)/Span_P,"")</f>
        <v>0.919697628536593</v>
      </c>
      <c r="AJ973" s="13" t="n">
        <f aca="false">IF($J973=1,(Ideal_S-F973)/Span_S,"")</f>
        <v>0</v>
      </c>
      <c r="AK973" s="13" t="n">
        <f aca="false">IF($J973=1,(Ideal_B-G973)/Span_B,"")</f>
        <v>0.593333333333333</v>
      </c>
      <c r="AL973" s="12" t="n">
        <f aca="false">IF($J973=1,MAX(ChA_1*AI973,ChA_2*AJ973,ChA_3*AK973)+Rho*(ChA_1*AI973+ChA_2*AJ973+ChA_3*AK973),"")</f>
        <v>0.91984893163278</v>
      </c>
      <c r="AM973" s="12" t="n">
        <f aca="false">IF($J973=1,MAX(ChB_1*AI973,ChB_2*AJ973,ChB_3*AK973)+Rho*(ChB_1*AI973+ChB_2*AJ973+ChB_3*AK973),"")</f>
        <v>1.83963852993223</v>
      </c>
      <c r="AN973" s="12" t="n">
        <f aca="false">IF($J973=1,MAX(Cx_1*(Ref_P-E973)/Span_P,Cx_2*(Ref_S-F973)/Span_S,Cx_3*(Ref_B-G973)/Span_B),"")</f>
        <v>2.32180169399679</v>
      </c>
    </row>
    <row r="974" customFormat="false" ht="15" hidden="false" customHeight="false" outlineLevel="0" collapsed="false">
      <c r="A974" s="2" t="n">
        <v>968</v>
      </c>
      <c r="B974" s="15" t="n">
        <f aca="false">INT(A974/151)</f>
        <v>6</v>
      </c>
      <c r="C974" s="15" t="n">
        <f aca="false">MOD(A974,151)</f>
        <v>62</v>
      </c>
      <c r="D974" s="15" t="n">
        <f aca="false">INDEX(Grid!$J$6:$P$156,C974+1,B974+1)</f>
        <v>1</v>
      </c>
      <c r="E974" s="16" t="n">
        <f aca="false">IF(D974=1,INDEX(Grid!$B$6:$H$156,C974+1,B974+1),"")</f>
        <v>50.2278668360841</v>
      </c>
      <c r="F974" s="13" t="n">
        <f aca="false">Val_pt*(Ceiling_e-E_zero)*(1-(1-Half_gap)^B974)</f>
        <v>137.8125</v>
      </c>
      <c r="G974" s="15" t="n">
        <f aca="false">C974</f>
        <v>62</v>
      </c>
      <c r="H974" s="15" t="n">
        <f aca="false">IF(D974=1,INDEX(Grid!$R$6:$X$156,C974+1,B974+1),"")</f>
        <v>63</v>
      </c>
      <c r="I974" s="2" t="str">
        <f aca="false">IF(D974=1,INDEX(Sch_label,H974+1),"")</f>
        <v>1–6</v>
      </c>
      <c r="J974" s="15" t="n">
        <f aca="false">IF(D974=1,INDEX(Grid!$Z$6:$AF$156,C974+1,B974+1),0)</f>
        <v>1</v>
      </c>
      <c r="K974" s="16" t="n">
        <f aca="false">IF(J974=1,E974,0)</f>
        <v>50.2278668360841</v>
      </c>
      <c r="L974" s="17" t="n">
        <f aca="false">IF(D974=1,E974+W_board*F974,"")</f>
        <v>828.143501691446</v>
      </c>
      <c r="M974" s="24" t="n">
        <v>1</v>
      </c>
      <c r="N974" s="25" t="n">
        <v>0.00265551057325526</v>
      </c>
      <c r="O974" s="25" t="n">
        <v>0.996344489426745</v>
      </c>
      <c r="P974" s="25" t="n">
        <v>0.001</v>
      </c>
      <c r="Z974" s="12" t="n">
        <f aca="false">IF(AND($J974=1,$M974=1),N974*E974/Span_P+O974*F974/Span_S+P974*G974/Span_B,"")</f>
        <v>2.02561079469717</v>
      </c>
      <c r="AA974" s="12" t="n">
        <f aca="false">IF(AND($J974=1,$M974=1),SUMPRODUCT(MAX($J$6:$J$1062*(N974*$K$6:$K$1062/Span_P+O974*$F$6:$F$1062/Span_S+P974*$G$6:$G$1062/Span_B)-(1-$J$6:$J$1062)*1000000000)),"")</f>
        <v>2.02561079469717</v>
      </c>
      <c r="AB974" s="15" t="n">
        <f aca="false">IF(AND($J974=1,$M974=1),IF(AA974-Z974&lt;=0.000000001,1,0),"")</f>
        <v>1</v>
      </c>
      <c r="AC974" s="13" t="str">
        <f aca="false">IF(AND($J974=1,$M974=0),IF(S974="",0,S974*INDEX(Grid!$B$6:$H$156,R974+1,Q974+1))+IF(V974="",0,V974*INDEX(Grid!$B$6:$H$156,U974+1,T974+1))+IF(Y974="",0,Y974*INDEX(Grid!$B$6:$H$156,X974+1,W974+1)),"")</f>
        <v/>
      </c>
      <c r="AD974" s="13" t="str">
        <f aca="false">IF(AND($J974=1,$M974=0),IF(S974="",0,S974*Val_pt*(Ceiling_e-E_zero)*(1-(1-Half_gap)^Q974))+IF(V974="",0,V974*Val_pt*(Ceiling_e-E_zero)*(1-(1-Half_gap)^T974))+IF(Y974="",0,Y974*Val_pt*(Ceiling_e-E_zero)*(1-(1-Half_gap)^W974)),"")</f>
        <v/>
      </c>
      <c r="AE974" s="13" t="str">
        <f aca="false">IF(AND($J974=1,$M974=0),IF(S974="",0,S974*R974)+IF(V974="",0,V974*U974)+IF(Y974="",0,Y974*X974),"")</f>
        <v/>
      </c>
      <c r="AF974" s="12" t="str">
        <f aca="false">IF(AND($J974=1,$M974=0),MIN((AC974-E974)/Span_P,(AD974-F974)/Span_S,(AE974-G974)/Span_B),"")</f>
        <v/>
      </c>
      <c r="AG974" s="15" t="str">
        <f aca="false">IF(AND($J974=1,$M974=0),IF(AF974&gt;0.0000001,1,0),"")</f>
        <v/>
      </c>
      <c r="AH974" s="15" t="n">
        <f aca="false">IF($J974=1,IF($M974=1,AB974,AG974),"")</f>
        <v>1</v>
      </c>
      <c r="AI974" s="13" t="n">
        <f aca="false">IF($J974=1,(Ideal_P-E974)/Span_P,"")</f>
        <v>0.922208131312899</v>
      </c>
      <c r="AJ974" s="13" t="n">
        <f aca="false">IF($J974=1,(Ideal_S-F974)/Span_S,"")</f>
        <v>0</v>
      </c>
      <c r="AK974" s="13" t="n">
        <f aca="false">IF($J974=1,(Ideal_B-G974)/Span_B,"")</f>
        <v>0.586666666666667</v>
      </c>
      <c r="AL974" s="12" t="n">
        <f aca="false">IF($J974=1,MAX(ChA_1*AI974,ChA_2*AJ974,ChA_3*AK974)+Rho*(ChA_1*AI974+ChA_2*AJ974+ChA_3*AK974),"")</f>
        <v>0.922359018792697</v>
      </c>
      <c r="AM974" s="12" t="n">
        <f aca="false">IF($J974=1,MAX(ChB_1*AI974,ChB_2*AJ974,ChB_3*AK974)+Rho*(ChB_1*AI974+ChB_2*AJ974+ChB_3*AK974),"")</f>
        <v>1.84465937091873</v>
      </c>
      <c r="AN974" s="12" t="n">
        <f aca="false">IF($J974=1,MAX(Cx_1*(Ref_P-E974)/Span_P,Cx_2*(Ref_S-F974)/Span_S,Cx_3*(Ref_B-G974)/Span_B),"")</f>
        <v>2.32807135568022</v>
      </c>
    </row>
    <row r="975" customFormat="false" ht="15" hidden="false" customHeight="false" outlineLevel="0" collapsed="false">
      <c r="A975" s="2" t="n">
        <v>969</v>
      </c>
      <c r="B975" s="15" t="n">
        <f aca="false">INT(A975/151)</f>
        <v>6</v>
      </c>
      <c r="C975" s="15" t="n">
        <f aca="false">MOD(A975,151)</f>
        <v>63</v>
      </c>
      <c r="D975" s="15" t="n">
        <f aca="false">INDEX(Grid!$J$6:$P$156,C975+1,B975+1)</f>
        <v>1</v>
      </c>
      <c r="E975" s="16" t="n">
        <f aca="false">IF(D975=1,INDEX(Grid!$B$6:$H$156,C975+1,B975+1),"")</f>
        <v>49.3187759269932</v>
      </c>
      <c r="F975" s="13" t="n">
        <f aca="false">Val_pt*(Ceiling_e-E_zero)*(1-(1-Half_gap)^B975)</f>
        <v>137.8125</v>
      </c>
      <c r="G975" s="15" t="n">
        <f aca="false">C975</f>
        <v>63</v>
      </c>
      <c r="H975" s="15" t="n">
        <f aca="false">IF(D975=1,INDEX(Grid!$R$6:$X$156,C975+1,B975+1),"")</f>
        <v>63</v>
      </c>
      <c r="I975" s="2" t="str">
        <f aca="false">IF(D975=1,INDEX(Sch_label,H975+1),"")</f>
        <v>1–6</v>
      </c>
      <c r="J975" s="15" t="n">
        <f aca="false">IF(D975=1,INDEX(Grid!$Z$6:$AF$156,C975+1,B975+1),0)</f>
        <v>1</v>
      </c>
      <c r="K975" s="16" t="n">
        <f aca="false">IF(J975=1,E975,0)</f>
        <v>49.3187759269932</v>
      </c>
      <c r="L975" s="17" t="n">
        <f aca="false">IF(D975=1,E975+W_board*F975,"")</f>
        <v>827.234410782355</v>
      </c>
      <c r="M975" s="24" t="n">
        <v>1</v>
      </c>
      <c r="N975" s="25" t="n">
        <v>0.00265551057325525</v>
      </c>
      <c r="O975" s="25" t="n">
        <v>0.996344489426745</v>
      </c>
      <c r="P975" s="25" t="n">
        <v>0.001</v>
      </c>
      <c r="Z975" s="12" t="n">
        <f aca="false">IF(AND($J975=1,$M975=1),N975*E975/Span_P+O975*F975/Span_S+P975*G975/Span_B,"")</f>
        <v>2.02561079469717</v>
      </c>
      <c r="AA975" s="12" t="n">
        <f aca="false">IF(AND($J975=1,$M975=1),SUMPRODUCT(MAX($J$6:$J$1062*(N975*$K$6:$K$1062/Span_P+O975*$F$6:$F$1062/Span_S+P975*$G$6:$G$1062/Span_B)-(1-$J$6:$J$1062)*1000000000)),"")</f>
        <v>2.02561079469717</v>
      </c>
      <c r="AB975" s="15" t="n">
        <f aca="false">IF(AND($J975=1,$M975=1),IF(AA975-Z975&lt;=0.000000001,1,0),"")</f>
        <v>1</v>
      </c>
      <c r="AC975" s="13" t="str">
        <f aca="false">IF(AND($J975=1,$M975=0),IF(S975="",0,S975*INDEX(Grid!$B$6:$H$156,R975+1,Q975+1))+IF(V975="",0,V975*INDEX(Grid!$B$6:$H$156,U975+1,T975+1))+IF(Y975="",0,Y975*INDEX(Grid!$B$6:$H$156,X975+1,W975+1)),"")</f>
        <v/>
      </c>
      <c r="AD975" s="13" t="str">
        <f aca="false">IF(AND($J975=1,$M975=0),IF(S975="",0,S975*Val_pt*(Ceiling_e-E_zero)*(1-(1-Half_gap)^Q975))+IF(V975="",0,V975*Val_pt*(Ceiling_e-E_zero)*(1-(1-Half_gap)^T975))+IF(Y975="",0,Y975*Val_pt*(Ceiling_e-E_zero)*(1-(1-Half_gap)^W975)),"")</f>
        <v/>
      </c>
      <c r="AE975" s="13" t="str">
        <f aca="false">IF(AND($J975=1,$M975=0),IF(S975="",0,S975*R975)+IF(V975="",0,V975*U975)+IF(Y975="",0,Y975*X975),"")</f>
        <v/>
      </c>
      <c r="AF975" s="12" t="str">
        <f aca="false">IF(AND($J975=1,$M975=0),MIN((AC975-E975)/Span_P,(AD975-F975)/Span_S,(AE975-G975)/Span_B),"")</f>
        <v/>
      </c>
      <c r="AG975" s="15" t="str">
        <f aca="false">IF(AND($J975=1,$M975=0),IF(AF975&gt;0.0000001,1,0),"")</f>
        <v/>
      </c>
      <c r="AH975" s="15" t="n">
        <f aca="false">IF($J975=1,IF($M975=1,AB975,AG975),"")</f>
        <v>1</v>
      </c>
      <c r="AI975" s="13" t="n">
        <f aca="false">IF($J975=1,(Ideal_P-E975)/Span_P,"")</f>
        <v>0.924718634089205</v>
      </c>
      <c r="AJ975" s="13" t="n">
        <f aca="false">IF($J975=1,(Ideal_S-F975)/Span_S,"")</f>
        <v>0</v>
      </c>
      <c r="AK975" s="13" t="n">
        <f aca="false">IF($J975=1,(Ideal_B-G975)/Span_B,"")</f>
        <v>0.58</v>
      </c>
      <c r="AL975" s="12" t="n">
        <f aca="false">IF($J975=1,MAX(ChA_1*AI975,ChA_2*AJ975,ChA_3*AK975)+Rho*(ChA_1*AI975+ChA_2*AJ975+ChA_3*AK975),"")</f>
        <v>0.924869105952614</v>
      </c>
      <c r="AM975" s="12" t="n">
        <f aca="false">IF($J975=1,MAX(ChB_1*AI975,ChB_2*AJ975,ChB_3*AK975)+Rho*(ChB_1*AI975+ChB_2*AJ975+ChB_3*AK975),"")</f>
        <v>1.84968021190523</v>
      </c>
      <c r="AN975" s="12" t="n">
        <f aca="false">IF($J975=1,MAX(Cx_1*(Ref_P-E975)/Span_P,Cx_2*(Ref_S-F975)/Span_S,Cx_3*(Ref_B-G975)/Span_B),"")</f>
        <v>2.33434101736365</v>
      </c>
    </row>
    <row r="976" customFormat="false" ht="15" hidden="false" customHeight="false" outlineLevel="0" collapsed="false">
      <c r="A976" s="2" t="n">
        <v>970</v>
      </c>
      <c r="B976" s="15" t="n">
        <f aca="false">INT(A976/151)</f>
        <v>6</v>
      </c>
      <c r="C976" s="15" t="n">
        <f aca="false">MOD(A976,151)</f>
        <v>64</v>
      </c>
      <c r="D976" s="15" t="n">
        <f aca="false">INDEX(Grid!$J$6:$P$156,C976+1,B976+1)</f>
        <v>1</v>
      </c>
      <c r="E976" s="16" t="n">
        <f aca="false">IF(D976=1,INDEX(Grid!$B$6:$H$156,C976+1,B976+1),"")</f>
        <v>48.4096850179023</v>
      </c>
      <c r="F976" s="13" t="n">
        <f aca="false">Val_pt*(Ceiling_e-E_zero)*(1-(1-Half_gap)^B976)</f>
        <v>137.8125</v>
      </c>
      <c r="G976" s="15" t="n">
        <f aca="false">C976</f>
        <v>64</v>
      </c>
      <c r="H976" s="15" t="n">
        <f aca="false">IF(D976=1,INDEX(Grid!$R$6:$X$156,C976+1,B976+1),"")</f>
        <v>63</v>
      </c>
      <c r="I976" s="2" t="str">
        <f aca="false">IF(D976=1,INDEX(Sch_label,H976+1),"")</f>
        <v>1–6</v>
      </c>
      <c r="J976" s="15" t="n">
        <f aca="false">IF(D976=1,INDEX(Grid!$Z$6:$AF$156,C976+1,B976+1),0)</f>
        <v>1</v>
      </c>
      <c r="K976" s="16" t="n">
        <f aca="false">IF(J976=1,E976,0)</f>
        <v>48.4096850179023</v>
      </c>
      <c r="L976" s="17" t="n">
        <f aca="false">IF(D976=1,E976+W_board*F976,"")</f>
        <v>826.325319873264</v>
      </c>
      <c r="M976" s="24" t="n">
        <v>1</v>
      </c>
      <c r="N976" s="25" t="n">
        <v>0.00265551057325526</v>
      </c>
      <c r="O976" s="25" t="n">
        <v>0.996344489426745</v>
      </c>
      <c r="P976" s="25" t="n">
        <v>0.001</v>
      </c>
      <c r="Z976" s="12" t="n">
        <f aca="false">IF(AND($J976=1,$M976=1),N976*E976/Span_P+O976*F976/Span_S+P976*G976/Span_B,"")</f>
        <v>2.02561079469717</v>
      </c>
      <c r="AA976" s="12" t="n">
        <f aca="false">IF(AND($J976=1,$M976=1),SUMPRODUCT(MAX($J$6:$J$1062*(N976*$K$6:$K$1062/Span_P+O976*$F$6:$F$1062/Span_S+P976*$G$6:$G$1062/Span_B)-(1-$J$6:$J$1062)*1000000000)),"")</f>
        <v>2.02561079469717</v>
      </c>
      <c r="AB976" s="15" t="n">
        <f aca="false">IF(AND($J976=1,$M976=1),IF(AA976-Z976&lt;=0.000000001,1,0),"")</f>
        <v>1</v>
      </c>
      <c r="AC976" s="13" t="str">
        <f aca="false">IF(AND($J976=1,$M976=0),IF(S976="",0,S976*INDEX(Grid!$B$6:$H$156,R976+1,Q976+1))+IF(V976="",0,V976*INDEX(Grid!$B$6:$H$156,U976+1,T976+1))+IF(Y976="",0,Y976*INDEX(Grid!$B$6:$H$156,X976+1,W976+1)),"")</f>
        <v/>
      </c>
      <c r="AD976" s="13" t="str">
        <f aca="false">IF(AND($J976=1,$M976=0),IF(S976="",0,S976*Val_pt*(Ceiling_e-E_zero)*(1-(1-Half_gap)^Q976))+IF(V976="",0,V976*Val_pt*(Ceiling_e-E_zero)*(1-(1-Half_gap)^T976))+IF(Y976="",0,Y976*Val_pt*(Ceiling_e-E_zero)*(1-(1-Half_gap)^W976)),"")</f>
        <v/>
      </c>
      <c r="AE976" s="13" t="str">
        <f aca="false">IF(AND($J976=1,$M976=0),IF(S976="",0,S976*R976)+IF(V976="",0,V976*U976)+IF(Y976="",0,Y976*X976),"")</f>
        <v/>
      </c>
      <c r="AF976" s="12" t="str">
        <f aca="false">IF(AND($J976=1,$M976=0),MIN((AC976-E976)/Span_P,(AD976-F976)/Span_S,(AE976-G976)/Span_B),"")</f>
        <v/>
      </c>
      <c r="AG976" s="15" t="str">
        <f aca="false">IF(AND($J976=1,$M976=0),IF(AF976&gt;0.0000001,1,0),"")</f>
        <v/>
      </c>
      <c r="AH976" s="15" t="n">
        <f aca="false">IF($J976=1,IF($M976=1,AB976,AG976),"")</f>
        <v>1</v>
      </c>
      <c r="AI976" s="13" t="n">
        <f aca="false">IF($J976=1,(Ideal_P-E976)/Span_P,"")</f>
        <v>0.927229136865511</v>
      </c>
      <c r="AJ976" s="13" t="n">
        <f aca="false">IF($J976=1,(Ideal_S-F976)/Span_S,"")</f>
        <v>0</v>
      </c>
      <c r="AK976" s="13" t="n">
        <f aca="false">IF($J976=1,(Ideal_B-G976)/Span_B,"")</f>
        <v>0.573333333333333</v>
      </c>
      <c r="AL976" s="12" t="n">
        <f aca="false">IF($J976=1,MAX(ChA_1*AI976,ChA_2*AJ976,ChA_3*AK976)+Rho*(ChA_1*AI976+ChA_2*AJ976+ChA_3*AK976),"")</f>
        <v>0.927379193112531</v>
      </c>
      <c r="AM976" s="12" t="n">
        <f aca="false">IF($J976=1,MAX(ChB_1*AI976,ChB_2*AJ976,ChB_3*AK976)+Rho*(ChB_1*AI976+ChB_2*AJ976+ChB_3*AK976),"")</f>
        <v>1.85470105289173</v>
      </c>
      <c r="AN976" s="12" t="n">
        <f aca="false">IF($J976=1,MAX(Cx_1*(Ref_P-E976)/Span_P,Cx_2*(Ref_S-F976)/Span_S,Cx_3*(Ref_B-G976)/Span_B),"")</f>
        <v>2.34061067904707</v>
      </c>
    </row>
    <row r="977" customFormat="false" ht="15" hidden="false" customHeight="false" outlineLevel="0" collapsed="false">
      <c r="A977" s="2" t="n">
        <v>971</v>
      </c>
      <c r="B977" s="15" t="n">
        <f aca="false">INT(A977/151)</f>
        <v>6</v>
      </c>
      <c r="C977" s="15" t="n">
        <f aca="false">MOD(A977,151)</f>
        <v>65</v>
      </c>
      <c r="D977" s="15" t="n">
        <f aca="false">INDEX(Grid!$J$6:$P$156,C977+1,B977+1)</f>
        <v>1</v>
      </c>
      <c r="E977" s="16" t="n">
        <f aca="false">IF(D977=1,INDEX(Grid!$B$6:$H$156,C977+1,B977+1),"")</f>
        <v>47.5005941088114</v>
      </c>
      <c r="F977" s="13" t="n">
        <f aca="false">Val_pt*(Ceiling_e-E_zero)*(1-(1-Half_gap)^B977)</f>
        <v>137.8125</v>
      </c>
      <c r="G977" s="15" t="n">
        <f aca="false">C977</f>
        <v>65</v>
      </c>
      <c r="H977" s="15" t="n">
        <f aca="false">IF(D977=1,INDEX(Grid!$R$6:$X$156,C977+1,B977+1),"")</f>
        <v>63</v>
      </c>
      <c r="I977" s="2" t="str">
        <f aca="false">IF(D977=1,INDEX(Sch_label,H977+1),"")</f>
        <v>1–6</v>
      </c>
      <c r="J977" s="15" t="n">
        <f aca="false">IF(D977=1,INDEX(Grid!$Z$6:$AF$156,C977+1,B977+1),0)</f>
        <v>1</v>
      </c>
      <c r="K977" s="16" t="n">
        <f aca="false">IF(J977=1,E977,0)</f>
        <v>47.5005941088114</v>
      </c>
      <c r="L977" s="17" t="n">
        <f aca="false">IF(D977=1,E977+W_board*F977,"")</f>
        <v>825.416228964173</v>
      </c>
      <c r="M977" s="24" t="n">
        <v>1</v>
      </c>
      <c r="N977" s="25" t="n">
        <v>0.00265551057325526</v>
      </c>
      <c r="O977" s="25" t="n">
        <v>0.996344489426745</v>
      </c>
      <c r="P977" s="25" t="n">
        <v>0.001</v>
      </c>
      <c r="Z977" s="12" t="n">
        <f aca="false">IF(AND($J977=1,$M977=1),N977*E977/Span_P+O977*F977/Span_S+P977*G977/Span_B,"")</f>
        <v>2.02561079469717</v>
      </c>
      <c r="AA977" s="12" t="n">
        <f aca="false">IF(AND($J977=1,$M977=1),SUMPRODUCT(MAX($J$6:$J$1062*(N977*$K$6:$K$1062/Span_P+O977*$F$6:$F$1062/Span_S+P977*$G$6:$G$1062/Span_B)-(1-$J$6:$J$1062)*1000000000)),"")</f>
        <v>2.02561079469717</v>
      </c>
      <c r="AB977" s="15" t="n">
        <f aca="false">IF(AND($J977=1,$M977=1),IF(AA977-Z977&lt;=0.000000001,1,0),"")</f>
        <v>1</v>
      </c>
      <c r="AC977" s="13" t="str">
        <f aca="false">IF(AND($J977=1,$M977=0),IF(S977="",0,S977*INDEX(Grid!$B$6:$H$156,R977+1,Q977+1))+IF(V977="",0,V977*INDEX(Grid!$B$6:$H$156,U977+1,T977+1))+IF(Y977="",0,Y977*INDEX(Grid!$B$6:$H$156,X977+1,W977+1)),"")</f>
        <v/>
      </c>
      <c r="AD977" s="13" t="str">
        <f aca="false">IF(AND($J977=1,$M977=0),IF(S977="",0,S977*Val_pt*(Ceiling_e-E_zero)*(1-(1-Half_gap)^Q977))+IF(V977="",0,V977*Val_pt*(Ceiling_e-E_zero)*(1-(1-Half_gap)^T977))+IF(Y977="",0,Y977*Val_pt*(Ceiling_e-E_zero)*(1-(1-Half_gap)^W977)),"")</f>
        <v/>
      </c>
      <c r="AE977" s="13" t="str">
        <f aca="false">IF(AND($J977=1,$M977=0),IF(S977="",0,S977*R977)+IF(V977="",0,V977*U977)+IF(Y977="",0,Y977*X977),"")</f>
        <v/>
      </c>
      <c r="AF977" s="12" t="str">
        <f aca="false">IF(AND($J977=1,$M977=0),MIN((AC977-E977)/Span_P,(AD977-F977)/Span_S,(AE977-G977)/Span_B),"")</f>
        <v/>
      </c>
      <c r="AG977" s="15" t="str">
        <f aca="false">IF(AND($J977=1,$M977=0),IF(AF977&gt;0.0000001,1,0),"")</f>
        <v/>
      </c>
      <c r="AH977" s="15" t="n">
        <f aca="false">IF($J977=1,IF($M977=1,AB977,AG977),"")</f>
        <v>1</v>
      </c>
      <c r="AI977" s="13" t="n">
        <f aca="false">IF($J977=1,(Ideal_P-E977)/Span_P,"")</f>
        <v>0.929739639641816</v>
      </c>
      <c r="AJ977" s="13" t="n">
        <f aca="false">IF($J977=1,(Ideal_S-F977)/Span_S,"")</f>
        <v>0</v>
      </c>
      <c r="AK977" s="13" t="n">
        <f aca="false">IF($J977=1,(Ideal_B-G977)/Span_B,"")</f>
        <v>0.566666666666667</v>
      </c>
      <c r="AL977" s="12" t="n">
        <f aca="false">IF($J977=1,MAX(ChA_1*AI977,ChA_2*AJ977,ChA_3*AK977)+Rho*(ChA_1*AI977+ChA_2*AJ977+ChA_3*AK977),"")</f>
        <v>0.929889280272447</v>
      </c>
      <c r="AM977" s="12" t="n">
        <f aca="false">IF($J977=1,MAX(ChB_1*AI977,ChB_2*AJ977,ChB_3*AK977)+Rho*(ChB_1*AI977+ChB_2*AJ977+ChB_3*AK977),"")</f>
        <v>1.85972189387823</v>
      </c>
      <c r="AN977" s="12" t="n">
        <f aca="false">IF($J977=1,MAX(Cx_1*(Ref_P-E977)/Span_P,Cx_2*(Ref_S-F977)/Span_S,Cx_3*(Ref_B-G977)/Span_B),"")</f>
        <v>2.3468803407305</v>
      </c>
    </row>
    <row r="978" customFormat="false" ht="15" hidden="false" customHeight="false" outlineLevel="0" collapsed="false">
      <c r="A978" s="2" t="n">
        <v>972</v>
      </c>
      <c r="B978" s="15" t="n">
        <f aca="false">INT(A978/151)</f>
        <v>6</v>
      </c>
      <c r="C978" s="15" t="n">
        <f aca="false">MOD(A978,151)</f>
        <v>66</v>
      </c>
      <c r="D978" s="15" t="n">
        <f aca="false">INDEX(Grid!$J$6:$P$156,C978+1,B978+1)</f>
        <v>1</v>
      </c>
      <c r="E978" s="16" t="n">
        <f aca="false">IF(D978=1,INDEX(Grid!$B$6:$H$156,C978+1,B978+1),"")</f>
        <v>46.5915031997205</v>
      </c>
      <c r="F978" s="13" t="n">
        <f aca="false">Val_pt*(Ceiling_e-E_zero)*(1-(1-Half_gap)^B978)</f>
        <v>137.8125</v>
      </c>
      <c r="G978" s="15" t="n">
        <f aca="false">C978</f>
        <v>66</v>
      </c>
      <c r="H978" s="15" t="n">
        <f aca="false">IF(D978=1,INDEX(Grid!$R$6:$X$156,C978+1,B978+1),"")</f>
        <v>63</v>
      </c>
      <c r="I978" s="2" t="str">
        <f aca="false">IF(D978=1,INDEX(Sch_label,H978+1),"")</f>
        <v>1–6</v>
      </c>
      <c r="J978" s="15" t="n">
        <f aca="false">IF(D978=1,INDEX(Grid!$Z$6:$AF$156,C978+1,B978+1),0)</f>
        <v>1</v>
      </c>
      <c r="K978" s="16" t="n">
        <f aca="false">IF(J978=1,E978,0)</f>
        <v>46.5915031997205</v>
      </c>
      <c r="L978" s="17" t="n">
        <f aca="false">IF(D978=1,E978+W_board*F978,"")</f>
        <v>824.507138055082</v>
      </c>
      <c r="M978" s="24" t="n">
        <v>1</v>
      </c>
      <c r="N978" s="25" t="n">
        <v>0.00265551057325526</v>
      </c>
      <c r="O978" s="25" t="n">
        <v>0.996344489426745</v>
      </c>
      <c r="P978" s="25" t="n">
        <v>0.001</v>
      </c>
      <c r="Z978" s="12" t="n">
        <f aca="false">IF(AND($J978=1,$M978=1),N978*E978/Span_P+O978*F978/Span_S+P978*G978/Span_B,"")</f>
        <v>2.02561079469717</v>
      </c>
      <c r="AA978" s="12" t="n">
        <f aca="false">IF(AND($J978=1,$M978=1),SUMPRODUCT(MAX($J$6:$J$1062*(N978*$K$6:$K$1062/Span_P+O978*$F$6:$F$1062/Span_S+P978*$G$6:$G$1062/Span_B)-(1-$J$6:$J$1062)*1000000000)),"")</f>
        <v>2.02561079469717</v>
      </c>
      <c r="AB978" s="15" t="n">
        <f aca="false">IF(AND($J978=1,$M978=1),IF(AA978-Z978&lt;=0.000000001,1,0),"")</f>
        <v>1</v>
      </c>
      <c r="AC978" s="13" t="str">
        <f aca="false">IF(AND($J978=1,$M978=0),IF(S978="",0,S978*INDEX(Grid!$B$6:$H$156,R978+1,Q978+1))+IF(V978="",0,V978*INDEX(Grid!$B$6:$H$156,U978+1,T978+1))+IF(Y978="",0,Y978*INDEX(Grid!$B$6:$H$156,X978+1,W978+1)),"")</f>
        <v/>
      </c>
      <c r="AD978" s="13" t="str">
        <f aca="false">IF(AND($J978=1,$M978=0),IF(S978="",0,S978*Val_pt*(Ceiling_e-E_zero)*(1-(1-Half_gap)^Q978))+IF(V978="",0,V978*Val_pt*(Ceiling_e-E_zero)*(1-(1-Half_gap)^T978))+IF(Y978="",0,Y978*Val_pt*(Ceiling_e-E_zero)*(1-(1-Half_gap)^W978)),"")</f>
        <v/>
      </c>
      <c r="AE978" s="13" t="str">
        <f aca="false">IF(AND($J978=1,$M978=0),IF(S978="",0,S978*R978)+IF(V978="",0,V978*U978)+IF(Y978="",0,Y978*X978),"")</f>
        <v/>
      </c>
      <c r="AF978" s="12" t="str">
        <f aca="false">IF(AND($J978=1,$M978=0),MIN((AC978-E978)/Span_P,(AD978-F978)/Span_S,(AE978-G978)/Span_B),"")</f>
        <v/>
      </c>
      <c r="AG978" s="15" t="str">
        <f aca="false">IF(AND($J978=1,$M978=0),IF(AF978&gt;0.0000001,1,0),"")</f>
        <v/>
      </c>
      <c r="AH978" s="15" t="n">
        <f aca="false">IF($J978=1,IF($M978=1,AB978,AG978),"")</f>
        <v>1</v>
      </c>
      <c r="AI978" s="13" t="n">
        <f aca="false">IF($J978=1,(Ideal_P-E978)/Span_P,"")</f>
        <v>0.932250142418122</v>
      </c>
      <c r="AJ978" s="13" t="n">
        <f aca="false">IF($J978=1,(Ideal_S-F978)/Span_S,"")</f>
        <v>0</v>
      </c>
      <c r="AK978" s="13" t="n">
        <f aca="false">IF($J978=1,(Ideal_B-G978)/Span_B,"")</f>
        <v>0.56</v>
      </c>
      <c r="AL978" s="12" t="n">
        <f aca="false">IF($J978=1,MAX(ChA_1*AI978,ChA_2*AJ978,ChA_3*AK978)+Rho*(ChA_1*AI978+ChA_2*AJ978+ChA_3*AK978),"")</f>
        <v>0.932399367432364</v>
      </c>
      <c r="AM978" s="12" t="n">
        <f aca="false">IF($J978=1,MAX(ChB_1*AI978,ChB_2*AJ978,ChB_3*AK978)+Rho*(ChB_1*AI978+ChB_2*AJ978+ChB_3*AK978),"")</f>
        <v>1.86474273486473</v>
      </c>
      <c r="AN978" s="12" t="n">
        <f aca="false">IF($J978=1,MAX(Cx_1*(Ref_P-E978)/Span_P,Cx_2*(Ref_S-F978)/Span_S,Cx_3*(Ref_B-G978)/Span_B),"")</f>
        <v>2.35315000241393</v>
      </c>
    </row>
    <row r="979" customFormat="false" ht="15" hidden="false" customHeight="false" outlineLevel="0" collapsed="false">
      <c r="A979" s="2" t="n">
        <v>973</v>
      </c>
      <c r="B979" s="15" t="n">
        <f aca="false">INT(A979/151)</f>
        <v>6</v>
      </c>
      <c r="C979" s="15" t="n">
        <f aca="false">MOD(A979,151)</f>
        <v>67</v>
      </c>
      <c r="D979" s="15" t="n">
        <f aca="false">INDEX(Grid!$J$6:$P$156,C979+1,B979+1)</f>
        <v>1</v>
      </c>
      <c r="E979" s="16" t="n">
        <f aca="false">IF(D979=1,INDEX(Grid!$B$6:$H$156,C979+1,B979+1),"")</f>
        <v>45.6824122906296</v>
      </c>
      <c r="F979" s="13" t="n">
        <f aca="false">Val_pt*(Ceiling_e-E_zero)*(1-(1-Half_gap)^B979)</f>
        <v>137.8125</v>
      </c>
      <c r="G979" s="15" t="n">
        <f aca="false">C979</f>
        <v>67</v>
      </c>
      <c r="H979" s="15" t="n">
        <f aca="false">IF(D979=1,INDEX(Grid!$R$6:$X$156,C979+1,B979+1),"")</f>
        <v>63</v>
      </c>
      <c r="I979" s="2" t="str">
        <f aca="false">IF(D979=1,INDEX(Sch_label,H979+1),"")</f>
        <v>1–6</v>
      </c>
      <c r="J979" s="15" t="n">
        <f aca="false">IF(D979=1,INDEX(Grid!$Z$6:$AF$156,C979+1,B979+1),0)</f>
        <v>1</v>
      </c>
      <c r="K979" s="16" t="n">
        <f aca="false">IF(J979=1,E979,0)</f>
        <v>45.6824122906296</v>
      </c>
      <c r="L979" s="17" t="n">
        <f aca="false">IF(D979=1,E979+W_board*F979,"")</f>
        <v>823.598047145992</v>
      </c>
      <c r="M979" s="24" t="n">
        <v>1</v>
      </c>
      <c r="N979" s="25" t="n">
        <v>0.00265551057325526</v>
      </c>
      <c r="O979" s="25" t="n">
        <v>0.996344489426745</v>
      </c>
      <c r="P979" s="25" t="n">
        <v>0.001</v>
      </c>
      <c r="Z979" s="12" t="n">
        <f aca="false">IF(AND($J979=1,$M979=1),N979*E979/Span_P+O979*F979/Span_S+P979*G979/Span_B,"")</f>
        <v>2.02561079469717</v>
      </c>
      <c r="AA979" s="12" t="n">
        <f aca="false">IF(AND($J979=1,$M979=1),SUMPRODUCT(MAX($J$6:$J$1062*(N979*$K$6:$K$1062/Span_P+O979*$F$6:$F$1062/Span_S+P979*$G$6:$G$1062/Span_B)-(1-$J$6:$J$1062)*1000000000)),"")</f>
        <v>2.02561079469717</v>
      </c>
      <c r="AB979" s="15" t="n">
        <f aca="false">IF(AND($J979=1,$M979=1),IF(AA979-Z979&lt;=0.000000001,1,0),"")</f>
        <v>1</v>
      </c>
      <c r="AC979" s="13" t="str">
        <f aca="false">IF(AND($J979=1,$M979=0),IF(S979="",0,S979*INDEX(Grid!$B$6:$H$156,R979+1,Q979+1))+IF(V979="",0,V979*INDEX(Grid!$B$6:$H$156,U979+1,T979+1))+IF(Y979="",0,Y979*INDEX(Grid!$B$6:$H$156,X979+1,W979+1)),"")</f>
        <v/>
      </c>
      <c r="AD979" s="13" t="str">
        <f aca="false">IF(AND($J979=1,$M979=0),IF(S979="",0,S979*Val_pt*(Ceiling_e-E_zero)*(1-(1-Half_gap)^Q979))+IF(V979="",0,V979*Val_pt*(Ceiling_e-E_zero)*(1-(1-Half_gap)^T979))+IF(Y979="",0,Y979*Val_pt*(Ceiling_e-E_zero)*(1-(1-Half_gap)^W979)),"")</f>
        <v/>
      </c>
      <c r="AE979" s="13" t="str">
        <f aca="false">IF(AND($J979=1,$M979=0),IF(S979="",0,S979*R979)+IF(V979="",0,V979*U979)+IF(Y979="",0,Y979*X979),"")</f>
        <v/>
      </c>
      <c r="AF979" s="12" t="str">
        <f aca="false">IF(AND($J979=1,$M979=0),MIN((AC979-E979)/Span_P,(AD979-F979)/Span_S,(AE979-G979)/Span_B),"")</f>
        <v/>
      </c>
      <c r="AG979" s="15" t="str">
        <f aca="false">IF(AND($J979=1,$M979=0),IF(AF979&gt;0.0000001,1,0),"")</f>
        <v/>
      </c>
      <c r="AH979" s="15" t="n">
        <f aca="false">IF($J979=1,IF($M979=1,AB979,AG979),"")</f>
        <v>1</v>
      </c>
      <c r="AI979" s="13" t="n">
        <f aca="false">IF($J979=1,(Ideal_P-E979)/Span_P,"")</f>
        <v>0.934760645194428</v>
      </c>
      <c r="AJ979" s="13" t="n">
        <f aca="false">IF($J979=1,(Ideal_S-F979)/Span_S,"")</f>
        <v>0</v>
      </c>
      <c r="AK979" s="13" t="n">
        <f aca="false">IF($J979=1,(Ideal_B-G979)/Span_B,"")</f>
        <v>0.553333333333333</v>
      </c>
      <c r="AL979" s="12" t="n">
        <f aca="false">IF($J979=1,MAX(ChA_1*AI979,ChA_2*AJ979,ChA_3*AK979)+Rho*(ChA_1*AI979+ChA_2*AJ979+ChA_3*AK979),"")</f>
        <v>0.934909454592281</v>
      </c>
      <c r="AM979" s="12" t="n">
        <f aca="false">IF($J979=1,MAX(ChB_1*AI979,ChB_2*AJ979,ChB_3*AK979)+Rho*(ChB_1*AI979+ChB_2*AJ979+ChB_3*AK979),"")</f>
        <v>1.86976357585123</v>
      </c>
      <c r="AN979" s="12" t="n">
        <f aca="false">IF($J979=1,MAX(Cx_1*(Ref_P-E979)/Span_P,Cx_2*(Ref_S-F979)/Span_S,Cx_3*(Ref_B-G979)/Span_B),"")</f>
        <v>2.35941966409736</v>
      </c>
    </row>
    <row r="980" customFormat="false" ht="15" hidden="false" customHeight="false" outlineLevel="0" collapsed="false">
      <c r="A980" s="2" t="n">
        <v>974</v>
      </c>
      <c r="B980" s="15" t="n">
        <f aca="false">INT(A980/151)</f>
        <v>6</v>
      </c>
      <c r="C980" s="15" t="n">
        <f aca="false">MOD(A980,151)</f>
        <v>68</v>
      </c>
      <c r="D980" s="15" t="n">
        <f aca="false">INDEX(Grid!$J$6:$P$156,C980+1,B980+1)</f>
        <v>1</v>
      </c>
      <c r="E980" s="16" t="n">
        <f aca="false">IF(D980=1,INDEX(Grid!$B$6:$H$156,C980+1,B980+1),"")</f>
        <v>44.7733213815387</v>
      </c>
      <c r="F980" s="13" t="n">
        <f aca="false">Val_pt*(Ceiling_e-E_zero)*(1-(1-Half_gap)^B980)</f>
        <v>137.8125</v>
      </c>
      <c r="G980" s="15" t="n">
        <f aca="false">C980</f>
        <v>68</v>
      </c>
      <c r="H980" s="15" t="n">
        <f aca="false">IF(D980=1,INDEX(Grid!$R$6:$X$156,C980+1,B980+1),"")</f>
        <v>63</v>
      </c>
      <c r="I980" s="2" t="str">
        <f aca="false">IF(D980=1,INDEX(Sch_label,H980+1),"")</f>
        <v>1–6</v>
      </c>
      <c r="J980" s="15" t="n">
        <f aca="false">IF(D980=1,INDEX(Grid!$Z$6:$AF$156,C980+1,B980+1),0)</f>
        <v>1</v>
      </c>
      <c r="K980" s="16" t="n">
        <f aca="false">IF(J980=1,E980,0)</f>
        <v>44.7733213815387</v>
      </c>
      <c r="L980" s="17" t="n">
        <f aca="false">IF(D980=1,E980+W_board*F980,"")</f>
        <v>822.688956236901</v>
      </c>
      <c r="M980" s="24" t="n">
        <v>1</v>
      </c>
      <c r="N980" s="25" t="n">
        <v>0.00265551057325527</v>
      </c>
      <c r="O980" s="25" t="n">
        <v>0.996344489426745</v>
      </c>
      <c r="P980" s="25" t="n">
        <v>0.001</v>
      </c>
      <c r="Z980" s="12" t="n">
        <f aca="false">IF(AND($J980=1,$M980=1),N980*E980/Span_P+O980*F980/Span_S+P980*G980/Span_B,"")</f>
        <v>2.02561079469717</v>
      </c>
      <c r="AA980" s="12" t="n">
        <f aca="false">IF(AND($J980=1,$M980=1),SUMPRODUCT(MAX($J$6:$J$1062*(N980*$K$6:$K$1062/Span_P+O980*$F$6:$F$1062/Span_S+P980*$G$6:$G$1062/Span_B)-(1-$J$6:$J$1062)*1000000000)),"")</f>
        <v>2.02561079469717</v>
      </c>
      <c r="AB980" s="15" t="n">
        <f aca="false">IF(AND($J980=1,$M980=1),IF(AA980-Z980&lt;=0.000000001,1,0),"")</f>
        <v>1</v>
      </c>
      <c r="AC980" s="13" t="str">
        <f aca="false">IF(AND($J980=1,$M980=0),IF(S980="",0,S980*INDEX(Grid!$B$6:$H$156,R980+1,Q980+1))+IF(V980="",0,V980*INDEX(Grid!$B$6:$H$156,U980+1,T980+1))+IF(Y980="",0,Y980*INDEX(Grid!$B$6:$H$156,X980+1,W980+1)),"")</f>
        <v/>
      </c>
      <c r="AD980" s="13" t="str">
        <f aca="false">IF(AND($J980=1,$M980=0),IF(S980="",0,S980*Val_pt*(Ceiling_e-E_zero)*(1-(1-Half_gap)^Q980))+IF(V980="",0,V980*Val_pt*(Ceiling_e-E_zero)*(1-(1-Half_gap)^T980))+IF(Y980="",0,Y980*Val_pt*(Ceiling_e-E_zero)*(1-(1-Half_gap)^W980)),"")</f>
        <v/>
      </c>
      <c r="AE980" s="13" t="str">
        <f aca="false">IF(AND($J980=1,$M980=0),IF(S980="",0,S980*R980)+IF(V980="",0,V980*U980)+IF(Y980="",0,Y980*X980),"")</f>
        <v/>
      </c>
      <c r="AF980" s="12" t="str">
        <f aca="false">IF(AND($J980=1,$M980=0),MIN((AC980-E980)/Span_P,(AD980-F980)/Span_S,(AE980-G980)/Span_B),"")</f>
        <v/>
      </c>
      <c r="AG980" s="15" t="str">
        <f aca="false">IF(AND($J980=1,$M980=0),IF(AF980&gt;0.0000001,1,0),"")</f>
        <v/>
      </c>
      <c r="AH980" s="15" t="n">
        <f aca="false">IF($J980=1,IF($M980=1,AB980,AG980),"")</f>
        <v>1</v>
      </c>
      <c r="AI980" s="13" t="n">
        <f aca="false">IF($J980=1,(Ideal_P-E980)/Span_P,"")</f>
        <v>0.937271147970734</v>
      </c>
      <c r="AJ980" s="13" t="n">
        <f aca="false">IF($J980=1,(Ideal_S-F980)/Span_S,"")</f>
        <v>0</v>
      </c>
      <c r="AK980" s="13" t="n">
        <f aca="false">IF($J980=1,(Ideal_B-G980)/Span_B,"")</f>
        <v>0.546666666666667</v>
      </c>
      <c r="AL980" s="12" t="n">
        <f aca="false">IF($J980=1,MAX(ChA_1*AI980,ChA_2*AJ980,ChA_3*AK980)+Rho*(ChA_1*AI980+ChA_2*AJ980+ChA_3*AK980),"")</f>
        <v>0.937419541752197</v>
      </c>
      <c r="AM980" s="12" t="n">
        <f aca="false">IF($J980=1,MAX(ChB_1*AI980,ChB_2*AJ980,ChB_3*AK980)+Rho*(ChB_1*AI980+ChB_2*AJ980+ChB_3*AK980),"")</f>
        <v>1.87478441683773</v>
      </c>
      <c r="AN980" s="12" t="n">
        <f aca="false">IF($J980=1,MAX(Cx_1*(Ref_P-E980)/Span_P,Cx_2*(Ref_S-F980)/Span_S,Cx_3*(Ref_B-G980)/Span_B),"")</f>
        <v>2.36568932578079</v>
      </c>
    </row>
    <row r="981" customFormat="false" ht="15" hidden="false" customHeight="false" outlineLevel="0" collapsed="false">
      <c r="A981" s="2" t="n">
        <v>975</v>
      </c>
      <c r="B981" s="15" t="n">
        <f aca="false">INT(A981/151)</f>
        <v>6</v>
      </c>
      <c r="C981" s="15" t="n">
        <f aca="false">MOD(A981,151)</f>
        <v>69</v>
      </c>
      <c r="D981" s="15" t="n">
        <f aca="false">INDEX(Grid!$J$6:$P$156,C981+1,B981+1)</f>
        <v>1</v>
      </c>
      <c r="E981" s="16" t="n">
        <f aca="false">IF(D981=1,INDEX(Grid!$B$6:$H$156,C981+1,B981+1),"")</f>
        <v>43.8642304724477</v>
      </c>
      <c r="F981" s="13" t="n">
        <f aca="false">Val_pt*(Ceiling_e-E_zero)*(1-(1-Half_gap)^B981)</f>
        <v>137.8125</v>
      </c>
      <c r="G981" s="15" t="n">
        <f aca="false">C981</f>
        <v>69</v>
      </c>
      <c r="H981" s="15" t="n">
        <f aca="false">IF(D981=1,INDEX(Grid!$R$6:$X$156,C981+1,B981+1),"")</f>
        <v>63</v>
      </c>
      <c r="I981" s="2" t="str">
        <f aca="false">IF(D981=1,INDEX(Sch_label,H981+1),"")</f>
        <v>1–6</v>
      </c>
      <c r="J981" s="15" t="n">
        <f aca="false">IF(D981=1,INDEX(Grid!$Z$6:$AF$156,C981+1,B981+1),0)</f>
        <v>1</v>
      </c>
      <c r="K981" s="16" t="n">
        <f aca="false">IF(J981=1,E981,0)</f>
        <v>43.8642304724477</v>
      </c>
      <c r="L981" s="17" t="n">
        <f aca="false">IF(D981=1,E981+W_board*F981,"")</f>
        <v>821.77986532781</v>
      </c>
      <c r="M981" s="24" t="n">
        <v>1</v>
      </c>
      <c r="N981" s="25" t="n">
        <v>0.00265551057325526</v>
      </c>
      <c r="O981" s="25" t="n">
        <v>0.996344489426745</v>
      </c>
      <c r="P981" s="25" t="n">
        <v>0.001</v>
      </c>
      <c r="Z981" s="12" t="n">
        <f aca="false">IF(AND($J981=1,$M981=1),N981*E981/Span_P+O981*F981/Span_S+P981*G981/Span_B,"")</f>
        <v>2.02561079469717</v>
      </c>
      <c r="AA981" s="12" t="n">
        <f aca="false">IF(AND($J981=1,$M981=1),SUMPRODUCT(MAX($J$6:$J$1062*(N981*$K$6:$K$1062/Span_P+O981*$F$6:$F$1062/Span_S+P981*$G$6:$G$1062/Span_B)-(1-$J$6:$J$1062)*1000000000)),"")</f>
        <v>2.02561079469717</v>
      </c>
      <c r="AB981" s="15" t="n">
        <f aca="false">IF(AND($J981=1,$M981=1),IF(AA981-Z981&lt;=0.000000001,1,0),"")</f>
        <v>1</v>
      </c>
      <c r="AC981" s="13" t="str">
        <f aca="false">IF(AND($J981=1,$M981=0),IF(S981="",0,S981*INDEX(Grid!$B$6:$H$156,R981+1,Q981+1))+IF(V981="",0,V981*INDEX(Grid!$B$6:$H$156,U981+1,T981+1))+IF(Y981="",0,Y981*INDEX(Grid!$B$6:$H$156,X981+1,W981+1)),"")</f>
        <v/>
      </c>
      <c r="AD981" s="13" t="str">
        <f aca="false">IF(AND($J981=1,$M981=0),IF(S981="",0,S981*Val_pt*(Ceiling_e-E_zero)*(1-(1-Half_gap)^Q981))+IF(V981="",0,V981*Val_pt*(Ceiling_e-E_zero)*(1-(1-Half_gap)^T981))+IF(Y981="",0,Y981*Val_pt*(Ceiling_e-E_zero)*(1-(1-Half_gap)^W981)),"")</f>
        <v/>
      </c>
      <c r="AE981" s="13" t="str">
        <f aca="false">IF(AND($J981=1,$M981=0),IF(S981="",0,S981*R981)+IF(V981="",0,V981*U981)+IF(Y981="",0,Y981*X981),"")</f>
        <v/>
      </c>
      <c r="AF981" s="12" t="str">
        <f aca="false">IF(AND($J981=1,$M981=0),MIN((AC981-E981)/Span_P,(AD981-F981)/Span_S,(AE981-G981)/Span_B),"")</f>
        <v/>
      </c>
      <c r="AG981" s="15" t="str">
        <f aca="false">IF(AND($J981=1,$M981=0),IF(AF981&gt;0.0000001,1,0),"")</f>
        <v/>
      </c>
      <c r="AH981" s="15" t="n">
        <f aca="false">IF($J981=1,IF($M981=1,AB981,AG981),"")</f>
        <v>1</v>
      </c>
      <c r="AI981" s="13" t="n">
        <f aca="false">IF($J981=1,(Ideal_P-E981)/Span_P,"")</f>
        <v>0.93978165074704</v>
      </c>
      <c r="AJ981" s="13" t="n">
        <f aca="false">IF($J981=1,(Ideal_S-F981)/Span_S,"")</f>
        <v>0</v>
      </c>
      <c r="AK981" s="13" t="n">
        <f aca="false">IF($J981=1,(Ideal_B-G981)/Span_B,"")</f>
        <v>0.54</v>
      </c>
      <c r="AL981" s="12" t="n">
        <f aca="false">IF($J981=1,MAX(ChA_1*AI981,ChA_2*AJ981,ChA_3*AK981)+Rho*(ChA_1*AI981+ChA_2*AJ981+ChA_3*AK981),"")</f>
        <v>0.939929628912114</v>
      </c>
      <c r="AM981" s="12" t="n">
        <f aca="false">IF($J981=1,MAX(ChB_1*AI981,ChB_2*AJ981,ChB_3*AK981)+Rho*(ChB_1*AI981+ChB_2*AJ981+ChB_3*AK981),"")</f>
        <v>1.87980525782423</v>
      </c>
      <c r="AN981" s="12" t="n">
        <f aca="false">IF($J981=1,MAX(Cx_1*(Ref_P-E981)/Span_P,Cx_2*(Ref_S-F981)/Span_S,Cx_3*(Ref_B-G981)/Span_B),"")</f>
        <v>2.37195898746422</v>
      </c>
    </row>
    <row r="982" customFormat="false" ht="15" hidden="false" customHeight="false" outlineLevel="0" collapsed="false">
      <c r="A982" s="2" t="n">
        <v>976</v>
      </c>
      <c r="B982" s="15" t="n">
        <f aca="false">INT(A982/151)</f>
        <v>6</v>
      </c>
      <c r="C982" s="15" t="n">
        <f aca="false">MOD(A982,151)</f>
        <v>70</v>
      </c>
      <c r="D982" s="15" t="n">
        <f aca="false">INDEX(Grid!$J$6:$P$156,C982+1,B982+1)</f>
        <v>1</v>
      </c>
      <c r="E982" s="16" t="n">
        <f aca="false">IF(D982=1,INDEX(Grid!$B$6:$H$156,C982+1,B982+1),"")</f>
        <v>42.9551395633568</v>
      </c>
      <c r="F982" s="13" t="n">
        <f aca="false">Val_pt*(Ceiling_e-E_zero)*(1-(1-Half_gap)^B982)</f>
        <v>137.8125</v>
      </c>
      <c r="G982" s="15" t="n">
        <f aca="false">C982</f>
        <v>70</v>
      </c>
      <c r="H982" s="15" t="n">
        <f aca="false">IF(D982=1,INDEX(Grid!$R$6:$X$156,C982+1,B982+1),"")</f>
        <v>63</v>
      </c>
      <c r="I982" s="2" t="str">
        <f aca="false">IF(D982=1,INDEX(Sch_label,H982+1),"")</f>
        <v>1–6</v>
      </c>
      <c r="J982" s="15" t="n">
        <f aca="false">IF(D982=1,INDEX(Grid!$Z$6:$AF$156,C982+1,B982+1),0)</f>
        <v>1</v>
      </c>
      <c r="K982" s="16" t="n">
        <f aca="false">IF(J982=1,E982,0)</f>
        <v>42.9551395633568</v>
      </c>
      <c r="L982" s="17" t="n">
        <f aca="false">IF(D982=1,E982+W_board*F982,"")</f>
        <v>820.870774418719</v>
      </c>
      <c r="M982" s="24" t="n">
        <v>1</v>
      </c>
      <c r="N982" s="25" t="n">
        <v>0.00265551057325526</v>
      </c>
      <c r="O982" s="25" t="n">
        <v>0.996344489426745</v>
      </c>
      <c r="P982" s="25" t="n">
        <v>0.001</v>
      </c>
      <c r="Z982" s="12" t="n">
        <f aca="false">IF(AND($J982=1,$M982=1),N982*E982/Span_P+O982*F982/Span_S+P982*G982/Span_B,"")</f>
        <v>2.02561079469717</v>
      </c>
      <c r="AA982" s="12" t="n">
        <f aca="false">IF(AND($J982=1,$M982=1),SUMPRODUCT(MAX($J$6:$J$1062*(N982*$K$6:$K$1062/Span_P+O982*$F$6:$F$1062/Span_S+P982*$G$6:$G$1062/Span_B)-(1-$J$6:$J$1062)*1000000000)),"")</f>
        <v>2.02561079469717</v>
      </c>
      <c r="AB982" s="15" t="n">
        <f aca="false">IF(AND($J982=1,$M982=1),IF(AA982-Z982&lt;=0.000000001,1,0),"")</f>
        <v>1</v>
      </c>
      <c r="AC982" s="13" t="str">
        <f aca="false">IF(AND($J982=1,$M982=0),IF(S982="",0,S982*INDEX(Grid!$B$6:$H$156,R982+1,Q982+1))+IF(V982="",0,V982*INDEX(Grid!$B$6:$H$156,U982+1,T982+1))+IF(Y982="",0,Y982*INDEX(Grid!$B$6:$H$156,X982+1,W982+1)),"")</f>
        <v/>
      </c>
      <c r="AD982" s="13" t="str">
        <f aca="false">IF(AND($J982=1,$M982=0),IF(S982="",0,S982*Val_pt*(Ceiling_e-E_zero)*(1-(1-Half_gap)^Q982))+IF(V982="",0,V982*Val_pt*(Ceiling_e-E_zero)*(1-(1-Half_gap)^T982))+IF(Y982="",0,Y982*Val_pt*(Ceiling_e-E_zero)*(1-(1-Half_gap)^W982)),"")</f>
        <v/>
      </c>
      <c r="AE982" s="13" t="str">
        <f aca="false">IF(AND($J982=1,$M982=0),IF(S982="",0,S982*R982)+IF(V982="",0,V982*U982)+IF(Y982="",0,Y982*X982),"")</f>
        <v/>
      </c>
      <c r="AF982" s="12" t="str">
        <f aca="false">IF(AND($J982=1,$M982=0),MIN((AC982-E982)/Span_P,(AD982-F982)/Span_S,(AE982-G982)/Span_B),"")</f>
        <v/>
      </c>
      <c r="AG982" s="15" t="str">
        <f aca="false">IF(AND($J982=1,$M982=0),IF(AF982&gt;0.0000001,1,0),"")</f>
        <v/>
      </c>
      <c r="AH982" s="15" t="n">
        <f aca="false">IF($J982=1,IF($M982=1,AB982,AG982),"")</f>
        <v>1</v>
      </c>
      <c r="AI982" s="13" t="n">
        <f aca="false">IF($J982=1,(Ideal_P-E982)/Span_P,"")</f>
        <v>0.942292153523345</v>
      </c>
      <c r="AJ982" s="13" t="n">
        <f aca="false">IF($J982=1,(Ideal_S-F982)/Span_S,"")</f>
        <v>0</v>
      </c>
      <c r="AK982" s="13" t="n">
        <f aca="false">IF($J982=1,(Ideal_B-G982)/Span_B,"")</f>
        <v>0.533333333333333</v>
      </c>
      <c r="AL982" s="12" t="n">
        <f aca="false">IF($J982=1,MAX(ChA_1*AI982,ChA_2*AJ982,ChA_3*AK982)+Rho*(ChA_1*AI982+ChA_2*AJ982+ChA_3*AK982),"")</f>
        <v>0.942439716072031</v>
      </c>
      <c r="AM982" s="12" t="n">
        <f aca="false">IF($J982=1,MAX(ChB_1*AI982,ChB_2*AJ982,ChB_3*AK982)+Rho*(ChB_1*AI982+ChB_2*AJ982+ChB_3*AK982),"")</f>
        <v>1.88482609881073</v>
      </c>
      <c r="AN982" s="12" t="n">
        <f aca="false">IF($J982=1,MAX(Cx_1*(Ref_P-E982)/Span_P,Cx_2*(Ref_S-F982)/Span_S,Cx_3*(Ref_B-G982)/Span_B),"")</f>
        <v>2.37822864914765</v>
      </c>
    </row>
    <row r="983" customFormat="false" ht="15" hidden="false" customHeight="false" outlineLevel="0" collapsed="false">
      <c r="A983" s="2" t="n">
        <v>977</v>
      </c>
      <c r="B983" s="15" t="n">
        <f aca="false">INT(A983/151)</f>
        <v>6</v>
      </c>
      <c r="C983" s="15" t="n">
        <f aca="false">MOD(A983,151)</f>
        <v>71</v>
      </c>
      <c r="D983" s="15" t="n">
        <f aca="false">INDEX(Grid!$J$6:$P$156,C983+1,B983+1)</f>
        <v>1</v>
      </c>
      <c r="E983" s="16" t="n">
        <f aca="false">IF(D983=1,INDEX(Grid!$B$6:$H$156,C983+1,B983+1),"")</f>
        <v>42.0460486542659</v>
      </c>
      <c r="F983" s="13" t="n">
        <f aca="false">Val_pt*(Ceiling_e-E_zero)*(1-(1-Half_gap)^B983)</f>
        <v>137.8125</v>
      </c>
      <c r="G983" s="15" t="n">
        <f aca="false">C983</f>
        <v>71</v>
      </c>
      <c r="H983" s="15" t="n">
        <f aca="false">IF(D983=1,INDEX(Grid!$R$6:$X$156,C983+1,B983+1),"")</f>
        <v>63</v>
      </c>
      <c r="I983" s="2" t="str">
        <f aca="false">IF(D983=1,INDEX(Sch_label,H983+1),"")</f>
        <v>1–6</v>
      </c>
      <c r="J983" s="15" t="n">
        <f aca="false">IF(D983=1,INDEX(Grid!$Z$6:$AF$156,C983+1,B983+1),0)</f>
        <v>1</v>
      </c>
      <c r="K983" s="16" t="n">
        <f aca="false">IF(J983=1,E983,0)</f>
        <v>42.0460486542659</v>
      </c>
      <c r="L983" s="17" t="n">
        <f aca="false">IF(D983=1,E983+W_board*F983,"")</f>
        <v>819.961683509628</v>
      </c>
      <c r="M983" s="24" t="n">
        <v>1</v>
      </c>
      <c r="N983" s="25" t="n">
        <v>0.00265551057325526</v>
      </c>
      <c r="O983" s="25" t="n">
        <v>0.996344489426745</v>
      </c>
      <c r="P983" s="25" t="n">
        <v>0.001</v>
      </c>
      <c r="Z983" s="12" t="n">
        <f aca="false">IF(AND($J983=1,$M983=1),N983*E983/Span_P+O983*F983/Span_S+P983*G983/Span_B,"")</f>
        <v>2.02561079469717</v>
      </c>
      <c r="AA983" s="12" t="n">
        <f aca="false">IF(AND($J983=1,$M983=1),SUMPRODUCT(MAX($J$6:$J$1062*(N983*$K$6:$K$1062/Span_P+O983*$F$6:$F$1062/Span_S+P983*$G$6:$G$1062/Span_B)-(1-$J$6:$J$1062)*1000000000)),"")</f>
        <v>2.02561079469717</v>
      </c>
      <c r="AB983" s="15" t="n">
        <f aca="false">IF(AND($J983=1,$M983=1),IF(AA983-Z983&lt;=0.000000001,1,0),"")</f>
        <v>1</v>
      </c>
      <c r="AC983" s="13" t="str">
        <f aca="false">IF(AND($J983=1,$M983=0),IF(S983="",0,S983*INDEX(Grid!$B$6:$H$156,R983+1,Q983+1))+IF(V983="",0,V983*INDEX(Grid!$B$6:$H$156,U983+1,T983+1))+IF(Y983="",0,Y983*INDEX(Grid!$B$6:$H$156,X983+1,W983+1)),"")</f>
        <v/>
      </c>
      <c r="AD983" s="13" t="str">
        <f aca="false">IF(AND($J983=1,$M983=0),IF(S983="",0,S983*Val_pt*(Ceiling_e-E_zero)*(1-(1-Half_gap)^Q983))+IF(V983="",0,V983*Val_pt*(Ceiling_e-E_zero)*(1-(1-Half_gap)^T983))+IF(Y983="",0,Y983*Val_pt*(Ceiling_e-E_zero)*(1-(1-Half_gap)^W983)),"")</f>
        <v/>
      </c>
      <c r="AE983" s="13" t="str">
        <f aca="false">IF(AND($J983=1,$M983=0),IF(S983="",0,S983*R983)+IF(V983="",0,V983*U983)+IF(Y983="",0,Y983*X983),"")</f>
        <v/>
      </c>
      <c r="AF983" s="12" t="str">
        <f aca="false">IF(AND($J983=1,$M983=0),MIN((AC983-E983)/Span_P,(AD983-F983)/Span_S,(AE983-G983)/Span_B),"")</f>
        <v/>
      </c>
      <c r="AG983" s="15" t="str">
        <f aca="false">IF(AND($J983=1,$M983=0),IF(AF983&gt;0.0000001,1,0),"")</f>
        <v/>
      </c>
      <c r="AH983" s="15" t="n">
        <f aca="false">IF($J983=1,IF($M983=1,AB983,AG983),"")</f>
        <v>1</v>
      </c>
      <c r="AI983" s="13" t="n">
        <f aca="false">IF($J983=1,(Ideal_P-E983)/Span_P,"")</f>
        <v>0.944802656299651</v>
      </c>
      <c r="AJ983" s="13" t="n">
        <f aca="false">IF($J983=1,(Ideal_S-F983)/Span_S,"")</f>
        <v>0</v>
      </c>
      <c r="AK983" s="13" t="n">
        <f aca="false">IF($J983=1,(Ideal_B-G983)/Span_B,"")</f>
        <v>0.526666666666667</v>
      </c>
      <c r="AL983" s="12" t="n">
        <f aca="false">IF($J983=1,MAX(ChA_1*AI983,ChA_2*AJ983,ChA_3*AK983)+Rho*(ChA_1*AI983+ChA_2*AJ983+ChA_3*AK983),"")</f>
        <v>0.944949803231948</v>
      </c>
      <c r="AM983" s="12" t="n">
        <f aca="false">IF($J983=1,MAX(ChB_1*AI983,ChB_2*AJ983,ChB_3*AK983)+Rho*(ChB_1*AI983+ChB_2*AJ983+ChB_3*AK983),"")</f>
        <v>1.88984693979723</v>
      </c>
      <c r="AN983" s="12" t="n">
        <f aca="false">IF($J983=1,MAX(Cx_1*(Ref_P-E983)/Span_P,Cx_2*(Ref_S-F983)/Span_S,Cx_3*(Ref_B-G983)/Span_B),"")</f>
        <v>2.38449831083108</v>
      </c>
    </row>
    <row r="984" customFormat="false" ht="15" hidden="false" customHeight="false" outlineLevel="0" collapsed="false">
      <c r="A984" s="2" t="n">
        <v>978</v>
      </c>
      <c r="B984" s="15" t="n">
        <f aca="false">INT(A984/151)</f>
        <v>6</v>
      </c>
      <c r="C984" s="15" t="n">
        <f aca="false">MOD(A984,151)</f>
        <v>72</v>
      </c>
      <c r="D984" s="15" t="n">
        <f aca="false">INDEX(Grid!$J$6:$P$156,C984+1,B984+1)</f>
        <v>1</v>
      </c>
      <c r="E984" s="16" t="n">
        <f aca="false">IF(D984=1,INDEX(Grid!$B$6:$H$156,C984+1,B984+1),"")</f>
        <v>41.136957745175</v>
      </c>
      <c r="F984" s="13" t="n">
        <f aca="false">Val_pt*(Ceiling_e-E_zero)*(1-(1-Half_gap)^B984)</f>
        <v>137.8125</v>
      </c>
      <c r="G984" s="15" t="n">
        <f aca="false">C984</f>
        <v>72</v>
      </c>
      <c r="H984" s="15" t="n">
        <f aca="false">IF(D984=1,INDEX(Grid!$R$6:$X$156,C984+1,B984+1),"")</f>
        <v>63</v>
      </c>
      <c r="I984" s="2" t="str">
        <f aca="false">IF(D984=1,INDEX(Sch_label,H984+1),"")</f>
        <v>1–6</v>
      </c>
      <c r="J984" s="15" t="n">
        <f aca="false">IF(D984=1,INDEX(Grid!$Z$6:$AF$156,C984+1,B984+1),0)</f>
        <v>1</v>
      </c>
      <c r="K984" s="16" t="n">
        <f aca="false">IF(J984=1,E984,0)</f>
        <v>41.136957745175</v>
      </c>
      <c r="L984" s="17" t="n">
        <f aca="false">IF(D984=1,E984+W_board*F984,"")</f>
        <v>819.052592600537</v>
      </c>
      <c r="M984" s="24" t="n">
        <v>1</v>
      </c>
      <c r="N984" s="25" t="n">
        <v>0.00265551057325527</v>
      </c>
      <c r="O984" s="25" t="n">
        <v>0.996344489426745</v>
      </c>
      <c r="P984" s="25" t="n">
        <v>0.001</v>
      </c>
      <c r="Z984" s="12" t="n">
        <f aca="false">IF(AND($J984=1,$M984=1),N984*E984/Span_P+O984*F984/Span_S+P984*G984/Span_B,"")</f>
        <v>2.02561079469717</v>
      </c>
      <c r="AA984" s="12" t="n">
        <f aca="false">IF(AND($J984=1,$M984=1),SUMPRODUCT(MAX($J$6:$J$1062*(N984*$K$6:$K$1062/Span_P+O984*$F$6:$F$1062/Span_S+P984*$G$6:$G$1062/Span_B)-(1-$J$6:$J$1062)*1000000000)),"")</f>
        <v>2.02561079469717</v>
      </c>
      <c r="AB984" s="15" t="n">
        <f aca="false">IF(AND($J984=1,$M984=1),IF(AA984-Z984&lt;=0.000000001,1,0),"")</f>
        <v>1</v>
      </c>
      <c r="AC984" s="13" t="str">
        <f aca="false">IF(AND($J984=1,$M984=0),IF(S984="",0,S984*INDEX(Grid!$B$6:$H$156,R984+1,Q984+1))+IF(V984="",0,V984*INDEX(Grid!$B$6:$H$156,U984+1,T984+1))+IF(Y984="",0,Y984*INDEX(Grid!$B$6:$H$156,X984+1,W984+1)),"")</f>
        <v/>
      </c>
      <c r="AD984" s="13" t="str">
        <f aca="false">IF(AND($J984=1,$M984=0),IF(S984="",0,S984*Val_pt*(Ceiling_e-E_zero)*(1-(1-Half_gap)^Q984))+IF(V984="",0,V984*Val_pt*(Ceiling_e-E_zero)*(1-(1-Half_gap)^T984))+IF(Y984="",0,Y984*Val_pt*(Ceiling_e-E_zero)*(1-(1-Half_gap)^W984)),"")</f>
        <v/>
      </c>
      <c r="AE984" s="13" t="str">
        <f aca="false">IF(AND($J984=1,$M984=0),IF(S984="",0,S984*R984)+IF(V984="",0,V984*U984)+IF(Y984="",0,Y984*X984),"")</f>
        <v/>
      </c>
      <c r="AF984" s="12" t="str">
        <f aca="false">IF(AND($J984=1,$M984=0),MIN((AC984-E984)/Span_P,(AD984-F984)/Span_S,(AE984-G984)/Span_B),"")</f>
        <v/>
      </c>
      <c r="AG984" s="15" t="str">
        <f aca="false">IF(AND($J984=1,$M984=0),IF(AF984&gt;0.0000001,1,0),"")</f>
        <v/>
      </c>
      <c r="AH984" s="15" t="n">
        <f aca="false">IF($J984=1,IF($M984=1,AB984,AG984),"")</f>
        <v>1</v>
      </c>
      <c r="AI984" s="13" t="n">
        <f aca="false">IF($J984=1,(Ideal_P-E984)/Span_P,"")</f>
        <v>0.947313159075957</v>
      </c>
      <c r="AJ984" s="13" t="n">
        <f aca="false">IF($J984=1,(Ideal_S-F984)/Span_S,"")</f>
        <v>0</v>
      </c>
      <c r="AK984" s="13" t="n">
        <f aca="false">IF($J984=1,(Ideal_B-G984)/Span_B,"")</f>
        <v>0.52</v>
      </c>
      <c r="AL984" s="12" t="n">
        <f aca="false">IF($J984=1,MAX(ChA_1*AI984,ChA_2*AJ984,ChA_3*AK984)+Rho*(ChA_1*AI984+ChA_2*AJ984+ChA_3*AK984),"")</f>
        <v>0.947459890391864</v>
      </c>
      <c r="AM984" s="12" t="n">
        <f aca="false">IF($J984=1,MAX(ChB_1*AI984,ChB_2*AJ984,ChB_3*AK984)+Rho*(ChB_1*AI984+ChB_2*AJ984+ChB_3*AK984),"")</f>
        <v>1.89486778078373</v>
      </c>
      <c r="AN984" s="12" t="n">
        <f aca="false">IF($J984=1,MAX(Cx_1*(Ref_P-E984)/Span_P,Cx_2*(Ref_S-F984)/Span_S,Cx_3*(Ref_B-G984)/Span_B),"")</f>
        <v>2.3907679725145</v>
      </c>
    </row>
    <row r="985" customFormat="false" ht="15" hidden="false" customHeight="false" outlineLevel="0" collapsed="false">
      <c r="A985" s="2" t="n">
        <v>979</v>
      </c>
      <c r="B985" s="15" t="n">
        <f aca="false">INT(A985/151)</f>
        <v>6</v>
      </c>
      <c r="C985" s="15" t="n">
        <f aca="false">MOD(A985,151)</f>
        <v>73</v>
      </c>
      <c r="D985" s="15" t="n">
        <f aca="false">INDEX(Grid!$J$6:$P$156,C985+1,B985+1)</f>
        <v>1</v>
      </c>
      <c r="E985" s="16" t="n">
        <f aca="false">IF(D985=1,INDEX(Grid!$B$6:$H$156,C985+1,B985+1),"")</f>
        <v>40.2278668360841</v>
      </c>
      <c r="F985" s="13" t="n">
        <f aca="false">Val_pt*(Ceiling_e-E_zero)*(1-(1-Half_gap)^B985)</f>
        <v>137.8125</v>
      </c>
      <c r="G985" s="15" t="n">
        <f aca="false">C985</f>
        <v>73</v>
      </c>
      <c r="H985" s="15" t="n">
        <f aca="false">IF(D985=1,INDEX(Grid!$R$6:$X$156,C985+1,B985+1),"")</f>
        <v>63</v>
      </c>
      <c r="I985" s="2" t="str">
        <f aca="false">IF(D985=1,INDEX(Sch_label,H985+1),"")</f>
        <v>1–6</v>
      </c>
      <c r="J985" s="15" t="n">
        <f aca="false">IF(D985=1,INDEX(Grid!$Z$6:$AF$156,C985+1,B985+1),0)</f>
        <v>1</v>
      </c>
      <c r="K985" s="16" t="n">
        <f aca="false">IF(J985=1,E985,0)</f>
        <v>40.2278668360841</v>
      </c>
      <c r="L985" s="17" t="n">
        <f aca="false">IF(D985=1,E985+W_board*F985,"")</f>
        <v>818.143501691446</v>
      </c>
      <c r="M985" s="24" t="n">
        <v>1</v>
      </c>
      <c r="N985" s="25" t="n">
        <v>0.00265551057325526</v>
      </c>
      <c r="O985" s="25" t="n">
        <v>0.996344489426745</v>
      </c>
      <c r="P985" s="25" t="n">
        <v>0.001</v>
      </c>
      <c r="Z985" s="12" t="n">
        <f aca="false">IF(AND($J985=1,$M985=1),N985*E985/Span_P+O985*F985/Span_S+P985*G985/Span_B,"")</f>
        <v>2.02561079469717</v>
      </c>
      <c r="AA985" s="12" t="n">
        <f aca="false">IF(AND($J985=1,$M985=1),SUMPRODUCT(MAX($J$6:$J$1062*(N985*$K$6:$K$1062/Span_P+O985*$F$6:$F$1062/Span_S+P985*$G$6:$G$1062/Span_B)-(1-$J$6:$J$1062)*1000000000)),"")</f>
        <v>2.02561079469717</v>
      </c>
      <c r="AB985" s="15" t="n">
        <f aca="false">IF(AND($J985=1,$M985=1),IF(AA985-Z985&lt;=0.000000001,1,0),"")</f>
        <v>1</v>
      </c>
      <c r="AC985" s="13" t="str">
        <f aca="false">IF(AND($J985=1,$M985=0),IF(S985="",0,S985*INDEX(Grid!$B$6:$H$156,R985+1,Q985+1))+IF(V985="",0,V985*INDEX(Grid!$B$6:$H$156,U985+1,T985+1))+IF(Y985="",0,Y985*INDEX(Grid!$B$6:$H$156,X985+1,W985+1)),"")</f>
        <v/>
      </c>
      <c r="AD985" s="13" t="str">
        <f aca="false">IF(AND($J985=1,$M985=0),IF(S985="",0,S985*Val_pt*(Ceiling_e-E_zero)*(1-(1-Half_gap)^Q985))+IF(V985="",0,V985*Val_pt*(Ceiling_e-E_zero)*(1-(1-Half_gap)^T985))+IF(Y985="",0,Y985*Val_pt*(Ceiling_e-E_zero)*(1-(1-Half_gap)^W985)),"")</f>
        <v/>
      </c>
      <c r="AE985" s="13" t="str">
        <f aca="false">IF(AND($J985=1,$M985=0),IF(S985="",0,S985*R985)+IF(V985="",0,V985*U985)+IF(Y985="",0,Y985*X985),"")</f>
        <v/>
      </c>
      <c r="AF985" s="12" t="str">
        <f aca="false">IF(AND($J985=1,$M985=0),MIN((AC985-E985)/Span_P,(AD985-F985)/Span_S,(AE985-G985)/Span_B),"")</f>
        <v/>
      </c>
      <c r="AG985" s="15" t="str">
        <f aca="false">IF(AND($J985=1,$M985=0),IF(AF985&gt;0.0000001,1,0),"")</f>
        <v/>
      </c>
      <c r="AH985" s="15" t="n">
        <f aca="false">IF($J985=1,IF($M985=1,AB985,AG985),"")</f>
        <v>1</v>
      </c>
      <c r="AI985" s="13" t="n">
        <f aca="false">IF($J985=1,(Ideal_P-E985)/Span_P,"")</f>
        <v>0.949823661852263</v>
      </c>
      <c r="AJ985" s="13" t="n">
        <f aca="false">IF($J985=1,(Ideal_S-F985)/Span_S,"")</f>
        <v>0</v>
      </c>
      <c r="AK985" s="13" t="n">
        <f aca="false">IF($J985=1,(Ideal_B-G985)/Span_B,"")</f>
        <v>0.513333333333333</v>
      </c>
      <c r="AL985" s="12" t="n">
        <f aca="false">IF($J985=1,MAX(ChA_1*AI985,ChA_2*AJ985,ChA_3*AK985)+Rho*(ChA_1*AI985+ChA_2*AJ985+ChA_3*AK985),"")</f>
        <v>0.949969977551781</v>
      </c>
      <c r="AM985" s="12" t="n">
        <f aca="false">IF($J985=1,MAX(ChB_1*AI985,ChB_2*AJ985,ChB_3*AK985)+Rho*(ChB_1*AI985+ChB_2*AJ985+ChB_3*AK985),"")</f>
        <v>1.89988862177023</v>
      </c>
      <c r="AN985" s="12" t="n">
        <f aca="false">IF($J985=1,MAX(Cx_1*(Ref_P-E985)/Span_P,Cx_2*(Ref_S-F985)/Span_S,Cx_3*(Ref_B-G985)/Span_B),"")</f>
        <v>2.39703763419793</v>
      </c>
    </row>
    <row r="986" customFormat="false" ht="15" hidden="false" customHeight="false" outlineLevel="0" collapsed="false">
      <c r="A986" s="2" t="n">
        <v>980</v>
      </c>
      <c r="B986" s="15" t="n">
        <f aca="false">INT(A986/151)</f>
        <v>6</v>
      </c>
      <c r="C986" s="15" t="n">
        <f aca="false">MOD(A986,151)</f>
        <v>74</v>
      </c>
      <c r="D986" s="15" t="n">
        <f aca="false">INDEX(Grid!$J$6:$P$156,C986+1,B986+1)</f>
        <v>1</v>
      </c>
      <c r="E986" s="16" t="n">
        <f aca="false">IF(D986=1,INDEX(Grid!$B$6:$H$156,C986+1,B986+1),"")</f>
        <v>39.3187759269932</v>
      </c>
      <c r="F986" s="13" t="n">
        <f aca="false">Val_pt*(Ceiling_e-E_zero)*(1-(1-Half_gap)^B986)</f>
        <v>137.8125</v>
      </c>
      <c r="G986" s="15" t="n">
        <f aca="false">C986</f>
        <v>74</v>
      </c>
      <c r="H986" s="15" t="n">
        <f aca="false">IF(D986=1,INDEX(Grid!$R$6:$X$156,C986+1,B986+1),"")</f>
        <v>63</v>
      </c>
      <c r="I986" s="2" t="str">
        <f aca="false">IF(D986=1,INDEX(Sch_label,H986+1),"")</f>
        <v>1–6</v>
      </c>
      <c r="J986" s="15" t="n">
        <f aca="false">IF(D986=1,INDEX(Grid!$Z$6:$AF$156,C986+1,B986+1),0)</f>
        <v>1</v>
      </c>
      <c r="K986" s="16" t="n">
        <f aca="false">IF(J986=1,E986,0)</f>
        <v>39.3187759269932</v>
      </c>
      <c r="L986" s="17" t="n">
        <f aca="false">IF(D986=1,E986+W_board*F986,"")</f>
        <v>817.234410782355</v>
      </c>
      <c r="M986" s="24" t="n">
        <v>1</v>
      </c>
      <c r="N986" s="25" t="n">
        <v>0.00265551057325525</v>
      </c>
      <c r="O986" s="25" t="n">
        <v>0.996344489426745</v>
      </c>
      <c r="P986" s="25" t="n">
        <v>0.001</v>
      </c>
      <c r="Z986" s="12" t="n">
        <f aca="false">IF(AND($J986=1,$M986=1),N986*E986/Span_P+O986*F986/Span_S+P986*G986/Span_B,"")</f>
        <v>2.02561079469717</v>
      </c>
      <c r="AA986" s="12" t="n">
        <f aca="false">IF(AND($J986=1,$M986=1),SUMPRODUCT(MAX($J$6:$J$1062*(N986*$K$6:$K$1062/Span_P+O986*$F$6:$F$1062/Span_S+P986*$G$6:$G$1062/Span_B)-(1-$J$6:$J$1062)*1000000000)),"")</f>
        <v>2.02561079469717</v>
      </c>
      <c r="AB986" s="15" t="n">
        <f aca="false">IF(AND($J986=1,$M986=1),IF(AA986-Z986&lt;=0.000000001,1,0),"")</f>
        <v>1</v>
      </c>
      <c r="AC986" s="13" t="str">
        <f aca="false">IF(AND($J986=1,$M986=0),IF(S986="",0,S986*INDEX(Grid!$B$6:$H$156,R986+1,Q986+1))+IF(V986="",0,V986*INDEX(Grid!$B$6:$H$156,U986+1,T986+1))+IF(Y986="",0,Y986*INDEX(Grid!$B$6:$H$156,X986+1,W986+1)),"")</f>
        <v/>
      </c>
      <c r="AD986" s="13" t="str">
        <f aca="false">IF(AND($J986=1,$M986=0),IF(S986="",0,S986*Val_pt*(Ceiling_e-E_zero)*(1-(1-Half_gap)^Q986))+IF(V986="",0,V986*Val_pt*(Ceiling_e-E_zero)*(1-(1-Half_gap)^T986))+IF(Y986="",0,Y986*Val_pt*(Ceiling_e-E_zero)*(1-(1-Half_gap)^W986)),"")</f>
        <v/>
      </c>
      <c r="AE986" s="13" t="str">
        <f aca="false">IF(AND($J986=1,$M986=0),IF(S986="",0,S986*R986)+IF(V986="",0,V986*U986)+IF(Y986="",0,Y986*X986),"")</f>
        <v/>
      </c>
      <c r="AF986" s="12" t="str">
        <f aca="false">IF(AND($J986=1,$M986=0),MIN((AC986-E986)/Span_P,(AD986-F986)/Span_S,(AE986-G986)/Span_B),"")</f>
        <v/>
      </c>
      <c r="AG986" s="15" t="str">
        <f aca="false">IF(AND($J986=1,$M986=0),IF(AF986&gt;0.0000001,1,0),"")</f>
        <v/>
      </c>
      <c r="AH986" s="15" t="n">
        <f aca="false">IF($J986=1,IF($M986=1,AB986,AG986),"")</f>
        <v>1</v>
      </c>
      <c r="AI986" s="13" t="n">
        <f aca="false">IF($J986=1,(Ideal_P-E986)/Span_P,"")</f>
        <v>0.952334164628568</v>
      </c>
      <c r="AJ986" s="13" t="n">
        <f aca="false">IF($J986=1,(Ideal_S-F986)/Span_S,"")</f>
        <v>0</v>
      </c>
      <c r="AK986" s="13" t="n">
        <f aca="false">IF($J986=1,(Ideal_B-G986)/Span_B,"")</f>
        <v>0.506666666666667</v>
      </c>
      <c r="AL986" s="12" t="n">
        <f aca="false">IF($J986=1,MAX(ChA_1*AI986,ChA_2*AJ986,ChA_3*AK986)+Rho*(ChA_1*AI986+ChA_2*AJ986+ChA_3*AK986),"")</f>
        <v>0.952480064711698</v>
      </c>
      <c r="AM986" s="12" t="n">
        <f aca="false">IF($J986=1,MAX(ChB_1*AI986,ChB_2*AJ986,ChB_3*AK986)+Rho*(ChB_1*AI986+ChB_2*AJ986+ChB_3*AK986),"")</f>
        <v>1.90490946275673</v>
      </c>
      <c r="AN986" s="12" t="n">
        <f aca="false">IF($J986=1,MAX(Cx_1*(Ref_P-E986)/Span_P,Cx_2*(Ref_S-F986)/Span_S,Cx_3*(Ref_B-G986)/Span_B),"")</f>
        <v>2.40330729588136</v>
      </c>
    </row>
    <row r="987" customFormat="false" ht="15" hidden="false" customHeight="false" outlineLevel="0" collapsed="false">
      <c r="A987" s="2" t="n">
        <v>981</v>
      </c>
      <c r="B987" s="15" t="n">
        <f aca="false">INT(A987/151)</f>
        <v>6</v>
      </c>
      <c r="C987" s="15" t="n">
        <f aca="false">MOD(A987,151)</f>
        <v>75</v>
      </c>
      <c r="D987" s="15" t="n">
        <f aca="false">INDEX(Grid!$J$6:$P$156,C987+1,B987+1)</f>
        <v>1</v>
      </c>
      <c r="E987" s="16" t="n">
        <f aca="false">IF(D987=1,INDEX(Grid!$B$6:$H$156,C987+1,B987+1),"")</f>
        <v>38.4096850179023</v>
      </c>
      <c r="F987" s="13" t="n">
        <f aca="false">Val_pt*(Ceiling_e-E_zero)*(1-(1-Half_gap)^B987)</f>
        <v>137.8125</v>
      </c>
      <c r="G987" s="15" t="n">
        <f aca="false">C987</f>
        <v>75</v>
      </c>
      <c r="H987" s="15" t="n">
        <f aca="false">IF(D987=1,INDEX(Grid!$R$6:$X$156,C987+1,B987+1),"")</f>
        <v>63</v>
      </c>
      <c r="I987" s="2" t="str">
        <f aca="false">IF(D987=1,INDEX(Sch_label,H987+1),"")</f>
        <v>1–6</v>
      </c>
      <c r="J987" s="15" t="n">
        <f aca="false">IF(D987=1,INDEX(Grid!$Z$6:$AF$156,C987+1,B987+1),0)</f>
        <v>1</v>
      </c>
      <c r="K987" s="16" t="n">
        <f aca="false">IF(J987=1,E987,0)</f>
        <v>38.4096850179023</v>
      </c>
      <c r="L987" s="17" t="n">
        <f aca="false">IF(D987=1,E987+W_board*F987,"")</f>
        <v>816.325319873264</v>
      </c>
      <c r="M987" s="24" t="n">
        <v>1</v>
      </c>
      <c r="N987" s="25" t="n">
        <v>0.00265551057325528</v>
      </c>
      <c r="O987" s="25" t="n">
        <v>0.996344489426745</v>
      </c>
      <c r="P987" s="25" t="n">
        <v>0.001</v>
      </c>
      <c r="Z987" s="12" t="n">
        <f aca="false">IF(AND($J987=1,$M987=1),N987*E987/Span_P+O987*F987/Span_S+P987*G987/Span_B,"")</f>
        <v>2.02561079469717</v>
      </c>
      <c r="AA987" s="12" t="n">
        <f aca="false">IF(AND($J987=1,$M987=1),SUMPRODUCT(MAX($J$6:$J$1062*(N987*$K$6:$K$1062/Span_P+O987*$F$6:$F$1062/Span_S+P987*$G$6:$G$1062/Span_B)-(1-$J$6:$J$1062)*1000000000)),"")</f>
        <v>2.02561079469717</v>
      </c>
      <c r="AB987" s="15" t="n">
        <f aca="false">IF(AND($J987=1,$M987=1),IF(AA987-Z987&lt;=0.000000001,1,0),"")</f>
        <v>1</v>
      </c>
      <c r="AC987" s="13" t="str">
        <f aca="false">IF(AND($J987=1,$M987=0),IF(S987="",0,S987*INDEX(Grid!$B$6:$H$156,R987+1,Q987+1))+IF(V987="",0,V987*INDEX(Grid!$B$6:$H$156,U987+1,T987+1))+IF(Y987="",0,Y987*INDEX(Grid!$B$6:$H$156,X987+1,W987+1)),"")</f>
        <v/>
      </c>
      <c r="AD987" s="13" t="str">
        <f aca="false">IF(AND($J987=1,$M987=0),IF(S987="",0,S987*Val_pt*(Ceiling_e-E_zero)*(1-(1-Half_gap)^Q987))+IF(V987="",0,V987*Val_pt*(Ceiling_e-E_zero)*(1-(1-Half_gap)^T987))+IF(Y987="",0,Y987*Val_pt*(Ceiling_e-E_zero)*(1-(1-Half_gap)^W987)),"")</f>
        <v/>
      </c>
      <c r="AE987" s="13" t="str">
        <f aca="false">IF(AND($J987=1,$M987=0),IF(S987="",0,S987*R987)+IF(V987="",0,V987*U987)+IF(Y987="",0,Y987*X987),"")</f>
        <v/>
      </c>
      <c r="AF987" s="12" t="str">
        <f aca="false">IF(AND($J987=1,$M987=0),MIN((AC987-E987)/Span_P,(AD987-F987)/Span_S,(AE987-G987)/Span_B),"")</f>
        <v/>
      </c>
      <c r="AG987" s="15" t="str">
        <f aca="false">IF(AND($J987=1,$M987=0),IF(AF987&gt;0.0000001,1,0),"")</f>
        <v/>
      </c>
      <c r="AH987" s="15" t="n">
        <f aca="false">IF($J987=1,IF($M987=1,AB987,AG987),"")</f>
        <v>1</v>
      </c>
      <c r="AI987" s="13" t="n">
        <f aca="false">IF($J987=1,(Ideal_P-E987)/Span_P,"")</f>
        <v>0.954844667404874</v>
      </c>
      <c r="AJ987" s="13" t="n">
        <f aca="false">IF($J987=1,(Ideal_S-F987)/Span_S,"")</f>
        <v>0</v>
      </c>
      <c r="AK987" s="13" t="n">
        <f aca="false">IF($J987=1,(Ideal_B-G987)/Span_B,"")</f>
        <v>0.5</v>
      </c>
      <c r="AL987" s="12" t="n">
        <f aca="false">IF($J987=1,MAX(ChA_1*AI987,ChA_2*AJ987,ChA_3*AK987)+Rho*(ChA_1*AI987+ChA_2*AJ987+ChA_3*AK987),"")</f>
        <v>0.954990151871615</v>
      </c>
      <c r="AM987" s="12" t="n">
        <f aca="false">IF($J987=1,MAX(ChB_1*AI987,ChB_2*AJ987,ChB_3*AK987)+Rho*(ChB_1*AI987+ChB_2*AJ987+ChB_3*AK987),"")</f>
        <v>1.90993030374323</v>
      </c>
      <c r="AN987" s="12" t="n">
        <f aca="false">IF($J987=1,MAX(Cx_1*(Ref_P-E987)/Span_P,Cx_2*(Ref_S-F987)/Span_S,Cx_3*(Ref_B-G987)/Span_B),"")</f>
        <v>2.40957695756479</v>
      </c>
    </row>
    <row r="988" customFormat="false" ht="15" hidden="false" customHeight="false" outlineLevel="0" collapsed="false">
      <c r="A988" s="2" t="n">
        <v>982</v>
      </c>
      <c r="B988" s="15" t="n">
        <f aca="false">INT(A988/151)</f>
        <v>6</v>
      </c>
      <c r="C988" s="15" t="n">
        <f aca="false">MOD(A988,151)</f>
        <v>76</v>
      </c>
      <c r="D988" s="15" t="n">
        <f aca="false">INDEX(Grid!$J$6:$P$156,C988+1,B988+1)</f>
        <v>1</v>
      </c>
      <c r="E988" s="16" t="n">
        <f aca="false">IF(D988=1,INDEX(Grid!$B$6:$H$156,C988+1,B988+1),"")</f>
        <v>37.5005941088114</v>
      </c>
      <c r="F988" s="13" t="n">
        <f aca="false">Val_pt*(Ceiling_e-E_zero)*(1-(1-Half_gap)^B988)</f>
        <v>137.8125</v>
      </c>
      <c r="G988" s="15" t="n">
        <f aca="false">C988</f>
        <v>76</v>
      </c>
      <c r="H988" s="15" t="n">
        <f aca="false">IF(D988=1,INDEX(Grid!$R$6:$X$156,C988+1,B988+1),"")</f>
        <v>63</v>
      </c>
      <c r="I988" s="2" t="str">
        <f aca="false">IF(D988=1,INDEX(Sch_label,H988+1),"")</f>
        <v>1–6</v>
      </c>
      <c r="J988" s="15" t="n">
        <f aca="false">IF(D988=1,INDEX(Grid!$Z$6:$AF$156,C988+1,B988+1),0)</f>
        <v>1</v>
      </c>
      <c r="K988" s="16" t="n">
        <f aca="false">IF(J988=1,E988,0)</f>
        <v>37.5005941088114</v>
      </c>
      <c r="L988" s="17" t="n">
        <f aca="false">IF(D988=1,E988+W_board*F988,"")</f>
        <v>815.416228964173</v>
      </c>
      <c r="M988" s="24" t="n">
        <v>1</v>
      </c>
      <c r="N988" s="25" t="n">
        <v>0.00265551057325525</v>
      </c>
      <c r="O988" s="25" t="n">
        <v>0.996344489426745</v>
      </c>
      <c r="P988" s="25" t="n">
        <v>0.001</v>
      </c>
      <c r="Z988" s="12" t="n">
        <f aca="false">IF(AND($J988=1,$M988=1),N988*E988/Span_P+O988*F988/Span_S+P988*G988/Span_B,"")</f>
        <v>2.02561079469717</v>
      </c>
      <c r="AA988" s="12" t="n">
        <f aca="false">IF(AND($J988=1,$M988=1),SUMPRODUCT(MAX($J$6:$J$1062*(N988*$K$6:$K$1062/Span_P+O988*$F$6:$F$1062/Span_S+P988*$G$6:$G$1062/Span_B)-(1-$J$6:$J$1062)*1000000000)),"")</f>
        <v>2.02561079469717</v>
      </c>
      <c r="AB988" s="15" t="n">
        <f aca="false">IF(AND($J988=1,$M988=1),IF(AA988-Z988&lt;=0.000000001,1,0),"")</f>
        <v>1</v>
      </c>
      <c r="AC988" s="13" t="str">
        <f aca="false">IF(AND($J988=1,$M988=0),IF(S988="",0,S988*INDEX(Grid!$B$6:$H$156,R988+1,Q988+1))+IF(V988="",0,V988*INDEX(Grid!$B$6:$H$156,U988+1,T988+1))+IF(Y988="",0,Y988*INDEX(Grid!$B$6:$H$156,X988+1,W988+1)),"")</f>
        <v/>
      </c>
      <c r="AD988" s="13" t="str">
        <f aca="false">IF(AND($J988=1,$M988=0),IF(S988="",0,S988*Val_pt*(Ceiling_e-E_zero)*(1-(1-Half_gap)^Q988))+IF(V988="",0,V988*Val_pt*(Ceiling_e-E_zero)*(1-(1-Half_gap)^T988))+IF(Y988="",0,Y988*Val_pt*(Ceiling_e-E_zero)*(1-(1-Half_gap)^W988)),"")</f>
        <v/>
      </c>
      <c r="AE988" s="13" t="str">
        <f aca="false">IF(AND($J988=1,$M988=0),IF(S988="",0,S988*R988)+IF(V988="",0,V988*U988)+IF(Y988="",0,Y988*X988),"")</f>
        <v/>
      </c>
      <c r="AF988" s="12" t="str">
        <f aca="false">IF(AND($J988=1,$M988=0),MIN((AC988-E988)/Span_P,(AD988-F988)/Span_S,(AE988-G988)/Span_B),"")</f>
        <v/>
      </c>
      <c r="AG988" s="15" t="str">
        <f aca="false">IF(AND($J988=1,$M988=0),IF(AF988&gt;0.0000001,1,0),"")</f>
        <v/>
      </c>
      <c r="AH988" s="15" t="n">
        <f aca="false">IF($J988=1,IF($M988=1,AB988,AG988),"")</f>
        <v>1</v>
      </c>
      <c r="AI988" s="13" t="n">
        <f aca="false">IF($J988=1,(Ideal_P-E988)/Span_P,"")</f>
        <v>0.95735517018118</v>
      </c>
      <c r="AJ988" s="13" t="n">
        <f aca="false">IF($J988=1,(Ideal_S-F988)/Span_S,"")</f>
        <v>0</v>
      </c>
      <c r="AK988" s="13" t="n">
        <f aca="false">IF($J988=1,(Ideal_B-G988)/Span_B,"")</f>
        <v>0.493333333333333</v>
      </c>
      <c r="AL988" s="12" t="n">
        <f aca="false">IF($J988=1,MAX(ChA_1*AI988,ChA_2*AJ988,ChA_3*AK988)+Rho*(ChA_1*AI988+ChA_2*AJ988+ChA_3*AK988),"")</f>
        <v>0.957500239031531</v>
      </c>
      <c r="AM988" s="12" t="n">
        <f aca="false">IF($J988=1,MAX(ChB_1*AI988,ChB_2*AJ988,ChB_3*AK988)+Rho*(ChB_1*AI988+ChB_2*AJ988+ChB_3*AK988),"")</f>
        <v>1.91495114472973</v>
      </c>
      <c r="AN988" s="12" t="n">
        <f aca="false">IF($J988=1,MAX(Cx_1*(Ref_P-E988)/Span_P,Cx_2*(Ref_S-F988)/Span_S,Cx_3*(Ref_B-G988)/Span_B),"")</f>
        <v>2.41584661924822</v>
      </c>
    </row>
    <row r="989" customFormat="false" ht="15" hidden="false" customHeight="false" outlineLevel="0" collapsed="false">
      <c r="A989" s="2" t="n">
        <v>983</v>
      </c>
      <c r="B989" s="15" t="n">
        <f aca="false">INT(A989/151)</f>
        <v>6</v>
      </c>
      <c r="C989" s="15" t="n">
        <f aca="false">MOD(A989,151)</f>
        <v>77</v>
      </c>
      <c r="D989" s="15" t="n">
        <f aca="false">INDEX(Grid!$J$6:$P$156,C989+1,B989+1)</f>
        <v>1</v>
      </c>
      <c r="E989" s="16" t="n">
        <f aca="false">IF(D989=1,INDEX(Grid!$B$6:$H$156,C989+1,B989+1),"")</f>
        <v>36.5915031997205</v>
      </c>
      <c r="F989" s="13" t="n">
        <f aca="false">Val_pt*(Ceiling_e-E_zero)*(1-(1-Half_gap)^B989)</f>
        <v>137.8125</v>
      </c>
      <c r="G989" s="15" t="n">
        <f aca="false">C989</f>
        <v>77</v>
      </c>
      <c r="H989" s="15" t="n">
        <f aca="false">IF(D989=1,INDEX(Grid!$R$6:$X$156,C989+1,B989+1),"")</f>
        <v>63</v>
      </c>
      <c r="I989" s="2" t="str">
        <f aca="false">IF(D989=1,INDEX(Sch_label,H989+1),"")</f>
        <v>1–6</v>
      </c>
      <c r="J989" s="15" t="n">
        <f aca="false">IF(D989=1,INDEX(Grid!$Z$6:$AF$156,C989+1,B989+1),0)</f>
        <v>1</v>
      </c>
      <c r="K989" s="16" t="n">
        <f aca="false">IF(J989=1,E989,0)</f>
        <v>36.5915031997205</v>
      </c>
      <c r="L989" s="17" t="n">
        <f aca="false">IF(D989=1,E989+W_board*F989,"")</f>
        <v>814.507138055082</v>
      </c>
      <c r="M989" s="24" t="n">
        <v>1</v>
      </c>
      <c r="N989" s="25" t="n">
        <v>0.00265551057325525</v>
      </c>
      <c r="O989" s="25" t="n">
        <v>0.996344489426745</v>
      </c>
      <c r="P989" s="25" t="n">
        <v>0.001</v>
      </c>
      <c r="Z989" s="12" t="n">
        <f aca="false">IF(AND($J989=1,$M989=1),N989*E989/Span_P+O989*F989/Span_S+P989*G989/Span_B,"")</f>
        <v>2.02561079469717</v>
      </c>
      <c r="AA989" s="12" t="n">
        <f aca="false">IF(AND($J989=1,$M989=1),SUMPRODUCT(MAX($J$6:$J$1062*(N989*$K$6:$K$1062/Span_P+O989*$F$6:$F$1062/Span_S+P989*$G$6:$G$1062/Span_B)-(1-$J$6:$J$1062)*1000000000)),"")</f>
        <v>2.02561079469717</v>
      </c>
      <c r="AB989" s="15" t="n">
        <f aca="false">IF(AND($J989=1,$M989=1),IF(AA989-Z989&lt;=0.000000001,1,0),"")</f>
        <v>1</v>
      </c>
      <c r="AC989" s="13" t="str">
        <f aca="false">IF(AND($J989=1,$M989=0),IF(S989="",0,S989*INDEX(Grid!$B$6:$H$156,R989+1,Q989+1))+IF(V989="",0,V989*INDEX(Grid!$B$6:$H$156,U989+1,T989+1))+IF(Y989="",0,Y989*INDEX(Grid!$B$6:$H$156,X989+1,W989+1)),"")</f>
        <v/>
      </c>
      <c r="AD989" s="13" t="str">
        <f aca="false">IF(AND($J989=1,$M989=0),IF(S989="",0,S989*Val_pt*(Ceiling_e-E_zero)*(1-(1-Half_gap)^Q989))+IF(V989="",0,V989*Val_pt*(Ceiling_e-E_zero)*(1-(1-Half_gap)^T989))+IF(Y989="",0,Y989*Val_pt*(Ceiling_e-E_zero)*(1-(1-Half_gap)^W989)),"")</f>
        <v/>
      </c>
      <c r="AE989" s="13" t="str">
        <f aca="false">IF(AND($J989=1,$M989=0),IF(S989="",0,S989*R989)+IF(V989="",0,V989*U989)+IF(Y989="",0,Y989*X989),"")</f>
        <v/>
      </c>
      <c r="AF989" s="12" t="str">
        <f aca="false">IF(AND($J989=1,$M989=0),MIN((AC989-E989)/Span_P,(AD989-F989)/Span_S,(AE989-G989)/Span_B),"")</f>
        <v/>
      </c>
      <c r="AG989" s="15" t="str">
        <f aca="false">IF(AND($J989=1,$M989=0),IF(AF989&gt;0.0000001,1,0),"")</f>
        <v/>
      </c>
      <c r="AH989" s="15" t="n">
        <f aca="false">IF($J989=1,IF($M989=1,AB989,AG989),"")</f>
        <v>1</v>
      </c>
      <c r="AI989" s="13" t="n">
        <f aca="false">IF($J989=1,(Ideal_P-E989)/Span_P,"")</f>
        <v>0.959865672957486</v>
      </c>
      <c r="AJ989" s="13" t="n">
        <f aca="false">IF($J989=1,(Ideal_S-F989)/Span_S,"")</f>
        <v>0</v>
      </c>
      <c r="AK989" s="13" t="n">
        <f aca="false">IF($J989=1,(Ideal_B-G989)/Span_B,"")</f>
        <v>0.486666666666667</v>
      </c>
      <c r="AL989" s="12" t="n">
        <f aca="false">IF($J989=1,MAX(ChA_1*AI989,ChA_2*AJ989,ChA_3*AK989)+Rho*(ChA_1*AI989+ChA_2*AJ989+ChA_3*AK989),"")</f>
        <v>0.960010326191448</v>
      </c>
      <c r="AM989" s="12" t="n">
        <f aca="false">IF($J989=1,MAX(ChB_1*AI989,ChB_2*AJ989,ChB_3*AK989)+Rho*(ChB_1*AI989+ChB_2*AJ989+ChB_3*AK989),"")</f>
        <v>1.91997198571623</v>
      </c>
      <c r="AN989" s="12" t="n">
        <f aca="false">IF($J989=1,MAX(Cx_1*(Ref_P-E989)/Span_P,Cx_2*(Ref_S-F989)/Span_S,Cx_3*(Ref_B-G989)/Span_B),"")</f>
        <v>2.42211628093165</v>
      </c>
    </row>
    <row r="990" customFormat="false" ht="15" hidden="false" customHeight="false" outlineLevel="0" collapsed="false">
      <c r="A990" s="2" t="n">
        <v>984</v>
      </c>
      <c r="B990" s="15" t="n">
        <f aca="false">INT(A990/151)</f>
        <v>6</v>
      </c>
      <c r="C990" s="15" t="n">
        <f aca="false">MOD(A990,151)</f>
        <v>78</v>
      </c>
      <c r="D990" s="15" t="n">
        <f aca="false">INDEX(Grid!$J$6:$P$156,C990+1,B990+1)</f>
        <v>1</v>
      </c>
      <c r="E990" s="16" t="n">
        <f aca="false">IF(D990=1,INDEX(Grid!$B$6:$H$156,C990+1,B990+1),"")</f>
        <v>35.6824122906296</v>
      </c>
      <c r="F990" s="13" t="n">
        <f aca="false">Val_pt*(Ceiling_e-E_zero)*(1-(1-Half_gap)^B990)</f>
        <v>137.8125</v>
      </c>
      <c r="G990" s="15" t="n">
        <f aca="false">C990</f>
        <v>78</v>
      </c>
      <c r="H990" s="15" t="n">
        <f aca="false">IF(D990=1,INDEX(Grid!$R$6:$X$156,C990+1,B990+1),"")</f>
        <v>63</v>
      </c>
      <c r="I990" s="2" t="str">
        <f aca="false">IF(D990=1,INDEX(Sch_label,H990+1),"")</f>
        <v>1–6</v>
      </c>
      <c r="J990" s="15" t="n">
        <f aca="false">IF(D990=1,INDEX(Grid!$Z$6:$AF$156,C990+1,B990+1),0)</f>
        <v>1</v>
      </c>
      <c r="K990" s="16" t="n">
        <f aca="false">IF(J990=1,E990,0)</f>
        <v>35.6824122906296</v>
      </c>
      <c r="L990" s="17" t="n">
        <f aca="false">IF(D990=1,E990+W_board*F990,"")</f>
        <v>813.598047145992</v>
      </c>
      <c r="M990" s="24" t="n">
        <v>1</v>
      </c>
      <c r="N990" s="25" t="n">
        <v>0.00265551057325525</v>
      </c>
      <c r="O990" s="25" t="n">
        <v>0.996344489426745</v>
      </c>
      <c r="P990" s="25" t="n">
        <v>0.001</v>
      </c>
      <c r="Z990" s="12" t="n">
        <f aca="false">IF(AND($J990=1,$M990=1),N990*E990/Span_P+O990*F990/Span_S+P990*G990/Span_B,"")</f>
        <v>2.02561079469717</v>
      </c>
      <c r="AA990" s="12" t="n">
        <f aca="false">IF(AND($J990=1,$M990=1),SUMPRODUCT(MAX($J$6:$J$1062*(N990*$K$6:$K$1062/Span_P+O990*$F$6:$F$1062/Span_S+P990*$G$6:$G$1062/Span_B)-(1-$J$6:$J$1062)*1000000000)),"")</f>
        <v>2.02561079469717</v>
      </c>
      <c r="AB990" s="15" t="n">
        <f aca="false">IF(AND($J990=1,$M990=1),IF(AA990-Z990&lt;=0.000000001,1,0),"")</f>
        <v>1</v>
      </c>
      <c r="AC990" s="13" t="str">
        <f aca="false">IF(AND($J990=1,$M990=0),IF(S990="",0,S990*INDEX(Grid!$B$6:$H$156,R990+1,Q990+1))+IF(V990="",0,V990*INDEX(Grid!$B$6:$H$156,U990+1,T990+1))+IF(Y990="",0,Y990*INDEX(Grid!$B$6:$H$156,X990+1,W990+1)),"")</f>
        <v/>
      </c>
      <c r="AD990" s="13" t="str">
        <f aca="false">IF(AND($J990=1,$M990=0),IF(S990="",0,S990*Val_pt*(Ceiling_e-E_zero)*(1-(1-Half_gap)^Q990))+IF(V990="",0,V990*Val_pt*(Ceiling_e-E_zero)*(1-(1-Half_gap)^T990))+IF(Y990="",0,Y990*Val_pt*(Ceiling_e-E_zero)*(1-(1-Half_gap)^W990)),"")</f>
        <v/>
      </c>
      <c r="AE990" s="13" t="str">
        <f aca="false">IF(AND($J990=1,$M990=0),IF(S990="",0,S990*R990)+IF(V990="",0,V990*U990)+IF(Y990="",0,Y990*X990),"")</f>
        <v/>
      </c>
      <c r="AF990" s="12" t="str">
        <f aca="false">IF(AND($J990=1,$M990=0),MIN((AC990-E990)/Span_P,(AD990-F990)/Span_S,(AE990-G990)/Span_B),"")</f>
        <v/>
      </c>
      <c r="AG990" s="15" t="str">
        <f aca="false">IF(AND($J990=1,$M990=0),IF(AF990&gt;0.0000001,1,0),"")</f>
        <v/>
      </c>
      <c r="AH990" s="15" t="n">
        <f aca="false">IF($J990=1,IF($M990=1,AB990,AG990),"")</f>
        <v>1</v>
      </c>
      <c r="AI990" s="13" t="n">
        <f aca="false">IF($J990=1,(Ideal_P-E990)/Span_P,"")</f>
        <v>0.962376175733791</v>
      </c>
      <c r="AJ990" s="13" t="n">
        <f aca="false">IF($J990=1,(Ideal_S-F990)/Span_S,"")</f>
        <v>0</v>
      </c>
      <c r="AK990" s="13" t="n">
        <f aca="false">IF($J990=1,(Ideal_B-G990)/Span_B,"")</f>
        <v>0.48</v>
      </c>
      <c r="AL990" s="12" t="n">
        <f aca="false">IF($J990=1,MAX(ChA_1*AI990,ChA_2*AJ990,ChA_3*AK990)+Rho*(ChA_1*AI990+ChA_2*AJ990+ChA_3*AK990),"")</f>
        <v>0.962520413351365</v>
      </c>
      <c r="AM990" s="12" t="n">
        <f aca="false">IF($J990=1,MAX(ChB_1*AI990,ChB_2*AJ990,ChB_3*AK990)+Rho*(ChB_1*AI990+ChB_2*AJ990+ChB_3*AK990),"")</f>
        <v>1.92499282670273</v>
      </c>
      <c r="AN990" s="12" t="n">
        <f aca="false">IF($J990=1,MAX(Cx_1*(Ref_P-E990)/Span_P,Cx_2*(Ref_S-F990)/Span_S,Cx_3*(Ref_B-G990)/Span_B),"")</f>
        <v>2.42838594261508</v>
      </c>
    </row>
    <row r="991" customFormat="false" ht="15" hidden="false" customHeight="false" outlineLevel="0" collapsed="false">
      <c r="A991" s="2" t="n">
        <v>985</v>
      </c>
      <c r="B991" s="15" t="n">
        <f aca="false">INT(A991/151)</f>
        <v>6</v>
      </c>
      <c r="C991" s="15" t="n">
        <f aca="false">MOD(A991,151)</f>
        <v>79</v>
      </c>
      <c r="D991" s="15" t="n">
        <f aca="false">INDEX(Grid!$J$6:$P$156,C991+1,B991+1)</f>
        <v>1</v>
      </c>
      <c r="E991" s="16" t="n">
        <f aca="false">IF(D991=1,INDEX(Grid!$B$6:$H$156,C991+1,B991+1),"")</f>
        <v>34.7733213815387</v>
      </c>
      <c r="F991" s="13" t="n">
        <f aca="false">Val_pt*(Ceiling_e-E_zero)*(1-(1-Half_gap)^B991)</f>
        <v>137.8125</v>
      </c>
      <c r="G991" s="15" t="n">
        <f aca="false">C991</f>
        <v>79</v>
      </c>
      <c r="H991" s="15" t="n">
        <f aca="false">IF(D991=1,INDEX(Grid!$R$6:$X$156,C991+1,B991+1),"")</f>
        <v>63</v>
      </c>
      <c r="I991" s="2" t="str">
        <f aca="false">IF(D991=1,INDEX(Sch_label,H991+1),"")</f>
        <v>1–6</v>
      </c>
      <c r="J991" s="15" t="n">
        <f aca="false">IF(D991=1,INDEX(Grid!$Z$6:$AF$156,C991+1,B991+1),0)</f>
        <v>1</v>
      </c>
      <c r="K991" s="16" t="n">
        <f aca="false">IF(J991=1,E991,0)</f>
        <v>34.7733213815387</v>
      </c>
      <c r="L991" s="17" t="n">
        <f aca="false">IF(D991=1,E991+W_board*F991,"")</f>
        <v>812.688956236901</v>
      </c>
      <c r="M991" s="24" t="n">
        <v>1</v>
      </c>
      <c r="N991" s="25" t="n">
        <v>0.00265551057325525</v>
      </c>
      <c r="O991" s="25" t="n">
        <v>0.996344489426745</v>
      </c>
      <c r="P991" s="25" t="n">
        <v>0.001</v>
      </c>
      <c r="Z991" s="12" t="n">
        <f aca="false">IF(AND($J991=1,$M991=1),N991*E991/Span_P+O991*F991/Span_S+P991*G991/Span_B,"")</f>
        <v>2.02561079469717</v>
      </c>
      <c r="AA991" s="12" t="n">
        <f aca="false">IF(AND($J991=1,$M991=1),SUMPRODUCT(MAX($J$6:$J$1062*(N991*$K$6:$K$1062/Span_P+O991*$F$6:$F$1062/Span_S+P991*$G$6:$G$1062/Span_B)-(1-$J$6:$J$1062)*1000000000)),"")</f>
        <v>2.02561079469717</v>
      </c>
      <c r="AB991" s="15" t="n">
        <f aca="false">IF(AND($J991=1,$M991=1),IF(AA991-Z991&lt;=0.000000001,1,0),"")</f>
        <v>1</v>
      </c>
      <c r="AC991" s="13" t="str">
        <f aca="false">IF(AND($J991=1,$M991=0),IF(S991="",0,S991*INDEX(Grid!$B$6:$H$156,R991+1,Q991+1))+IF(V991="",0,V991*INDEX(Grid!$B$6:$H$156,U991+1,T991+1))+IF(Y991="",0,Y991*INDEX(Grid!$B$6:$H$156,X991+1,W991+1)),"")</f>
        <v/>
      </c>
      <c r="AD991" s="13" t="str">
        <f aca="false">IF(AND($J991=1,$M991=0),IF(S991="",0,S991*Val_pt*(Ceiling_e-E_zero)*(1-(1-Half_gap)^Q991))+IF(V991="",0,V991*Val_pt*(Ceiling_e-E_zero)*(1-(1-Half_gap)^T991))+IF(Y991="",0,Y991*Val_pt*(Ceiling_e-E_zero)*(1-(1-Half_gap)^W991)),"")</f>
        <v/>
      </c>
      <c r="AE991" s="13" t="str">
        <f aca="false">IF(AND($J991=1,$M991=0),IF(S991="",0,S991*R991)+IF(V991="",0,V991*U991)+IF(Y991="",0,Y991*X991),"")</f>
        <v/>
      </c>
      <c r="AF991" s="12" t="str">
        <f aca="false">IF(AND($J991=1,$M991=0),MIN((AC991-E991)/Span_P,(AD991-F991)/Span_S,(AE991-G991)/Span_B),"")</f>
        <v/>
      </c>
      <c r="AG991" s="15" t="str">
        <f aca="false">IF(AND($J991=1,$M991=0),IF(AF991&gt;0.0000001,1,0),"")</f>
        <v/>
      </c>
      <c r="AH991" s="15" t="n">
        <f aca="false">IF($J991=1,IF($M991=1,AB991,AG991),"")</f>
        <v>1</v>
      </c>
      <c r="AI991" s="13" t="n">
        <f aca="false">IF($J991=1,(Ideal_P-E991)/Span_P,"")</f>
        <v>0.964886678510097</v>
      </c>
      <c r="AJ991" s="13" t="n">
        <f aca="false">IF($J991=1,(Ideal_S-F991)/Span_S,"")</f>
        <v>0</v>
      </c>
      <c r="AK991" s="13" t="n">
        <f aca="false">IF($J991=1,(Ideal_B-G991)/Span_B,"")</f>
        <v>0.473333333333333</v>
      </c>
      <c r="AL991" s="12" t="n">
        <f aca="false">IF($J991=1,MAX(ChA_1*AI991,ChA_2*AJ991,ChA_3*AK991)+Rho*(ChA_1*AI991+ChA_2*AJ991+ChA_3*AK991),"")</f>
        <v>0.965030500511282</v>
      </c>
      <c r="AM991" s="12" t="n">
        <f aca="false">IF($J991=1,MAX(ChB_1*AI991,ChB_2*AJ991,ChB_3*AK991)+Rho*(ChB_1*AI991+ChB_2*AJ991+ChB_3*AK991),"")</f>
        <v>1.93001366768923</v>
      </c>
      <c r="AN991" s="12" t="n">
        <f aca="false">IF($J991=1,MAX(Cx_1*(Ref_P-E991)/Span_P,Cx_2*(Ref_S-F991)/Span_S,Cx_3*(Ref_B-G991)/Span_B),"")</f>
        <v>2.4346556042985</v>
      </c>
    </row>
    <row r="992" customFormat="false" ht="15" hidden="false" customHeight="false" outlineLevel="0" collapsed="false">
      <c r="A992" s="2" t="n">
        <v>986</v>
      </c>
      <c r="B992" s="15" t="n">
        <f aca="false">INT(A992/151)</f>
        <v>6</v>
      </c>
      <c r="C992" s="15" t="n">
        <f aca="false">MOD(A992,151)</f>
        <v>80</v>
      </c>
      <c r="D992" s="15" t="n">
        <f aca="false">INDEX(Grid!$J$6:$P$156,C992+1,B992+1)</f>
        <v>1</v>
      </c>
      <c r="E992" s="16" t="n">
        <f aca="false">IF(D992=1,INDEX(Grid!$B$6:$H$156,C992+1,B992+1),"")</f>
        <v>33.8642304724477</v>
      </c>
      <c r="F992" s="13" t="n">
        <f aca="false">Val_pt*(Ceiling_e-E_zero)*(1-(1-Half_gap)^B992)</f>
        <v>137.8125</v>
      </c>
      <c r="G992" s="15" t="n">
        <f aca="false">C992</f>
        <v>80</v>
      </c>
      <c r="H992" s="15" t="n">
        <f aca="false">IF(D992=1,INDEX(Grid!$R$6:$X$156,C992+1,B992+1),"")</f>
        <v>63</v>
      </c>
      <c r="I992" s="2" t="str">
        <f aca="false">IF(D992=1,INDEX(Sch_label,H992+1),"")</f>
        <v>1–6</v>
      </c>
      <c r="J992" s="15" t="n">
        <f aca="false">IF(D992=1,INDEX(Grid!$Z$6:$AF$156,C992+1,B992+1),0)</f>
        <v>1</v>
      </c>
      <c r="K992" s="16" t="n">
        <f aca="false">IF(J992=1,E992,0)</f>
        <v>33.8642304724477</v>
      </c>
      <c r="L992" s="17" t="n">
        <f aca="false">IF(D992=1,E992+W_board*F992,"")</f>
        <v>811.77986532781</v>
      </c>
      <c r="M992" s="24" t="n">
        <v>1</v>
      </c>
      <c r="N992" s="25" t="n">
        <v>0.0026555105732553</v>
      </c>
      <c r="O992" s="25" t="n">
        <v>0.996344489426745</v>
      </c>
      <c r="P992" s="25" t="n">
        <v>0.001</v>
      </c>
      <c r="Z992" s="12" t="n">
        <f aca="false">IF(AND($J992=1,$M992=1),N992*E992/Span_P+O992*F992/Span_S+P992*G992/Span_B,"")</f>
        <v>2.02561079469717</v>
      </c>
      <c r="AA992" s="12" t="n">
        <f aca="false">IF(AND($J992=1,$M992=1),SUMPRODUCT(MAX($J$6:$J$1062*(N992*$K$6:$K$1062/Span_P+O992*$F$6:$F$1062/Span_S+P992*$G$6:$G$1062/Span_B)-(1-$J$6:$J$1062)*1000000000)),"")</f>
        <v>2.02561079469717</v>
      </c>
      <c r="AB992" s="15" t="n">
        <f aca="false">IF(AND($J992=1,$M992=1),IF(AA992-Z992&lt;=0.000000001,1,0),"")</f>
        <v>1</v>
      </c>
      <c r="AC992" s="13" t="str">
        <f aca="false">IF(AND($J992=1,$M992=0),IF(S992="",0,S992*INDEX(Grid!$B$6:$H$156,R992+1,Q992+1))+IF(V992="",0,V992*INDEX(Grid!$B$6:$H$156,U992+1,T992+1))+IF(Y992="",0,Y992*INDEX(Grid!$B$6:$H$156,X992+1,W992+1)),"")</f>
        <v/>
      </c>
      <c r="AD992" s="13" t="str">
        <f aca="false">IF(AND($J992=1,$M992=0),IF(S992="",0,S992*Val_pt*(Ceiling_e-E_zero)*(1-(1-Half_gap)^Q992))+IF(V992="",0,V992*Val_pt*(Ceiling_e-E_zero)*(1-(1-Half_gap)^T992))+IF(Y992="",0,Y992*Val_pt*(Ceiling_e-E_zero)*(1-(1-Half_gap)^W992)),"")</f>
        <v/>
      </c>
      <c r="AE992" s="13" t="str">
        <f aca="false">IF(AND($J992=1,$M992=0),IF(S992="",0,S992*R992)+IF(V992="",0,V992*U992)+IF(Y992="",0,Y992*X992),"")</f>
        <v/>
      </c>
      <c r="AF992" s="12" t="str">
        <f aca="false">IF(AND($J992=1,$M992=0),MIN((AC992-E992)/Span_P,(AD992-F992)/Span_S,(AE992-G992)/Span_B),"")</f>
        <v/>
      </c>
      <c r="AG992" s="15" t="str">
        <f aca="false">IF(AND($J992=1,$M992=0),IF(AF992&gt;0.0000001,1,0),"")</f>
        <v/>
      </c>
      <c r="AH992" s="15" t="n">
        <f aca="false">IF($J992=1,IF($M992=1,AB992,AG992),"")</f>
        <v>1</v>
      </c>
      <c r="AI992" s="13" t="n">
        <f aca="false">IF($J992=1,(Ideal_P-E992)/Span_P,"")</f>
        <v>0.967397181286403</v>
      </c>
      <c r="AJ992" s="13" t="n">
        <f aca="false">IF($J992=1,(Ideal_S-F992)/Span_S,"")</f>
        <v>0</v>
      </c>
      <c r="AK992" s="13" t="n">
        <f aca="false">IF($J992=1,(Ideal_B-G992)/Span_B,"")</f>
        <v>0.466666666666667</v>
      </c>
      <c r="AL992" s="12" t="n">
        <f aca="false">IF($J992=1,MAX(ChA_1*AI992,ChA_2*AJ992,ChA_3*AK992)+Rho*(ChA_1*AI992+ChA_2*AJ992+ChA_3*AK992),"")</f>
        <v>0.967540587671198</v>
      </c>
      <c r="AM992" s="12" t="n">
        <f aca="false">IF($J992=1,MAX(ChB_1*AI992,ChB_2*AJ992,ChB_3*AK992)+Rho*(ChB_1*AI992+ChB_2*AJ992+ChB_3*AK992),"")</f>
        <v>1.93503450867573</v>
      </c>
      <c r="AN992" s="12" t="n">
        <f aca="false">IF($J992=1,MAX(Cx_1*(Ref_P-E992)/Span_P,Cx_2*(Ref_S-F992)/Span_S,Cx_3*(Ref_B-G992)/Span_B),"")</f>
        <v>2.44092526598193</v>
      </c>
    </row>
    <row r="993" customFormat="false" ht="15" hidden="false" customHeight="false" outlineLevel="0" collapsed="false">
      <c r="A993" s="2" t="n">
        <v>987</v>
      </c>
      <c r="B993" s="15" t="n">
        <f aca="false">INT(A993/151)</f>
        <v>6</v>
      </c>
      <c r="C993" s="15" t="n">
        <f aca="false">MOD(A993,151)</f>
        <v>81</v>
      </c>
      <c r="D993" s="15" t="n">
        <f aca="false">INDEX(Grid!$J$6:$P$156,C993+1,B993+1)</f>
        <v>1</v>
      </c>
      <c r="E993" s="16" t="n">
        <f aca="false">IF(D993=1,INDEX(Grid!$B$6:$H$156,C993+1,B993+1),"")</f>
        <v>32.9551395633568</v>
      </c>
      <c r="F993" s="13" t="n">
        <f aca="false">Val_pt*(Ceiling_e-E_zero)*(1-(1-Half_gap)^B993)</f>
        <v>137.8125</v>
      </c>
      <c r="G993" s="15" t="n">
        <f aca="false">C993</f>
        <v>81</v>
      </c>
      <c r="H993" s="15" t="n">
        <f aca="false">IF(D993=1,INDEX(Grid!$R$6:$X$156,C993+1,B993+1),"")</f>
        <v>63</v>
      </c>
      <c r="I993" s="2" t="str">
        <f aca="false">IF(D993=1,INDEX(Sch_label,H993+1),"")</f>
        <v>1–6</v>
      </c>
      <c r="J993" s="15" t="n">
        <f aca="false">IF(D993=1,INDEX(Grid!$Z$6:$AF$156,C993+1,B993+1),0)</f>
        <v>1</v>
      </c>
      <c r="K993" s="16" t="n">
        <f aca="false">IF(J993=1,E993,0)</f>
        <v>32.9551395633568</v>
      </c>
      <c r="L993" s="17" t="n">
        <f aca="false">IF(D993=1,E993+W_board*F993,"")</f>
        <v>810.870774418719</v>
      </c>
      <c r="M993" s="24" t="n">
        <v>1</v>
      </c>
      <c r="N993" s="25" t="n">
        <v>0.00265551057325524</v>
      </c>
      <c r="O993" s="25" t="n">
        <v>0.996344489426745</v>
      </c>
      <c r="P993" s="25" t="n">
        <v>0.001</v>
      </c>
      <c r="Z993" s="12" t="n">
        <f aca="false">IF(AND($J993=1,$M993=1),N993*E993/Span_P+O993*F993/Span_S+P993*G993/Span_B,"")</f>
        <v>2.02561079469717</v>
      </c>
      <c r="AA993" s="12" t="n">
        <f aca="false">IF(AND($J993=1,$M993=1),SUMPRODUCT(MAX($J$6:$J$1062*(N993*$K$6:$K$1062/Span_P+O993*$F$6:$F$1062/Span_S+P993*$G$6:$G$1062/Span_B)-(1-$J$6:$J$1062)*1000000000)),"")</f>
        <v>2.02561079469717</v>
      </c>
      <c r="AB993" s="15" t="n">
        <f aca="false">IF(AND($J993=1,$M993=1),IF(AA993-Z993&lt;=0.000000001,1,0),"")</f>
        <v>1</v>
      </c>
      <c r="AC993" s="13" t="str">
        <f aca="false">IF(AND($J993=1,$M993=0),IF(S993="",0,S993*INDEX(Grid!$B$6:$H$156,R993+1,Q993+1))+IF(V993="",0,V993*INDEX(Grid!$B$6:$H$156,U993+1,T993+1))+IF(Y993="",0,Y993*INDEX(Grid!$B$6:$H$156,X993+1,W993+1)),"")</f>
        <v/>
      </c>
      <c r="AD993" s="13" t="str">
        <f aca="false">IF(AND($J993=1,$M993=0),IF(S993="",0,S993*Val_pt*(Ceiling_e-E_zero)*(1-(1-Half_gap)^Q993))+IF(V993="",0,V993*Val_pt*(Ceiling_e-E_zero)*(1-(1-Half_gap)^T993))+IF(Y993="",0,Y993*Val_pt*(Ceiling_e-E_zero)*(1-(1-Half_gap)^W993)),"")</f>
        <v/>
      </c>
      <c r="AE993" s="13" t="str">
        <f aca="false">IF(AND($J993=1,$M993=0),IF(S993="",0,S993*R993)+IF(V993="",0,V993*U993)+IF(Y993="",0,Y993*X993),"")</f>
        <v/>
      </c>
      <c r="AF993" s="12" t="str">
        <f aca="false">IF(AND($J993=1,$M993=0),MIN((AC993-E993)/Span_P,(AD993-F993)/Span_S,(AE993-G993)/Span_B),"")</f>
        <v/>
      </c>
      <c r="AG993" s="15" t="str">
        <f aca="false">IF(AND($J993=1,$M993=0),IF(AF993&gt;0.0000001,1,0),"")</f>
        <v/>
      </c>
      <c r="AH993" s="15" t="n">
        <f aca="false">IF($J993=1,IF($M993=1,AB993,AG993),"")</f>
        <v>1</v>
      </c>
      <c r="AI993" s="13" t="n">
        <f aca="false">IF($J993=1,(Ideal_P-E993)/Span_P,"")</f>
        <v>0.969907684062709</v>
      </c>
      <c r="AJ993" s="13" t="n">
        <f aca="false">IF($J993=1,(Ideal_S-F993)/Span_S,"")</f>
        <v>0</v>
      </c>
      <c r="AK993" s="13" t="n">
        <f aca="false">IF($J993=1,(Ideal_B-G993)/Span_B,"")</f>
        <v>0.46</v>
      </c>
      <c r="AL993" s="12" t="n">
        <f aca="false">IF($J993=1,MAX(ChA_1*AI993,ChA_2*AJ993,ChA_3*AK993)+Rho*(ChA_1*AI993+ChA_2*AJ993+ChA_3*AK993),"")</f>
        <v>0.970050674831115</v>
      </c>
      <c r="AM993" s="12" t="n">
        <f aca="false">IF($J993=1,MAX(ChB_1*AI993,ChB_2*AJ993,ChB_3*AK993)+Rho*(ChB_1*AI993+ChB_2*AJ993+ChB_3*AK993),"")</f>
        <v>1.94005534966223</v>
      </c>
      <c r="AN993" s="12" t="n">
        <f aca="false">IF($J993=1,MAX(Cx_1*(Ref_P-E993)/Span_P,Cx_2*(Ref_S-F993)/Span_S,Cx_3*(Ref_B-G993)/Span_B),"")</f>
        <v>2.44719492766536</v>
      </c>
    </row>
    <row r="994" customFormat="false" ht="15" hidden="false" customHeight="false" outlineLevel="0" collapsed="false">
      <c r="A994" s="2" t="n">
        <v>988</v>
      </c>
      <c r="B994" s="15" t="n">
        <f aca="false">INT(A994/151)</f>
        <v>6</v>
      </c>
      <c r="C994" s="15" t="n">
        <f aca="false">MOD(A994,151)</f>
        <v>82</v>
      </c>
      <c r="D994" s="15" t="n">
        <f aca="false">INDEX(Grid!$J$6:$P$156,C994+1,B994+1)</f>
        <v>1</v>
      </c>
      <c r="E994" s="16" t="n">
        <f aca="false">IF(D994=1,INDEX(Grid!$B$6:$H$156,C994+1,B994+1),"")</f>
        <v>32.0460486542659</v>
      </c>
      <c r="F994" s="13" t="n">
        <f aca="false">Val_pt*(Ceiling_e-E_zero)*(1-(1-Half_gap)^B994)</f>
        <v>137.8125</v>
      </c>
      <c r="G994" s="15" t="n">
        <f aca="false">C994</f>
        <v>82</v>
      </c>
      <c r="H994" s="15" t="n">
        <f aca="false">IF(D994=1,INDEX(Grid!$R$6:$X$156,C994+1,B994+1),"")</f>
        <v>63</v>
      </c>
      <c r="I994" s="2" t="str">
        <f aca="false">IF(D994=1,INDEX(Sch_label,H994+1),"")</f>
        <v>1–6</v>
      </c>
      <c r="J994" s="15" t="n">
        <f aca="false">IF(D994=1,INDEX(Grid!$Z$6:$AF$156,C994+1,B994+1),0)</f>
        <v>1</v>
      </c>
      <c r="K994" s="16" t="n">
        <f aca="false">IF(J994=1,E994,0)</f>
        <v>32.0460486542659</v>
      </c>
      <c r="L994" s="17" t="n">
        <f aca="false">IF(D994=1,E994+W_board*F994,"")</f>
        <v>809.961683509628</v>
      </c>
      <c r="M994" s="24" t="n">
        <v>1</v>
      </c>
      <c r="N994" s="25" t="n">
        <v>0.00265551057325527</v>
      </c>
      <c r="O994" s="25" t="n">
        <v>0.996344489426745</v>
      </c>
      <c r="P994" s="25" t="n">
        <v>0.001</v>
      </c>
      <c r="Z994" s="12" t="n">
        <f aca="false">IF(AND($J994=1,$M994=1),N994*E994/Span_P+O994*F994/Span_S+P994*G994/Span_B,"")</f>
        <v>2.02561079469717</v>
      </c>
      <c r="AA994" s="12" t="n">
        <f aca="false">IF(AND($J994=1,$M994=1),SUMPRODUCT(MAX($J$6:$J$1062*(N994*$K$6:$K$1062/Span_P+O994*$F$6:$F$1062/Span_S+P994*$G$6:$G$1062/Span_B)-(1-$J$6:$J$1062)*1000000000)),"")</f>
        <v>2.02561079469717</v>
      </c>
      <c r="AB994" s="15" t="n">
        <f aca="false">IF(AND($J994=1,$M994=1),IF(AA994-Z994&lt;=0.000000001,1,0),"")</f>
        <v>1</v>
      </c>
      <c r="AC994" s="13" t="str">
        <f aca="false">IF(AND($J994=1,$M994=0),IF(S994="",0,S994*INDEX(Grid!$B$6:$H$156,R994+1,Q994+1))+IF(V994="",0,V994*INDEX(Grid!$B$6:$H$156,U994+1,T994+1))+IF(Y994="",0,Y994*INDEX(Grid!$B$6:$H$156,X994+1,W994+1)),"")</f>
        <v/>
      </c>
      <c r="AD994" s="13" t="str">
        <f aca="false">IF(AND($J994=1,$M994=0),IF(S994="",0,S994*Val_pt*(Ceiling_e-E_zero)*(1-(1-Half_gap)^Q994))+IF(V994="",0,V994*Val_pt*(Ceiling_e-E_zero)*(1-(1-Half_gap)^T994))+IF(Y994="",0,Y994*Val_pt*(Ceiling_e-E_zero)*(1-(1-Half_gap)^W994)),"")</f>
        <v/>
      </c>
      <c r="AE994" s="13" t="str">
        <f aca="false">IF(AND($J994=1,$M994=0),IF(S994="",0,S994*R994)+IF(V994="",0,V994*U994)+IF(Y994="",0,Y994*X994),"")</f>
        <v/>
      </c>
      <c r="AF994" s="12" t="str">
        <f aca="false">IF(AND($J994=1,$M994=0),MIN((AC994-E994)/Span_P,(AD994-F994)/Span_S,(AE994-G994)/Span_B),"")</f>
        <v/>
      </c>
      <c r="AG994" s="15" t="str">
        <f aca="false">IF(AND($J994=1,$M994=0),IF(AF994&gt;0.0000001,1,0),"")</f>
        <v/>
      </c>
      <c r="AH994" s="15" t="n">
        <f aca="false">IF($J994=1,IF($M994=1,AB994,AG994),"")</f>
        <v>1</v>
      </c>
      <c r="AI994" s="13" t="n">
        <f aca="false">IF($J994=1,(Ideal_P-E994)/Span_P,"")</f>
        <v>0.972418186839015</v>
      </c>
      <c r="AJ994" s="13" t="n">
        <f aca="false">IF($J994=1,(Ideal_S-F994)/Span_S,"")</f>
        <v>0</v>
      </c>
      <c r="AK994" s="13" t="n">
        <f aca="false">IF($J994=1,(Ideal_B-G994)/Span_B,"")</f>
        <v>0.453333333333333</v>
      </c>
      <c r="AL994" s="12" t="n">
        <f aca="false">IF($J994=1,MAX(ChA_1*AI994,ChA_2*AJ994,ChA_3*AK994)+Rho*(ChA_1*AI994+ChA_2*AJ994+ChA_3*AK994),"")</f>
        <v>0.972560761991032</v>
      </c>
      <c r="AM994" s="12" t="n">
        <f aca="false">IF($J994=1,MAX(ChB_1*AI994,ChB_2*AJ994,ChB_3*AK994)+Rho*(ChB_1*AI994+ChB_2*AJ994+ChB_3*AK994),"")</f>
        <v>1.94507619064873</v>
      </c>
      <c r="AN994" s="12" t="n">
        <f aca="false">IF($J994=1,MAX(Cx_1*(Ref_P-E994)/Span_P,Cx_2*(Ref_S-F994)/Span_S,Cx_3*(Ref_B-G994)/Span_B),"")</f>
        <v>2.45346458934879</v>
      </c>
    </row>
    <row r="995" customFormat="false" ht="15" hidden="false" customHeight="false" outlineLevel="0" collapsed="false">
      <c r="A995" s="2" t="n">
        <v>989</v>
      </c>
      <c r="B995" s="15" t="n">
        <f aca="false">INT(A995/151)</f>
        <v>6</v>
      </c>
      <c r="C995" s="15" t="n">
        <f aca="false">MOD(A995,151)</f>
        <v>83</v>
      </c>
      <c r="D995" s="15" t="n">
        <f aca="false">INDEX(Grid!$J$6:$P$156,C995+1,B995+1)</f>
        <v>1</v>
      </c>
      <c r="E995" s="16" t="n">
        <f aca="false">IF(D995=1,INDEX(Grid!$B$6:$H$156,C995+1,B995+1),"")</f>
        <v>31.136957745175</v>
      </c>
      <c r="F995" s="13" t="n">
        <f aca="false">Val_pt*(Ceiling_e-E_zero)*(1-(1-Half_gap)^B995)</f>
        <v>137.8125</v>
      </c>
      <c r="G995" s="15" t="n">
        <f aca="false">C995</f>
        <v>83</v>
      </c>
      <c r="H995" s="15" t="n">
        <f aca="false">IF(D995=1,INDEX(Grid!$R$6:$X$156,C995+1,B995+1),"")</f>
        <v>63</v>
      </c>
      <c r="I995" s="2" t="str">
        <f aca="false">IF(D995=1,INDEX(Sch_label,H995+1),"")</f>
        <v>1–6</v>
      </c>
      <c r="J995" s="15" t="n">
        <f aca="false">IF(D995=1,INDEX(Grid!$Z$6:$AF$156,C995+1,B995+1),0)</f>
        <v>1</v>
      </c>
      <c r="K995" s="16" t="n">
        <f aca="false">IF(J995=1,E995,0)</f>
        <v>31.136957745175</v>
      </c>
      <c r="L995" s="17" t="n">
        <f aca="false">IF(D995=1,E995+W_board*F995,"")</f>
        <v>809.052592600537</v>
      </c>
      <c r="M995" s="24" t="n">
        <v>1</v>
      </c>
      <c r="N995" s="25" t="n">
        <v>0.00265551057325528</v>
      </c>
      <c r="O995" s="25" t="n">
        <v>0.996344489426745</v>
      </c>
      <c r="P995" s="25" t="n">
        <v>0.001</v>
      </c>
      <c r="Z995" s="12" t="n">
        <f aca="false">IF(AND($J995=1,$M995=1),N995*E995/Span_P+O995*F995/Span_S+P995*G995/Span_B,"")</f>
        <v>2.02561079469717</v>
      </c>
      <c r="AA995" s="12" t="n">
        <f aca="false">IF(AND($J995=1,$M995=1),SUMPRODUCT(MAX($J$6:$J$1062*(N995*$K$6:$K$1062/Span_P+O995*$F$6:$F$1062/Span_S+P995*$G$6:$G$1062/Span_B)-(1-$J$6:$J$1062)*1000000000)),"")</f>
        <v>2.02561079469717</v>
      </c>
      <c r="AB995" s="15" t="n">
        <f aca="false">IF(AND($J995=1,$M995=1),IF(AA995-Z995&lt;=0.000000001,1,0),"")</f>
        <v>1</v>
      </c>
      <c r="AC995" s="13" t="str">
        <f aca="false">IF(AND($J995=1,$M995=0),IF(S995="",0,S995*INDEX(Grid!$B$6:$H$156,R995+1,Q995+1))+IF(V995="",0,V995*INDEX(Grid!$B$6:$H$156,U995+1,T995+1))+IF(Y995="",0,Y995*INDEX(Grid!$B$6:$H$156,X995+1,W995+1)),"")</f>
        <v/>
      </c>
      <c r="AD995" s="13" t="str">
        <f aca="false">IF(AND($J995=1,$M995=0),IF(S995="",0,S995*Val_pt*(Ceiling_e-E_zero)*(1-(1-Half_gap)^Q995))+IF(V995="",0,V995*Val_pt*(Ceiling_e-E_zero)*(1-(1-Half_gap)^T995))+IF(Y995="",0,Y995*Val_pt*(Ceiling_e-E_zero)*(1-(1-Half_gap)^W995)),"")</f>
        <v/>
      </c>
      <c r="AE995" s="13" t="str">
        <f aca="false">IF(AND($J995=1,$M995=0),IF(S995="",0,S995*R995)+IF(V995="",0,V995*U995)+IF(Y995="",0,Y995*X995),"")</f>
        <v/>
      </c>
      <c r="AF995" s="12" t="str">
        <f aca="false">IF(AND($J995=1,$M995=0),MIN((AC995-E995)/Span_P,(AD995-F995)/Span_S,(AE995-G995)/Span_B),"")</f>
        <v/>
      </c>
      <c r="AG995" s="15" t="str">
        <f aca="false">IF(AND($J995=1,$M995=0),IF(AF995&gt;0.0000001,1,0),"")</f>
        <v/>
      </c>
      <c r="AH995" s="15" t="n">
        <f aca="false">IF($J995=1,IF($M995=1,AB995,AG995),"")</f>
        <v>1</v>
      </c>
      <c r="AI995" s="13" t="n">
        <f aca="false">IF($J995=1,(Ideal_P-E995)/Span_P,"")</f>
        <v>0.97492868961532</v>
      </c>
      <c r="AJ995" s="13" t="n">
        <f aca="false">IF($J995=1,(Ideal_S-F995)/Span_S,"")</f>
        <v>0</v>
      </c>
      <c r="AK995" s="13" t="n">
        <f aca="false">IF($J995=1,(Ideal_B-G995)/Span_B,"")</f>
        <v>0.446666666666667</v>
      </c>
      <c r="AL995" s="12" t="n">
        <f aca="false">IF($J995=1,MAX(ChA_1*AI995,ChA_2*AJ995,ChA_3*AK995)+Rho*(ChA_1*AI995+ChA_2*AJ995+ChA_3*AK995),"")</f>
        <v>0.975070849150948</v>
      </c>
      <c r="AM995" s="12" t="n">
        <f aca="false">IF($J995=1,MAX(ChB_1*AI995,ChB_2*AJ995,ChB_3*AK995)+Rho*(ChB_1*AI995+ChB_2*AJ995+ChB_3*AK995),"")</f>
        <v>1.95009703163523</v>
      </c>
      <c r="AN995" s="12" t="n">
        <f aca="false">IF($J995=1,MAX(Cx_1*(Ref_P-E995)/Span_P,Cx_2*(Ref_S-F995)/Span_S,Cx_3*(Ref_B-G995)/Span_B),"")</f>
        <v>2.45973425103222</v>
      </c>
    </row>
    <row r="996" customFormat="false" ht="15" hidden="false" customHeight="false" outlineLevel="0" collapsed="false">
      <c r="A996" s="2" t="n">
        <v>990</v>
      </c>
      <c r="B996" s="15" t="n">
        <f aca="false">INT(A996/151)</f>
        <v>6</v>
      </c>
      <c r="C996" s="15" t="n">
        <f aca="false">MOD(A996,151)</f>
        <v>84</v>
      </c>
      <c r="D996" s="15" t="n">
        <f aca="false">INDEX(Grid!$J$6:$P$156,C996+1,B996+1)</f>
        <v>1</v>
      </c>
      <c r="E996" s="16" t="n">
        <f aca="false">IF(D996=1,INDEX(Grid!$B$6:$H$156,C996+1,B996+1),"")</f>
        <v>30.2278668360841</v>
      </c>
      <c r="F996" s="13" t="n">
        <f aca="false">Val_pt*(Ceiling_e-E_zero)*(1-(1-Half_gap)^B996)</f>
        <v>137.8125</v>
      </c>
      <c r="G996" s="15" t="n">
        <f aca="false">C996</f>
        <v>84</v>
      </c>
      <c r="H996" s="15" t="n">
        <f aca="false">IF(D996=1,INDEX(Grid!$R$6:$X$156,C996+1,B996+1),"")</f>
        <v>63</v>
      </c>
      <c r="I996" s="2" t="str">
        <f aca="false">IF(D996=1,INDEX(Sch_label,H996+1),"")</f>
        <v>1–6</v>
      </c>
      <c r="J996" s="15" t="n">
        <f aca="false">IF(D996=1,INDEX(Grid!$Z$6:$AF$156,C996+1,B996+1),0)</f>
        <v>1</v>
      </c>
      <c r="K996" s="16" t="n">
        <f aca="false">IF(J996=1,E996,0)</f>
        <v>30.2278668360841</v>
      </c>
      <c r="L996" s="17" t="n">
        <f aca="false">IF(D996=1,E996+W_board*F996,"")</f>
        <v>808.143501691446</v>
      </c>
      <c r="M996" s="24" t="n">
        <v>1</v>
      </c>
      <c r="N996" s="25" t="n">
        <v>0.00265551057325524</v>
      </c>
      <c r="O996" s="25" t="n">
        <v>0.996344489426745</v>
      </c>
      <c r="P996" s="25" t="n">
        <v>0.001</v>
      </c>
      <c r="Z996" s="12" t="n">
        <f aca="false">IF(AND($J996=1,$M996=1),N996*E996/Span_P+O996*F996/Span_S+P996*G996/Span_B,"")</f>
        <v>2.02561079469717</v>
      </c>
      <c r="AA996" s="12" t="n">
        <f aca="false">IF(AND($J996=1,$M996=1),SUMPRODUCT(MAX($J$6:$J$1062*(N996*$K$6:$K$1062/Span_P+O996*$F$6:$F$1062/Span_S+P996*$G$6:$G$1062/Span_B)-(1-$J$6:$J$1062)*1000000000)),"")</f>
        <v>2.02561079469717</v>
      </c>
      <c r="AB996" s="15" t="n">
        <f aca="false">IF(AND($J996=1,$M996=1),IF(AA996-Z996&lt;=0.000000001,1,0),"")</f>
        <v>1</v>
      </c>
      <c r="AC996" s="13" t="str">
        <f aca="false">IF(AND($J996=1,$M996=0),IF(S996="",0,S996*INDEX(Grid!$B$6:$H$156,R996+1,Q996+1))+IF(V996="",0,V996*INDEX(Grid!$B$6:$H$156,U996+1,T996+1))+IF(Y996="",0,Y996*INDEX(Grid!$B$6:$H$156,X996+1,W996+1)),"")</f>
        <v/>
      </c>
      <c r="AD996" s="13" t="str">
        <f aca="false">IF(AND($J996=1,$M996=0),IF(S996="",0,S996*Val_pt*(Ceiling_e-E_zero)*(1-(1-Half_gap)^Q996))+IF(V996="",0,V996*Val_pt*(Ceiling_e-E_zero)*(1-(1-Half_gap)^T996))+IF(Y996="",0,Y996*Val_pt*(Ceiling_e-E_zero)*(1-(1-Half_gap)^W996)),"")</f>
        <v/>
      </c>
      <c r="AE996" s="13" t="str">
        <f aca="false">IF(AND($J996=1,$M996=0),IF(S996="",0,S996*R996)+IF(V996="",0,V996*U996)+IF(Y996="",0,Y996*X996),"")</f>
        <v/>
      </c>
      <c r="AF996" s="12" t="str">
        <f aca="false">IF(AND($J996=1,$M996=0),MIN((AC996-E996)/Span_P,(AD996-F996)/Span_S,(AE996-G996)/Span_B),"")</f>
        <v/>
      </c>
      <c r="AG996" s="15" t="str">
        <f aca="false">IF(AND($J996=1,$M996=0),IF(AF996&gt;0.0000001,1,0),"")</f>
        <v/>
      </c>
      <c r="AH996" s="15" t="n">
        <f aca="false">IF($J996=1,IF($M996=1,AB996,AG996),"")</f>
        <v>1</v>
      </c>
      <c r="AI996" s="13" t="n">
        <f aca="false">IF($J996=1,(Ideal_P-E996)/Span_P,"")</f>
        <v>0.977439192391626</v>
      </c>
      <c r="AJ996" s="13" t="n">
        <f aca="false">IF($J996=1,(Ideal_S-F996)/Span_S,"")</f>
        <v>0</v>
      </c>
      <c r="AK996" s="13" t="n">
        <f aca="false">IF($J996=1,(Ideal_B-G996)/Span_B,"")</f>
        <v>0.44</v>
      </c>
      <c r="AL996" s="12" t="n">
        <f aca="false">IF($J996=1,MAX(ChA_1*AI996,ChA_2*AJ996,ChA_3*AK996)+Rho*(ChA_1*AI996+ChA_2*AJ996+ChA_3*AK996),"")</f>
        <v>0.977580936310865</v>
      </c>
      <c r="AM996" s="12" t="n">
        <f aca="false">IF($J996=1,MAX(ChB_1*AI996,ChB_2*AJ996,ChB_3*AK996)+Rho*(ChB_1*AI996+ChB_2*AJ996+ChB_3*AK996),"")</f>
        <v>1.95511787262173</v>
      </c>
      <c r="AN996" s="12" t="n">
        <f aca="false">IF($J996=1,MAX(Cx_1*(Ref_P-E996)/Span_P,Cx_2*(Ref_S-F996)/Span_S,Cx_3*(Ref_B-G996)/Span_B),"")</f>
        <v>2.46600391271565</v>
      </c>
    </row>
    <row r="997" customFormat="false" ht="15" hidden="false" customHeight="false" outlineLevel="0" collapsed="false">
      <c r="A997" s="2" t="n">
        <v>991</v>
      </c>
      <c r="B997" s="15" t="n">
        <f aca="false">INT(A997/151)</f>
        <v>6</v>
      </c>
      <c r="C997" s="15" t="n">
        <f aca="false">MOD(A997,151)</f>
        <v>85</v>
      </c>
      <c r="D997" s="15" t="n">
        <f aca="false">INDEX(Grid!$J$6:$P$156,C997+1,B997+1)</f>
        <v>1</v>
      </c>
      <c r="E997" s="16" t="n">
        <f aca="false">IF(D997=1,INDEX(Grid!$B$6:$H$156,C997+1,B997+1),"")</f>
        <v>29.3187759269932</v>
      </c>
      <c r="F997" s="13" t="n">
        <f aca="false">Val_pt*(Ceiling_e-E_zero)*(1-(1-Half_gap)^B997)</f>
        <v>137.8125</v>
      </c>
      <c r="G997" s="15" t="n">
        <f aca="false">C997</f>
        <v>85</v>
      </c>
      <c r="H997" s="15" t="n">
        <f aca="false">IF(D997=1,INDEX(Grid!$R$6:$X$156,C997+1,B997+1),"")</f>
        <v>63</v>
      </c>
      <c r="I997" s="2" t="str">
        <f aca="false">IF(D997=1,INDEX(Sch_label,H997+1),"")</f>
        <v>1–6</v>
      </c>
      <c r="J997" s="15" t="n">
        <f aca="false">IF(D997=1,INDEX(Grid!$Z$6:$AF$156,C997+1,B997+1),0)</f>
        <v>1</v>
      </c>
      <c r="K997" s="16" t="n">
        <f aca="false">IF(J997=1,E997,0)</f>
        <v>29.3187759269932</v>
      </c>
      <c r="L997" s="17" t="n">
        <f aca="false">IF(D997=1,E997+W_board*F997,"")</f>
        <v>807.234410782355</v>
      </c>
      <c r="M997" s="24" t="n">
        <v>1</v>
      </c>
      <c r="N997" s="25" t="n">
        <v>0.001</v>
      </c>
      <c r="O997" s="25" t="n">
        <v>0.998</v>
      </c>
      <c r="P997" s="25" t="n">
        <v>0.001</v>
      </c>
      <c r="Z997" s="12" t="n">
        <f aca="false">IF(AND($J997=1,$M997=1),N997*E997/Span_P+O997*F997/Span_S+P997*G997/Span_B,"")</f>
        <v>2.02884118040896</v>
      </c>
      <c r="AA997" s="12" t="n">
        <f aca="false">IF(AND($J997=1,$M997=1),SUMPRODUCT(MAX($J$6:$J$1062*(N997*$K$6:$K$1062/Span_P+O997*$F$6:$F$1062/Span_S+P997*$G$6:$G$1062/Span_B)-(1-$J$6:$J$1062)*1000000000)),"")</f>
        <v>2.02884118040896</v>
      </c>
      <c r="AB997" s="15" t="n">
        <f aca="false">IF(AND($J997=1,$M997=1),IF(AA997-Z997&lt;=0.000000001,1,0),"")</f>
        <v>1</v>
      </c>
      <c r="AC997" s="13" t="str">
        <f aca="false">IF(AND($J997=1,$M997=0),IF(S997="",0,S997*INDEX(Grid!$B$6:$H$156,R997+1,Q997+1))+IF(V997="",0,V997*INDEX(Grid!$B$6:$H$156,U997+1,T997+1))+IF(Y997="",0,Y997*INDEX(Grid!$B$6:$H$156,X997+1,W997+1)),"")</f>
        <v/>
      </c>
      <c r="AD997" s="13" t="str">
        <f aca="false">IF(AND($J997=1,$M997=0),IF(S997="",0,S997*Val_pt*(Ceiling_e-E_zero)*(1-(1-Half_gap)^Q997))+IF(V997="",0,V997*Val_pt*(Ceiling_e-E_zero)*(1-(1-Half_gap)^T997))+IF(Y997="",0,Y997*Val_pt*(Ceiling_e-E_zero)*(1-(1-Half_gap)^W997)),"")</f>
        <v/>
      </c>
      <c r="AE997" s="13" t="str">
        <f aca="false">IF(AND($J997=1,$M997=0),IF(S997="",0,S997*R997)+IF(V997="",0,V997*U997)+IF(Y997="",0,Y997*X997),"")</f>
        <v/>
      </c>
      <c r="AF997" s="12" t="str">
        <f aca="false">IF(AND($J997=1,$M997=0),MIN((AC997-E997)/Span_P,(AD997-F997)/Span_S,(AE997-G997)/Span_B),"")</f>
        <v/>
      </c>
      <c r="AG997" s="15" t="str">
        <f aca="false">IF(AND($J997=1,$M997=0),IF(AF997&gt;0.0000001,1,0),"")</f>
        <v/>
      </c>
      <c r="AH997" s="15" t="n">
        <f aca="false">IF($J997=1,IF($M997=1,AB997,AG997),"")</f>
        <v>1</v>
      </c>
      <c r="AI997" s="13" t="n">
        <f aca="false">IF($J997=1,(Ideal_P-E997)/Span_P,"")</f>
        <v>0.979949695167932</v>
      </c>
      <c r="AJ997" s="13" t="n">
        <f aca="false">IF($J997=1,(Ideal_S-F997)/Span_S,"")</f>
        <v>0</v>
      </c>
      <c r="AK997" s="13" t="n">
        <f aca="false">IF($J997=1,(Ideal_B-G997)/Span_B,"")</f>
        <v>0.433333333333333</v>
      </c>
      <c r="AL997" s="12" t="n">
        <f aca="false">IF($J997=1,MAX(ChA_1*AI997,ChA_2*AJ997,ChA_3*AK997)+Rho*(ChA_1*AI997+ChA_2*AJ997+ChA_3*AK997),"")</f>
        <v>0.980091023470782</v>
      </c>
      <c r="AM997" s="12" t="n">
        <f aca="false">IF($J997=1,MAX(ChB_1*AI997,ChB_2*AJ997,ChB_3*AK997)+Rho*(ChB_1*AI997+ChB_2*AJ997+ChB_3*AK997),"")</f>
        <v>1.96013871360823</v>
      </c>
      <c r="AN997" s="12" t="n">
        <f aca="false">IF($J997=1,MAX(Cx_1*(Ref_P-E997)/Span_P,Cx_2*(Ref_S-F997)/Span_S,Cx_3*(Ref_B-G997)/Span_B),"")</f>
        <v>2.47227357439908</v>
      </c>
    </row>
    <row r="998" customFormat="false" ht="15" hidden="false" customHeight="false" outlineLevel="0" collapsed="false">
      <c r="A998" s="2" t="n">
        <v>992</v>
      </c>
      <c r="B998" s="15" t="n">
        <f aca="false">INT(A998/151)</f>
        <v>6</v>
      </c>
      <c r="C998" s="15" t="n">
        <f aca="false">MOD(A998,151)</f>
        <v>86</v>
      </c>
      <c r="D998" s="15" t="n">
        <f aca="false">INDEX(Grid!$J$6:$P$156,C998+1,B998+1)</f>
        <v>0</v>
      </c>
      <c r="E998" s="16" t="str">
        <f aca="false">IF(D998=1,INDEX(Grid!$B$6:$H$156,C998+1,B998+1),"")</f>
        <v/>
      </c>
      <c r="F998" s="13" t="n">
        <f aca="false">Val_pt*(Ceiling_e-E_zero)*(1-(1-Half_gap)^B998)</f>
        <v>137.8125</v>
      </c>
      <c r="G998" s="15" t="n">
        <f aca="false">C998</f>
        <v>86</v>
      </c>
      <c r="H998" s="15" t="str">
        <f aca="false">IF(D998=1,INDEX(Grid!$R$6:$X$156,C998+1,B998+1),"")</f>
        <v/>
      </c>
      <c r="I998" s="2" t="str">
        <f aca="false">IF(D998=1,INDEX(Sch_label,H998+1),"")</f>
        <v/>
      </c>
      <c r="J998" s="15" t="n">
        <f aca="false">IF(D998=1,INDEX(Grid!$Z$6:$AF$156,C998+1,B998+1),0)</f>
        <v>0</v>
      </c>
      <c r="K998" s="16" t="n">
        <f aca="false">IF(J998=1,E998,0)</f>
        <v>0</v>
      </c>
      <c r="L998" s="17" t="str">
        <f aca="false">IF(D998=1,E998+W_board*F998,"")</f>
        <v/>
      </c>
      <c r="Z998" s="12" t="str">
        <f aca="false">IF(AND($J998=1,$M998=1),N998*E998/Span_P+O998*F998/Span_S+P998*G998/Span_B,"")</f>
        <v/>
      </c>
      <c r="AA998" s="12" t="str">
        <f aca="false">IF(AND($J998=1,$M998=1),SUMPRODUCT(MAX($J$6:$J$1062*(N998*$K$6:$K$1062/Span_P+O998*$F$6:$F$1062/Span_S+P998*$G$6:$G$1062/Span_B)-(1-$J$6:$J$1062)*1000000000)),"")</f>
        <v/>
      </c>
      <c r="AB998" s="15" t="str">
        <f aca="false">IF(AND($J998=1,$M998=1),IF(AA998-Z998&lt;=0.000000001,1,0),"")</f>
        <v/>
      </c>
      <c r="AC998" s="13" t="str">
        <f aca="false">IF(AND($J998=1,$M998=0),IF(S998="",0,S998*INDEX(Grid!$B$6:$H$156,R998+1,Q998+1))+IF(V998="",0,V998*INDEX(Grid!$B$6:$H$156,U998+1,T998+1))+IF(Y998="",0,Y998*INDEX(Grid!$B$6:$H$156,X998+1,W998+1)),"")</f>
        <v/>
      </c>
      <c r="AD998" s="13" t="str">
        <f aca="false">IF(AND($J998=1,$M998=0),IF(S998="",0,S998*Val_pt*(Ceiling_e-E_zero)*(1-(1-Half_gap)^Q998))+IF(V998="",0,V998*Val_pt*(Ceiling_e-E_zero)*(1-(1-Half_gap)^T998))+IF(Y998="",0,Y998*Val_pt*(Ceiling_e-E_zero)*(1-(1-Half_gap)^W998)),"")</f>
        <v/>
      </c>
      <c r="AE998" s="13" t="str">
        <f aca="false">IF(AND($J998=1,$M998=0),IF(S998="",0,S998*R998)+IF(V998="",0,V998*U998)+IF(Y998="",0,Y998*X998),"")</f>
        <v/>
      </c>
      <c r="AF998" s="12" t="str">
        <f aca="false">IF(AND($J998=1,$M998=0),MIN((AC998-E998)/Span_P,(AD998-F998)/Span_S,(AE998-G998)/Span_B),"")</f>
        <v/>
      </c>
      <c r="AG998" s="15" t="str">
        <f aca="false">IF(AND($J998=1,$M998=0),IF(AF998&gt;0.0000001,1,0),"")</f>
        <v/>
      </c>
      <c r="AH998" s="15" t="str">
        <f aca="false">IF($J998=1,IF($M998=1,AB998,AG998),"")</f>
        <v/>
      </c>
      <c r="AI998" s="13" t="str">
        <f aca="false">IF($J998=1,(Ideal_P-E998)/Span_P,"")</f>
        <v/>
      </c>
      <c r="AJ998" s="13" t="str">
        <f aca="false">IF($J998=1,(Ideal_S-F998)/Span_S,"")</f>
        <v/>
      </c>
      <c r="AK998" s="13" t="str">
        <f aca="false">IF($J998=1,(Ideal_B-G998)/Span_B,"")</f>
        <v/>
      </c>
      <c r="AL998" s="12" t="str">
        <f aca="false">IF($J998=1,MAX(ChA_1*AI998,ChA_2*AJ998,ChA_3*AK998)+Rho*(ChA_1*AI998+ChA_2*AJ998+ChA_3*AK998),"")</f>
        <v/>
      </c>
      <c r="AM998" s="12" t="str">
        <f aca="false">IF($J998=1,MAX(ChB_1*AI998,ChB_2*AJ998,ChB_3*AK998)+Rho*(ChB_1*AI998+ChB_2*AJ998+ChB_3*AK998),"")</f>
        <v/>
      </c>
      <c r="AN998" s="12" t="str">
        <f aca="false">IF($J998=1,MAX(Cx_1*(Ref_P-E998)/Span_P,Cx_2*(Ref_S-F998)/Span_S,Cx_3*(Ref_B-G998)/Span_B),"")</f>
        <v/>
      </c>
    </row>
    <row r="999" customFormat="false" ht="15" hidden="false" customHeight="false" outlineLevel="0" collapsed="false">
      <c r="A999" s="2" t="n">
        <v>993</v>
      </c>
      <c r="B999" s="15" t="n">
        <f aca="false">INT(A999/151)</f>
        <v>6</v>
      </c>
      <c r="C999" s="15" t="n">
        <f aca="false">MOD(A999,151)</f>
        <v>87</v>
      </c>
      <c r="D999" s="15" t="n">
        <f aca="false">INDEX(Grid!$J$6:$P$156,C999+1,B999+1)</f>
        <v>0</v>
      </c>
      <c r="E999" s="16" t="str">
        <f aca="false">IF(D999=1,INDEX(Grid!$B$6:$H$156,C999+1,B999+1),"")</f>
        <v/>
      </c>
      <c r="F999" s="13" t="n">
        <f aca="false">Val_pt*(Ceiling_e-E_zero)*(1-(1-Half_gap)^B999)</f>
        <v>137.8125</v>
      </c>
      <c r="G999" s="15" t="n">
        <f aca="false">C999</f>
        <v>87</v>
      </c>
      <c r="H999" s="15" t="str">
        <f aca="false">IF(D999=1,INDEX(Grid!$R$6:$X$156,C999+1,B999+1),"")</f>
        <v/>
      </c>
      <c r="I999" s="2" t="str">
        <f aca="false">IF(D999=1,INDEX(Sch_label,H999+1),"")</f>
        <v/>
      </c>
      <c r="J999" s="15" t="n">
        <f aca="false">IF(D999=1,INDEX(Grid!$Z$6:$AF$156,C999+1,B999+1),0)</f>
        <v>0</v>
      </c>
      <c r="K999" s="16" t="n">
        <f aca="false">IF(J999=1,E999,0)</f>
        <v>0</v>
      </c>
      <c r="L999" s="17" t="str">
        <f aca="false">IF(D999=1,E999+W_board*F999,"")</f>
        <v/>
      </c>
      <c r="Z999" s="12" t="str">
        <f aca="false">IF(AND($J999=1,$M999=1),N999*E999/Span_P+O999*F999/Span_S+P999*G999/Span_B,"")</f>
        <v/>
      </c>
      <c r="AA999" s="12" t="str">
        <f aca="false">IF(AND($J999=1,$M999=1),SUMPRODUCT(MAX($J$6:$J$1062*(N999*$K$6:$K$1062/Span_P+O999*$F$6:$F$1062/Span_S+P999*$G$6:$G$1062/Span_B)-(1-$J$6:$J$1062)*1000000000)),"")</f>
        <v/>
      </c>
      <c r="AB999" s="15" t="str">
        <f aca="false">IF(AND($J999=1,$M999=1),IF(AA999-Z999&lt;=0.000000001,1,0),"")</f>
        <v/>
      </c>
      <c r="AC999" s="13" t="str">
        <f aca="false">IF(AND($J999=1,$M999=0),IF(S999="",0,S999*INDEX(Grid!$B$6:$H$156,R999+1,Q999+1))+IF(V999="",0,V999*INDEX(Grid!$B$6:$H$156,U999+1,T999+1))+IF(Y999="",0,Y999*INDEX(Grid!$B$6:$H$156,X999+1,W999+1)),"")</f>
        <v/>
      </c>
      <c r="AD999" s="13" t="str">
        <f aca="false">IF(AND($J999=1,$M999=0),IF(S999="",0,S999*Val_pt*(Ceiling_e-E_zero)*(1-(1-Half_gap)^Q999))+IF(V999="",0,V999*Val_pt*(Ceiling_e-E_zero)*(1-(1-Half_gap)^T999))+IF(Y999="",0,Y999*Val_pt*(Ceiling_e-E_zero)*(1-(1-Half_gap)^W999)),"")</f>
        <v/>
      </c>
      <c r="AE999" s="13" t="str">
        <f aca="false">IF(AND($J999=1,$M999=0),IF(S999="",0,S999*R999)+IF(V999="",0,V999*U999)+IF(Y999="",0,Y999*X999),"")</f>
        <v/>
      </c>
      <c r="AF999" s="12" t="str">
        <f aca="false">IF(AND($J999=1,$M999=0),MIN((AC999-E999)/Span_P,(AD999-F999)/Span_S,(AE999-G999)/Span_B),"")</f>
        <v/>
      </c>
      <c r="AG999" s="15" t="str">
        <f aca="false">IF(AND($J999=1,$M999=0),IF(AF999&gt;0.0000001,1,0),"")</f>
        <v/>
      </c>
      <c r="AH999" s="15" t="str">
        <f aca="false">IF($J999=1,IF($M999=1,AB999,AG999),"")</f>
        <v/>
      </c>
      <c r="AI999" s="13" t="str">
        <f aca="false">IF($J999=1,(Ideal_P-E999)/Span_P,"")</f>
        <v/>
      </c>
      <c r="AJ999" s="13" t="str">
        <f aca="false">IF($J999=1,(Ideal_S-F999)/Span_S,"")</f>
        <v/>
      </c>
      <c r="AK999" s="13" t="str">
        <f aca="false">IF($J999=1,(Ideal_B-G999)/Span_B,"")</f>
        <v/>
      </c>
      <c r="AL999" s="12" t="str">
        <f aca="false">IF($J999=1,MAX(ChA_1*AI999,ChA_2*AJ999,ChA_3*AK999)+Rho*(ChA_1*AI999+ChA_2*AJ999+ChA_3*AK999),"")</f>
        <v/>
      </c>
      <c r="AM999" s="12" t="str">
        <f aca="false">IF($J999=1,MAX(ChB_1*AI999,ChB_2*AJ999,ChB_3*AK999)+Rho*(ChB_1*AI999+ChB_2*AJ999+ChB_3*AK999),"")</f>
        <v/>
      </c>
      <c r="AN999" s="12" t="str">
        <f aca="false">IF($J999=1,MAX(Cx_1*(Ref_P-E999)/Span_P,Cx_2*(Ref_S-F999)/Span_S,Cx_3*(Ref_B-G999)/Span_B),"")</f>
        <v/>
      </c>
    </row>
    <row r="1000" customFormat="false" ht="15" hidden="false" customHeight="false" outlineLevel="0" collapsed="false">
      <c r="A1000" s="2" t="n">
        <v>994</v>
      </c>
      <c r="B1000" s="15" t="n">
        <f aca="false">INT(A1000/151)</f>
        <v>6</v>
      </c>
      <c r="C1000" s="15" t="n">
        <f aca="false">MOD(A1000,151)</f>
        <v>88</v>
      </c>
      <c r="D1000" s="15" t="n">
        <f aca="false">INDEX(Grid!$J$6:$P$156,C1000+1,B1000+1)</f>
        <v>0</v>
      </c>
      <c r="E1000" s="16" t="str">
        <f aca="false">IF(D1000=1,INDEX(Grid!$B$6:$H$156,C1000+1,B1000+1),"")</f>
        <v/>
      </c>
      <c r="F1000" s="13" t="n">
        <f aca="false">Val_pt*(Ceiling_e-E_zero)*(1-(1-Half_gap)^B1000)</f>
        <v>137.8125</v>
      </c>
      <c r="G1000" s="15" t="n">
        <f aca="false">C1000</f>
        <v>88</v>
      </c>
      <c r="H1000" s="15" t="str">
        <f aca="false">IF(D1000=1,INDEX(Grid!$R$6:$X$156,C1000+1,B1000+1),"")</f>
        <v/>
      </c>
      <c r="I1000" s="2" t="str">
        <f aca="false">IF(D1000=1,INDEX(Sch_label,H1000+1),"")</f>
        <v/>
      </c>
      <c r="J1000" s="15" t="n">
        <f aca="false">IF(D1000=1,INDEX(Grid!$Z$6:$AF$156,C1000+1,B1000+1),0)</f>
        <v>0</v>
      </c>
      <c r="K1000" s="16" t="n">
        <f aca="false">IF(J1000=1,E1000,0)</f>
        <v>0</v>
      </c>
      <c r="L1000" s="17" t="str">
        <f aca="false">IF(D1000=1,E1000+W_board*F1000,"")</f>
        <v/>
      </c>
      <c r="Z1000" s="12" t="str">
        <f aca="false">IF(AND($J1000=1,$M1000=1),N1000*E1000/Span_P+O1000*F1000/Span_S+P1000*G1000/Span_B,"")</f>
        <v/>
      </c>
      <c r="AA1000" s="12" t="str">
        <f aca="false">IF(AND($J1000=1,$M1000=1),SUMPRODUCT(MAX($J$6:$J$1062*(N1000*$K$6:$K$1062/Span_P+O1000*$F$6:$F$1062/Span_S+P1000*$G$6:$G$1062/Span_B)-(1-$J$6:$J$1062)*1000000000)),"")</f>
        <v/>
      </c>
      <c r="AB1000" s="15" t="str">
        <f aca="false">IF(AND($J1000=1,$M1000=1),IF(AA1000-Z1000&lt;=0.000000001,1,0),"")</f>
        <v/>
      </c>
      <c r="AC1000" s="13" t="str">
        <f aca="false">IF(AND($J1000=1,$M1000=0),IF(S1000="",0,S1000*INDEX(Grid!$B$6:$H$156,R1000+1,Q1000+1))+IF(V1000="",0,V1000*INDEX(Grid!$B$6:$H$156,U1000+1,T1000+1))+IF(Y1000="",0,Y1000*INDEX(Grid!$B$6:$H$156,X1000+1,W1000+1)),"")</f>
        <v/>
      </c>
      <c r="AD1000" s="13" t="str">
        <f aca="false">IF(AND($J1000=1,$M1000=0),IF(S1000="",0,S1000*Val_pt*(Ceiling_e-E_zero)*(1-(1-Half_gap)^Q1000))+IF(V1000="",0,V1000*Val_pt*(Ceiling_e-E_zero)*(1-(1-Half_gap)^T1000))+IF(Y1000="",0,Y1000*Val_pt*(Ceiling_e-E_zero)*(1-(1-Half_gap)^W1000)),"")</f>
        <v/>
      </c>
      <c r="AE1000" s="13" t="str">
        <f aca="false">IF(AND($J1000=1,$M1000=0),IF(S1000="",0,S1000*R1000)+IF(V1000="",0,V1000*U1000)+IF(Y1000="",0,Y1000*X1000),"")</f>
        <v/>
      </c>
      <c r="AF1000" s="12" t="str">
        <f aca="false">IF(AND($J1000=1,$M1000=0),MIN((AC1000-E1000)/Span_P,(AD1000-F1000)/Span_S,(AE1000-G1000)/Span_B),"")</f>
        <v/>
      </c>
      <c r="AG1000" s="15" t="str">
        <f aca="false">IF(AND($J1000=1,$M1000=0),IF(AF1000&gt;0.0000001,1,0),"")</f>
        <v/>
      </c>
      <c r="AH1000" s="15" t="str">
        <f aca="false">IF($J1000=1,IF($M1000=1,AB1000,AG1000),"")</f>
        <v/>
      </c>
      <c r="AI1000" s="13" t="str">
        <f aca="false">IF($J1000=1,(Ideal_P-E1000)/Span_P,"")</f>
        <v/>
      </c>
      <c r="AJ1000" s="13" t="str">
        <f aca="false">IF($J1000=1,(Ideal_S-F1000)/Span_S,"")</f>
        <v/>
      </c>
      <c r="AK1000" s="13" t="str">
        <f aca="false">IF($J1000=1,(Ideal_B-G1000)/Span_B,"")</f>
        <v/>
      </c>
      <c r="AL1000" s="12" t="str">
        <f aca="false">IF($J1000=1,MAX(ChA_1*AI1000,ChA_2*AJ1000,ChA_3*AK1000)+Rho*(ChA_1*AI1000+ChA_2*AJ1000+ChA_3*AK1000),"")</f>
        <v/>
      </c>
      <c r="AM1000" s="12" t="str">
        <f aca="false">IF($J1000=1,MAX(ChB_1*AI1000,ChB_2*AJ1000,ChB_3*AK1000)+Rho*(ChB_1*AI1000+ChB_2*AJ1000+ChB_3*AK1000),"")</f>
        <v/>
      </c>
      <c r="AN1000" s="12" t="str">
        <f aca="false">IF($J1000=1,MAX(Cx_1*(Ref_P-E1000)/Span_P,Cx_2*(Ref_S-F1000)/Span_S,Cx_3*(Ref_B-G1000)/Span_B),"")</f>
        <v/>
      </c>
    </row>
    <row r="1001" customFormat="false" ht="15" hidden="false" customHeight="false" outlineLevel="0" collapsed="false">
      <c r="A1001" s="2" t="n">
        <v>995</v>
      </c>
      <c r="B1001" s="15" t="n">
        <f aca="false">INT(A1001/151)</f>
        <v>6</v>
      </c>
      <c r="C1001" s="15" t="n">
        <f aca="false">MOD(A1001,151)</f>
        <v>89</v>
      </c>
      <c r="D1001" s="15" t="n">
        <f aca="false">INDEX(Grid!$J$6:$P$156,C1001+1,B1001+1)</f>
        <v>0</v>
      </c>
      <c r="E1001" s="16" t="str">
        <f aca="false">IF(D1001=1,INDEX(Grid!$B$6:$H$156,C1001+1,B1001+1),"")</f>
        <v/>
      </c>
      <c r="F1001" s="13" t="n">
        <f aca="false">Val_pt*(Ceiling_e-E_zero)*(1-(1-Half_gap)^B1001)</f>
        <v>137.8125</v>
      </c>
      <c r="G1001" s="15" t="n">
        <f aca="false">C1001</f>
        <v>89</v>
      </c>
      <c r="H1001" s="15" t="str">
        <f aca="false">IF(D1001=1,INDEX(Grid!$R$6:$X$156,C1001+1,B1001+1),"")</f>
        <v/>
      </c>
      <c r="I1001" s="2" t="str">
        <f aca="false">IF(D1001=1,INDEX(Sch_label,H1001+1),"")</f>
        <v/>
      </c>
      <c r="J1001" s="15" t="n">
        <f aca="false">IF(D1001=1,INDEX(Grid!$Z$6:$AF$156,C1001+1,B1001+1),0)</f>
        <v>0</v>
      </c>
      <c r="K1001" s="16" t="n">
        <f aca="false">IF(J1001=1,E1001,0)</f>
        <v>0</v>
      </c>
      <c r="L1001" s="17" t="str">
        <f aca="false">IF(D1001=1,E1001+W_board*F1001,"")</f>
        <v/>
      </c>
      <c r="Z1001" s="12" t="str">
        <f aca="false">IF(AND($J1001=1,$M1001=1),N1001*E1001/Span_P+O1001*F1001/Span_S+P1001*G1001/Span_B,"")</f>
        <v/>
      </c>
      <c r="AA1001" s="12" t="str">
        <f aca="false">IF(AND($J1001=1,$M1001=1),SUMPRODUCT(MAX($J$6:$J$1062*(N1001*$K$6:$K$1062/Span_P+O1001*$F$6:$F$1062/Span_S+P1001*$G$6:$G$1062/Span_B)-(1-$J$6:$J$1062)*1000000000)),"")</f>
        <v/>
      </c>
      <c r="AB1001" s="15" t="str">
        <f aca="false">IF(AND($J1001=1,$M1001=1),IF(AA1001-Z1001&lt;=0.000000001,1,0),"")</f>
        <v/>
      </c>
      <c r="AC1001" s="13" t="str">
        <f aca="false">IF(AND($J1001=1,$M1001=0),IF(S1001="",0,S1001*INDEX(Grid!$B$6:$H$156,R1001+1,Q1001+1))+IF(V1001="",0,V1001*INDEX(Grid!$B$6:$H$156,U1001+1,T1001+1))+IF(Y1001="",0,Y1001*INDEX(Grid!$B$6:$H$156,X1001+1,W1001+1)),"")</f>
        <v/>
      </c>
      <c r="AD1001" s="13" t="str">
        <f aca="false">IF(AND($J1001=1,$M1001=0),IF(S1001="",0,S1001*Val_pt*(Ceiling_e-E_zero)*(1-(1-Half_gap)^Q1001))+IF(V1001="",0,V1001*Val_pt*(Ceiling_e-E_zero)*(1-(1-Half_gap)^T1001))+IF(Y1001="",0,Y1001*Val_pt*(Ceiling_e-E_zero)*(1-(1-Half_gap)^W1001)),"")</f>
        <v/>
      </c>
      <c r="AE1001" s="13" t="str">
        <f aca="false">IF(AND($J1001=1,$M1001=0),IF(S1001="",0,S1001*R1001)+IF(V1001="",0,V1001*U1001)+IF(Y1001="",0,Y1001*X1001),"")</f>
        <v/>
      </c>
      <c r="AF1001" s="12" t="str">
        <f aca="false">IF(AND($J1001=1,$M1001=0),MIN((AC1001-E1001)/Span_P,(AD1001-F1001)/Span_S,(AE1001-G1001)/Span_B),"")</f>
        <v/>
      </c>
      <c r="AG1001" s="15" t="str">
        <f aca="false">IF(AND($J1001=1,$M1001=0),IF(AF1001&gt;0.0000001,1,0),"")</f>
        <v/>
      </c>
      <c r="AH1001" s="15" t="str">
        <f aca="false">IF($J1001=1,IF($M1001=1,AB1001,AG1001),"")</f>
        <v/>
      </c>
      <c r="AI1001" s="13" t="str">
        <f aca="false">IF($J1001=1,(Ideal_P-E1001)/Span_P,"")</f>
        <v/>
      </c>
      <c r="AJ1001" s="13" t="str">
        <f aca="false">IF($J1001=1,(Ideal_S-F1001)/Span_S,"")</f>
        <v/>
      </c>
      <c r="AK1001" s="13" t="str">
        <f aca="false">IF($J1001=1,(Ideal_B-G1001)/Span_B,"")</f>
        <v/>
      </c>
      <c r="AL1001" s="12" t="str">
        <f aca="false">IF($J1001=1,MAX(ChA_1*AI1001,ChA_2*AJ1001,ChA_3*AK1001)+Rho*(ChA_1*AI1001+ChA_2*AJ1001+ChA_3*AK1001),"")</f>
        <v/>
      </c>
      <c r="AM1001" s="12" t="str">
        <f aca="false">IF($J1001=1,MAX(ChB_1*AI1001,ChB_2*AJ1001,ChB_3*AK1001)+Rho*(ChB_1*AI1001+ChB_2*AJ1001+ChB_3*AK1001),"")</f>
        <v/>
      </c>
      <c r="AN1001" s="12" t="str">
        <f aca="false">IF($J1001=1,MAX(Cx_1*(Ref_P-E1001)/Span_P,Cx_2*(Ref_S-F1001)/Span_S,Cx_3*(Ref_B-G1001)/Span_B),"")</f>
        <v/>
      </c>
    </row>
    <row r="1002" customFormat="false" ht="15" hidden="false" customHeight="false" outlineLevel="0" collapsed="false">
      <c r="A1002" s="2" t="n">
        <v>996</v>
      </c>
      <c r="B1002" s="15" t="n">
        <f aca="false">INT(A1002/151)</f>
        <v>6</v>
      </c>
      <c r="C1002" s="15" t="n">
        <f aca="false">MOD(A1002,151)</f>
        <v>90</v>
      </c>
      <c r="D1002" s="15" t="n">
        <f aca="false">INDEX(Grid!$J$6:$P$156,C1002+1,B1002+1)</f>
        <v>0</v>
      </c>
      <c r="E1002" s="16" t="str">
        <f aca="false">IF(D1002=1,INDEX(Grid!$B$6:$H$156,C1002+1,B1002+1),"")</f>
        <v/>
      </c>
      <c r="F1002" s="13" t="n">
        <f aca="false">Val_pt*(Ceiling_e-E_zero)*(1-(1-Half_gap)^B1002)</f>
        <v>137.8125</v>
      </c>
      <c r="G1002" s="15" t="n">
        <f aca="false">C1002</f>
        <v>90</v>
      </c>
      <c r="H1002" s="15" t="str">
        <f aca="false">IF(D1002=1,INDEX(Grid!$R$6:$X$156,C1002+1,B1002+1),"")</f>
        <v/>
      </c>
      <c r="I1002" s="2" t="str">
        <f aca="false">IF(D1002=1,INDEX(Sch_label,H1002+1),"")</f>
        <v/>
      </c>
      <c r="J1002" s="15" t="n">
        <f aca="false">IF(D1002=1,INDEX(Grid!$Z$6:$AF$156,C1002+1,B1002+1),0)</f>
        <v>0</v>
      </c>
      <c r="K1002" s="16" t="n">
        <f aca="false">IF(J1002=1,E1002,0)</f>
        <v>0</v>
      </c>
      <c r="L1002" s="17" t="str">
        <f aca="false">IF(D1002=1,E1002+W_board*F1002,"")</f>
        <v/>
      </c>
      <c r="Z1002" s="12" t="str">
        <f aca="false">IF(AND($J1002=1,$M1002=1),N1002*E1002/Span_P+O1002*F1002/Span_S+P1002*G1002/Span_B,"")</f>
        <v/>
      </c>
      <c r="AA1002" s="12" t="str">
        <f aca="false">IF(AND($J1002=1,$M1002=1),SUMPRODUCT(MAX($J$6:$J$1062*(N1002*$K$6:$K$1062/Span_P+O1002*$F$6:$F$1062/Span_S+P1002*$G$6:$G$1062/Span_B)-(1-$J$6:$J$1062)*1000000000)),"")</f>
        <v/>
      </c>
      <c r="AB1002" s="15" t="str">
        <f aca="false">IF(AND($J1002=1,$M1002=1),IF(AA1002-Z1002&lt;=0.000000001,1,0),"")</f>
        <v/>
      </c>
      <c r="AC1002" s="13" t="str">
        <f aca="false">IF(AND($J1002=1,$M1002=0),IF(S1002="",0,S1002*INDEX(Grid!$B$6:$H$156,R1002+1,Q1002+1))+IF(V1002="",0,V1002*INDEX(Grid!$B$6:$H$156,U1002+1,T1002+1))+IF(Y1002="",0,Y1002*INDEX(Grid!$B$6:$H$156,X1002+1,W1002+1)),"")</f>
        <v/>
      </c>
      <c r="AD1002" s="13" t="str">
        <f aca="false">IF(AND($J1002=1,$M1002=0),IF(S1002="",0,S1002*Val_pt*(Ceiling_e-E_zero)*(1-(1-Half_gap)^Q1002))+IF(V1002="",0,V1002*Val_pt*(Ceiling_e-E_zero)*(1-(1-Half_gap)^T1002))+IF(Y1002="",0,Y1002*Val_pt*(Ceiling_e-E_zero)*(1-(1-Half_gap)^W1002)),"")</f>
        <v/>
      </c>
      <c r="AE1002" s="13" t="str">
        <f aca="false">IF(AND($J1002=1,$M1002=0),IF(S1002="",0,S1002*R1002)+IF(V1002="",0,V1002*U1002)+IF(Y1002="",0,Y1002*X1002),"")</f>
        <v/>
      </c>
      <c r="AF1002" s="12" t="str">
        <f aca="false">IF(AND($J1002=1,$M1002=0),MIN((AC1002-E1002)/Span_P,(AD1002-F1002)/Span_S,(AE1002-G1002)/Span_B),"")</f>
        <v/>
      </c>
      <c r="AG1002" s="15" t="str">
        <f aca="false">IF(AND($J1002=1,$M1002=0),IF(AF1002&gt;0.0000001,1,0),"")</f>
        <v/>
      </c>
      <c r="AH1002" s="15" t="str">
        <f aca="false">IF($J1002=1,IF($M1002=1,AB1002,AG1002),"")</f>
        <v/>
      </c>
      <c r="AI1002" s="13" t="str">
        <f aca="false">IF($J1002=1,(Ideal_P-E1002)/Span_P,"")</f>
        <v/>
      </c>
      <c r="AJ1002" s="13" t="str">
        <f aca="false">IF($J1002=1,(Ideal_S-F1002)/Span_S,"")</f>
        <v/>
      </c>
      <c r="AK1002" s="13" t="str">
        <f aca="false">IF($J1002=1,(Ideal_B-G1002)/Span_B,"")</f>
        <v/>
      </c>
      <c r="AL1002" s="12" t="str">
        <f aca="false">IF($J1002=1,MAX(ChA_1*AI1002,ChA_2*AJ1002,ChA_3*AK1002)+Rho*(ChA_1*AI1002+ChA_2*AJ1002+ChA_3*AK1002),"")</f>
        <v/>
      </c>
      <c r="AM1002" s="12" t="str">
        <f aca="false">IF($J1002=1,MAX(ChB_1*AI1002,ChB_2*AJ1002,ChB_3*AK1002)+Rho*(ChB_1*AI1002+ChB_2*AJ1002+ChB_3*AK1002),"")</f>
        <v/>
      </c>
      <c r="AN1002" s="12" t="str">
        <f aca="false">IF($J1002=1,MAX(Cx_1*(Ref_P-E1002)/Span_P,Cx_2*(Ref_S-F1002)/Span_S,Cx_3*(Ref_B-G1002)/Span_B),"")</f>
        <v/>
      </c>
    </row>
    <row r="1003" customFormat="false" ht="15" hidden="false" customHeight="false" outlineLevel="0" collapsed="false">
      <c r="A1003" s="2" t="n">
        <v>997</v>
      </c>
      <c r="B1003" s="15" t="n">
        <f aca="false">INT(A1003/151)</f>
        <v>6</v>
      </c>
      <c r="C1003" s="15" t="n">
        <f aca="false">MOD(A1003,151)</f>
        <v>91</v>
      </c>
      <c r="D1003" s="15" t="n">
        <f aca="false">INDEX(Grid!$J$6:$P$156,C1003+1,B1003+1)</f>
        <v>0</v>
      </c>
      <c r="E1003" s="16" t="str">
        <f aca="false">IF(D1003=1,INDEX(Grid!$B$6:$H$156,C1003+1,B1003+1),"")</f>
        <v/>
      </c>
      <c r="F1003" s="13" t="n">
        <f aca="false">Val_pt*(Ceiling_e-E_zero)*(1-(1-Half_gap)^B1003)</f>
        <v>137.8125</v>
      </c>
      <c r="G1003" s="15" t="n">
        <f aca="false">C1003</f>
        <v>91</v>
      </c>
      <c r="H1003" s="15" t="str">
        <f aca="false">IF(D1003=1,INDEX(Grid!$R$6:$X$156,C1003+1,B1003+1),"")</f>
        <v/>
      </c>
      <c r="I1003" s="2" t="str">
        <f aca="false">IF(D1003=1,INDEX(Sch_label,H1003+1),"")</f>
        <v/>
      </c>
      <c r="J1003" s="15" t="n">
        <f aca="false">IF(D1003=1,INDEX(Grid!$Z$6:$AF$156,C1003+1,B1003+1),0)</f>
        <v>0</v>
      </c>
      <c r="K1003" s="16" t="n">
        <f aca="false">IF(J1003=1,E1003,0)</f>
        <v>0</v>
      </c>
      <c r="L1003" s="17" t="str">
        <f aca="false">IF(D1003=1,E1003+W_board*F1003,"")</f>
        <v/>
      </c>
      <c r="Z1003" s="12" t="str">
        <f aca="false">IF(AND($J1003=1,$M1003=1),N1003*E1003/Span_P+O1003*F1003/Span_S+P1003*G1003/Span_B,"")</f>
        <v/>
      </c>
      <c r="AA1003" s="12" t="str">
        <f aca="false">IF(AND($J1003=1,$M1003=1),SUMPRODUCT(MAX($J$6:$J$1062*(N1003*$K$6:$K$1062/Span_P+O1003*$F$6:$F$1062/Span_S+P1003*$G$6:$G$1062/Span_B)-(1-$J$6:$J$1062)*1000000000)),"")</f>
        <v/>
      </c>
      <c r="AB1003" s="15" t="str">
        <f aca="false">IF(AND($J1003=1,$M1003=1),IF(AA1003-Z1003&lt;=0.000000001,1,0),"")</f>
        <v/>
      </c>
      <c r="AC1003" s="13" t="str">
        <f aca="false">IF(AND($J1003=1,$M1003=0),IF(S1003="",0,S1003*INDEX(Grid!$B$6:$H$156,R1003+1,Q1003+1))+IF(V1003="",0,V1003*INDEX(Grid!$B$6:$H$156,U1003+1,T1003+1))+IF(Y1003="",0,Y1003*INDEX(Grid!$B$6:$H$156,X1003+1,W1003+1)),"")</f>
        <v/>
      </c>
      <c r="AD1003" s="13" t="str">
        <f aca="false">IF(AND($J1003=1,$M1003=0),IF(S1003="",0,S1003*Val_pt*(Ceiling_e-E_zero)*(1-(1-Half_gap)^Q1003))+IF(V1003="",0,V1003*Val_pt*(Ceiling_e-E_zero)*(1-(1-Half_gap)^T1003))+IF(Y1003="",0,Y1003*Val_pt*(Ceiling_e-E_zero)*(1-(1-Half_gap)^W1003)),"")</f>
        <v/>
      </c>
      <c r="AE1003" s="13" t="str">
        <f aca="false">IF(AND($J1003=1,$M1003=0),IF(S1003="",0,S1003*R1003)+IF(V1003="",0,V1003*U1003)+IF(Y1003="",0,Y1003*X1003),"")</f>
        <v/>
      </c>
      <c r="AF1003" s="12" t="str">
        <f aca="false">IF(AND($J1003=1,$M1003=0),MIN((AC1003-E1003)/Span_P,(AD1003-F1003)/Span_S,(AE1003-G1003)/Span_B),"")</f>
        <v/>
      </c>
      <c r="AG1003" s="15" t="str">
        <f aca="false">IF(AND($J1003=1,$M1003=0),IF(AF1003&gt;0.0000001,1,0),"")</f>
        <v/>
      </c>
      <c r="AH1003" s="15" t="str">
        <f aca="false">IF($J1003=1,IF($M1003=1,AB1003,AG1003),"")</f>
        <v/>
      </c>
      <c r="AI1003" s="13" t="str">
        <f aca="false">IF($J1003=1,(Ideal_P-E1003)/Span_P,"")</f>
        <v/>
      </c>
      <c r="AJ1003" s="13" t="str">
        <f aca="false">IF($J1003=1,(Ideal_S-F1003)/Span_S,"")</f>
        <v/>
      </c>
      <c r="AK1003" s="13" t="str">
        <f aca="false">IF($J1003=1,(Ideal_B-G1003)/Span_B,"")</f>
        <v/>
      </c>
      <c r="AL1003" s="12" t="str">
        <f aca="false">IF($J1003=1,MAX(ChA_1*AI1003,ChA_2*AJ1003,ChA_3*AK1003)+Rho*(ChA_1*AI1003+ChA_2*AJ1003+ChA_3*AK1003),"")</f>
        <v/>
      </c>
      <c r="AM1003" s="12" t="str">
        <f aca="false">IF($J1003=1,MAX(ChB_1*AI1003,ChB_2*AJ1003,ChB_3*AK1003)+Rho*(ChB_1*AI1003+ChB_2*AJ1003+ChB_3*AK1003),"")</f>
        <v/>
      </c>
      <c r="AN1003" s="12" t="str">
        <f aca="false">IF($J1003=1,MAX(Cx_1*(Ref_P-E1003)/Span_P,Cx_2*(Ref_S-F1003)/Span_S,Cx_3*(Ref_B-G1003)/Span_B),"")</f>
        <v/>
      </c>
    </row>
    <row r="1004" customFormat="false" ht="15" hidden="false" customHeight="false" outlineLevel="0" collapsed="false">
      <c r="A1004" s="2" t="n">
        <v>998</v>
      </c>
      <c r="B1004" s="15" t="n">
        <f aca="false">INT(A1004/151)</f>
        <v>6</v>
      </c>
      <c r="C1004" s="15" t="n">
        <f aca="false">MOD(A1004,151)</f>
        <v>92</v>
      </c>
      <c r="D1004" s="15" t="n">
        <f aca="false">INDEX(Grid!$J$6:$P$156,C1004+1,B1004+1)</f>
        <v>0</v>
      </c>
      <c r="E1004" s="16" t="str">
        <f aca="false">IF(D1004=1,INDEX(Grid!$B$6:$H$156,C1004+1,B1004+1),"")</f>
        <v/>
      </c>
      <c r="F1004" s="13" t="n">
        <f aca="false">Val_pt*(Ceiling_e-E_zero)*(1-(1-Half_gap)^B1004)</f>
        <v>137.8125</v>
      </c>
      <c r="G1004" s="15" t="n">
        <f aca="false">C1004</f>
        <v>92</v>
      </c>
      <c r="H1004" s="15" t="str">
        <f aca="false">IF(D1004=1,INDEX(Grid!$R$6:$X$156,C1004+1,B1004+1),"")</f>
        <v/>
      </c>
      <c r="I1004" s="2" t="str">
        <f aca="false">IF(D1004=1,INDEX(Sch_label,H1004+1),"")</f>
        <v/>
      </c>
      <c r="J1004" s="15" t="n">
        <f aca="false">IF(D1004=1,INDEX(Grid!$Z$6:$AF$156,C1004+1,B1004+1),0)</f>
        <v>0</v>
      </c>
      <c r="K1004" s="16" t="n">
        <f aca="false">IF(J1004=1,E1004,0)</f>
        <v>0</v>
      </c>
      <c r="L1004" s="17" t="str">
        <f aca="false">IF(D1004=1,E1004+W_board*F1004,"")</f>
        <v/>
      </c>
      <c r="Z1004" s="12" t="str">
        <f aca="false">IF(AND($J1004=1,$M1004=1),N1004*E1004/Span_P+O1004*F1004/Span_S+P1004*G1004/Span_B,"")</f>
        <v/>
      </c>
      <c r="AA1004" s="12" t="str">
        <f aca="false">IF(AND($J1004=1,$M1004=1),SUMPRODUCT(MAX($J$6:$J$1062*(N1004*$K$6:$K$1062/Span_P+O1004*$F$6:$F$1062/Span_S+P1004*$G$6:$G$1062/Span_B)-(1-$J$6:$J$1062)*1000000000)),"")</f>
        <v/>
      </c>
      <c r="AB1004" s="15" t="str">
        <f aca="false">IF(AND($J1004=1,$M1004=1),IF(AA1004-Z1004&lt;=0.000000001,1,0),"")</f>
        <v/>
      </c>
      <c r="AC1004" s="13" t="str">
        <f aca="false">IF(AND($J1004=1,$M1004=0),IF(S1004="",0,S1004*INDEX(Grid!$B$6:$H$156,R1004+1,Q1004+1))+IF(V1004="",0,V1004*INDEX(Grid!$B$6:$H$156,U1004+1,T1004+1))+IF(Y1004="",0,Y1004*INDEX(Grid!$B$6:$H$156,X1004+1,W1004+1)),"")</f>
        <v/>
      </c>
      <c r="AD1004" s="13" t="str">
        <f aca="false">IF(AND($J1004=1,$M1004=0),IF(S1004="",0,S1004*Val_pt*(Ceiling_e-E_zero)*(1-(1-Half_gap)^Q1004))+IF(V1004="",0,V1004*Val_pt*(Ceiling_e-E_zero)*(1-(1-Half_gap)^T1004))+IF(Y1004="",0,Y1004*Val_pt*(Ceiling_e-E_zero)*(1-(1-Half_gap)^W1004)),"")</f>
        <v/>
      </c>
      <c r="AE1004" s="13" t="str">
        <f aca="false">IF(AND($J1004=1,$M1004=0),IF(S1004="",0,S1004*R1004)+IF(V1004="",0,V1004*U1004)+IF(Y1004="",0,Y1004*X1004),"")</f>
        <v/>
      </c>
      <c r="AF1004" s="12" t="str">
        <f aca="false">IF(AND($J1004=1,$M1004=0),MIN((AC1004-E1004)/Span_P,(AD1004-F1004)/Span_S,(AE1004-G1004)/Span_B),"")</f>
        <v/>
      </c>
      <c r="AG1004" s="15" t="str">
        <f aca="false">IF(AND($J1004=1,$M1004=0),IF(AF1004&gt;0.0000001,1,0),"")</f>
        <v/>
      </c>
      <c r="AH1004" s="15" t="str">
        <f aca="false">IF($J1004=1,IF($M1004=1,AB1004,AG1004),"")</f>
        <v/>
      </c>
      <c r="AI1004" s="13" t="str">
        <f aca="false">IF($J1004=1,(Ideal_P-E1004)/Span_P,"")</f>
        <v/>
      </c>
      <c r="AJ1004" s="13" t="str">
        <f aca="false">IF($J1004=1,(Ideal_S-F1004)/Span_S,"")</f>
        <v/>
      </c>
      <c r="AK1004" s="13" t="str">
        <f aca="false">IF($J1004=1,(Ideal_B-G1004)/Span_B,"")</f>
        <v/>
      </c>
      <c r="AL1004" s="12" t="str">
        <f aca="false">IF($J1004=1,MAX(ChA_1*AI1004,ChA_2*AJ1004,ChA_3*AK1004)+Rho*(ChA_1*AI1004+ChA_2*AJ1004+ChA_3*AK1004),"")</f>
        <v/>
      </c>
      <c r="AM1004" s="12" t="str">
        <f aca="false">IF($J1004=1,MAX(ChB_1*AI1004,ChB_2*AJ1004,ChB_3*AK1004)+Rho*(ChB_1*AI1004+ChB_2*AJ1004+ChB_3*AK1004),"")</f>
        <v/>
      </c>
      <c r="AN1004" s="12" t="str">
        <f aca="false">IF($J1004=1,MAX(Cx_1*(Ref_P-E1004)/Span_P,Cx_2*(Ref_S-F1004)/Span_S,Cx_3*(Ref_B-G1004)/Span_B),"")</f>
        <v/>
      </c>
    </row>
    <row r="1005" customFormat="false" ht="15" hidden="false" customHeight="false" outlineLevel="0" collapsed="false">
      <c r="A1005" s="2" t="n">
        <v>999</v>
      </c>
      <c r="B1005" s="15" t="n">
        <f aca="false">INT(A1005/151)</f>
        <v>6</v>
      </c>
      <c r="C1005" s="15" t="n">
        <f aca="false">MOD(A1005,151)</f>
        <v>93</v>
      </c>
      <c r="D1005" s="15" t="n">
        <f aca="false">INDEX(Grid!$J$6:$P$156,C1005+1,B1005+1)</f>
        <v>0</v>
      </c>
      <c r="E1005" s="16" t="str">
        <f aca="false">IF(D1005=1,INDEX(Grid!$B$6:$H$156,C1005+1,B1005+1),"")</f>
        <v/>
      </c>
      <c r="F1005" s="13" t="n">
        <f aca="false">Val_pt*(Ceiling_e-E_zero)*(1-(1-Half_gap)^B1005)</f>
        <v>137.8125</v>
      </c>
      <c r="G1005" s="15" t="n">
        <f aca="false">C1005</f>
        <v>93</v>
      </c>
      <c r="H1005" s="15" t="str">
        <f aca="false">IF(D1005=1,INDEX(Grid!$R$6:$X$156,C1005+1,B1005+1),"")</f>
        <v/>
      </c>
      <c r="I1005" s="2" t="str">
        <f aca="false">IF(D1005=1,INDEX(Sch_label,H1005+1),"")</f>
        <v/>
      </c>
      <c r="J1005" s="15" t="n">
        <f aca="false">IF(D1005=1,INDEX(Grid!$Z$6:$AF$156,C1005+1,B1005+1),0)</f>
        <v>0</v>
      </c>
      <c r="K1005" s="16" t="n">
        <f aca="false">IF(J1005=1,E1005,0)</f>
        <v>0</v>
      </c>
      <c r="L1005" s="17" t="str">
        <f aca="false">IF(D1005=1,E1005+W_board*F1005,"")</f>
        <v/>
      </c>
      <c r="Z1005" s="12" t="str">
        <f aca="false">IF(AND($J1005=1,$M1005=1),N1005*E1005/Span_P+O1005*F1005/Span_S+P1005*G1005/Span_B,"")</f>
        <v/>
      </c>
      <c r="AA1005" s="12" t="str">
        <f aca="false">IF(AND($J1005=1,$M1005=1),SUMPRODUCT(MAX($J$6:$J$1062*(N1005*$K$6:$K$1062/Span_P+O1005*$F$6:$F$1062/Span_S+P1005*$G$6:$G$1062/Span_B)-(1-$J$6:$J$1062)*1000000000)),"")</f>
        <v/>
      </c>
      <c r="AB1005" s="15" t="str">
        <f aca="false">IF(AND($J1005=1,$M1005=1),IF(AA1005-Z1005&lt;=0.000000001,1,0),"")</f>
        <v/>
      </c>
      <c r="AC1005" s="13" t="str">
        <f aca="false">IF(AND($J1005=1,$M1005=0),IF(S1005="",0,S1005*INDEX(Grid!$B$6:$H$156,R1005+1,Q1005+1))+IF(V1005="",0,V1005*INDEX(Grid!$B$6:$H$156,U1005+1,T1005+1))+IF(Y1005="",0,Y1005*INDEX(Grid!$B$6:$H$156,X1005+1,W1005+1)),"")</f>
        <v/>
      </c>
      <c r="AD1005" s="13" t="str">
        <f aca="false">IF(AND($J1005=1,$M1005=0),IF(S1005="",0,S1005*Val_pt*(Ceiling_e-E_zero)*(1-(1-Half_gap)^Q1005))+IF(V1005="",0,V1005*Val_pt*(Ceiling_e-E_zero)*(1-(1-Half_gap)^T1005))+IF(Y1005="",0,Y1005*Val_pt*(Ceiling_e-E_zero)*(1-(1-Half_gap)^W1005)),"")</f>
        <v/>
      </c>
      <c r="AE1005" s="13" t="str">
        <f aca="false">IF(AND($J1005=1,$M1005=0),IF(S1005="",0,S1005*R1005)+IF(V1005="",0,V1005*U1005)+IF(Y1005="",0,Y1005*X1005),"")</f>
        <v/>
      </c>
      <c r="AF1005" s="12" t="str">
        <f aca="false">IF(AND($J1005=1,$M1005=0),MIN((AC1005-E1005)/Span_P,(AD1005-F1005)/Span_S,(AE1005-G1005)/Span_B),"")</f>
        <v/>
      </c>
      <c r="AG1005" s="15" t="str">
        <f aca="false">IF(AND($J1005=1,$M1005=0),IF(AF1005&gt;0.0000001,1,0),"")</f>
        <v/>
      </c>
      <c r="AH1005" s="15" t="str">
        <f aca="false">IF($J1005=1,IF($M1005=1,AB1005,AG1005),"")</f>
        <v/>
      </c>
      <c r="AI1005" s="13" t="str">
        <f aca="false">IF($J1005=1,(Ideal_P-E1005)/Span_P,"")</f>
        <v/>
      </c>
      <c r="AJ1005" s="13" t="str">
        <f aca="false">IF($J1005=1,(Ideal_S-F1005)/Span_S,"")</f>
        <v/>
      </c>
      <c r="AK1005" s="13" t="str">
        <f aca="false">IF($J1005=1,(Ideal_B-G1005)/Span_B,"")</f>
        <v/>
      </c>
      <c r="AL1005" s="12" t="str">
        <f aca="false">IF($J1005=1,MAX(ChA_1*AI1005,ChA_2*AJ1005,ChA_3*AK1005)+Rho*(ChA_1*AI1005+ChA_2*AJ1005+ChA_3*AK1005),"")</f>
        <v/>
      </c>
      <c r="AM1005" s="12" t="str">
        <f aca="false">IF($J1005=1,MAX(ChB_1*AI1005,ChB_2*AJ1005,ChB_3*AK1005)+Rho*(ChB_1*AI1005+ChB_2*AJ1005+ChB_3*AK1005),"")</f>
        <v/>
      </c>
      <c r="AN1005" s="12" t="str">
        <f aca="false">IF($J1005=1,MAX(Cx_1*(Ref_P-E1005)/Span_P,Cx_2*(Ref_S-F1005)/Span_S,Cx_3*(Ref_B-G1005)/Span_B),"")</f>
        <v/>
      </c>
    </row>
    <row r="1006" customFormat="false" ht="15" hidden="false" customHeight="false" outlineLevel="0" collapsed="false">
      <c r="A1006" s="2" t="n">
        <v>1000</v>
      </c>
      <c r="B1006" s="15" t="n">
        <f aca="false">INT(A1006/151)</f>
        <v>6</v>
      </c>
      <c r="C1006" s="15" t="n">
        <f aca="false">MOD(A1006,151)</f>
        <v>94</v>
      </c>
      <c r="D1006" s="15" t="n">
        <f aca="false">INDEX(Grid!$J$6:$P$156,C1006+1,B1006+1)</f>
        <v>0</v>
      </c>
      <c r="E1006" s="16" t="str">
        <f aca="false">IF(D1006=1,INDEX(Grid!$B$6:$H$156,C1006+1,B1006+1),"")</f>
        <v/>
      </c>
      <c r="F1006" s="13" t="n">
        <f aca="false">Val_pt*(Ceiling_e-E_zero)*(1-(1-Half_gap)^B1006)</f>
        <v>137.8125</v>
      </c>
      <c r="G1006" s="15" t="n">
        <f aca="false">C1006</f>
        <v>94</v>
      </c>
      <c r="H1006" s="15" t="str">
        <f aca="false">IF(D1006=1,INDEX(Grid!$R$6:$X$156,C1006+1,B1006+1),"")</f>
        <v/>
      </c>
      <c r="I1006" s="2" t="str">
        <f aca="false">IF(D1006=1,INDEX(Sch_label,H1006+1),"")</f>
        <v/>
      </c>
      <c r="J1006" s="15" t="n">
        <f aca="false">IF(D1006=1,INDEX(Grid!$Z$6:$AF$156,C1006+1,B1006+1),0)</f>
        <v>0</v>
      </c>
      <c r="K1006" s="16" t="n">
        <f aca="false">IF(J1006=1,E1006,0)</f>
        <v>0</v>
      </c>
      <c r="L1006" s="17" t="str">
        <f aca="false">IF(D1006=1,E1006+W_board*F1006,"")</f>
        <v/>
      </c>
      <c r="Z1006" s="12" t="str">
        <f aca="false">IF(AND($J1006=1,$M1006=1),N1006*E1006/Span_P+O1006*F1006/Span_S+P1006*G1006/Span_B,"")</f>
        <v/>
      </c>
      <c r="AA1006" s="12" t="str">
        <f aca="false">IF(AND($J1006=1,$M1006=1),SUMPRODUCT(MAX($J$6:$J$1062*(N1006*$K$6:$K$1062/Span_P+O1006*$F$6:$F$1062/Span_S+P1006*$G$6:$G$1062/Span_B)-(1-$J$6:$J$1062)*1000000000)),"")</f>
        <v/>
      </c>
      <c r="AB1006" s="15" t="str">
        <f aca="false">IF(AND($J1006=1,$M1006=1),IF(AA1006-Z1006&lt;=0.000000001,1,0),"")</f>
        <v/>
      </c>
      <c r="AC1006" s="13" t="str">
        <f aca="false">IF(AND($J1006=1,$M1006=0),IF(S1006="",0,S1006*INDEX(Grid!$B$6:$H$156,R1006+1,Q1006+1))+IF(V1006="",0,V1006*INDEX(Grid!$B$6:$H$156,U1006+1,T1006+1))+IF(Y1006="",0,Y1006*INDEX(Grid!$B$6:$H$156,X1006+1,W1006+1)),"")</f>
        <v/>
      </c>
      <c r="AD1006" s="13" t="str">
        <f aca="false">IF(AND($J1006=1,$M1006=0),IF(S1006="",0,S1006*Val_pt*(Ceiling_e-E_zero)*(1-(1-Half_gap)^Q1006))+IF(V1006="",0,V1006*Val_pt*(Ceiling_e-E_zero)*(1-(1-Half_gap)^T1006))+IF(Y1006="",0,Y1006*Val_pt*(Ceiling_e-E_zero)*(1-(1-Half_gap)^W1006)),"")</f>
        <v/>
      </c>
      <c r="AE1006" s="13" t="str">
        <f aca="false">IF(AND($J1006=1,$M1006=0),IF(S1006="",0,S1006*R1006)+IF(V1006="",0,V1006*U1006)+IF(Y1006="",0,Y1006*X1006),"")</f>
        <v/>
      </c>
      <c r="AF1006" s="12" t="str">
        <f aca="false">IF(AND($J1006=1,$M1006=0),MIN((AC1006-E1006)/Span_P,(AD1006-F1006)/Span_S,(AE1006-G1006)/Span_B),"")</f>
        <v/>
      </c>
      <c r="AG1006" s="15" t="str">
        <f aca="false">IF(AND($J1006=1,$M1006=0),IF(AF1006&gt;0.0000001,1,0),"")</f>
        <v/>
      </c>
      <c r="AH1006" s="15" t="str">
        <f aca="false">IF($J1006=1,IF($M1006=1,AB1006,AG1006),"")</f>
        <v/>
      </c>
      <c r="AI1006" s="13" t="str">
        <f aca="false">IF($J1006=1,(Ideal_P-E1006)/Span_P,"")</f>
        <v/>
      </c>
      <c r="AJ1006" s="13" t="str">
        <f aca="false">IF($J1006=1,(Ideal_S-F1006)/Span_S,"")</f>
        <v/>
      </c>
      <c r="AK1006" s="13" t="str">
        <f aca="false">IF($J1006=1,(Ideal_B-G1006)/Span_B,"")</f>
        <v/>
      </c>
      <c r="AL1006" s="12" t="str">
        <f aca="false">IF($J1006=1,MAX(ChA_1*AI1006,ChA_2*AJ1006,ChA_3*AK1006)+Rho*(ChA_1*AI1006+ChA_2*AJ1006+ChA_3*AK1006),"")</f>
        <v/>
      </c>
      <c r="AM1006" s="12" t="str">
        <f aca="false">IF($J1006=1,MAX(ChB_1*AI1006,ChB_2*AJ1006,ChB_3*AK1006)+Rho*(ChB_1*AI1006+ChB_2*AJ1006+ChB_3*AK1006),"")</f>
        <v/>
      </c>
      <c r="AN1006" s="12" t="str">
        <f aca="false">IF($J1006=1,MAX(Cx_1*(Ref_P-E1006)/Span_P,Cx_2*(Ref_S-F1006)/Span_S,Cx_3*(Ref_B-G1006)/Span_B),"")</f>
        <v/>
      </c>
    </row>
    <row r="1007" customFormat="false" ht="15" hidden="false" customHeight="false" outlineLevel="0" collapsed="false">
      <c r="A1007" s="2" t="n">
        <v>1001</v>
      </c>
      <c r="B1007" s="15" t="n">
        <f aca="false">INT(A1007/151)</f>
        <v>6</v>
      </c>
      <c r="C1007" s="15" t="n">
        <f aca="false">MOD(A1007,151)</f>
        <v>95</v>
      </c>
      <c r="D1007" s="15" t="n">
        <f aca="false">INDEX(Grid!$J$6:$P$156,C1007+1,B1007+1)</f>
        <v>0</v>
      </c>
      <c r="E1007" s="16" t="str">
        <f aca="false">IF(D1007=1,INDEX(Grid!$B$6:$H$156,C1007+1,B1007+1),"")</f>
        <v/>
      </c>
      <c r="F1007" s="13" t="n">
        <f aca="false">Val_pt*(Ceiling_e-E_zero)*(1-(1-Half_gap)^B1007)</f>
        <v>137.8125</v>
      </c>
      <c r="G1007" s="15" t="n">
        <f aca="false">C1007</f>
        <v>95</v>
      </c>
      <c r="H1007" s="15" t="str">
        <f aca="false">IF(D1007=1,INDEX(Grid!$R$6:$X$156,C1007+1,B1007+1),"")</f>
        <v/>
      </c>
      <c r="I1007" s="2" t="str">
        <f aca="false">IF(D1007=1,INDEX(Sch_label,H1007+1),"")</f>
        <v/>
      </c>
      <c r="J1007" s="15" t="n">
        <f aca="false">IF(D1007=1,INDEX(Grid!$Z$6:$AF$156,C1007+1,B1007+1),0)</f>
        <v>0</v>
      </c>
      <c r="K1007" s="16" t="n">
        <f aca="false">IF(J1007=1,E1007,0)</f>
        <v>0</v>
      </c>
      <c r="L1007" s="17" t="str">
        <f aca="false">IF(D1007=1,E1007+W_board*F1007,"")</f>
        <v/>
      </c>
      <c r="Z1007" s="12" t="str">
        <f aca="false">IF(AND($J1007=1,$M1007=1),N1007*E1007/Span_P+O1007*F1007/Span_S+P1007*G1007/Span_B,"")</f>
        <v/>
      </c>
      <c r="AA1007" s="12" t="str">
        <f aca="false">IF(AND($J1007=1,$M1007=1),SUMPRODUCT(MAX($J$6:$J$1062*(N1007*$K$6:$K$1062/Span_P+O1007*$F$6:$F$1062/Span_S+P1007*$G$6:$G$1062/Span_B)-(1-$J$6:$J$1062)*1000000000)),"")</f>
        <v/>
      </c>
      <c r="AB1007" s="15" t="str">
        <f aca="false">IF(AND($J1007=1,$M1007=1),IF(AA1007-Z1007&lt;=0.000000001,1,0),"")</f>
        <v/>
      </c>
      <c r="AC1007" s="13" t="str">
        <f aca="false">IF(AND($J1007=1,$M1007=0),IF(S1007="",0,S1007*INDEX(Grid!$B$6:$H$156,R1007+1,Q1007+1))+IF(V1007="",0,V1007*INDEX(Grid!$B$6:$H$156,U1007+1,T1007+1))+IF(Y1007="",0,Y1007*INDEX(Grid!$B$6:$H$156,X1007+1,W1007+1)),"")</f>
        <v/>
      </c>
      <c r="AD1007" s="13" t="str">
        <f aca="false">IF(AND($J1007=1,$M1007=0),IF(S1007="",0,S1007*Val_pt*(Ceiling_e-E_zero)*(1-(1-Half_gap)^Q1007))+IF(V1007="",0,V1007*Val_pt*(Ceiling_e-E_zero)*(1-(1-Half_gap)^T1007))+IF(Y1007="",0,Y1007*Val_pt*(Ceiling_e-E_zero)*(1-(1-Half_gap)^W1007)),"")</f>
        <v/>
      </c>
      <c r="AE1007" s="13" t="str">
        <f aca="false">IF(AND($J1007=1,$M1007=0),IF(S1007="",0,S1007*R1007)+IF(V1007="",0,V1007*U1007)+IF(Y1007="",0,Y1007*X1007),"")</f>
        <v/>
      </c>
      <c r="AF1007" s="12" t="str">
        <f aca="false">IF(AND($J1007=1,$M1007=0),MIN((AC1007-E1007)/Span_P,(AD1007-F1007)/Span_S,(AE1007-G1007)/Span_B),"")</f>
        <v/>
      </c>
      <c r="AG1007" s="15" t="str">
        <f aca="false">IF(AND($J1007=1,$M1007=0),IF(AF1007&gt;0.0000001,1,0),"")</f>
        <v/>
      </c>
      <c r="AH1007" s="15" t="str">
        <f aca="false">IF($J1007=1,IF($M1007=1,AB1007,AG1007),"")</f>
        <v/>
      </c>
      <c r="AI1007" s="13" t="str">
        <f aca="false">IF($J1007=1,(Ideal_P-E1007)/Span_P,"")</f>
        <v/>
      </c>
      <c r="AJ1007" s="13" t="str">
        <f aca="false">IF($J1007=1,(Ideal_S-F1007)/Span_S,"")</f>
        <v/>
      </c>
      <c r="AK1007" s="13" t="str">
        <f aca="false">IF($J1007=1,(Ideal_B-G1007)/Span_B,"")</f>
        <v/>
      </c>
      <c r="AL1007" s="12" t="str">
        <f aca="false">IF($J1007=1,MAX(ChA_1*AI1007,ChA_2*AJ1007,ChA_3*AK1007)+Rho*(ChA_1*AI1007+ChA_2*AJ1007+ChA_3*AK1007),"")</f>
        <v/>
      </c>
      <c r="AM1007" s="12" t="str">
        <f aca="false">IF($J1007=1,MAX(ChB_1*AI1007,ChB_2*AJ1007,ChB_3*AK1007)+Rho*(ChB_1*AI1007+ChB_2*AJ1007+ChB_3*AK1007),"")</f>
        <v/>
      </c>
      <c r="AN1007" s="12" t="str">
        <f aca="false">IF($J1007=1,MAX(Cx_1*(Ref_P-E1007)/Span_P,Cx_2*(Ref_S-F1007)/Span_S,Cx_3*(Ref_B-G1007)/Span_B),"")</f>
        <v/>
      </c>
    </row>
    <row r="1008" customFormat="false" ht="15" hidden="false" customHeight="false" outlineLevel="0" collapsed="false">
      <c r="A1008" s="2" t="n">
        <v>1002</v>
      </c>
      <c r="B1008" s="15" t="n">
        <f aca="false">INT(A1008/151)</f>
        <v>6</v>
      </c>
      <c r="C1008" s="15" t="n">
        <f aca="false">MOD(A1008,151)</f>
        <v>96</v>
      </c>
      <c r="D1008" s="15" t="n">
        <f aca="false">INDEX(Grid!$J$6:$P$156,C1008+1,B1008+1)</f>
        <v>0</v>
      </c>
      <c r="E1008" s="16" t="str">
        <f aca="false">IF(D1008=1,INDEX(Grid!$B$6:$H$156,C1008+1,B1008+1),"")</f>
        <v/>
      </c>
      <c r="F1008" s="13" t="n">
        <f aca="false">Val_pt*(Ceiling_e-E_zero)*(1-(1-Half_gap)^B1008)</f>
        <v>137.8125</v>
      </c>
      <c r="G1008" s="15" t="n">
        <f aca="false">C1008</f>
        <v>96</v>
      </c>
      <c r="H1008" s="15" t="str">
        <f aca="false">IF(D1008=1,INDEX(Grid!$R$6:$X$156,C1008+1,B1008+1),"")</f>
        <v/>
      </c>
      <c r="I1008" s="2" t="str">
        <f aca="false">IF(D1008=1,INDEX(Sch_label,H1008+1),"")</f>
        <v/>
      </c>
      <c r="J1008" s="15" t="n">
        <f aca="false">IF(D1008=1,INDEX(Grid!$Z$6:$AF$156,C1008+1,B1008+1),0)</f>
        <v>0</v>
      </c>
      <c r="K1008" s="16" t="n">
        <f aca="false">IF(J1008=1,E1008,0)</f>
        <v>0</v>
      </c>
      <c r="L1008" s="17" t="str">
        <f aca="false">IF(D1008=1,E1008+W_board*F1008,"")</f>
        <v/>
      </c>
      <c r="Z1008" s="12" t="str">
        <f aca="false">IF(AND($J1008=1,$M1008=1),N1008*E1008/Span_P+O1008*F1008/Span_S+P1008*G1008/Span_B,"")</f>
        <v/>
      </c>
      <c r="AA1008" s="12" t="str">
        <f aca="false">IF(AND($J1008=1,$M1008=1),SUMPRODUCT(MAX($J$6:$J$1062*(N1008*$K$6:$K$1062/Span_P+O1008*$F$6:$F$1062/Span_S+P1008*$G$6:$G$1062/Span_B)-(1-$J$6:$J$1062)*1000000000)),"")</f>
        <v/>
      </c>
      <c r="AB1008" s="15" t="str">
        <f aca="false">IF(AND($J1008=1,$M1008=1),IF(AA1008-Z1008&lt;=0.000000001,1,0),"")</f>
        <v/>
      </c>
      <c r="AC1008" s="13" t="str">
        <f aca="false">IF(AND($J1008=1,$M1008=0),IF(S1008="",0,S1008*INDEX(Grid!$B$6:$H$156,R1008+1,Q1008+1))+IF(V1008="",0,V1008*INDEX(Grid!$B$6:$H$156,U1008+1,T1008+1))+IF(Y1008="",0,Y1008*INDEX(Grid!$B$6:$H$156,X1008+1,W1008+1)),"")</f>
        <v/>
      </c>
      <c r="AD1008" s="13" t="str">
        <f aca="false">IF(AND($J1008=1,$M1008=0),IF(S1008="",0,S1008*Val_pt*(Ceiling_e-E_zero)*(1-(1-Half_gap)^Q1008))+IF(V1008="",0,V1008*Val_pt*(Ceiling_e-E_zero)*(1-(1-Half_gap)^T1008))+IF(Y1008="",0,Y1008*Val_pt*(Ceiling_e-E_zero)*(1-(1-Half_gap)^W1008)),"")</f>
        <v/>
      </c>
      <c r="AE1008" s="13" t="str">
        <f aca="false">IF(AND($J1008=1,$M1008=0),IF(S1008="",0,S1008*R1008)+IF(V1008="",0,V1008*U1008)+IF(Y1008="",0,Y1008*X1008),"")</f>
        <v/>
      </c>
      <c r="AF1008" s="12" t="str">
        <f aca="false">IF(AND($J1008=1,$M1008=0),MIN((AC1008-E1008)/Span_P,(AD1008-F1008)/Span_S,(AE1008-G1008)/Span_B),"")</f>
        <v/>
      </c>
      <c r="AG1008" s="15" t="str">
        <f aca="false">IF(AND($J1008=1,$M1008=0),IF(AF1008&gt;0.0000001,1,0),"")</f>
        <v/>
      </c>
      <c r="AH1008" s="15" t="str">
        <f aca="false">IF($J1008=1,IF($M1008=1,AB1008,AG1008),"")</f>
        <v/>
      </c>
      <c r="AI1008" s="13" t="str">
        <f aca="false">IF($J1008=1,(Ideal_P-E1008)/Span_P,"")</f>
        <v/>
      </c>
      <c r="AJ1008" s="13" t="str">
        <f aca="false">IF($J1008=1,(Ideal_S-F1008)/Span_S,"")</f>
        <v/>
      </c>
      <c r="AK1008" s="13" t="str">
        <f aca="false">IF($J1008=1,(Ideal_B-G1008)/Span_B,"")</f>
        <v/>
      </c>
      <c r="AL1008" s="12" t="str">
        <f aca="false">IF($J1008=1,MAX(ChA_1*AI1008,ChA_2*AJ1008,ChA_3*AK1008)+Rho*(ChA_1*AI1008+ChA_2*AJ1008+ChA_3*AK1008),"")</f>
        <v/>
      </c>
      <c r="AM1008" s="12" t="str">
        <f aca="false">IF($J1008=1,MAX(ChB_1*AI1008,ChB_2*AJ1008,ChB_3*AK1008)+Rho*(ChB_1*AI1008+ChB_2*AJ1008+ChB_3*AK1008),"")</f>
        <v/>
      </c>
      <c r="AN1008" s="12" t="str">
        <f aca="false">IF($J1008=1,MAX(Cx_1*(Ref_P-E1008)/Span_P,Cx_2*(Ref_S-F1008)/Span_S,Cx_3*(Ref_B-G1008)/Span_B),"")</f>
        <v/>
      </c>
    </row>
    <row r="1009" customFormat="false" ht="15" hidden="false" customHeight="false" outlineLevel="0" collapsed="false">
      <c r="A1009" s="2" t="n">
        <v>1003</v>
      </c>
      <c r="B1009" s="15" t="n">
        <f aca="false">INT(A1009/151)</f>
        <v>6</v>
      </c>
      <c r="C1009" s="15" t="n">
        <f aca="false">MOD(A1009,151)</f>
        <v>97</v>
      </c>
      <c r="D1009" s="15" t="n">
        <f aca="false">INDEX(Grid!$J$6:$P$156,C1009+1,B1009+1)</f>
        <v>0</v>
      </c>
      <c r="E1009" s="16" t="str">
        <f aca="false">IF(D1009=1,INDEX(Grid!$B$6:$H$156,C1009+1,B1009+1),"")</f>
        <v/>
      </c>
      <c r="F1009" s="13" t="n">
        <f aca="false">Val_pt*(Ceiling_e-E_zero)*(1-(1-Half_gap)^B1009)</f>
        <v>137.8125</v>
      </c>
      <c r="G1009" s="15" t="n">
        <f aca="false">C1009</f>
        <v>97</v>
      </c>
      <c r="H1009" s="15" t="str">
        <f aca="false">IF(D1009=1,INDEX(Grid!$R$6:$X$156,C1009+1,B1009+1),"")</f>
        <v/>
      </c>
      <c r="I1009" s="2" t="str">
        <f aca="false">IF(D1009=1,INDEX(Sch_label,H1009+1),"")</f>
        <v/>
      </c>
      <c r="J1009" s="15" t="n">
        <f aca="false">IF(D1009=1,INDEX(Grid!$Z$6:$AF$156,C1009+1,B1009+1),0)</f>
        <v>0</v>
      </c>
      <c r="K1009" s="16" t="n">
        <f aca="false">IF(J1009=1,E1009,0)</f>
        <v>0</v>
      </c>
      <c r="L1009" s="17" t="str">
        <f aca="false">IF(D1009=1,E1009+W_board*F1009,"")</f>
        <v/>
      </c>
      <c r="Z1009" s="12" t="str">
        <f aca="false">IF(AND($J1009=1,$M1009=1),N1009*E1009/Span_P+O1009*F1009/Span_S+P1009*G1009/Span_B,"")</f>
        <v/>
      </c>
      <c r="AA1009" s="12" t="str">
        <f aca="false">IF(AND($J1009=1,$M1009=1),SUMPRODUCT(MAX($J$6:$J$1062*(N1009*$K$6:$K$1062/Span_P+O1009*$F$6:$F$1062/Span_S+P1009*$G$6:$G$1062/Span_B)-(1-$J$6:$J$1062)*1000000000)),"")</f>
        <v/>
      </c>
      <c r="AB1009" s="15" t="str">
        <f aca="false">IF(AND($J1009=1,$M1009=1),IF(AA1009-Z1009&lt;=0.000000001,1,0),"")</f>
        <v/>
      </c>
      <c r="AC1009" s="13" t="str">
        <f aca="false">IF(AND($J1009=1,$M1009=0),IF(S1009="",0,S1009*INDEX(Grid!$B$6:$H$156,R1009+1,Q1009+1))+IF(V1009="",0,V1009*INDEX(Grid!$B$6:$H$156,U1009+1,T1009+1))+IF(Y1009="",0,Y1009*INDEX(Grid!$B$6:$H$156,X1009+1,W1009+1)),"")</f>
        <v/>
      </c>
      <c r="AD1009" s="13" t="str">
        <f aca="false">IF(AND($J1009=1,$M1009=0),IF(S1009="",0,S1009*Val_pt*(Ceiling_e-E_zero)*(1-(1-Half_gap)^Q1009))+IF(V1009="",0,V1009*Val_pt*(Ceiling_e-E_zero)*(1-(1-Half_gap)^T1009))+IF(Y1009="",0,Y1009*Val_pt*(Ceiling_e-E_zero)*(1-(1-Half_gap)^W1009)),"")</f>
        <v/>
      </c>
      <c r="AE1009" s="13" t="str">
        <f aca="false">IF(AND($J1009=1,$M1009=0),IF(S1009="",0,S1009*R1009)+IF(V1009="",0,V1009*U1009)+IF(Y1009="",0,Y1009*X1009),"")</f>
        <v/>
      </c>
      <c r="AF1009" s="12" t="str">
        <f aca="false">IF(AND($J1009=1,$M1009=0),MIN((AC1009-E1009)/Span_P,(AD1009-F1009)/Span_S,(AE1009-G1009)/Span_B),"")</f>
        <v/>
      </c>
      <c r="AG1009" s="15" t="str">
        <f aca="false">IF(AND($J1009=1,$M1009=0),IF(AF1009&gt;0.0000001,1,0),"")</f>
        <v/>
      </c>
      <c r="AH1009" s="15" t="str">
        <f aca="false">IF($J1009=1,IF($M1009=1,AB1009,AG1009),"")</f>
        <v/>
      </c>
      <c r="AI1009" s="13" t="str">
        <f aca="false">IF($J1009=1,(Ideal_P-E1009)/Span_P,"")</f>
        <v/>
      </c>
      <c r="AJ1009" s="13" t="str">
        <f aca="false">IF($J1009=1,(Ideal_S-F1009)/Span_S,"")</f>
        <v/>
      </c>
      <c r="AK1009" s="13" t="str">
        <f aca="false">IF($J1009=1,(Ideal_B-G1009)/Span_B,"")</f>
        <v/>
      </c>
      <c r="AL1009" s="12" t="str">
        <f aca="false">IF($J1009=1,MAX(ChA_1*AI1009,ChA_2*AJ1009,ChA_3*AK1009)+Rho*(ChA_1*AI1009+ChA_2*AJ1009+ChA_3*AK1009),"")</f>
        <v/>
      </c>
      <c r="AM1009" s="12" t="str">
        <f aca="false">IF($J1009=1,MAX(ChB_1*AI1009,ChB_2*AJ1009,ChB_3*AK1009)+Rho*(ChB_1*AI1009+ChB_2*AJ1009+ChB_3*AK1009),"")</f>
        <v/>
      </c>
      <c r="AN1009" s="12" t="str">
        <f aca="false">IF($J1009=1,MAX(Cx_1*(Ref_P-E1009)/Span_P,Cx_2*(Ref_S-F1009)/Span_S,Cx_3*(Ref_B-G1009)/Span_B),"")</f>
        <v/>
      </c>
    </row>
    <row r="1010" customFormat="false" ht="15" hidden="false" customHeight="false" outlineLevel="0" collapsed="false">
      <c r="A1010" s="2" t="n">
        <v>1004</v>
      </c>
      <c r="B1010" s="15" t="n">
        <f aca="false">INT(A1010/151)</f>
        <v>6</v>
      </c>
      <c r="C1010" s="15" t="n">
        <f aca="false">MOD(A1010,151)</f>
        <v>98</v>
      </c>
      <c r="D1010" s="15" t="n">
        <f aca="false">INDEX(Grid!$J$6:$P$156,C1010+1,B1010+1)</f>
        <v>0</v>
      </c>
      <c r="E1010" s="16" t="str">
        <f aca="false">IF(D1010=1,INDEX(Grid!$B$6:$H$156,C1010+1,B1010+1),"")</f>
        <v/>
      </c>
      <c r="F1010" s="13" t="n">
        <f aca="false">Val_pt*(Ceiling_e-E_zero)*(1-(1-Half_gap)^B1010)</f>
        <v>137.8125</v>
      </c>
      <c r="G1010" s="15" t="n">
        <f aca="false">C1010</f>
        <v>98</v>
      </c>
      <c r="H1010" s="15" t="str">
        <f aca="false">IF(D1010=1,INDEX(Grid!$R$6:$X$156,C1010+1,B1010+1),"")</f>
        <v/>
      </c>
      <c r="I1010" s="2" t="str">
        <f aca="false">IF(D1010=1,INDEX(Sch_label,H1010+1),"")</f>
        <v/>
      </c>
      <c r="J1010" s="15" t="n">
        <f aca="false">IF(D1010=1,INDEX(Grid!$Z$6:$AF$156,C1010+1,B1010+1),0)</f>
        <v>0</v>
      </c>
      <c r="K1010" s="16" t="n">
        <f aca="false">IF(J1010=1,E1010,0)</f>
        <v>0</v>
      </c>
      <c r="L1010" s="17" t="str">
        <f aca="false">IF(D1010=1,E1010+W_board*F1010,"")</f>
        <v/>
      </c>
      <c r="Z1010" s="12" t="str">
        <f aca="false">IF(AND($J1010=1,$M1010=1),N1010*E1010/Span_P+O1010*F1010/Span_S+P1010*G1010/Span_B,"")</f>
        <v/>
      </c>
      <c r="AA1010" s="12" t="str">
        <f aca="false">IF(AND($J1010=1,$M1010=1),SUMPRODUCT(MAX($J$6:$J$1062*(N1010*$K$6:$K$1062/Span_P+O1010*$F$6:$F$1062/Span_S+P1010*$G$6:$G$1062/Span_B)-(1-$J$6:$J$1062)*1000000000)),"")</f>
        <v/>
      </c>
      <c r="AB1010" s="15" t="str">
        <f aca="false">IF(AND($J1010=1,$M1010=1),IF(AA1010-Z1010&lt;=0.000000001,1,0),"")</f>
        <v/>
      </c>
      <c r="AC1010" s="13" t="str">
        <f aca="false">IF(AND($J1010=1,$M1010=0),IF(S1010="",0,S1010*INDEX(Grid!$B$6:$H$156,R1010+1,Q1010+1))+IF(V1010="",0,V1010*INDEX(Grid!$B$6:$H$156,U1010+1,T1010+1))+IF(Y1010="",0,Y1010*INDEX(Grid!$B$6:$H$156,X1010+1,W1010+1)),"")</f>
        <v/>
      </c>
      <c r="AD1010" s="13" t="str">
        <f aca="false">IF(AND($J1010=1,$M1010=0),IF(S1010="",0,S1010*Val_pt*(Ceiling_e-E_zero)*(1-(1-Half_gap)^Q1010))+IF(V1010="",0,V1010*Val_pt*(Ceiling_e-E_zero)*(1-(1-Half_gap)^T1010))+IF(Y1010="",0,Y1010*Val_pt*(Ceiling_e-E_zero)*(1-(1-Half_gap)^W1010)),"")</f>
        <v/>
      </c>
      <c r="AE1010" s="13" t="str">
        <f aca="false">IF(AND($J1010=1,$M1010=0),IF(S1010="",0,S1010*R1010)+IF(V1010="",0,V1010*U1010)+IF(Y1010="",0,Y1010*X1010),"")</f>
        <v/>
      </c>
      <c r="AF1010" s="12" t="str">
        <f aca="false">IF(AND($J1010=1,$M1010=0),MIN((AC1010-E1010)/Span_P,(AD1010-F1010)/Span_S,(AE1010-G1010)/Span_B),"")</f>
        <v/>
      </c>
      <c r="AG1010" s="15" t="str">
        <f aca="false">IF(AND($J1010=1,$M1010=0),IF(AF1010&gt;0.0000001,1,0),"")</f>
        <v/>
      </c>
      <c r="AH1010" s="15" t="str">
        <f aca="false">IF($J1010=1,IF($M1010=1,AB1010,AG1010),"")</f>
        <v/>
      </c>
      <c r="AI1010" s="13" t="str">
        <f aca="false">IF($J1010=1,(Ideal_P-E1010)/Span_P,"")</f>
        <v/>
      </c>
      <c r="AJ1010" s="13" t="str">
        <f aca="false">IF($J1010=1,(Ideal_S-F1010)/Span_S,"")</f>
        <v/>
      </c>
      <c r="AK1010" s="13" t="str">
        <f aca="false">IF($J1010=1,(Ideal_B-G1010)/Span_B,"")</f>
        <v/>
      </c>
      <c r="AL1010" s="12" t="str">
        <f aca="false">IF($J1010=1,MAX(ChA_1*AI1010,ChA_2*AJ1010,ChA_3*AK1010)+Rho*(ChA_1*AI1010+ChA_2*AJ1010+ChA_3*AK1010),"")</f>
        <v/>
      </c>
      <c r="AM1010" s="12" t="str">
        <f aca="false">IF($J1010=1,MAX(ChB_1*AI1010,ChB_2*AJ1010,ChB_3*AK1010)+Rho*(ChB_1*AI1010+ChB_2*AJ1010+ChB_3*AK1010),"")</f>
        <v/>
      </c>
      <c r="AN1010" s="12" t="str">
        <f aca="false">IF($J1010=1,MAX(Cx_1*(Ref_P-E1010)/Span_P,Cx_2*(Ref_S-F1010)/Span_S,Cx_3*(Ref_B-G1010)/Span_B),"")</f>
        <v/>
      </c>
    </row>
    <row r="1011" customFormat="false" ht="15" hidden="false" customHeight="false" outlineLevel="0" collapsed="false">
      <c r="A1011" s="2" t="n">
        <v>1005</v>
      </c>
      <c r="B1011" s="15" t="n">
        <f aca="false">INT(A1011/151)</f>
        <v>6</v>
      </c>
      <c r="C1011" s="15" t="n">
        <f aca="false">MOD(A1011,151)</f>
        <v>99</v>
      </c>
      <c r="D1011" s="15" t="n">
        <f aca="false">INDEX(Grid!$J$6:$P$156,C1011+1,B1011+1)</f>
        <v>0</v>
      </c>
      <c r="E1011" s="16" t="str">
        <f aca="false">IF(D1011=1,INDEX(Grid!$B$6:$H$156,C1011+1,B1011+1),"")</f>
        <v/>
      </c>
      <c r="F1011" s="13" t="n">
        <f aca="false">Val_pt*(Ceiling_e-E_zero)*(1-(1-Half_gap)^B1011)</f>
        <v>137.8125</v>
      </c>
      <c r="G1011" s="15" t="n">
        <f aca="false">C1011</f>
        <v>99</v>
      </c>
      <c r="H1011" s="15" t="str">
        <f aca="false">IF(D1011=1,INDEX(Grid!$R$6:$X$156,C1011+1,B1011+1),"")</f>
        <v/>
      </c>
      <c r="I1011" s="2" t="str">
        <f aca="false">IF(D1011=1,INDEX(Sch_label,H1011+1),"")</f>
        <v/>
      </c>
      <c r="J1011" s="15" t="n">
        <f aca="false">IF(D1011=1,INDEX(Grid!$Z$6:$AF$156,C1011+1,B1011+1),0)</f>
        <v>0</v>
      </c>
      <c r="K1011" s="16" t="n">
        <f aca="false">IF(J1011=1,E1011,0)</f>
        <v>0</v>
      </c>
      <c r="L1011" s="17" t="str">
        <f aca="false">IF(D1011=1,E1011+W_board*F1011,"")</f>
        <v/>
      </c>
      <c r="Z1011" s="12" t="str">
        <f aca="false">IF(AND($J1011=1,$M1011=1),N1011*E1011/Span_P+O1011*F1011/Span_S+P1011*G1011/Span_B,"")</f>
        <v/>
      </c>
      <c r="AA1011" s="12" t="str">
        <f aca="false">IF(AND($J1011=1,$M1011=1),SUMPRODUCT(MAX($J$6:$J$1062*(N1011*$K$6:$K$1062/Span_P+O1011*$F$6:$F$1062/Span_S+P1011*$G$6:$G$1062/Span_B)-(1-$J$6:$J$1062)*1000000000)),"")</f>
        <v/>
      </c>
      <c r="AB1011" s="15" t="str">
        <f aca="false">IF(AND($J1011=1,$M1011=1),IF(AA1011-Z1011&lt;=0.000000001,1,0),"")</f>
        <v/>
      </c>
      <c r="AC1011" s="13" t="str">
        <f aca="false">IF(AND($J1011=1,$M1011=0),IF(S1011="",0,S1011*INDEX(Grid!$B$6:$H$156,R1011+1,Q1011+1))+IF(V1011="",0,V1011*INDEX(Grid!$B$6:$H$156,U1011+1,T1011+1))+IF(Y1011="",0,Y1011*INDEX(Grid!$B$6:$H$156,X1011+1,W1011+1)),"")</f>
        <v/>
      </c>
      <c r="AD1011" s="13" t="str">
        <f aca="false">IF(AND($J1011=1,$M1011=0),IF(S1011="",0,S1011*Val_pt*(Ceiling_e-E_zero)*(1-(1-Half_gap)^Q1011))+IF(V1011="",0,V1011*Val_pt*(Ceiling_e-E_zero)*(1-(1-Half_gap)^T1011))+IF(Y1011="",0,Y1011*Val_pt*(Ceiling_e-E_zero)*(1-(1-Half_gap)^W1011)),"")</f>
        <v/>
      </c>
      <c r="AE1011" s="13" t="str">
        <f aca="false">IF(AND($J1011=1,$M1011=0),IF(S1011="",0,S1011*R1011)+IF(V1011="",0,V1011*U1011)+IF(Y1011="",0,Y1011*X1011),"")</f>
        <v/>
      </c>
      <c r="AF1011" s="12" t="str">
        <f aca="false">IF(AND($J1011=1,$M1011=0),MIN((AC1011-E1011)/Span_P,(AD1011-F1011)/Span_S,(AE1011-G1011)/Span_B),"")</f>
        <v/>
      </c>
      <c r="AG1011" s="15" t="str">
        <f aca="false">IF(AND($J1011=1,$M1011=0),IF(AF1011&gt;0.0000001,1,0),"")</f>
        <v/>
      </c>
      <c r="AH1011" s="15" t="str">
        <f aca="false">IF($J1011=1,IF($M1011=1,AB1011,AG1011),"")</f>
        <v/>
      </c>
      <c r="AI1011" s="13" t="str">
        <f aca="false">IF($J1011=1,(Ideal_P-E1011)/Span_P,"")</f>
        <v/>
      </c>
      <c r="AJ1011" s="13" t="str">
        <f aca="false">IF($J1011=1,(Ideal_S-F1011)/Span_S,"")</f>
        <v/>
      </c>
      <c r="AK1011" s="13" t="str">
        <f aca="false">IF($J1011=1,(Ideal_B-G1011)/Span_B,"")</f>
        <v/>
      </c>
      <c r="AL1011" s="12" t="str">
        <f aca="false">IF($J1011=1,MAX(ChA_1*AI1011,ChA_2*AJ1011,ChA_3*AK1011)+Rho*(ChA_1*AI1011+ChA_2*AJ1011+ChA_3*AK1011),"")</f>
        <v/>
      </c>
      <c r="AM1011" s="12" t="str">
        <f aca="false">IF($J1011=1,MAX(ChB_1*AI1011,ChB_2*AJ1011,ChB_3*AK1011)+Rho*(ChB_1*AI1011+ChB_2*AJ1011+ChB_3*AK1011),"")</f>
        <v/>
      </c>
      <c r="AN1011" s="12" t="str">
        <f aca="false">IF($J1011=1,MAX(Cx_1*(Ref_P-E1011)/Span_P,Cx_2*(Ref_S-F1011)/Span_S,Cx_3*(Ref_B-G1011)/Span_B),"")</f>
        <v/>
      </c>
    </row>
    <row r="1012" customFormat="false" ht="15" hidden="false" customHeight="false" outlineLevel="0" collapsed="false">
      <c r="A1012" s="2" t="n">
        <v>1006</v>
      </c>
      <c r="B1012" s="15" t="n">
        <f aca="false">INT(A1012/151)</f>
        <v>6</v>
      </c>
      <c r="C1012" s="15" t="n">
        <f aca="false">MOD(A1012,151)</f>
        <v>100</v>
      </c>
      <c r="D1012" s="15" t="n">
        <f aca="false">INDEX(Grid!$J$6:$P$156,C1012+1,B1012+1)</f>
        <v>0</v>
      </c>
      <c r="E1012" s="16" t="str">
        <f aca="false">IF(D1012=1,INDEX(Grid!$B$6:$H$156,C1012+1,B1012+1),"")</f>
        <v/>
      </c>
      <c r="F1012" s="13" t="n">
        <f aca="false">Val_pt*(Ceiling_e-E_zero)*(1-(1-Half_gap)^B1012)</f>
        <v>137.8125</v>
      </c>
      <c r="G1012" s="15" t="n">
        <f aca="false">C1012</f>
        <v>100</v>
      </c>
      <c r="H1012" s="15" t="str">
        <f aca="false">IF(D1012=1,INDEX(Grid!$R$6:$X$156,C1012+1,B1012+1),"")</f>
        <v/>
      </c>
      <c r="I1012" s="2" t="str">
        <f aca="false">IF(D1012=1,INDEX(Sch_label,H1012+1),"")</f>
        <v/>
      </c>
      <c r="J1012" s="15" t="n">
        <f aca="false">IF(D1012=1,INDEX(Grid!$Z$6:$AF$156,C1012+1,B1012+1),0)</f>
        <v>0</v>
      </c>
      <c r="K1012" s="16" t="n">
        <f aca="false">IF(J1012=1,E1012,0)</f>
        <v>0</v>
      </c>
      <c r="L1012" s="17" t="str">
        <f aca="false">IF(D1012=1,E1012+W_board*F1012,"")</f>
        <v/>
      </c>
      <c r="Z1012" s="12" t="str">
        <f aca="false">IF(AND($J1012=1,$M1012=1),N1012*E1012/Span_P+O1012*F1012/Span_S+P1012*G1012/Span_B,"")</f>
        <v/>
      </c>
      <c r="AA1012" s="12" t="str">
        <f aca="false">IF(AND($J1012=1,$M1012=1),SUMPRODUCT(MAX($J$6:$J$1062*(N1012*$K$6:$K$1062/Span_P+O1012*$F$6:$F$1062/Span_S+P1012*$G$6:$G$1062/Span_B)-(1-$J$6:$J$1062)*1000000000)),"")</f>
        <v/>
      </c>
      <c r="AB1012" s="15" t="str">
        <f aca="false">IF(AND($J1012=1,$M1012=1),IF(AA1012-Z1012&lt;=0.000000001,1,0),"")</f>
        <v/>
      </c>
      <c r="AC1012" s="13" t="str">
        <f aca="false">IF(AND($J1012=1,$M1012=0),IF(S1012="",0,S1012*INDEX(Grid!$B$6:$H$156,R1012+1,Q1012+1))+IF(V1012="",0,V1012*INDEX(Grid!$B$6:$H$156,U1012+1,T1012+1))+IF(Y1012="",0,Y1012*INDEX(Grid!$B$6:$H$156,X1012+1,W1012+1)),"")</f>
        <v/>
      </c>
      <c r="AD1012" s="13" t="str">
        <f aca="false">IF(AND($J1012=1,$M1012=0),IF(S1012="",0,S1012*Val_pt*(Ceiling_e-E_zero)*(1-(1-Half_gap)^Q1012))+IF(V1012="",0,V1012*Val_pt*(Ceiling_e-E_zero)*(1-(1-Half_gap)^T1012))+IF(Y1012="",0,Y1012*Val_pt*(Ceiling_e-E_zero)*(1-(1-Half_gap)^W1012)),"")</f>
        <v/>
      </c>
      <c r="AE1012" s="13" t="str">
        <f aca="false">IF(AND($J1012=1,$M1012=0),IF(S1012="",0,S1012*R1012)+IF(V1012="",0,V1012*U1012)+IF(Y1012="",0,Y1012*X1012),"")</f>
        <v/>
      </c>
      <c r="AF1012" s="12" t="str">
        <f aca="false">IF(AND($J1012=1,$M1012=0),MIN((AC1012-E1012)/Span_P,(AD1012-F1012)/Span_S,(AE1012-G1012)/Span_B),"")</f>
        <v/>
      </c>
      <c r="AG1012" s="15" t="str">
        <f aca="false">IF(AND($J1012=1,$M1012=0),IF(AF1012&gt;0.0000001,1,0),"")</f>
        <v/>
      </c>
      <c r="AH1012" s="15" t="str">
        <f aca="false">IF($J1012=1,IF($M1012=1,AB1012,AG1012),"")</f>
        <v/>
      </c>
      <c r="AI1012" s="13" t="str">
        <f aca="false">IF($J1012=1,(Ideal_P-E1012)/Span_P,"")</f>
        <v/>
      </c>
      <c r="AJ1012" s="13" t="str">
        <f aca="false">IF($J1012=1,(Ideal_S-F1012)/Span_S,"")</f>
        <v/>
      </c>
      <c r="AK1012" s="13" t="str">
        <f aca="false">IF($J1012=1,(Ideal_B-G1012)/Span_B,"")</f>
        <v/>
      </c>
      <c r="AL1012" s="12" t="str">
        <f aca="false">IF($J1012=1,MAX(ChA_1*AI1012,ChA_2*AJ1012,ChA_3*AK1012)+Rho*(ChA_1*AI1012+ChA_2*AJ1012+ChA_3*AK1012),"")</f>
        <v/>
      </c>
      <c r="AM1012" s="12" t="str">
        <f aca="false">IF($J1012=1,MAX(ChB_1*AI1012,ChB_2*AJ1012,ChB_3*AK1012)+Rho*(ChB_1*AI1012+ChB_2*AJ1012+ChB_3*AK1012),"")</f>
        <v/>
      </c>
      <c r="AN1012" s="12" t="str">
        <f aca="false">IF($J1012=1,MAX(Cx_1*(Ref_P-E1012)/Span_P,Cx_2*(Ref_S-F1012)/Span_S,Cx_3*(Ref_B-G1012)/Span_B),"")</f>
        <v/>
      </c>
    </row>
    <row r="1013" customFormat="false" ht="15" hidden="false" customHeight="false" outlineLevel="0" collapsed="false">
      <c r="A1013" s="2" t="n">
        <v>1007</v>
      </c>
      <c r="B1013" s="15" t="n">
        <f aca="false">INT(A1013/151)</f>
        <v>6</v>
      </c>
      <c r="C1013" s="15" t="n">
        <f aca="false">MOD(A1013,151)</f>
        <v>101</v>
      </c>
      <c r="D1013" s="15" t="n">
        <f aca="false">INDEX(Grid!$J$6:$P$156,C1013+1,B1013+1)</f>
        <v>0</v>
      </c>
      <c r="E1013" s="16" t="str">
        <f aca="false">IF(D1013=1,INDEX(Grid!$B$6:$H$156,C1013+1,B1013+1),"")</f>
        <v/>
      </c>
      <c r="F1013" s="13" t="n">
        <f aca="false">Val_pt*(Ceiling_e-E_zero)*(1-(1-Half_gap)^B1013)</f>
        <v>137.8125</v>
      </c>
      <c r="G1013" s="15" t="n">
        <f aca="false">C1013</f>
        <v>101</v>
      </c>
      <c r="H1013" s="15" t="str">
        <f aca="false">IF(D1013=1,INDEX(Grid!$R$6:$X$156,C1013+1,B1013+1),"")</f>
        <v/>
      </c>
      <c r="I1013" s="2" t="str">
        <f aca="false">IF(D1013=1,INDEX(Sch_label,H1013+1),"")</f>
        <v/>
      </c>
      <c r="J1013" s="15" t="n">
        <f aca="false">IF(D1013=1,INDEX(Grid!$Z$6:$AF$156,C1013+1,B1013+1),0)</f>
        <v>0</v>
      </c>
      <c r="K1013" s="16" t="n">
        <f aca="false">IF(J1013=1,E1013,0)</f>
        <v>0</v>
      </c>
      <c r="L1013" s="17" t="str">
        <f aca="false">IF(D1013=1,E1013+W_board*F1013,"")</f>
        <v/>
      </c>
      <c r="Z1013" s="12" t="str">
        <f aca="false">IF(AND($J1013=1,$M1013=1),N1013*E1013/Span_P+O1013*F1013/Span_S+P1013*G1013/Span_B,"")</f>
        <v/>
      </c>
      <c r="AA1013" s="12" t="str">
        <f aca="false">IF(AND($J1013=1,$M1013=1),SUMPRODUCT(MAX($J$6:$J$1062*(N1013*$K$6:$K$1062/Span_P+O1013*$F$6:$F$1062/Span_S+P1013*$G$6:$G$1062/Span_B)-(1-$J$6:$J$1062)*1000000000)),"")</f>
        <v/>
      </c>
      <c r="AB1013" s="15" t="str">
        <f aca="false">IF(AND($J1013=1,$M1013=1),IF(AA1013-Z1013&lt;=0.000000001,1,0),"")</f>
        <v/>
      </c>
      <c r="AC1013" s="13" t="str">
        <f aca="false">IF(AND($J1013=1,$M1013=0),IF(S1013="",0,S1013*INDEX(Grid!$B$6:$H$156,R1013+1,Q1013+1))+IF(V1013="",0,V1013*INDEX(Grid!$B$6:$H$156,U1013+1,T1013+1))+IF(Y1013="",0,Y1013*INDEX(Grid!$B$6:$H$156,X1013+1,W1013+1)),"")</f>
        <v/>
      </c>
      <c r="AD1013" s="13" t="str">
        <f aca="false">IF(AND($J1013=1,$M1013=0),IF(S1013="",0,S1013*Val_pt*(Ceiling_e-E_zero)*(1-(1-Half_gap)^Q1013))+IF(V1013="",0,V1013*Val_pt*(Ceiling_e-E_zero)*(1-(1-Half_gap)^T1013))+IF(Y1013="",0,Y1013*Val_pt*(Ceiling_e-E_zero)*(1-(1-Half_gap)^W1013)),"")</f>
        <v/>
      </c>
      <c r="AE1013" s="13" t="str">
        <f aca="false">IF(AND($J1013=1,$M1013=0),IF(S1013="",0,S1013*R1013)+IF(V1013="",0,V1013*U1013)+IF(Y1013="",0,Y1013*X1013),"")</f>
        <v/>
      </c>
      <c r="AF1013" s="12" t="str">
        <f aca="false">IF(AND($J1013=1,$M1013=0),MIN((AC1013-E1013)/Span_P,(AD1013-F1013)/Span_S,(AE1013-G1013)/Span_B),"")</f>
        <v/>
      </c>
      <c r="AG1013" s="15" t="str">
        <f aca="false">IF(AND($J1013=1,$M1013=0),IF(AF1013&gt;0.0000001,1,0),"")</f>
        <v/>
      </c>
      <c r="AH1013" s="15" t="str">
        <f aca="false">IF($J1013=1,IF($M1013=1,AB1013,AG1013),"")</f>
        <v/>
      </c>
      <c r="AI1013" s="13" t="str">
        <f aca="false">IF($J1013=1,(Ideal_P-E1013)/Span_P,"")</f>
        <v/>
      </c>
      <c r="AJ1013" s="13" t="str">
        <f aca="false">IF($J1013=1,(Ideal_S-F1013)/Span_S,"")</f>
        <v/>
      </c>
      <c r="AK1013" s="13" t="str">
        <f aca="false">IF($J1013=1,(Ideal_B-G1013)/Span_B,"")</f>
        <v/>
      </c>
      <c r="AL1013" s="12" t="str">
        <f aca="false">IF($J1013=1,MAX(ChA_1*AI1013,ChA_2*AJ1013,ChA_3*AK1013)+Rho*(ChA_1*AI1013+ChA_2*AJ1013+ChA_3*AK1013),"")</f>
        <v/>
      </c>
      <c r="AM1013" s="12" t="str">
        <f aca="false">IF($J1013=1,MAX(ChB_1*AI1013,ChB_2*AJ1013,ChB_3*AK1013)+Rho*(ChB_1*AI1013+ChB_2*AJ1013+ChB_3*AK1013),"")</f>
        <v/>
      </c>
      <c r="AN1013" s="12" t="str">
        <f aca="false">IF($J1013=1,MAX(Cx_1*(Ref_P-E1013)/Span_P,Cx_2*(Ref_S-F1013)/Span_S,Cx_3*(Ref_B-G1013)/Span_B),"")</f>
        <v/>
      </c>
    </row>
    <row r="1014" customFormat="false" ht="15" hidden="false" customHeight="false" outlineLevel="0" collapsed="false">
      <c r="A1014" s="2" t="n">
        <v>1008</v>
      </c>
      <c r="B1014" s="15" t="n">
        <f aca="false">INT(A1014/151)</f>
        <v>6</v>
      </c>
      <c r="C1014" s="15" t="n">
        <f aca="false">MOD(A1014,151)</f>
        <v>102</v>
      </c>
      <c r="D1014" s="15" t="n">
        <f aca="false">INDEX(Grid!$J$6:$P$156,C1014+1,B1014+1)</f>
        <v>0</v>
      </c>
      <c r="E1014" s="16" t="str">
        <f aca="false">IF(D1014=1,INDEX(Grid!$B$6:$H$156,C1014+1,B1014+1),"")</f>
        <v/>
      </c>
      <c r="F1014" s="13" t="n">
        <f aca="false">Val_pt*(Ceiling_e-E_zero)*(1-(1-Half_gap)^B1014)</f>
        <v>137.8125</v>
      </c>
      <c r="G1014" s="15" t="n">
        <f aca="false">C1014</f>
        <v>102</v>
      </c>
      <c r="H1014" s="15" t="str">
        <f aca="false">IF(D1014=1,INDEX(Grid!$R$6:$X$156,C1014+1,B1014+1),"")</f>
        <v/>
      </c>
      <c r="I1014" s="2" t="str">
        <f aca="false">IF(D1014=1,INDEX(Sch_label,H1014+1),"")</f>
        <v/>
      </c>
      <c r="J1014" s="15" t="n">
        <f aca="false">IF(D1014=1,INDEX(Grid!$Z$6:$AF$156,C1014+1,B1014+1),0)</f>
        <v>0</v>
      </c>
      <c r="K1014" s="16" t="n">
        <f aca="false">IF(J1014=1,E1014,0)</f>
        <v>0</v>
      </c>
      <c r="L1014" s="17" t="str">
        <f aca="false">IF(D1014=1,E1014+W_board*F1014,"")</f>
        <v/>
      </c>
      <c r="Z1014" s="12" t="str">
        <f aca="false">IF(AND($J1014=1,$M1014=1),N1014*E1014/Span_P+O1014*F1014/Span_S+P1014*G1014/Span_B,"")</f>
        <v/>
      </c>
      <c r="AA1014" s="12" t="str">
        <f aca="false">IF(AND($J1014=1,$M1014=1),SUMPRODUCT(MAX($J$6:$J$1062*(N1014*$K$6:$K$1062/Span_P+O1014*$F$6:$F$1062/Span_S+P1014*$G$6:$G$1062/Span_B)-(1-$J$6:$J$1062)*1000000000)),"")</f>
        <v/>
      </c>
      <c r="AB1014" s="15" t="str">
        <f aca="false">IF(AND($J1014=1,$M1014=1),IF(AA1014-Z1014&lt;=0.000000001,1,0),"")</f>
        <v/>
      </c>
      <c r="AC1014" s="13" t="str">
        <f aca="false">IF(AND($J1014=1,$M1014=0),IF(S1014="",0,S1014*INDEX(Grid!$B$6:$H$156,R1014+1,Q1014+1))+IF(V1014="",0,V1014*INDEX(Grid!$B$6:$H$156,U1014+1,T1014+1))+IF(Y1014="",0,Y1014*INDEX(Grid!$B$6:$H$156,X1014+1,W1014+1)),"")</f>
        <v/>
      </c>
      <c r="AD1014" s="13" t="str">
        <f aca="false">IF(AND($J1014=1,$M1014=0),IF(S1014="",0,S1014*Val_pt*(Ceiling_e-E_zero)*(1-(1-Half_gap)^Q1014))+IF(V1014="",0,V1014*Val_pt*(Ceiling_e-E_zero)*(1-(1-Half_gap)^T1014))+IF(Y1014="",0,Y1014*Val_pt*(Ceiling_e-E_zero)*(1-(1-Half_gap)^W1014)),"")</f>
        <v/>
      </c>
      <c r="AE1014" s="13" t="str">
        <f aca="false">IF(AND($J1014=1,$M1014=0),IF(S1014="",0,S1014*R1014)+IF(V1014="",0,V1014*U1014)+IF(Y1014="",0,Y1014*X1014),"")</f>
        <v/>
      </c>
      <c r="AF1014" s="12" t="str">
        <f aca="false">IF(AND($J1014=1,$M1014=0),MIN((AC1014-E1014)/Span_P,(AD1014-F1014)/Span_S,(AE1014-G1014)/Span_B),"")</f>
        <v/>
      </c>
      <c r="AG1014" s="15" t="str">
        <f aca="false">IF(AND($J1014=1,$M1014=0),IF(AF1014&gt;0.0000001,1,0),"")</f>
        <v/>
      </c>
      <c r="AH1014" s="15" t="str">
        <f aca="false">IF($J1014=1,IF($M1014=1,AB1014,AG1014),"")</f>
        <v/>
      </c>
      <c r="AI1014" s="13" t="str">
        <f aca="false">IF($J1014=1,(Ideal_P-E1014)/Span_P,"")</f>
        <v/>
      </c>
      <c r="AJ1014" s="13" t="str">
        <f aca="false">IF($J1014=1,(Ideal_S-F1014)/Span_S,"")</f>
        <v/>
      </c>
      <c r="AK1014" s="13" t="str">
        <f aca="false">IF($J1014=1,(Ideal_B-G1014)/Span_B,"")</f>
        <v/>
      </c>
      <c r="AL1014" s="12" t="str">
        <f aca="false">IF($J1014=1,MAX(ChA_1*AI1014,ChA_2*AJ1014,ChA_3*AK1014)+Rho*(ChA_1*AI1014+ChA_2*AJ1014+ChA_3*AK1014),"")</f>
        <v/>
      </c>
      <c r="AM1014" s="12" t="str">
        <f aca="false">IF($J1014=1,MAX(ChB_1*AI1014,ChB_2*AJ1014,ChB_3*AK1014)+Rho*(ChB_1*AI1014+ChB_2*AJ1014+ChB_3*AK1014),"")</f>
        <v/>
      </c>
      <c r="AN1014" s="12" t="str">
        <f aca="false">IF($J1014=1,MAX(Cx_1*(Ref_P-E1014)/Span_P,Cx_2*(Ref_S-F1014)/Span_S,Cx_3*(Ref_B-G1014)/Span_B),"")</f>
        <v/>
      </c>
    </row>
    <row r="1015" customFormat="false" ht="15" hidden="false" customHeight="false" outlineLevel="0" collapsed="false">
      <c r="A1015" s="2" t="n">
        <v>1009</v>
      </c>
      <c r="B1015" s="15" t="n">
        <f aca="false">INT(A1015/151)</f>
        <v>6</v>
      </c>
      <c r="C1015" s="15" t="n">
        <f aca="false">MOD(A1015,151)</f>
        <v>103</v>
      </c>
      <c r="D1015" s="15" t="n">
        <f aca="false">INDEX(Grid!$J$6:$P$156,C1015+1,B1015+1)</f>
        <v>0</v>
      </c>
      <c r="E1015" s="16" t="str">
        <f aca="false">IF(D1015=1,INDEX(Grid!$B$6:$H$156,C1015+1,B1015+1),"")</f>
        <v/>
      </c>
      <c r="F1015" s="13" t="n">
        <f aca="false">Val_pt*(Ceiling_e-E_zero)*(1-(1-Half_gap)^B1015)</f>
        <v>137.8125</v>
      </c>
      <c r="G1015" s="15" t="n">
        <f aca="false">C1015</f>
        <v>103</v>
      </c>
      <c r="H1015" s="15" t="str">
        <f aca="false">IF(D1015=1,INDEX(Grid!$R$6:$X$156,C1015+1,B1015+1),"")</f>
        <v/>
      </c>
      <c r="I1015" s="2" t="str">
        <f aca="false">IF(D1015=1,INDEX(Sch_label,H1015+1),"")</f>
        <v/>
      </c>
      <c r="J1015" s="15" t="n">
        <f aca="false">IF(D1015=1,INDEX(Grid!$Z$6:$AF$156,C1015+1,B1015+1),0)</f>
        <v>0</v>
      </c>
      <c r="K1015" s="16" t="n">
        <f aca="false">IF(J1015=1,E1015,0)</f>
        <v>0</v>
      </c>
      <c r="L1015" s="17" t="str">
        <f aca="false">IF(D1015=1,E1015+W_board*F1015,"")</f>
        <v/>
      </c>
      <c r="Z1015" s="12" t="str">
        <f aca="false">IF(AND($J1015=1,$M1015=1),N1015*E1015/Span_P+O1015*F1015/Span_S+P1015*G1015/Span_B,"")</f>
        <v/>
      </c>
      <c r="AA1015" s="12" t="str">
        <f aca="false">IF(AND($J1015=1,$M1015=1),SUMPRODUCT(MAX($J$6:$J$1062*(N1015*$K$6:$K$1062/Span_P+O1015*$F$6:$F$1062/Span_S+P1015*$G$6:$G$1062/Span_B)-(1-$J$6:$J$1062)*1000000000)),"")</f>
        <v/>
      </c>
      <c r="AB1015" s="15" t="str">
        <f aca="false">IF(AND($J1015=1,$M1015=1),IF(AA1015-Z1015&lt;=0.000000001,1,0),"")</f>
        <v/>
      </c>
      <c r="AC1015" s="13" t="str">
        <f aca="false">IF(AND($J1015=1,$M1015=0),IF(S1015="",0,S1015*INDEX(Grid!$B$6:$H$156,R1015+1,Q1015+1))+IF(V1015="",0,V1015*INDEX(Grid!$B$6:$H$156,U1015+1,T1015+1))+IF(Y1015="",0,Y1015*INDEX(Grid!$B$6:$H$156,X1015+1,W1015+1)),"")</f>
        <v/>
      </c>
      <c r="AD1015" s="13" t="str">
        <f aca="false">IF(AND($J1015=1,$M1015=0),IF(S1015="",0,S1015*Val_pt*(Ceiling_e-E_zero)*(1-(1-Half_gap)^Q1015))+IF(V1015="",0,V1015*Val_pt*(Ceiling_e-E_zero)*(1-(1-Half_gap)^T1015))+IF(Y1015="",0,Y1015*Val_pt*(Ceiling_e-E_zero)*(1-(1-Half_gap)^W1015)),"")</f>
        <v/>
      </c>
      <c r="AE1015" s="13" t="str">
        <f aca="false">IF(AND($J1015=1,$M1015=0),IF(S1015="",0,S1015*R1015)+IF(V1015="",0,V1015*U1015)+IF(Y1015="",0,Y1015*X1015),"")</f>
        <v/>
      </c>
      <c r="AF1015" s="12" t="str">
        <f aca="false">IF(AND($J1015=1,$M1015=0),MIN((AC1015-E1015)/Span_P,(AD1015-F1015)/Span_S,(AE1015-G1015)/Span_B),"")</f>
        <v/>
      </c>
      <c r="AG1015" s="15" t="str">
        <f aca="false">IF(AND($J1015=1,$M1015=0),IF(AF1015&gt;0.0000001,1,0),"")</f>
        <v/>
      </c>
      <c r="AH1015" s="15" t="str">
        <f aca="false">IF($J1015=1,IF($M1015=1,AB1015,AG1015),"")</f>
        <v/>
      </c>
      <c r="AI1015" s="13" t="str">
        <f aca="false">IF($J1015=1,(Ideal_P-E1015)/Span_P,"")</f>
        <v/>
      </c>
      <c r="AJ1015" s="13" t="str">
        <f aca="false">IF($J1015=1,(Ideal_S-F1015)/Span_S,"")</f>
        <v/>
      </c>
      <c r="AK1015" s="13" t="str">
        <f aca="false">IF($J1015=1,(Ideal_B-G1015)/Span_B,"")</f>
        <v/>
      </c>
      <c r="AL1015" s="12" t="str">
        <f aca="false">IF($J1015=1,MAX(ChA_1*AI1015,ChA_2*AJ1015,ChA_3*AK1015)+Rho*(ChA_1*AI1015+ChA_2*AJ1015+ChA_3*AK1015),"")</f>
        <v/>
      </c>
      <c r="AM1015" s="12" t="str">
        <f aca="false">IF($J1015=1,MAX(ChB_1*AI1015,ChB_2*AJ1015,ChB_3*AK1015)+Rho*(ChB_1*AI1015+ChB_2*AJ1015+ChB_3*AK1015),"")</f>
        <v/>
      </c>
      <c r="AN1015" s="12" t="str">
        <f aca="false">IF($J1015=1,MAX(Cx_1*(Ref_P-E1015)/Span_P,Cx_2*(Ref_S-F1015)/Span_S,Cx_3*(Ref_B-G1015)/Span_B),"")</f>
        <v/>
      </c>
    </row>
    <row r="1016" customFormat="false" ht="15" hidden="false" customHeight="false" outlineLevel="0" collapsed="false">
      <c r="A1016" s="2" t="n">
        <v>1010</v>
      </c>
      <c r="B1016" s="15" t="n">
        <f aca="false">INT(A1016/151)</f>
        <v>6</v>
      </c>
      <c r="C1016" s="15" t="n">
        <f aca="false">MOD(A1016,151)</f>
        <v>104</v>
      </c>
      <c r="D1016" s="15" t="n">
        <f aca="false">INDEX(Grid!$J$6:$P$156,C1016+1,B1016+1)</f>
        <v>0</v>
      </c>
      <c r="E1016" s="16" t="str">
        <f aca="false">IF(D1016=1,INDEX(Grid!$B$6:$H$156,C1016+1,B1016+1),"")</f>
        <v/>
      </c>
      <c r="F1016" s="13" t="n">
        <f aca="false">Val_pt*(Ceiling_e-E_zero)*(1-(1-Half_gap)^B1016)</f>
        <v>137.8125</v>
      </c>
      <c r="G1016" s="15" t="n">
        <f aca="false">C1016</f>
        <v>104</v>
      </c>
      <c r="H1016" s="15" t="str">
        <f aca="false">IF(D1016=1,INDEX(Grid!$R$6:$X$156,C1016+1,B1016+1),"")</f>
        <v/>
      </c>
      <c r="I1016" s="2" t="str">
        <f aca="false">IF(D1016=1,INDEX(Sch_label,H1016+1),"")</f>
        <v/>
      </c>
      <c r="J1016" s="15" t="n">
        <f aca="false">IF(D1016=1,INDEX(Grid!$Z$6:$AF$156,C1016+1,B1016+1),0)</f>
        <v>0</v>
      </c>
      <c r="K1016" s="16" t="n">
        <f aca="false">IF(J1016=1,E1016,0)</f>
        <v>0</v>
      </c>
      <c r="L1016" s="17" t="str">
        <f aca="false">IF(D1016=1,E1016+W_board*F1016,"")</f>
        <v/>
      </c>
      <c r="Z1016" s="12" t="str">
        <f aca="false">IF(AND($J1016=1,$M1016=1),N1016*E1016/Span_P+O1016*F1016/Span_S+P1016*G1016/Span_B,"")</f>
        <v/>
      </c>
      <c r="AA1016" s="12" t="str">
        <f aca="false">IF(AND($J1016=1,$M1016=1),SUMPRODUCT(MAX($J$6:$J$1062*(N1016*$K$6:$K$1062/Span_P+O1016*$F$6:$F$1062/Span_S+P1016*$G$6:$G$1062/Span_B)-(1-$J$6:$J$1062)*1000000000)),"")</f>
        <v/>
      </c>
      <c r="AB1016" s="15" t="str">
        <f aca="false">IF(AND($J1016=1,$M1016=1),IF(AA1016-Z1016&lt;=0.000000001,1,0),"")</f>
        <v/>
      </c>
      <c r="AC1016" s="13" t="str">
        <f aca="false">IF(AND($J1016=1,$M1016=0),IF(S1016="",0,S1016*INDEX(Grid!$B$6:$H$156,R1016+1,Q1016+1))+IF(V1016="",0,V1016*INDEX(Grid!$B$6:$H$156,U1016+1,T1016+1))+IF(Y1016="",0,Y1016*INDEX(Grid!$B$6:$H$156,X1016+1,W1016+1)),"")</f>
        <v/>
      </c>
      <c r="AD1016" s="13" t="str">
        <f aca="false">IF(AND($J1016=1,$M1016=0),IF(S1016="",0,S1016*Val_pt*(Ceiling_e-E_zero)*(1-(1-Half_gap)^Q1016))+IF(V1016="",0,V1016*Val_pt*(Ceiling_e-E_zero)*(1-(1-Half_gap)^T1016))+IF(Y1016="",0,Y1016*Val_pt*(Ceiling_e-E_zero)*(1-(1-Half_gap)^W1016)),"")</f>
        <v/>
      </c>
      <c r="AE1016" s="13" t="str">
        <f aca="false">IF(AND($J1016=1,$M1016=0),IF(S1016="",0,S1016*R1016)+IF(V1016="",0,V1016*U1016)+IF(Y1016="",0,Y1016*X1016),"")</f>
        <v/>
      </c>
      <c r="AF1016" s="12" t="str">
        <f aca="false">IF(AND($J1016=1,$M1016=0),MIN((AC1016-E1016)/Span_P,(AD1016-F1016)/Span_S,(AE1016-G1016)/Span_B),"")</f>
        <v/>
      </c>
      <c r="AG1016" s="15" t="str">
        <f aca="false">IF(AND($J1016=1,$M1016=0),IF(AF1016&gt;0.0000001,1,0),"")</f>
        <v/>
      </c>
      <c r="AH1016" s="15" t="str">
        <f aca="false">IF($J1016=1,IF($M1016=1,AB1016,AG1016),"")</f>
        <v/>
      </c>
      <c r="AI1016" s="13" t="str">
        <f aca="false">IF($J1016=1,(Ideal_P-E1016)/Span_P,"")</f>
        <v/>
      </c>
      <c r="AJ1016" s="13" t="str">
        <f aca="false">IF($J1016=1,(Ideal_S-F1016)/Span_S,"")</f>
        <v/>
      </c>
      <c r="AK1016" s="13" t="str">
        <f aca="false">IF($J1016=1,(Ideal_B-G1016)/Span_B,"")</f>
        <v/>
      </c>
      <c r="AL1016" s="12" t="str">
        <f aca="false">IF($J1016=1,MAX(ChA_1*AI1016,ChA_2*AJ1016,ChA_3*AK1016)+Rho*(ChA_1*AI1016+ChA_2*AJ1016+ChA_3*AK1016),"")</f>
        <v/>
      </c>
      <c r="AM1016" s="12" t="str">
        <f aca="false">IF($J1016=1,MAX(ChB_1*AI1016,ChB_2*AJ1016,ChB_3*AK1016)+Rho*(ChB_1*AI1016+ChB_2*AJ1016+ChB_3*AK1016),"")</f>
        <v/>
      </c>
      <c r="AN1016" s="12" t="str">
        <f aca="false">IF($J1016=1,MAX(Cx_1*(Ref_P-E1016)/Span_P,Cx_2*(Ref_S-F1016)/Span_S,Cx_3*(Ref_B-G1016)/Span_B),"")</f>
        <v/>
      </c>
    </row>
    <row r="1017" customFormat="false" ht="15" hidden="false" customHeight="false" outlineLevel="0" collapsed="false">
      <c r="A1017" s="2" t="n">
        <v>1011</v>
      </c>
      <c r="B1017" s="15" t="n">
        <f aca="false">INT(A1017/151)</f>
        <v>6</v>
      </c>
      <c r="C1017" s="15" t="n">
        <f aca="false">MOD(A1017,151)</f>
        <v>105</v>
      </c>
      <c r="D1017" s="15" t="n">
        <f aca="false">INDEX(Grid!$J$6:$P$156,C1017+1,B1017+1)</f>
        <v>0</v>
      </c>
      <c r="E1017" s="16" t="str">
        <f aca="false">IF(D1017=1,INDEX(Grid!$B$6:$H$156,C1017+1,B1017+1),"")</f>
        <v/>
      </c>
      <c r="F1017" s="13" t="n">
        <f aca="false">Val_pt*(Ceiling_e-E_zero)*(1-(1-Half_gap)^B1017)</f>
        <v>137.8125</v>
      </c>
      <c r="G1017" s="15" t="n">
        <f aca="false">C1017</f>
        <v>105</v>
      </c>
      <c r="H1017" s="15" t="str">
        <f aca="false">IF(D1017=1,INDEX(Grid!$R$6:$X$156,C1017+1,B1017+1),"")</f>
        <v/>
      </c>
      <c r="I1017" s="2" t="str">
        <f aca="false">IF(D1017=1,INDEX(Sch_label,H1017+1),"")</f>
        <v/>
      </c>
      <c r="J1017" s="15" t="n">
        <f aca="false">IF(D1017=1,INDEX(Grid!$Z$6:$AF$156,C1017+1,B1017+1),0)</f>
        <v>0</v>
      </c>
      <c r="K1017" s="16" t="n">
        <f aca="false">IF(J1017=1,E1017,0)</f>
        <v>0</v>
      </c>
      <c r="L1017" s="17" t="str">
        <f aca="false">IF(D1017=1,E1017+W_board*F1017,"")</f>
        <v/>
      </c>
      <c r="Z1017" s="12" t="str">
        <f aca="false">IF(AND($J1017=1,$M1017=1),N1017*E1017/Span_P+O1017*F1017/Span_S+P1017*G1017/Span_B,"")</f>
        <v/>
      </c>
      <c r="AA1017" s="12" t="str">
        <f aca="false">IF(AND($J1017=1,$M1017=1),SUMPRODUCT(MAX($J$6:$J$1062*(N1017*$K$6:$K$1062/Span_P+O1017*$F$6:$F$1062/Span_S+P1017*$G$6:$G$1062/Span_B)-(1-$J$6:$J$1062)*1000000000)),"")</f>
        <v/>
      </c>
      <c r="AB1017" s="15" t="str">
        <f aca="false">IF(AND($J1017=1,$M1017=1),IF(AA1017-Z1017&lt;=0.000000001,1,0),"")</f>
        <v/>
      </c>
      <c r="AC1017" s="13" t="str">
        <f aca="false">IF(AND($J1017=1,$M1017=0),IF(S1017="",0,S1017*INDEX(Grid!$B$6:$H$156,R1017+1,Q1017+1))+IF(V1017="",0,V1017*INDEX(Grid!$B$6:$H$156,U1017+1,T1017+1))+IF(Y1017="",0,Y1017*INDEX(Grid!$B$6:$H$156,X1017+1,W1017+1)),"")</f>
        <v/>
      </c>
      <c r="AD1017" s="13" t="str">
        <f aca="false">IF(AND($J1017=1,$M1017=0),IF(S1017="",0,S1017*Val_pt*(Ceiling_e-E_zero)*(1-(1-Half_gap)^Q1017))+IF(V1017="",0,V1017*Val_pt*(Ceiling_e-E_zero)*(1-(1-Half_gap)^T1017))+IF(Y1017="",0,Y1017*Val_pt*(Ceiling_e-E_zero)*(1-(1-Half_gap)^W1017)),"")</f>
        <v/>
      </c>
      <c r="AE1017" s="13" t="str">
        <f aca="false">IF(AND($J1017=1,$M1017=0),IF(S1017="",0,S1017*R1017)+IF(V1017="",0,V1017*U1017)+IF(Y1017="",0,Y1017*X1017),"")</f>
        <v/>
      </c>
      <c r="AF1017" s="12" t="str">
        <f aca="false">IF(AND($J1017=1,$M1017=0),MIN((AC1017-E1017)/Span_P,(AD1017-F1017)/Span_S,(AE1017-G1017)/Span_B),"")</f>
        <v/>
      </c>
      <c r="AG1017" s="15" t="str">
        <f aca="false">IF(AND($J1017=1,$M1017=0),IF(AF1017&gt;0.0000001,1,0),"")</f>
        <v/>
      </c>
      <c r="AH1017" s="15" t="str">
        <f aca="false">IF($J1017=1,IF($M1017=1,AB1017,AG1017),"")</f>
        <v/>
      </c>
      <c r="AI1017" s="13" t="str">
        <f aca="false">IF($J1017=1,(Ideal_P-E1017)/Span_P,"")</f>
        <v/>
      </c>
      <c r="AJ1017" s="13" t="str">
        <f aca="false">IF($J1017=1,(Ideal_S-F1017)/Span_S,"")</f>
        <v/>
      </c>
      <c r="AK1017" s="13" t="str">
        <f aca="false">IF($J1017=1,(Ideal_B-G1017)/Span_B,"")</f>
        <v/>
      </c>
      <c r="AL1017" s="12" t="str">
        <f aca="false">IF($J1017=1,MAX(ChA_1*AI1017,ChA_2*AJ1017,ChA_3*AK1017)+Rho*(ChA_1*AI1017+ChA_2*AJ1017+ChA_3*AK1017),"")</f>
        <v/>
      </c>
      <c r="AM1017" s="12" t="str">
        <f aca="false">IF($J1017=1,MAX(ChB_1*AI1017,ChB_2*AJ1017,ChB_3*AK1017)+Rho*(ChB_1*AI1017+ChB_2*AJ1017+ChB_3*AK1017),"")</f>
        <v/>
      </c>
      <c r="AN1017" s="12" t="str">
        <f aca="false">IF($J1017=1,MAX(Cx_1*(Ref_P-E1017)/Span_P,Cx_2*(Ref_S-F1017)/Span_S,Cx_3*(Ref_B-G1017)/Span_B),"")</f>
        <v/>
      </c>
    </row>
    <row r="1018" customFormat="false" ht="15" hidden="false" customHeight="false" outlineLevel="0" collapsed="false">
      <c r="A1018" s="2" t="n">
        <v>1012</v>
      </c>
      <c r="B1018" s="15" t="n">
        <f aca="false">INT(A1018/151)</f>
        <v>6</v>
      </c>
      <c r="C1018" s="15" t="n">
        <f aca="false">MOD(A1018,151)</f>
        <v>106</v>
      </c>
      <c r="D1018" s="15" t="n">
        <f aca="false">INDEX(Grid!$J$6:$P$156,C1018+1,B1018+1)</f>
        <v>0</v>
      </c>
      <c r="E1018" s="16" t="str">
        <f aca="false">IF(D1018=1,INDEX(Grid!$B$6:$H$156,C1018+1,B1018+1),"")</f>
        <v/>
      </c>
      <c r="F1018" s="13" t="n">
        <f aca="false">Val_pt*(Ceiling_e-E_zero)*(1-(1-Half_gap)^B1018)</f>
        <v>137.8125</v>
      </c>
      <c r="G1018" s="15" t="n">
        <f aca="false">C1018</f>
        <v>106</v>
      </c>
      <c r="H1018" s="15" t="str">
        <f aca="false">IF(D1018=1,INDEX(Grid!$R$6:$X$156,C1018+1,B1018+1),"")</f>
        <v/>
      </c>
      <c r="I1018" s="2" t="str">
        <f aca="false">IF(D1018=1,INDEX(Sch_label,H1018+1),"")</f>
        <v/>
      </c>
      <c r="J1018" s="15" t="n">
        <f aca="false">IF(D1018=1,INDEX(Grid!$Z$6:$AF$156,C1018+1,B1018+1),0)</f>
        <v>0</v>
      </c>
      <c r="K1018" s="16" t="n">
        <f aca="false">IF(J1018=1,E1018,0)</f>
        <v>0</v>
      </c>
      <c r="L1018" s="17" t="str">
        <f aca="false">IF(D1018=1,E1018+W_board*F1018,"")</f>
        <v/>
      </c>
      <c r="Z1018" s="12" t="str">
        <f aca="false">IF(AND($J1018=1,$M1018=1),N1018*E1018/Span_P+O1018*F1018/Span_S+P1018*G1018/Span_B,"")</f>
        <v/>
      </c>
      <c r="AA1018" s="12" t="str">
        <f aca="false">IF(AND($J1018=1,$M1018=1),SUMPRODUCT(MAX($J$6:$J$1062*(N1018*$K$6:$K$1062/Span_P+O1018*$F$6:$F$1062/Span_S+P1018*$G$6:$G$1062/Span_B)-(1-$J$6:$J$1062)*1000000000)),"")</f>
        <v/>
      </c>
      <c r="AB1018" s="15" t="str">
        <f aca="false">IF(AND($J1018=1,$M1018=1),IF(AA1018-Z1018&lt;=0.000000001,1,0),"")</f>
        <v/>
      </c>
      <c r="AC1018" s="13" t="str">
        <f aca="false">IF(AND($J1018=1,$M1018=0),IF(S1018="",0,S1018*INDEX(Grid!$B$6:$H$156,R1018+1,Q1018+1))+IF(V1018="",0,V1018*INDEX(Grid!$B$6:$H$156,U1018+1,T1018+1))+IF(Y1018="",0,Y1018*INDEX(Grid!$B$6:$H$156,X1018+1,W1018+1)),"")</f>
        <v/>
      </c>
      <c r="AD1018" s="13" t="str">
        <f aca="false">IF(AND($J1018=1,$M1018=0),IF(S1018="",0,S1018*Val_pt*(Ceiling_e-E_zero)*(1-(1-Half_gap)^Q1018))+IF(V1018="",0,V1018*Val_pt*(Ceiling_e-E_zero)*(1-(1-Half_gap)^T1018))+IF(Y1018="",0,Y1018*Val_pt*(Ceiling_e-E_zero)*(1-(1-Half_gap)^W1018)),"")</f>
        <v/>
      </c>
      <c r="AE1018" s="13" t="str">
        <f aca="false">IF(AND($J1018=1,$M1018=0),IF(S1018="",0,S1018*R1018)+IF(V1018="",0,V1018*U1018)+IF(Y1018="",0,Y1018*X1018),"")</f>
        <v/>
      </c>
      <c r="AF1018" s="12" t="str">
        <f aca="false">IF(AND($J1018=1,$M1018=0),MIN((AC1018-E1018)/Span_P,(AD1018-F1018)/Span_S,(AE1018-G1018)/Span_B),"")</f>
        <v/>
      </c>
      <c r="AG1018" s="15" t="str">
        <f aca="false">IF(AND($J1018=1,$M1018=0),IF(AF1018&gt;0.0000001,1,0),"")</f>
        <v/>
      </c>
      <c r="AH1018" s="15" t="str">
        <f aca="false">IF($J1018=1,IF($M1018=1,AB1018,AG1018),"")</f>
        <v/>
      </c>
      <c r="AI1018" s="13" t="str">
        <f aca="false">IF($J1018=1,(Ideal_P-E1018)/Span_P,"")</f>
        <v/>
      </c>
      <c r="AJ1018" s="13" t="str">
        <f aca="false">IF($J1018=1,(Ideal_S-F1018)/Span_S,"")</f>
        <v/>
      </c>
      <c r="AK1018" s="13" t="str">
        <f aca="false">IF($J1018=1,(Ideal_B-G1018)/Span_B,"")</f>
        <v/>
      </c>
      <c r="AL1018" s="12" t="str">
        <f aca="false">IF($J1018=1,MAX(ChA_1*AI1018,ChA_2*AJ1018,ChA_3*AK1018)+Rho*(ChA_1*AI1018+ChA_2*AJ1018+ChA_3*AK1018),"")</f>
        <v/>
      </c>
      <c r="AM1018" s="12" t="str">
        <f aca="false">IF($J1018=1,MAX(ChB_1*AI1018,ChB_2*AJ1018,ChB_3*AK1018)+Rho*(ChB_1*AI1018+ChB_2*AJ1018+ChB_3*AK1018),"")</f>
        <v/>
      </c>
      <c r="AN1018" s="12" t="str">
        <f aca="false">IF($J1018=1,MAX(Cx_1*(Ref_P-E1018)/Span_P,Cx_2*(Ref_S-F1018)/Span_S,Cx_3*(Ref_B-G1018)/Span_B),"")</f>
        <v/>
      </c>
    </row>
    <row r="1019" customFormat="false" ht="15" hidden="false" customHeight="false" outlineLevel="0" collapsed="false">
      <c r="A1019" s="2" t="n">
        <v>1013</v>
      </c>
      <c r="B1019" s="15" t="n">
        <f aca="false">INT(A1019/151)</f>
        <v>6</v>
      </c>
      <c r="C1019" s="15" t="n">
        <f aca="false">MOD(A1019,151)</f>
        <v>107</v>
      </c>
      <c r="D1019" s="15" t="n">
        <f aca="false">INDEX(Grid!$J$6:$P$156,C1019+1,B1019+1)</f>
        <v>0</v>
      </c>
      <c r="E1019" s="16" t="str">
        <f aca="false">IF(D1019=1,INDEX(Grid!$B$6:$H$156,C1019+1,B1019+1),"")</f>
        <v/>
      </c>
      <c r="F1019" s="13" t="n">
        <f aca="false">Val_pt*(Ceiling_e-E_zero)*(1-(1-Half_gap)^B1019)</f>
        <v>137.8125</v>
      </c>
      <c r="G1019" s="15" t="n">
        <f aca="false">C1019</f>
        <v>107</v>
      </c>
      <c r="H1019" s="15" t="str">
        <f aca="false">IF(D1019=1,INDEX(Grid!$R$6:$X$156,C1019+1,B1019+1),"")</f>
        <v/>
      </c>
      <c r="I1019" s="2" t="str">
        <f aca="false">IF(D1019=1,INDEX(Sch_label,H1019+1),"")</f>
        <v/>
      </c>
      <c r="J1019" s="15" t="n">
        <f aca="false">IF(D1019=1,INDEX(Grid!$Z$6:$AF$156,C1019+1,B1019+1),0)</f>
        <v>0</v>
      </c>
      <c r="K1019" s="16" t="n">
        <f aca="false">IF(J1019=1,E1019,0)</f>
        <v>0</v>
      </c>
      <c r="L1019" s="17" t="str">
        <f aca="false">IF(D1019=1,E1019+W_board*F1019,"")</f>
        <v/>
      </c>
      <c r="Z1019" s="12" t="str">
        <f aca="false">IF(AND($J1019=1,$M1019=1),N1019*E1019/Span_P+O1019*F1019/Span_S+P1019*G1019/Span_B,"")</f>
        <v/>
      </c>
      <c r="AA1019" s="12" t="str">
        <f aca="false">IF(AND($J1019=1,$M1019=1),SUMPRODUCT(MAX($J$6:$J$1062*(N1019*$K$6:$K$1062/Span_P+O1019*$F$6:$F$1062/Span_S+P1019*$G$6:$G$1062/Span_B)-(1-$J$6:$J$1062)*1000000000)),"")</f>
        <v/>
      </c>
      <c r="AB1019" s="15" t="str">
        <f aca="false">IF(AND($J1019=1,$M1019=1),IF(AA1019-Z1019&lt;=0.000000001,1,0),"")</f>
        <v/>
      </c>
      <c r="AC1019" s="13" t="str">
        <f aca="false">IF(AND($J1019=1,$M1019=0),IF(S1019="",0,S1019*INDEX(Grid!$B$6:$H$156,R1019+1,Q1019+1))+IF(V1019="",0,V1019*INDEX(Grid!$B$6:$H$156,U1019+1,T1019+1))+IF(Y1019="",0,Y1019*INDEX(Grid!$B$6:$H$156,X1019+1,W1019+1)),"")</f>
        <v/>
      </c>
      <c r="AD1019" s="13" t="str">
        <f aca="false">IF(AND($J1019=1,$M1019=0),IF(S1019="",0,S1019*Val_pt*(Ceiling_e-E_zero)*(1-(1-Half_gap)^Q1019))+IF(V1019="",0,V1019*Val_pt*(Ceiling_e-E_zero)*(1-(1-Half_gap)^T1019))+IF(Y1019="",0,Y1019*Val_pt*(Ceiling_e-E_zero)*(1-(1-Half_gap)^W1019)),"")</f>
        <v/>
      </c>
      <c r="AE1019" s="13" t="str">
        <f aca="false">IF(AND($J1019=1,$M1019=0),IF(S1019="",0,S1019*R1019)+IF(V1019="",0,V1019*U1019)+IF(Y1019="",0,Y1019*X1019),"")</f>
        <v/>
      </c>
      <c r="AF1019" s="12" t="str">
        <f aca="false">IF(AND($J1019=1,$M1019=0),MIN((AC1019-E1019)/Span_P,(AD1019-F1019)/Span_S,(AE1019-G1019)/Span_B),"")</f>
        <v/>
      </c>
      <c r="AG1019" s="15" t="str">
        <f aca="false">IF(AND($J1019=1,$M1019=0),IF(AF1019&gt;0.0000001,1,0),"")</f>
        <v/>
      </c>
      <c r="AH1019" s="15" t="str">
        <f aca="false">IF($J1019=1,IF($M1019=1,AB1019,AG1019),"")</f>
        <v/>
      </c>
      <c r="AI1019" s="13" t="str">
        <f aca="false">IF($J1019=1,(Ideal_P-E1019)/Span_P,"")</f>
        <v/>
      </c>
      <c r="AJ1019" s="13" t="str">
        <f aca="false">IF($J1019=1,(Ideal_S-F1019)/Span_S,"")</f>
        <v/>
      </c>
      <c r="AK1019" s="13" t="str">
        <f aca="false">IF($J1019=1,(Ideal_B-G1019)/Span_B,"")</f>
        <v/>
      </c>
      <c r="AL1019" s="12" t="str">
        <f aca="false">IF($J1019=1,MAX(ChA_1*AI1019,ChA_2*AJ1019,ChA_3*AK1019)+Rho*(ChA_1*AI1019+ChA_2*AJ1019+ChA_3*AK1019),"")</f>
        <v/>
      </c>
      <c r="AM1019" s="12" t="str">
        <f aca="false">IF($J1019=1,MAX(ChB_1*AI1019,ChB_2*AJ1019,ChB_3*AK1019)+Rho*(ChB_1*AI1019+ChB_2*AJ1019+ChB_3*AK1019),"")</f>
        <v/>
      </c>
      <c r="AN1019" s="12" t="str">
        <f aca="false">IF($J1019=1,MAX(Cx_1*(Ref_P-E1019)/Span_P,Cx_2*(Ref_S-F1019)/Span_S,Cx_3*(Ref_B-G1019)/Span_B),"")</f>
        <v/>
      </c>
    </row>
    <row r="1020" customFormat="false" ht="15" hidden="false" customHeight="false" outlineLevel="0" collapsed="false">
      <c r="A1020" s="2" t="n">
        <v>1014</v>
      </c>
      <c r="B1020" s="15" t="n">
        <f aca="false">INT(A1020/151)</f>
        <v>6</v>
      </c>
      <c r="C1020" s="15" t="n">
        <f aca="false">MOD(A1020,151)</f>
        <v>108</v>
      </c>
      <c r="D1020" s="15" t="n">
        <f aca="false">INDEX(Grid!$J$6:$P$156,C1020+1,B1020+1)</f>
        <v>0</v>
      </c>
      <c r="E1020" s="16" t="str">
        <f aca="false">IF(D1020=1,INDEX(Grid!$B$6:$H$156,C1020+1,B1020+1),"")</f>
        <v/>
      </c>
      <c r="F1020" s="13" t="n">
        <f aca="false">Val_pt*(Ceiling_e-E_zero)*(1-(1-Half_gap)^B1020)</f>
        <v>137.8125</v>
      </c>
      <c r="G1020" s="15" t="n">
        <f aca="false">C1020</f>
        <v>108</v>
      </c>
      <c r="H1020" s="15" t="str">
        <f aca="false">IF(D1020=1,INDEX(Grid!$R$6:$X$156,C1020+1,B1020+1),"")</f>
        <v/>
      </c>
      <c r="I1020" s="2" t="str">
        <f aca="false">IF(D1020=1,INDEX(Sch_label,H1020+1),"")</f>
        <v/>
      </c>
      <c r="J1020" s="15" t="n">
        <f aca="false">IF(D1020=1,INDEX(Grid!$Z$6:$AF$156,C1020+1,B1020+1),0)</f>
        <v>0</v>
      </c>
      <c r="K1020" s="16" t="n">
        <f aca="false">IF(J1020=1,E1020,0)</f>
        <v>0</v>
      </c>
      <c r="L1020" s="17" t="str">
        <f aca="false">IF(D1020=1,E1020+W_board*F1020,"")</f>
        <v/>
      </c>
      <c r="Z1020" s="12" t="str">
        <f aca="false">IF(AND($J1020=1,$M1020=1),N1020*E1020/Span_P+O1020*F1020/Span_S+P1020*G1020/Span_B,"")</f>
        <v/>
      </c>
      <c r="AA1020" s="12" t="str">
        <f aca="false">IF(AND($J1020=1,$M1020=1),SUMPRODUCT(MAX($J$6:$J$1062*(N1020*$K$6:$K$1062/Span_P+O1020*$F$6:$F$1062/Span_S+P1020*$G$6:$G$1062/Span_B)-(1-$J$6:$J$1062)*1000000000)),"")</f>
        <v/>
      </c>
      <c r="AB1020" s="15" t="str">
        <f aca="false">IF(AND($J1020=1,$M1020=1),IF(AA1020-Z1020&lt;=0.000000001,1,0),"")</f>
        <v/>
      </c>
      <c r="AC1020" s="13" t="str">
        <f aca="false">IF(AND($J1020=1,$M1020=0),IF(S1020="",0,S1020*INDEX(Grid!$B$6:$H$156,R1020+1,Q1020+1))+IF(V1020="",0,V1020*INDEX(Grid!$B$6:$H$156,U1020+1,T1020+1))+IF(Y1020="",0,Y1020*INDEX(Grid!$B$6:$H$156,X1020+1,W1020+1)),"")</f>
        <v/>
      </c>
      <c r="AD1020" s="13" t="str">
        <f aca="false">IF(AND($J1020=1,$M1020=0),IF(S1020="",0,S1020*Val_pt*(Ceiling_e-E_zero)*(1-(1-Half_gap)^Q1020))+IF(V1020="",0,V1020*Val_pt*(Ceiling_e-E_zero)*(1-(1-Half_gap)^T1020))+IF(Y1020="",0,Y1020*Val_pt*(Ceiling_e-E_zero)*(1-(1-Half_gap)^W1020)),"")</f>
        <v/>
      </c>
      <c r="AE1020" s="13" t="str">
        <f aca="false">IF(AND($J1020=1,$M1020=0),IF(S1020="",0,S1020*R1020)+IF(V1020="",0,V1020*U1020)+IF(Y1020="",0,Y1020*X1020),"")</f>
        <v/>
      </c>
      <c r="AF1020" s="12" t="str">
        <f aca="false">IF(AND($J1020=1,$M1020=0),MIN((AC1020-E1020)/Span_P,(AD1020-F1020)/Span_S,(AE1020-G1020)/Span_B),"")</f>
        <v/>
      </c>
      <c r="AG1020" s="15" t="str">
        <f aca="false">IF(AND($J1020=1,$M1020=0),IF(AF1020&gt;0.0000001,1,0),"")</f>
        <v/>
      </c>
      <c r="AH1020" s="15" t="str">
        <f aca="false">IF($J1020=1,IF($M1020=1,AB1020,AG1020),"")</f>
        <v/>
      </c>
      <c r="AI1020" s="13" t="str">
        <f aca="false">IF($J1020=1,(Ideal_P-E1020)/Span_P,"")</f>
        <v/>
      </c>
      <c r="AJ1020" s="13" t="str">
        <f aca="false">IF($J1020=1,(Ideal_S-F1020)/Span_S,"")</f>
        <v/>
      </c>
      <c r="AK1020" s="13" t="str">
        <f aca="false">IF($J1020=1,(Ideal_B-G1020)/Span_B,"")</f>
        <v/>
      </c>
      <c r="AL1020" s="12" t="str">
        <f aca="false">IF($J1020=1,MAX(ChA_1*AI1020,ChA_2*AJ1020,ChA_3*AK1020)+Rho*(ChA_1*AI1020+ChA_2*AJ1020+ChA_3*AK1020),"")</f>
        <v/>
      </c>
      <c r="AM1020" s="12" t="str">
        <f aca="false">IF($J1020=1,MAX(ChB_1*AI1020,ChB_2*AJ1020,ChB_3*AK1020)+Rho*(ChB_1*AI1020+ChB_2*AJ1020+ChB_3*AK1020),"")</f>
        <v/>
      </c>
      <c r="AN1020" s="12" t="str">
        <f aca="false">IF($J1020=1,MAX(Cx_1*(Ref_P-E1020)/Span_P,Cx_2*(Ref_S-F1020)/Span_S,Cx_3*(Ref_B-G1020)/Span_B),"")</f>
        <v/>
      </c>
    </row>
    <row r="1021" customFormat="false" ht="15" hidden="false" customHeight="false" outlineLevel="0" collapsed="false">
      <c r="A1021" s="2" t="n">
        <v>1015</v>
      </c>
      <c r="B1021" s="15" t="n">
        <f aca="false">INT(A1021/151)</f>
        <v>6</v>
      </c>
      <c r="C1021" s="15" t="n">
        <f aca="false">MOD(A1021,151)</f>
        <v>109</v>
      </c>
      <c r="D1021" s="15" t="n">
        <f aca="false">INDEX(Grid!$J$6:$P$156,C1021+1,B1021+1)</f>
        <v>0</v>
      </c>
      <c r="E1021" s="16" t="str">
        <f aca="false">IF(D1021=1,INDEX(Grid!$B$6:$H$156,C1021+1,B1021+1),"")</f>
        <v/>
      </c>
      <c r="F1021" s="13" t="n">
        <f aca="false">Val_pt*(Ceiling_e-E_zero)*(1-(1-Half_gap)^B1021)</f>
        <v>137.8125</v>
      </c>
      <c r="G1021" s="15" t="n">
        <f aca="false">C1021</f>
        <v>109</v>
      </c>
      <c r="H1021" s="15" t="str">
        <f aca="false">IF(D1021=1,INDEX(Grid!$R$6:$X$156,C1021+1,B1021+1),"")</f>
        <v/>
      </c>
      <c r="I1021" s="2" t="str">
        <f aca="false">IF(D1021=1,INDEX(Sch_label,H1021+1),"")</f>
        <v/>
      </c>
      <c r="J1021" s="15" t="n">
        <f aca="false">IF(D1021=1,INDEX(Grid!$Z$6:$AF$156,C1021+1,B1021+1),0)</f>
        <v>0</v>
      </c>
      <c r="K1021" s="16" t="n">
        <f aca="false">IF(J1021=1,E1021,0)</f>
        <v>0</v>
      </c>
      <c r="L1021" s="17" t="str">
        <f aca="false">IF(D1021=1,E1021+W_board*F1021,"")</f>
        <v/>
      </c>
      <c r="Z1021" s="12" t="str">
        <f aca="false">IF(AND($J1021=1,$M1021=1),N1021*E1021/Span_P+O1021*F1021/Span_S+P1021*G1021/Span_B,"")</f>
        <v/>
      </c>
      <c r="AA1021" s="12" t="str">
        <f aca="false">IF(AND($J1021=1,$M1021=1),SUMPRODUCT(MAX($J$6:$J$1062*(N1021*$K$6:$K$1062/Span_P+O1021*$F$6:$F$1062/Span_S+P1021*$G$6:$G$1062/Span_B)-(1-$J$6:$J$1062)*1000000000)),"")</f>
        <v/>
      </c>
      <c r="AB1021" s="15" t="str">
        <f aca="false">IF(AND($J1021=1,$M1021=1),IF(AA1021-Z1021&lt;=0.000000001,1,0),"")</f>
        <v/>
      </c>
      <c r="AC1021" s="13" t="str">
        <f aca="false">IF(AND($J1021=1,$M1021=0),IF(S1021="",0,S1021*INDEX(Grid!$B$6:$H$156,R1021+1,Q1021+1))+IF(V1021="",0,V1021*INDEX(Grid!$B$6:$H$156,U1021+1,T1021+1))+IF(Y1021="",0,Y1021*INDEX(Grid!$B$6:$H$156,X1021+1,W1021+1)),"")</f>
        <v/>
      </c>
      <c r="AD1021" s="13" t="str">
        <f aca="false">IF(AND($J1021=1,$M1021=0),IF(S1021="",0,S1021*Val_pt*(Ceiling_e-E_zero)*(1-(1-Half_gap)^Q1021))+IF(V1021="",0,V1021*Val_pt*(Ceiling_e-E_zero)*(1-(1-Half_gap)^T1021))+IF(Y1021="",0,Y1021*Val_pt*(Ceiling_e-E_zero)*(1-(1-Half_gap)^W1021)),"")</f>
        <v/>
      </c>
      <c r="AE1021" s="13" t="str">
        <f aca="false">IF(AND($J1021=1,$M1021=0),IF(S1021="",0,S1021*R1021)+IF(V1021="",0,V1021*U1021)+IF(Y1021="",0,Y1021*X1021),"")</f>
        <v/>
      </c>
      <c r="AF1021" s="12" t="str">
        <f aca="false">IF(AND($J1021=1,$M1021=0),MIN((AC1021-E1021)/Span_P,(AD1021-F1021)/Span_S,(AE1021-G1021)/Span_B),"")</f>
        <v/>
      </c>
      <c r="AG1021" s="15" t="str">
        <f aca="false">IF(AND($J1021=1,$M1021=0),IF(AF1021&gt;0.0000001,1,0),"")</f>
        <v/>
      </c>
      <c r="AH1021" s="15" t="str">
        <f aca="false">IF($J1021=1,IF($M1021=1,AB1021,AG1021),"")</f>
        <v/>
      </c>
      <c r="AI1021" s="13" t="str">
        <f aca="false">IF($J1021=1,(Ideal_P-E1021)/Span_P,"")</f>
        <v/>
      </c>
      <c r="AJ1021" s="13" t="str">
        <f aca="false">IF($J1021=1,(Ideal_S-F1021)/Span_S,"")</f>
        <v/>
      </c>
      <c r="AK1021" s="13" t="str">
        <f aca="false">IF($J1021=1,(Ideal_B-G1021)/Span_B,"")</f>
        <v/>
      </c>
      <c r="AL1021" s="12" t="str">
        <f aca="false">IF($J1021=1,MAX(ChA_1*AI1021,ChA_2*AJ1021,ChA_3*AK1021)+Rho*(ChA_1*AI1021+ChA_2*AJ1021+ChA_3*AK1021),"")</f>
        <v/>
      </c>
      <c r="AM1021" s="12" t="str">
        <f aca="false">IF($J1021=1,MAX(ChB_1*AI1021,ChB_2*AJ1021,ChB_3*AK1021)+Rho*(ChB_1*AI1021+ChB_2*AJ1021+ChB_3*AK1021),"")</f>
        <v/>
      </c>
      <c r="AN1021" s="12" t="str">
        <f aca="false">IF($J1021=1,MAX(Cx_1*(Ref_P-E1021)/Span_P,Cx_2*(Ref_S-F1021)/Span_S,Cx_3*(Ref_B-G1021)/Span_B),"")</f>
        <v/>
      </c>
    </row>
    <row r="1022" customFormat="false" ht="15" hidden="false" customHeight="false" outlineLevel="0" collapsed="false">
      <c r="A1022" s="2" t="n">
        <v>1016</v>
      </c>
      <c r="B1022" s="15" t="n">
        <f aca="false">INT(A1022/151)</f>
        <v>6</v>
      </c>
      <c r="C1022" s="15" t="n">
        <f aca="false">MOD(A1022,151)</f>
        <v>110</v>
      </c>
      <c r="D1022" s="15" t="n">
        <f aca="false">INDEX(Grid!$J$6:$P$156,C1022+1,B1022+1)</f>
        <v>0</v>
      </c>
      <c r="E1022" s="16" t="str">
        <f aca="false">IF(D1022=1,INDEX(Grid!$B$6:$H$156,C1022+1,B1022+1),"")</f>
        <v/>
      </c>
      <c r="F1022" s="13" t="n">
        <f aca="false">Val_pt*(Ceiling_e-E_zero)*(1-(1-Half_gap)^B1022)</f>
        <v>137.8125</v>
      </c>
      <c r="G1022" s="15" t="n">
        <f aca="false">C1022</f>
        <v>110</v>
      </c>
      <c r="H1022" s="15" t="str">
        <f aca="false">IF(D1022=1,INDEX(Grid!$R$6:$X$156,C1022+1,B1022+1),"")</f>
        <v/>
      </c>
      <c r="I1022" s="2" t="str">
        <f aca="false">IF(D1022=1,INDEX(Sch_label,H1022+1),"")</f>
        <v/>
      </c>
      <c r="J1022" s="15" t="n">
        <f aca="false">IF(D1022=1,INDEX(Grid!$Z$6:$AF$156,C1022+1,B1022+1),0)</f>
        <v>0</v>
      </c>
      <c r="K1022" s="16" t="n">
        <f aca="false">IF(J1022=1,E1022,0)</f>
        <v>0</v>
      </c>
      <c r="L1022" s="17" t="str">
        <f aca="false">IF(D1022=1,E1022+W_board*F1022,"")</f>
        <v/>
      </c>
      <c r="Z1022" s="12" t="str">
        <f aca="false">IF(AND($J1022=1,$M1022=1),N1022*E1022/Span_P+O1022*F1022/Span_S+P1022*G1022/Span_B,"")</f>
        <v/>
      </c>
      <c r="AA1022" s="12" t="str">
        <f aca="false">IF(AND($J1022=1,$M1022=1),SUMPRODUCT(MAX($J$6:$J$1062*(N1022*$K$6:$K$1062/Span_P+O1022*$F$6:$F$1062/Span_S+P1022*$G$6:$G$1062/Span_B)-(1-$J$6:$J$1062)*1000000000)),"")</f>
        <v/>
      </c>
      <c r="AB1022" s="15" t="str">
        <f aca="false">IF(AND($J1022=1,$M1022=1),IF(AA1022-Z1022&lt;=0.000000001,1,0),"")</f>
        <v/>
      </c>
      <c r="AC1022" s="13" t="str">
        <f aca="false">IF(AND($J1022=1,$M1022=0),IF(S1022="",0,S1022*INDEX(Grid!$B$6:$H$156,R1022+1,Q1022+1))+IF(V1022="",0,V1022*INDEX(Grid!$B$6:$H$156,U1022+1,T1022+1))+IF(Y1022="",0,Y1022*INDEX(Grid!$B$6:$H$156,X1022+1,W1022+1)),"")</f>
        <v/>
      </c>
      <c r="AD1022" s="13" t="str">
        <f aca="false">IF(AND($J1022=1,$M1022=0),IF(S1022="",0,S1022*Val_pt*(Ceiling_e-E_zero)*(1-(1-Half_gap)^Q1022))+IF(V1022="",0,V1022*Val_pt*(Ceiling_e-E_zero)*(1-(1-Half_gap)^T1022))+IF(Y1022="",0,Y1022*Val_pt*(Ceiling_e-E_zero)*(1-(1-Half_gap)^W1022)),"")</f>
        <v/>
      </c>
      <c r="AE1022" s="13" t="str">
        <f aca="false">IF(AND($J1022=1,$M1022=0),IF(S1022="",0,S1022*R1022)+IF(V1022="",0,V1022*U1022)+IF(Y1022="",0,Y1022*X1022),"")</f>
        <v/>
      </c>
      <c r="AF1022" s="12" t="str">
        <f aca="false">IF(AND($J1022=1,$M1022=0),MIN((AC1022-E1022)/Span_P,(AD1022-F1022)/Span_S,(AE1022-G1022)/Span_B),"")</f>
        <v/>
      </c>
      <c r="AG1022" s="15" t="str">
        <f aca="false">IF(AND($J1022=1,$M1022=0),IF(AF1022&gt;0.0000001,1,0),"")</f>
        <v/>
      </c>
      <c r="AH1022" s="15" t="str">
        <f aca="false">IF($J1022=1,IF($M1022=1,AB1022,AG1022),"")</f>
        <v/>
      </c>
      <c r="AI1022" s="13" t="str">
        <f aca="false">IF($J1022=1,(Ideal_P-E1022)/Span_P,"")</f>
        <v/>
      </c>
      <c r="AJ1022" s="13" t="str">
        <f aca="false">IF($J1022=1,(Ideal_S-F1022)/Span_S,"")</f>
        <v/>
      </c>
      <c r="AK1022" s="13" t="str">
        <f aca="false">IF($J1022=1,(Ideal_B-G1022)/Span_B,"")</f>
        <v/>
      </c>
      <c r="AL1022" s="12" t="str">
        <f aca="false">IF($J1022=1,MAX(ChA_1*AI1022,ChA_2*AJ1022,ChA_3*AK1022)+Rho*(ChA_1*AI1022+ChA_2*AJ1022+ChA_3*AK1022),"")</f>
        <v/>
      </c>
      <c r="AM1022" s="12" t="str">
        <f aca="false">IF($J1022=1,MAX(ChB_1*AI1022,ChB_2*AJ1022,ChB_3*AK1022)+Rho*(ChB_1*AI1022+ChB_2*AJ1022+ChB_3*AK1022),"")</f>
        <v/>
      </c>
      <c r="AN1022" s="12" t="str">
        <f aca="false">IF($J1022=1,MAX(Cx_1*(Ref_P-E1022)/Span_P,Cx_2*(Ref_S-F1022)/Span_S,Cx_3*(Ref_B-G1022)/Span_B),"")</f>
        <v/>
      </c>
    </row>
    <row r="1023" customFormat="false" ht="15" hidden="false" customHeight="false" outlineLevel="0" collapsed="false">
      <c r="A1023" s="2" t="n">
        <v>1017</v>
      </c>
      <c r="B1023" s="15" t="n">
        <f aca="false">INT(A1023/151)</f>
        <v>6</v>
      </c>
      <c r="C1023" s="15" t="n">
        <f aca="false">MOD(A1023,151)</f>
        <v>111</v>
      </c>
      <c r="D1023" s="15" t="n">
        <f aca="false">INDEX(Grid!$J$6:$P$156,C1023+1,B1023+1)</f>
        <v>0</v>
      </c>
      <c r="E1023" s="16" t="str">
        <f aca="false">IF(D1023=1,INDEX(Grid!$B$6:$H$156,C1023+1,B1023+1),"")</f>
        <v/>
      </c>
      <c r="F1023" s="13" t="n">
        <f aca="false">Val_pt*(Ceiling_e-E_zero)*(1-(1-Half_gap)^B1023)</f>
        <v>137.8125</v>
      </c>
      <c r="G1023" s="15" t="n">
        <f aca="false">C1023</f>
        <v>111</v>
      </c>
      <c r="H1023" s="15" t="str">
        <f aca="false">IF(D1023=1,INDEX(Grid!$R$6:$X$156,C1023+1,B1023+1),"")</f>
        <v/>
      </c>
      <c r="I1023" s="2" t="str">
        <f aca="false">IF(D1023=1,INDEX(Sch_label,H1023+1),"")</f>
        <v/>
      </c>
      <c r="J1023" s="15" t="n">
        <f aca="false">IF(D1023=1,INDEX(Grid!$Z$6:$AF$156,C1023+1,B1023+1),0)</f>
        <v>0</v>
      </c>
      <c r="K1023" s="16" t="n">
        <f aca="false">IF(J1023=1,E1023,0)</f>
        <v>0</v>
      </c>
      <c r="L1023" s="17" t="str">
        <f aca="false">IF(D1023=1,E1023+W_board*F1023,"")</f>
        <v/>
      </c>
      <c r="Z1023" s="12" t="str">
        <f aca="false">IF(AND($J1023=1,$M1023=1),N1023*E1023/Span_P+O1023*F1023/Span_S+P1023*G1023/Span_B,"")</f>
        <v/>
      </c>
      <c r="AA1023" s="12" t="str">
        <f aca="false">IF(AND($J1023=1,$M1023=1),SUMPRODUCT(MAX($J$6:$J$1062*(N1023*$K$6:$K$1062/Span_P+O1023*$F$6:$F$1062/Span_S+P1023*$G$6:$G$1062/Span_B)-(1-$J$6:$J$1062)*1000000000)),"")</f>
        <v/>
      </c>
      <c r="AB1023" s="15" t="str">
        <f aca="false">IF(AND($J1023=1,$M1023=1),IF(AA1023-Z1023&lt;=0.000000001,1,0),"")</f>
        <v/>
      </c>
      <c r="AC1023" s="13" t="str">
        <f aca="false">IF(AND($J1023=1,$M1023=0),IF(S1023="",0,S1023*INDEX(Grid!$B$6:$H$156,R1023+1,Q1023+1))+IF(V1023="",0,V1023*INDEX(Grid!$B$6:$H$156,U1023+1,T1023+1))+IF(Y1023="",0,Y1023*INDEX(Grid!$B$6:$H$156,X1023+1,W1023+1)),"")</f>
        <v/>
      </c>
      <c r="AD1023" s="13" t="str">
        <f aca="false">IF(AND($J1023=1,$M1023=0),IF(S1023="",0,S1023*Val_pt*(Ceiling_e-E_zero)*(1-(1-Half_gap)^Q1023))+IF(V1023="",0,V1023*Val_pt*(Ceiling_e-E_zero)*(1-(1-Half_gap)^T1023))+IF(Y1023="",0,Y1023*Val_pt*(Ceiling_e-E_zero)*(1-(1-Half_gap)^W1023)),"")</f>
        <v/>
      </c>
      <c r="AE1023" s="13" t="str">
        <f aca="false">IF(AND($J1023=1,$M1023=0),IF(S1023="",0,S1023*R1023)+IF(V1023="",0,V1023*U1023)+IF(Y1023="",0,Y1023*X1023),"")</f>
        <v/>
      </c>
      <c r="AF1023" s="12" t="str">
        <f aca="false">IF(AND($J1023=1,$M1023=0),MIN((AC1023-E1023)/Span_P,(AD1023-F1023)/Span_S,(AE1023-G1023)/Span_B),"")</f>
        <v/>
      </c>
      <c r="AG1023" s="15" t="str">
        <f aca="false">IF(AND($J1023=1,$M1023=0),IF(AF1023&gt;0.0000001,1,0),"")</f>
        <v/>
      </c>
      <c r="AH1023" s="15" t="str">
        <f aca="false">IF($J1023=1,IF($M1023=1,AB1023,AG1023),"")</f>
        <v/>
      </c>
      <c r="AI1023" s="13" t="str">
        <f aca="false">IF($J1023=1,(Ideal_P-E1023)/Span_P,"")</f>
        <v/>
      </c>
      <c r="AJ1023" s="13" t="str">
        <f aca="false">IF($J1023=1,(Ideal_S-F1023)/Span_S,"")</f>
        <v/>
      </c>
      <c r="AK1023" s="13" t="str">
        <f aca="false">IF($J1023=1,(Ideal_B-G1023)/Span_B,"")</f>
        <v/>
      </c>
      <c r="AL1023" s="12" t="str">
        <f aca="false">IF($J1023=1,MAX(ChA_1*AI1023,ChA_2*AJ1023,ChA_3*AK1023)+Rho*(ChA_1*AI1023+ChA_2*AJ1023+ChA_3*AK1023),"")</f>
        <v/>
      </c>
      <c r="AM1023" s="12" t="str">
        <f aca="false">IF($J1023=1,MAX(ChB_1*AI1023,ChB_2*AJ1023,ChB_3*AK1023)+Rho*(ChB_1*AI1023+ChB_2*AJ1023+ChB_3*AK1023),"")</f>
        <v/>
      </c>
      <c r="AN1023" s="12" t="str">
        <f aca="false">IF($J1023=1,MAX(Cx_1*(Ref_P-E1023)/Span_P,Cx_2*(Ref_S-F1023)/Span_S,Cx_3*(Ref_B-G1023)/Span_B),"")</f>
        <v/>
      </c>
    </row>
    <row r="1024" customFormat="false" ht="15" hidden="false" customHeight="false" outlineLevel="0" collapsed="false">
      <c r="A1024" s="2" t="n">
        <v>1018</v>
      </c>
      <c r="B1024" s="15" t="n">
        <f aca="false">INT(A1024/151)</f>
        <v>6</v>
      </c>
      <c r="C1024" s="15" t="n">
        <f aca="false">MOD(A1024,151)</f>
        <v>112</v>
      </c>
      <c r="D1024" s="15" t="n">
        <f aca="false">INDEX(Grid!$J$6:$P$156,C1024+1,B1024+1)</f>
        <v>0</v>
      </c>
      <c r="E1024" s="16" t="str">
        <f aca="false">IF(D1024=1,INDEX(Grid!$B$6:$H$156,C1024+1,B1024+1),"")</f>
        <v/>
      </c>
      <c r="F1024" s="13" t="n">
        <f aca="false">Val_pt*(Ceiling_e-E_zero)*(1-(1-Half_gap)^B1024)</f>
        <v>137.8125</v>
      </c>
      <c r="G1024" s="15" t="n">
        <f aca="false">C1024</f>
        <v>112</v>
      </c>
      <c r="H1024" s="15" t="str">
        <f aca="false">IF(D1024=1,INDEX(Grid!$R$6:$X$156,C1024+1,B1024+1),"")</f>
        <v/>
      </c>
      <c r="I1024" s="2" t="str">
        <f aca="false">IF(D1024=1,INDEX(Sch_label,H1024+1),"")</f>
        <v/>
      </c>
      <c r="J1024" s="15" t="n">
        <f aca="false">IF(D1024=1,INDEX(Grid!$Z$6:$AF$156,C1024+1,B1024+1),0)</f>
        <v>0</v>
      </c>
      <c r="K1024" s="16" t="n">
        <f aca="false">IF(J1024=1,E1024,0)</f>
        <v>0</v>
      </c>
      <c r="L1024" s="17" t="str">
        <f aca="false">IF(D1024=1,E1024+W_board*F1024,"")</f>
        <v/>
      </c>
      <c r="Z1024" s="12" t="str">
        <f aca="false">IF(AND($J1024=1,$M1024=1),N1024*E1024/Span_P+O1024*F1024/Span_S+P1024*G1024/Span_B,"")</f>
        <v/>
      </c>
      <c r="AA1024" s="12" t="str">
        <f aca="false">IF(AND($J1024=1,$M1024=1),SUMPRODUCT(MAX($J$6:$J$1062*(N1024*$K$6:$K$1062/Span_P+O1024*$F$6:$F$1062/Span_S+P1024*$G$6:$G$1062/Span_B)-(1-$J$6:$J$1062)*1000000000)),"")</f>
        <v/>
      </c>
      <c r="AB1024" s="15" t="str">
        <f aca="false">IF(AND($J1024=1,$M1024=1),IF(AA1024-Z1024&lt;=0.000000001,1,0),"")</f>
        <v/>
      </c>
      <c r="AC1024" s="13" t="str">
        <f aca="false">IF(AND($J1024=1,$M1024=0),IF(S1024="",0,S1024*INDEX(Grid!$B$6:$H$156,R1024+1,Q1024+1))+IF(V1024="",0,V1024*INDEX(Grid!$B$6:$H$156,U1024+1,T1024+1))+IF(Y1024="",0,Y1024*INDEX(Grid!$B$6:$H$156,X1024+1,W1024+1)),"")</f>
        <v/>
      </c>
      <c r="AD1024" s="13" t="str">
        <f aca="false">IF(AND($J1024=1,$M1024=0),IF(S1024="",0,S1024*Val_pt*(Ceiling_e-E_zero)*(1-(1-Half_gap)^Q1024))+IF(V1024="",0,V1024*Val_pt*(Ceiling_e-E_zero)*(1-(1-Half_gap)^T1024))+IF(Y1024="",0,Y1024*Val_pt*(Ceiling_e-E_zero)*(1-(1-Half_gap)^W1024)),"")</f>
        <v/>
      </c>
      <c r="AE1024" s="13" t="str">
        <f aca="false">IF(AND($J1024=1,$M1024=0),IF(S1024="",0,S1024*R1024)+IF(V1024="",0,V1024*U1024)+IF(Y1024="",0,Y1024*X1024),"")</f>
        <v/>
      </c>
      <c r="AF1024" s="12" t="str">
        <f aca="false">IF(AND($J1024=1,$M1024=0),MIN((AC1024-E1024)/Span_P,(AD1024-F1024)/Span_S,(AE1024-G1024)/Span_B),"")</f>
        <v/>
      </c>
      <c r="AG1024" s="15" t="str">
        <f aca="false">IF(AND($J1024=1,$M1024=0),IF(AF1024&gt;0.0000001,1,0),"")</f>
        <v/>
      </c>
      <c r="AH1024" s="15" t="str">
        <f aca="false">IF($J1024=1,IF($M1024=1,AB1024,AG1024),"")</f>
        <v/>
      </c>
      <c r="AI1024" s="13" t="str">
        <f aca="false">IF($J1024=1,(Ideal_P-E1024)/Span_P,"")</f>
        <v/>
      </c>
      <c r="AJ1024" s="13" t="str">
        <f aca="false">IF($J1024=1,(Ideal_S-F1024)/Span_S,"")</f>
        <v/>
      </c>
      <c r="AK1024" s="13" t="str">
        <f aca="false">IF($J1024=1,(Ideal_B-G1024)/Span_B,"")</f>
        <v/>
      </c>
      <c r="AL1024" s="12" t="str">
        <f aca="false">IF($J1024=1,MAX(ChA_1*AI1024,ChA_2*AJ1024,ChA_3*AK1024)+Rho*(ChA_1*AI1024+ChA_2*AJ1024+ChA_3*AK1024),"")</f>
        <v/>
      </c>
      <c r="AM1024" s="12" t="str">
        <f aca="false">IF($J1024=1,MAX(ChB_1*AI1024,ChB_2*AJ1024,ChB_3*AK1024)+Rho*(ChB_1*AI1024+ChB_2*AJ1024+ChB_3*AK1024),"")</f>
        <v/>
      </c>
      <c r="AN1024" s="12" t="str">
        <f aca="false">IF($J1024=1,MAX(Cx_1*(Ref_P-E1024)/Span_P,Cx_2*(Ref_S-F1024)/Span_S,Cx_3*(Ref_B-G1024)/Span_B),"")</f>
        <v/>
      </c>
    </row>
    <row r="1025" customFormat="false" ht="15" hidden="false" customHeight="false" outlineLevel="0" collapsed="false">
      <c r="A1025" s="2" t="n">
        <v>1019</v>
      </c>
      <c r="B1025" s="15" t="n">
        <f aca="false">INT(A1025/151)</f>
        <v>6</v>
      </c>
      <c r="C1025" s="15" t="n">
        <f aca="false">MOD(A1025,151)</f>
        <v>113</v>
      </c>
      <c r="D1025" s="15" t="n">
        <f aca="false">INDEX(Grid!$J$6:$P$156,C1025+1,B1025+1)</f>
        <v>0</v>
      </c>
      <c r="E1025" s="16" t="str">
        <f aca="false">IF(D1025=1,INDEX(Grid!$B$6:$H$156,C1025+1,B1025+1),"")</f>
        <v/>
      </c>
      <c r="F1025" s="13" t="n">
        <f aca="false">Val_pt*(Ceiling_e-E_zero)*(1-(1-Half_gap)^B1025)</f>
        <v>137.8125</v>
      </c>
      <c r="G1025" s="15" t="n">
        <f aca="false">C1025</f>
        <v>113</v>
      </c>
      <c r="H1025" s="15" t="str">
        <f aca="false">IF(D1025=1,INDEX(Grid!$R$6:$X$156,C1025+1,B1025+1),"")</f>
        <v/>
      </c>
      <c r="I1025" s="2" t="str">
        <f aca="false">IF(D1025=1,INDEX(Sch_label,H1025+1),"")</f>
        <v/>
      </c>
      <c r="J1025" s="15" t="n">
        <f aca="false">IF(D1025=1,INDEX(Grid!$Z$6:$AF$156,C1025+1,B1025+1),0)</f>
        <v>0</v>
      </c>
      <c r="K1025" s="16" t="n">
        <f aca="false">IF(J1025=1,E1025,0)</f>
        <v>0</v>
      </c>
      <c r="L1025" s="17" t="str">
        <f aca="false">IF(D1025=1,E1025+W_board*F1025,"")</f>
        <v/>
      </c>
      <c r="Z1025" s="12" t="str">
        <f aca="false">IF(AND($J1025=1,$M1025=1),N1025*E1025/Span_P+O1025*F1025/Span_S+P1025*G1025/Span_B,"")</f>
        <v/>
      </c>
      <c r="AA1025" s="12" t="str">
        <f aca="false">IF(AND($J1025=1,$M1025=1),SUMPRODUCT(MAX($J$6:$J$1062*(N1025*$K$6:$K$1062/Span_P+O1025*$F$6:$F$1062/Span_S+P1025*$G$6:$G$1062/Span_B)-(1-$J$6:$J$1062)*1000000000)),"")</f>
        <v/>
      </c>
      <c r="AB1025" s="15" t="str">
        <f aca="false">IF(AND($J1025=1,$M1025=1),IF(AA1025-Z1025&lt;=0.000000001,1,0),"")</f>
        <v/>
      </c>
      <c r="AC1025" s="13" t="str">
        <f aca="false">IF(AND($J1025=1,$M1025=0),IF(S1025="",0,S1025*INDEX(Grid!$B$6:$H$156,R1025+1,Q1025+1))+IF(V1025="",0,V1025*INDEX(Grid!$B$6:$H$156,U1025+1,T1025+1))+IF(Y1025="",0,Y1025*INDEX(Grid!$B$6:$H$156,X1025+1,W1025+1)),"")</f>
        <v/>
      </c>
      <c r="AD1025" s="13" t="str">
        <f aca="false">IF(AND($J1025=1,$M1025=0),IF(S1025="",0,S1025*Val_pt*(Ceiling_e-E_zero)*(1-(1-Half_gap)^Q1025))+IF(V1025="",0,V1025*Val_pt*(Ceiling_e-E_zero)*(1-(1-Half_gap)^T1025))+IF(Y1025="",0,Y1025*Val_pt*(Ceiling_e-E_zero)*(1-(1-Half_gap)^W1025)),"")</f>
        <v/>
      </c>
      <c r="AE1025" s="13" t="str">
        <f aca="false">IF(AND($J1025=1,$M1025=0),IF(S1025="",0,S1025*R1025)+IF(V1025="",0,V1025*U1025)+IF(Y1025="",0,Y1025*X1025),"")</f>
        <v/>
      </c>
      <c r="AF1025" s="12" t="str">
        <f aca="false">IF(AND($J1025=1,$M1025=0),MIN((AC1025-E1025)/Span_P,(AD1025-F1025)/Span_S,(AE1025-G1025)/Span_B),"")</f>
        <v/>
      </c>
      <c r="AG1025" s="15" t="str">
        <f aca="false">IF(AND($J1025=1,$M1025=0),IF(AF1025&gt;0.0000001,1,0),"")</f>
        <v/>
      </c>
      <c r="AH1025" s="15" t="str">
        <f aca="false">IF($J1025=1,IF($M1025=1,AB1025,AG1025),"")</f>
        <v/>
      </c>
      <c r="AI1025" s="13" t="str">
        <f aca="false">IF($J1025=1,(Ideal_P-E1025)/Span_P,"")</f>
        <v/>
      </c>
      <c r="AJ1025" s="13" t="str">
        <f aca="false">IF($J1025=1,(Ideal_S-F1025)/Span_S,"")</f>
        <v/>
      </c>
      <c r="AK1025" s="13" t="str">
        <f aca="false">IF($J1025=1,(Ideal_B-G1025)/Span_B,"")</f>
        <v/>
      </c>
      <c r="AL1025" s="12" t="str">
        <f aca="false">IF($J1025=1,MAX(ChA_1*AI1025,ChA_2*AJ1025,ChA_3*AK1025)+Rho*(ChA_1*AI1025+ChA_2*AJ1025+ChA_3*AK1025),"")</f>
        <v/>
      </c>
      <c r="AM1025" s="12" t="str">
        <f aca="false">IF($J1025=1,MAX(ChB_1*AI1025,ChB_2*AJ1025,ChB_3*AK1025)+Rho*(ChB_1*AI1025+ChB_2*AJ1025+ChB_3*AK1025),"")</f>
        <v/>
      </c>
      <c r="AN1025" s="12" t="str">
        <f aca="false">IF($J1025=1,MAX(Cx_1*(Ref_P-E1025)/Span_P,Cx_2*(Ref_S-F1025)/Span_S,Cx_3*(Ref_B-G1025)/Span_B),"")</f>
        <v/>
      </c>
    </row>
    <row r="1026" customFormat="false" ht="15" hidden="false" customHeight="false" outlineLevel="0" collapsed="false">
      <c r="A1026" s="2" t="n">
        <v>1020</v>
      </c>
      <c r="B1026" s="15" t="n">
        <f aca="false">INT(A1026/151)</f>
        <v>6</v>
      </c>
      <c r="C1026" s="15" t="n">
        <f aca="false">MOD(A1026,151)</f>
        <v>114</v>
      </c>
      <c r="D1026" s="15" t="n">
        <f aca="false">INDEX(Grid!$J$6:$P$156,C1026+1,B1026+1)</f>
        <v>0</v>
      </c>
      <c r="E1026" s="16" t="str">
        <f aca="false">IF(D1026=1,INDEX(Grid!$B$6:$H$156,C1026+1,B1026+1),"")</f>
        <v/>
      </c>
      <c r="F1026" s="13" t="n">
        <f aca="false">Val_pt*(Ceiling_e-E_zero)*(1-(1-Half_gap)^B1026)</f>
        <v>137.8125</v>
      </c>
      <c r="G1026" s="15" t="n">
        <f aca="false">C1026</f>
        <v>114</v>
      </c>
      <c r="H1026" s="15" t="str">
        <f aca="false">IF(D1026=1,INDEX(Grid!$R$6:$X$156,C1026+1,B1026+1),"")</f>
        <v/>
      </c>
      <c r="I1026" s="2" t="str">
        <f aca="false">IF(D1026=1,INDEX(Sch_label,H1026+1),"")</f>
        <v/>
      </c>
      <c r="J1026" s="15" t="n">
        <f aca="false">IF(D1026=1,INDEX(Grid!$Z$6:$AF$156,C1026+1,B1026+1),0)</f>
        <v>0</v>
      </c>
      <c r="K1026" s="16" t="n">
        <f aca="false">IF(J1026=1,E1026,0)</f>
        <v>0</v>
      </c>
      <c r="L1026" s="17" t="str">
        <f aca="false">IF(D1026=1,E1026+W_board*F1026,"")</f>
        <v/>
      </c>
      <c r="Z1026" s="12" t="str">
        <f aca="false">IF(AND($J1026=1,$M1026=1),N1026*E1026/Span_P+O1026*F1026/Span_S+P1026*G1026/Span_B,"")</f>
        <v/>
      </c>
      <c r="AA1026" s="12" t="str">
        <f aca="false">IF(AND($J1026=1,$M1026=1),SUMPRODUCT(MAX($J$6:$J$1062*(N1026*$K$6:$K$1062/Span_P+O1026*$F$6:$F$1062/Span_S+P1026*$G$6:$G$1062/Span_B)-(1-$J$6:$J$1062)*1000000000)),"")</f>
        <v/>
      </c>
      <c r="AB1026" s="15" t="str">
        <f aca="false">IF(AND($J1026=1,$M1026=1),IF(AA1026-Z1026&lt;=0.000000001,1,0),"")</f>
        <v/>
      </c>
      <c r="AC1026" s="13" t="str">
        <f aca="false">IF(AND($J1026=1,$M1026=0),IF(S1026="",0,S1026*INDEX(Grid!$B$6:$H$156,R1026+1,Q1026+1))+IF(V1026="",0,V1026*INDEX(Grid!$B$6:$H$156,U1026+1,T1026+1))+IF(Y1026="",0,Y1026*INDEX(Grid!$B$6:$H$156,X1026+1,W1026+1)),"")</f>
        <v/>
      </c>
      <c r="AD1026" s="13" t="str">
        <f aca="false">IF(AND($J1026=1,$M1026=0),IF(S1026="",0,S1026*Val_pt*(Ceiling_e-E_zero)*(1-(1-Half_gap)^Q1026))+IF(V1026="",0,V1026*Val_pt*(Ceiling_e-E_zero)*(1-(1-Half_gap)^T1026))+IF(Y1026="",0,Y1026*Val_pt*(Ceiling_e-E_zero)*(1-(1-Half_gap)^W1026)),"")</f>
        <v/>
      </c>
      <c r="AE1026" s="13" t="str">
        <f aca="false">IF(AND($J1026=1,$M1026=0),IF(S1026="",0,S1026*R1026)+IF(V1026="",0,V1026*U1026)+IF(Y1026="",0,Y1026*X1026),"")</f>
        <v/>
      </c>
      <c r="AF1026" s="12" t="str">
        <f aca="false">IF(AND($J1026=1,$M1026=0),MIN((AC1026-E1026)/Span_P,(AD1026-F1026)/Span_S,(AE1026-G1026)/Span_B),"")</f>
        <v/>
      </c>
      <c r="AG1026" s="15" t="str">
        <f aca="false">IF(AND($J1026=1,$M1026=0),IF(AF1026&gt;0.0000001,1,0),"")</f>
        <v/>
      </c>
      <c r="AH1026" s="15" t="str">
        <f aca="false">IF($J1026=1,IF($M1026=1,AB1026,AG1026),"")</f>
        <v/>
      </c>
      <c r="AI1026" s="13" t="str">
        <f aca="false">IF($J1026=1,(Ideal_P-E1026)/Span_P,"")</f>
        <v/>
      </c>
      <c r="AJ1026" s="13" t="str">
        <f aca="false">IF($J1026=1,(Ideal_S-F1026)/Span_S,"")</f>
        <v/>
      </c>
      <c r="AK1026" s="13" t="str">
        <f aca="false">IF($J1026=1,(Ideal_B-G1026)/Span_B,"")</f>
        <v/>
      </c>
      <c r="AL1026" s="12" t="str">
        <f aca="false">IF($J1026=1,MAX(ChA_1*AI1026,ChA_2*AJ1026,ChA_3*AK1026)+Rho*(ChA_1*AI1026+ChA_2*AJ1026+ChA_3*AK1026),"")</f>
        <v/>
      </c>
      <c r="AM1026" s="12" t="str">
        <f aca="false">IF($J1026=1,MAX(ChB_1*AI1026,ChB_2*AJ1026,ChB_3*AK1026)+Rho*(ChB_1*AI1026+ChB_2*AJ1026+ChB_3*AK1026),"")</f>
        <v/>
      </c>
      <c r="AN1026" s="12" t="str">
        <f aca="false">IF($J1026=1,MAX(Cx_1*(Ref_P-E1026)/Span_P,Cx_2*(Ref_S-F1026)/Span_S,Cx_3*(Ref_B-G1026)/Span_B),"")</f>
        <v/>
      </c>
    </row>
    <row r="1027" customFormat="false" ht="15" hidden="false" customHeight="false" outlineLevel="0" collapsed="false">
      <c r="A1027" s="2" t="n">
        <v>1021</v>
      </c>
      <c r="B1027" s="15" t="n">
        <f aca="false">INT(A1027/151)</f>
        <v>6</v>
      </c>
      <c r="C1027" s="15" t="n">
        <f aca="false">MOD(A1027,151)</f>
        <v>115</v>
      </c>
      <c r="D1027" s="15" t="n">
        <f aca="false">INDEX(Grid!$J$6:$P$156,C1027+1,B1027+1)</f>
        <v>0</v>
      </c>
      <c r="E1027" s="16" t="str">
        <f aca="false">IF(D1027=1,INDEX(Grid!$B$6:$H$156,C1027+1,B1027+1),"")</f>
        <v/>
      </c>
      <c r="F1027" s="13" t="n">
        <f aca="false">Val_pt*(Ceiling_e-E_zero)*(1-(1-Half_gap)^B1027)</f>
        <v>137.8125</v>
      </c>
      <c r="G1027" s="15" t="n">
        <f aca="false">C1027</f>
        <v>115</v>
      </c>
      <c r="H1027" s="15" t="str">
        <f aca="false">IF(D1027=1,INDEX(Grid!$R$6:$X$156,C1027+1,B1027+1),"")</f>
        <v/>
      </c>
      <c r="I1027" s="2" t="str">
        <f aca="false">IF(D1027=1,INDEX(Sch_label,H1027+1),"")</f>
        <v/>
      </c>
      <c r="J1027" s="15" t="n">
        <f aca="false">IF(D1027=1,INDEX(Grid!$Z$6:$AF$156,C1027+1,B1027+1),0)</f>
        <v>0</v>
      </c>
      <c r="K1027" s="16" t="n">
        <f aca="false">IF(J1027=1,E1027,0)</f>
        <v>0</v>
      </c>
      <c r="L1027" s="17" t="str">
        <f aca="false">IF(D1027=1,E1027+W_board*F1027,"")</f>
        <v/>
      </c>
      <c r="Z1027" s="12" t="str">
        <f aca="false">IF(AND($J1027=1,$M1027=1),N1027*E1027/Span_P+O1027*F1027/Span_S+P1027*G1027/Span_B,"")</f>
        <v/>
      </c>
      <c r="AA1027" s="12" t="str">
        <f aca="false">IF(AND($J1027=1,$M1027=1),SUMPRODUCT(MAX($J$6:$J$1062*(N1027*$K$6:$K$1062/Span_P+O1027*$F$6:$F$1062/Span_S+P1027*$G$6:$G$1062/Span_B)-(1-$J$6:$J$1062)*1000000000)),"")</f>
        <v/>
      </c>
      <c r="AB1027" s="15" t="str">
        <f aca="false">IF(AND($J1027=1,$M1027=1),IF(AA1027-Z1027&lt;=0.000000001,1,0),"")</f>
        <v/>
      </c>
      <c r="AC1027" s="13" t="str">
        <f aca="false">IF(AND($J1027=1,$M1027=0),IF(S1027="",0,S1027*INDEX(Grid!$B$6:$H$156,R1027+1,Q1027+1))+IF(V1027="",0,V1027*INDEX(Grid!$B$6:$H$156,U1027+1,T1027+1))+IF(Y1027="",0,Y1027*INDEX(Grid!$B$6:$H$156,X1027+1,W1027+1)),"")</f>
        <v/>
      </c>
      <c r="AD1027" s="13" t="str">
        <f aca="false">IF(AND($J1027=1,$M1027=0),IF(S1027="",0,S1027*Val_pt*(Ceiling_e-E_zero)*(1-(1-Half_gap)^Q1027))+IF(V1027="",0,V1027*Val_pt*(Ceiling_e-E_zero)*(1-(1-Half_gap)^T1027))+IF(Y1027="",0,Y1027*Val_pt*(Ceiling_e-E_zero)*(1-(1-Half_gap)^W1027)),"")</f>
        <v/>
      </c>
      <c r="AE1027" s="13" t="str">
        <f aca="false">IF(AND($J1027=1,$M1027=0),IF(S1027="",0,S1027*R1027)+IF(V1027="",0,V1027*U1027)+IF(Y1027="",0,Y1027*X1027),"")</f>
        <v/>
      </c>
      <c r="AF1027" s="12" t="str">
        <f aca="false">IF(AND($J1027=1,$M1027=0),MIN((AC1027-E1027)/Span_P,(AD1027-F1027)/Span_S,(AE1027-G1027)/Span_B),"")</f>
        <v/>
      </c>
      <c r="AG1027" s="15" t="str">
        <f aca="false">IF(AND($J1027=1,$M1027=0),IF(AF1027&gt;0.0000001,1,0),"")</f>
        <v/>
      </c>
      <c r="AH1027" s="15" t="str">
        <f aca="false">IF($J1027=1,IF($M1027=1,AB1027,AG1027),"")</f>
        <v/>
      </c>
      <c r="AI1027" s="13" t="str">
        <f aca="false">IF($J1027=1,(Ideal_P-E1027)/Span_P,"")</f>
        <v/>
      </c>
      <c r="AJ1027" s="13" t="str">
        <f aca="false">IF($J1027=1,(Ideal_S-F1027)/Span_S,"")</f>
        <v/>
      </c>
      <c r="AK1027" s="13" t="str">
        <f aca="false">IF($J1027=1,(Ideal_B-G1027)/Span_B,"")</f>
        <v/>
      </c>
      <c r="AL1027" s="12" t="str">
        <f aca="false">IF($J1027=1,MAX(ChA_1*AI1027,ChA_2*AJ1027,ChA_3*AK1027)+Rho*(ChA_1*AI1027+ChA_2*AJ1027+ChA_3*AK1027),"")</f>
        <v/>
      </c>
      <c r="AM1027" s="12" t="str">
        <f aca="false">IF($J1027=1,MAX(ChB_1*AI1027,ChB_2*AJ1027,ChB_3*AK1027)+Rho*(ChB_1*AI1027+ChB_2*AJ1027+ChB_3*AK1027),"")</f>
        <v/>
      </c>
      <c r="AN1027" s="12" t="str">
        <f aca="false">IF($J1027=1,MAX(Cx_1*(Ref_P-E1027)/Span_P,Cx_2*(Ref_S-F1027)/Span_S,Cx_3*(Ref_B-G1027)/Span_B),"")</f>
        <v/>
      </c>
    </row>
    <row r="1028" customFormat="false" ht="15" hidden="false" customHeight="false" outlineLevel="0" collapsed="false">
      <c r="A1028" s="2" t="n">
        <v>1022</v>
      </c>
      <c r="B1028" s="15" t="n">
        <f aca="false">INT(A1028/151)</f>
        <v>6</v>
      </c>
      <c r="C1028" s="15" t="n">
        <f aca="false">MOD(A1028,151)</f>
        <v>116</v>
      </c>
      <c r="D1028" s="15" t="n">
        <f aca="false">INDEX(Grid!$J$6:$P$156,C1028+1,B1028+1)</f>
        <v>0</v>
      </c>
      <c r="E1028" s="16" t="str">
        <f aca="false">IF(D1028=1,INDEX(Grid!$B$6:$H$156,C1028+1,B1028+1),"")</f>
        <v/>
      </c>
      <c r="F1028" s="13" t="n">
        <f aca="false">Val_pt*(Ceiling_e-E_zero)*(1-(1-Half_gap)^B1028)</f>
        <v>137.8125</v>
      </c>
      <c r="G1028" s="15" t="n">
        <f aca="false">C1028</f>
        <v>116</v>
      </c>
      <c r="H1028" s="15" t="str">
        <f aca="false">IF(D1028=1,INDEX(Grid!$R$6:$X$156,C1028+1,B1028+1),"")</f>
        <v/>
      </c>
      <c r="I1028" s="2" t="str">
        <f aca="false">IF(D1028=1,INDEX(Sch_label,H1028+1),"")</f>
        <v/>
      </c>
      <c r="J1028" s="15" t="n">
        <f aca="false">IF(D1028=1,INDEX(Grid!$Z$6:$AF$156,C1028+1,B1028+1),0)</f>
        <v>0</v>
      </c>
      <c r="K1028" s="16" t="n">
        <f aca="false">IF(J1028=1,E1028,0)</f>
        <v>0</v>
      </c>
      <c r="L1028" s="17" t="str">
        <f aca="false">IF(D1028=1,E1028+W_board*F1028,"")</f>
        <v/>
      </c>
      <c r="Z1028" s="12" t="str">
        <f aca="false">IF(AND($J1028=1,$M1028=1),N1028*E1028/Span_P+O1028*F1028/Span_S+P1028*G1028/Span_B,"")</f>
        <v/>
      </c>
      <c r="AA1028" s="12" t="str">
        <f aca="false">IF(AND($J1028=1,$M1028=1),SUMPRODUCT(MAX($J$6:$J$1062*(N1028*$K$6:$K$1062/Span_P+O1028*$F$6:$F$1062/Span_S+P1028*$G$6:$G$1062/Span_B)-(1-$J$6:$J$1062)*1000000000)),"")</f>
        <v/>
      </c>
      <c r="AB1028" s="15" t="str">
        <f aca="false">IF(AND($J1028=1,$M1028=1),IF(AA1028-Z1028&lt;=0.000000001,1,0),"")</f>
        <v/>
      </c>
      <c r="AC1028" s="13" t="str">
        <f aca="false">IF(AND($J1028=1,$M1028=0),IF(S1028="",0,S1028*INDEX(Grid!$B$6:$H$156,R1028+1,Q1028+1))+IF(V1028="",0,V1028*INDEX(Grid!$B$6:$H$156,U1028+1,T1028+1))+IF(Y1028="",0,Y1028*INDEX(Grid!$B$6:$H$156,X1028+1,W1028+1)),"")</f>
        <v/>
      </c>
      <c r="AD1028" s="13" t="str">
        <f aca="false">IF(AND($J1028=1,$M1028=0),IF(S1028="",0,S1028*Val_pt*(Ceiling_e-E_zero)*(1-(1-Half_gap)^Q1028))+IF(V1028="",0,V1028*Val_pt*(Ceiling_e-E_zero)*(1-(1-Half_gap)^T1028))+IF(Y1028="",0,Y1028*Val_pt*(Ceiling_e-E_zero)*(1-(1-Half_gap)^W1028)),"")</f>
        <v/>
      </c>
      <c r="AE1028" s="13" t="str">
        <f aca="false">IF(AND($J1028=1,$M1028=0),IF(S1028="",0,S1028*R1028)+IF(V1028="",0,V1028*U1028)+IF(Y1028="",0,Y1028*X1028),"")</f>
        <v/>
      </c>
      <c r="AF1028" s="12" t="str">
        <f aca="false">IF(AND($J1028=1,$M1028=0),MIN((AC1028-E1028)/Span_P,(AD1028-F1028)/Span_S,(AE1028-G1028)/Span_B),"")</f>
        <v/>
      </c>
      <c r="AG1028" s="15" t="str">
        <f aca="false">IF(AND($J1028=1,$M1028=0),IF(AF1028&gt;0.0000001,1,0),"")</f>
        <v/>
      </c>
      <c r="AH1028" s="15" t="str">
        <f aca="false">IF($J1028=1,IF($M1028=1,AB1028,AG1028),"")</f>
        <v/>
      </c>
      <c r="AI1028" s="13" t="str">
        <f aca="false">IF($J1028=1,(Ideal_P-E1028)/Span_P,"")</f>
        <v/>
      </c>
      <c r="AJ1028" s="13" t="str">
        <f aca="false">IF($J1028=1,(Ideal_S-F1028)/Span_S,"")</f>
        <v/>
      </c>
      <c r="AK1028" s="13" t="str">
        <f aca="false">IF($J1028=1,(Ideal_B-G1028)/Span_B,"")</f>
        <v/>
      </c>
      <c r="AL1028" s="12" t="str">
        <f aca="false">IF($J1028=1,MAX(ChA_1*AI1028,ChA_2*AJ1028,ChA_3*AK1028)+Rho*(ChA_1*AI1028+ChA_2*AJ1028+ChA_3*AK1028),"")</f>
        <v/>
      </c>
      <c r="AM1028" s="12" t="str">
        <f aca="false">IF($J1028=1,MAX(ChB_1*AI1028,ChB_2*AJ1028,ChB_3*AK1028)+Rho*(ChB_1*AI1028+ChB_2*AJ1028+ChB_3*AK1028),"")</f>
        <v/>
      </c>
      <c r="AN1028" s="12" t="str">
        <f aca="false">IF($J1028=1,MAX(Cx_1*(Ref_P-E1028)/Span_P,Cx_2*(Ref_S-F1028)/Span_S,Cx_3*(Ref_B-G1028)/Span_B),"")</f>
        <v/>
      </c>
    </row>
    <row r="1029" customFormat="false" ht="15" hidden="false" customHeight="false" outlineLevel="0" collapsed="false">
      <c r="A1029" s="2" t="n">
        <v>1023</v>
      </c>
      <c r="B1029" s="15" t="n">
        <f aca="false">INT(A1029/151)</f>
        <v>6</v>
      </c>
      <c r="C1029" s="15" t="n">
        <f aca="false">MOD(A1029,151)</f>
        <v>117</v>
      </c>
      <c r="D1029" s="15" t="n">
        <f aca="false">INDEX(Grid!$J$6:$P$156,C1029+1,B1029+1)</f>
        <v>0</v>
      </c>
      <c r="E1029" s="16" t="str">
        <f aca="false">IF(D1029=1,INDEX(Grid!$B$6:$H$156,C1029+1,B1029+1),"")</f>
        <v/>
      </c>
      <c r="F1029" s="13" t="n">
        <f aca="false">Val_pt*(Ceiling_e-E_zero)*(1-(1-Half_gap)^B1029)</f>
        <v>137.8125</v>
      </c>
      <c r="G1029" s="15" t="n">
        <f aca="false">C1029</f>
        <v>117</v>
      </c>
      <c r="H1029" s="15" t="str">
        <f aca="false">IF(D1029=1,INDEX(Grid!$R$6:$X$156,C1029+1,B1029+1),"")</f>
        <v/>
      </c>
      <c r="I1029" s="2" t="str">
        <f aca="false">IF(D1029=1,INDEX(Sch_label,H1029+1),"")</f>
        <v/>
      </c>
      <c r="J1029" s="15" t="n">
        <f aca="false">IF(D1029=1,INDEX(Grid!$Z$6:$AF$156,C1029+1,B1029+1),0)</f>
        <v>0</v>
      </c>
      <c r="K1029" s="16" t="n">
        <f aca="false">IF(J1029=1,E1029,0)</f>
        <v>0</v>
      </c>
      <c r="L1029" s="17" t="str">
        <f aca="false">IF(D1029=1,E1029+W_board*F1029,"")</f>
        <v/>
      </c>
      <c r="Z1029" s="12" t="str">
        <f aca="false">IF(AND($J1029=1,$M1029=1),N1029*E1029/Span_P+O1029*F1029/Span_S+P1029*G1029/Span_B,"")</f>
        <v/>
      </c>
      <c r="AA1029" s="12" t="str">
        <f aca="false">IF(AND($J1029=1,$M1029=1),SUMPRODUCT(MAX($J$6:$J$1062*(N1029*$K$6:$K$1062/Span_P+O1029*$F$6:$F$1062/Span_S+P1029*$G$6:$G$1062/Span_B)-(1-$J$6:$J$1062)*1000000000)),"")</f>
        <v/>
      </c>
      <c r="AB1029" s="15" t="str">
        <f aca="false">IF(AND($J1029=1,$M1029=1),IF(AA1029-Z1029&lt;=0.000000001,1,0),"")</f>
        <v/>
      </c>
      <c r="AC1029" s="13" t="str">
        <f aca="false">IF(AND($J1029=1,$M1029=0),IF(S1029="",0,S1029*INDEX(Grid!$B$6:$H$156,R1029+1,Q1029+1))+IF(V1029="",0,V1029*INDEX(Grid!$B$6:$H$156,U1029+1,T1029+1))+IF(Y1029="",0,Y1029*INDEX(Grid!$B$6:$H$156,X1029+1,W1029+1)),"")</f>
        <v/>
      </c>
      <c r="AD1029" s="13" t="str">
        <f aca="false">IF(AND($J1029=1,$M1029=0),IF(S1029="",0,S1029*Val_pt*(Ceiling_e-E_zero)*(1-(1-Half_gap)^Q1029))+IF(V1029="",0,V1029*Val_pt*(Ceiling_e-E_zero)*(1-(1-Half_gap)^T1029))+IF(Y1029="",0,Y1029*Val_pt*(Ceiling_e-E_zero)*(1-(1-Half_gap)^W1029)),"")</f>
        <v/>
      </c>
      <c r="AE1029" s="13" t="str">
        <f aca="false">IF(AND($J1029=1,$M1029=0),IF(S1029="",0,S1029*R1029)+IF(V1029="",0,V1029*U1029)+IF(Y1029="",0,Y1029*X1029),"")</f>
        <v/>
      </c>
      <c r="AF1029" s="12" t="str">
        <f aca="false">IF(AND($J1029=1,$M1029=0),MIN((AC1029-E1029)/Span_P,(AD1029-F1029)/Span_S,(AE1029-G1029)/Span_B),"")</f>
        <v/>
      </c>
      <c r="AG1029" s="15" t="str">
        <f aca="false">IF(AND($J1029=1,$M1029=0),IF(AF1029&gt;0.0000001,1,0),"")</f>
        <v/>
      </c>
      <c r="AH1029" s="15" t="str">
        <f aca="false">IF($J1029=1,IF($M1029=1,AB1029,AG1029),"")</f>
        <v/>
      </c>
      <c r="AI1029" s="13" t="str">
        <f aca="false">IF($J1029=1,(Ideal_P-E1029)/Span_P,"")</f>
        <v/>
      </c>
      <c r="AJ1029" s="13" t="str">
        <f aca="false">IF($J1029=1,(Ideal_S-F1029)/Span_S,"")</f>
        <v/>
      </c>
      <c r="AK1029" s="13" t="str">
        <f aca="false">IF($J1029=1,(Ideal_B-G1029)/Span_B,"")</f>
        <v/>
      </c>
      <c r="AL1029" s="12" t="str">
        <f aca="false">IF($J1029=1,MAX(ChA_1*AI1029,ChA_2*AJ1029,ChA_3*AK1029)+Rho*(ChA_1*AI1029+ChA_2*AJ1029+ChA_3*AK1029),"")</f>
        <v/>
      </c>
      <c r="AM1029" s="12" t="str">
        <f aca="false">IF($J1029=1,MAX(ChB_1*AI1029,ChB_2*AJ1029,ChB_3*AK1029)+Rho*(ChB_1*AI1029+ChB_2*AJ1029+ChB_3*AK1029),"")</f>
        <v/>
      </c>
      <c r="AN1029" s="12" t="str">
        <f aca="false">IF($J1029=1,MAX(Cx_1*(Ref_P-E1029)/Span_P,Cx_2*(Ref_S-F1029)/Span_S,Cx_3*(Ref_B-G1029)/Span_B),"")</f>
        <v/>
      </c>
    </row>
    <row r="1030" customFormat="false" ht="15" hidden="false" customHeight="false" outlineLevel="0" collapsed="false">
      <c r="A1030" s="2" t="n">
        <v>1024</v>
      </c>
      <c r="B1030" s="15" t="n">
        <f aca="false">INT(A1030/151)</f>
        <v>6</v>
      </c>
      <c r="C1030" s="15" t="n">
        <f aca="false">MOD(A1030,151)</f>
        <v>118</v>
      </c>
      <c r="D1030" s="15" t="n">
        <f aca="false">INDEX(Grid!$J$6:$P$156,C1030+1,B1030+1)</f>
        <v>0</v>
      </c>
      <c r="E1030" s="16" t="str">
        <f aca="false">IF(D1030=1,INDEX(Grid!$B$6:$H$156,C1030+1,B1030+1),"")</f>
        <v/>
      </c>
      <c r="F1030" s="13" t="n">
        <f aca="false">Val_pt*(Ceiling_e-E_zero)*(1-(1-Half_gap)^B1030)</f>
        <v>137.8125</v>
      </c>
      <c r="G1030" s="15" t="n">
        <f aca="false">C1030</f>
        <v>118</v>
      </c>
      <c r="H1030" s="15" t="str">
        <f aca="false">IF(D1030=1,INDEX(Grid!$R$6:$X$156,C1030+1,B1030+1),"")</f>
        <v/>
      </c>
      <c r="I1030" s="2" t="str">
        <f aca="false">IF(D1030=1,INDEX(Sch_label,H1030+1),"")</f>
        <v/>
      </c>
      <c r="J1030" s="15" t="n">
        <f aca="false">IF(D1030=1,INDEX(Grid!$Z$6:$AF$156,C1030+1,B1030+1),0)</f>
        <v>0</v>
      </c>
      <c r="K1030" s="16" t="n">
        <f aca="false">IF(J1030=1,E1030,0)</f>
        <v>0</v>
      </c>
      <c r="L1030" s="17" t="str">
        <f aca="false">IF(D1030=1,E1030+W_board*F1030,"")</f>
        <v/>
      </c>
      <c r="Z1030" s="12" t="str">
        <f aca="false">IF(AND($J1030=1,$M1030=1),N1030*E1030/Span_P+O1030*F1030/Span_S+P1030*G1030/Span_B,"")</f>
        <v/>
      </c>
      <c r="AA1030" s="12" t="str">
        <f aca="false">IF(AND($J1030=1,$M1030=1),SUMPRODUCT(MAX($J$6:$J$1062*(N1030*$K$6:$K$1062/Span_P+O1030*$F$6:$F$1062/Span_S+P1030*$G$6:$G$1062/Span_B)-(1-$J$6:$J$1062)*1000000000)),"")</f>
        <v/>
      </c>
      <c r="AB1030" s="15" t="str">
        <f aca="false">IF(AND($J1030=1,$M1030=1),IF(AA1030-Z1030&lt;=0.000000001,1,0),"")</f>
        <v/>
      </c>
      <c r="AC1030" s="13" t="str">
        <f aca="false">IF(AND($J1030=1,$M1030=0),IF(S1030="",0,S1030*INDEX(Grid!$B$6:$H$156,R1030+1,Q1030+1))+IF(V1030="",0,V1030*INDEX(Grid!$B$6:$H$156,U1030+1,T1030+1))+IF(Y1030="",0,Y1030*INDEX(Grid!$B$6:$H$156,X1030+1,W1030+1)),"")</f>
        <v/>
      </c>
      <c r="AD1030" s="13" t="str">
        <f aca="false">IF(AND($J1030=1,$M1030=0),IF(S1030="",0,S1030*Val_pt*(Ceiling_e-E_zero)*(1-(1-Half_gap)^Q1030))+IF(V1030="",0,V1030*Val_pt*(Ceiling_e-E_zero)*(1-(1-Half_gap)^T1030))+IF(Y1030="",0,Y1030*Val_pt*(Ceiling_e-E_zero)*(1-(1-Half_gap)^W1030)),"")</f>
        <v/>
      </c>
      <c r="AE1030" s="13" t="str">
        <f aca="false">IF(AND($J1030=1,$M1030=0),IF(S1030="",0,S1030*R1030)+IF(V1030="",0,V1030*U1030)+IF(Y1030="",0,Y1030*X1030),"")</f>
        <v/>
      </c>
      <c r="AF1030" s="12" t="str">
        <f aca="false">IF(AND($J1030=1,$M1030=0),MIN((AC1030-E1030)/Span_P,(AD1030-F1030)/Span_S,(AE1030-G1030)/Span_B),"")</f>
        <v/>
      </c>
      <c r="AG1030" s="15" t="str">
        <f aca="false">IF(AND($J1030=1,$M1030=0),IF(AF1030&gt;0.0000001,1,0),"")</f>
        <v/>
      </c>
      <c r="AH1030" s="15" t="str">
        <f aca="false">IF($J1030=1,IF($M1030=1,AB1030,AG1030),"")</f>
        <v/>
      </c>
      <c r="AI1030" s="13" t="str">
        <f aca="false">IF($J1030=1,(Ideal_P-E1030)/Span_P,"")</f>
        <v/>
      </c>
      <c r="AJ1030" s="13" t="str">
        <f aca="false">IF($J1030=1,(Ideal_S-F1030)/Span_S,"")</f>
        <v/>
      </c>
      <c r="AK1030" s="13" t="str">
        <f aca="false">IF($J1030=1,(Ideal_B-G1030)/Span_B,"")</f>
        <v/>
      </c>
      <c r="AL1030" s="12" t="str">
        <f aca="false">IF($J1030=1,MAX(ChA_1*AI1030,ChA_2*AJ1030,ChA_3*AK1030)+Rho*(ChA_1*AI1030+ChA_2*AJ1030+ChA_3*AK1030),"")</f>
        <v/>
      </c>
      <c r="AM1030" s="12" t="str">
        <f aca="false">IF($J1030=1,MAX(ChB_1*AI1030,ChB_2*AJ1030,ChB_3*AK1030)+Rho*(ChB_1*AI1030+ChB_2*AJ1030+ChB_3*AK1030),"")</f>
        <v/>
      </c>
      <c r="AN1030" s="12" t="str">
        <f aca="false">IF($J1030=1,MAX(Cx_1*(Ref_P-E1030)/Span_P,Cx_2*(Ref_S-F1030)/Span_S,Cx_3*(Ref_B-G1030)/Span_B),"")</f>
        <v/>
      </c>
    </row>
    <row r="1031" customFormat="false" ht="15" hidden="false" customHeight="false" outlineLevel="0" collapsed="false">
      <c r="A1031" s="2" t="n">
        <v>1025</v>
      </c>
      <c r="B1031" s="15" t="n">
        <f aca="false">INT(A1031/151)</f>
        <v>6</v>
      </c>
      <c r="C1031" s="15" t="n">
        <f aca="false">MOD(A1031,151)</f>
        <v>119</v>
      </c>
      <c r="D1031" s="15" t="n">
        <f aca="false">INDEX(Grid!$J$6:$P$156,C1031+1,B1031+1)</f>
        <v>0</v>
      </c>
      <c r="E1031" s="16" t="str">
        <f aca="false">IF(D1031=1,INDEX(Grid!$B$6:$H$156,C1031+1,B1031+1),"")</f>
        <v/>
      </c>
      <c r="F1031" s="13" t="n">
        <f aca="false">Val_pt*(Ceiling_e-E_zero)*(1-(1-Half_gap)^B1031)</f>
        <v>137.8125</v>
      </c>
      <c r="G1031" s="15" t="n">
        <f aca="false">C1031</f>
        <v>119</v>
      </c>
      <c r="H1031" s="15" t="str">
        <f aca="false">IF(D1031=1,INDEX(Grid!$R$6:$X$156,C1031+1,B1031+1),"")</f>
        <v/>
      </c>
      <c r="I1031" s="2" t="str">
        <f aca="false">IF(D1031=1,INDEX(Sch_label,H1031+1),"")</f>
        <v/>
      </c>
      <c r="J1031" s="15" t="n">
        <f aca="false">IF(D1031=1,INDEX(Grid!$Z$6:$AF$156,C1031+1,B1031+1),0)</f>
        <v>0</v>
      </c>
      <c r="K1031" s="16" t="n">
        <f aca="false">IF(J1031=1,E1031,0)</f>
        <v>0</v>
      </c>
      <c r="L1031" s="17" t="str">
        <f aca="false">IF(D1031=1,E1031+W_board*F1031,"")</f>
        <v/>
      </c>
      <c r="Z1031" s="12" t="str">
        <f aca="false">IF(AND($J1031=1,$M1031=1),N1031*E1031/Span_P+O1031*F1031/Span_S+P1031*G1031/Span_B,"")</f>
        <v/>
      </c>
      <c r="AA1031" s="12" t="str">
        <f aca="false">IF(AND($J1031=1,$M1031=1),SUMPRODUCT(MAX($J$6:$J$1062*(N1031*$K$6:$K$1062/Span_P+O1031*$F$6:$F$1062/Span_S+P1031*$G$6:$G$1062/Span_B)-(1-$J$6:$J$1062)*1000000000)),"")</f>
        <v/>
      </c>
      <c r="AB1031" s="15" t="str">
        <f aca="false">IF(AND($J1031=1,$M1031=1),IF(AA1031-Z1031&lt;=0.000000001,1,0),"")</f>
        <v/>
      </c>
      <c r="AC1031" s="13" t="str">
        <f aca="false">IF(AND($J1031=1,$M1031=0),IF(S1031="",0,S1031*INDEX(Grid!$B$6:$H$156,R1031+1,Q1031+1))+IF(V1031="",0,V1031*INDEX(Grid!$B$6:$H$156,U1031+1,T1031+1))+IF(Y1031="",0,Y1031*INDEX(Grid!$B$6:$H$156,X1031+1,W1031+1)),"")</f>
        <v/>
      </c>
      <c r="AD1031" s="13" t="str">
        <f aca="false">IF(AND($J1031=1,$M1031=0),IF(S1031="",0,S1031*Val_pt*(Ceiling_e-E_zero)*(1-(1-Half_gap)^Q1031))+IF(V1031="",0,V1031*Val_pt*(Ceiling_e-E_zero)*(1-(1-Half_gap)^T1031))+IF(Y1031="",0,Y1031*Val_pt*(Ceiling_e-E_zero)*(1-(1-Half_gap)^W1031)),"")</f>
        <v/>
      </c>
      <c r="AE1031" s="13" t="str">
        <f aca="false">IF(AND($J1031=1,$M1031=0),IF(S1031="",0,S1031*R1031)+IF(V1031="",0,V1031*U1031)+IF(Y1031="",0,Y1031*X1031),"")</f>
        <v/>
      </c>
      <c r="AF1031" s="12" t="str">
        <f aca="false">IF(AND($J1031=1,$M1031=0),MIN((AC1031-E1031)/Span_P,(AD1031-F1031)/Span_S,(AE1031-G1031)/Span_B),"")</f>
        <v/>
      </c>
      <c r="AG1031" s="15" t="str">
        <f aca="false">IF(AND($J1031=1,$M1031=0),IF(AF1031&gt;0.0000001,1,0),"")</f>
        <v/>
      </c>
      <c r="AH1031" s="15" t="str">
        <f aca="false">IF($J1031=1,IF($M1031=1,AB1031,AG1031),"")</f>
        <v/>
      </c>
      <c r="AI1031" s="13" t="str">
        <f aca="false">IF($J1031=1,(Ideal_P-E1031)/Span_P,"")</f>
        <v/>
      </c>
      <c r="AJ1031" s="13" t="str">
        <f aca="false">IF($J1031=1,(Ideal_S-F1031)/Span_S,"")</f>
        <v/>
      </c>
      <c r="AK1031" s="13" t="str">
        <f aca="false">IF($J1031=1,(Ideal_B-G1031)/Span_B,"")</f>
        <v/>
      </c>
      <c r="AL1031" s="12" t="str">
        <f aca="false">IF($J1031=1,MAX(ChA_1*AI1031,ChA_2*AJ1031,ChA_3*AK1031)+Rho*(ChA_1*AI1031+ChA_2*AJ1031+ChA_3*AK1031),"")</f>
        <v/>
      </c>
      <c r="AM1031" s="12" t="str">
        <f aca="false">IF($J1031=1,MAX(ChB_1*AI1031,ChB_2*AJ1031,ChB_3*AK1031)+Rho*(ChB_1*AI1031+ChB_2*AJ1031+ChB_3*AK1031),"")</f>
        <v/>
      </c>
      <c r="AN1031" s="12" t="str">
        <f aca="false">IF($J1031=1,MAX(Cx_1*(Ref_P-E1031)/Span_P,Cx_2*(Ref_S-F1031)/Span_S,Cx_3*(Ref_B-G1031)/Span_B),"")</f>
        <v/>
      </c>
    </row>
    <row r="1032" customFormat="false" ht="15" hidden="false" customHeight="false" outlineLevel="0" collapsed="false">
      <c r="A1032" s="2" t="n">
        <v>1026</v>
      </c>
      <c r="B1032" s="15" t="n">
        <f aca="false">INT(A1032/151)</f>
        <v>6</v>
      </c>
      <c r="C1032" s="15" t="n">
        <f aca="false">MOD(A1032,151)</f>
        <v>120</v>
      </c>
      <c r="D1032" s="15" t="n">
        <f aca="false">INDEX(Grid!$J$6:$P$156,C1032+1,B1032+1)</f>
        <v>0</v>
      </c>
      <c r="E1032" s="16" t="str">
        <f aca="false">IF(D1032=1,INDEX(Grid!$B$6:$H$156,C1032+1,B1032+1),"")</f>
        <v/>
      </c>
      <c r="F1032" s="13" t="n">
        <f aca="false">Val_pt*(Ceiling_e-E_zero)*(1-(1-Half_gap)^B1032)</f>
        <v>137.8125</v>
      </c>
      <c r="G1032" s="15" t="n">
        <f aca="false">C1032</f>
        <v>120</v>
      </c>
      <c r="H1032" s="15" t="str">
        <f aca="false">IF(D1032=1,INDEX(Grid!$R$6:$X$156,C1032+1,B1032+1),"")</f>
        <v/>
      </c>
      <c r="I1032" s="2" t="str">
        <f aca="false">IF(D1032=1,INDEX(Sch_label,H1032+1),"")</f>
        <v/>
      </c>
      <c r="J1032" s="15" t="n">
        <f aca="false">IF(D1032=1,INDEX(Grid!$Z$6:$AF$156,C1032+1,B1032+1),0)</f>
        <v>0</v>
      </c>
      <c r="K1032" s="16" t="n">
        <f aca="false">IF(J1032=1,E1032,0)</f>
        <v>0</v>
      </c>
      <c r="L1032" s="17" t="str">
        <f aca="false">IF(D1032=1,E1032+W_board*F1032,"")</f>
        <v/>
      </c>
      <c r="Z1032" s="12" t="str">
        <f aca="false">IF(AND($J1032=1,$M1032=1),N1032*E1032/Span_P+O1032*F1032/Span_S+P1032*G1032/Span_B,"")</f>
        <v/>
      </c>
      <c r="AA1032" s="12" t="str">
        <f aca="false">IF(AND($J1032=1,$M1032=1),SUMPRODUCT(MAX($J$6:$J$1062*(N1032*$K$6:$K$1062/Span_P+O1032*$F$6:$F$1062/Span_S+P1032*$G$6:$G$1062/Span_B)-(1-$J$6:$J$1062)*1000000000)),"")</f>
        <v/>
      </c>
      <c r="AB1032" s="15" t="str">
        <f aca="false">IF(AND($J1032=1,$M1032=1),IF(AA1032-Z1032&lt;=0.000000001,1,0),"")</f>
        <v/>
      </c>
      <c r="AC1032" s="13" t="str">
        <f aca="false">IF(AND($J1032=1,$M1032=0),IF(S1032="",0,S1032*INDEX(Grid!$B$6:$H$156,R1032+1,Q1032+1))+IF(V1032="",0,V1032*INDEX(Grid!$B$6:$H$156,U1032+1,T1032+1))+IF(Y1032="",0,Y1032*INDEX(Grid!$B$6:$H$156,X1032+1,W1032+1)),"")</f>
        <v/>
      </c>
      <c r="AD1032" s="13" t="str">
        <f aca="false">IF(AND($J1032=1,$M1032=0),IF(S1032="",0,S1032*Val_pt*(Ceiling_e-E_zero)*(1-(1-Half_gap)^Q1032))+IF(V1032="",0,V1032*Val_pt*(Ceiling_e-E_zero)*(1-(1-Half_gap)^T1032))+IF(Y1032="",0,Y1032*Val_pt*(Ceiling_e-E_zero)*(1-(1-Half_gap)^W1032)),"")</f>
        <v/>
      </c>
      <c r="AE1032" s="13" t="str">
        <f aca="false">IF(AND($J1032=1,$M1032=0),IF(S1032="",0,S1032*R1032)+IF(V1032="",0,V1032*U1032)+IF(Y1032="",0,Y1032*X1032),"")</f>
        <v/>
      </c>
      <c r="AF1032" s="12" t="str">
        <f aca="false">IF(AND($J1032=1,$M1032=0),MIN((AC1032-E1032)/Span_P,(AD1032-F1032)/Span_S,(AE1032-G1032)/Span_B),"")</f>
        <v/>
      </c>
      <c r="AG1032" s="15" t="str">
        <f aca="false">IF(AND($J1032=1,$M1032=0),IF(AF1032&gt;0.0000001,1,0),"")</f>
        <v/>
      </c>
      <c r="AH1032" s="15" t="str">
        <f aca="false">IF($J1032=1,IF($M1032=1,AB1032,AG1032),"")</f>
        <v/>
      </c>
      <c r="AI1032" s="13" t="str">
        <f aca="false">IF($J1032=1,(Ideal_P-E1032)/Span_P,"")</f>
        <v/>
      </c>
      <c r="AJ1032" s="13" t="str">
        <f aca="false">IF($J1032=1,(Ideal_S-F1032)/Span_S,"")</f>
        <v/>
      </c>
      <c r="AK1032" s="13" t="str">
        <f aca="false">IF($J1032=1,(Ideal_B-G1032)/Span_B,"")</f>
        <v/>
      </c>
      <c r="AL1032" s="12" t="str">
        <f aca="false">IF($J1032=1,MAX(ChA_1*AI1032,ChA_2*AJ1032,ChA_3*AK1032)+Rho*(ChA_1*AI1032+ChA_2*AJ1032+ChA_3*AK1032),"")</f>
        <v/>
      </c>
      <c r="AM1032" s="12" t="str">
        <f aca="false">IF($J1032=1,MAX(ChB_1*AI1032,ChB_2*AJ1032,ChB_3*AK1032)+Rho*(ChB_1*AI1032+ChB_2*AJ1032+ChB_3*AK1032),"")</f>
        <v/>
      </c>
      <c r="AN1032" s="12" t="str">
        <f aca="false">IF($J1032=1,MAX(Cx_1*(Ref_P-E1032)/Span_P,Cx_2*(Ref_S-F1032)/Span_S,Cx_3*(Ref_B-G1032)/Span_B),"")</f>
        <v/>
      </c>
    </row>
    <row r="1033" customFormat="false" ht="15" hidden="false" customHeight="false" outlineLevel="0" collapsed="false">
      <c r="A1033" s="2" t="n">
        <v>1027</v>
      </c>
      <c r="B1033" s="15" t="n">
        <f aca="false">INT(A1033/151)</f>
        <v>6</v>
      </c>
      <c r="C1033" s="15" t="n">
        <f aca="false">MOD(A1033,151)</f>
        <v>121</v>
      </c>
      <c r="D1033" s="15" t="n">
        <f aca="false">INDEX(Grid!$J$6:$P$156,C1033+1,B1033+1)</f>
        <v>0</v>
      </c>
      <c r="E1033" s="16" t="str">
        <f aca="false">IF(D1033=1,INDEX(Grid!$B$6:$H$156,C1033+1,B1033+1),"")</f>
        <v/>
      </c>
      <c r="F1033" s="13" t="n">
        <f aca="false">Val_pt*(Ceiling_e-E_zero)*(1-(1-Half_gap)^B1033)</f>
        <v>137.8125</v>
      </c>
      <c r="G1033" s="15" t="n">
        <f aca="false">C1033</f>
        <v>121</v>
      </c>
      <c r="H1033" s="15" t="str">
        <f aca="false">IF(D1033=1,INDEX(Grid!$R$6:$X$156,C1033+1,B1033+1),"")</f>
        <v/>
      </c>
      <c r="I1033" s="2" t="str">
        <f aca="false">IF(D1033=1,INDEX(Sch_label,H1033+1),"")</f>
        <v/>
      </c>
      <c r="J1033" s="15" t="n">
        <f aca="false">IF(D1033=1,INDEX(Grid!$Z$6:$AF$156,C1033+1,B1033+1),0)</f>
        <v>0</v>
      </c>
      <c r="K1033" s="16" t="n">
        <f aca="false">IF(J1033=1,E1033,0)</f>
        <v>0</v>
      </c>
      <c r="L1033" s="17" t="str">
        <f aca="false">IF(D1033=1,E1033+W_board*F1033,"")</f>
        <v/>
      </c>
      <c r="Z1033" s="12" t="str">
        <f aca="false">IF(AND($J1033=1,$M1033=1),N1033*E1033/Span_P+O1033*F1033/Span_S+P1033*G1033/Span_B,"")</f>
        <v/>
      </c>
      <c r="AA1033" s="12" t="str">
        <f aca="false">IF(AND($J1033=1,$M1033=1),SUMPRODUCT(MAX($J$6:$J$1062*(N1033*$K$6:$K$1062/Span_P+O1033*$F$6:$F$1062/Span_S+P1033*$G$6:$G$1062/Span_B)-(1-$J$6:$J$1062)*1000000000)),"")</f>
        <v/>
      </c>
      <c r="AB1033" s="15" t="str">
        <f aca="false">IF(AND($J1033=1,$M1033=1),IF(AA1033-Z1033&lt;=0.000000001,1,0),"")</f>
        <v/>
      </c>
      <c r="AC1033" s="13" t="str">
        <f aca="false">IF(AND($J1033=1,$M1033=0),IF(S1033="",0,S1033*INDEX(Grid!$B$6:$H$156,R1033+1,Q1033+1))+IF(V1033="",0,V1033*INDEX(Grid!$B$6:$H$156,U1033+1,T1033+1))+IF(Y1033="",0,Y1033*INDEX(Grid!$B$6:$H$156,X1033+1,W1033+1)),"")</f>
        <v/>
      </c>
      <c r="AD1033" s="13" t="str">
        <f aca="false">IF(AND($J1033=1,$M1033=0),IF(S1033="",0,S1033*Val_pt*(Ceiling_e-E_zero)*(1-(1-Half_gap)^Q1033))+IF(V1033="",0,V1033*Val_pt*(Ceiling_e-E_zero)*(1-(1-Half_gap)^T1033))+IF(Y1033="",0,Y1033*Val_pt*(Ceiling_e-E_zero)*(1-(1-Half_gap)^W1033)),"")</f>
        <v/>
      </c>
      <c r="AE1033" s="13" t="str">
        <f aca="false">IF(AND($J1033=1,$M1033=0),IF(S1033="",0,S1033*R1033)+IF(V1033="",0,V1033*U1033)+IF(Y1033="",0,Y1033*X1033),"")</f>
        <v/>
      </c>
      <c r="AF1033" s="12" t="str">
        <f aca="false">IF(AND($J1033=1,$M1033=0),MIN((AC1033-E1033)/Span_P,(AD1033-F1033)/Span_S,(AE1033-G1033)/Span_B),"")</f>
        <v/>
      </c>
      <c r="AG1033" s="15" t="str">
        <f aca="false">IF(AND($J1033=1,$M1033=0),IF(AF1033&gt;0.0000001,1,0),"")</f>
        <v/>
      </c>
      <c r="AH1033" s="15" t="str">
        <f aca="false">IF($J1033=1,IF($M1033=1,AB1033,AG1033),"")</f>
        <v/>
      </c>
      <c r="AI1033" s="13" t="str">
        <f aca="false">IF($J1033=1,(Ideal_P-E1033)/Span_P,"")</f>
        <v/>
      </c>
      <c r="AJ1033" s="13" t="str">
        <f aca="false">IF($J1033=1,(Ideal_S-F1033)/Span_S,"")</f>
        <v/>
      </c>
      <c r="AK1033" s="13" t="str">
        <f aca="false">IF($J1033=1,(Ideal_B-G1033)/Span_B,"")</f>
        <v/>
      </c>
      <c r="AL1033" s="12" t="str">
        <f aca="false">IF($J1033=1,MAX(ChA_1*AI1033,ChA_2*AJ1033,ChA_3*AK1033)+Rho*(ChA_1*AI1033+ChA_2*AJ1033+ChA_3*AK1033),"")</f>
        <v/>
      </c>
      <c r="AM1033" s="12" t="str">
        <f aca="false">IF($J1033=1,MAX(ChB_1*AI1033,ChB_2*AJ1033,ChB_3*AK1033)+Rho*(ChB_1*AI1033+ChB_2*AJ1033+ChB_3*AK1033),"")</f>
        <v/>
      </c>
      <c r="AN1033" s="12" t="str">
        <f aca="false">IF($J1033=1,MAX(Cx_1*(Ref_P-E1033)/Span_P,Cx_2*(Ref_S-F1033)/Span_S,Cx_3*(Ref_B-G1033)/Span_B),"")</f>
        <v/>
      </c>
    </row>
    <row r="1034" customFormat="false" ht="15" hidden="false" customHeight="false" outlineLevel="0" collapsed="false">
      <c r="A1034" s="2" t="n">
        <v>1028</v>
      </c>
      <c r="B1034" s="15" t="n">
        <f aca="false">INT(A1034/151)</f>
        <v>6</v>
      </c>
      <c r="C1034" s="15" t="n">
        <f aca="false">MOD(A1034,151)</f>
        <v>122</v>
      </c>
      <c r="D1034" s="15" t="n">
        <f aca="false">INDEX(Grid!$J$6:$P$156,C1034+1,B1034+1)</f>
        <v>0</v>
      </c>
      <c r="E1034" s="16" t="str">
        <f aca="false">IF(D1034=1,INDEX(Grid!$B$6:$H$156,C1034+1,B1034+1),"")</f>
        <v/>
      </c>
      <c r="F1034" s="13" t="n">
        <f aca="false">Val_pt*(Ceiling_e-E_zero)*(1-(1-Half_gap)^B1034)</f>
        <v>137.8125</v>
      </c>
      <c r="G1034" s="15" t="n">
        <f aca="false">C1034</f>
        <v>122</v>
      </c>
      <c r="H1034" s="15" t="str">
        <f aca="false">IF(D1034=1,INDEX(Grid!$R$6:$X$156,C1034+1,B1034+1),"")</f>
        <v/>
      </c>
      <c r="I1034" s="2" t="str">
        <f aca="false">IF(D1034=1,INDEX(Sch_label,H1034+1),"")</f>
        <v/>
      </c>
      <c r="J1034" s="15" t="n">
        <f aca="false">IF(D1034=1,INDEX(Grid!$Z$6:$AF$156,C1034+1,B1034+1),0)</f>
        <v>0</v>
      </c>
      <c r="K1034" s="16" t="n">
        <f aca="false">IF(J1034=1,E1034,0)</f>
        <v>0</v>
      </c>
      <c r="L1034" s="17" t="str">
        <f aca="false">IF(D1034=1,E1034+W_board*F1034,"")</f>
        <v/>
      </c>
      <c r="Z1034" s="12" t="str">
        <f aca="false">IF(AND($J1034=1,$M1034=1),N1034*E1034/Span_P+O1034*F1034/Span_S+P1034*G1034/Span_B,"")</f>
        <v/>
      </c>
      <c r="AA1034" s="12" t="str">
        <f aca="false">IF(AND($J1034=1,$M1034=1),SUMPRODUCT(MAX($J$6:$J$1062*(N1034*$K$6:$K$1062/Span_P+O1034*$F$6:$F$1062/Span_S+P1034*$G$6:$G$1062/Span_B)-(1-$J$6:$J$1062)*1000000000)),"")</f>
        <v/>
      </c>
      <c r="AB1034" s="15" t="str">
        <f aca="false">IF(AND($J1034=1,$M1034=1),IF(AA1034-Z1034&lt;=0.000000001,1,0),"")</f>
        <v/>
      </c>
      <c r="AC1034" s="13" t="str">
        <f aca="false">IF(AND($J1034=1,$M1034=0),IF(S1034="",0,S1034*INDEX(Grid!$B$6:$H$156,R1034+1,Q1034+1))+IF(V1034="",0,V1034*INDEX(Grid!$B$6:$H$156,U1034+1,T1034+1))+IF(Y1034="",0,Y1034*INDEX(Grid!$B$6:$H$156,X1034+1,W1034+1)),"")</f>
        <v/>
      </c>
      <c r="AD1034" s="13" t="str">
        <f aca="false">IF(AND($J1034=1,$M1034=0),IF(S1034="",0,S1034*Val_pt*(Ceiling_e-E_zero)*(1-(1-Half_gap)^Q1034))+IF(V1034="",0,V1034*Val_pt*(Ceiling_e-E_zero)*(1-(1-Half_gap)^T1034))+IF(Y1034="",0,Y1034*Val_pt*(Ceiling_e-E_zero)*(1-(1-Half_gap)^W1034)),"")</f>
        <v/>
      </c>
      <c r="AE1034" s="13" t="str">
        <f aca="false">IF(AND($J1034=1,$M1034=0),IF(S1034="",0,S1034*R1034)+IF(V1034="",0,V1034*U1034)+IF(Y1034="",0,Y1034*X1034),"")</f>
        <v/>
      </c>
      <c r="AF1034" s="12" t="str">
        <f aca="false">IF(AND($J1034=1,$M1034=0),MIN((AC1034-E1034)/Span_P,(AD1034-F1034)/Span_S,(AE1034-G1034)/Span_B),"")</f>
        <v/>
      </c>
      <c r="AG1034" s="15" t="str">
        <f aca="false">IF(AND($J1034=1,$M1034=0),IF(AF1034&gt;0.0000001,1,0),"")</f>
        <v/>
      </c>
      <c r="AH1034" s="15" t="str">
        <f aca="false">IF($J1034=1,IF($M1034=1,AB1034,AG1034),"")</f>
        <v/>
      </c>
      <c r="AI1034" s="13" t="str">
        <f aca="false">IF($J1034=1,(Ideal_P-E1034)/Span_P,"")</f>
        <v/>
      </c>
      <c r="AJ1034" s="13" t="str">
        <f aca="false">IF($J1034=1,(Ideal_S-F1034)/Span_S,"")</f>
        <v/>
      </c>
      <c r="AK1034" s="13" t="str">
        <f aca="false">IF($J1034=1,(Ideal_B-G1034)/Span_B,"")</f>
        <v/>
      </c>
      <c r="AL1034" s="12" t="str">
        <f aca="false">IF($J1034=1,MAX(ChA_1*AI1034,ChA_2*AJ1034,ChA_3*AK1034)+Rho*(ChA_1*AI1034+ChA_2*AJ1034+ChA_3*AK1034),"")</f>
        <v/>
      </c>
      <c r="AM1034" s="12" t="str">
        <f aca="false">IF($J1034=1,MAX(ChB_1*AI1034,ChB_2*AJ1034,ChB_3*AK1034)+Rho*(ChB_1*AI1034+ChB_2*AJ1034+ChB_3*AK1034),"")</f>
        <v/>
      </c>
      <c r="AN1034" s="12" t="str">
        <f aca="false">IF($J1034=1,MAX(Cx_1*(Ref_P-E1034)/Span_P,Cx_2*(Ref_S-F1034)/Span_S,Cx_3*(Ref_B-G1034)/Span_B),"")</f>
        <v/>
      </c>
    </row>
    <row r="1035" customFormat="false" ht="15" hidden="false" customHeight="false" outlineLevel="0" collapsed="false">
      <c r="A1035" s="2" t="n">
        <v>1029</v>
      </c>
      <c r="B1035" s="15" t="n">
        <f aca="false">INT(A1035/151)</f>
        <v>6</v>
      </c>
      <c r="C1035" s="15" t="n">
        <f aca="false">MOD(A1035,151)</f>
        <v>123</v>
      </c>
      <c r="D1035" s="15" t="n">
        <f aca="false">INDEX(Grid!$J$6:$P$156,C1035+1,B1035+1)</f>
        <v>0</v>
      </c>
      <c r="E1035" s="16" t="str">
        <f aca="false">IF(D1035=1,INDEX(Grid!$B$6:$H$156,C1035+1,B1035+1),"")</f>
        <v/>
      </c>
      <c r="F1035" s="13" t="n">
        <f aca="false">Val_pt*(Ceiling_e-E_zero)*(1-(1-Half_gap)^B1035)</f>
        <v>137.8125</v>
      </c>
      <c r="G1035" s="15" t="n">
        <f aca="false">C1035</f>
        <v>123</v>
      </c>
      <c r="H1035" s="15" t="str">
        <f aca="false">IF(D1035=1,INDEX(Grid!$R$6:$X$156,C1035+1,B1035+1),"")</f>
        <v/>
      </c>
      <c r="I1035" s="2" t="str">
        <f aca="false">IF(D1035=1,INDEX(Sch_label,H1035+1),"")</f>
        <v/>
      </c>
      <c r="J1035" s="15" t="n">
        <f aca="false">IF(D1035=1,INDEX(Grid!$Z$6:$AF$156,C1035+1,B1035+1),0)</f>
        <v>0</v>
      </c>
      <c r="K1035" s="16" t="n">
        <f aca="false">IF(J1035=1,E1035,0)</f>
        <v>0</v>
      </c>
      <c r="L1035" s="17" t="str">
        <f aca="false">IF(D1035=1,E1035+W_board*F1035,"")</f>
        <v/>
      </c>
      <c r="Z1035" s="12" t="str">
        <f aca="false">IF(AND($J1035=1,$M1035=1),N1035*E1035/Span_P+O1035*F1035/Span_S+P1035*G1035/Span_B,"")</f>
        <v/>
      </c>
      <c r="AA1035" s="12" t="str">
        <f aca="false">IF(AND($J1035=1,$M1035=1),SUMPRODUCT(MAX($J$6:$J$1062*(N1035*$K$6:$K$1062/Span_P+O1035*$F$6:$F$1062/Span_S+P1035*$G$6:$G$1062/Span_B)-(1-$J$6:$J$1062)*1000000000)),"")</f>
        <v/>
      </c>
      <c r="AB1035" s="15" t="str">
        <f aca="false">IF(AND($J1035=1,$M1035=1),IF(AA1035-Z1035&lt;=0.000000001,1,0),"")</f>
        <v/>
      </c>
      <c r="AC1035" s="13" t="str">
        <f aca="false">IF(AND($J1035=1,$M1035=0),IF(S1035="",0,S1035*INDEX(Grid!$B$6:$H$156,R1035+1,Q1035+1))+IF(V1035="",0,V1035*INDEX(Grid!$B$6:$H$156,U1035+1,T1035+1))+IF(Y1035="",0,Y1035*INDEX(Grid!$B$6:$H$156,X1035+1,W1035+1)),"")</f>
        <v/>
      </c>
      <c r="AD1035" s="13" t="str">
        <f aca="false">IF(AND($J1035=1,$M1035=0),IF(S1035="",0,S1035*Val_pt*(Ceiling_e-E_zero)*(1-(1-Half_gap)^Q1035))+IF(V1035="",0,V1035*Val_pt*(Ceiling_e-E_zero)*(1-(1-Half_gap)^T1035))+IF(Y1035="",0,Y1035*Val_pt*(Ceiling_e-E_zero)*(1-(1-Half_gap)^W1035)),"")</f>
        <v/>
      </c>
      <c r="AE1035" s="13" t="str">
        <f aca="false">IF(AND($J1035=1,$M1035=0),IF(S1035="",0,S1035*R1035)+IF(V1035="",0,V1035*U1035)+IF(Y1035="",0,Y1035*X1035),"")</f>
        <v/>
      </c>
      <c r="AF1035" s="12" t="str">
        <f aca="false">IF(AND($J1035=1,$M1035=0),MIN((AC1035-E1035)/Span_P,(AD1035-F1035)/Span_S,(AE1035-G1035)/Span_B),"")</f>
        <v/>
      </c>
      <c r="AG1035" s="15" t="str">
        <f aca="false">IF(AND($J1035=1,$M1035=0),IF(AF1035&gt;0.0000001,1,0),"")</f>
        <v/>
      </c>
      <c r="AH1035" s="15" t="str">
        <f aca="false">IF($J1035=1,IF($M1035=1,AB1035,AG1035),"")</f>
        <v/>
      </c>
      <c r="AI1035" s="13" t="str">
        <f aca="false">IF($J1035=1,(Ideal_P-E1035)/Span_P,"")</f>
        <v/>
      </c>
      <c r="AJ1035" s="13" t="str">
        <f aca="false">IF($J1035=1,(Ideal_S-F1035)/Span_S,"")</f>
        <v/>
      </c>
      <c r="AK1035" s="13" t="str">
        <f aca="false">IF($J1035=1,(Ideal_B-G1035)/Span_B,"")</f>
        <v/>
      </c>
      <c r="AL1035" s="12" t="str">
        <f aca="false">IF($J1035=1,MAX(ChA_1*AI1035,ChA_2*AJ1035,ChA_3*AK1035)+Rho*(ChA_1*AI1035+ChA_2*AJ1035+ChA_3*AK1035),"")</f>
        <v/>
      </c>
      <c r="AM1035" s="12" t="str">
        <f aca="false">IF($J1035=1,MAX(ChB_1*AI1035,ChB_2*AJ1035,ChB_3*AK1035)+Rho*(ChB_1*AI1035+ChB_2*AJ1035+ChB_3*AK1035),"")</f>
        <v/>
      </c>
      <c r="AN1035" s="12" t="str">
        <f aca="false">IF($J1035=1,MAX(Cx_1*(Ref_P-E1035)/Span_P,Cx_2*(Ref_S-F1035)/Span_S,Cx_3*(Ref_B-G1035)/Span_B),"")</f>
        <v/>
      </c>
    </row>
    <row r="1036" customFormat="false" ht="15" hidden="false" customHeight="false" outlineLevel="0" collapsed="false">
      <c r="A1036" s="2" t="n">
        <v>1030</v>
      </c>
      <c r="B1036" s="15" t="n">
        <f aca="false">INT(A1036/151)</f>
        <v>6</v>
      </c>
      <c r="C1036" s="15" t="n">
        <f aca="false">MOD(A1036,151)</f>
        <v>124</v>
      </c>
      <c r="D1036" s="15" t="n">
        <f aca="false">INDEX(Grid!$J$6:$P$156,C1036+1,B1036+1)</f>
        <v>0</v>
      </c>
      <c r="E1036" s="16" t="str">
        <f aca="false">IF(D1036=1,INDEX(Grid!$B$6:$H$156,C1036+1,B1036+1),"")</f>
        <v/>
      </c>
      <c r="F1036" s="13" t="n">
        <f aca="false">Val_pt*(Ceiling_e-E_zero)*(1-(1-Half_gap)^B1036)</f>
        <v>137.8125</v>
      </c>
      <c r="G1036" s="15" t="n">
        <f aca="false">C1036</f>
        <v>124</v>
      </c>
      <c r="H1036" s="15" t="str">
        <f aca="false">IF(D1036=1,INDEX(Grid!$R$6:$X$156,C1036+1,B1036+1),"")</f>
        <v/>
      </c>
      <c r="I1036" s="2" t="str">
        <f aca="false">IF(D1036=1,INDEX(Sch_label,H1036+1),"")</f>
        <v/>
      </c>
      <c r="J1036" s="15" t="n">
        <f aca="false">IF(D1036=1,INDEX(Grid!$Z$6:$AF$156,C1036+1,B1036+1),0)</f>
        <v>0</v>
      </c>
      <c r="K1036" s="16" t="n">
        <f aca="false">IF(J1036=1,E1036,0)</f>
        <v>0</v>
      </c>
      <c r="L1036" s="17" t="str">
        <f aca="false">IF(D1036=1,E1036+W_board*F1036,"")</f>
        <v/>
      </c>
      <c r="Z1036" s="12" t="str">
        <f aca="false">IF(AND($J1036=1,$M1036=1),N1036*E1036/Span_P+O1036*F1036/Span_S+P1036*G1036/Span_B,"")</f>
        <v/>
      </c>
      <c r="AA1036" s="12" t="str">
        <f aca="false">IF(AND($J1036=1,$M1036=1),SUMPRODUCT(MAX($J$6:$J$1062*(N1036*$K$6:$K$1062/Span_P+O1036*$F$6:$F$1062/Span_S+P1036*$G$6:$G$1062/Span_B)-(1-$J$6:$J$1062)*1000000000)),"")</f>
        <v/>
      </c>
      <c r="AB1036" s="15" t="str">
        <f aca="false">IF(AND($J1036=1,$M1036=1),IF(AA1036-Z1036&lt;=0.000000001,1,0),"")</f>
        <v/>
      </c>
      <c r="AC1036" s="13" t="str">
        <f aca="false">IF(AND($J1036=1,$M1036=0),IF(S1036="",0,S1036*INDEX(Grid!$B$6:$H$156,R1036+1,Q1036+1))+IF(V1036="",0,V1036*INDEX(Grid!$B$6:$H$156,U1036+1,T1036+1))+IF(Y1036="",0,Y1036*INDEX(Grid!$B$6:$H$156,X1036+1,W1036+1)),"")</f>
        <v/>
      </c>
      <c r="AD1036" s="13" t="str">
        <f aca="false">IF(AND($J1036=1,$M1036=0),IF(S1036="",0,S1036*Val_pt*(Ceiling_e-E_zero)*(1-(1-Half_gap)^Q1036))+IF(V1036="",0,V1036*Val_pt*(Ceiling_e-E_zero)*(1-(1-Half_gap)^T1036))+IF(Y1036="",0,Y1036*Val_pt*(Ceiling_e-E_zero)*(1-(1-Half_gap)^W1036)),"")</f>
        <v/>
      </c>
      <c r="AE1036" s="13" t="str">
        <f aca="false">IF(AND($J1036=1,$M1036=0),IF(S1036="",0,S1036*R1036)+IF(V1036="",0,V1036*U1036)+IF(Y1036="",0,Y1036*X1036),"")</f>
        <v/>
      </c>
      <c r="AF1036" s="12" t="str">
        <f aca="false">IF(AND($J1036=1,$M1036=0),MIN((AC1036-E1036)/Span_P,(AD1036-F1036)/Span_S,(AE1036-G1036)/Span_B),"")</f>
        <v/>
      </c>
      <c r="AG1036" s="15" t="str">
        <f aca="false">IF(AND($J1036=1,$M1036=0),IF(AF1036&gt;0.0000001,1,0),"")</f>
        <v/>
      </c>
      <c r="AH1036" s="15" t="str">
        <f aca="false">IF($J1036=1,IF($M1036=1,AB1036,AG1036),"")</f>
        <v/>
      </c>
      <c r="AI1036" s="13" t="str">
        <f aca="false">IF($J1036=1,(Ideal_P-E1036)/Span_P,"")</f>
        <v/>
      </c>
      <c r="AJ1036" s="13" t="str">
        <f aca="false">IF($J1036=1,(Ideal_S-F1036)/Span_S,"")</f>
        <v/>
      </c>
      <c r="AK1036" s="13" t="str">
        <f aca="false">IF($J1036=1,(Ideal_B-G1036)/Span_B,"")</f>
        <v/>
      </c>
      <c r="AL1036" s="12" t="str">
        <f aca="false">IF($J1036=1,MAX(ChA_1*AI1036,ChA_2*AJ1036,ChA_3*AK1036)+Rho*(ChA_1*AI1036+ChA_2*AJ1036+ChA_3*AK1036),"")</f>
        <v/>
      </c>
      <c r="AM1036" s="12" t="str">
        <f aca="false">IF($J1036=1,MAX(ChB_1*AI1036,ChB_2*AJ1036,ChB_3*AK1036)+Rho*(ChB_1*AI1036+ChB_2*AJ1036+ChB_3*AK1036),"")</f>
        <v/>
      </c>
      <c r="AN1036" s="12" t="str">
        <f aca="false">IF($J1036=1,MAX(Cx_1*(Ref_P-E1036)/Span_P,Cx_2*(Ref_S-F1036)/Span_S,Cx_3*(Ref_B-G1036)/Span_B),"")</f>
        <v/>
      </c>
    </row>
    <row r="1037" customFormat="false" ht="15" hidden="false" customHeight="false" outlineLevel="0" collapsed="false">
      <c r="A1037" s="2" t="n">
        <v>1031</v>
      </c>
      <c r="B1037" s="15" t="n">
        <f aca="false">INT(A1037/151)</f>
        <v>6</v>
      </c>
      <c r="C1037" s="15" t="n">
        <f aca="false">MOD(A1037,151)</f>
        <v>125</v>
      </c>
      <c r="D1037" s="15" t="n">
        <f aca="false">INDEX(Grid!$J$6:$P$156,C1037+1,B1037+1)</f>
        <v>0</v>
      </c>
      <c r="E1037" s="16" t="str">
        <f aca="false">IF(D1037=1,INDEX(Grid!$B$6:$H$156,C1037+1,B1037+1),"")</f>
        <v/>
      </c>
      <c r="F1037" s="13" t="n">
        <f aca="false">Val_pt*(Ceiling_e-E_zero)*(1-(1-Half_gap)^B1037)</f>
        <v>137.8125</v>
      </c>
      <c r="G1037" s="15" t="n">
        <f aca="false">C1037</f>
        <v>125</v>
      </c>
      <c r="H1037" s="15" t="str">
        <f aca="false">IF(D1037=1,INDEX(Grid!$R$6:$X$156,C1037+1,B1037+1),"")</f>
        <v/>
      </c>
      <c r="I1037" s="2" t="str">
        <f aca="false">IF(D1037=1,INDEX(Sch_label,H1037+1),"")</f>
        <v/>
      </c>
      <c r="J1037" s="15" t="n">
        <f aca="false">IF(D1037=1,INDEX(Grid!$Z$6:$AF$156,C1037+1,B1037+1),0)</f>
        <v>0</v>
      </c>
      <c r="K1037" s="16" t="n">
        <f aca="false">IF(J1037=1,E1037,0)</f>
        <v>0</v>
      </c>
      <c r="L1037" s="17" t="str">
        <f aca="false">IF(D1037=1,E1037+W_board*F1037,"")</f>
        <v/>
      </c>
      <c r="Z1037" s="12" t="str">
        <f aca="false">IF(AND($J1037=1,$M1037=1),N1037*E1037/Span_P+O1037*F1037/Span_S+P1037*G1037/Span_B,"")</f>
        <v/>
      </c>
      <c r="AA1037" s="12" t="str">
        <f aca="false">IF(AND($J1037=1,$M1037=1),SUMPRODUCT(MAX($J$6:$J$1062*(N1037*$K$6:$K$1062/Span_P+O1037*$F$6:$F$1062/Span_S+P1037*$G$6:$G$1062/Span_B)-(1-$J$6:$J$1062)*1000000000)),"")</f>
        <v/>
      </c>
      <c r="AB1037" s="15" t="str">
        <f aca="false">IF(AND($J1037=1,$M1037=1),IF(AA1037-Z1037&lt;=0.000000001,1,0),"")</f>
        <v/>
      </c>
      <c r="AC1037" s="13" t="str">
        <f aca="false">IF(AND($J1037=1,$M1037=0),IF(S1037="",0,S1037*INDEX(Grid!$B$6:$H$156,R1037+1,Q1037+1))+IF(V1037="",0,V1037*INDEX(Grid!$B$6:$H$156,U1037+1,T1037+1))+IF(Y1037="",0,Y1037*INDEX(Grid!$B$6:$H$156,X1037+1,W1037+1)),"")</f>
        <v/>
      </c>
      <c r="AD1037" s="13" t="str">
        <f aca="false">IF(AND($J1037=1,$M1037=0),IF(S1037="",0,S1037*Val_pt*(Ceiling_e-E_zero)*(1-(1-Half_gap)^Q1037))+IF(V1037="",0,V1037*Val_pt*(Ceiling_e-E_zero)*(1-(1-Half_gap)^T1037))+IF(Y1037="",0,Y1037*Val_pt*(Ceiling_e-E_zero)*(1-(1-Half_gap)^W1037)),"")</f>
        <v/>
      </c>
      <c r="AE1037" s="13" t="str">
        <f aca="false">IF(AND($J1037=1,$M1037=0),IF(S1037="",0,S1037*R1037)+IF(V1037="",0,V1037*U1037)+IF(Y1037="",0,Y1037*X1037),"")</f>
        <v/>
      </c>
      <c r="AF1037" s="12" t="str">
        <f aca="false">IF(AND($J1037=1,$M1037=0),MIN((AC1037-E1037)/Span_P,(AD1037-F1037)/Span_S,(AE1037-G1037)/Span_B),"")</f>
        <v/>
      </c>
      <c r="AG1037" s="15" t="str">
        <f aca="false">IF(AND($J1037=1,$M1037=0),IF(AF1037&gt;0.0000001,1,0),"")</f>
        <v/>
      </c>
      <c r="AH1037" s="15" t="str">
        <f aca="false">IF($J1037=1,IF($M1037=1,AB1037,AG1037),"")</f>
        <v/>
      </c>
      <c r="AI1037" s="13" t="str">
        <f aca="false">IF($J1037=1,(Ideal_P-E1037)/Span_P,"")</f>
        <v/>
      </c>
      <c r="AJ1037" s="13" t="str">
        <f aca="false">IF($J1037=1,(Ideal_S-F1037)/Span_S,"")</f>
        <v/>
      </c>
      <c r="AK1037" s="13" t="str">
        <f aca="false">IF($J1037=1,(Ideal_B-G1037)/Span_B,"")</f>
        <v/>
      </c>
      <c r="AL1037" s="12" t="str">
        <f aca="false">IF($J1037=1,MAX(ChA_1*AI1037,ChA_2*AJ1037,ChA_3*AK1037)+Rho*(ChA_1*AI1037+ChA_2*AJ1037+ChA_3*AK1037),"")</f>
        <v/>
      </c>
      <c r="AM1037" s="12" t="str">
        <f aca="false">IF($J1037=1,MAX(ChB_1*AI1037,ChB_2*AJ1037,ChB_3*AK1037)+Rho*(ChB_1*AI1037+ChB_2*AJ1037+ChB_3*AK1037),"")</f>
        <v/>
      </c>
      <c r="AN1037" s="12" t="str">
        <f aca="false">IF($J1037=1,MAX(Cx_1*(Ref_P-E1037)/Span_P,Cx_2*(Ref_S-F1037)/Span_S,Cx_3*(Ref_B-G1037)/Span_B),"")</f>
        <v/>
      </c>
    </row>
    <row r="1038" customFormat="false" ht="15" hidden="false" customHeight="false" outlineLevel="0" collapsed="false">
      <c r="A1038" s="2" t="n">
        <v>1032</v>
      </c>
      <c r="B1038" s="15" t="n">
        <f aca="false">INT(A1038/151)</f>
        <v>6</v>
      </c>
      <c r="C1038" s="15" t="n">
        <f aca="false">MOD(A1038,151)</f>
        <v>126</v>
      </c>
      <c r="D1038" s="15" t="n">
        <f aca="false">INDEX(Grid!$J$6:$P$156,C1038+1,B1038+1)</f>
        <v>0</v>
      </c>
      <c r="E1038" s="16" t="str">
        <f aca="false">IF(D1038=1,INDEX(Grid!$B$6:$H$156,C1038+1,B1038+1),"")</f>
        <v/>
      </c>
      <c r="F1038" s="13" t="n">
        <f aca="false">Val_pt*(Ceiling_e-E_zero)*(1-(1-Half_gap)^B1038)</f>
        <v>137.8125</v>
      </c>
      <c r="G1038" s="15" t="n">
        <f aca="false">C1038</f>
        <v>126</v>
      </c>
      <c r="H1038" s="15" t="str">
        <f aca="false">IF(D1038=1,INDEX(Grid!$R$6:$X$156,C1038+1,B1038+1),"")</f>
        <v/>
      </c>
      <c r="I1038" s="2" t="str">
        <f aca="false">IF(D1038=1,INDEX(Sch_label,H1038+1),"")</f>
        <v/>
      </c>
      <c r="J1038" s="15" t="n">
        <f aca="false">IF(D1038=1,INDEX(Grid!$Z$6:$AF$156,C1038+1,B1038+1),0)</f>
        <v>0</v>
      </c>
      <c r="K1038" s="16" t="n">
        <f aca="false">IF(J1038=1,E1038,0)</f>
        <v>0</v>
      </c>
      <c r="L1038" s="17" t="str">
        <f aca="false">IF(D1038=1,E1038+W_board*F1038,"")</f>
        <v/>
      </c>
      <c r="Z1038" s="12" t="str">
        <f aca="false">IF(AND($J1038=1,$M1038=1),N1038*E1038/Span_P+O1038*F1038/Span_S+P1038*G1038/Span_B,"")</f>
        <v/>
      </c>
      <c r="AA1038" s="12" t="str">
        <f aca="false">IF(AND($J1038=1,$M1038=1),SUMPRODUCT(MAX($J$6:$J$1062*(N1038*$K$6:$K$1062/Span_P+O1038*$F$6:$F$1062/Span_S+P1038*$G$6:$G$1062/Span_B)-(1-$J$6:$J$1062)*1000000000)),"")</f>
        <v/>
      </c>
      <c r="AB1038" s="15" t="str">
        <f aca="false">IF(AND($J1038=1,$M1038=1),IF(AA1038-Z1038&lt;=0.000000001,1,0),"")</f>
        <v/>
      </c>
      <c r="AC1038" s="13" t="str">
        <f aca="false">IF(AND($J1038=1,$M1038=0),IF(S1038="",0,S1038*INDEX(Grid!$B$6:$H$156,R1038+1,Q1038+1))+IF(V1038="",0,V1038*INDEX(Grid!$B$6:$H$156,U1038+1,T1038+1))+IF(Y1038="",0,Y1038*INDEX(Grid!$B$6:$H$156,X1038+1,W1038+1)),"")</f>
        <v/>
      </c>
      <c r="AD1038" s="13" t="str">
        <f aca="false">IF(AND($J1038=1,$M1038=0),IF(S1038="",0,S1038*Val_pt*(Ceiling_e-E_zero)*(1-(1-Half_gap)^Q1038))+IF(V1038="",0,V1038*Val_pt*(Ceiling_e-E_zero)*(1-(1-Half_gap)^T1038))+IF(Y1038="",0,Y1038*Val_pt*(Ceiling_e-E_zero)*(1-(1-Half_gap)^W1038)),"")</f>
        <v/>
      </c>
      <c r="AE1038" s="13" t="str">
        <f aca="false">IF(AND($J1038=1,$M1038=0),IF(S1038="",0,S1038*R1038)+IF(V1038="",0,V1038*U1038)+IF(Y1038="",0,Y1038*X1038),"")</f>
        <v/>
      </c>
      <c r="AF1038" s="12" t="str">
        <f aca="false">IF(AND($J1038=1,$M1038=0),MIN((AC1038-E1038)/Span_P,(AD1038-F1038)/Span_S,(AE1038-G1038)/Span_B),"")</f>
        <v/>
      </c>
      <c r="AG1038" s="15" t="str">
        <f aca="false">IF(AND($J1038=1,$M1038=0),IF(AF1038&gt;0.0000001,1,0),"")</f>
        <v/>
      </c>
      <c r="AH1038" s="15" t="str">
        <f aca="false">IF($J1038=1,IF($M1038=1,AB1038,AG1038),"")</f>
        <v/>
      </c>
      <c r="AI1038" s="13" t="str">
        <f aca="false">IF($J1038=1,(Ideal_P-E1038)/Span_P,"")</f>
        <v/>
      </c>
      <c r="AJ1038" s="13" t="str">
        <f aca="false">IF($J1038=1,(Ideal_S-F1038)/Span_S,"")</f>
        <v/>
      </c>
      <c r="AK1038" s="13" t="str">
        <f aca="false">IF($J1038=1,(Ideal_B-G1038)/Span_B,"")</f>
        <v/>
      </c>
      <c r="AL1038" s="12" t="str">
        <f aca="false">IF($J1038=1,MAX(ChA_1*AI1038,ChA_2*AJ1038,ChA_3*AK1038)+Rho*(ChA_1*AI1038+ChA_2*AJ1038+ChA_3*AK1038),"")</f>
        <v/>
      </c>
      <c r="AM1038" s="12" t="str">
        <f aca="false">IF($J1038=1,MAX(ChB_1*AI1038,ChB_2*AJ1038,ChB_3*AK1038)+Rho*(ChB_1*AI1038+ChB_2*AJ1038+ChB_3*AK1038),"")</f>
        <v/>
      </c>
      <c r="AN1038" s="12" t="str">
        <f aca="false">IF($J1038=1,MAX(Cx_1*(Ref_P-E1038)/Span_P,Cx_2*(Ref_S-F1038)/Span_S,Cx_3*(Ref_B-G1038)/Span_B),"")</f>
        <v/>
      </c>
    </row>
    <row r="1039" customFormat="false" ht="15" hidden="false" customHeight="false" outlineLevel="0" collapsed="false">
      <c r="A1039" s="2" t="n">
        <v>1033</v>
      </c>
      <c r="B1039" s="15" t="n">
        <f aca="false">INT(A1039/151)</f>
        <v>6</v>
      </c>
      <c r="C1039" s="15" t="n">
        <f aca="false">MOD(A1039,151)</f>
        <v>127</v>
      </c>
      <c r="D1039" s="15" t="n">
        <f aca="false">INDEX(Grid!$J$6:$P$156,C1039+1,B1039+1)</f>
        <v>0</v>
      </c>
      <c r="E1039" s="16" t="str">
        <f aca="false">IF(D1039=1,INDEX(Grid!$B$6:$H$156,C1039+1,B1039+1),"")</f>
        <v/>
      </c>
      <c r="F1039" s="13" t="n">
        <f aca="false">Val_pt*(Ceiling_e-E_zero)*(1-(1-Half_gap)^B1039)</f>
        <v>137.8125</v>
      </c>
      <c r="G1039" s="15" t="n">
        <f aca="false">C1039</f>
        <v>127</v>
      </c>
      <c r="H1039" s="15" t="str">
        <f aca="false">IF(D1039=1,INDEX(Grid!$R$6:$X$156,C1039+1,B1039+1),"")</f>
        <v/>
      </c>
      <c r="I1039" s="2" t="str">
        <f aca="false">IF(D1039=1,INDEX(Sch_label,H1039+1),"")</f>
        <v/>
      </c>
      <c r="J1039" s="15" t="n">
        <f aca="false">IF(D1039=1,INDEX(Grid!$Z$6:$AF$156,C1039+1,B1039+1),0)</f>
        <v>0</v>
      </c>
      <c r="K1039" s="16" t="n">
        <f aca="false">IF(J1039=1,E1039,0)</f>
        <v>0</v>
      </c>
      <c r="L1039" s="17" t="str">
        <f aca="false">IF(D1039=1,E1039+W_board*F1039,"")</f>
        <v/>
      </c>
      <c r="Z1039" s="12" t="str">
        <f aca="false">IF(AND($J1039=1,$M1039=1),N1039*E1039/Span_P+O1039*F1039/Span_S+P1039*G1039/Span_B,"")</f>
        <v/>
      </c>
      <c r="AA1039" s="12" t="str">
        <f aca="false">IF(AND($J1039=1,$M1039=1),SUMPRODUCT(MAX($J$6:$J$1062*(N1039*$K$6:$K$1062/Span_P+O1039*$F$6:$F$1062/Span_S+P1039*$G$6:$G$1062/Span_B)-(1-$J$6:$J$1062)*1000000000)),"")</f>
        <v/>
      </c>
      <c r="AB1039" s="15" t="str">
        <f aca="false">IF(AND($J1039=1,$M1039=1),IF(AA1039-Z1039&lt;=0.000000001,1,0),"")</f>
        <v/>
      </c>
      <c r="AC1039" s="13" t="str">
        <f aca="false">IF(AND($J1039=1,$M1039=0),IF(S1039="",0,S1039*INDEX(Grid!$B$6:$H$156,R1039+1,Q1039+1))+IF(V1039="",0,V1039*INDEX(Grid!$B$6:$H$156,U1039+1,T1039+1))+IF(Y1039="",0,Y1039*INDEX(Grid!$B$6:$H$156,X1039+1,W1039+1)),"")</f>
        <v/>
      </c>
      <c r="AD1039" s="13" t="str">
        <f aca="false">IF(AND($J1039=1,$M1039=0),IF(S1039="",0,S1039*Val_pt*(Ceiling_e-E_zero)*(1-(1-Half_gap)^Q1039))+IF(V1039="",0,V1039*Val_pt*(Ceiling_e-E_zero)*(1-(1-Half_gap)^T1039))+IF(Y1039="",0,Y1039*Val_pt*(Ceiling_e-E_zero)*(1-(1-Half_gap)^W1039)),"")</f>
        <v/>
      </c>
      <c r="AE1039" s="13" t="str">
        <f aca="false">IF(AND($J1039=1,$M1039=0),IF(S1039="",0,S1039*R1039)+IF(V1039="",0,V1039*U1039)+IF(Y1039="",0,Y1039*X1039),"")</f>
        <v/>
      </c>
      <c r="AF1039" s="12" t="str">
        <f aca="false">IF(AND($J1039=1,$M1039=0),MIN((AC1039-E1039)/Span_P,(AD1039-F1039)/Span_S,(AE1039-G1039)/Span_B),"")</f>
        <v/>
      </c>
      <c r="AG1039" s="15" t="str">
        <f aca="false">IF(AND($J1039=1,$M1039=0),IF(AF1039&gt;0.0000001,1,0),"")</f>
        <v/>
      </c>
      <c r="AH1039" s="15" t="str">
        <f aca="false">IF($J1039=1,IF($M1039=1,AB1039,AG1039),"")</f>
        <v/>
      </c>
      <c r="AI1039" s="13" t="str">
        <f aca="false">IF($J1039=1,(Ideal_P-E1039)/Span_P,"")</f>
        <v/>
      </c>
      <c r="AJ1039" s="13" t="str">
        <f aca="false">IF($J1039=1,(Ideal_S-F1039)/Span_S,"")</f>
        <v/>
      </c>
      <c r="AK1039" s="13" t="str">
        <f aca="false">IF($J1039=1,(Ideal_B-G1039)/Span_B,"")</f>
        <v/>
      </c>
      <c r="AL1039" s="12" t="str">
        <f aca="false">IF($J1039=1,MAX(ChA_1*AI1039,ChA_2*AJ1039,ChA_3*AK1039)+Rho*(ChA_1*AI1039+ChA_2*AJ1039+ChA_3*AK1039),"")</f>
        <v/>
      </c>
      <c r="AM1039" s="12" t="str">
        <f aca="false">IF($J1039=1,MAX(ChB_1*AI1039,ChB_2*AJ1039,ChB_3*AK1039)+Rho*(ChB_1*AI1039+ChB_2*AJ1039+ChB_3*AK1039),"")</f>
        <v/>
      </c>
      <c r="AN1039" s="12" t="str">
        <f aca="false">IF($J1039=1,MAX(Cx_1*(Ref_P-E1039)/Span_P,Cx_2*(Ref_S-F1039)/Span_S,Cx_3*(Ref_B-G1039)/Span_B),"")</f>
        <v/>
      </c>
    </row>
    <row r="1040" customFormat="false" ht="15" hidden="false" customHeight="false" outlineLevel="0" collapsed="false">
      <c r="A1040" s="2" t="n">
        <v>1034</v>
      </c>
      <c r="B1040" s="15" t="n">
        <f aca="false">INT(A1040/151)</f>
        <v>6</v>
      </c>
      <c r="C1040" s="15" t="n">
        <f aca="false">MOD(A1040,151)</f>
        <v>128</v>
      </c>
      <c r="D1040" s="15" t="n">
        <f aca="false">INDEX(Grid!$J$6:$P$156,C1040+1,B1040+1)</f>
        <v>0</v>
      </c>
      <c r="E1040" s="16" t="str">
        <f aca="false">IF(D1040=1,INDEX(Grid!$B$6:$H$156,C1040+1,B1040+1),"")</f>
        <v/>
      </c>
      <c r="F1040" s="13" t="n">
        <f aca="false">Val_pt*(Ceiling_e-E_zero)*(1-(1-Half_gap)^B1040)</f>
        <v>137.8125</v>
      </c>
      <c r="G1040" s="15" t="n">
        <f aca="false">C1040</f>
        <v>128</v>
      </c>
      <c r="H1040" s="15" t="str">
        <f aca="false">IF(D1040=1,INDEX(Grid!$R$6:$X$156,C1040+1,B1040+1),"")</f>
        <v/>
      </c>
      <c r="I1040" s="2" t="str">
        <f aca="false">IF(D1040=1,INDEX(Sch_label,H1040+1),"")</f>
        <v/>
      </c>
      <c r="J1040" s="15" t="n">
        <f aca="false">IF(D1040=1,INDEX(Grid!$Z$6:$AF$156,C1040+1,B1040+1),0)</f>
        <v>0</v>
      </c>
      <c r="K1040" s="16" t="n">
        <f aca="false">IF(J1040=1,E1040,0)</f>
        <v>0</v>
      </c>
      <c r="L1040" s="17" t="str">
        <f aca="false">IF(D1040=1,E1040+W_board*F1040,"")</f>
        <v/>
      </c>
      <c r="Z1040" s="12" t="str">
        <f aca="false">IF(AND($J1040=1,$M1040=1),N1040*E1040/Span_P+O1040*F1040/Span_S+P1040*G1040/Span_B,"")</f>
        <v/>
      </c>
      <c r="AA1040" s="12" t="str">
        <f aca="false">IF(AND($J1040=1,$M1040=1),SUMPRODUCT(MAX($J$6:$J$1062*(N1040*$K$6:$K$1062/Span_P+O1040*$F$6:$F$1062/Span_S+P1040*$G$6:$G$1062/Span_B)-(1-$J$6:$J$1062)*1000000000)),"")</f>
        <v/>
      </c>
      <c r="AB1040" s="15" t="str">
        <f aca="false">IF(AND($J1040=1,$M1040=1),IF(AA1040-Z1040&lt;=0.000000001,1,0),"")</f>
        <v/>
      </c>
      <c r="AC1040" s="13" t="str">
        <f aca="false">IF(AND($J1040=1,$M1040=0),IF(S1040="",0,S1040*INDEX(Grid!$B$6:$H$156,R1040+1,Q1040+1))+IF(V1040="",0,V1040*INDEX(Grid!$B$6:$H$156,U1040+1,T1040+1))+IF(Y1040="",0,Y1040*INDEX(Grid!$B$6:$H$156,X1040+1,W1040+1)),"")</f>
        <v/>
      </c>
      <c r="AD1040" s="13" t="str">
        <f aca="false">IF(AND($J1040=1,$M1040=0),IF(S1040="",0,S1040*Val_pt*(Ceiling_e-E_zero)*(1-(1-Half_gap)^Q1040))+IF(V1040="",0,V1040*Val_pt*(Ceiling_e-E_zero)*(1-(1-Half_gap)^T1040))+IF(Y1040="",0,Y1040*Val_pt*(Ceiling_e-E_zero)*(1-(1-Half_gap)^W1040)),"")</f>
        <v/>
      </c>
      <c r="AE1040" s="13" t="str">
        <f aca="false">IF(AND($J1040=1,$M1040=0),IF(S1040="",0,S1040*R1040)+IF(V1040="",0,V1040*U1040)+IF(Y1040="",0,Y1040*X1040),"")</f>
        <v/>
      </c>
      <c r="AF1040" s="12" t="str">
        <f aca="false">IF(AND($J1040=1,$M1040=0),MIN((AC1040-E1040)/Span_P,(AD1040-F1040)/Span_S,(AE1040-G1040)/Span_B),"")</f>
        <v/>
      </c>
      <c r="AG1040" s="15" t="str">
        <f aca="false">IF(AND($J1040=1,$M1040=0),IF(AF1040&gt;0.0000001,1,0),"")</f>
        <v/>
      </c>
      <c r="AH1040" s="15" t="str">
        <f aca="false">IF($J1040=1,IF($M1040=1,AB1040,AG1040),"")</f>
        <v/>
      </c>
      <c r="AI1040" s="13" t="str">
        <f aca="false">IF($J1040=1,(Ideal_P-E1040)/Span_P,"")</f>
        <v/>
      </c>
      <c r="AJ1040" s="13" t="str">
        <f aca="false">IF($J1040=1,(Ideal_S-F1040)/Span_S,"")</f>
        <v/>
      </c>
      <c r="AK1040" s="13" t="str">
        <f aca="false">IF($J1040=1,(Ideal_B-G1040)/Span_B,"")</f>
        <v/>
      </c>
      <c r="AL1040" s="12" t="str">
        <f aca="false">IF($J1040=1,MAX(ChA_1*AI1040,ChA_2*AJ1040,ChA_3*AK1040)+Rho*(ChA_1*AI1040+ChA_2*AJ1040+ChA_3*AK1040),"")</f>
        <v/>
      </c>
      <c r="AM1040" s="12" t="str">
        <f aca="false">IF($J1040=1,MAX(ChB_1*AI1040,ChB_2*AJ1040,ChB_3*AK1040)+Rho*(ChB_1*AI1040+ChB_2*AJ1040+ChB_3*AK1040),"")</f>
        <v/>
      </c>
      <c r="AN1040" s="12" t="str">
        <f aca="false">IF($J1040=1,MAX(Cx_1*(Ref_P-E1040)/Span_P,Cx_2*(Ref_S-F1040)/Span_S,Cx_3*(Ref_B-G1040)/Span_B),"")</f>
        <v/>
      </c>
    </row>
    <row r="1041" customFormat="false" ht="15" hidden="false" customHeight="false" outlineLevel="0" collapsed="false">
      <c r="A1041" s="2" t="n">
        <v>1035</v>
      </c>
      <c r="B1041" s="15" t="n">
        <f aca="false">INT(A1041/151)</f>
        <v>6</v>
      </c>
      <c r="C1041" s="15" t="n">
        <f aca="false">MOD(A1041,151)</f>
        <v>129</v>
      </c>
      <c r="D1041" s="15" t="n">
        <f aca="false">INDEX(Grid!$J$6:$P$156,C1041+1,B1041+1)</f>
        <v>0</v>
      </c>
      <c r="E1041" s="16" t="str">
        <f aca="false">IF(D1041=1,INDEX(Grid!$B$6:$H$156,C1041+1,B1041+1),"")</f>
        <v/>
      </c>
      <c r="F1041" s="13" t="n">
        <f aca="false">Val_pt*(Ceiling_e-E_zero)*(1-(1-Half_gap)^B1041)</f>
        <v>137.8125</v>
      </c>
      <c r="G1041" s="15" t="n">
        <f aca="false">C1041</f>
        <v>129</v>
      </c>
      <c r="H1041" s="15" t="str">
        <f aca="false">IF(D1041=1,INDEX(Grid!$R$6:$X$156,C1041+1,B1041+1),"")</f>
        <v/>
      </c>
      <c r="I1041" s="2" t="str">
        <f aca="false">IF(D1041=1,INDEX(Sch_label,H1041+1),"")</f>
        <v/>
      </c>
      <c r="J1041" s="15" t="n">
        <f aca="false">IF(D1041=1,INDEX(Grid!$Z$6:$AF$156,C1041+1,B1041+1),0)</f>
        <v>0</v>
      </c>
      <c r="K1041" s="16" t="n">
        <f aca="false">IF(J1041=1,E1041,0)</f>
        <v>0</v>
      </c>
      <c r="L1041" s="17" t="str">
        <f aca="false">IF(D1041=1,E1041+W_board*F1041,"")</f>
        <v/>
      </c>
      <c r="Z1041" s="12" t="str">
        <f aca="false">IF(AND($J1041=1,$M1041=1),N1041*E1041/Span_P+O1041*F1041/Span_S+P1041*G1041/Span_B,"")</f>
        <v/>
      </c>
      <c r="AA1041" s="12" t="str">
        <f aca="false">IF(AND($J1041=1,$M1041=1),SUMPRODUCT(MAX($J$6:$J$1062*(N1041*$K$6:$K$1062/Span_P+O1041*$F$6:$F$1062/Span_S+P1041*$G$6:$G$1062/Span_B)-(1-$J$6:$J$1062)*1000000000)),"")</f>
        <v/>
      </c>
      <c r="AB1041" s="15" t="str">
        <f aca="false">IF(AND($J1041=1,$M1041=1),IF(AA1041-Z1041&lt;=0.000000001,1,0),"")</f>
        <v/>
      </c>
      <c r="AC1041" s="13" t="str">
        <f aca="false">IF(AND($J1041=1,$M1041=0),IF(S1041="",0,S1041*INDEX(Grid!$B$6:$H$156,R1041+1,Q1041+1))+IF(V1041="",0,V1041*INDEX(Grid!$B$6:$H$156,U1041+1,T1041+1))+IF(Y1041="",0,Y1041*INDEX(Grid!$B$6:$H$156,X1041+1,W1041+1)),"")</f>
        <v/>
      </c>
      <c r="AD1041" s="13" t="str">
        <f aca="false">IF(AND($J1041=1,$M1041=0),IF(S1041="",0,S1041*Val_pt*(Ceiling_e-E_zero)*(1-(1-Half_gap)^Q1041))+IF(V1041="",0,V1041*Val_pt*(Ceiling_e-E_zero)*(1-(1-Half_gap)^T1041))+IF(Y1041="",0,Y1041*Val_pt*(Ceiling_e-E_zero)*(1-(1-Half_gap)^W1041)),"")</f>
        <v/>
      </c>
      <c r="AE1041" s="13" t="str">
        <f aca="false">IF(AND($J1041=1,$M1041=0),IF(S1041="",0,S1041*R1041)+IF(V1041="",0,V1041*U1041)+IF(Y1041="",0,Y1041*X1041),"")</f>
        <v/>
      </c>
      <c r="AF1041" s="12" t="str">
        <f aca="false">IF(AND($J1041=1,$M1041=0),MIN((AC1041-E1041)/Span_P,(AD1041-F1041)/Span_S,(AE1041-G1041)/Span_B),"")</f>
        <v/>
      </c>
      <c r="AG1041" s="15" t="str">
        <f aca="false">IF(AND($J1041=1,$M1041=0),IF(AF1041&gt;0.0000001,1,0),"")</f>
        <v/>
      </c>
      <c r="AH1041" s="15" t="str">
        <f aca="false">IF($J1041=1,IF($M1041=1,AB1041,AG1041),"")</f>
        <v/>
      </c>
      <c r="AI1041" s="13" t="str">
        <f aca="false">IF($J1041=1,(Ideal_P-E1041)/Span_P,"")</f>
        <v/>
      </c>
      <c r="AJ1041" s="13" t="str">
        <f aca="false">IF($J1041=1,(Ideal_S-F1041)/Span_S,"")</f>
        <v/>
      </c>
      <c r="AK1041" s="13" t="str">
        <f aca="false">IF($J1041=1,(Ideal_B-G1041)/Span_B,"")</f>
        <v/>
      </c>
      <c r="AL1041" s="12" t="str">
        <f aca="false">IF($J1041=1,MAX(ChA_1*AI1041,ChA_2*AJ1041,ChA_3*AK1041)+Rho*(ChA_1*AI1041+ChA_2*AJ1041+ChA_3*AK1041),"")</f>
        <v/>
      </c>
      <c r="AM1041" s="12" t="str">
        <f aca="false">IF($J1041=1,MAX(ChB_1*AI1041,ChB_2*AJ1041,ChB_3*AK1041)+Rho*(ChB_1*AI1041+ChB_2*AJ1041+ChB_3*AK1041),"")</f>
        <v/>
      </c>
      <c r="AN1041" s="12" t="str">
        <f aca="false">IF($J1041=1,MAX(Cx_1*(Ref_P-E1041)/Span_P,Cx_2*(Ref_S-F1041)/Span_S,Cx_3*(Ref_B-G1041)/Span_B),"")</f>
        <v/>
      </c>
    </row>
    <row r="1042" customFormat="false" ht="15" hidden="false" customHeight="false" outlineLevel="0" collapsed="false">
      <c r="A1042" s="2" t="n">
        <v>1036</v>
      </c>
      <c r="B1042" s="15" t="n">
        <f aca="false">INT(A1042/151)</f>
        <v>6</v>
      </c>
      <c r="C1042" s="15" t="n">
        <f aca="false">MOD(A1042,151)</f>
        <v>130</v>
      </c>
      <c r="D1042" s="15" t="n">
        <f aca="false">INDEX(Grid!$J$6:$P$156,C1042+1,B1042+1)</f>
        <v>0</v>
      </c>
      <c r="E1042" s="16" t="str">
        <f aca="false">IF(D1042=1,INDEX(Grid!$B$6:$H$156,C1042+1,B1042+1),"")</f>
        <v/>
      </c>
      <c r="F1042" s="13" t="n">
        <f aca="false">Val_pt*(Ceiling_e-E_zero)*(1-(1-Half_gap)^B1042)</f>
        <v>137.8125</v>
      </c>
      <c r="G1042" s="15" t="n">
        <f aca="false">C1042</f>
        <v>130</v>
      </c>
      <c r="H1042" s="15" t="str">
        <f aca="false">IF(D1042=1,INDEX(Grid!$R$6:$X$156,C1042+1,B1042+1),"")</f>
        <v/>
      </c>
      <c r="I1042" s="2" t="str">
        <f aca="false">IF(D1042=1,INDEX(Sch_label,H1042+1),"")</f>
        <v/>
      </c>
      <c r="J1042" s="15" t="n">
        <f aca="false">IF(D1042=1,INDEX(Grid!$Z$6:$AF$156,C1042+1,B1042+1),0)</f>
        <v>0</v>
      </c>
      <c r="K1042" s="16" t="n">
        <f aca="false">IF(J1042=1,E1042,0)</f>
        <v>0</v>
      </c>
      <c r="L1042" s="17" t="str">
        <f aca="false">IF(D1042=1,E1042+W_board*F1042,"")</f>
        <v/>
      </c>
      <c r="Z1042" s="12" t="str">
        <f aca="false">IF(AND($J1042=1,$M1042=1),N1042*E1042/Span_P+O1042*F1042/Span_S+P1042*G1042/Span_B,"")</f>
        <v/>
      </c>
      <c r="AA1042" s="12" t="str">
        <f aca="false">IF(AND($J1042=1,$M1042=1),SUMPRODUCT(MAX($J$6:$J$1062*(N1042*$K$6:$K$1062/Span_P+O1042*$F$6:$F$1062/Span_S+P1042*$G$6:$G$1062/Span_B)-(1-$J$6:$J$1062)*1000000000)),"")</f>
        <v/>
      </c>
      <c r="AB1042" s="15" t="str">
        <f aca="false">IF(AND($J1042=1,$M1042=1),IF(AA1042-Z1042&lt;=0.000000001,1,0),"")</f>
        <v/>
      </c>
      <c r="AC1042" s="13" t="str">
        <f aca="false">IF(AND($J1042=1,$M1042=0),IF(S1042="",0,S1042*INDEX(Grid!$B$6:$H$156,R1042+1,Q1042+1))+IF(V1042="",0,V1042*INDEX(Grid!$B$6:$H$156,U1042+1,T1042+1))+IF(Y1042="",0,Y1042*INDEX(Grid!$B$6:$H$156,X1042+1,W1042+1)),"")</f>
        <v/>
      </c>
      <c r="AD1042" s="13" t="str">
        <f aca="false">IF(AND($J1042=1,$M1042=0),IF(S1042="",0,S1042*Val_pt*(Ceiling_e-E_zero)*(1-(1-Half_gap)^Q1042))+IF(V1042="",0,V1042*Val_pt*(Ceiling_e-E_zero)*(1-(1-Half_gap)^T1042))+IF(Y1042="",0,Y1042*Val_pt*(Ceiling_e-E_zero)*(1-(1-Half_gap)^W1042)),"")</f>
        <v/>
      </c>
      <c r="AE1042" s="13" t="str">
        <f aca="false">IF(AND($J1042=1,$M1042=0),IF(S1042="",0,S1042*R1042)+IF(V1042="",0,V1042*U1042)+IF(Y1042="",0,Y1042*X1042),"")</f>
        <v/>
      </c>
      <c r="AF1042" s="12" t="str">
        <f aca="false">IF(AND($J1042=1,$M1042=0),MIN((AC1042-E1042)/Span_P,(AD1042-F1042)/Span_S,(AE1042-G1042)/Span_B),"")</f>
        <v/>
      </c>
      <c r="AG1042" s="15" t="str">
        <f aca="false">IF(AND($J1042=1,$M1042=0),IF(AF1042&gt;0.0000001,1,0),"")</f>
        <v/>
      </c>
      <c r="AH1042" s="15" t="str">
        <f aca="false">IF($J1042=1,IF($M1042=1,AB1042,AG1042),"")</f>
        <v/>
      </c>
      <c r="AI1042" s="13" t="str">
        <f aca="false">IF($J1042=1,(Ideal_P-E1042)/Span_P,"")</f>
        <v/>
      </c>
      <c r="AJ1042" s="13" t="str">
        <f aca="false">IF($J1042=1,(Ideal_S-F1042)/Span_S,"")</f>
        <v/>
      </c>
      <c r="AK1042" s="13" t="str">
        <f aca="false">IF($J1042=1,(Ideal_B-G1042)/Span_B,"")</f>
        <v/>
      </c>
      <c r="AL1042" s="12" t="str">
        <f aca="false">IF($J1042=1,MAX(ChA_1*AI1042,ChA_2*AJ1042,ChA_3*AK1042)+Rho*(ChA_1*AI1042+ChA_2*AJ1042+ChA_3*AK1042),"")</f>
        <v/>
      </c>
      <c r="AM1042" s="12" t="str">
        <f aca="false">IF($J1042=1,MAX(ChB_1*AI1042,ChB_2*AJ1042,ChB_3*AK1042)+Rho*(ChB_1*AI1042+ChB_2*AJ1042+ChB_3*AK1042),"")</f>
        <v/>
      </c>
      <c r="AN1042" s="12" t="str">
        <f aca="false">IF($J1042=1,MAX(Cx_1*(Ref_P-E1042)/Span_P,Cx_2*(Ref_S-F1042)/Span_S,Cx_3*(Ref_B-G1042)/Span_B),"")</f>
        <v/>
      </c>
    </row>
    <row r="1043" customFormat="false" ht="15" hidden="false" customHeight="false" outlineLevel="0" collapsed="false">
      <c r="A1043" s="2" t="n">
        <v>1037</v>
      </c>
      <c r="B1043" s="15" t="n">
        <f aca="false">INT(A1043/151)</f>
        <v>6</v>
      </c>
      <c r="C1043" s="15" t="n">
        <f aca="false">MOD(A1043,151)</f>
        <v>131</v>
      </c>
      <c r="D1043" s="15" t="n">
        <f aca="false">INDEX(Grid!$J$6:$P$156,C1043+1,B1043+1)</f>
        <v>0</v>
      </c>
      <c r="E1043" s="16" t="str">
        <f aca="false">IF(D1043=1,INDEX(Grid!$B$6:$H$156,C1043+1,B1043+1),"")</f>
        <v/>
      </c>
      <c r="F1043" s="13" t="n">
        <f aca="false">Val_pt*(Ceiling_e-E_zero)*(1-(1-Half_gap)^B1043)</f>
        <v>137.8125</v>
      </c>
      <c r="G1043" s="15" t="n">
        <f aca="false">C1043</f>
        <v>131</v>
      </c>
      <c r="H1043" s="15" t="str">
        <f aca="false">IF(D1043=1,INDEX(Grid!$R$6:$X$156,C1043+1,B1043+1),"")</f>
        <v/>
      </c>
      <c r="I1043" s="2" t="str">
        <f aca="false">IF(D1043=1,INDEX(Sch_label,H1043+1),"")</f>
        <v/>
      </c>
      <c r="J1043" s="15" t="n">
        <f aca="false">IF(D1043=1,INDEX(Grid!$Z$6:$AF$156,C1043+1,B1043+1),0)</f>
        <v>0</v>
      </c>
      <c r="K1043" s="16" t="n">
        <f aca="false">IF(J1043=1,E1043,0)</f>
        <v>0</v>
      </c>
      <c r="L1043" s="17" t="str">
        <f aca="false">IF(D1043=1,E1043+W_board*F1043,"")</f>
        <v/>
      </c>
      <c r="Z1043" s="12" t="str">
        <f aca="false">IF(AND($J1043=1,$M1043=1),N1043*E1043/Span_P+O1043*F1043/Span_S+P1043*G1043/Span_B,"")</f>
        <v/>
      </c>
      <c r="AA1043" s="12" t="str">
        <f aca="false">IF(AND($J1043=1,$M1043=1),SUMPRODUCT(MAX($J$6:$J$1062*(N1043*$K$6:$K$1062/Span_P+O1043*$F$6:$F$1062/Span_S+P1043*$G$6:$G$1062/Span_B)-(1-$J$6:$J$1062)*1000000000)),"")</f>
        <v/>
      </c>
      <c r="AB1043" s="15" t="str">
        <f aca="false">IF(AND($J1043=1,$M1043=1),IF(AA1043-Z1043&lt;=0.000000001,1,0),"")</f>
        <v/>
      </c>
      <c r="AC1043" s="13" t="str">
        <f aca="false">IF(AND($J1043=1,$M1043=0),IF(S1043="",0,S1043*INDEX(Grid!$B$6:$H$156,R1043+1,Q1043+1))+IF(V1043="",0,V1043*INDEX(Grid!$B$6:$H$156,U1043+1,T1043+1))+IF(Y1043="",0,Y1043*INDEX(Grid!$B$6:$H$156,X1043+1,W1043+1)),"")</f>
        <v/>
      </c>
      <c r="AD1043" s="13" t="str">
        <f aca="false">IF(AND($J1043=1,$M1043=0),IF(S1043="",0,S1043*Val_pt*(Ceiling_e-E_zero)*(1-(1-Half_gap)^Q1043))+IF(V1043="",0,V1043*Val_pt*(Ceiling_e-E_zero)*(1-(1-Half_gap)^T1043))+IF(Y1043="",0,Y1043*Val_pt*(Ceiling_e-E_zero)*(1-(1-Half_gap)^W1043)),"")</f>
        <v/>
      </c>
      <c r="AE1043" s="13" t="str">
        <f aca="false">IF(AND($J1043=1,$M1043=0),IF(S1043="",0,S1043*R1043)+IF(V1043="",0,V1043*U1043)+IF(Y1043="",0,Y1043*X1043),"")</f>
        <v/>
      </c>
      <c r="AF1043" s="12" t="str">
        <f aca="false">IF(AND($J1043=1,$M1043=0),MIN((AC1043-E1043)/Span_P,(AD1043-F1043)/Span_S,(AE1043-G1043)/Span_B),"")</f>
        <v/>
      </c>
      <c r="AG1043" s="15" t="str">
        <f aca="false">IF(AND($J1043=1,$M1043=0),IF(AF1043&gt;0.0000001,1,0),"")</f>
        <v/>
      </c>
      <c r="AH1043" s="15" t="str">
        <f aca="false">IF($J1043=1,IF($M1043=1,AB1043,AG1043),"")</f>
        <v/>
      </c>
      <c r="AI1043" s="13" t="str">
        <f aca="false">IF($J1043=1,(Ideal_P-E1043)/Span_P,"")</f>
        <v/>
      </c>
      <c r="AJ1043" s="13" t="str">
        <f aca="false">IF($J1043=1,(Ideal_S-F1043)/Span_S,"")</f>
        <v/>
      </c>
      <c r="AK1043" s="13" t="str">
        <f aca="false">IF($J1043=1,(Ideal_B-G1043)/Span_B,"")</f>
        <v/>
      </c>
      <c r="AL1043" s="12" t="str">
        <f aca="false">IF($J1043=1,MAX(ChA_1*AI1043,ChA_2*AJ1043,ChA_3*AK1043)+Rho*(ChA_1*AI1043+ChA_2*AJ1043+ChA_3*AK1043),"")</f>
        <v/>
      </c>
      <c r="AM1043" s="12" t="str">
        <f aca="false">IF($J1043=1,MAX(ChB_1*AI1043,ChB_2*AJ1043,ChB_3*AK1043)+Rho*(ChB_1*AI1043+ChB_2*AJ1043+ChB_3*AK1043),"")</f>
        <v/>
      </c>
      <c r="AN1043" s="12" t="str">
        <f aca="false">IF($J1043=1,MAX(Cx_1*(Ref_P-E1043)/Span_P,Cx_2*(Ref_S-F1043)/Span_S,Cx_3*(Ref_B-G1043)/Span_B),"")</f>
        <v/>
      </c>
    </row>
    <row r="1044" customFormat="false" ht="15" hidden="false" customHeight="false" outlineLevel="0" collapsed="false">
      <c r="A1044" s="2" t="n">
        <v>1038</v>
      </c>
      <c r="B1044" s="15" t="n">
        <f aca="false">INT(A1044/151)</f>
        <v>6</v>
      </c>
      <c r="C1044" s="15" t="n">
        <f aca="false">MOD(A1044,151)</f>
        <v>132</v>
      </c>
      <c r="D1044" s="15" t="n">
        <f aca="false">INDEX(Grid!$J$6:$P$156,C1044+1,B1044+1)</f>
        <v>0</v>
      </c>
      <c r="E1044" s="16" t="str">
        <f aca="false">IF(D1044=1,INDEX(Grid!$B$6:$H$156,C1044+1,B1044+1),"")</f>
        <v/>
      </c>
      <c r="F1044" s="13" t="n">
        <f aca="false">Val_pt*(Ceiling_e-E_zero)*(1-(1-Half_gap)^B1044)</f>
        <v>137.8125</v>
      </c>
      <c r="G1044" s="15" t="n">
        <f aca="false">C1044</f>
        <v>132</v>
      </c>
      <c r="H1044" s="15" t="str">
        <f aca="false">IF(D1044=1,INDEX(Grid!$R$6:$X$156,C1044+1,B1044+1),"")</f>
        <v/>
      </c>
      <c r="I1044" s="2" t="str">
        <f aca="false">IF(D1044=1,INDEX(Sch_label,H1044+1),"")</f>
        <v/>
      </c>
      <c r="J1044" s="15" t="n">
        <f aca="false">IF(D1044=1,INDEX(Grid!$Z$6:$AF$156,C1044+1,B1044+1),0)</f>
        <v>0</v>
      </c>
      <c r="K1044" s="16" t="n">
        <f aca="false">IF(J1044=1,E1044,0)</f>
        <v>0</v>
      </c>
      <c r="L1044" s="17" t="str">
        <f aca="false">IF(D1044=1,E1044+W_board*F1044,"")</f>
        <v/>
      </c>
      <c r="Z1044" s="12" t="str">
        <f aca="false">IF(AND($J1044=1,$M1044=1),N1044*E1044/Span_P+O1044*F1044/Span_S+P1044*G1044/Span_B,"")</f>
        <v/>
      </c>
      <c r="AA1044" s="12" t="str">
        <f aca="false">IF(AND($J1044=1,$M1044=1),SUMPRODUCT(MAX($J$6:$J$1062*(N1044*$K$6:$K$1062/Span_P+O1044*$F$6:$F$1062/Span_S+P1044*$G$6:$G$1062/Span_B)-(1-$J$6:$J$1062)*1000000000)),"")</f>
        <v/>
      </c>
      <c r="AB1044" s="15" t="str">
        <f aca="false">IF(AND($J1044=1,$M1044=1),IF(AA1044-Z1044&lt;=0.000000001,1,0),"")</f>
        <v/>
      </c>
      <c r="AC1044" s="13" t="str">
        <f aca="false">IF(AND($J1044=1,$M1044=0),IF(S1044="",0,S1044*INDEX(Grid!$B$6:$H$156,R1044+1,Q1044+1))+IF(V1044="",0,V1044*INDEX(Grid!$B$6:$H$156,U1044+1,T1044+1))+IF(Y1044="",0,Y1044*INDEX(Grid!$B$6:$H$156,X1044+1,W1044+1)),"")</f>
        <v/>
      </c>
      <c r="AD1044" s="13" t="str">
        <f aca="false">IF(AND($J1044=1,$M1044=0),IF(S1044="",0,S1044*Val_pt*(Ceiling_e-E_zero)*(1-(1-Half_gap)^Q1044))+IF(V1044="",0,V1044*Val_pt*(Ceiling_e-E_zero)*(1-(1-Half_gap)^T1044))+IF(Y1044="",0,Y1044*Val_pt*(Ceiling_e-E_zero)*(1-(1-Half_gap)^W1044)),"")</f>
        <v/>
      </c>
      <c r="AE1044" s="13" t="str">
        <f aca="false">IF(AND($J1044=1,$M1044=0),IF(S1044="",0,S1044*R1044)+IF(V1044="",0,V1044*U1044)+IF(Y1044="",0,Y1044*X1044),"")</f>
        <v/>
      </c>
      <c r="AF1044" s="12" t="str">
        <f aca="false">IF(AND($J1044=1,$M1044=0),MIN((AC1044-E1044)/Span_P,(AD1044-F1044)/Span_S,(AE1044-G1044)/Span_B),"")</f>
        <v/>
      </c>
      <c r="AG1044" s="15" t="str">
        <f aca="false">IF(AND($J1044=1,$M1044=0),IF(AF1044&gt;0.0000001,1,0),"")</f>
        <v/>
      </c>
      <c r="AH1044" s="15" t="str">
        <f aca="false">IF($J1044=1,IF($M1044=1,AB1044,AG1044),"")</f>
        <v/>
      </c>
      <c r="AI1044" s="13" t="str">
        <f aca="false">IF($J1044=1,(Ideal_P-E1044)/Span_P,"")</f>
        <v/>
      </c>
      <c r="AJ1044" s="13" t="str">
        <f aca="false">IF($J1044=1,(Ideal_S-F1044)/Span_S,"")</f>
        <v/>
      </c>
      <c r="AK1044" s="13" t="str">
        <f aca="false">IF($J1044=1,(Ideal_B-G1044)/Span_B,"")</f>
        <v/>
      </c>
      <c r="AL1044" s="12" t="str">
        <f aca="false">IF($J1044=1,MAX(ChA_1*AI1044,ChA_2*AJ1044,ChA_3*AK1044)+Rho*(ChA_1*AI1044+ChA_2*AJ1044+ChA_3*AK1044),"")</f>
        <v/>
      </c>
      <c r="AM1044" s="12" t="str">
        <f aca="false">IF($J1044=1,MAX(ChB_1*AI1044,ChB_2*AJ1044,ChB_3*AK1044)+Rho*(ChB_1*AI1044+ChB_2*AJ1044+ChB_3*AK1044),"")</f>
        <v/>
      </c>
      <c r="AN1044" s="12" t="str">
        <f aca="false">IF($J1044=1,MAX(Cx_1*(Ref_P-E1044)/Span_P,Cx_2*(Ref_S-F1044)/Span_S,Cx_3*(Ref_B-G1044)/Span_B),"")</f>
        <v/>
      </c>
    </row>
    <row r="1045" customFormat="false" ht="15" hidden="false" customHeight="false" outlineLevel="0" collapsed="false">
      <c r="A1045" s="2" t="n">
        <v>1039</v>
      </c>
      <c r="B1045" s="15" t="n">
        <f aca="false">INT(A1045/151)</f>
        <v>6</v>
      </c>
      <c r="C1045" s="15" t="n">
        <f aca="false">MOD(A1045,151)</f>
        <v>133</v>
      </c>
      <c r="D1045" s="15" t="n">
        <f aca="false">INDEX(Grid!$J$6:$P$156,C1045+1,B1045+1)</f>
        <v>0</v>
      </c>
      <c r="E1045" s="16" t="str">
        <f aca="false">IF(D1045=1,INDEX(Grid!$B$6:$H$156,C1045+1,B1045+1),"")</f>
        <v/>
      </c>
      <c r="F1045" s="13" t="n">
        <f aca="false">Val_pt*(Ceiling_e-E_zero)*(1-(1-Half_gap)^B1045)</f>
        <v>137.8125</v>
      </c>
      <c r="G1045" s="15" t="n">
        <f aca="false">C1045</f>
        <v>133</v>
      </c>
      <c r="H1045" s="15" t="str">
        <f aca="false">IF(D1045=1,INDEX(Grid!$R$6:$X$156,C1045+1,B1045+1),"")</f>
        <v/>
      </c>
      <c r="I1045" s="2" t="str">
        <f aca="false">IF(D1045=1,INDEX(Sch_label,H1045+1),"")</f>
        <v/>
      </c>
      <c r="J1045" s="15" t="n">
        <f aca="false">IF(D1045=1,INDEX(Grid!$Z$6:$AF$156,C1045+1,B1045+1),0)</f>
        <v>0</v>
      </c>
      <c r="K1045" s="16" t="n">
        <f aca="false">IF(J1045=1,E1045,0)</f>
        <v>0</v>
      </c>
      <c r="L1045" s="17" t="str">
        <f aca="false">IF(D1045=1,E1045+W_board*F1045,"")</f>
        <v/>
      </c>
      <c r="Z1045" s="12" t="str">
        <f aca="false">IF(AND($J1045=1,$M1045=1),N1045*E1045/Span_P+O1045*F1045/Span_S+P1045*G1045/Span_B,"")</f>
        <v/>
      </c>
      <c r="AA1045" s="12" t="str">
        <f aca="false">IF(AND($J1045=1,$M1045=1),SUMPRODUCT(MAX($J$6:$J$1062*(N1045*$K$6:$K$1062/Span_P+O1045*$F$6:$F$1062/Span_S+P1045*$G$6:$G$1062/Span_B)-(1-$J$6:$J$1062)*1000000000)),"")</f>
        <v/>
      </c>
      <c r="AB1045" s="15" t="str">
        <f aca="false">IF(AND($J1045=1,$M1045=1),IF(AA1045-Z1045&lt;=0.000000001,1,0),"")</f>
        <v/>
      </c>
      <c r="AC1045" s="13" t="str">
        <f aca="false">IF(AND($J1045=1,$M1045=0),IF(S1045="",0,S1045*INDEX(Grid!$B$6:$H$156,R1045+1,Q1045+1))+IF(V1045="",0,V1045*INDEX(Grid!$B$6:$H$156,U1045+1,T1045+1))+IF(Y1045="",0,Y1045*INDEX(Grid!$B$6:$H$156,X1045+1,W1045+1)),"")</f>
        <v/>
      </c>
      <c r="AD1045" s="13" t="str">
        <f aca="false">IF(AND($J1045=1,$M1045=0),IF(S1045="",0,S1045*Val_pt*(Ceiling_e-E_zero)*(1-(1-Half_gap)^Q1045))+IF(V1045="",0,V1045*Val_pt*(Ceiling_e-E_zero)*(1-(1-Half_gap)^T1045))+IF(Y1045="",0,Y1045*Val_pt*(Ceiling_e-E_zero)*(1-(1-Half_gap)^W1045)),"")</f>
        <v/>
      </c>
      <c r="AE1045" s="13" t="str">
        <f aca="false">IF(AND($J1045=1,$M1045=0),IF(S1045="",0,S1045*R1045)+IF(V1045="",0,V1045*U1045)+IF(Y1045="",0,Y1045*X1045),"")</f>
        <v/>
      </c>
      <c r="AF1045" s="12" t="str">
        <f aca="false">IF(AND($J1045=1,$M1045=0),MIN((AC1045-E1045)/Span_P,(AD1045-F1045)/Span_S,(AE1045-G1045)/Span_B),"")</f>
        <v/>
      </c>
      <c r="AG1045" s="15" t="str">
        <f aca="false">IF(AND($J1045=1,$M1045=0),IF(AF1045&gt;0.0000001,1,0),"")</f>
        <v/>
      </c>
      <c r="AH1045" s="15" t="str">
        <f aca="false">IF($J1045=1,IF($M1045=1,AB1045,AG1045),"")</f>
        <v/>
      </c>
      <c r="AI1045" s="13" t="str">
        <f aca="false">IF($J1045=1,(Ideal_P-E1045)/Span_P,"")</f>
        <v/>
      </c>
      <c r="AJ1045" s="13" t="str">
        <f aca="false">IF($J1045=1,(Ideal_S-F1045)/Span_S,"")</f>
        <v/>
      </c>
      <c r="AK1045" s="13" t="str">
        <f aca="false">IF($J1045=1,(Ideal_B-G1045)/Span_B,"")</f>
        <v/>
      </c>
      <c r="AL1045" s="12" t="str">
        <f aca="false">IF($J1045=1,MAX(ChA_1*AI1045,ChA_2*AJ1045,ChA_3*AK1045)+Rho*(ChA_1*AI1045+ChA_2*AJ1045+ChA_3*AK1045),"")</f>
        <v/>
      </c>
      <c r="AM1045" s="12" t="str">
        <f aca="false">IF($J1045=1,MAX(ChB_1*AI1045,ChB_2*AJ1045,ChB_3*AK1045)+Rho*(ChB_1*AI1045+ChB_2*AJ1045+ChB_3*AK1045),"")</f>
        <v/>
      </c>
      <c r="AN1045" s="12" t="str">
        <f aca="false">IF($J1045=1,MAX(Cx_1*(Ref_P-E1045)/Span_P,Cx_2*(Ref_S-F1045)/Span_S,Cx_3*(Ref_B-G1045)/Span_B),"")</f>
        <v/>
      </c>
    </row>
    <row r="1046" customFormat="false" ht="15" hidden="false" customHeight="false" outlineLevel="0" collapsed="false">
      <c r="A1046" s="2" t="n">
        <v>1040</v>
      </c>
      <c r="B1046" s="15" t="n">
        <f aca="false">INT(A1046/151)</f>
        <v>6</v>
      </c>
      <c r="C1046" s="15" t="n">
        <f aca="false">MOD(A1046,151)</f>
        <v>134</v>
      </c>
      <c r="D1046" s="15" t="n">
        <f aca="false">INDEX(Grid!$J$6:$P$156,C1046+1,B1046+1)</f>
        <v>0</v>
      </c>
      <c r="E1046" s="16" t="str">
        <f aca="false">IF(D1046=1,INDEX(Grid!$B$6:$H$156,C1046+1,B1046+1),"")</f>
        <v/>
      </c>
      <c r="F1046" s="13" t="n">
        <f aca="false">Val_pt*(Ceiling_e-E_zero)*(1-(1-Half_gap)^B1046)</f>
        <v>137.8125</v>
      </c>
      <c r="G1046" s="15" t="n">
        <f aca="false">C1046</f>
        <v>134</v>
      </c>
      <c r="H1046" s="15" t="str">
        <f aca="false">IF(D1046=1,INDEX(Grid!$R$6:$X$156,C1046+1,B1046+1),"")</f>
        <v/>
      </c>
      <c r="I1046" s="2" t="str">
        <f aca="false">IF(D1046=1,INDEX(Sch_label,H1046+1),"")</f>
        <v/>
      </c>
      <c r="J1046" s="15" t="n">
        <f aca="false">IF(D1046=1,INDEX(Grid!$Z$6:$AF$156,C1046+1,B1046+1),0)</f>
        <v>0</v>
      </c>
      <c r="K1046" s="16" t="n">
        <f aca="false">IF(J1046=1,E1046,0)</f>
        <v>0</v>
      </c>
      <c r="L1046" s="17" t="str">
        <f aca="false">IF(D1046=1,E1046+W_board*F1046,"")</f>
        <v/>
      </c>
      <c r="Z1046" s="12" t="str">
        <f aca="false">IF(AND($J1046=1,$M1046=1),N1046*E1046/Span_P+O1046*F1046/Span_S+P1046*G1046/Span_B,"")</f>
        <v/>
      </c>
      <c r="AA1046" s="12" t="str">
        <f aca="false">IF(AND($J1046=1,$M1046=1),SUMPRODUCT(MAX($J$6:$J$1062*(N1046*$K$6:$K$1062/Span_P+O1046*$F$6:$F$1062/Span_S+P1046*$G$6:$G$1062/Span_B)-(1-$J$6:$J$1062)*1000000000)),"")</f>
        <v/>
      </c>
      <c r="AB1046" s="15" t="str">
        <f aca="false">IF(AND($J1046=1,$M1046=1),IF(AA1046-Z1046&lt;=0.000000001,1,0),"")</f>
        <v/>
      </c>
      <c r="AC1046" s="13" t="str">
        <f aca="false">IF(AND($J1046=1,$M1046=0),IF(S1046="",0,S1046*INDEX(Grid!$B$6:$H$156,R1046+1,Q1046+1))+IF(V1046="",0,V1046*INDEX(Grid!$B$6:$H$156,U1046+1,T1046+1))+IF(Y1046="",0,Y1046*INDEX(Grid!$B$6:$H$156,X1046+1,W1046+1)),"")</f>
        <v/>
      </c>
      <c r="AD1046" s="13" t="str">
        <f aca="false">IF(AND($J1046=1,$M1046=0),IF(S1046="",0,S1046*Val_pt*(Ceiling_e-E_zero)*(1-(1-Half_gap)^Q1046))+IF(V1046="",0,V1046*Val_pt*(Ceiling_e-E_zero)*(1-(1-Half_gap)^T1046))+IF(Y1046="",0,Y1046*Val_pt*(Ceiling_e-E_zero)*(1-(1-Half_gap)^W1046)),"")</f>
        <v/>
      </c>
      <c r="AE1046" s="13" t="str">
        <f aca="false">IF(AND($J1046=1,$M1046=0),IF(S1046="",0,S1046*R1046)+IF(V1046="",0,V1046*U1046)+IF(Y1046="",0,Y1046*X1046),"")</f>
        <v/>
      </c>
      <c r="AF1046" s="12" t="str">
        <f aca="false">IF(AND($J1046=1,$M1046=0),MIN((AC1046-E1046)/Span_P,(AD1046-F1046)/Span_S,(AE1046-G1046)/Span_B),"")</f>
        <v/>
      </c>
      <c r="AG1046" s="15" t="str">
        <f aca="false">IF(AND($J1046=1,$M1046=0),IF(AF1046&gt;0.0000001,1,0),"")</f>
        <v/>
      </c>
      <c r="AH1046" s="15" t="str">
        <f aca="false">IF($J1046=1,IF($M1046=1,AB1046,AG1046),"")</f>
        <v/>
      </c>
      <c r="AI1046" s="13" t="str">
        <f aca="false">IF($J1046=1,(Ideal_P-E1046)/Span_P,"")</f>
        <v/>
      </c>
      <c r="AJ1046" s="13" t="str">
        <f aca="false">IF($J1046=1,(Ideal_S-F1046)/Span_S,"")</f>
        <v/>
      </c>
      <c r="AK1046" s="13" t="str">
        <f aca="false">IF($J1046=1,(Ideal_B-G1046)/Span_B,"")</f>
        <v/>
      </c>
      <c r="AL1046" s="12" t="str">
        <f aca="false">IF($J1046=1,MAX(ChA_1*AI1046,ChA_2*AJ1046,ChA_3*AK1046)+Rho*(ChA_1*AI1046+ChA_2*AJ1046+ChA_3*AK1046),"")</f>
        <v/>
      </c>
      <c r="AM1046" s="12" t="str">
        <f aca="false">IF($J1046=1,MAX(ChB_1*AI1046,ChB_2*AJ1046,ChB_3*AK1046)+Rho*(ChB_1*AI1046+ChB_2*AJ1046+ChB_3*AK1046),"")</f>
        <v/>
      </c>
      <c r="AN1046" s="12" t="str">
        <f aca="false">IF($J1046=1,MAX(Cx_1*(Ref_P-E1046)/Span_P,Cx_2*(Ref_S-F1046)/Span_S,Cx_3*(Ref_B-G1046)/Span_B),"")</f>
        <v/>
      </c>
    </row>
    <row r="1047" customFormat="false" ht="15" hidden="false" customHeight="false" outlineLevel="0" collapsed="false">
      <c r="A1047" s="2" t="n">
        <v>1041</v>
      </c>
      <c r="B1047" s="15" t="n">
        <f aca="false">INT(A1047/151)</f>
        <v>6</v>
      </c>
      <c r="C1047" s="15" t="n">
        <f aca="false">MOD(A1047,151)</f>
        <v>135</v>
      </c>
      <c r="D1047" s="15" t="n">
        <f aca="false">INDEX(Grid!$J$6:$P$156,C1047+1,B1047+1)</f>
        <v>0</v>
      </c>
      <c r="E1047" s="16" t="str">
        <f aca="false">IF(D1047=1,INDEX(Grid!$B$6:$H$156,C1047+1,B1047+1),"")</f>
        <v/>
      </c>
      <c r="F1047" s="13" t="n">
        <f aca="false">Val_pt*(Ceiling_e-E_zero)*(1-(1-Half_gap)^B1047)</f>
        <v>137.8125</v>
      </c>
      <c r="G1047" s="15" t="n">
        <f aca="false">C1047</f>
        <v>135</v>
      </c>
      <c r="H1047" s="15" t="str">
        <f aca="false">IF(D1047=1,INDEX(Grid!$R$6:$X$156,C1047+1,B1047+1),"")</f>
        <v/>
      </c>
      <c r="I1047" s="2" t="str">
        <f aca="false">IF(D1047=1,INDEX(Sch_label,H1047+1),"")</f>
        <v/>
      </c>
      <c r="J1047" s="15" t="n">
        <f aca="false">IF(D1047=1,INDEX(Grid!$Z$6:$AF$156,C1047+1,B1047+1),0)</f>
        <v>0</v>
      </c>
      <c r="K1047" s="16" t="n">
        <f aca="false">IF(J1047=1,E1047,0)</f>
        <v>0</v>
      </c>
      <c r="L1047" s="17" t="str">
        <f aca="false">IF(D1047=1,E1047+W_board*F1047,"")</f>
        <v/>
      </c>
      <c r="Z1047" s="12" t="str">
        <f aca="false">IF(AND($J1047=1,$M1047=1),N1047*E1047/Span_P+O1047*F1047/Span_S+P1047*G1047/Span_B,"")</f>
        <v/>
      </c>
      <c r="AA1047" s="12" t="str">
        <f aca="false">IF(AND($J1047=1,$M1047=1),SUMPRODUCT(MAX($J$6:$J$1062*(N1047*$K$6:$K$1062/Span_P+O1047*$F$6:$F$1062/Span_S+P1047*$G$6:$G$1062/Span_B)-(1-$J$6:$J$1062)*1000000000)),"")</f>
        <v/>
      </c>
      <c r="AB1047" s="15" t="str">
        <f aca="false">IF(AND($J1047=1,$M1047=1),IF(AA1047-Z1047&lt;=0.000000001,1,0),"")</f>
        <v/>
      </c>
      <c r="AC1047" s="13" t="str">
        <f aca="false">IF(AND($J1047=1,$M1047=0),IF(S1047="",0,S1047*INDEX(Grid!$B$6:$H$156,R1047+1,Q1047+1))+IF(V1047="",0,V1047*INDEX(Grid!$B$6:$H$156,U1047+1,T1047+1))+IF(Y1047="",0,Y1047*INDEX(Grid!$B$6:$H$156,X1047+1,W1047+1)),"")</f>
        <v/>
      </c>
      <c r="AD1047" s="13" t="str">
        <f aca="false">IF(AND($J1047=1,$M1047=0),IF(S1047="",0,S1047*Val_pt*(Ceiling_e-E_zero)*(1-(1-Half_gap)^Q1047))+IF(V1047="",0,V1047*Val_pt*(Ceiling_e-E_zero)*(1-(1-Half_gap)^T1047))+IF(Y1047="",0,Y1047*Val_pt*(Ceiling_e-E_zero)*(1-(1-Half_gap)^W1047)),"")</f>
        <v/>
      </c>
      <c r="AE1047" s="13" t="str">
        <f aca="false">IF(AND($J1047=1,$M1047=0),IF(S1047="",0,S1047*R1047)+IF(V1047="",0,V1047*U1047)+IF(Y1047="",0,Y1047*X1047),"")</f>
        <v/>
      </c>
      <c r="AF1047" s="12" t="str">
        <f aca="false">IF(AND($J1047=1,$M1047=0),MIN((AC1047-E1047)/Span_P,(AD1047-F1047)/Span_S,(AE1047-G1047)/Span_B),"")</f>
        <v/>
      </c>
      <c r="AG1047" s="15" t="str">
        <f aca="false">IF(AND($J1047=1,$M1047=0),IF(AF1047&gt;0.0000001,1,0),"")</f>
        <v/>
      </c>
      <c r="AH1047" s="15" t="str">
        <f aca="false">IF($J1047=1,IF($M1047=1,AB1047,AG1047),"")</f>
        <v/>
      </c>
      <c r="AI1047" s="13" t="str">
        <f aca="false">IF($J1047=1,(Ideal_P-E1047)/Span_P,"")</f>
        <v/>
      </c>
      <c r="AJ1047" s="13" t="str">
        <f aca="false">IF($J1047=1,(Ideal_S-F1047)/Span_S,"")</f>
        <v/>
      </c>
      <c r="AK1047" s="13" t="str">
        <f aca="false">IF($J1047=1,(Ideal_B-G1047)/Span_B,"")</f>
        <v/>
      </c>
      <c r="AL1047" s="12" t="str">
        <f aca="false">IF($J1047=1,MAX(ChA_1*AI1047,ChA_2*AJ1047,ChA_3*AK1047)+Rho*(ChA_1*AI1047+ChA_2*AJ1047+ChA_3*AK1047),"")</f>
        <v/>
      </c>
      <c r="AM1047" s="12" t="str">
        <f aca="false">IF($J1047=1,MAX(ChB_1*AI1047,ChB_2*AJ1047,ChB_3*AK1047)+Rho*(ChB_1*AI1047+ChB_2*AJ1047+ChB_3*AK1047),"")</f>
        <v/>
      </c>
      <c r="AN1047" s="12" t="str">
        <f aca="false">IF($J1047=1,MAX(Cx_1*(Ref_P-E1047)/Span_P,Cx_2*(Ref_S-F1047)/Span_S,Cx_3*(Ref_B-G1047)/Span_B),"")</f>
        <v/>
      </c>
    </row>
    <row r="1048" customFormat="false" ht="15" hidden="false" customHeight="false" outlineLevel="0" collapsed="false">
      <c r="A1048" s="2" t="n">
        <v>1042</v>
      </c>
      <c r="B1048" s="15" t="n">
        <f aca="false">INT(A1048/151)</f>
        <v>6</v>
      </c>
      <c r="C1048" s="15" t="n">
        <f aca="false">MOD(A1048,151)</f>
        <v>136</v>
      </c>
      <c r="D1048" s="15" t="n">
        <f aca="false">INDEX(Grid!$J$6:$P$156,C1048+1,B1048+1)</f>
        <v>0</v>
      </c>
      <c r="E1048" s="16" t="str">
        <f aca="false">IF(D1048=1,INDEX(Grid!$B$6:$H$156,C1048+1,B1048+1),"")</f>
        <v/>
      </c>
      <c r="F1048" s="13" t="n">
        <f aca="false">Val_pt*(Ceiling_e-E_zero)*(1-(1-Half_gap)^B1048)</f>
        <v>137.8125</v>
      </c>
      <c r="G1048" s="15" t="n">
        <f aca="false">C1048</f>
        <v>136</v>
      </c>
      <c r="H1048" s="15" t="str">
        <f aca="false">IF(D1048=1,INDEX(Grid!$R$6:$X$156,C1048+1,B1048+1),"")</f>
        <v/>
      </c>
      <c r="I1048" s="2" t="str">
        <f aca="false">IF(D1048=1,INDEX(Sch_label,H1048+1),"")</f>
        <v/>
      </c>
      <c r="J1048" s="15" t="n">
        <f aca="false">IF(D1048=1,INDEX(Grid!$Z$6:$AF$156,C1048+1,B1048+1),0)</f>
        <v>0</v>
      </c>
      <c r="K1048" s="16" t="n">
        <f aca="false">IF(J1048=1,E1048,0)</f>
        <v>0</v>
      </c>
      <c r="L1048" s="17" t="str">
        <f aca="false">IF(D1048=1,E1048+W_board*F1048,"")</f>
        <v/>
      </c>
      <c r="Z1048" s="12" t="str">
        <f aca="false">IF(AND($J1048=1,$M1048=1),N1048*E1048/Span_P+O1048*F1048/Span_S+P1048*G1048/Span_B,"")</f>
        <v/>
      </c>
      <c r="AA1048" s="12" t="str">
        <f aca="false">IF(AND($J1048=1,$M1048=1),SUMPRODUCT(MAX($J$6:$J$1062*(N1048*$K$6:$K$1062/Span_P+O1048*$F$6:$F$1062/Span_S+P1048*$G$6:$G$1062/Span_B)-(1-$J$6:$J$1062)*1000000000)),"")</f>
        <v/>
      </c>
      <c r="AB1048" s="15" t="str">
        <f aca="false">IF(AND($J1048=1,$M1048=1),IF(AA1048-Z1048&lt;=0.000000001,1,0),"")</f>
        <v/>
      </c>
      <c r="AC1048" s="13" t="str">
        <f aca="false">IF(AND($J1048=1,$M1048=0),IF(S1048="",0,S1048*INDEX(Grid!$B$6:$H$156,R1048+1,Q1048+1))+IF(V1048="",0,V1048*INDEX(Grid!$B$6:$H$156,U1048+1,T1048+1))+IF(Y1048="",0,Y1048*INDEX(Grid!$B$6:$H$156,X1048+1,W1048+1)),"")</f>
        <v/>
      </c>
      <c r="AD1048" s="13" t="str">
        <f aca="false">IF(AND($J1048=1,$M1048=0),IF(S1048="",0,S1048*Val_pt*(Ceiling_e-E_zero)*(1-(1-Half_gap)^Q1048))+IF(V1048="",0,V1048*Val_pt*(Ceiling_e-E_zero)*(1-(1-Half_gap)^T1048))+IF(Y1048="",0,Y1048*Val_pt*(Ceiling_e-E_zero)*(1-(1-Half_gap)^W1048)),"")</f>
        <v/>
      </c>
      <c r="AE1048" s="13" t="str">
        <f aca="false">IF(AND($J1048=1,$M1048=0),IF(S1048="",0,S1048*R1048)+IF(V1048="",0,V1048*U1048)+IF(Y1048="",0,Y1048*X1048),"")</f>
        <v/>
      </c>
      <c r="AF1048" s="12" t="str">
        <f aca="false">IF(AND($J1048=1,$M1048=0),MIN((AC1048-E1048)/Span_P,(AD1048-F1048)/Span_S,(AE1048-G1048)/Span_B),"")</f>
        <v/>
      </c>
      <c r="AG1048" s="15" t="str">
        <f aca="false">IF(AND($J1048=1,$M1048=0),IF(AF1048&gt;0.0000001,1,0),"")</f>
        <v/>
      </c>
      <c r="AH1048" s="15" t="str">
        <f aca="false">IF($J1048=1,IF($M1048=1,AB1048,AG1048),"")</f>
        <v/>
      </c>
      <c r="AI1048" s="13" t="str">
        <f aca="false">IF($J1048=1,(Ideal_P-E1048)/Span_P,"")</f>
        <v/>
      </c>
      <c r="AJ1048" s="13" t="str">
        <f aca="false">IF($J1048=1,(Ideal_S-F1048)/Span_S,"")</f>
        <v/>
      </c>
      <c r="AK1048" s="13" t="str">
        <f aca="false">IF($J1048=1,(Ideal_B-G1048)/Span_B,"")</f>
        <v/>
      </c>
      <c r="AL1048" s="12" t="str">
        <f aca="false">IF($J1048=1,MAX(ChA_1*AI1048,ChA_2*AJ1048,ChA_3*AK1048)+Rho*(ChA_1*AI1048+ChA_2*AJ1048+ChA_3*AK1048),"")</f>
        <v/>
      </c>
      <c r="AM1048" s="12" t="str">
        <f aca="false">IF($J1048=1,MAX(ChB_1*AI1048,ChB_2*AJ1048,ChB_3*AK1048)+Rho*(ChB_1*AI1048+ChB_2*AJ1048+ChB_3*AK1048),"")</f>
        <v/>
      </c>
      <c r="AN1048" s="12" t="str">
        <f aca="false">IF($J1048=1,MAX(Cx_1*(Ref_P-E1048)/Span_P,Cx_2*(Ref_S-F1048)/Span_S,Cx_3*(Ref_B-G1048)/Span_B),"")</f>
        <v/>
      </c>
    </row>
    <row r="1049" customFormat="false" ht="15" hidden="false" customHeight="false" outlineLevel="0" collapsed="false">
      <c r="A1049" s="2" t="n">
        <v>1043</v>
      </c>
      <c r="B1049" s="15" t="n">
        <f aca="false">INT(A1049/151)</f>
        <v>6</v>
      </c>
      <c r="C1049" s="15" t="n">
        <f aca="false">MOD(A1049,151)</f>
        <v>137</v>
      </c>
      <c r="D1049" s="15" t="n">
        <f aca="false">INDEX(Grid!$J$6:$P$156,C1049+1,B1049+1)</f>
        <v>0</v>
      </c>
      <c r="E1049" s="16" t="str">
        <f aca="false">IF(D1049=1,INDEX(Grid!$B$6:$H$156,C1049+1,B1049+1),"")</f>
        <v/>
      </c>
      <c r="F1049" s="13" t="n">
        <f aca="false">Val_pt*(Ceiling_e-E_zero)*(1-(1-Half_gap)^B1049)</f>
        <v>137.8125</v>
      </c>
      <c r="G1049" s="15" t="n">
        <f aca="false">C1049</f>
        <v>137</v>
      </c>
      <c r="H1049" s="15" t="str">
        <f aca="false">IF(D1049=1,INDEX(Grid!$R$6:$X$156,C1049+1,B1049+1),"")</f>
        <v/>
      </c>
      <c r="I1049" s="2" t="str">
        <f aca="false">IF(D1049=1,INDEX(Sch_label,H1049+1),"")</f>
        <v/>
      </c>
      <c r="J1049" s="15" t="n">
        <f aca="false">IF(D1049=1,INDEX(Grid!$Z$6:$AF$156,C1049+1,B1049+1),0)</f>
        <v>0</v>
      </c>
      <c r="K1049" s="16" t="n">
        <f aca="false">IF(J1049=1,E1049,0)</f>
        <v>0</v>
      </c>
      <c r="L1049" s="17" t="str">
        <f aca="false">IF(D1049=1,E1049+W_board*F1049,"")</f>
        <v/>
      </c>
      <c r="Z1049" s="12" t="str">
        <f aca="false">IF(AND($J1049=1,$M1049=1),N1049*E1049/Span_P+O1049*F1049/Span_S+P1049*G1049/Span_B,"")</f>
        <v/>
      </c>
      <c r="AA1049" s="12" t="str">
        <f aca="false">IF(AND($J1049=1,$M1049=1),SUMPRODUCT(MAX($J$6:$J$1062*(N1049*$K$6:$K$1062/Span_P+O1049*$F$6:$F$1062/Span_S+P1049*$G$6:$G$1062/Span_B)-(1-$J$6:$J$1062)*1000000000)),"")</f>
        <v/>
      </c>
      <c r="AB1049" s="15" t="str">
        <f aca="false">IF(AND($J1049=1,$M1049=1),IF(AA1049-Z1049&lt;=0.000000001,1,0),"")</f>
        <v/>
      </c>
      <c r="AC1049" s="13" t="str">
        <f aca="false">IF(AND($J1049=1,$M1049=0),IF(S1049="",0,S1049*INDEX(Grid!$B$6:$H$156,R1049+1,Q1049+1))+IF(V1049="",0,V1049*INDEX(Grid!$B$6:$H$156,U1049+1,T1049+1))+IF(Y1049="",0,Y1049*INDEX(Grid!$B$6:$H$156,X1049+1,W1049+1)),"")</f>
        <v/>
      </c>
      <c r="AD1049" s="13" t="str">
        <f aca="false">IF(AND($J1049=1,$M1049=0),IF(S1049="",0,S1049*Val_pt*(Ceiling_e-E_zero)*(1-(1-Half_gap)^Q1049))+IF(V1049="",0,V1049*Val_pt*(Ceiling_e-E_zero)*(1-(1-Half_gap)^T1049))+IF(Y1049="",0,Y1049*Val_pt*(Ceiling_e-E_zero)*(1-(1-Half_gap)^W1049)),"")</f>
        <v/>
      </c>
      <c r="AE1049" s="13" t="str">
        <f aca="false">IF(AND($J1049=1,$M1049=0),IF(S1049="",0,S1049*R1049)+IF(V1049="",0,V1049*U1049)+IF(Y1049="",0,Y1049*X1049),"")</f>
        <v/>
      </c>
      <c r="AF1049" s="12" t="str">
        <f aca="false">IF(AND($J1049=1,$M1049=0),MIN((AC1049-E1049)/Span_P,(AD1049-F1049)/Span_S,(AE1049-G1049)/Span_B),"")</f>
        <v/>
      </c>
      <c r="AG1049" s="15" t="str">
        <f aca="false">IF(AND($J1049=1,$M1049=0),IF(AF1049&gt;0.0000001,1,0),"")</f>
        <v/>
      </c>
      <c r="AH1049" s="15" t="str">
        <f aca="false">IF($J1049=1,IF($M1049=1,AB1049,AG1049),"")</f>
        <v/>
      </c>
      <c r="AI1049" s="13" t="str">
        <f aca="false">IF($J1049=1,(Ideal_P-E1049)/Span_P,"")</f>
        <v/>
      </c>
      <c r="AJ1049" s="13" t="str">
        <f aca="false">IF($J1049=1,(Ideal_S-F1049)/Span_S,"")</f>
        <v/>
      </c>
      <c r="AK1049" s="13" t="str">
        <f aca="false">IF($J1049=1,(Ideal_B-G1049)/Span_B,"")</f>
        <v/>
      </c>
      <c r="AL1049" s="12" t="str">
        <f aca="false">IF($J1049=1,MAX(ChA_1*AI1049,ChA_2*AJ1049,ChA_3*AK1049)+Rho*(ChA_1*AI1049+ChA_2*AJ1049+ChA_3*AK1049),"")</f>
        <v/>
      </c>
      <c r="AM1049" s="12" t="str">
        <f aca="false">IF($J1049=1,MAX(ChB_1*AI1049,ChB_2*AJ1049,ChB_3*AK1049)+Rho*(ChB_1*AI1049+ChB_2*AJ1049+ChB_3*AK1049),"")</f>
        <v/>
      </c>
      <c r="AN1049" s="12" t="str">
        <f aca="false">IF($J1049=1,MAX(Cx_1*(Ref_P-E1049)/Span_P,Cx_2*(Ref_S-F1049)/Span_S,Cx_3*(Ref_B-G1049)/Span_B),"")</f>
        <v/>
      </c>
    </row>
    <row r="1050" customFormat="false" ht="15" hidden="false" customHeight="false" outlineLevel="0" collapsed="false">
      <c r="A1050" s="2" t="n">
        <v>1044</v>
      </c>
      <c r="B1050" s="15" t="n">
        <f aca="false">INT(A1050/151)</f>
        <v>6</v>
      </c>
      <c r="C1050" s="15" t="n">
        <f aca="false">MOD(A1050,151)</f>
        <v>138</v>
      </c>
      <c r="D1050" s="15" t="n">
        <f aca="false">INDEX(Grid!$J$6:$P$156,C1050+1,B1050+1)</f>
        <v>0</v>
      </c>
      <c r="E1050" s="16" t="str">
        <f aca="false">IF(D1050=1,INDEX(Grid!$B$6:$H$156,C1050+1,B1050+1),"")</f>
        <v/>
      </c>
      <c r="F1050" s="13" t="n">
        <f aca="false">Val_pt*(Ceiling_e-E_zero)*(1-(1-Half_gap)^B1050)</f>
        <v>137.8125</v>
      </c>
      <c r="G1050" s="15" t="n">
        <f aca="false">C1050</f>
        <v>138</v>
      </c>
      <c r="H1050" s="15" t="str">
        <f aca="false">IF(D1050=1,INDEX(Grid!$R$6:$X$156,C1050+1,B1050+1),"")</f>
        <v/>
      </c>
      <c r="I1050" s="2" t="str">
        <f aca="false">IF(D1050=1,INDEX(Sch_label,H1050+1),"")</f>
        <v/>
      </c>
      <c r="J1050" s="15" t="n">
        <f aca="false">IF(D1050=1,INDEX(Grid!$Z$6:$AF$156,C1050+1,B1050+1),0)</f>
        <v>0</v>
      </c>
      <c r="K1050" s="16" t="n">
        <f aca="false">IF(J1050=1,E1050,0)</f>
        <v>0</v>
      </c>
      <c r="L1050" s="17" t="str">
        <f aca="false">IF(D1050=1,E1050+W_board*F1050,"")</f>
        <v/>
      </c>
      <c r="Z1050" s="12" t="str">
        <f aca="false">IF(AND($J1050=1,$M1050=1),N1050*E1050/Span_P+O1050*F1050/Span_S+P1050*G1050/Span_B,"")</f>
        <v/>
      </c>
      <c r="AA1050" s="12" t="str">
        <f aca="false">IF(AND($J1050=1,$M1050=1),SUMPRODUCT(MAX($J$6:$J$1062*(N1050*$K$6:$K$1062/Span_P+O1050*$F$6:$F$1062/Span_S+P1050*$G$6:$G$1062/Span_B)-(1-$J$6:$J$1062)*1000000000)),"")</f>
        <v/>
      </c>
      <c r="AB1050" s="15" t="str">
        <f aca="false">IF(AND($J1050=1,$M1050=1),IF(AA1050-Z1050&lt;=0.000000001,1,0),"")</f>
        <v/>
      </c>
      <c r="AC1050" s="13" t="str">
        <f aca="false">IF(AND($J1050=1,$M1050=0),IF(S1050="",0,S1050*INDEX(Grid!$B$6:$H$156,R1050+1,Q1050+1))+IF(V1050="",0,V1050*INDEX(Grid!$B$6:$H$156,U1050+1,T1050+1))+IF(Y1050="",0,Y1050*INDEX(Grid!$B$6:$H$156,X1050+1,W1050+1)),"")</f>
        <v/>
      </c>
      <c r="AD1050" s="13" t="str">
        <f aca="false">IF(AND($J1050=1,$M1050=0),IF(S1050="",0,S1050*Val_pt*(Ceiling_e-E_zero)*(1-(1-Half_gap)^Q1050))+IF(V1050="",0,V1050*Val_pt*(Ceiling_e-E_zero)*(1-(1-Half_gap)^T1050))+IF(Y1050="",0,Y1050*Val_pt*(Ceiling_e-E_zero)*(1-(1-Half_gap)^W1050)),"")</f>
        <v/>
      </c>
      <c r="AE1050" s="13" t="str">
        <f aca="false">IF(AND($J1050=1,$M1050=0),IF(S1050="",0,S1050*R1050)+IF(V1050="",0,V1050*U1050)+IF(Y1050="",0,Y1050*X1050),"")</f>
        <v/>
      </c>
      <c r="AF1050" s="12" t="str">
        <f aca="false">IF(AND($J1050=1,$M1050=0),MIN((AC1050-E1050)/Span_P,(AD1050-F1050)/Span_S,(AE1050-G1050)/Span_B),"")</f>
        <v/>
      </c>
      <c r="AG1050" s="15" t="str">
        <f aca="false">IF(AND($J1050=1,$M1050=0),IF(AF1050&gt;0.0000001,1,0),"")</f>
        <v/>
      </c>
      <c r="AH1050" s="15" t="str">
        <f aca="false">IF($J1050=1,IF($M1050=1,AB1050,AG1050),"")</f>
        <v/>
      </c>
      <c r="AI1050" s="13" t="str">
        <f aca="false">IF($J1050=1,(Ideal_P-E1050)/Span_P,"")</f>
        <v/>
      </c>
      <c r="AJ1050" s="13" t="str">
        <f aca="false">IF($J1050=1,(Ideal_S-F1050)/Span_S,"")</f>
        <v/>
      </c>
      <c r="AK1050" s="13" t="str">
        <f aca="false">IF($J1050=1,(Ideal_B-G1050)/Span_B,"")</f>
        <v/>
      </c>
      <c r="AL1050" s="12" t="str">
        <f aca="false">IF($J1050=1,MAX(ChA_1*AI1050,ChA_2*AJ1050,ChA_3*AK1050)+Rho*(ChA_1*AI1050+ChA_2*AJ1050+ChA_3*AK1050),"")</f>
        <v/>
      </c>
      <c r="AM1050" s="12" t="str">
        <f aca="false">IF($J1050=1,MAX(ChB_1*AI1050,ChB_2*AJ1050,ChB_3*AK1050)+Rho*(ChB_1*AI1050+ChB_2*AJ1050+ChB_3*AK1050),"")</f>
        <v/>
      </c>
      <c r="AN1050" s="12" t="str">
        <f aca="false">IF($J1050=1,MAX(Cx_1*(Ref_P-E1050)/Span_P,Cx_2*(Ref_S-F1050)/Span_S,Cx_3*(Ref_B-G1050)/Span_B),"")</f>
        <v/>
      </c>
    </row>
    <row r="1051" customFormat="false" ht="15" hidden="false" customHeight="false" outlineLevel="0" collapsed="false">
      <c r="A1051" s="2" t="n">
        <v>1045</v>
      </c>
      <c r="B1051" s="15" t="n">
        <f aca="false">INT(A1051/151)</f>
        <v>6</v>
      </c>
      <c r="C1051" s="15" t="n">
        <f aca="false">MOD(A1051,151)</f>
        <v>139</v>
      </c>
      <c r="D1051" s="15" t="n">
        <f aca="false">INDEX(Grid!$J$6:$P$156,C1051+1,B1051+1)</f>
        <v>0</v>
      </c>
      <c r="E1051" s="16" t="str">
        <f aca="false">IF(D1051=1,INDEX(Grid!$B$6:$H$156,C1051+1,B1051+1),"")</f>
        <v/>
      </c>
      <c r="F1051" s="13" t="n">
        <f aca="false">Val_pt*(Ceiling_e-E_zero)*(1-(1-Half_gap)^B1051)</f>
        <v>137.8125</v>
      </c>
      <c r="G1051" s="15" t="n">
        <f aca="false">C1051</f>
        <v>139</v>
      </c>
      <c r="H1051" s="15" t="str">
        <f aca="false">IF(D1051=1,INDEX(Grid!$R$6:$X$156,C1051+1,B1051+1),"")</f>
        <v/>
      </c>
      <c r="I1051" s="2" t="str">
        <f aca="false">IF(D1051=1,INDEX(Sch_label,H1051+1),"")</f>
        <v/>
      </c>
      <c r="J1051" s="15" t="n">
        <f aca="false">IF(D1051=1,INDEX(Grid!$Z$6:$AF$156,C1051+1,B1051+1),0)</f>
        <v>0</v>
      </c>
      <c r="K1051" s="16" t="n">
        <f aca="false">IF(J1051=1,E1051,0)</f>
        <v>0</v>
      </c>
      <c r="L1051" s="17" t="str">
        <f aca="false">IF(D1051=1,E1051+W_board*F1051,"")</f>
        <v/>
      </c>
      <c r="Z1051" s="12" t="str">
        <f aca="false">IF(AND($J1051=1,$M1051=1),N1051*E1051/Span_P+O1051*F1051/Span_S+P1051*G1051/Span_B,"")</f>
        <v/>
      </c>
      <c r="AA1051" s="12" t="str">
        <f aca="false">IF(AND($J1051=1,$M1051=1),SUMPRODUCT(MAX($J$6:$J$1062*(N1051*$K$6:$K$1062/Span_P+O1051*$F$6:$F$1062/Span_S+P1051*$G$6:$G$1062/Span_B)-(1-$J$6:$J$1062)*1000000000)),"")</f>
        <v/>
      </c>
      <c r="AB1051" s="15" t="str">
        <f aca="false">IF(AND($J1051=1,$M1051=1),IF(AA1051-Z1051&lt;=0.000000001,1,0),"")</f>
        <v/>
      </c>
      <c r="AC1051" s="13" t="str">
        <f aca="false">IF(AND($J1051=1,$M1051=0),IF(S1051="",0,S1051*INDEX(Grid!$B$6:$H$156,R1051+1,Q1051+1))+IF(V1051="",0,V1051*INDEX(Grid!$B$6:$H$156,U1051+1,T1051+1))+IF(Y1051="",0,Y1051*INDEX(Grid!$B$6:$H$156,X1051+1,W1051+1)),"")</f>
        <v/>
      </c>
      <c r="AD1051" s="13" t="str">
        <f aca="false">IF(AND($J1051=1,$M1051=0),IF(S1051="",0,S1051*Val_pt*(Ceiling_e-E_zero)*(1-(1-Half_gap)^Q1051))+IF(V1051="",0,V1051*Val_pt*(Ceiling_e-E_zero)*(1-(1-Half_gap)^T1051))+IF(Y1051="",0,Y1051*Val_pt*(Ceiling_e-E_zero)*(1-(1-Half_gap)^W1051)),"")</f>
        <v/>
      </c>
      <c r="AE1051" s="13" t="str">
        <f aca="false">IF(AND($J1051=1,$M1051=0),IF(S1051="",0,S1051*R1051)+IF(V1051="",0,V1051*U1051)+IF(Y1051="",0,Y1051*X1051),"")</f>
        <v/>
      </c>
      <c r="AF1051" s="12" t="str">
        <f aca="false">IF(AND($J1051=1,$M1051=0),MIN((AC1051-E1051)/Span_P,(AD1051-F1051)/Span_S,(AE1051-G1051)/Span_B),"")</f>
        <v/>
      </c>
      <c r="AG1051" s="15" t="str">
        <f aca="false">IF(AND($J1051=1,$M1051=0),IF(AF1051&gt;0.0000001,1,0),"")</f>
        <v/>
      </c>
      <c r="AH1051" s="15" t="str">
        <f aca="false">IF($J1051=1,IF($M1051=1,AB1051,AG1051),"")</f>
        <v/>
      </c>
      <c r="AI1051" s="13" t="str">
        <f aca="false">IF($J1051=1,(Ideal_P-E1051)/Span_P,"")</f>
        <v/>
      </c>
      <c r="AJ1051" s="13" t="str">
        <f aca="false">IF($J1051=1,(Ideal_S-F1051)/Span_S,"")</f>
        <v/>
      </c>
      <c r="AK1051" s="13" t="str">
        <f aca="false">IF($J1051=1,(Ideal_B-G1051)/Span_B,"")</f>
        <v/>
      </c>
      <c r="AL1051" s="12" t="str">
        <f aca="false">IF($J1051=1,MAX(ChA_1*AI1051,ChA_2*AJ1051,ChA_3*AK1051)+Rho*(ChA_1*AI1051+ChA_2*AJ1051+ChA_3*AK1051),"")</f>
        <v/>
      </c>
      <c r="AM1051" s="12" t="str">
        <f aca="false">IF($J1051=1,MAX(ChB_1*AI1051,ChB_2*AJ1051,ChB_3*AK1051)+Rho*(ChB_1*AI1051+ChB_2*AJ1051+ChB_3*AK1051),"")</f>
        <v/>
      </c>
      <c r="AN1051" s="12" t="str">
        <f aca="false">IF($J1051=1,MAX(Cx_1*(Ref_P-E1051)/Span_P,Cx_2*(Ref_S-F1051)/Span_S,Cx_3*(Ref_B-G1051)/Span_B),"")</f>
        <v/>
      </c>
    </row>
    <row r="1052" customFormat="false" ht="15" hidden="false" customHeight="false" outlineLevel="0" collapsed="false">
      <c r="A1052" s="2" t="n">
        <v>1046</v>
      </c>
      <c r="B1052" s="15" t="n">
        <f aca="false">INT(A1052/151)</f>
        <v>6</v>
      </c>
      <c r="C1052" s="15" t="n">
        <f aca="false">MOD(A1052,151)</f>
        <v>140</v>
      </c>
      <c r="D1052" s="15" t="n">
        <f aca="false">INDEX(Grid!$J$6:$P$156,C1052+1,B1052+1)</f>
        <v>0</v>
      </c>
      <c r="E1052" s="16" t="str">
        <f aca="false">IF(D1052=1,INDEX(Grid!$B$6:$H$156,C1052+1,B1052+1),"")</f>
        <v/>
      </c>
      <c r="F1052" s="13" t="n">
        <f aca="false">Val_pt*(Ceiling_e-E_zero)*(1-(1-Half_gap)^B1052)</f>
        <v>137.8125</v>
      </c>
      <c r="G1052" s="15" t="n">
        <f aca="false">C1052</f>
        <v>140</v>
      </c>
      <c r="H1052" s="15" t="str">
        <f aca="false">IF(D1052=1,INDEX(Grid!$R$6:$X$156,C1052+1,B1052+1),"")</f>
        <v/>
      </c>
      <c r="I1052" s="2" t="str">
        <f aca="false">IF(D1052=1,INDEX(Sch_label,H1052+1),"")</f>
        <v/>
      </c>
      <c r="J1052" s="15" t="n">
        <f aca="false">IF(D1052=1,INDEX(Grid!$Z$6:$AF$156,C1052+1,B1052+1),0)</f>
        <v>0</v>
      </c>
      <c r="K1052" s="16" t="n">
        <f aca="false">IF(J1052=1,E1052,0)</f>
        <v>0</v>
      </c>
      <c r="L1052" s="17" t="str">
        <f aca="false">IF(D1052=1,E1052+W_board*F1052,"")</f>
        <v/>
      </c>
      <c r="Z1052" s="12" t="str">
        <f aca="false">IF(AND($J1052=1,$M1052=1),N1052*E1052/Span_P+O1052*F1052/Span_S+P1052*G1052/Span_B,"")</f>
        <v/>
      </c>
      <c r="AA1052" s="12" t="str">
        <f aca="false">IF(AND($J1052=1,$M1052=1),SUMPRODUCT(MAX($J$6:$J$1062*(N1052*$K$6:$K$1062/Span_P+O1052*$F$6:$F$1062/Span_S+P1052*$G$6:$G$1062/Span_B)-(1-$J$6:$J$1062)*1000000000)),"")</f>
        <v/>
      </c>
      <c r="AB1052" s="15" t="str">
        <f aca="false">IF(AND($J1052=1,$M1052=1),IF(AA1052-Z1052&lt;=0.000000001,1,0),"")</f>
        <v/>
      </c>
      <c r="AC1052" s="13" t="str">
        <f aca="false">IF(AND($J1052=1,$M1052=0),IF(S1052="",0,S1052*INDEX(Grid!$B$6:$H$156,R1052+1,Q1052+1))+IF(V1052="",0,V1052*INDEX(Grid!$B$6:$H$156,U1052+1,T1052+1))+IF(Y1052="",0,Y1052*INDEX(Grid!$B$6:$H$156,X1052+1,W1052+1)),"")</f>
        <v/>
      </c>
      <c r="AD1052" s="13" t="str">
        <f aca="false">IF(AND($J1052=1,$M1052=0),IF(S1052="",0,S1052*Val_pt*(Ceiling_e-E_zero)*(1-(1-Half_gap)^Q1052))+IF(V1052="",0,V1052*Val_pt*(Ceiling_e-E_zero)*(1-(1-Half_gap)^T1052))+IF(Y1052="",0,Y1052*Val_pt*(Ceiling_e-E_zero)*(1-(1-Half_gap)^W1052)),"")</f>
        <v/>
      </c>
      <c r="AE1052" s="13" t="str">
        <f aca="false">IF(AND($J1052=1,$M1052=0),IF(S1052="",0,S1052*R1052)+IF(V1052="",0,V1052*U1052)+IF(Y1052="",0,Y1052*X1052),"")</f>
        <v/>
      </c>
      <c r="AF1052" s="12" t="str">
        <f aca="false">IF(AND($J1052=1,$M1052=0),MIN((AC1052-E1052)/Span_P,(AD1052-F1052)/Span_S,(AE1052-G1052)/Span_B),"")</f>
        <v/>
      </c>
      <c r="AG1052" s="15" t="str">
        <f aca="false">IF(AND($J1052=1,$M1052=0),IF(AF1052&gt;0.0000001,1,0),"")</f>
        <v/>
      </c>
      <c r="AH1052" s="15" t="str">
        <f aca="false">IF($J1052=1,IF($M1052=1,AB1052,AG1052),"")</f>
        <v/>
      </c>
      <c r="AI1052" s="13" t="str">
        <f aca="false">IF($J1052=1,(Ideal_P-E1052)/Span_P,"")</f>
        <v/>
      </c>
      <c r="AJ1052" s="13" t="str">
        <f aca="false">IF($J1052=1,(Ideal_S-F1052)/Span_S,"")</f>
        <v/>
      </c>
      <c r="AK1052" s="13" t="str">
        <f aca="false">IF($J1052=1,(Ideal_B-G1052)/Span_B,"")</f>
        <v/>
      </c>
      <c r="AL1052" s="12" t="str">
        <f aca="false">IF($J1052=1,MAX(ChA_1*AI1052,ChA_2*AJ1052,ChA_3*AK1052)+Rho*(ChA_1*AI1052+ChA_2*AJ1052+ChA_3*AK1052),"")</f>
        <v/>
      </c>
      <c r="AM1052" s="12" t="str">
        <f aca="false">IF($J1052=1,MAX(ChB_1*AI1052,ChB_2*AJ1052,ChB_3*AK1052)+Rho*(ChB_1*AI1052+ChB_2*AJ1052+ChB_3*AK1052),"")</f>
        <v/>
      </c>
      <c r="AN1052" s="12" t="str">
        <f aca="false">IF($J1052=1,MAX(Cx_1*(Ref_P-E1052)/Span_P,Cx_2*(Ref_S-F1052)/Span_S,Cx_3*(Ref_B-G1052)/Span_B),"")</f>
        <v/>
      </c>
    </row>
    <row r="1053" customFormat="false" ht="15" hidden="false" customHeight="false" outlineLevel="0" collapsed="false">
      <c r="A1053" s="2" t="n">
        <v>1047</v>
      </c>
      <c r="B1053" s="15" t="n">
        <f aca="false">INT(A1053/151)</f>
        <v>6</v>
      </c>
      <c r="C1053" s="15" t="n">
        <f aca="false">MOD(A1053,151)</f>
        <v>141</v>
      </c>
      <c r="D1053" s="15" t="n">
        <f aca="false">INDEX(Grid!$J$6:$P$156,C1053+1,B1053+1)</f>
        <v>0</v>
      </c>
      <c r="E1053" s="16" t="str">
        <f aca="false">IF(D1053=1,INDEX(Grid!$B$6:$H$156,C1053+1,B1053+1),"")</f>
        <v/>
      </c>
      <c r="F1053" s="13" t="n">
        <f aca="false">Val_pt*(Ceiling_e-E_zero)*(1-(1-Half_gap)^B1053)</f>
        <v>137.8125</v>
      </c>
      <c r="G1053" s="15" t="n">
        <f aca="false">C1053</f>
        <v>141</v>
      </c>
      <c r="H1053" s="15" t="str">
        <f aca="false">IF(D1053=1,INDEX(Grid!$R$6:$X$156,C1053+1,B1053+1),"")</f>
        <v/>
      </c>
      <c r="I1053" s="2" t="str">
        <f aca="false">IF(D1053=1,INDEX(Sch_label,H1053+1),"")</f>
        <v/>
      </c>
      <c r="J1053" s="15" t="n">
        <f aca="false">IF(D1053=1,INDEX(Grid!$Z$6:$AF$156,C1053+1,B1053+1),0)</f>
        <v>0</v>
      </c>
      <c r="K1053" s="16" t="n">
        <f aca="false">IF(J1053=1,E1053,0)</f>
        <v>0</v>
      </c>
      <c r="L1053" s="17" t="str">
        <f aca="false">IF(D1053=1,E1053+W_board*F1053,"")</f>
        <v/>
      </c>
      <c r="Z1053" s="12" t="str">
        <f aca="false">IF(AND($J1053=1,$M1053=1),N1053*E1053/Span_P+O1053*F1053/Span_S+P1053*G1053/Span_B,"")</f>
        <v/>
      </c>
      <c r="AA1053" s="12" t="str">
        <f aca="false">IF(AND($J1053=1,$M1053=1),SUMPRODUCT(MAX($J$6:$J$1062*(N1053*$K$6:$K$1062/Span_P+O1053*$F$6:$F$1062/Span_S+P1053*$G$6:$G$1062/Span_B)-(1-$J$6:$J$1062)*1000000000)),"")</f>
        <v/>
      </c>
      <c r="AB1053" s="15" t="str">
        <f aca="false">IF(AND($J1053=1,$M1053=1),IF(AA1053-Z1053&lt;=0.000000001,1,0),"")</f>
        <v/>
      </c>
      <c r="AC1053" s="13" t="str">
        <f aca="false">IF(AND($J1053=1,$M1053=0),IF(S1053="",0,S1053*INDEX(Grid!$B$6:$H$156,R1053+1,Q1053+1))+IF(V1053="",0,V1053*INDEX(Grid!$B$6:$H$156,U1053+1,T1053+1))+IF(Y1053="",0,Y1053*INDEX(Grid!$B$6:$H$156,X1053+1,W1053+1)),"")</f>
        <v/>
      </c>
      <c r="AD1053" s="13" t="str">
        <f aca="false">IF(AND($J1053=1,$M1053=0),IF(S1053="",0,S1053*Val_pt*(Ceiling_e-E_zero)*(1-(1-Half_gap)^Q1053))+IF(V1053="",0,V1053*Val_pt*(Ceiling_e-E_zero)*(1-(1-Half_gap)^T1053))+IF(Y1053="",0,Y1053*Val_pt*(Ceiling_e-E_zero)*(1-(1-Half_gap)^W1053)),"")</f>
        <v/>
      </c>
      <c r="AE1053" s="13" t="str">
        <f aca="false">IF(AND($J1053=1,$M1053=0),IF(S1053="",0,S1053*R1053)+IF(V1053="",0,V1053*U1053)+IF(Y1053="",0,Y1053*X1053),"")</f>
        <v/>
      </c>
      <c r="AF1053" s="12" t="str">
        <f aca="false">IF(AND($J1053=1,$M1053=0),MIN((AC1053-E1053)/Span_P,(AD1053-F1053)/Span_S,(AE1053-G1053)/Span_B),"")</f>
        <v/>
      </c>
      <c r="AG1053" s="15" t="str">
        <f aca="false">IF(AND($J1053=1,$M1053=0),IF(AF1053&gt;0.0000001,1,0),"")</f>
        <v/>
      </c>
      <c r="AH1053" s="15" t="str">
        <f aca="false">IF($J1053=1,IF($M1053=1,AB1053,AG1053),"")</f>
        <v/>
      </c>
      <c r="AI1053" s="13" t="str">
        <f aca="false">IF($J1053=1,(Ideal_P-E1053)/Span_P,"")</f>
        <v/>
      </c>
      <c r="AJ1053" s="13" t="str">
        <f aca="false">IF($J1053=1,(Ideal_S-F1053)/Span_S,"")</f>
        <v/>
      </c>
      <c r="AK1053" s="13" t="str">
        <f aca="false">IF($J1053=1,(Ideal_B-G1053)/Span_B,"")</f>
        <v/>
      </c>
      <c r="AL1053" s="12" t="str">
        <f aca="false">IF($J1053=1,MAX(ChA_1*AI1053,ChA_2*AJ1053,ChA_3*AK1053)+Rho*(ChA_1*AI1053+ChA_2*AJ1053+ChA_3*AK1053),"")</f>
        <v/>
      </c>
      <c r="AM1053" s="12" t="str">
        <f aca="false">IF($J1053=1,MAX(ChB_1*AI1053,ChB_2*AJ1053,ChB_3*AK1053)+Rho*(ChB_1*AI1053+ChB_2*AJ1053+ChB_3*AK1053),"")</f>
        <v/>
      </c>
      <c r="AN1053" s="12" t="str">
        <f aca="false">IF($J1053=1,MAX(Cx_1*(Ref_P-E1053)/Span_P,Cx_2*(Ref_S-F1053)/Span_S,Cx_3*(Ref_B-G1053)/Span_B),"")</f>
        <v/>
      </c>
    </row>
    <row r="1054" customFormat="false" ht="15" hidden="false" customHeight="false" outlineLevel="0" collapsed="false">
      <c r="A1054" s="2" t="n">
        <v>1048</v>
      </c>
      <c r="B1054" s="15" t="n">
        <f aca="false">INT(A1054/151)</f>
        <v>6</v>
      </c>
      <c r="C1054" s="15" t="n">
        <f aca="false">MOD(A1054,151)</f>
        <v>142</v>
      </c>
      <c r="D1054" s="15" t="n">
        <f aca="false">INDEX(Grid!$J$6:$P$156,C1054+1,B1054+1)</f>
        <v>0</v>
      </c>
      <c r="E1054" s="16" t="str">
        <f aca="false">IF(D1054=1,INDEX(Grid!$B$6:$H$156,C1054+1,B1054+1),"")</f>
        <v/>
      </c>
      <c r="F1054" s="13" t="n">
        <f aca="false">Val_pt*(Ceiling_e-E_zero)*(1-(1-Half_gap)^B1054)</f>
        <v>137.8125</v>
      </c>
      <c r="G1054" s="15" t="n">
        <f aca="false">C1054</f>
        <v>142</v>
      </c>
      <c r="H1054" s="15" t="str">
        <f aca="false">IF(D1054=1,INDEX(Grid!$R$6:$X$156,C1054+1,B1054+1),"")</f>
        <v/>
      </c>
      <c r="I1054" s="2" t="str">
        <f aca="false">IF(D1054=1,INDEX(Sch_label,H1054+1),"")</f>
        <v/>
      </c>
      <c r="J1054" s="15" t="n">
        <f aca="false">IF(D1054=1,INDEX(Grid!$Z$6:$AF$156,C1054+1,B1054+1),0)</f>
        <v>0</v>
      </c>
      <c r="K1054" s="16" t="n">
        <f aca="false">IF(J1054=1,E1054,0)</f>
        <v>0</v>
      </c>
      <c r="L1054" s="17" t="str">
        <f aca="false">IF(D1054=1,E1054+W_board*F1054,"")</f>
        <v/>
      </c>
      <c r="Z1054" s="12" t="str">
        <f aca="false">IF(AND($J1054=1,$M1054=1),N1054*E1054/Span_P+O1054*F1054/Span_S+P1054*G1054/Span_B,"")</f>
        <v/>
      </c>
      <c r="AA1054" s="12" t="str">
        <f aca="false">IF(AND($J1054=1,$M1054=1),SUMPRODUCT(MAX($J$6:$J$1062*(N1054*$K$6:$K$1062/Span_P+O1054*$F$6:$F$1062/Span_S+P1054*$G$6:$G$1062/Span_B)-(1-$J$6:$J$1062)*1000000000)),"")</f>
        <v/>
      </c>
      <c r="AB1054" s="15" t="str">
        <f aca="false">IF(AND($J1054=1,$M1054=1),IF(AA1054-Z1054&lt;=0.000000001,1,0),"")</f>
        <v/>
      </c>
      <c r="AC1054" s="13" t="str">
        <f aca="false">IF(AND($J1054=1,$M1054=0),IF(S1054="",0,S1054*INDEX(Grid!$B$6:$H$156,R1054+1,Q1054+1))+IF(V1054="",0,V1054*INDEX(Grid!$B$6:$H$156,U1054+1,T1054+1))+IF(Y1054="",0,Y1054*INDEX(Grid!$B$6:$H$156,X1054+1,W1054+1)),"")</f>
        <v/>
      </c>
      <c r="AD1054" s="13" t="str">
        <f aca="false">IF(AND($J1054=1,$M1054=0),IF(S1054="",0,S1054*Val_pt*(Ceiling_e-E_zero)*(1-(1-Half_gap)^Q1054))+IF(V1054="",0,V1054*Val_pt*(Ceiling_e-E_zero)*(1-(1-Half_gap)^T1054))+IF(Y1054="",0,Y1054*Val_pt*(Ceiling_e-E_zero)*(1-(1-Half_gap)^W1054)),"")</f>
        <v/>
      </c>
      <c r="AE1054" s="13" t="str">
        <f aca="false">IF(AND($J1054=1,$M1054=0),IF(S1054="",0,S1054*R1054)+IF(V1054="",0,V1054*U1054)+IF(Y1054="",0,Y1054*X1054),"")</f>
        <v/>
      </c>
      <c r="AF1054" s="12" t="str">
        <f aca="false">IF(AND($J1054=1,$M1054=0),MIN((AC1054-E1054)/Span_P,(AD1054-F1054)/Span_S,(AE1054-G1054)/Span_B),"")</f>
        <v/>
      </c>
      <c r="AG1054" s="15" t="str">
        <f aca="false">IF(AND($J1054=1,$M1054=0),IF(AF1054&gt;0.0000001,1,0),"")</f>
        <v/>
      </c>
      <c r="AH1054" s="15" t="str">
        <f aca="false">IF($J1054=1,IF($M1054=1,AB1054,AG1054),"")</f>
        <v/>
      </c>
      <c r="AI1054" s="13" t="str">
        <f aca="false">IF($J1054=1,(Ideal_P-E1054)/Span_P,"")</f>
        <v/>
      </c>
      <c r="AJ1054" s="13" t="str">
        <f aca="false">IF($J1054=1,(Ideal_S-F1054)/Span_S,"")</f>
        <v/>
      </c>
      <c r="AK1054" s="13" t="str">
        <f aca="false">IF($J1054=1,(Ideal_B-G1054)/Span_B,"")</f>
        <v/>
      </c>
      <c r="AL1054" s="12" t="str">
        <f aca="false">IF($J1054=1,MAX(ChA_1*AI1054,ChA_2*AJ1054,ChA_3*AK1054)+Rho*(ChA_1*AI1054+ChA_2*AJ1054+ChA_3*AK1054),"")</f>
        <v/>
      </c>
      <c r="AM1054" s="12" t="str">
        <f aca="false">IF($J1054=1,MAX(ChB_1*AI1054,ChB_2*AJ1054,ChB_3*AK1054)+Rho*(ChB_1*AI1054+ChB_2*AJ1054+ChB_3*AK1054),"")</f>
        <v/>
      </c>
      <c r="AN1054" s="12" t="str">
        <f aca="false">IF($J1054=1,MAX(Cx_1*(Ref_P-E1054)/Span_P,Cx_2*(Ref_S-F1054)/Span_S,Cx_3*(Ref_B-G1054)/Span_B),"")</f>
        <v/>
      </c>
    </row>
    <row r="1055" customFormat="false" ht="15" hidden="false" customHeight="false" outlineLevel="0" collapsed="false">
      <c r="A1055" s="2" t="n">
        <v>1049</v>
      </c>
      <c r="B1055" s="15" t="n">
        <f aca="false">INT(A1055/151)</f>
        <v>6</v>
      </c>
      <c r="C1055" s="15" t="n">
        <f aca="false">MOD(A1055,151)</f>
        <v>143</v>
      </c>
      <c r="D1055" s="15" t="n">
        <f aca="false">INDEX(Grid!$J$6:$P$156,C1055+1,B1055+1)</f>
        <v>0</v>
      </c>
      <c r="E1055" s="16" t="str">
        <f aca="false">IF(D1055=1,INDEX(Grid!$B$6:$H$156,C1055+1,B1055+1),"")</f>
        <v/>
      </c>
      <c r="F1055" s="13" t="n">
        <f aca="false">Val_pt*(Ceiling_e-E_zero)*(1-(1-Half_gap)^B1055)</f>
        <v>137.8125</v>
      </c>
      <c r="G1055" s="15" t="n">
        <f aca="false">C1055</f>
        <v>143</v>
      </c>
      <c r="H1055" s="15" t="str">
        <f aca="false">IF(D1055=1,INDEX(Grid!$R$6:$X$156,C1055+1,B1055+1),"")</f>
        <v/>
      </c>
      <c r="I1055" s="2" t="str">
        <f aca="false">IF(D1055=1,INDEX(Sch_label,H1055+1),"")</f>
        <v/>
      </c>
      <c r="J1055" s="15" t="n">
        <f aca="false">IF(D1055=1,INDEX(Grid!$Z$6:$AF$156,C1055+1,B1055+1),0)</f>
        <v>0</v>
      </c>
      <c r="K1055" s="16" t="n">
        <f aca="false">IF(J1055=1,E1055,0)</f>
        <v>0</v>
      </c>
      <c r="L1055" s="17" t="str">
        <f aca="false">IF(D1055=1,E1055+W_board*F1055,"")</f>
        <v/>
      </c>
      <c r="Z1055" s="12" t="str">
        <f aca="false">IF(AND($J1055=1,$M1055=1),N1055*E1055/Span_P+O1055*F1055/Span_S+P1055*G1055/Span_B,"")</f>
        <v/>
      </c>
      <c r="AA1055" s="12" t="str">
        <f aca="false">IF(AND($J1055=1,$M1055=1),SUMPRODUCT(MAX($J$6:$J$1062*(N1055*$K$6:$K$1062/Span_P+O1055*$F$6:$F$1062/Span_S+P1055*$G$6:$G$1062/Span_B)-(1-$J$6:$J$1062)*1000000000)),"")</f>
        <v/>
      </c>
      <c r="AB1055" s="15" t="str">
        <f aca="false">IF(AND($J1055=1,$M1055=1),IF(AA1055-Z1055&lt;=0.000000001,1,0),"")</f>
        <v/>
      </c>
      <c r="AC1055" s="13" t="str">
        <f aca="false">IF(AND($J1055=1,$M1055=0),IF(S1055="",0,S1055*INDEX(Grid!$B$6:$H$156,R1055+1,Q1055+1))+IF(V1055="",0,V1055*INDEX(Grid!$B$6:$H$156,U1055+1,T1055+1))+IF(Y1055="",0,Y1055*INDEX(Grid!$B$6:$H$156,X1055+1,W1055+1)),"")</f>
        <v/>
      </c>
      <c r="AD1055" s="13" t="str">
        <f aca="false">IF(AND($J1055=1,$M1055=0),IF(S1055="",0,S1055*Val_pt*(Ceiling_e-E_zero)*(1-(1-Half_gap)^Q1055))+IF(V1055="",0,V1055*Val_pt*(Ceiling_e-E_zero)*(1-(1-Half_gap)^T1055))+IF(Y1055="",0,Y1055*Val_pt*(Ceiling_e-E_zero)*(1-(1-Half_gap)^W1055)),"")</f>
        <v/>
      </c>
      <c r="AE1055" s="13" t="str">
        <f aca="false">IF(AND($J1055=1,$M1055=0),IF(S1055="",0,S1055*R1055)+IF(V1055="",0,V1055*U1055)+IF(Y1055="",0,Y1055*X1055),"")</f>
        <v/>
      </c>
      <c r="AF1055" s="12" t="str">
        <f aca="false">IF(AND($J1055=1,$M1055=0),MIN((AC1055-E1055)/Span_P,(AD1055-F1055)/Span_S,(AE1055-G1055)/Span_B),"")</f>
        <v/>
      </c>
      <c r="AG1055" s="15" t="str">
        <f aca="false">IF(AND($J1055=1,$M1055=0),IF(AF1055&gt;0.0000001,1,0),"")</f>
        <v/>
      </c>
      <c r="AH1055" s="15" t="str">
        <f aca="false">IF($J1055=1,IF($M1055=1,AB1055,AG1055),"")</f>
        <v/>
      </c>
      <c r="AI1055" s="13" t="str">
        <f aca="false">IF($J1055=1,(Ideal_P-E1055)/Span_P,"")</f>
        <v/>
      </c>
      <c r="AJ1055" s="13" t="str">
        <f aca="false">IF($J1055=1,(Ideal_S-F1055)/Span_S,"")</f>
        <v/>
      </c>
      <c r="AK1055" s="13" t="str">
        <f aca="false">IF($J1055=1,(Ideal_B-G1055)/Span_B,"")</f>
        <v/>
      </c>
      <c r="AL1055" s="12" t="str">
        <f aca="false">IF($J1055=1,MAX(ChA_1*AI1055,ChA_2*AJ1055,ChA_3*AK1055)+Rho*(ChA_1*AI1055+ChA_2*AJ1055+ChA_3*AK1055),"")</f>
        <v/>
      </c>
      <c r="AM1055" s="12" t="str">
        <f aca="false">IF($J1055=1,MAX(ChB_1*AI1055,ChB_2*AJ1055,ChB_3*AK1055)+Rho*(ChB_1*AI1055+ChB_2*AJ1055+ChB_3*AK1055),"")</f>
        <v/>
      </c>
      <c r="AN1055" s="12" t="str">
        <f aca="false">IF($J1055=1,MAX(Cx_1*(Ref_P-E1055)/Span_P,Cx_2*(Ref_S-F1055)/Span_S,Cx_3*(Ref_B-G1055)/Span_B),"")</f>
        <v/>
      </c>
    </row>
    <row r="1056" customFormat="false" ht="15" hidden="false" customHeight="false" outlineLevel="0" collapsed="false">
      <c r="A1056" s="2" t="n">
        <v>1050</v>
      </c>
      <c r="B1056" s="15" t="n">
        <f aca="false">INT(A1056/151)</f>
        <v>6</v>
      </c>
      <c r="C1056" s="15" t="n">
        <f aca="false">MOD(A1056,151)</f>
        <v>144</v>
      </c>
      <c r="D1056" s="15" t="n">
        <f aca="false">INDEX(Grid!$J$6:$P$156,C1056+1,B1056+1)</f>
        <v>0</v>
      </c>
      <c r="E1056" s="16" t="str">
        <f aca="false">IF(D1056=1,INDEX(Grid!$B$6:$H$156,C1056+1,B1056+1),"")</f>
        <v/>
      </c>
      <c r="F1056" s="13" t="n">
        <f aca="false">Val_pt*(Ceiling_e-E_zero)*(1-(1-Half_gap)^B1056)</f>
        <v>137.8125</v>
      </c>
      <c r="G1056" s="15" t="n">
        <f aca="false">C1056</f>
        <v>144</v>
      </c>
      <c r="H1056" s="15" t="str">
        <f aca="false">IF(D1056=1,INDEX(Grid!$R$6:$X$156,C1056+1,B1056+1),"")</f>
        <v/>
      </c>
      <c r="I1056" s="2" t="str">
        <f aca="false">IF(D1056=1,INDEX(Sch_label,H1056+1),"")</f>
        <v/>
      </c>
      <c r="J1056" s="15" t="n">
        <f aca="false">IF(D1056=1,INDEX(Grid!$Z$6:$AF$156,C1056+1,B1056+1),0)</f>
        <v>0</v>
      </c>
      <c r="K1056" s="16" t="n">
        <f aca="false">IF(J1056=1,E1056,0)</f>
        <v>0</v>
      </c>
      <c r="L1056" s="17" t="str">
        <f aca="false">IF(D1056=1,E1056+W_board*F1056,"")</f>
        <v/>
      </c>
      <c r="Z1056" s="12" t="str">
        <f aca="false">IF(AND($J1056=1,$M1056=1),N1056*E1056/Span_P+O1056*F1056/Span_S+P1056*G1056/Span_B,"")</f>
        <v/>
      </c>
      <c r="AA1056" s="12" t="str">
        <f aca="false">IF(AND($J1056=1,$M1056=1),SUMPRODUCT(MAX($J$6:$J$1062*(N1056*$K$6:$K$1062/Span_P+O1056*$F$6:$F$1062/Span_S+P1056*$G$6:$G$1062/Span_B)-(1-$J$6:$J$1062)*1000000000)),"")</f>
        <v/>
      </c>
      <c r="AB1056" s="15" t="str">
        <f aca="false">IF(AND($J1056=1,$M1056=1),IF(AA1056-Z1056&lt;=0.000000001,1,0),"")</f>
        <v/>
      </c>
      <c r="AC1056" s="13" t="str">
        <f aca="false">IF(AND($J1056=1,$M1056=0),IF(S1056="",0,S1056*INDEX(Grid!$B$6:$H$156,R1056+1,Q1056+1))+IF(V1056="",0,V1056*INDEX(Grid!$B$6:$H$156,U1056+1,T1056+1))+IF(Y1056="",0,Y1056*INDEX(Grid!$B$6:$H$156,X1056+1,W1056+1)),"")</f>
        <v/>
      </c>
      <c r="AD1056" s="13" t="str">
        <f aca="false">IF(AND($J1056=1,$M1056=0),IF(S1056="",0,S1056*Val_pt*(Ceiling_e-E_zero)*(1-(1-Half_gap)^Q1056))+IF(V1056="",0,V1056*Val_pt*(Ceiling_e-E_zero)*(1-(1-Half_gap)^T1056))+IF(Y1056="",0,Y1056*Val_pt*(Ceiling_e-E_zero)*(1-(1-Half_gap)^W1056)),"")</f>
        <v/>
      </c>
      <c r="AE1056" s="13" t="str">
        <f aca="false">IF(AND($J1056=1,$M1056=0),IF(S1056="",0,S1056*R1056)+IF(V1056="",0,V1056*U1056)+IF(Y1056="",0,Y1056*X1056),"")</f>
        <v/>
      </c>
      <c r="AF1056" s="12" t="str">
        <f aca="false">IF(AND($J1056=1,$M1056=0),MIN((AC1056-E1056)/Span_P,(AD1056-F1056)/Span_S,(AE1056-G1056)/Span_B),"")</f>
        <v/>
      </c>
      <c r="AG1056" s="15" t="str">
        <f aca="false">IF(AND($J1056=1,$M1056=0),IF(AF1056&gt;0.0000001,1,0),"")</f>
        <v/>
      </c>
      <c r="AH1056" s="15" t="str">
        <f aca="false">IF($J1056=1,IF($M1056=1,AB1056,AG1056),"")</f>
        <v/>
      </c>
      <c r="AI1056" s="13" t="str">
        <f aca="false">IF($J1056=1,(Ideal_P-E1056)/Span_P,"")</f>
        <v/>
      </c>
      <c r="AJ1056" s="13" t="str">
        <f aca="false">IF($J1056=1,(Ideal_S-F1056)/Span_S,"")</f>
        <v/>
      </c>
      <c r="AK1056" s="13" t="str">
        <f aca="false">IF($J1056=1,(Ideal_B-G1056)/Span_B,"")</f>
        <v/>
      </c>
      <c r="AL1056" s="12" t="str">
        <f aca="false">IF($J1056=1,MAX(ChA_1*AI1056,ChA_2*AJ1056,ChA_3*AK1056)+Rho*(ChA_1*AI1056+ChA_2*AJ1056+ChA_3*AK1056),"")</f>
        <v/>
      </c>
      <c r="AM1056" s="12" t="str">
        <f aca="false">IF($J1056=1,MAX(ChB_1*AI1056,ChB_2*AJ1056,ChB_3*AK1056)+Rho*(ChB_1*AI1056+ChB_2*AJ1056+ChB_3*AK1056),"")</f>
        <v/>
      </c>
      <c r="AN1056" s="12" t="str">
        <f aca="false">IF($J1056=1,MAX(Cx_1*(Ref_P-E1056)/Span_P,Cx_2*(Ref_S-F1056)/Span_S,Cx_3*(Ref_B-G1056)/Span_B),"")</f>
        <v/>
      </c>
    </row>
    <row r="1057" customFormat="false" ht="15" hidden="false" customHeight="false" outlineLevel="0" collapsed="false">
      <c r="A1057" s="2" t="n">
        <v>1051</v>
      </c>
      <c r="B1057" s="15" t="n">
        <f aca="false">INT(A1057/151)</f>
        <v>6</v>
      </c>
      <c r="C1057" s="15" t="n">
        <f aca="false">MOD(A1057,151)</f>
        <v>145</v>
      </c>
      <c r="D1057" s="15" t="n">
        <f aca="false">INDEX(Grid!$J$6:$P$156,C1057+1,B1057+1)</f>
        <v>0</v>
      </c>
      <c r="E1057" s="16" t="str">
        <f aca="false">IF(D1057=1,INDEX(Grid!$B$6:$H$156,C1057+1,B1057+1),"")</f>
        <v/>
      </c>
      <c r="F1057" s="13" t="n">
        <f aca="false">Val_pt*(Ceiling_e-E_zero)*(1-(1-Half_gap)^B1057)</f>
        <v>137.8125</v>
      </c>
      <c r="G1057" s="15" t="n">
        <f aca="false">C1057</f>
        <v>145</v>
      </c>
      <c r="H1057" s="15" t="str">
        <f aca="false">IF(D1057=1,INDEX(Grid!$R$6:$X$156,C1057+1,B1057+1),"")</f>
        <v/>
      </c>
      <c r="I1057" s="2" t="str">
        <f aca="false">IF(D1057=1,INDEX(Sch_label,H1057+1),"")</f>
        <v/>
      </c>
      <c r="J1057" s="15" t="n">
        <f aca="false">IF(D1057=1,INDEX(Grid!$Z$6:$AF$156,C1057+1,B1057+1),0)</f>
        <v>0</v>
      </c>
      <c r="K1057" s="16" t="n">
        <f aca="false">IF(J1057=1,E1057,0)</f>
        <v>0</v>
      </c>
      <c r="L1057" s="17" t="str">
        <f aca="false">IF(D1057=1,E1057+W_board*F1057,"")</f>
        <v/>
      </c>
      <c r="Z1057" s="12" t="str">
        <f aca="false">IF(AND($J1057=1,$M1057=1),N1057*E1057/Span_P+O1057*F1057/Span_S+P1057*G1057/Span_B,"")</f>
        <v/>
      </c>
      <c r="AA1057" s="12" t="str">
        <f aca="false">IF(AND($J1057=1,$M1057=1),SUMPRODUCT(MAX($J$6:$J$1062*(N1057*$K$6:$K$1062/Span_P+O1057*$F$6:$F$1062/Span_S+P1057*$G$6:$G$1062/Span_B)-(1-$J$6:$J$1062)*1000000000)),"")</f>
        <v/>
      </c>
      <c r="AB1057" s="15" t="str">
        <f aca="false">IF(AND($J1057=1,$M1057=1),IF(AA1057-Z1057&lt;=0.000000001,1,0),"")</f>
        <v/>
      </c>
      <c r="AC1057" s="13" t="str">
        <f aca="false">IF(AND($J1057=1,$M1057=0),IF(S1057="",0,S1057*INDEX(Grid!$B$6:$H$156,R1057+1,Q1057+1))+IF(V1057="",0,V1057*INDEX(Grid!$B$6:$H$156,U1057+1,T1057+1))+IF(Y1057="",0,Y1057*INDEX(Grid!$B$6:$H$156,X1057+1,W1057+1)),"")</f>
        <v/>
      </c>
      <c r="AD1057" s="13" t="str">
        <f aca="false">IF(AND($J1057=1,$M1057=0),IF(S1057="",0,S1057*Val_pt*(Ceiling_e-E_zero)*(1-(1-Half_gap)^Q1057))+IF(V1057="",0,V1057*Val_pt*(Ceiling_e-E_zero)*(1-(1-Half_gap)^T1057))+IF(Y1057="",0,Y1057*Val_pt*(Ceiling_e-E_zero)*(1-(1-Half_gap)^W1057)),"")</f>
        <v/>
      </c>
      <c r="AE1057" s="13" t="str">
        <f aca="false">IF(AND($J1057=1,$M1057=0),IF(S1057="",0,S1057*R1057)+IF(V1057="",0,V1057*U1057)+IF(Y1057="",0,Y1057*X1057),"")</f>
        <v/>
      </c>
      <c r="AF1057" s="12" t="str">
        <f aca="false">IF(AND($J1057=1,$M1057=0),MIN((AC1057-E1057)/Span_P,(AD1057-F1057)/Span_S,(AE1057-G1057)/Span_B),"")</f>
        <v/>
      </c>
      <c r="AG1057" s="15" t="str">
        <f aca="false">IF(AND($J1057=1,$M1057=0),IF(AF1057&gt;0.0000001,1,0),"")</f>
        <v/>
      </c>
      <c r="AH1057" s="15" t="str">
        <f aca="false">IF($J1057=1,IF($M1057=1,AB1057,AG1057),"")</f>
        <v/>
      </c>
      <c r="AI1057" s="13" t="str">
        <f aca="false">IF($J1057=1,(Ideal_P-E1057)/Span_P,"")</f>
        <v/>
      </c>
      <c r="AJ1057" s="13" t="str">
        <f aca="false">IF($J1057=1,(Ideal_S-F1057)/Span_S,"")</f>
        <v/>
      </c>
      <c r="AK1057" s="13" t="str">
        <f aca="false">IF($J1057=1,(Ideal_B-G1057)/Span_B,"")</f>
        <v/>
      </c>
      <c r="AL1057" s="12" t="str">
        <f aca="false">IF($J1057=1,MAX(ChA_1*AI1057,ChA_2*AJ1057,ChA_3*AK1057)+Rho*(ChA_1*AI1057+ChA_2*AJ1057+ChA_3*AK1057),"")</f>
        <v/>
      </c>
      <c r="AM1057" s="12" t="str">
        <f aca="false">IF($J1057=1,MAX(ChB_1*AI1057,ChB_2*AJ1057,ChB_3*AK1057)+Rho*(ChB_1*AI1057+ChB_2*AJ1057+ChB_3*AK1057),"")</f>
        <v/>
      </c>
      <c r="AN1057" s="12" t="str">
        <f aca="false">IF($J1057=1,MAX(Cx_1*(Ref_P-E1057)/Span_P,Cx_2*(Ref_S-F1057)/Span_S,Cx_3*(Ref_B-G1057)/Span_B),"")</f>
        <v/>
      </c>
    </row>
    <row r="1058" customFormat="false" ht="15" hidden="false" customHeight="false" outlineLevel="0" collapsed="false">
      <c r="A1058" s="2" t="n">
        <v>1052</v>
      </c>
      <c r="B1058" s="15" t="n">
        <f aca="false">INT(A1058/151)</f>
        <v>6</v>
      </c>
      <c r="C1058" s="15" t="n">
        <f aca="false">MOD(A1058,151)</f>
        <v>146</v>
      </c>
      <c r="D1058" s="15" t="n">
        <f aca="false">INDEX(Grid!$J$6:$P$156,C1058+1,B1058+1)</f>
        <v>0</v>
      </c>
      <c r="E1058" s="16" t="str">
        <f aca="false">IF(D1058=1,INDEX(Grid!$B$6:$H$156,C1058+1,B1058+1),"")</f>
        <v/>
      </c>
      <c r="F1058" s="13" t="n">
        <f aca="false">Val_pt*(Ceiling_e-E_zero)*(1-(1-Half_gap)^B1058)</f>
        <v>137.8125</v>
      </c>
      <c r="G1058" s="15" t="n">
        <f aca="false">C1058</f>
        <v>146</v>
      </c>
      <c r="H1058" s="15" t="str">
        <f aca="false">IF(D1058=1,INDEX(Grid!$R$6:$X$156,C1058+1,B1058+1),"")</f>
        <v/>
      </c>
      <c r="I1058" s="2" t="str">
        <f aca="false">IF(D1058=1,INDEX(Sch_label,H1058+1),"")</f>
        <v/>
      </c>
      <c r="J1058" s="15" t="n">
        <f aca="false">IF(D1058=1,INDEX(Grid!$Z$6:$AF$156,C1058+1,B1058+1),0)</f>
        <v>0</v>
      </c>
      <c r="K1058" s="16" t="n">
        <f aca="false">IF(J1058=1,E1058,0)</f>
        <v>0</v>
      </c>
      <c r="L1058" s="17" t="str">
        <f aca="false">IF(D1058=1,E1058+W_board*F1058,"")</f>
        <v/>
      </c>
      <c r="Z1058" s="12" t="str">
        <f aca="false">IF(AND($J1058=1,$M1058=1),N1058*E1058/Span_P+O1058*F1058/Span_S+P1058*G1058/Span_B,"")</f>
        <v/>
      </c>
      <c r="AA1058" s="12" t="str">
        <f aca="false">IF(AND($J1058=1,$M1058=1),SUMPRODUCT(MAX($J$6:$J$1062*(N1058*$K$6:$K$1062/Span_P+O1058*$F$6:$F$1062/Span_S+P1058*$G$6:$G$1062/Span_B)-(1-$J$6:$J$1062)*1000000000)),"")</f>
        <v/>
      </c>
      <c r="AB1058" s="15" t="str">
        <f aca="false">IF(AND($J1058=1,$M1058=1),IF(AA1058-Z1058&lt;=0.000000001,1,0),"")</f>
        <v/>
      </c>
      <c r="AC1058" s="13" t="str">
        <f aca="false">IF(AND($J1058=1,$M1058=0),IF(S1058="",0,S1058*INDEX(Grid!$B$6:$H$156,R1058+1,Q1058+1))+IF(V1058="",0,V1058*INDEX(Grid!$B$6:$H$156,U1058+1,T1058+1))+IF(Y1058="",0,Y1058*INDEX(Grid!$B$6:$H$156,X1058+1,W1058+1)),"")</f>
        <v/>
      </c>
      <c r="AD1058" s="13" t="str">
        <f aca="false">IF(AND($J1058=1,$M1058=0),IF(S1058="",0,S1058*Val_pt*(Ceiling_e-E_zero)*(1-(1-Half_gap)^Q1058))+IF(V1058="",0,V1058*Val_pt*(Ceiling_e-E_zero)*(1-(1-Half_gap)^T1058))+IF(Y1058="",0,Y1058*Val_pt*(Ceiling_e-E_zero)*(1-(1-Half_gap)^W1058)),"")</f>
        <v/>
      </c>
      <c r="AE1058" s="13" t="str">
        <f aca="false">IF(AND($J1058=1,$M1058=0),IF(S1058="",0,S1058*R1058)+IF(V1058="",0,V1058*U1058)+IF(Y1058="",0,Y1058*X1058),"")</f>
        <v/>
      </c>
      <c r="AF1058" s="12" t="str">
        <f aca="false">IF(AND($J1058=1,$M1058=0),MIN((AC1058-E1058)/Span_P,(AD1058-F1058)/Span_S,(AE1058-G1058)/Span_B),"")</f>
        <v/>
      </c>
      <c r="AG1058" s="15" t="str">
        <f aca="false">IF(AND($J1058=1,$M1058=0),IF(AF1058&gt;0.0000001,1,0),"")</f>
        <v/>
      </c>
      <c r="AH1058" s="15" t="str">
        <f aca="false">IF($J1058=1,IF($M1058=1,AB1058,AG1058),"")</f>
        <v/>
      </c>
      <c r="AI1058" s="13" t="str">
        <f aca="false">IF($J1058=1,(Ideal_P-E1058)/Span_P,"")</f>
        <v/>
      </c>
      <c r="AJ1058" s="13" t="str">
        <f aca="false">IF($J1058=1,(Ideal_S-F1058)/Span_S,"")</f>
        <v/>
      </c>
      <c r="AK1058" s="13" t="str">
        <f aca="false">IF($J1058=1,(Ideal_B-G1058)/Span_B,"")</f>
        <v/>
      </c>
      <c r="AL1058" s="12" t="str">
        <f aca="false">IF($J1058=1,MAX(ChA_1*AI1058,ChA_2*AJ1058,ChA_3*AK1058)+Rho*(ChA_1*AI1058+ChA_2*AJ1058+ChA_3*AK1058),"")</f>
        <v/>
      </c>
      <c r="AM1058" s="12" t="str">
        <f aca="false">IF($J1058=1,MAX(ChB_1*AI1058,ChB_2*AJ1058,ChB_3*AK1058)+Rho*(ChB_1*AI1058+ChB_2*AJ1058+ChB_3*AK1058),"")</f>
        <v/>
      </c>
      <c r="AN1058" s="12" t="str">
        <f aca="false">IF($J1058=1,MAX(Cx_1*(Ref_P-E1058)/Span_P,Cx_2*(Ref_S-F1058)/Span_S,Cx_3*(Ref_B-G1058)/Span_B),"")</f>
        <v/>
      </c>
    </row>
    <row r="1059" customFormat="false" ht="15" hidden="false" customHeight="false" outlineLevel="0" collapsed="false">
      <c r="A1059" s="2" t="n">
        <v>1053</v>
      </c>
      <c r="B1059" s="15" t="n">
        <f aca="false">INT(A1059/151)</f>
        <v>6</v>
      </c>
      <c r="C1059" s="15" t="n">
        <f aca="false">MOD(A1059,151)</f>
        <v>147</v>
      </c>
      <c r="D1059" s="15" t="n">
        <f aca="false">INDEX(Grid!$J$6:$P$156,C1059+1,B1059+1)</f>
        <v>0</v>
      </c>
      <c r="E1059" s="16" t="str">
        <f aca="false">IF(D1059=1,INDEX(Grid!$B$6:$H$156,C1059+1,B1059+1),"")</f>
        <v/>
      </c>
      <c r="F1059" s="13" t="n">
        <f aca="false">Val_pt*(Ceiling_e-E_zero)*(1-(1-Half_gap)^B1059)</f>
        <v>137.8125</v>
      </c>
      <c r="G1059" s="15" t="n">
        <f aca="false">C1059</f>
        <v>147</v>
      </c>
      <c r="H1059" s="15" t="str">
        <f aca="false">IF(D1059=1,INDEX(Grid!$R$6:$X$156,C1059+1,B1059+1),"")</f>
        <v/>
      </c>
      <c r="I1059" s="2" t="str">
        <f aca="false">IF(D1059=1,INDEX(Sch_label,H1059+1),"")</f>
        <v/>
      </c>
      <c r="J1059" s="15" t="n">
        <f aca="false">IF(D1059=1,INDEX(Grid!$Z$6:$AF$156,C1059+1,B1059+1),0)</f>
        <v>0</v>
      </c>
      <c r="K1059" s="16" t="n">
        <f aca="false">IF(J1059=1,E1059,0)</f>
        <v>0</v>
      </c>
      <c r="L1059" s="17" t="str">
        <f aca="false">IF(D1059=1,E1059+W_board*F1059,"")</f>
        <v/>
      </c>
      <c r="Z1059" s="12" t="str">
        <f aca="false">IF(AND($J1059=1,$M1059=1),N1059*E1059/Span_P+O1059*F1059/Span_S+P1059*G1059/Span_B,"")</f>
        <v/>
      </c>
      <c r="AA1059" s="12" t="str">
        <f aca="false">IF(AND($J1059=1,$M1059=1),SUMPRODUCT(MAX($J$6:$J$1062*(N1059*$K$6:$K$1062/Span_P+O1059*$F$6:$F$1062/Span_S+P1059*$G$6:$G$1062/Span_B)-(1-$J$6:$J$1062)*1000000000)),"")</f>
        <v/>
      </c>
      <c r="AB1059" s="15" t="str">
        <f aca="false">IF(AND($J1059=1,$M1059=1),IF(AA1059-Z1059&lt;=0.000000001,1,0),"")</f>
        <v/>
      </c>
      <c r="AC1059" s="13" t="str">
        <f aca="false">IF(AND($J1059=1,$M1059=0),IF(S1059="",0,S1059*INDEX(Grid!$B$6:$H$156,R1059+1,Q1059+1))+IF(V1059="",0,V1059*INDEX(Grid!$B$6:$H$156,U1059+1,T1059+1))+IF(Y1059="",0,Y1059*INDEX(Grid!$B$6:$H$156,X1059+1,W1059+1)),"")</f>
        <v/>
      </c>
      <c r="AD1059" s="13" t="str">
        <f aca="false">IF(AND($J1059=1,$M1059=0),IF(S1059="",0,S1059*Val_pt*(Ceiling_e-E_zero)*(1-(1-Half_gap)^Q1059))+IF(V1059="",0,V1059*Val_pt*(Ceiling_e-E_zero)*(1-(1-Half_gap)^T1059))+IF(Y1059="",0,Y1059*Val_pt*(Ceiling_e-E_zero)*(1-(1-Half_gap)^W1059)),"")</f>
        <v/>
      </c>
      <c r="AE1059" s="13" t="str">
        <f aca="false">IF(AND($J1059=1,$M1059=0),IF(S1059="",0,S1059*R1059)+IF(V1059="",0,V1059*U1059)+IF(Y1059="",0,Y1059*X1059),"")</f>
        <v/>
      </c>
      <c r="AF1059" s="12" t="str">
        <f aca="false">IF(AND($J1059=1,$M1059=0),MIN((AC1059-E1059)/Span_P,(AD1059-F1059)/Span_S,(AE1059-G1059)/Span_B),"")</f>
        <v/>
      </c>
      <c r="AG1059" s="15" t="str">
        <f aca="false">IF(AND($J1059=1,$M1059=0),IF(AF1059&gt;0.0000001,1,0),"")</f>
        <v/>
      </c>
      <c r="AH1059" s="15" t="str">
        <f aca="false">IF($J1059=1,IF($M1059=1,AB1059,AG1059),"")</f>
        <v/>
      </c>
      <c r="AI1059" s="13" t="str">
        <f aca="false">IF($J1059=1,(Ideal_P-E1059)/Span_P,"")</f>
        <v/>
      </c>
      <c r="AJ1059" s="13" t="str">
        <f aca="false">IF($J1059=1,(Ideal_S-F1059)/Span_S,"")</f>
        <v/>
      </c>
      <c r="AK1059" s="13" t="str">
        <f aca="false">IF($J1059=1,(Ideal_B-G1059)/Span_B,"")</f>
        <v/>
      </c>
      <c r="AL1059" s="12" t="str">
        <f aca="false">IF($J1059=1,MAX(ChA_1*AI1059,ChA_2*AJ1059,ChA_3*AK1059)+Rho*(ChA_1*AI1059+ChA_2*AJ1059+ChA_3*AK1059),"")</f>
        <v/>
      </c>
      <c r="AM1059" s="12" t="str">
        <f aca="false">IF($J1059=1,MAX(ChB_1*AI1059,ChB_2*AJ1059,ChB_3*AK1059)+Rho*(ChB_1*AI1059+ChB_2*AJ1059+ChB_3*AK1059),"")</f>
        <v/>
      </c>
      <c r="AN1059" s="12" t="str">
        <f aca="false">IF($J1059=1,MAX(Cx_1*(Ref_P-E1059)/Span_P,Cx_2*(Ref_S-F1059)/Span_S,Cx_3*(Ref_B-G1059)/Span_B),"")</f>
        <v/>
      </c>
    </row>
    <row r="1060" customFormat="false" ht="15" hidden="false" customHeight="false" outlineLevel="0" collapsed="false">
      <c r="A1060" s="2" t="n">
        <v>1054</v>
      </c>
      <c r="B1060" s="15" t="n">
        <f aca="false">INT(A1060/151)</f>
        <v>6</v>
      </c>
      <c r="C1060" s="15" t="n">
        <f aca="false">MOD(A1060,151)</f>
        <v>148</v>
      </c>
      <c r="D1060" s="15" t="n">
        <f aca="false">INDEX(Grid!$J$6:$P$156,C1060+1,B1060+1)</f>
        <v>0</v>
      </c>
      <c r="E1060" s="16" t="str">
        <f aca="false">IF(D1060=1,INDEX(Grid!$B$6:$H$156,C1060+1,B1060+1),"")</f>
        <v/>
      </c>
      <c r="F1060" s="13" t="n">
        <f aca="false">Val_pt*(Ceiling_e-E_zero)*(1-(1-Half_gap)^B1060)</f>
        <v>137.8125</v>
      </c>
      <c r="G1060" s="15" t="n">
        <f aca="false">C1060</f>
        <v>148</v>
      </c>
      <c r="H1060" s="15" t="str">
        <f aca="false">IF(D1060=1,INDEX(Grid!$R$6:$X$156,C1060+1,B1060+1),"")</f>
        <v/>
      </c>
      <c r="I1060" s="2" t="str">
        <f aca="false">IF(D1060=1,INDEX(Sch_label,H1060+1),"")</f>
        <v/>
      </c>
      <c r="J1060" s="15" t="n">
        <f aca="false">IF(D1060=1,INDEX(Grid!$Z$6:$AF$156,C1060+1,B1060+1),0)</f>
        <v>0</v>
      </c>
      <c r="K1060" s="16" t="n">
        <f aca="false">IF(J1060=1,E1060,0)</f>
        <v>0</v>
      </c>
      <c r="L1060" s="17" t="str">
        <f aca="false">IF(D1060=1,E1060+W_board*F1060,"")</f>
        <v/>
      </c>
      <c r="Z1060" s="12" t="str">
        <f aca="false">IF(AND($J1060=1,$M1060=1),N1060*E1060/Span_P+O1060*F1060/Span_S+P1060*G1060/Span_B,"")</f>
        <v/>
      </c>
      <c r="AA1060" s="12" t="str">
        <f aca="false">IF(AND($J1060=1,$M1060=1),SUMPRODUCT(MAX($J$6:$J$1062*(N1060*$K$6:$K$1062/Span_P+O1060*$F$6:$F$1062/Span_S+P1060*$G$6:$G$1062/Span_B)-(1-$J$6:$J$1062)*1000000000)),"")</f>
        <v/>
      </c>
      <c r="AB1060" s="15" t="str">
        <f aca="false">IF(AND($J1060=1,$M1060=1),IF(AA1060-Z1060&lt;=0.000000001,1,0),"")</f>
        <v/>
      </c>
      <c r="AC1060" s="13" t="str">
        <f aca="false">IF(AND($J1060=1,$M1060=0),IF(S1060="",0,S1060*INDEX(Grid!$B$6:$H$156,R1060+1,Q1060+1))+IF(V1060="",0,V1060*INDEX(Grid!$B$6:$H$156,U1060+1,T1060+1))+IF(Y1060="",0,Y1060*INDEX(Grid!$B$6:$H$156,X1060+1,W1060+1)),"")</f>
        <v/>
      </c>
      <c r="AD1060" s="13" t="str">
        <f aca="false">IF(AND($J1060=1,$M1060=0),IF(S1060="",0,S1060*Val_pt*(Ceiling_e-E_zero)*(1-(1-Half_gap)^Q1060))+IF(V1060="",0,V1060*Val_pt*(Ceiling_e-E_zero)*(1-(1-Half_gap)^T1060))+IF(Y1060="",0,Y1060*Val_pt*(Ceiling_e-E_zero)*(1-(1-Half_gap)^W1060)),"")</f>
        <v/>
      </c>
      <c r="AE1060" s="13" t="str">
        <f aca="false">IF(AND($J1060=1,$M1060=0),IF(S1060="",0,S1060*R1060)+IF(V1060="",0,V1060*U1060)+IF(Y1060="",0,Y1060*X1060),"")</f>
        <v/>
      </c>
      <c r="AF1060" s="12" t="str">
        <f aca="false">IF(AND($J1060=1,$M1060=0),MIN((AC1060-E1060)/Span_P,(AD1060-F1060)/Span_S,(AE1060-G1060)/Span_B),"")</f>
        <v/>
      </c>
      <c r="AG1060" s="15" t="str">
        <f aca="false">IF(AND($J1060=1,$M1060=0),IF(AF1060&gt;0.0000001,1,0),"")</f>
        <v/>
      </c>
      <c r="AH1060" s="15" t="str">
        <f aca="false">IF($J1060=1,IF($M1060=1,AB1060,AG1060),"")</f>
        <v/>
      </c>
      <c r="AI1060" s="13" t="str">
        <f aca="false">IF($J1060=1,(Ideal_P-E1060)/Span_P,"")</f>
        <v/>
      </c>
      <c r="AJ1060" s="13" t="str">
        <f aca="false">IF($J1060=1,(Ideal_S-F1060)/Span_S,"")</f>
        <v/>
      </c>
      <c r="AK1060" s="13" t="str">
        <f aca="false">IF($J1060=1,(Ideal_B-G1060)/Span_B,"")</f>
        <v/>
      </c>
      <c r="AL1060" s="12" t="str">
        <f aca="false">IF($J1060=1,MAX(ChA_1*AI1060,ChA_2*AJ1060,ChA_3*AK1060)+Rho*(ChA_1*AI1060+ChA_2*AJ1060+ChA_3*AK1060),"")</f>
        <v/>
      </c>
      <c r="AM1060" s="12" t="str">
        <f aca="false">IF($J1060=1,MAX(ChB_1*AI1060,ChB_2*AJ1060,ChB_3*AK1060)+Rho*(ChB_1*AI1060+ChB_2*AJ1060+ChB_3*AK1060),"")</f>
        <v/>
      </c>
      <c r="AN1060" s="12" t="str">
        <f aca="false">IF($J1060=1,MAX(Cx_1*(Ref_P-E1060)/Span_P,Cx_2*(Ref_S-F1060)/Span_S,Cx_3*(Ref_B-G1060)/Span_B),"")</f>
        <v/>
      </c>
    </row>
    <row r="1061" customFormat="false" ht="15" hidden="false" customHeight="false" outlineLevel="0" collapsed="false">
      <c r="A1061" s="2" t="n">
        <v>1055</v>
      </c>
      <c r="B1061" s="15" t="n">
        <f aca="false">INT(A1061/151)</f>
        <v>6</v>
      </c>
      <c r="C1061" s="15" t="n">
        <f aca="false">MOD(A1061,151)</f>
        <v>149</v>
      </c>
      <c r="D1061" s="15" t="n">
        <f aca="false">INDEX(Grid!$J$6:$P$156,C1061+1,B1061+1)</f>
        <v>0</v>
      </c>
      <c r="E1061" s="16" t="str">
        <f aca="false">IF(D1061=1,INDEX(Grid!$B$6:$H$156,C1061+1,B1061+1),"")</f>
        <v/>
      </c>
      <c r="F1061" s="13" t="n">
        <f aca="false">Val_pt*(Ceiling_e-E_zero)*(1-(1-Half_gap)^B1061)</f>
        <v>137.8125</v>
      </c>
      <c r="G1061" s="15" t="n">
        <f aca="false">C1061</f>
        <v>149</v>
      </c>
      <c r="H1061" s="15" t="str">
        <f aca="false">IF(D1061=1,INDEX(Grid!$R$6:$X$156,C1061+1,B1061+1),"")</f>
        <v/>
      </c>
      <c r="I1061" s="2" t="str">
        <f aca="false">IF(D1061=1,INDEX(Sch_label,H1061+1),"")</f>
        <v/>
      </c>
      <c r="J1061" s="15" t="n">
        <f aca="false">IF(D1061=1,INDEX(Grid!$Z$6:$AF$156,C1061+1,B1061+1),0)</f>
        <v>0</v>
      </c>
      <c r="K1061" s="16" t="n">
        <f aca="false">IF(J1061=1,E1061,0)</f>
        <v>0</v>
      </c>
      <c r="L1061" s="17" t="str">
        <f aca="false">IF(D1061=1,E1061+W_board*F1061,"")</f>
        <v/>
      </c>
      <c r="Z1061" s="12" t="str">
        <f aca="false">IF(AND($J1061=1,$M1061=1),N1061*E1061/Span_P+O1061*F1061/Span_S+P1061*G1061/Span_B,"")</f>
        <v/>
      </c>
      <c r="AA1061" s="12" t="str">
        <f aca="false">IF(AND($J1061=1,$M1061=1),SUMPRODUCT(MAX($J$6:$J$1062*(N1061*$K$6:$K$1062/Span_P+O1061*$F$6:$F$1062/Span_S+P1061*$G$6:$G$1062/Span_B)-(1-$J$6:$J$1062)*1000000000)),"")</f>
        <v/>
      </c>
      <c r="AB1061" s="15" t="str">
        <f aca="false">IF(AND($J1061=1,$M1061=1),IF(AA1061-Z1061&lt;=0.000000001,1,0),"")</f>
        <v/>
      </c>
      <c r="AC1061" s="13" t="str">
        <f aca="false">IF(AND($J1061=1,$M1061=0),IF(S1061="",0,S1061*INDEX(Grid!$B$6:$H$156,R1061+1,Q1061+1))+IF(V1061="",0,V1061*INDEX(Grid!$B$6:$H$156,U1061+1,T1061+1))+IF(Y1061="",0,Y1061*INDEX(Grid!$B$6:$H$156,X1061+1,W1061+1)),"")</f>
        <v/>
      </c>
      <c r="AD1061" s="13" t="str">
        <f aca="false">IF(AND($J1061=1,$M1061=0),IF(S1061="",0,S1061*Val_pt*(Ceiling_e-E_zero)*(1-(1-Half_gap)^Q1061))+IF(V1061="",0,V1061*Val_pt*(Ceiling_e-E_zero)*(1-(1-Half_gap)^T1061))+IF(Y1061="",0,Y1061*Val_pt*(Ceiling_e-E_zero)*(1-(1-Half_gap)^W1061)),"")</f>
        <v/>
      </c>
      <c r="AE1061" s="13" t="str">
        <f aca="false">IF(AND($J1061=1,$M1061=0),IF(S1061="",0,S1061*R1061)+IF(V1061="",0,V1061*U1061)+IF(Y1061="",0,Y1061*X1061),"")</f>
        <v/>
      </c>
      <c r="AF1061" s="12" t="str">
        <f aca="false">IF(AND($J1061=1,$M1061=0),MIN((AC1061-E1061)/Span_P,(AD1061-F1061)/Span_S,(AE1061-G1061)/Span_B),"")</f>
        <v/>
      </c>
      <c r="AG1061" s="15" t="str">
        <f aca="false">IF(AND($J1061=1,$M1061=0),IF(AF1061&gt;0.0000001,1,0),"")</f>
        <v/>
      </c>
      <c r="AH1061" s="15" t="str">
        <f aca="false">IF($J1061=1,IF($M1061=1,AB1061,AG1061),"")</f>
        <v/>
      </c>
      <c r="AI1061" s="13" t="str">
        <f aca="false">IF($J1061=1,(Ideal_P-E1061)/Span_P,"")</f>
        <v/>
      </c>
      <c r="AJ1061" s="13" t="str">
        <f aca="false">IF($J1061=1,(Ideal_S-F1061)/Span_S,"")</f>
        <v/>
      </c>
      <c r="AK1061" s="13" t="str">
        <f aca="false">IF($J1061=1,(Ideal_B-G1061)/Span_B,"")</f>
        <v/>
      </c>
      <c r="AL1061" s="12" t="str">
        <f aca="false">IF($J1061=1,MAX(ChA_1*AI1061,ChA_2*AJ1061,ChA_3*AK1061)+Rho*(ChA_1*AI1061+ChA_2*AJ1061+ChA_3*AK1061),"")</f>
        <v/>
      </c>
      <c r="AM1061" s="12" t="str">
        <f aca="false">IF($J1061=1,MAX(ChB_1*AI1061,ChB_2*AJ1061,ChB_3*AK1061)+Rho*(ChB_1*AI1061+ChB_2*AJ1061+ChB_3*AK1061),"")</f>
        <v/>
      </c>
      <c r="AN1061" s="12" t="str">
        <f aca="false">IF($J1061=1,MAX(Cx_1*(Ref_P-E1061)/Span_P,Cx_2*(Ref_S-F1061)/Span_S,Cx_3*(Ref_B-G1061)/Span_B),"")</f>
        <v/>
      </c>
    </row>
    <row r="1062" customFormat="false" ht="15" hidden="false" customHeight="false" outlineLevel="0" collapsed="false">
      <c r="A1062" s="2" t="n">
        <v>1056</v>
      </c>
      <c r="B1062" s="15" t="n">
        <f aca="false">INT(A1062/151)</f>
        <v>6</v>
      </c>
      <c r="C1062" s="15" t="n">
        <f aca="false">MOD(A1062,151)</f>
        <v>150</v>
      </c>
      <c r="D1062" s="15" t="n">
        <f aca="false">INDEX(Grid!$J$6:$P$156,C1062+1,B1062+1)</f>
        <v>0</v>
      </c>
      <c r="E1062" s="16" t="str">
        <f aca="false">IF(D1062=1,INDEX(Grid!$B$6:$H$156,C1062+1,B1062+1),"")</f>
        <v/>
      </c>
      <c r="F1062" s="13" t="n">
        <f aca="false">Val_pt*(Ceiling_e-E_zero)*(1-(1-Half_gap)^B1062)</f>
        <v>137.8125</v>
      </c>
      <c r="G1062" s="15" t="n">
        <f aca="false">C1062</f>
        <v>150</v>
      </c>
      <c r="H1062" s="15" t="str">
        <f aca="false">IF(D1062=1,INDEX(Grid!$R$6:$X$156,C1062+1,B1062+1),"")</f>
        <v/>
      </c>
      <c r="I1062" s="2" t="str">
        <f aca="false">IF(D1062=1,INDEX(Sch_label,H1062+1),"")</f>
        <v/>
      </c>
      <c r="J1062" s="15" t="n">
        <f aca="false">IF(D1062=1,INDEX(Grid!$Z$6:$AF$156,C1062+1,B1062+1),0)</f>
        <v>0</v>
      </c>
      <c r="K1062" s="16" t="n">
        <f aca="false">IF(J1062=1,E1062,0)</f>
        <v>0</v>
      </c>
      <c r="L1062" s="17" t="str">
        <f aca="false">IF(D1062=1,E1062+W_board*F1062,"")</f>
        <v/>
      </c>
      <c r="Z1062" s="12" t="str">
        <f aca="false">IF(AND($J1062=1,$M1062=1),N1062*E1062/Span_P+O1062*F1062/Span_S+P1062*G1062/Span_B,"")</f>
        <v/>
      </c>
      <c r="AA1062" s="12" t="str">
        <f aca="false">IF(AND($J1062=1,$M1062=1),SUMPRODUCT(MAX($J$6:$J$1062*(N1062*$K$6:$K$1062/Span_P+O1062*$F$6:$F$1062/Span_S+P1062*$G$6:$G$1062/Span_B)-(1-$J$6:$J$1062)*1000000000)),"")</f>
        <v/>
      </c>
      <c r="AB1062" s="15" t="str">
        <f aca="false">IF(AND($J1062=1,$M1062=1),IF(AA1062-Z1062&lt;=0.000000001,1,0),"")</f>
        <v/>
      </c>
      <c r="AC1062" s="13" t="str">
        <f aca="false">IF(AND($J1062=1,$M1062=0),IF(S1062="",0,S1062*INDEX(Grid!$B$6:$H$156,R1062+1,Q1062+1))+IF(V1062="",0,V1062*INDEX(Grid!$B$6:$H$156,U1062+1,T1062+1))+IF(Y1062="",0,Y1062*INDEX(Grid!$B$6:$H$156,X1062+1,W1062+1)),"")</f>
        <v/>
      </c>
      <c r="AD1062" s="13" t="str">
        <f aca="false">IF(AND($J1062=1,$M1062=0),IF(S1062="",0,S1062*Val_pt*(Ceiling_e-E_zero)*(1-(1-Half_gap)^Q1062))+IF(V1062="",0,V1062*Val_pt*(Ceiling_e-E_zero)*(1-(1-Half_gap)^T1062))+IF(Y1062="",0,Y1062*Val_pt*(Ceiling_e-E_zero)*(1-(1-Half_gap)^W1062)),"")</f>
        <v/>
      </c>
      <c r="AE1062" s="13" t="str">
        <f aca="false">IF(AND($J1062=1,$M1062=0),IF(S1062="",0,S1062*R1062)+IF(V1062="",0,V1062*U1062)+IF(Y1062="",0,Y1062*X1062),"")</f>
        <v/>
      </c>
      <c r="AF1062" s="12" t="str">
        <f aca="false">IF(AND($J1062=1,$M1062=0),MIN((AC1062-E1062)/Span_P,(AD1062-F1062)/Span_S,(AE1062-G1062)/Span_B),"")</f>
        <v/>
      </c>
      <c r="AG1062" s="15" t="str">
        <f aca="false">IF(AND($J1062=1,$M1062=0),IF(AF1062&gt;0.0000001,1,0),"")</f>
        <v/>
      </c>
      <c r="AH1062" s="15" t="str">
        <f aca="false">IF($J1062=1,IF($M1062=1,AB1062,AG1062),"")</f>
        <v/>
      </c>
      <c r="AI1062" s="13" t="str">
        <f aca="false">IF($J1062=1,(Ideal_P-E1062)/Span_P,"")</f>
        <v/>
      </c>
      <c r="AJ1062" s="13" t="str">
        <f aca="false">IF($J1062=1,(Ideal_S-F1062)/Span_S,"")</f>
        <v/>
      </c>
      <c r="AK1062" s="13" t="str">
        <f aca="false">IF($J1062=1,(Ideal_B-G1062)/Span_B,"")</f>
        <v/>
      </c>
      <c r="AL1062" s="12" t="str">
        <f aca="false">IF($J1062=1,MAX(ChA_1*AI1062,ChA_2*AJ1062,ChA_3*AK1062)+Rho*(ChA_1*AI1062+ChA_2*AJ1062+ChA_3*AK1062),"")</f>
        <v/>
      </c>
      <c r="AM1062" s="12" t="str">
        <f aca="false">IF($J1062=1,MAX(ChB_1*AI1062,ChB_2*AJ1062,ChB_3*AK1062)+Rho*(ChB_1*AI1062+ChB_2*AJ1062+ChB_3*AK1062),"")</f>
        <v/>
      </c>
      <c r="AN1062" s="12" t="str">
        <f aca="false">IF($J1062=1,MAX(Cx_1*(Ref_P-E1062)/Span_P,Cx_2*(Ref_S-F1062)/Span_S,Cx_3*(Ref_B-G1062)/Span_B),"")</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4" min="2" style="0" width="16"/>
    <col collapsed="false" customWidth="true" hidden="false" outlineLevel="0" max="5" min="5" style="0" width="18"/>
    <col collapsed="false" customWidth="true" hidden="false" outlineLevel="0" max="6" min="6" style="0" width="12"/>
  </cols>
  <sheetData>
    <row r="1" customFormat="false" ht="15" hidden="false" customHeight="false" outlineLevel="0" collapsed="false">
      <c r="A1" s="1" t="s">
        <v>325</v>
      </c>
    </row>
    <row r="2" customFormat="false" ht="15" hidden="false" customHeight="false" outlineLevel="0" collapsed="false">
      <c r="A2" s="10" t="s">
        <v>326</v>
      </c>
    </row>
    <row r="4" customFormat="false" ht="15" hidden="false" customHeight="false" outlineLevel="0" collapsed="false">
      <c r="A4" s="8"/>
      <c r="B4" s="8" t="s">
        <v>215</v>
      </c>
      <c r="C4" s="8" t="s">
        <v>191</v>
      </c>
      <c r="D4" s="8" t="s">
        <v>282</v>
      </c>
    </row>
    <row r="5" customFormat="false" ht="15" hidden="false" customHeight="false" outlineLevel="0" collapsed="false">
      <c r="A5" s="2" t="s">
        <v>327</v>
      </c>
      <c r="B5" s="13" t="n">
        <f aca="false">_xlfn.MAXIFS(Pl_P,Pl_eff,1)</f>
        <v>384.173336396545</v>
      </c>
      <c r="C5" s="13" t="n">
        <f aca="false">_xlfn.MAXIFS(Pl_S,Pl_eff,1)</f>
        <v>137.8125</v>
      </c>
      <c r="D5" s="13" t="n">
        <f aca="false">_xlfn.MAXIFS(Pl_b,Pl_eff,1)</f>
        <v>150</v>
      </c>
    </row>
    <row r="6" customFormat="false" ht="15" hidden="false" customHeight="false" outlineLevel="0" collapsed="false">
      <c r="A6" s="2" t="s">
        <v>328</v>
      </c>
      <c r="B6" s="13" t="n">
        <f aca="false">_xlfn.MINIFS(Pl_P,Pl_eff,1)</f>
        <v>22.058258225373</v>
      </c>
      <c r="C6" s="13" t="n">
        <f aca="false">_xlfn.MINIFS(Pl_S,Pl_eff,1)</f>
        <v>70</v>
      </c>
      <c r="D6" s="13" t="n">
        <f aca="false">_xlfn.MINIFS(Pl_b,Pl_eff,1)</f>
        <v>0</v>
      </c>
    </row>
    <row r="7" customFormat="false" ht="15" hidden="false" customHeight="false" outlineLevel="0" collapsed="false">
      <c r="A7" s="2" t="s">
        <v>329</v>
      </c>
      <c r="B7" s="13" t="n">
        <f aca="false">B5-B6</f>
        <v>362.115078171172</v>
      </c>
      <c r="C7" s="13" t="n">
        <f aca="false">C5-C6</f>
        <v>67.8125</v>
      </c>
      <c r="D7" s="13" t="n">
        <f aca="false">D5-D6</f>
        <v>150</v>
      </c>
    </row>
    <row r="8" customFormat="false" ht="15" hidden="false" customHeight="false" outlineLevel="0" collapsed="false">
      <c r="A8" s="2" t="s">
        <v>330</v>
      </c>
      <c r="B8" s="15" t="n">
        <f aca="false">_xlfn.MINIFS(Pl_k,Pl_eff,1,Pl_P,"&lt;="&amp;(B6+0.000000001))</f>
        <v>905</v>
      </c>
      <c r="C8" s="10" t="s">
        <v>331</v>
      </c>
    </row>
    <row r="9" customFormat="false" ht="15" hidden="false" customHeight="false" outlineLevel="0" collapsed="false">
      <c r="A9" s="2" t="s">
        <v>332</v>
      </c>
      <c r="B9" s="2" t="str">
        <f aca="false">INDEX(Pl_label,B8+1)&amp;"; "&amp;INDEX(Pl_b,B8+1)</f>
        <v>1, 3–6; 150</v>
      </c>
    </row>
    <row r="11" customFormat="false" ht="15" hidden="false" customHeight="false" outlineLevel="0" collapsed="false">
      <c r="A11" s="2" t="s">
        <v>333</v>
      </c>
      <c r="B11" s="26" t="n">
        <f aca="false">Grid!B158</f>
        <v>992</v>
      </c>
      <c r="C11" s="10" t="s">
        <v>334</v>
      </c>
    </row>
    <row r="12" customFormat="false" ht="15" hidden="false" customHeight="false" outlineLevel="0" collapsed="false">
      <c r="A12" s="2" t="s">
        <v>97</v>
      </c>
      <c r="B12" s="15" t="n">
        <f aca="false">SUM(Pl_eff)</f>
        <v>740</v>
      </c>
      <c r="C12" s="10" t="s">
        <v>335</v>
      </c>
    </row>
    <row r="13" customFormat="false" ht="15" hidden="false" customHeight="false" outlineLevel="0" collapsed="false">
      <c r="A13" s="2" t="s">
        <v>336</v>
      </c>
      <c r="B13" s="15" t="n">
        <f aca="false">SUMIFS(Pl_sup,Pl_eff,1)</f>
        <v>453</v>
      </c>
      <c r="C13" s="10" t="s">
        <v>337</v>
      </c>
    </row>
    <row r="14" customFormat="false" ht="15" hidden="false" customHeight="false" outlineLevel="0" collapsed="false">
      <c r="A14" s="2" t="s">
        <v>338</v>
      </c>
      <c r="B14" s="15" t="n">
        <f aca="false">B12-B13</f>
        <v>287</v>
      </c>
      <c r="C14" s="10" t="s">
        <v>339</v>
      </c>
    </row>
    <row r="15" customFormat="false" ht="15" hidden="false" customHeight="false" outlineLevel="0" collapsed="false">
      <c r="A15" s="2" t="s">
        <v>340</v>
      </c>
      <c r="B15" s="15" t="n">
        <f aca="false">COUNTIFS(Pl_eff,1,Pl_sup,1,Pl_certW,1)</f>
        <v>453</v>
      </c>
    </row>
    <row r="16" customFormat="false" ht="15" hidden="false" customHeight="false" outlineLevel="0" collapsed="false">
      <c r="A16" s="2" t="s">
        <v>341</v>
      </c>
      <c r="B16" s="15" t="n">
        <f aca="false">COUNTIFS(Pl_eff,1,Pl_sup,0,Pl_certA,1)</f>
        <v>287</v>
      </c>
      <c r="C16" s="10" t="s">
        <v>342</v>
      </c>
    </row>
    <row r="17" customFormat="false" ht="15" hidden="false" customHeight="false" outlineLevel="0" collapsed="false">
      <c r="A17" s="2" t="s">
        <v>343</v>
      </c>
      <c r="B17" s="15" t="n">
        <f aca="false">IF(B15+B16=B12,1,0)</f>
        <v>1</v>
      </c>
    </row>
    <row r="19" customFormat="false" ht="23.85" hidden="false" customHeight="false" outlineLevel="0" collapsed="false">
      <c r="A19" s="8" t="s">
        <v>206</v>
      </c>
      <c r="B19" s="8" t="s">
        <v>97</v>
      </c>
      <c r="C19" s="8" t="s">
        <v>344</v>
      </c>
      <c r="D19" s="8" t="s">
        <v>338</v>
      </c>
      <c r="E19" s="8" t="s">
        <v>345</v>
      </c>
      <c r="F19" s="8" t="s">
        <v>346</v>
      </c>
    </row>
    <row r="20" customFormat="false" ht="15" hidden="false" customHeight="false" outlineLevel="0" collapsed="false">
      <c r="A20" s="15" t="n">
        <v>0</v>
      </c>
      <c r="B20" s="15" t="n">
        <f aca="false">COUNTIFS(Pl_n,A20,Pl_eff,1)</f>
        <v>0</v>
      </c>
      <c r="C20" s="15" t="n">
        <f aca="false">COUNTIFS(Pl_n,A20,Pl_eff,1,Pl_sup,1)</f>
        <v>0</v>
      </c>
      <c r="D20" s="15" t="n">
        <f aca="false">B20-C20</f>
        <v>0</v>
      </c>
      <c r="E20" s="15" t="str">
        <f aca="false">IF(D20&gt;0,_xlfn.MINIFS(Pl_b,Pl_n,A20,Pl_eff,1,Pl_sup,0),"none")</f>
        <v>none</v>
      </c>
      <c r="F20" s="15" t="str">
        <f aca="false">IF(D20&gt;0,_xlfn.MAXIFS(Pl_b,Pl_n,A20,Pl_eff,1,Pl_sup,0),"none")</f>
        <v>none</v>
      </c>
    </row>
    <row r="21" customFormat="false" ht="15" hidden="false" customHeight="false" outlineLevel="0" collapsed="false">
      <c r="A21" s="15" t="n">
        <v>1</v>
      </c>
      <c r="B21" s="15" t="n">
        <f aca="false">COUNTIFS(Pl_n,A21,Pl_eff,1)</f>
        <v>50</v>
      </c>
      <c r="C21" s="15" t="n">
        <f aca="false">COUNTIFS(Pl_n,A21,Pl_eff,1,Pl_sup,1)</f>
        <v>1</v>
      </c>
      <c r="D21" s="15" t="n">
        <f aca="false">B21-C21</f>
        <v>49</v>
      </c>
      <c r="E21" s="15" t="n">
        <f aca="false">IF(D21&gt;0,_xlfn.MINIFS(Pl_b,Pl_n,A21,Pl_eff,1,Pl_sup,0),"none")</f>
        <v>101</v>
      </c>
      <c r="F21" s="15" t="n">
        <f aca="false">IF(D21&gt;0,_xlfn.MAXIFS(Pl_b,Pl_n,A21,Pl_eff,1,Pl_sup,0),"none")</f>
        <v>149</v>
      </c>
    </row>
    <row r="22" customFormat="false" ht="15" hidden="false" customHeight="false" outlineLevel="0" collapsed="false">
      <c r="A22" s="15" t="n">
        <v>2</v>
      </c>
      <c r="B22" s="15" t="n">
        <f aca="false">COUNTIFS(Pl_n,A22,Pl_eff,1)</f>
        <v>151</v>
      </c>
      <c r="C22" s="15" t="n">
        <f aca="false">COUNTIFS(Pl_n,A22,Pl_eff,1,Pl_sup,1)</f>
        <v>102</v>
      </c>
      <c r="D22" s="15" t="n">
        <f aca="false">B22-C22</f>
        <v>49</v>
      </c>
      <c r="E22" s="15" t="n">
        <f aca="false">IF(D22&gt;0,_xlfn.MINIFS(Pl_b,Pl_n,A22,Pl_eff,1,Pl_sup,0),"none")</f>
        <v>101</v>
      </c>
      <c r="F22" s="15" t="n">
        <f aca="false">IF(D22&gt;0,_xlfn.MAXIFS(Pl_b,Pl_n,A22,Pl_eff,1,Pl_sup,0),"none")</f>
        <v>149</v>
      </c>
    </row>
    <row r="23" customFormat="false" ht="15" hidden="false" customHeight="false" outlineLevel="0" collapsed="false">
      <c r="A23" s="15" t="n">
        <v>3</v>
      </c>
      <c r="B23" s="15" t="n">
        <f aca="false">COUNTIFS(Pl_n,A23,Pl_eff,1)</f>
        <v>151</v>
      </c>
      <c r="C23" s="15" t="n">
        <f aca="false">COUNTIFS(Pl_n,A23,Pl_eff,1,Pl_sup,1)</f>
        <v>88</v>
      </c>
      <c r="D23" s="15" t="n">
        <f aca="false">B23-C23</f>
        <v>63</v>
      </c>
      <c r="E23" s="15" t="n">
        <f aca="false">IF(D23&gt;0,_xlfn.MINIFS(Pl_b,Pl_n,A23,Pl_eff,1,Pl_sup,0),"none")</f>
        <v>86</v>
      </c>
      <c r="F23" s="15" t="n">
        <f aca="false">IF(D23&gt;0,_xlfn.MAXIFS(Pl_b,Pl_n,A23,Pl_eff,1,Pl_sup,0),"none")</f>
        <v>149</v>
      </c>
    </row>
    <row r="24" customFormat="false" ht="15" hidden="false" customHeight="false" outlineLevel="0" collapsed="false">
      <c r="A24" s="15" t="n">
        <v>4</v>
      </c>
      <c r="B24" s="15" t="n">
        <f aca="false">COUNTIFS(Pl_n,A24,Pl_eff,1)</f>
        <v>151</v>
      </c>
      <c r="C24" s="15" t="n">
        <f aca="false">COUNTIFS(Pl_n,A24,Pl_eff,1,Pl_sup,1)</f>
        <v>88</v>
      </c>
      <c r="D24" s="15" t="n">
        <f aca="false">B24-C24</f>
        <v>63</v>
      </c>
      <c r="E24" s="15" t="n">
        <f aca="false">IF(D24&gt;0,_xlfn.MINIFS(Pl_b,Pl_n,A24,Pl_eff,1,Pl_sup,0),"none")</f>
        <v>86</v>
      </c>
      <c r="F24" s="15" t="n">
        <f aca="false">IF(D24&gt;0,_xlfn.MAXIFS(Pl_b,Pl_n,A24,Pl_eff,1,Pl_sup,0),"none")</f>
        <v>149</v>
      </c>
    </row>
    <row r="25" customFormat="false" ht="15" hidden="false" customHeight="false" outlineLevel="0" collapsed="false">
      <c r="A25" s="15" t="n">
        <v>5</v>
      </c>
      <c r="B25" s="15" t="n">
        <f aca="false">COUNTIFS(Pl_n,A25,Pl_eff,1)</f>
        <v>151</v>
      </c>
      <c r="C25" s="15" t="n">
        <f aca="false">COUNTIFS(Pl_n,A25,Pl_eff,1,Pl_sup,1)</f>
        <v>88</v>
      </c>
      <c r="D25" s="15" t="n">
        <f aca="false">B25-C25</f>
        <v>63</v>
      </c>
      <c r="E25" s="15" t="n">
        <f aca="false">IF(D25&gt;0,_xlfn.MINIFS(Pl_b,Pl_n,A25,Pl_eff,1,Pl_sup,0),"none")</f>
        <v>86</v>
      </c>
      <c r="F25" s="15" t="n">
        <f aca="false">IF(D25&gt;0,_xlfn.MAXIFS(Pl_b,Pl_n,A25,Pl_eff,1,Pl_sup,0),"none")</f>
        <v>149</v>
      </c>
    </row>
    <row r="26" customFormat="false" ht="15" hidden="false" customHeight="false" outlineLevel="0" collapsed="false">
      <c r="A26" s="15" t="n">
        <v>6</v>
      </c>
      <c r="B26" s="15" t="n">
        <f aca="false">COUNTIFS(Pl_n,A26,Pl_eff,1)</f>
        <v>86</v>
      </c>
      <c r="C26" s="15" t="n">
        <f aca="false">COUNTIFS(Pl_n,A26,Pl_eff,1,Pl_sup,1)</f>
        <v>86</v>
      </c>
      <c r="D26" s="15" t="n">
        <f aca="false">B26-C26</f>
        <v>0</v>
      </c>
      <c r="E26" s="15" t="str">
        <f aca="false">IF(D26&gt;0,_xlfn.MINIFS(Pl_b,Pl_n,A26,Pl_eff,1,Pl_sup,0),"none")</f>
        <v>none</v>
      </c>
      <c r="F26" s="15" t="str">
        <f aca="false">IF(D26&gt;0,_xlfn.MAXIFS(Pl_b,Pl_n,A26,Pl_eff,1,Pl_sup,0),"none")</f>
        <v>none</v>
      </c>
    </row>
    <row r="28" customFormat="false" ht="15" hidden="false" customHeight="false" outlineLevel="0" collapsed="false">
      <c r="A28" s="2" t="s">
        <v>347</v>
      </c>
      <c r="B28" s="15" t="n">
        <f aca="false">_xlfn.MINIFS(Pl_b,Pl_eff,1,Pl_sup,0)</f>
        <v>86</v>
      </c>
      <c r="C28" s="10" t="s">
        <v>348</v>
      </c>
    </row>
    <row r="29" customFormat="false" ht="15" hidden="false" customHeight="false" outlineLevel="0" collapsed="false">
      <c r="A29" s="2" t="s">
        <v>349</v>
      </c>
      <c r="B29" s="15" t="n">
        <f aca="false">_xlfn.MAXIFS(Pl_b,Pl_eff,1,Pl_sup,0)</f>
        <v>149</v>
      </c>
      <c r="C29" s="10" t="s">
        <v>350</v>
      </c>
    </row>
    <row r="31" customFormat="false" ht="23.85" hidden="false" customHeight="false" outlineLevel="0" collapsed="false">
      <c r="A31" s="8" t="s">
        <v>351</v>
      </c>
      <c r="B31" s="8" t="s">
        <v>352</v>
      </c>
      <c r="C31" s="8" t="s">
        <v>353</v>
      </c>
    </row>
    <row r="32" customFormat="false" ht="15" hidden="false" customHeight="false" outlineLevel="0" collapsed="false">
      <c r="A32" s="2" t="s">
        <v>354</v>
      </c>
      <c r="B32" s="9" t="n">
        <v>1</v>
      </c>
      <c r="C32" s="9" t="n">
        <v>2</v>
      </c>
    </row>
    <row r="33" customFormat="false" ht="15" hidden="false" customHeight="false" outlineLevel="0" collapsed="false">
      <c r="A33" s="2" t="s">
        <v>355</v>
      </c>
      <c r="B33" s="9" t="n">
        <v>1</v>
      </c>
      <c r="C33" s="9" t="n">
        <v>1</v>
      </c>
    </row>
    <row r="34" customFormat="false" ht="15" hidden="false" customHeight="false" outlineLevel="0" collapsed="false">
      <c r="A34" s="2" t="s">
        <v>356</v>
      </c>
      <c r="B34" s="9" t="n">
        <v>1</v>
      </c>
      <c r="C34" s="9" t="n">
        <v>1</v>
      </c>
    </row>
    <row r="35" customFormat="false" ht="15" hidden="false" customHeight="false" outlineLevel="0" collapsed="false">
      <c r="A35" s="2" t="s">
        <v>357</v>
      </c>
      <c r="B35" s="12" t="n">
        <f aca="false">MIN(Pl_chA)</f>
        <v>0.390521062162424</v>
      </c>
      <c r="C35" s="12" t="n">
        <f aca="false">MIN(Pl_chB)</f>
        <v>0.484003556492015</v>
      </c>
    </row>
    <row r="36" customFormat="false" ht="15" hidden="false" customHeight="false" outlineLevel="0" collapsed="false">
      <c r="A36" s="2" t="s">
        <v>358</v>
      </c>
      <c r="B36" s="15" t="n">
        <f aca="false">MATCH(B35,Pl_chA,0)-1</f>
        <v>545</v>
      </c>
      <c r="C36" s="15" t="n">
        <f aca="false">MATCH(C35,Pl_chB,0)-1</f>
        <v>398</v>
      </c>
      <c r="D36" s="10" t="s">
        <v>359</v>
      </c>
    </row>
    <row r="37" customFormat="false" ht="15" hidden="false" customHeight="false" outlineLevel="0" collapsed="false">
      <c r="A37" s="2" t="s">
        <v>206</v>
      </c>
      <c r="B37" s="15" t="n">
        <f aca="false">INDEX(Pl_n,B36+1)</f>
        <v>3</v>
      </c>
      <c r="C37" s="15" t="n">
        <f aca="false">INDEX(Pl_n,C36+1)</f>
        <v>2</v>
      </c>
    </row>
    <row r="38" customFormat="false" ht="15" hidden="false" customHeight="false" outlineLevel="0" collapsed="false">
      <c r="A38" s="2" t="s">
        <v>282</v>
      </c>
      <c r="B38" s="15" t="n">
        <f aca="false">INDEX(Pl_b,B36+1)</f>
        <v>92</v>
      </c>
      <c r="C38" s="15" t="n">
        <f aca="false">INDEX(Pl_b,C36+1)</f>
        <v>96</v>
      </c>
    </row>
    <row r="39" customFormat="false" ht="15" hidden="false" customHeight="false" outlineLevel="0" collapsed="false">
      <c r="A39" s="2" t="s">
        <v>287</v>
      </c>
      <c r="B39" s="15" t="n">
        <f aca="false">INDEX(Pl_idx,B36+1)</f>
        <v>52</v>
      </c>
      <c r="C39" s="15" t="n">
        <f aca="false">INDEX(Pl_idx,C36+1)</f>
        <v>48</v>
      </c>
    </row>
    <row r="40" customFormat="false" ht="15" hidden="false" customHeight="false" outlineLevel="0" collapsed="false">
      <c r="A40" s="2" t="s">
        <v>59</v>
      </c>
      <c r="B40" s="2" t="str">
        <f aca="false">INDEX(Pl_label,B36+1)</f>
        <v>1, 2, 4</v>
      </c>
      <c r="C40" s="2" t="str">
        <f aca="false">INDEX(Pl_label,C36+1)</f>
        <v>1, 2</v>
      </c>
    </row>
    <row r="41" customFormat="false" ht="15" hidden="false" customHeight="false" outlineLevel="0" collapsed="false">
      <c r="A41" s="2" t="s">
        <v>215</v>
      </c>
      <c r="B41" s="17" t="n">
        <f aca="false">INDEX(Pl_P,B36+1)</f>
        <v>242.796087744086</v>
      </c>
      <c r="C41" s="17" t="n">
        <f aca="false">INDEX(Pl_P,C36+1)</f>
        <v>296.900609123818</v>
      </c>
    </row>
    <row r="42" customFormat="false" ht="15" hidden="false" customHeight="false" outlineLevel="0" collapsed="false">
      <c r="A42" s="2" t="s">
        <v>191</v>
      </c>
      <c r="B42" s="16" t="n">
        <f aca="false">INDEX(Pl_S,B36+1)</f>
        <v>122.5</v>
      </c>
      <c r="C42" s="16" t="n">
        <f aca="false">INDEX(Pl_S,C36+1)</f>
        <v>105</v>
      </c>
    </row>
    <row r="43" customFormat="false" ht="15" hidden="false" customHeight="false" outlineLevel="0" collapsed="false">
      <c r="A43" s="2" t="s">
        <v>360</v>
      </c>
      <c r="B43" s="27" t="n">
        <f aca="false">B32*INDEX(Pl_dP,B36+1)</f>
        <v>0.390420772773318</v>
      </c>
      <c r="C43" s="27" t="n">
        <f aca="false">C32*INDEX(Pl_dP,C36+1)</f>
        <v>0.482016533050708</v>
      </c>
    </row>
    <row r="44" customFormat="false" ht="15" hidden="false" customHeight="false" outlineLevel="0" collapsed="false">
      <c r="A44" s="2" t="s">
        <v>361</v>
      </c>
      <c r="B44" s="27" t="n">
        <f aca="false">B33*INDEX(Pl_dS,B36+1)</f>
        <v>0.225806451612903</v>
      </c>
      <c r="C44" s="27" t="n">
        <f aca="false">C33*INDEX(Pl_dS,C36+1)</f>
        <v>0.483870967741936</v>
      </c>
    </row>
    <row r="45" customFormat="false" ht="15" hidden="false" customHeight="false" outlineLevel="0" collapsed="false">
      <c r="A45" s="2" t="s">
        <v>362</v>
      </c>
      <c r="B45" s="27" t="n">
        <f aca="false">B34*INDEX(Pl_dB,B36+1)</f>
        <v>0.386666666666667</v>
      </c>
      <c r="C45" s="27" t="n">
        <f aca="false">C34*INDEX(Pl_dB,C36+1)</f>
        <v>0.36</v>
      </c>
    </row>
    <row r="46" customFormat="false" ht="15" hidden="false" customHeight="false" outlineLevel="0" collapsed="false">
      <c r="A46" s="2" t="s">
        <v>363</v>
      </c>
      <c r="B46" s="15" t="n">
        <f aca="false">INDEX(Pl_sup,B36+1)</f>
        <v>0</v>
      </c>
      <c r="C46" s="15" t="n">
        <f aca="false">INDEX(Pl_sup,C36+1)</f>
        <v>1</v>
      </c>
    </row>
    <row r="47" customFormat="false" ht="15" hidden="false" customHeight="false" outlineLevel="0" collapsed="false">
      <c r="A47" s="2" t="s">
        <v>364</v>
      </c>
      <c r="B47" s="15" t="n">
        <f aca="false">INDEX(Pl_cert,B36+1)</f>
        <v>1</v>
      </c>
      <c r="C47" s="15" t="n">
        <f aca="false">INDEX(Pl_cert,C36+1)</f>
        <v>1</v>
      </c>
    </row>
    <row r="48" customFormat="false" ht="15" hidden="false" customHeight="false" outlineLevel="0" collapsed="false">
      <c r="A48" s="2" t="s">
        <v>193</v>
      </c>
      <c r="B48" s="17" t="n">
        <f aca="false">INDEX(Pl_board,B36+1)</f>
        <v>934.276652059963</v>
      </c>
      <c r="C48" s="17" t="n">
        <f aca="false">INDEX(Pl_board,C36+1)</f>
        <v>889.598235680284</v>
      </c>
    </row>
    <row r="49" customFormat="false" ht="15" hidden="false" customHeight="false" outlineLevel="0" collapsed="false">
      <c r="A49" s="2" t="s">
        <v>365</v>
      </c>
      <c r="B49" s="16" t="n">
        <f aca="false">INDEX(Sch_p1,B39+1)-B38</f>
        <v>8</v>
      </c>
      <c r="C49" s="16" t="n">
        <f aca="false">INDEX(Sch_p1,C39+1)-C38</f>
        <v>4</v>
      </c>
    </row>
    <row r="50" customFormat="false" ht="15" hidden="false" customHeight="false" outlineLevel="0" collapsed="false">
      <c r="A50" s="2" t="s">
        <v>366</v>
      </c>
      <c r="B50" s="16" t="n">
        <f aca="false">INDEX(Sch_p2,B39+1)</f>
        <v>90</v>
      </c>
      <c r="C50" s="16" t="n">
        <f aca="false">INDEX(Sch_p2,C39+1)</f>
        <v>105</v>
      </c>
    </row>
    <row r="51" customFormat="false" ht="15" hidden="false" customHeight="false" outlineLevel="0" collapsed="false">
      <c r="A51" s="2" t="s">
        <v>367</v>
      </c>
      <c r="B51" s="16" t="n">
        <f aca="false">INDEX(Sch_p3,B39+1)</f>
        <v>0</v>
      </c>
      <c r="C51" s="16" t="n">
        <f aca="false">INDEX(Sch_p3,C39+1)</f>
        <v>105</v>
      </c>
    </row>
    <row r="52" customFormat="false" ht="15" hidden="false" customHeight="false" outlineLevel="0" collapsed="false">
      <c r="A52" s="2" t="s">
        <v>368</v>
      </c>
      <c r="B52" s="16" t="n">
        <f aca="false">INDEX(Sch_p4,B39+1)</f>
        <v>122.5</v>
      </c>
      <c r="C52" s="16" t="n">
        <f aca="false">INDEX(Sch_p4,C39+1)</f>
        <v>105</v>
      </c>
    </row>
    <row r="53" customFormat="false" ht="15" hidden="false" customHeight="false" outlineLevel="0" collapsed="false">
      <c r="A53" s="2" t="s">
        <v>369</v>
      </c>
      <c r="B53" s="16" t="n">
        <f aca="false">INDEX(Sch_p5,B39+1)</f>
        <v>122.5</v>
      </c>
      <c r="C53" s="16" t="n">
        <f aca="false">INDEX(Sch_p5,C39+1)</f>
        <v>90</v>
      </c>
    </row>
    <row r="54" customFormat="false" ht="15" hidden="false" customHeight="false" outlineLevel="0" collapsed="false">
      <c r="A54" s="2" t="s">
        <v>370</v>
      </c>
      <c r="B54" s="16" t="n">
        <f aca="false">INDEX(Sch_p6,B39+1)</f>
        <v>2.5</v>
      </c>
      <c r="C54" s="16" t="n">
        <f aca="false">INDEX(Sch_p6,C39+1)</f>
        <v>0</v>
      </c>
    </row>
    <row r="57" customFormat="false" ht="15" hidden="false" customHeight="false" outlineLevel="0" collapsed="false">
      <c r="A57" s="4" t="s">
        <v>371</v>
      </c>
    </row>
    <row r="58" customFormat="false" ht="15" hidden="false" customHeight="false" outlineLevel="0" collapsed="false">
      <c r="A58" s="2" t="s">
        <v>372</v>
      </c>
      <c r="B58" s="28" t="n">
        <v>3</v>
      </c>
      <c r="C58" s="10" t="s">
        <v>373</v>
      </c>
    </row>
    <row r="59" customFormat="false" ht="15" hidden="false" customHeight="false" outlineLevel="0" collapsed="false">
      <c r="A59" s="2" t="s">
        <v>374</v>
      </c>
      <c r="B59" s="28" t="n">
        <v>92</v>
      </c>
    </row>
    <row r="60" customFormat="false" ht="15" hidden="false" customHeight="false" outlineLevel="0" collapsed="false">
      <c r="A60" s="2" t="s">
        <v>375</v>
      </c>
      <c r="B60" s="9" t="n">
        <v>0.01</v>
      </c>
    </row>
    <row r="61" customFormat="false" ht="15" hidden="false" customHeight="false" outlineLevel="0" collapsed="false">
      <c r="A61" s="2" t="s">
        <v>376</v>
      </c>
      <c r="B61" s="15" t="n">
        <f aca="false">B58*151+B59</f>
        <v>545</v>
      </c>
    </row>
    <row r="62" customFormat="false" ht="15" hidden="false" customHeight="false" outlineLevel="0" collapsed="false">
      <c r="A62" s="2" t="s">
        <v>377</v>
      </c>
      <c r="B62" s="15" t="n">
        <f aca="false">INDEX(Pl_eff,B61+1)</f>
        <v>1</v>
      </c>
    </row>
    <row r="63" customFormat="false" ht="15" hidden="false" customHeight="false" outlineLevel="0" collapsed="false">
      <c r="A63" s="2" t="s">
        <v>378</v>
      </c>
      <c r="B63" s="13" t="n">
        <f aca="false">Ideal_P+B60*Span_P</f>
        <v>387.794487178257</v>
      </c>
    </row>
    <row r="64" customFormat="false" ht="15" hidden="false" customHeight="false" outlineLevel="0" collapsed="false">
      <c r="A64" s="2" t="s">
        <v>379</v>
      </c>
      <c r="B64" s="13" t="n">
        <f aca="false">Ideal_S+B60*Span_S</f>
        <v>138.490625</v>
      </c>
    </row>
    <row r="65" customFormat="false" ht="15" hidden="false" customHeight="false" outlineLevel="0" collapsed="false">
      <c r="A65" s="2" t="s">
        <v>380</v>
      </c>
      <c r="B65" s="13" t="n">
        <f aca="false">Ideal_B+B60*Span_B</f>
        <v>151.5</v>
      </c>
    </row>
    <row r="66" customFormat="false" ht="15" hidden="false" customHeight="false" outlineLevel="0" collapsed="false">
      <c r="A66" s="2" t="s">
        <v>381</v>
      </c>
      <c r="B66" s="13" t="n">
        <f aca="false">Span_P/(B63-INDEX(Pl_P,B61+1))</f>
        <v>2.49737293366173</v>
      </c>
    </row>
    <row r="67" customFormat="false" ht="15" hidden="false" customHeight="false" outlineLevel="0" collapsed="false">
      <c r="A67" s="2" t="s">
        <v>382</v>
      </c>
      <c r="B67" s="13" t="n">
        <f aca="false">Span_S/(B64-INDEX(Pl_S,B61+1))</f>
        <v>4.24076607387141</v>
      </c>
    </row>
    <row r="68" customFormat="false" ht="15" hidden="false" customHeight="false" outlineLevel="0" collapsed="false">
      <c r="A68" s="2" t="s">
        <v>383</v>
      </c>
      <c r="B68" s="13" t="n">
        <f aca="false">Span_B/(B65-INDEX(Pl_b,B61+1))</f>
        <v>2.52100840336134</v>
      </c>
    </row>
    <row r="69" customFormat="false" ht="15" hidden="false" customHeight="false" outlineLevel="0" collapsed="false">
      <c r="A69" s="2" t="s">
        <v>384</v>
      </c>
      <c r="B69" s="12" t="n">
        <f aca="false">MIN(Pl_chX)</f>
        <v>1</v>
      </c>
      <c r="C69" s="10" t="s">
        <v>385</v>
      </c>
    </row>
    <row r="70" customFormat="false" ht="15" hidden="false" customHeight="false" outlineLevel="0" collapsed="false">
      <c r="A70" s="2" t="s">
        <v>386</v>
      </c>
      <c r="B70" s="15" t="n">
        <f aca="false">COUNTIFS(Pl_chX,"&lt;="&amp;(B69+0.000000000001))</f>
        <v>1</v>
      </c>
      <c r="C70" s="10" t="s">
        <v>387</v>
      </c>
    </row>
    <row r="71" customFormat="false" ht="15" hidden="false" customHeight="false" outlineLevel="0" collapsed="false">
      <c r="A71" s="2" t="s">
        <v>388</v>
      </c>
      <c r="B71" s="15" t="n">
        <f aca="false">MATCH(B69,Pl_chX,0)-1</f>
        <v>545</v>
      </c>
    </row>
    <row r="72" customFormat="false" ht="15" hidden="false" customHeight="false" outlineLevel="0" collapsed="false">
      <c r="A72" s="2" t="s">
        <v>389</v>
      </c>
      <c r="B72" s="15" t="n">
        <f aca="false">IF(AND(B71=B61,B70=1),1,0)</f>
        <v>1</v>
      </c>
    </row>
    <row r="74" customFormat="false" ht="15" hidden="false" customHeight="false" outlineLevel="0" collapsed="false">
      <c r="A74" s="8" t="s">
        <v>390</v>
      </c>
      <c r="B74" s="8" t="s">
        <v>391</v>
      </c>
      <c r="C74" s="8" t="s">
        <v>392</v>
      </c>
      <c r="D74" s="8" t="s">
        <v>393</v>
      </c>
    </row>
    <row r="75" customFormat="false" ht="15" hidden="false" customHeight="false" outlineLevel="0" collapsed="false">
      <c r="A75" s="2" t="s">
        <v>394</v>
      </c>
      <c r="B75" s="13" t="n">
        <f aca="false">_xlfn.MAXIFS(Pl_P,Pl_eff,1)</f>
        <v>384.173336396545</v>
      </c>
      <c r="C75" s="13" t="n">
        <f aca="false">_xlfn.MAXIFS(Pl_S,Pl_eff,1)</f>
        <v>137.8125</v>
      </c>
      <c r="D75" s="13" t="n">
        <f aca="false">_xlfn.MAXIFS(Pl_b,Pl_eff,1)</f>
        <v>150</v>
      </c>
    </row>
    <row r="76" customFormat="false" ht="15" hidden="false" customHeight="false" outlineLevel="0" collapsed="false">
      <c r="A76" s="2" t="s">
        <v>395</v>
      </c>
      <c r="B76" s="13" t="n">
        <f aca="false">_xlfn.MAXIFS(Pl_S,Pl_eff,1,Pl_P,"&gt;="&amp;(B75-0.000000001))</f>
        <v>105</v>
      </c>
      <c r="C76" s="13" t="n">
        <f aca="false">_xlfn.MAXIFS(Pl_P,Pl_eff,1,Pl_S,"&gt;="&amp;(C75-0.000000001))</f>
        <v>106.59150319972</v>
      </c>
      <c r="D76" s="13" t="n">
        <f aca="false">_xlfn.MAXIFS(Pl_P,Pl_eff,1,Pl_b,"&gt;="&amp;(D75-0.000000001))</f>
        <v>234.309007705634</v>
      </c>
    </row>
    <row r="77" customFormat="false" ht="15" hidden="false" customHeight="false" outlineLevel="0" collapsed="false">
      <c r="A77" s="2" t="s">
        <v>396</v>
      </c>
      <c r="B77" s="13" t="n">
        <f aca="false">_xlfn.MAXIFS(Pl_b,Pl_eff,1,Pl_P,"&gt;="&amp;(B75-0.000000001),Pl_S,"&gt;="&amp;(B76-0.000000001))</f>
        <v>0</v>
      </c>
      <c r="C77" s="13" t="n">
        <f aca="false">_xlfn.MAXIFS(Pl_b,Pl_eff,1,Pl_S,"&gt;="&amp;(C75-0.000000001),Pl_P,"&gt;="&amp;(C76-0.000000001))</f>
        <v>0</v>
      </c>
      <c r="D77" s="13" t="n">
        <f aca="false">_xlfn.MAXIFS(Pl_S,Pl_eff,1,Pl_b,"&gt;="&amp;(D75-0.000000001),Pl_P,"&gt;="&amp;(D76-0.000000001))</f>
        <v>70</v>
      </c>
    </row>
    <row r="78" customFormat="false" ht="15" hidden="false" customHeight="false" outlineLevel="0" collapsed="false">
      <c r="A78" s="2" t="s">
        <v>397</v>
      </c>
      <c r="B78" s="15" t="n">
        <f aca="false">_xlfn.MINIFS(Pl_k,Pl_eff,1,Pl_P,"&gt;="&amp;(B75-0.000000001),Pl_S,"&gt;="&amp;(B76-0.000000001),Pl_b,"&gt;="&amp;(B77-0.000000001))</f>
        <v>302</v>
      </c>
      <c r="C78" s="15" t="n">
        <f aca="false">_xlfn.MINIFS(Pl_k,Pl_eff,1,Pl_S,"&gt;="&amp;(C75-0.000000001),Pl_P,"&gt;="&amp;(C76-0.000000001),Pl_b,"&gt;="&amp;(C77-0.000000001))</f>
        <v>906</v>
      </c>
      <c r="D78" s="15" t="n">
        <f aca="false">_xlfn.MINIFS(Pl_k,Pl_eff,1,Pl_b,"&gt;="&amp;(D75-0.000000001),Pl_P,"&gt;="&amp;(D76-0.000000001),Pl_S,"&gt;="&amp;(D77-0.000000001))</f>
        <v>301</v>
      </c>
    </row>
    <row r="79" customFormat="false" ht="15" hidden="false" customHeight="false" outlineLevel="0" collapsed="false">
      <c r="A79" s="2" t="s">
        <v>59</v>
      </c>
      <c r="B79" s="2" t="str">
        <f aca="false">INDEX(Pl_label,B78+1)</f>
        <v>1, 2</v>
      </c>
      <c r="C79" s="2" t="str">
        <f aca="false">INDEX(Pl_label,C78+1)</f>
        <v>1–6</v>
      </c>
      <c r="D79" s="2" t="str">
        <f aca="false">INDEX(Pl_label,D78+1)</f>
        <v>1</v>
      </c>
    </row>
    <row r="80" customFormat="false" ht="15" hidden="false" customHeight="false" outlineLevel="0" collapsed="false">
      <c r="A80" s="2" t="s">
        <v>282</v>
      </c>
      <c r="B80" s="15" t="n">
        <f aca="false">INDEX(Pl_b,B78+1)</f>
        <v>0</v>
      </c>
      <c r="C80" s="15" t="n">
        <f aca="false">INDEX(Pl_b,C78+1)</f>
        <v>0</v>
      </c>
      <c r="D80" s="15" t="n">
        <f aca="false">INDEX(Pl_b,D78+1)</f>
        <v>150</v>
      </c>
    </row>
    <row r="81" customFormat="false" ht="15" hidden="false" customHeight="false" outlineLevel="0" collapsed="false">
      <c r="A81" s="2" t="s">
        <v>215</v>
      </c>
      <c r="B81" s="17" t="n">
        <f aca="false">INDEX(Pl_P,B78+1)</f>
        <v>384.173336396545</v>
      </c>
      <c r="C81" s="17" t="n">
        <f aca="false">INDEX(Pl_P,C78+1)</f>
        <v>106.59150319972</v>
      </c>
      <c r="D81" s="17" t="n">
        <f aca="false">INDEX(Pl_P,D78+1)</f>
        <v>234.309007705634</v>
      </c>
    </row>
    <row r="82" customFormat="false" ht="15" hidden="false" customHeight="false" outlineLevel="0" collapsed="false">
      <c r="A82" s="2" t="s">
        <v>191</v>
      </c>
      <c r="B82" s="16" t="n">
        <f aca="false">INDEX(Pl_S,B78+1)</f>
        <v>105</v>
      </c>
      <c r="C82" s="16" t="n">
        <f aca="false">INDEX(Pl_S,C78+1)</f>
        <v>137.8125</v>
      </c>
      <c r="D82" s="16" t="n">
        <f aca="false">INDEX(Pl_S,D78+1)</f>
        <v>70</v>
      </c>
    </row>
    <row r="83" customFormat="false" ht="15" hidden="false" customHeight="false" outlineLevel="0" collapsed="false">
      <c r="A83" s="2" t="s">
        <v>193</v>
      </c>
      <c r="B83" s="17" t="n">
        <f aca="false">INDEX(Pl_board,B78+1)</f>
        <v>976.870962953011</v>
      </c>
      <c r="C83" s="17" t="n">
        <f aca="false">INDEX(Pl_board,C78+1)</f>
        <v>884.507138055082</v>
      </c>
      <c r="D83" s="17" t="n">
        <f aca="false">INDEX(Pl_board,D78+1)</f>
        <v>629.440758743278</v>
      </c>
    </row>
    <row r="84" customFormat="false" ht="15" hidden="false" customHeight="false" outlineLevel="0" collapsed="false">
      <c r="A84" s="2" t="s">
        <v>287</v>
      </c>
      <c r="B84" s="15" t="n">
        <f aca="false">INDEX(Pl_idx,B78+1)</f>
        <v>48</v>
      </c>
      <c r="C84" s="15" t="n">
        <f aca="false">INDEX(Pl_idx,C78+1)</f>
        <v>63</v>
      </c>
      <c r="D84" s="15" t="n">
        <f aca="false">INDEX(Pl_idx,D78+1)</f>
        <v>32</v>
      </c>
    </row>
    <row r="85" customFormat="false" ht="15" hidden="false" customHeight="false" outlineLevel="0" collapsed="false">
      <c r="A85" s="2" t="s">
        <v>365</v>
      </c>
      <c r="B85" s="16" t="n">
        <f aca="false">INDEX(Sch_p1,B84+1)-B80</f>
        <v>100</v>
      </c>
      <c r="C85" s="16" t="n">
        <f aca="false">INDEX(Sch_p1,C84+1)-C80</f>
        <v>85</v>
      </c>
      <c r="D85" s="16" t="n">
        <f aca="false">INDEX(Sch_p1,D84+1)-D80</f>
        <v>70</v>
      </c>
    </row>
    <row r="86" customFormat="false" ht="15" hidden="false" customHeight="false" outlineLevel="0" collapsed="false">
      <c r="A86" s="2" t="s">
        <v>366</v>
      </c>
      <c r="B86" s="16" t="n">
        <f aca="false">INDEX(Sch_p2,B84+1)</f>
        <v>105</v>
      </c>
      <c r="C86" s="16" t="n">
        <f aca="false">INDEX(Sch_p2,C84+1)</f>
        <v>0</v>
      </c>
      <c r="D86" s="16" t="n">
        <f aca="false">INDEX(Sch_p2,D84+1)</f>
        <v>70</v>
      </c>
    </row>
    <row r="87" customFormat="false" ht="15" hidden="false" customHeight="false" outlineLevel="0" collapsed="false">
      <c r="A87" s="2" t="s">
        <v>367</v>
      </c>
      <c r="B87" s="16" t="n">
        <f aca="false">INDEX(Sch_p3,B84+1)</f>
        <v>105</v>
      </c>
      <c r="C87" s="16" t="n">
        <f aca="false">INDEX(Sch_p3,C84+1)</f>
        <v>2.5</v>
      </c>
      <c r="D87" s="16" t="n">
        <f aca="false">INDEX(Sch_p3,D84+1)</f>
        <v>70</v>
      </c>
    </row>
    <row r="88" customFormat="false" ht="15" hidden="false" customHeight="false" outlineLevel="0" collapsed="false">
      <c r="A88" s="2" t="s">
        <v>368</v>
      </c>
      <c r="B88" s="16" t="n">
        <f aca="false">INDEX(Sch_p4,B84+1)</f>
        <v>105</v>
      </c>
      <c r="C88" s="16" t="n">
        <f aca="false">INDEX(Sch_p4,C84+1)</f>
        <v>11.25</v>
      </c>
      <c r="D88" s="16" t="n">
        <f aca="false">INDEX(Sch_p4,D84+1)</f>
        <v>70</v>
      </c>
    </row>
    <row r="89" customFormat="false" ht="15" hidden="false" customHeight="false" outlineLevel="0" collapsed="false">
      <c r="A89" s="2" t="s">
        <v>369</v>
      </c>
      <c r="B89" s="16" t="n">
        <f aca="false">INDEX(Sch_p5,B84+1)</f>
        <v>90</v>
      </c>
      <c r="C89" s="16" t="n">
        <f aca="false">INDEX(Sch_p5,C84+1)</f>
        <v>15.625</v>
      </c>
      <c r="D89" s="16" t="n">
        <f aca="false">INDEX(Sch_p5,D84+1)</f>
        <v>20</v>
      </c>
    </row>
    <row r="90" customFormat="false" ht="15" hidden="false" customHeight="false" outlineLevel="0" collapsed="false">
      <c r="A90" s="2" t="s">
        <v>370</v>
      </c>
      <c r="B90" s="16" t="n">
        <f aca="false">INDEX(Sch_p6,B84+1)</f>
        <v>0</v>
      </c>
      <c r="C90" s="16" t="n">
        <f aca="false">INDEX(Sch_p6,C84+1)</f>
        <v>17.8125</v>
      </c>
      <c r="D90" s="16" t="n">
        <f aca="false">INDEX(Sch_p6,D84+1)</f>
        <v>0</v>
      </c>
    </row>
    <row r="92" customFormat="false" ht="15" hidden="false" customHeight="false" outlineLevel="0" collapsed="false">
      <c r="A92" s="2" t="s">
        <v>398</v>
      </c>
      <c r="B92" s="17" t="n">
        <f aca="false">_xlfn.MAXIFS(Pl_board,Pl_eff,1)</f>
        <v>1021.93254988115</v>
      </c>
      <c r="C92" s="10" t="s">
        <v>399</v>
      </c>
    </row>
    <row r="93" customFormat="false" ht="15" hidden="false" customHeight="false" outlineLevel="0" collapsed="false">
      <c r="A93" s="2" t="s">
        <v>400</v>
      </c>
      <c r="B93" s="15" t="n">
        <f aca="false">MATCH(B92,Pl_board,0)-1</f>
        <v>453</v>
      </c>
    </row>
    <row r="94" customFormat="false" ht="15" hidden="false" customHeight="false" outlineLevel="0" collapsed="false">
      <c r="A94" s="2" t="s">
        <v>332</v>
      </c>
      <c r="B94" s="2" t="str">
        <f aca="false">INDEX(Pl_label,B93+1)&amp;"; "&amp;INDEX(Pl_b,B93+1)</f>
        <v>1–3; 0</v>
      </c>
    </row>
    <row r="96" customFormat="false" ht="15" hidden="false" customHeight="false" outlineLevel="0" collapsed="false">
      <c r="A96" s="2" t="s">
        <v>401</v>
      </c>
      <c r="B96" s="19" t="n">
        <f aca="false">Goal_P</f>
        <v>300</v>
      </c>
      <c r="C96" s="10" t="s">
        <v>45</v>
      </c>
    </row>
    <row r="97" customFormat="false" ht="15" hidden="false" customHeight="false" outlineLevel="0" collapsed="false">
      <c r="A97" s="2" t="s">
        <v>402</v>
      </c>
      <c r="B97" s="19" t="n">
        <f aca="false">Goal_S</f>
        <v>122.5</v>
      </c>
    </row>
    <row r="98" customFormat="false" ht="15" hidden="false" customHeight="false" outlineLevel="0" collapsed="false">
      <c r="A98" s="2" t="s">
        <v>403</v>
      </c>
      <c r="B98" s="19" t="n">
        <f aca="false">Goal_b</f>
        <v>25</v>
      </c>
    </row>
    <row r="99" customFormat="false" ht="15" hidden="false" customHeight="false" outlineLevel="0" collapsed="false">
      <c r="A99" s="2" t="s">
        <v>404</v>
      </c>
      <c r="B99" s="15" t="n">
        <f aca="false">SUM(Sch_meet)</f>
        <v>3</v>
      </c>
      <c r="C99" s="10" t="s">
        <v>405</v>
      </c>
    </row>
    <row r="100" customFormat="false" ht="15" hidden="false" customHeight="false" outlineLevel="0" collapsed="false">
      <c r="A100" s="2" t="s">
        <v>406</v>
      </c>
      <c r="B100" s="15" t="n">
        <f aca="false">_xlfn.MINIFS(Sch_idx,Sch_meet,1)</f>
        <v>50</v>
      </c>
      <c r="C100" s="10" t="s">
        <v>407</v>
      </c>
    </row>
    <row r="101" customFormat="false" ht="15" hidden="false" customHeight="false" outlineLevel="0" collapsed="false">
      <c r="A101" s="2" t="s">
        <v>408</v>
      </c>
      <c r="B101" s="2" t="str">
        <f aca="false">INDEX(Sch_label,B100+1)</f>
        <v>1, 2, 5</v>
      </c>
      <c r="C101" s="10" t="s">
        <v>409</v>
      </c>
    </row>
    <row r="102" customFormat="false" ht="15" hidden="false" customHeight="false" outlineLevel="0" collapsed="false">
      <c r="A102" s="2" t="s">
        <v>410</v>
      </c>
      <c r="B102" s="17" t="n">
        <f aca="false">INDEX(Sch_Pgoal,B100+1)</f>
        <v>300.051056666973</v>
      </c>
      <c r="C102" s="10" t="s">
        <v>411</v>
      </c>
    </row>
    <row r="103" customFormat="false" ht="15" hidden="false" customHeight="false" outlineLevel="0" collapsed="false">
      <c r="A103" s="2" t="s">
        <v>412</v>
      </c>
      <c r="B103" s="17" t="n">
        <f aca="false">MIN(B102,Goal_P)</f>
        <v>300</v>
      </c>
      <c r="C103" s="10" t="s">
        <v>413</v>
      </c>
    </row>
    <row r="104" customFormat="false" ht="15" hidden="false" customHeight="false" outlineLevel="0" collapsed="false">
      <c r="A104" s="2" t="s">
        <v>402</v>
      </c>
      <c r="B104" s="16" t="n">
        <f aca="false">INDEX(Sch_S6,B100+1)</f>
        <v>122.5</v>
      </c>
    </row>
    <row r="105" customFormat="false" ht="15" hidden="false" customHeight="false" outlineLevel="0" collapsed="false">
      <c r="A105" s="2" t="s">
        <v>414</v>
      </c>
      <c r="B105" s="17" t="n">
        <f aca="false">B103+W_board*B104</f>
        <v>991.480564315877</v>
      </c>
      <c r="C105" s="10" t="s">
        <v>415</v>
      </c>
    </row>
    <row r="107" customFormat="false" ht="15" hidden="false" customHeight="false" outlineLevel="0" collapsed="false">
      <c r="A107" s="2" t="s">
        <v>416</v>
      </c>
      <c r="B107" s="17" t="n">
        <f aca="false">_xlfn.MAXIFS(Sch_Pgoal,Sch_meet,1)</f>
        <v>307.724712838</v>
      </c>
      <c r="C107" s="10" t="s">
        <v>417</v>
      </c>
    </row>
    <row r="108" customFormat="false" ht="15" hidden="false" customHeight="false" outlineLevel="0" collapsed="false">
      <c r="A108" s="2" t="s">
        <v>418</v>
      </c>
      <c r="B108" s="15" t="n">
        <f aca="false">_xlfn.MINIFS(Sch_idx,Sch_meet,1,Sch_Pgoal,"&gt;="&amp;(B107-0.000000001))</f>
        <v>56</v>
      </c>
    </row>
    <row r="109" customFormat="false" ht="15" hidden="false" customHeight="false" outlineLevel="0" collapsed="false">
      <c r="A109" s="2" t="s">
        <v>408</v>
      </c>
      <c r="B109" s="2" t="str">
        <f aca="false">INDEX(Sch_label,B108+1)</f>
        <v>1–3</v>
      </c>
      <c r="C109" s="10" t="s">
        <v>419</v>
      </c>
    </row>
    <row r="110" customFormat="false" ht="15" hidden="false" customHeight="false" outlineLevel="0" collapsed="false">
      <c r="A110" s="2" t="s">
        <v>402</v>
      </c>
      <c r="B110" s="16" t="n">
        <f aca="false">INDEX(Sch_S6,B108+1)</f>
        <v>122.5</v>
      </c>
    </row>
    <row r="111" customFormat="false" ht="15" hidden="false" customHeight="false" outlineLevel="0" collapsed="false">
      <c r="A111" s="2" t="s">
        <v>414</v>
      </c>
      <c r="B111" s="17" t="n">
        <f aca="false">B107+W_board*B110</f>
        <v>999.205277153877</v>
      </c>
      <c r="C111" s="10" t="s">
        <v>420</v>
      </c>
    </row>
    <row r="112" customFormat="false" ht="15" hidden="false" customHeight="false" outlineLevel="0" collapsed="false">
      <c r="A112" s="2" t="s">
        <v>421</v>
      </c>
      <c r="B112" s="17" t="n">
        <f aca="false">B107-B103</f>
        <v>7.7247128379999</v>
      </c>
      <c r="C112" s="10" t="s">
        <v>422</v>
      </c>
    </row>
    <row r="113" customFormat="false" ht="15" hidden="false" customHeight="false" outlineLevel="0" collapsed="false">
      <c r="A113" s="2" t="s">
        <v>423</v>
      </c>
      <c r="B113" s="15" t="n">
        <f aca="false">IF(AND(B107&gt;=B103,B110&gt;=B104,OR(B107&gt;B103+0.000000001,B110&gt;B104+0.000000001)),1,0)</f>
        <v>1</v>
      </c>
      <c r="C113" s="10" t="s">
        <v>424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0"/>
    <col collapsed="false" customWidth="true" hidden="false" outlineLevel="0" max="5" min="4" style="0" width="12"/>
    <col collapsed="false" customWidth="true" hidden="false" outlineLevel="0" max="6" min="6" style="0" width="14"/>
  </cols>
  <sheetData>
    <row r="1" customFormat="false" ht="15" hidden="false" customHeight="false" outlineLevel="0" collapsed="false">
      <c r="A1" s="1" t="s">
        <v>425</v>
      </c>
    </row>
    <row r="2" customFormat="false" ht="15" hidden="false" customHeight="false" outlineLevel="0" collapsed="false">
      <c r="A2" s="10" t="s">
        <v>426</v>
      </c>
    </row>
    <row r="4" customFormat="false" ht="15" hidden="false" customHeight="false" outlineLevel="0" collapsed="false">
      <c r="A4" s="8" t="s">
        <v>427</v>
      </c>
      <c r="B4" s="8" t="s">
        <v>59</v>
      </c>
      <c r="C4" s="8" t="s">
        <v>282</v>
      </c>
      <c r="D4" s="8" t="s">
        <v>428</v>
      </c>
      <c r="E4" s="8" t="s">
        <v>429</v>
      </c>
      <c r="F4" s="8" t="s">
        <v>193</v>
      </c>
    </row>
    <row r="5" customFormat="false" ht="15" hidden="false" customHeight="false" outlineLevel="0" collapsed="false">
      <c r="A5" s="4" t="s">
        <v>391</v>
      </c>
      <c r="B5" s="7" t="str">
        <f aca="false">Choose!B79</f>
        <v>1, 2</v>
      </c>
      <c r="C5" s="26" t="n">
        <f aca="false">Choose!B80</f>
        <v>0</v>
      </c>
      <c r="D5" s="19" t="n">
        <f aca="false">Choose!B81</f>
        <v>384.173336396545</v>
      </c>
      <c r="E5" s="19" t="n">
        <f aca="false">Choose!B82</f>
        <v>105</v>
      </c>
      <c r="F5" s="29" t="n">
        <f aca="false">Choose!B83</f>
        <v>976.870962953011</v>
      </c>
    </row>
    <row r="6" customFormat="false" ht="15" hidden="false" customHeight="false" outlineLevel="0" collapsed="false">
      <c r="A6" s="4" t="s">
        <v>392</v>
      </c>
      <c r="B6" s="7" t="str">
        <f aca="false">Choose!C79</f>
        <v>1–6</v>
      </c>
      <c r="C6" s="26" t="n">
        <f aca="false">Choose!C80</f>
        <v>0</v>
      </c>
      <c r="D6" s="19" t="n">
        <f aca="false">Choose!C81</f>
        <v>106.59150319972</v>
      </c>
      <c r="E6" s="19" t="n">
        <f aca="false">Choose!C82</f>
        <v>137.8125</v>
      </c>
      <c r="F6" s="29" t="n">
        <f aca="false">Choose!C83</f>
        <v>884.507138055082</v>
      </c>
    </row>
    <row r="7" customFormat="false" ht="15" hidden="false" customHeight="false" outlineLevel="0" collapsed="false">
      <c r="A7" s="4" t="s">
        <v>393</v>
      </c>
      <c r="B7" s="7" t="str">
        <f aca="false">Choose!D79</f>
        <v>1</v>
      </c>
      <c r="C7" s="26" t="n">
        <f aca="false">Choose!D80</f>
        <v>150</v>
      </c>
      <c r="D7" s="19" t="n">
        <f aca="false">Choose!D81</f>
        <v>234.309007705634</v>
      </c>
      <c r="E7" s="19" t="n">
        <f aca="false">Choose!D82</f>
        <v>70</v>
      </c>
      <c r="F7" s="29" t="n">
        <f aca="false">Choose!D83</f>
        <v>629.440758743278</v>
      </c>
    </row>
    <row r="8" customFormat="false" ht="15" hidden="false" customHeight="false" outlineLevel="0" collapsed="false">
      <c r="A8" s="4" t="s">
        <v>98</v>
      </c>
      <c r="B8" s="7" t="str">
        <f aca="false">Frontier!B38</f>
        <v>1–3</v>
      </c>
      <c r="C8" s="15" t="n">
        <v>0</v>
      </c>
      <c r="D8" s="19" t="n">
        <f aca="false">Frontier!B40</f>
        <v>330.451985565273</v>
      </c>
      <c r="E8" s="19" t="n">
        <f aca="false">Frontier!B41</f>
        <v>122.5</v>
      </c>
      <c r="F8" s="29" t="n">
        <f aca="false">Frontier!B36</f>
        <v>1021.93254988115</v>
      </c>
    </row>
    <row r="9" customFormat="false" ht="15" hidden="false" customHeight="false" outlineLevel="0" collapsed="false">
      <c r="A9" s="4" t="s">
        <v>430</v>
      </c>
      <c r="B9" s="7" t="str">
        <f aca="false">Choose!B40</f>
        <v>1, 2, 4</v>
      </c>
      <c r="C9" s="26" t="n">
        <f aca="false">Choose!B38</f>
        <v>92</v>
      </c>
      <c r="D9" s="19" t="n">
        <f aca="false">Choose!B41</f>
        <v>242.796087744086</v>
      </c>
      <c r="E9" s="19" t="n">
        <f aca="false">Choose!B42</f>
        <v>122.5</v>
      </c>
      <c r="F9" s="29" t="n">
        <f aca="false">Choose!B48</f>
        <v>934.276652059963</v>
      </c>
    </row>
    <row r="10" customFormat="false" ht="15" hidden="false" customHeight="false" outlineLevel="0" collapsed="false">
      <c r="A10" s="4" t="s">
        <v>431</v>
      </c>
      <c r="B10" s="7" t="str">
        <f aca="false">Choose!C40</f>
        <v>1, 2</v>
      </c>
      <c r="C10" s="26" t="n">
        <f aca="false">Choose!C38</f>
        <v>96</v>
      </c>
      <c r="D10" s="19" t="n">
        <f aca="false">Choose!C41</f>
        <v>296.900609123818</v>
      </c>
      <c r="E10" s="19" t="n">
        <f aca="false">Choose!C42</f>
        <v>105</v>
      </c>
      <c r="F10" s="29" t="n">
        <f aca="false">Choose!C48</f>
        <v>889.598235680284</v>
      </c>
    </row>
    <row r="11" customFormat="false" ht="15" hidden="false" customHeight="false" outlineLevel="0" collapsed="false">
      <c r="A11" s="4" t="s">
        <v>432</v>
      </c>
      <c r="B11" s="7" t="str">
        <f aca="false">Choose!B101</f>
        <v>1, 2, 5</v>
      </c>
      <c r="C11" s="26" t="n">
        <f aca="false">Goal_b</f>
        <v>25</v>
      </c>
      <c r="D11" s="19" t="n">
        <f aca="false">Choose!B103</f>
        <v>300</v>
      </c>
      <c r="E11" s="19" t="n">
        <f aca="false">Choose!B104</f>
        <v>122.5</v>
      </c>
      <c r="F11" s="29" t="n">
        <f aca="false">Choose!B105</f>
        <v>991.480564315877</v>
      </c>
    </row>
    <row r="12" customFormat="false" ht="15" hidden="false" customHeight="false" outlineLevel="0" collapsed="false">
      <c r="A12" s="4" t="s">
        <v>433</v>
      </c>
      <c r="B12" s="7" t="str">
        <f aca="false">Choose!B109</f>
        <v>1–3</v>
      </c>
      <c r="C12" s="26" t="n">
        <f aca="false">Goal_b</f>
        <v>25</v>
      </c>
      <c r="D12" s="19" t="n">
        <f aca="false">Choose!B107</f>
        <v>307.724712838</v>
      </c>
      <c r="E12" s="19" t="n">
        <f aca="false">Choose!B110</f>
        <v>122.5</v>
      </c>
      <c r="F12" s="29" t="n">
        <f aca="false">Choose!B111</f>
        <v>999.205277153877</v>
      </c>
    </row>
    <row r="14" customFormat="false" ht="15" hidden="false" customHeight="false" outlineLevel="0" collapsed="false">
      <c r="A14" s="2" t="s">
        <v>434</v>
      </c>
      <c r="B14" s="17" t="n">
        <f aca="false">MIN(F5:F12)</f>
        <v>629.440758743278</v>
      </c>
      <c r="C14" s="10" t="s">
        <v>435</v>
      </c>
    </row>
    <row r="15" customFormat="false" ht="15" hidden="false" customHeight="false" outlineLevel="0" collapsed="false">
      <c r="A15" s="2" t="s">
        <v>349</v>
      </c>
      <c r="B15" s="17" t="n">
        <f aca="false">MAX(F5:F12)</f>
        <v>1021.93254988115</v>
      </c>
      <c r="C15" s="10" t="s">
        <v>436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6"/>
    <col collapsed="false" customWidth="true" hidden="false" outlineLevel="0" max="4" min="3" style="0" width="12"/>
    <col collapsed="false" customWidth="true" hidden="false" outlineLevel="0" max="6" min="5" style="0" width="16"/>
    <col collapsed="false" customWidth="true" hidden="false" outlineLevel="0" max="7" min="7" style="0" width="18"/>
  </cols>
  <sheetData>
    <row r="1" customFormat="false" ht="15" hidden="false" customHeight="false" outlineLevel="0" collapsed="false">
      <c r="A1" s="1" t="s">
        <v>437</v>
      </c>
    </row>
    <row r="2" customFormat="false" ht="15" hidden="false" customHeight="false" outlineLevel="0" collapsed="false">
      <c r="A2" s="10" t="s">
        <v>438</v>
      </c>
    </row>
    <row r="4" customFormat="false" ht="15" hidden="false" customHeight="false" outlineLevel="0" collapsed="false">
      <c r="A4" s="2" t="s">
        <v>439</v>
      </c>
      <c r="B4" s="30" t="n">
        <f aca="false">Reserve!B19</f>
        <v>9664</v>
      </c>
      <c r="C4" s="10" t="s">
        <v>440</v>
      </c>
    </row>
    <row r="5" customFormat="false" ht="15" hidden="false" customHeight="false" outlineLevel="0" collapsed="false">
      <c r="A5" s="2" t="s">
        <v>263</v>
      </c>
      <c r="B5" s="30" t="n">
        <f aca="false">Reserve!B20</f>
        <v>7824</v>
      </c>
      <c r="C5" s="10" t="s">
        <v>441</v>
      </c>
    </row>
    <row r="6" customFormat="false" ht="15" hidden="false" customHeight="false" outlineLevel="0" collapsed="false">
      <c r="A6" s="2" t="s">
        <v>442</v>
      </c>
      <c r="B6" s="26" t="n">
        <f aca="false">Choose!B12</f>
        <v>740</v>
      </c>
      <c r="C6" s="10" t="s">
        <v>335</v>
      </c>
    </row>
    <row r="8" customFormat="false" ht="15" hidden="false" customHeight="false" outlineLevel="0" collapsed="false">
      <c r="A8" s="4" t="s">
        <v>443</v>
      </c>
    </row>
    <row r="9" customFormat="false" ht="23.85" hidden="false" customHeight="false" outlineLevel="0" collapsed="false">
      <c r="A9" s="8" t="s">
        <v>444</v>
      </c>
      <c r="B9" s="8" t="s">
        <v>215</v>
      </c>
      <c r="C9" s="8" t="s">
        <v>429</v>
      </c>
      <c r="D9" s="8" t="s">
        <v>445</v>
      </c>
      <c r="E9" s="8" t="s">
        <v>446</v>
      </c>
    </row>
    <row r="10" customFormat="false" ht="15" hidden="false" customHeight="false" outlineLevel="0" collapsed="false">
      <c r="A10" s="7" t="str">
        <f aca="false">Frontier!D11</f>
        <v>1, 2</v>
      </c>
      <c r="B10" s="29" t="n">
        <f aca="false">Frontier!B11</f>
        <v>384.173336396545</v>
      </c>
      <c r="C10" s="18" t="n">
        <f aca="false">Frontier!E11</f>
        <v>105</v>
      </c>
      <c r="D10" s="13" t="n">
        <f aca="false">C10</f>
        <v>105</v>
      </c>
      <c r="E10" s="17" t="n">
        <f aca="false">B10*D10</f>
        <v>40338.2003216372</v>
      </c>
    </row>
    <row r="11" customFormat="false" ht="15" hidden="false" customHeight="false" outlineLevel="0" collapsed="false">
      <c r="A11" s="7" t="str">
        <f aca="false">Frontier!D12</f>
        <v>1–3</v>
      </c>
      <c r="B11" s="29" t="n">
        <f aca="false">Frontier!B12</f>
        <v>330.451985565273</v>
      </c>
      <c r="C11" s="18" t="n">
        <f aca="false">Frontier!E12</f>
        <v>122.5</v>
      </c>
      <c r="D11" s="13" t="n">
        <f aca="false">C11-C10</f>
        <v>17.5</v>
      </c>
      <c r="E11" s="17" t="n">
        <f aca="false">B11*D11</f>
        <v>5782.90974739227</v>
      </c>
    </row>
    <row r="12" customFormat="false" ht="15" hidden="false" customHeight="false" outlineLevel="0" collapsed="false">
      <c r="A12" s="7" t="str">
        <f aca="false">Frontier!D13</f>
        <v>1–3, 6</v>
      </c>
      <c r="B12" s="29" t="n">
        <f aca="false">Frontier!B13</f>
        <v>260.880573686145</v>
      </c>
      <c r="C12" s="18" t="n">
        <f aca="false">Frontier!E13</f>
        <v>131.25</v>
      </c>
      <c r="D12" s="13" t="n">
        <f aca="false">C12-C11</f>
        <v>8.75</v>
      </c>
      <c r="E12" s="17" t="n">
        <f aca="false">B12*D12</f>
        <v>2282.70501975377</v>
      </c>
    </row>
    <row r="13" customFormat="false" ht="15" hidden="false" customHeight="false" outlineLevel="0" collapsed="false">
      <c r="A13" s="7" t="str">
        <f aca="false">Frontier!D14</f>
        <v>1–3, 5, 6</v>
      </c>
      <c r="B13" s="29" t="n">
        <f aca="false">Frontier!B14</f>
        <v>186.821594063089</v>
      </c>
      <c r="C13" s="18" t="n">
        <f aca="false">Frontier!E14</f>
        <v>135.625</v>
      </c>
      <c r="D13" s="13" t="n">
        <f aca="false">C13-C12</f>
        <v>4.375</v>
      </c>
      <c r="E13" s="17" t="n">
        <f aca="false">B13*D13</f>
        <v>817.344474026014</v>
      </c>
    </row>
    <row r="14" customFormat="false" ht="15" hidden="false" customHeight="false" outlineLevel="0" collapsed="false">
      <c r="A14" s="7" t="str">
        <f aca="false">Frontier!D15</f>
        <v>1–6</v>
      </c>
      <c r="B14" s="29" t="n">
        <f aca="false">Frontier!B15</f>
        <v>106.59150319972</v>
      </c>
      <c r="C14" s="18" t="n">
        <f aca="false">Frontier!E15</f>
        <v>137.8125</v>
      </c>
      <c r="D14" s="13" t="n">
        <f aca="false">C14-C13</f>
        <v>2.1875</v>
      </c>
      <c r="E14" s="17" t="n">
        <f aca="false">B14*D14</f>
        <v>233.168913249389</v>
      </c>
    </row>
    <row r="15" customFormat="false" ht="15" hidden="false" customHeight="false" outlineLevel="0" collapsed="false">
      <c r="A15" s="2" t="s">
        <v>447</v>
      </c>
      <c r="B15" s="17" t="n">
        <f aca="false">SUM(E10:E14)</f>
        <v>49454.3284760587</v>
      </c>
    </row>
    <row r="16" customFormat="false" ht="15" hidden="false" customHeight="false" outlineLevel="0" collapsed="false">
      <c r="A16" s="2" t="s">
        <v>448</v>
      </c>
      <c r="B16" s="15" t="n">
        <f aca="false">IF(AND(B10&gt;B11,B11&gt;B12,B12&gt;B13,B13&gt;B14),1,0)</f>
        <v>1</v>
      </c>
    </row>
    <row r="18" customFormat="false" ht="35.05" hidden="false" customHeight="false" outlineLevel="0" collapsed="false">
      <c r="A18" s="8" t="s">
        <v>449</v>
      </c>
      <c r="B18" s="8" t="s">
        <v>450</v>
      </c>
      <c r="C18" s="8"/>
      <c r="D18" s="8"/>
      <c r="E18" s="8" t="s">
        <v>451</v>
      </c>
      <c r="F18" s="8" t="s">
        <v>452</v>
      </c>
      <c r="G18" s="8" t="s">
        <v>453</v>
      </c>
    </row>
    <row r="19" customFormat="false" ht="15" hidden="false" customHeight="false" outlineLevel="0" collapsed="false">
      <c r="A19" s="15" t="n">
        <v>1</v>
      </c>
      <c r="B19" s="24" t="n">
        <v>56</v>
      </c>
      <c r="E19" s="17" t="n">
        <f aca="false">INDEX(Sch_P0,B19+1)*(INDEX(Sch_S6,B19+1))</f>
        <v>40480.3682317459</v>
      </c>
      <c r="F19" s="15" t="n">
        <f aca="false">IF(INDEX(Sch_dom,B19+1)=0,1,0)</f>
        <v>1</v>
      </c>
      <c r="G19" s="31" t="n">
        <v>40480.3682317459</v>
      </c>
    </row>
    <row r="20" customFormat="false" ht="15" hidden="false" customHeight="false" outlineLevel="0" collapsed="false">
      <c r="A20" s="15" t="n">
        <v>2</v>
      </c>
      <c r="B20" s="24" t="n">
        <v>48</v>
      </c>
      <c r="C20" s="24" t="n">
        <v>57</v>
      </c>
      <c r="E20" s="17" t="n">
        <f aca="false">INDEX(Sch_P0,B20+1)*(INDEX(Sch_S6,B20+1))+INDEX(Sch_P0,C20+1)*(INDEX(Sch_S6,C20+1)-INDEX(Sch_S6,B20+1))</f>
        <v>47186.3153808985</v>
      </c>
      <c r="F20" s="15" t="n">
        <f aca="false">IF(INDEX(Sch_dom,B20+1)+INDEX(Sch_dom,C20+1)=0,1,0)</f>
        <v>1</v>
      </c>
      <c r="G20" s="31" t="n">
        <v>47186.3153808985</v>
      </c>
    </row>
    <row r="21" customFormat="false" ht="15" hidden="false" customHeight="false" outlineLevel="0" collapsed="false">
      <c r="A21" s="15" t="n">
        <v>3</v>
      </c>
      <c r="B21" s="24" t="n">
        <v>48</v>
      </c>
      <c r="C21" s="24" t="n">
        <v>56</v>
      </c>
      <c r="D21" s="24" t="n">
        <v>59</v>
      </c>
      <c r="E21" s="17" t="n">
        <f aca="false">INDEX(Sch_P0,B21+1)*(INDEX(Sch_S6,B21+1))+INDEX(Sch_P0,C21+1)*(INDEX(Sch_S6,C21+1)-INDEX(Sch_S6,B21+1))+INDEX(Sch_P0,D21+1)*(INDEX(Sch_S6,D21+1)-INDEX(Sch_S6,C21+1))</f>
        <v>48573.1434911076</v>
      </c>
      <c r="F21" s="15" t="n">
        <f aca="false">IF(INDEX(Sch_dom,B21+1)+INDEX(Sch_dom,C21+1)+INDEX(Sch_dom,D21+1)=0,1,0)</f>
        <v>1</v>
      </c>
      <c r="G21" s="31" t="n">
        <v>48573.1434911076</v>
      </c>
    </row>
    <row r="22" customFormat="false" ht="15" hidden="false" customHeight="false" outlineLevel="0" collapsed="false">
      <c r="A22" s="10" t="s">
        <v>454</v>
      </c>
    </row>
    <row r="24" customFormat="false" ht="15" hidden="false" customHeight="false" outlineLevel="0" collapsed="false">
      <c r="A24" s="2" t="s">
        <v>455</v>
      </c>
      <c r="B24" s="32" t="n">
        <v>10000</v>
      </c>
      <c r="C24" s="10" t="s">
        <v>456</v>
      </c>
    </row>
    <row r="25" customFormat="false" ht="15" hidden="false" customHeight="false" outlineLevel="0" collapsed="false">
      <c r="A25" s="2" t="s">
        <v>457</v>
      </c>
      <c r="B25" s="24" t="n">
        <v>18</v>
      </c>
      <c r="C25" s="10" t="s">
        <v>458</v>
      </c>
    </row>
    <row r="26" customFormat="false" ht="15" hidden="false" customHeight="false" outlineLevel="0" collapsed="false">
      <c r="A26" s="2" t="s">
        <v>459</v>
      </c>
      <c r="B26" s="26" t="n">
        <f aca="false">Choose!B13</f>
        <v>453</v>
      </c>
      <c r="C26" s="10" t="s">
        <v>460</v>
      </c>
    </row>
    <row r="27" customFormat="false" ht="15" hidden="false" customHeight="false" outlineLevel="0" collapsed="false">
      <c r="A27" s="2" t="s">
        <v>461</v>
      </c>
      <c r="B27" s="33" t="n">
        <v>0.02</v>
      </c>
      <c r="C27" s="10" t="s">
        <v>462</v>
      </c>
    </row>
    <row r="28" customFormat="false" ht="15" hidden="false" customHeight="false" outlineLevel="0" collapsed="false">
      <c r="A28" s="2" t="s">
        <v>463</v>
      </c>
      <c r="B28" s="24" t="n">
        <v>307</v>
      </c>
      <c r="C28" s="10" t="s">
        <v>464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12"/>
    <col collapsed="false" customWidth="true" hidden="false" outlineLevel="0" max="4" min="3" style="0" width="14"/>
    <col collapsed="false" customWidth="true" hidden="false" outlineLevel="0" max="5" min="5" style="0" width="16"/>
    <col collapsed="false" customWidth="true" hidden="false" outlineLevel="0" max="6" min="6" style="0" width="18"/>
    <col collapsed="false" customWidth="true" hidden="false" outlineLevel="0" max="7" min="7" style="0" width="22"/>
  </cols>
  <sheetData>
    <row r="1" customFormat="false" ht="15" hidden="false" customHeight="false" outlineLevel="0" collapsed="false">
      <c r="A1" s="1" t="s">
        <v>465</v>
      </c>
    </row>
    <row r="2" customFormat="false" ht="15" hidden="false" customHeight="false" outlineLevel="0" collapsed="false">
      <c r="A2" s="10" t="s">
        <v>466</v>
      </c>
    </row>
    <row r="4" customFormat="false" ht="15" hidden="false" customHeight="false" outlineLevel="0" collapsed="false">
      <c r="A4" s="2" t="s">
        <v>467</v>
      </c>
      <c r="B4" s="9" t="n">
        <v>0.03</v>
      </c>
      <c r="C4" s="10" t="s">
        <v>468</v>
      </c>
    </row>
    <row r="5" customFormat="false" ht="15" hidden="false" customHeight="false" outlineLevel="0" collapsed="false">
      <c r="A5" s="2" t="s">
        <v>469</v>
      </c>
      <c r="B5" s="9" t="n">
        <v>8</v>
      </c>
    </row>
    <row r="6" customFormat="false" ht="15" hidden="false" customHeight="false" outlineLevel="0" collapsed="false">
      <c r="A6" s="2" t="s">
        <v>470</v>
      </c>
      <c r="B6" s="9" t="n">
        <v>24</v>
      </c>
      <c r="C6" s="10" t="s">
        <v>471</v>
      </c>
    </row>
    <row r="8" customFormat="false" ht="23.85" hidden="false" customHeight="false" outlineLevel="0" collapsed="false">
      <c r="A8" s="8" t="s">
        <v>472</v>
      </c>
      <c r="B8" s="8" t="s">
        <v>473</v>
      </c>
      <c r="C8" s="8" t="s">
        <v>474</v>
      </c>
      <c r="D8" s="8" t="s">
        <v>475</v>
      </c>
      <c r="E8" s="8" t="s">
        <v>476</v>
      </c>
      <c r="F8" s="8" t="s">
        <v>477</v>
      </c>
      <c r="G8" s="8" t="s">
        <v>478</v>
      </c>
    </row>
    <row r="9" customFormat="false" ht="15" hidden="false" customHeight="false" outlineLevel="0" collapsed="false">
      <c r="A9" s="34" t="n">
        <v>1</v>
      </c>
      <c r="B9" s="28" t="n">
        <v>190</v>
      </c>
      <c r="C9" s="35" t="n">
        <v>2.174</v>
      </c>
      <c r="D9" s="9" t="n">
        <v>23.09</v>
      </c>
      <c r="E9" s="27" t="n">
        <f aca="false">$B$4*B9+$B$5*C9</f>
        <v>23.092</v>
      </c>
      <c r="F9" s="27" t="n">
        <f aca="false">ABS(D9-E9)</f>
        <v>0.00199999999999889</v>
      </c>
    </row>
    <row r="10" customFormat="false" ht="15" hidden="false" customHeight="false" outlineLevel="0" collapsed="false">
      <c r="A10" s="34" t="n">
        <v>2</v>
      </c>
      <c r="B10" s="28" t="n">
        <v>170</v>
      </c>
      <c r="C10" s="35" t="n">
        <v>1.595</v>
      </c>
      <c r="D10" s="9" t="n">
        <v>17.86</v>
      </c>
      <c r="E10" s="27" t="n">
        <f aca="false">$B$4*B10+$B$5*C10</f>
        <v>17.86</v>
      </c>
      <c r="F10" s="27" t="n">
        <f aca="false">ABS(D10-E10)</f>
        <v>0</v>
      </c>
      <c r="G10" s="16" t="n">
        <f aca="false">(D9-D10)/(A10-A9)</f>
        <v>5.23</v>
      </c>
    </row>
    <row r="11" customFormat="false" ht="15" hidden="false" customHeight="false" outlineLevel="0" collapsed="false">
      <c r="A11" s="34" t="n">
        <v>3</v>
      </c>
      <c r="B11" s="28" t="n">
        <v>180</v>
      </c>
      <c r="C11" s="35" t="n">
        <v>1.161</v>
      </c>
      <c r="D11" s="9" t="n">
        <v>14.68</v>
      </c>
      <c r="E11" s="27" t="n">
        <f aca="false">$B$4*B11+$B$5*C11</f>
        <v>14.688</v>
      </c>
      <c r="F11" s="27" t="n">
        <f aca="false">ABS(D11-E11)</f>
        <v>0.00799999999999912</v>
      </c>
      <c r="G11" s="16" t="n">
        <f aca="false">(D10-D11)/(A11-A10)</f>
        <v>3.18</v>
      </c>
    </row>
    <row r="12" customFormat="false" ht="15" hidden="false" customHeight="false" outlineLevel="0" collapsed="false">
      <c r="A12" s="34" t="n">
        <v>4</v>
      </c>
      <c r="B12" s="28" t="n">
        <v>165</v>
      </c>
      <c r="C12" s="35" t="n">
        <v>0.925</v>
      </c>
      <c r="D12" s="9" t="n">
        <v>12.35</v>
      </c>
      <c r="E12" s="27" t="n">
        <f aca="false">$B$4*B12+$B$5*C12</f>
        <v>12.35</v>
      </c>
      <c r="F12" s="27" t="n">
        <f aca="false">ABS(D12-E12)</f>
        <v>0</v>
      </c>
      <c r="G12" s="16" t="n">
        <f aca="false">(D11-D12)/(A12-A11)</f>
        <v>2.33</v>
      </c>
    </row>
    <row r="13" customFormat="false" ht="15" hidden="false" customHeight="false" outlineLevel="0" collapsed="false">
      <c r="A13" s="34" t="n">
        <v>5</v>
      </c>
      <c r="B13" s="28" t="n">
        <v>170</v>
      </c>
      <c r="C13" s="35" t="n">
        <v>0.668</v>
      </c>
      <c r="D13" s="9" t="n">
        <v>10.44</v>
      </c>
      <c r="E13" s="27" t="n">
        <f aca="false">$B$4*B13+$B$5*C13</f>
        <v>10.444</v>
      </c>
      <c r="F13" s="27" t="n">
        <f aca="false">ABS(D13-E13)</f>
        <v>0.00399999999999956</v>
      </c>
      <c r="G13" s="16" t="n">
        <f aca="false">(D12-D13)/(A13-A12)</f>
        <v>1.91</v>
      </c>
    </row>
    <row r="14" customFormat="false" ht="15" hidden="false" customHeight="false" outlineLevel="0" collapsed="false">
      <c r="A14" s="34" t="n">
        <v>6</v>
      </c>
      <c r="B14" s="28" t="n">
        <v>160</v>
      </c>
      <c r="C14" s="35" t="n">
        <v>0.502</v>
      </c>
      <c r="D14" s="9" t="n">
        <v>8.82</v>
      </c>
      <c r="E14" s="27" t="n">
        <f aca="false">$B$4*B14+$B$5*C14</f>
        <v>8.816</v>
      </c>
      <c r="F14" s="27" t="n">
        <f aca="false">ABS(D14-E14)</f>
        <v>0.00400000000000134</v>
      </c>
      <c r="G14" s="16" t="n">
        <f aca="false">(D13-D14)/(A14-A13)</f>
        <v>1.62</v>
      </c>
    </row>
    <row r="15" customFormat="false" ht="15" hidden="false" customHeight="false" outlineLevel="0" collapsed="false">
      <c r="A15" s="34" t="n">
        <v>8</v>
      </c>
      <c r="B15" s="28" t="n">
        <v>160</v>
      </c>
      <c r="C15" s="35" t="n">
        <v>0.182</v>
      </c>
      <c r="D15" s="9" t="n">
        <v>6.25</v>
      </c>
      <c r="E15" s="27" t="n">
        <f aca="false">$B$4*B15+$B$5*C15</f>
        <v>6.256</v>
      </c>
      <c r="F15" s="27" t="n">
        <f aca="false">ABS(D15-E15)</f>
        <v>0.00600000000000023</v>
      </c>
      <c r="G15" s="16" t="n">
        <f aca="false">(D14-D15)/(A15-A14)</f>
        <v>1.285</v>
      </c>
    </row>
    <row r="16" customFormat="false" ht="15" hidden="false" customHeight="false" outlineLevel="0" collapsed="false">
      <c r="A16" s="34" t="n">
        <v>10</v>
      </c>
      <c r="B16" s="28" t="n">
        <v>135</v>
      </c>
      <c r="C16" s="35" t="n">
        <v>0.015</v>
      </c>
      <c r="D16" s="9" t="n">
        <v>4.17</v>
      </c>
      <c r="E16" s="27" t="n">
        <f aca="false">$B$4*B16+$B$5*C16</f>
        <v>4.17</v>
      </c>
      <c r="F16" s="27" t="n">
        <f aca="false">ABS(D16-E16)</f>
        <v>0</v>
      </c>
      <c r="G16" s="16" t="n">
        <f aca="false">(D15-D16)/(A16-A15)</f>
        <v>1.04</v>
      </c>
    </row>
    <row r="17" customFormat="false" ht="15" hidden="false" customHeight="false" outlineLevel="0" collapsed="false">
      <c r="A17" s="34" t="n">
        <v>12.5</v>
      </c>
      <c r="B17" s="28" t="n">
        <v>100</v>
      </c>
      <c r="C17" s="35" t="n">
        <v>0</v>
      </c>
      <c r="D17" s="9" t="n">
        <v>3</v>
      </c>
      <c r="E17" s="27" t="n">
        <f aca="false">$B$4*B17+$B$5*C17</f>
        <v>3</v>
      </c>
      <c r="F17" s="27" t="n">
        <f aca="false">ABS(D17-E17)</f>
        <v>0</v>
      </c>
      <c r="G17" s="16" t="n">
        <f aca="false">(D16-D17)/(A17-A16)</f>
        <v>0.468</v>
      </c>
    </row>
    <row r="18" customFormat="false" ht="15" hidden="false" customHeight="false" outlineLevel="0" collapsed="false">
      <c r="A18" s="34" t="n">
        <v>15</v>
      </c>
      <c r="B18" s="28" t="n">
        <v>75</v>
      </c>
      <c r="C18" s="35" t="n">
        <v>0</v>
      </c>
      <c r="D18" s="9" t="n">
        <v>2.25</v>
      </c>
      <c r="E18" s="27" t="n">
        <f aca="false">$B$4*B18+$B$5*C18</f>
        <v>2.25</v>
      </c>
      <c r="F18" s="27" t="n">
        <f aca="false">ABS(D18-E18)</f>
        <v>0</v>
      </c>
      <c r="G18" s="16" t="n">
        <f aca="false">(D17-D18)/(A18-A17)</f>
        <v>0.3</v>
      </c>
    </row>
    <row r="20" customFormat="false" ht="15" hidden="false" customHeight="false" outlineLevel="0" collapsed="false">
      <c r="A20" s="2" t="s">
        <v>479</v>
      </c>
      <c r="B20" s="15" t="n">
        <f aca="false">IF(MAX(F9:F18)&lt;=8*0.0005+0.005,1,0)</f>
        <v>1</v>
      </c>
      <c r="C20" s="10" t="s">
        <v>480</v>
      </c>
    </row>
    <row r="21" customFormat="false" ht="15" hidden="false" customHeight="false" outlineLevel="0" collapsed="false">
      <c r="A21" s="2" t="s">
        <v>481</v>
      </c>
      <c r="B21" s="16" t="n">
        <f aca="false">D12-D13</f>
        <v>1.91</v>
      </c>
      <c r="C21" s="10" t="s">
        <v>482</v>
      </c>
    </row>
    <row r="22" customFormat="false" ht="15" hidden="false" customHeight="false" outlineLevel="0" collapsed="false">
      <c r="A22" s="2" t="s">
        <v>483</v>
      </c>
      <c r="B22" s="16" t="n">
        <f aca="false">D13-D14</f>
        <v>1.62</v>
      </c>
      <c r="C22" s="10" t="s">
        <v>484</v>
      </c>
    </row>
    <row r="23" customFormat="false" ht="15" hidden="false" customHeight="false" outlineLevel="0" collapsed="false">
      <c r="A23" s="2" t="s">
        <v>485</v>
      </c>
      <c r="B23" s="15" t="n">
        <f aca="false">IF(SUMPRODUCT((D10:D18&gt;D9:D17)*1)=0,1,0)</f>
        <v>1</v>
      </c>
      <c r="C23" s="10" t="s">
        <v>486</v>
      </c>
    </row>
    <row r="24" customFormat="false" ht="15" hidden="false" customHeight="false" outlineLevel="0" collapsed="false">
      <c r="A24" s="2" t="s">
        <v>487</v>
      </c>
      <c r="B24" s="16" t="n">
        <f aca="false">B6-D13</f>
        <v>13.56</v>
      </c>
      <c r="C24" s="10" t="s">
        <v>488</v>
      </c>
    </row>
    <row r="26" customFormat="false" ht="15" hidden="false" customHeight="false" outlineLevel="0" collapsed="false">
      <c r="A26" s="2" t="s">
        <v>489</v>
      </c>
      <c r="B26" s="2"/>
    </row>
    <row r="27" customFormat="false" ht="15" hidden="false" customHeight="false" outlineLevel="0" collapsed="false">
      <c r="A27" s="2" t="s">
        <v>490</v>
      </c>
      <c r="B27" s="9" t="n">
        <v>1</v>
      </c>
    </row>
    <row r="28" customFormat="false" ht="15" hidden="false" customHeight="false" outlineLevel="0" collapsed="false">
      <c r="A28" s="2" t="s">
        <v>491</v>
      </c>
      <c r="B28" s="9" t="n">
        <v>0.7</v>
      </c>
      <c r="C28" s="10" t="s">
        <v>492</v>
      </c>
    </row>
    <row r="29" customFormat="false" ht="15" hidden="false" customHeight="false" outlineLevel="0" collapsed="false">
      <c r="A29" s="2" t="s">
        <v>493</v>
      </c>
      <c r="B29" s="16" t="n">
        <f aca="false">0.55*0+0.45*2</f>
        <v>0.9</v>
      </c>
    </row>
    <row r="30" customFormat="false" ht="15" hidden="false" customHeight="false" outlineLevel="0" collapsed="false">
      <c r="A30" s="2" t="s">
        <v>494</v>
      </c>
      <c r="B30" s="16" t="n">
        <f aca="false">0.55*1+0.45*0</f>
        <v>0.55</v>
      </c>
    </row>
    <row r="31" customFormat="false" ht="15" hidden="false" customHeight="false" outlineLevel="0" collapsed="false">
      <c r="A31" s="2" t="s">
        <v>495</v>
      </c>
      <c r="B31" s="15" t="n">
        <f aca="false">IF(AND(B29&lt;B27,B30&lt;B28),1,0)</f>
        <v>1</v>
      </c>
      <c r="C31" s="10"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497</v>
      </c>
      <c r="B1" s="8" t="s">
        <v>498</v>
      </c>
      <c r="C1" s="8" t="s">
        <v>499</v>
      </c>
    </row>
    <row r="2" customFormat="false" ht="15" hidden="false" customHeight="false" outlineLevel="0" collapsed="false">
      <c r="A2" s="2" t="s">
        <v>439</v>
      </c>
      <c r="B2" s="25" t="n">
        <v>9664</v>
      </c>
      <c r="C2" s="2" t="s">
        <v>440</v>
      </c>
    </row>
    <row r="3" customFormat="false" ht="15" hidden="false" customHeight="false" outlineLevel="0" collapsed="false">
      <c r="A3" s="2" t="s">
        <v>500</v>
      </c>
      <c r="B3" s="25" t="n">
        <v>7824</v>
      </c>
      <c r="C3" s="2" t="s">
        <v>501</v>
      </c>
    </row>
    <row r="4" customFormat="false" ht="15" hidden="false" customHeight="false" outlineLevel="0" collapsed="false">
      <c r="A4" s="2" t="s">
        <v>502</v>
      </c>
      <c r="B4" s="25" t="n">
        <v>1</v>
      </c>
      <c r="C4" s="2" t="s">
        <v>503</v>
      </c>
    </row>
    <row r="5" customFormat="false" ht="15" hidden="false" customHeight="false" outlineLevel="0" collapsed="false">
      <c r="A5" s="2" t="s">
        <v>504</v>
      </c>
      <c r="B5" s="25" t="n">
        <v>5.64473930053777</v>
      </c>
      <c r="C5" s="2" t="s">
        <v>505</v>
      </c>
    </row>
    <row r="6" customFormat="false" ht="15" hidden="false" customHeight="false" outlineLevel="0" collapsed="false">
      <c r="A6" s="2" t="s">
        <v>506</v>
      </c>
      <c r="B6" s="25" t="n">
        <v>64</v>
      </c>
      <c r="C6" s="2" t="s">
        <v>507</v>
      </c>
    </row>
    <row r="7" customFormat="false" ht="15" hidden="false" customHeight="false" outlineLevel="0" collapsed="false">
      <c r="A7" s="2" t="s">
        <v>508</v>
      </c>
      <c r="B7" s="25" t="n">
        <v>59</v>
      </c>
      <c r="C7" s="2" t="s">
        <v>509</v>
      </c>
    </row>
    <row r="8" customFormat="false" ht="15" hidden="false" customHeight="false" outlineLevel="0" collapsed="false">
      <c r="A8" s="2" t="s">
        <v>510</v>
      </c>
      <c r="B8" s="25" t="n">
        <v>5</v>
      </c>
      <c r="C8" s="2" t="s">
        <v>511</v>
      </c>
    </row>
    <row r="9" customFormat="false" ht="15" hidden="false" customHeight="false" outlineLevel="0" collapsed="false">
      <c r="A9" s="2" t="s">
        <v>512</v>
      </c>
      <c r="B9" s="25" t="n">
        <v>150</v>
      </c>
      <c r="C9" s="2" t="s">
        <v>513</v>
      </c>
    </row>
    <row r="10" customFormat="false" ht="15" hidden="false" customHeight="false" outlineLevel="0" collapsed="false">
      <c r="A10" s="2" t="s">
        <v>514</v>
      </c>
      <c r="B10" s="25" t="n">
        <v>136.363636363636</v>
      </c>
      <c r="C10" s="2" t="s">
        <v>49</v>
      </c>
    </row>
    <row r="11" customFormat="false" ht="15" hidden="false" customHeight="false" outlineLevel="0" collapsed="false">
      <c r="A11" s="2" t="s">
        <v>515</v>
      </c>
      <c r="B11" s="25" t="n">
        <v>370.67264406927</v>
      </c>
      <c r="C11" s="2" t="s">
        <v>49</v>
      </c>
    </row>
    <row r="12" customFormat="false" ht="15" hidden="false" customHeight="false" outlineLevel="0" collapsed="false">
      <c r="A12" s="2" t="s">
        <v>516</v>
      </c>
      <c r="B12" s="25" t="n">
        <v>70</v>
      </c>
      <c r="C12" s="2" t="s">
        <v>517</v>
      </c>
    </row>
    <row r="13" customFormat="false" ht="15" hidden="false" customHeight="false" outlineLevel="0" collapsed="false">
      <c r="A13" s="2" t="s">
        <v>518</v>
      </c>
      <c r="B13" s="25" t="n">
        <v>384.173336396545</v>
      </c>
      <c r="C13" s="2" t="s">
        <v>49</v>
      </c>
    </row>
    <row r="14" customFormat="false" ht="15" hidden="false" customHeight="false" outlineLevel="0" collapsed="false">
      <c r="A14" s="2" t="s">
        <v>519</v>
      </c>
      <c r="B14" s="25" t="n">
        <v>105</v>
      </c>
      <c r="C14" s="2" t="s">
        <v>517</v>
      </c>
    </row>
    <row r="15" customFormat="false" ht="15" hidden="false" customHeight="false" outlineLevel="0" collapsed="false">
      <c r="A15" s="2" t="s">
        <v>520</v>
      </c>
      <c r="B15" s="25" t="n">
        <v>330.451985565273</v>
      </c>
      <c r="C15" s="2" t="s">
        <v>49</v>
      </c>
    </row>
    <row r="16" customFormat="false" ht="15" hidden="false" customHeight="false" outlineLevel="0" collapsed="false">
      <c r="A16" s="2" t="s">
        <v>521</v>
      </c>
      <c r="B16" s="25" t="n">
        <v>122.5</v>
      </c>
      <c r="C16" s="2" t="s">
        <v>517</v>
      </c>
    </row>
    <row r="17" customFormat="false" ht="15" hidden="false" customHeight="false" outlineLevel="0" collapsed="false">
      <c r="A17" s="2" t="s">
        <v>522</v>
      </c>
      <c r="B17" s="25" t="n">
        <v>260.880573686145</v>
      </c>
      <c r="C17" s="2" t="s">
        <v>49</v>
      </c>
    </row>
    <row r="18" customFormat="false" ht="15" hidden="false" customHeight="false" outlineLevel="0" collapsed="false">
      <c r="A18" s="2" t="s">
        <v>523</v>
      </c>
      <c r="B18" s="25" t="n">
        <v>131.25</v>
      </c>
      <c r="C18" s="2" t="s">
        <v>517</v>
      </c>
    </row>
    <row r="19" customFormat="false" ht="15" hidden="false" customHeight="false" outlineLevel="0" collapsed="false">
      <c r="A19" s="2" t="s">
        <v>524</v>
      </c>
      <c r="B19" s="25" t="n">
        <v>186.821594063089</v>
      </c>
      <c r="C19" s="2" t="s">
        <v>49</v>
      </c>
    </row>
    <row r="20" customFormat="false" ht="15" hidden="false" customHeight="false" outlineLevel="0" collapsed="false">
      <c r="A20" s="2" t="s">
        <v>525</v>
      </c>
      <c r="B20" s="25" t="n">
        <v>135.625</v>
      </c>
      <c r="C20" s="2" t="s">
        <v>517</v>
      </c>
    </row>
    <row r="21" customFormat="false" ht="15" hidden="false" customHeight="false" outlineLevel="0" collapsed="false">
      <c r="A21" s="2" t="s">
        <v>526</v>
      </c>
      <c r="B21" s="25" t="n">
        <v>106.591503199721</v>
      </c>
      <c r="C21" s="2" t="s">
        <v>49</v>
      </c>
    </row>
    <row r="22" customFormat="false" ht="15" hidden="false" customHeight="false" outlineLevel="0" collapsed="false">
      <c r="A22" s="2" t="s">
        <v>527</v>
      </c>
      <c r="B22" s="25" t="n">
        <v>137.8125</v>
      </c>
      <c r="C22" s="2" t="s">
        <v>517</v>
      </c>
    </row>
    <row r="23" customFormat="false" ht="15" hidden="false" customHeight="false" outlineLevel="0" collapsed="false">
      <c r="A23" s="2" t="s">
        <v>528</v>
      </c>
      <c r="B23" s="25" t="n">
        <v>85</v>
      </c>
      <c r="C23" s="2" t="s">
        <v>529</v>
      </c>
    </row>
    <row r="24" customFormat="false" ht="15" hidden="false" customHeight="false" outlineLevel="0" collapsed="false">
      <c r="A24" s="2" t="s">
        <v>530</v>
      </c>
      <c r="B24" s="25" t="n">
        <v>0</v>
      </c>
      <c r="C24" s="2" t="s">
        <v>529</v>
      </c>
    </row>
    <row r="25" customFormat="false" ht="15" hidden="false" customHeight="false" outlineLevel="0" collapsed="false">
      <c r="A25" s="2" t="s">
        <v>531</v>
      </c>
      <c r="B25" s="25" t="n">
        <v>122.5</v>
      </c>
      <c r="C25" s="2" t="s">
        <v>529</v>
      </c>
    </row>
    <row r="26" customFormat="false" ht="15" hidden="false" customHeight="false" outlineLevel="0" collapsed="false">
      <c r="A26" s="2" t="s">
        <v>532</v>
      </c>
      <c r="B26" s="25" t="n">
        <v>122.5</v>
      </c>
      <c r="C26" s="2" t="s">
        <v>529</v>
      </c>
    </row>
    <row r="27" customFormat="false" ht="15" hidden="false" customHeight="false" outlineLevel="0" collapsed="false">
      <c r="A27" s="2" t="s">
        <v>533</v>
      </c>
      <c r="B27" s="25" t="n">
        <v>122.5</v>
      </c>
      <c r="C27" s="2" t="s">
        <v>529</v>
      </c>
    </row>
    <row r="28" customFormat="false" ht="15" hidden="false" customHeight="false" outlineLevel="0" collapsed="false">
      <c r="A28" s="2" t="s">
        <v>534</v>
      </c>
      <c r="B28" s="25" t="n">
        <v>2.5</v>
      </c>
      <c r="C28" s="2" t="s">
        <v>529</v>
      </c>
    </row>
    <row r="29" customFormat="false" ht="15" hidden="false" customHeight="false" outlineLevel="0" collapsed="false">
      <c r="A29" s="2" t="s">
        <v>535</v>
      </c>
      <c r="B29" s="25" t="n">
        <v>485</v>
      </c>
      <c r="C29" s="2" t="s">
        <v>536</v>
      </c>
    </row>
    <row r="30" customFormat="false" ht="15" hidden="false" customHeight="false" outlineLevel="0" collapsed="false">
      <c r="A30" s="2" t="s">
        <v>537</v>
      </c>
      <c r="B30" s="25" t="n">
        <v>470</v>
      </c>
      <c r="C30" s="2" t="s">
        <v>536</v>
      </c>
    </row>
    <row r="31" customFormat="false" ht="15" hidden="false" customHeight="false" outlineLevel="0" collapsed="false">
      <c r="A31" s="2" t="s">
        <v>538</v>
      </c>
      <c r="B31" s="25" t="n">
        <v>350</v>
      </c>
      <c r="C31" s="2" t="s">
        <v>536</v>
      </c>
    </row>
    <row r="32" customFormat="false" ht="15" hidden="false" customHeight="false" outlineLevel="0" collapsed="false">
      <c r="A32" s="2" t="s">
        <v>539</v>
      </c>
      <c r="B32" s="25" t="n">
        <v>350</v>
      </c>
      <c r="C32" s="2" t="s">
        <v>536</v>
      </c>
    </row>
    <row r="33" customFormat="false" ht="15" hidden="false" customHeight="false" outlineLevel="0" collapsed="false">
      <c r="A33" s="2" t="s">
        <v>540</v>
      </c>
      <c r="B33" s="25" t="n">
        <v>350</v>
      </c>
      <c r="C33" s="2" t="s">
        <v>536</v>
      </c>
    </row>
    <row r="34" customFormat="false" ht="15" hidden="false" customHeight="false" outlineLevel="0" collapsed="false">
      <c r="A34" s="2" t="s">
        <v>541</v>
      </c>
      <c r="B34" s="25" t="n">
        <v>470</v>
      </c>
      <c r="C34" s="2" t="s">
        <v>536</v>
      </c>
    </row>
    <row r="35" customFormat="false" ht="15" hidden="false" customHeight="false" outlineLevel="0" collapsed="false">
      <c r="A35" s="2" t="s">
        <v>542</v>
      </c>
      <c r="B35" s="25" t="n">
        <v>455</v>
      </c>
      <c r="C35" s="2" t="s">
        <v>543</v>
      </c>
    </row>
    <row r="36" customFormat="false" ht="15" hidden="false" customHeight="false" outlineLevel="0" collapsed="false">
      <c r="A36" s="2" t="s">
        <v>544</v>
      </c>
      <c r="B36" s="25" t="n">
        <v>1</v>
      </c>
      <c r="C36" s="2" t="s">
        <v>545</v>
      </c>
    </row>
    <row r="37" customFormat="false" ht="15" hidden="false" customHeight="false" outlineLevel="0" collapsed="false">
      <c r="A37" s="2" t="s">
        <v>546</v>
      </c>
      <c r="B37" s="25" t="n">
        <v>384.173336396545</v>
      </c>
      <c r="C37" s="2" t="s">
        <v>547</v>
      </c>
    </row>
    <row r="38" customFormat="false" ht="15" hidden="false" customHeight="false" outlineLevel="0" collapsed="false">
      <c r="A38" s="2" t="s">
        <v>548</v>
      </c>
      <c r="B38" s="25" t="n">
        <v>137.8125</v>
      </c>
      <c r="C38" s="2" t="s">
        <v>549</v>
      </c>
    </row>
    <row r="39" customFormat="false" ht="15" hidden="false" customHeight="false" outlineLevel="0" collapsed="false">
      <c r="A39" s="2" t="s">
        <v>550</v>
      </c>
      <c r="B39" s="25" t="n">
        <v>1</v>
      </c>
      <c r="C39" s="2" t="s">
        <v>551</v>
      </c>
    </row>
    <row r="40" customFormat="false" ht="15" hidden="false" customHeight="false" outlineLevel="0" collapsed="false">
      <c r="A40" s="2" t="s">
        <v>552</v>
      </c>
      <c r="B40" s="25" t="n">
        <v>330.451985565273</v>
      </c>
      <c r="C40" s="2" t="s">
        <v>553</v>
      </c>
    </row>
    <row r="41" customFormat="false" ht="15" hidden="false" customHeight="false" outlineLevel="0" collapsed="false">
      <c r="A41" s="2" t="s">
        <v>554</v>
      </c>
      <c r="B41" s="25" t="n">
        <v>284.997440110727</v>
      </c>
      <c r="C41" s="2" t="s">
        <v>555</v>
      </c>
    </row>
    <row r="42" customFormat="false" ht="15" hidden="false" customHeight="false" outlineLevel="0" collapsed="false">
      <c r="A42" s="2" t="s">
        <v>556</v>
      </c>
      <c r="B42" s="25" t="n">
        <v>53.7213508312725</v>
      </c>
      <c r="C42" s="2" t="s">
        <v>557</v>
      </c>
    </row>
    <row r="43" customFormat="false" ht="15" hidden="false" customHeight="false" outlineLevel="0" collapsed="false">
      <c r="A43" s="2" t="s">
        <v>558</v>
      </c>
      <c r="B43" s="25" t="n">
        <v>17.5</v>
      </c>
      <c r="C43" s="2"/>
    </row>
    <row r="44" customFormat="false" ht="15" hidden="false" customHeight="false" outlineLevel="0" collapsed="false">
      <c r="A44" s="2" t="s">
        <v>559</v>
      </c>
      <c r="B44" s="25" t="n">
        <v>3.06979147607271</v>
      </c>
      <c r="C44" s="2" t="s">
        <v>560</v>
      </c>
    </row>
    <row r="45" customFormat="false" ht="15" hidden="false" customHeight="false" outlineLevel="0" collapsed="false">
      <c r="A45" s="2" t="s">
        <v>561</v>
      </c>
      <c r="B45" s="25" t="n">
        <v>69.5714118791281</v>
      </c>
      <c r="C45" s="2" t="s">
        <v>557</v>
      </c>
    </row>
    <row r="46" customFormat="false" ht="15" hidden="false" customHeight="false" outlineLevel="0" collapsed="false">
      <c r="A46" s="2" t="s">
        <v>562</v>
      </c>
      <c r="B46" s="25" t="n">
        <v>8.75</v>
      </c>
      <c r="C46" s="2"/>
    </row>
    <row r="47" customFormat="false" ht="15" hidden="false" customHeight="false" outlineLevel="0" collapsed="false">
      <c r="A47" s="2" t="s">
        <v>563</v>
      </c>
      <c r="B47" s="25" t="n">
        <v>7.95101850047178</v>
      </c>
      <c r="C47" s="2" t="s">
        <v>560</v>
      </c>
    </row>
    <row r="48" customFormat="false" ht="15" hidden="false" customHeight="false" outlineLevel="0" collapsed="false">
      <c r="A48" s="2" t="s">
        <v>564</v>
      </c>
      <c r="B48" s="25" t="n">
        <v>74.0589796230556</v>
      </c>
      <c r="C48" s="2" t="s">
        <v>557</v>
      </c>
    </row>
    <row r="49" customFormat="false" ht="15" hidden="false" customHeight="false" outlineLevel="0" collapsed="false">
      <c r="A49" s="2" t="s">
        <v>565</v>
      </c>
      <c r="B49" s="25" t="n">
        <v>4.375</v>
      </c>
      <c r="C49" s="2"/>
    </row>
    <row r="50" customFormat="false" ht="15" hidden="false" customHeight="false" outlineLevel="0" collapsed="false">
      <c r="A50" s="2" t="s">
        <v>566</v>
      </c>
      <c r="B50" s="25" t="n">
        <v>16.9277667709841</v>
      </c>
      <c r="C50" s="2" t="s">
        <v>560</v>
      </c>
    </row>
    <row r="51" customFormat="false" ht="15" hidden="false" customHeight="false" outlineLevel="0" collapsed="false">
      <c r="A51" s="2" t="s">
        <v>567</v>
      </c>
      <c r="B51" s="25" t="n">
        <v>80.2300908633685</v>
      </c>
      <c r="C51" s="2" t="s">
        <v>557</v>
      </c>
    </row>
    <row r="52" customFormat="false" ht="15" hidden="false" customHeight="false" outlineLevel="0" collapsed="false">
      <c r="A52" s="2" t="s">
        <v>568</v>
      </c>
      <c r="B52" s="25" t="n">
        <v>2.1875</v>
      </c>
      <c r="C52" s="2"/>
    </row>
    <row r="53" customFormat="false" ht="15" hidden="false" customHeight="false" outlineLevel="0" collapsed="false">
      <c r="A53" s="2" t="s">
        <v>569</v>
      </c>
      <c r="B53" s="25" t="n">
        <v>36.6766129661113</v>
      </c>
      <c r="C53" s="2" t="s">
        <v>560</v>
      </c>
    </row>
    <row r="54" customFormat="false" ht="15" hidden="false" customHeight="false" outlineLevel="0" collapsed="false">
      <c r="A54" s="2" t="s">
        <v>570</v>
      </c>
      <c r="B54" s="25" t="n">
        <v>1</v>
      </c>
      <c r="C54" s="2" t="s">
        <v>571</v>
      </c>
    </row>
    <row r="55" customFormat="false" ht="15" hidden="false" customHeight="false" outlineLevel="0" collapsed="false">
      <c r="A55" s="2" t="s">
        <v>572</v>
      </c>
      <c r="B55" s="25" t="n">
        <v>976.870962953011</v>
      </c>
      <c r="C55" s="2" t="s">
        <v>557</v>
      </c>
    </row>
    <row r="56" customFormat="false" ht="15" hidden="false" customHeight="false" outlineLevel="0" collapsed="false">
      <c r="A56" s="2" t="s">
        <v>573</v>
      </c>
      <c r="B56" s="25" t="n">
        <v>1021.93254988115</v>
      </c>
      <c r="C56" s="2" t="s">
        <v>557</v>
      </c>
    </row>
    <row r="57" customFormat="false" ht="15" hidden="false" customHeight="false" outlineLevel="0" collapsed="false">
      <c r="A57" s="2" t="s">
        <v>574</v>
      </c>
      <c r="B57" s="25" t="n">
        <v>1001.75260688173</v>
      </c>
      <c r="C57" s="2" t="s">
        <v>557</v>
      </c>
    </row>
    <row r="58" customFormat="false" ht="15" hidden="false" customHeight="false" outlineLevel="0" collapsed="false">
      <c r="A58" s="2" t="s">
        <v>575</v>
      </c>
      <c r="B58" s="25" t="n">
        <v>952.389361698525</v>
      </c>
      <c r="C58" s="2" t="s">
        <v>557</v>
      </c>
    </row>
    <row r="59" customFormat="false" ht="15" hidden="false" customHeight="false" outlineLevel="0" collapsed="false">
      <c r="A59" s="2" t="s">
        <v>576</v>
      </c>
      <c r="B59" s="25" t="n">
        <v>884.507138055082</v>
      </c>
      <c r="C59" s="2" t="s">
        <v>557</v>
      </c>
    </row>
    <row r="60" customFormat="false" ht="15" hidden="false" customHeight="false" outlineLevel="0" collapsed="false">
      <c r="A60" s="2" t="s">
        <v>577</v>
      </c>
      <c r="B60" s="25" t="n">
        <v>3</v>
      </c>
      <c r="C60" s="2" t="s">
        <v>578</v>
      </c>
    </row>
    <row r="61" customFormat="false" ht="15" hidden="false" customHeight="false" outlineLevel="0" collapsed="false">
      <c r="A61" s="2" t="s">
        <v>579</v>
      </c>
      <c r="B61" s="25" t="n">
        <v>0.909090909090909</v>
      </c>
      <c r="C61" s="2" t="s">
        <v>580</v>
      </c>
    </row>
    <row r="62" customFormat="false" ht="15" hidden="false" customHeight="false" outlineLevel="0" collapsed="false">
      <c r="A62" s="2" t="s">
        <v>581</v>
      </c>
      <c r="B62" s="25" t="n">
        <v>0.909090909090909</v>
      </c>
      <c r="C62" s="2" t="s">
        <v>582</v>
      </c>
    </row>
    <row r="63" customFormat="false" ht="15" hidden="false" customHeight="false" outlineLevel="0" collapsed="false">
      <c r="A63" s="2" t="s">
        <v>236</v>
      </c>
      <c r="B63" s="25" t="n">
        <v>0.909090909090909</v>
      </c>
      <c r="C63" s="2" t="s">
        <v>583</v>
      </c>
    </row>
    <row r="64" customFormat="false" ht="15" hidden="false" customHeight="false" outlineLevel="0" collapsed="false">
      <c r="A64" s="2" t="s">
        <v>251</v>
      </c>
      <c r="B64" s="25" t="n">
        <v>570</v>
      </c>
      <c r="C64" s="2" t="s">
        <v>584</v>
      </c>
    </row>
    <row r="65" customFormat="false" ht="15" hidden="false" customHeight="false" outlineLevel="0" collapsed="false">
      <c r="A65" s="2" t="s">
        <v>585</v>
      </c>
      <c r="B65" s="25" t="n">
        <v>100</v>
      </c>
      <c r="C65" s="2" t="s">
        <v>586</v>
      </c>
    </row>
    <row r="66" customFormat="false" ht="15" hidden="false" customHeight="false" outlineLevel="0" collapsed="false">
      <c r="A66" s="2" t="s">
        <v>255</v>
      </c>
      <c r="B66" s="25" t="n">
        <v>555</v>
      </c>
      <c r="C66" s="2" t="s">
        <v>587</v>
      </c>
    </row>
    <row r="67" customFormat="false" ht="15" hidden="false" customHeight="false" outlineLevel="0" collapsed="false">
      <c r="A67" s="2" t="s">
        <v>588</v>
      </c>
      <c r="B67" s="25" t="n">
        <v>85</v>
      </c>
      <c r="C67" s="2" t="s">
        <v>589</v>
      </c>
    </row>
    <row r="68" customFormat="false" ht="15" hidden="false" customHeight="false" outlineLevel="0" collapsed="false">
      <c r="A68" s="2" t="s">
        <v>590</v>
      </c>
      <c r="B68" s="25" t="n">
        <v>150</v>
      </c>
      <c r="C68" s="2" t="s">
        <v>591</v>
      </c>
    </row>
    <row r="69" customFormat="false" ht="15" hidden="false" customHeight="false" outlineLevel="0" collapsed="false">
      <c r="A69" s="2" t="s">
        <v>592</v>
      </c>
      <c r="B69" s="25" t="n">
        <v>86</v>
      </c>
      <c r="C69" s="2" t="s">
        <v>593</v>
      </c>
    </row>
    <row r="70" customFormat="false" ht="15" hidden="false" customHeight="false" outlineLevel="0" collapsed="false">
      <c r="A70" s="2" t="s">
        <v>594</v>
      </c>
      <c r="B70" s="25" t="n">
        <v>101</v>
      </c>
      <c r="C70" s="2" t="s">
        <v>595</v>
      </c>
    </row>
    <row r="71" customFormat="false" ht="15" hidden="false" customHeight="false" outlineLevel="0" collapsed="false">
      <c r="A71" s="2" t="s">
        <v>596</v>
      </c>
      <c r="B71" s="25" t="n">
        <v>307.724712838</v>
      </c>
      <c r="C71" s="2" t="s">
        <v>49</v>
      </c>
    </row>
    <row r="72" customFormat="false" ht="15" hidden="false" customHeight="false" outlineLevel="0" collapsed="false">
      <c r="A72" s="2" t="s">
        <v>597</v>
      </c>
      <c r="B72" s="25" t="n">
        <v>284.997440110727</v>
      </c>
      <c r="C72" s="2" t="s">
        <v>49</v>
      </c>
    </row>
    <row r="73" customFormat="false" ht="15" hidden="false" customHeight="false" outlineLevel="0" collapsed="false">
      <c r="A73" s="2" t="s">
        <v>598</v>
      </c>
      <c r="B73" s="25" t="n">
        <v>253.179258292545</v>
      </c>
      <c r="C73" s="2" t="s">
        <v>49</v>
      </c>
    </row>
    <row r="74" customFormat="false" ht="15" hidden="false" customHeight="false" outlineLevel="0" collapsed="false">
      <c r="A74" s="2" t="s">
        <v>599</v>
      </c>
      <c r="B74" s="25" t="n">
        <v>248.250633198631</v>
      </c>
      <c r="C74" s="2" t="s">
        <v>49</v>
      </c>
    </row>
    <row r="75" customFormat="false" ht="15" hidden="false" customHeight="false" outlineLevel="0" collapsed="false">
      <c r="A75" s="2" t="s">
        <v>600</v>
      </c>
      <c r="B75" s="25" t="n">
        <v>244.614269562267</v>
      </c>
      <c r="C75" s="2" t="s">
        <v>49</v>
      </c>
    </row>
    <row r="76" customFormat="false" ht="15" hidden="false" customHeight="false" outlineLevel="0" collapsed="false">
      <c r="A76" s="2" t="s">
        <v>601</v>
      </c>
      <c r="B76" s="25" t="n">
        <v>235.523360471358</v>
      </c>
      <c r="C76" s="2" t="s">
        <v>49</v>
      </c>
    </row>
    <row r="77" customFormat="false" ht="15" hidden="false" customHeight="false" outlineLevel="0" collapsed="false">
      <c r="A77" s="2" t="s">
        <v>602</v>
      </c>
      <c r="B77" s="25" t="n">
        <v>210.234104273011</v>
      </c>
      <c r="C77" s="2" t="s">
        <v>49</v>
      </c>
    </row>
    <row r="78" customFormat="false" ht="15" hidden="false" customHeight="false" outlineLevel="0" collapsed="false">
      <c r="A78" s="2" t="s">
        <v>603</v>
      </c>
      <c r="B78" s="25" t="n">
        <v>192.961377000284</v>
      </c>
      <c r="C78" s="2" t="s">
        <v>49</v>
      </c>
    </row>
    <row r="79" customFormat="false" ht="15" hidden="false" customHeight="false" outlineLevel="0" collapsed="false">
      <c r="A79" s="2" t="s">
        <v>604</v>
      </c>
      <c r="B79" s="25" t="n">
        <v>165.688649727557</v>
      </c>
      <c r="C79" s="2" t="s">
        <v>49</v>
      </c>
    </row>
    <row r="80" customFormat="false" ht="15" hidden="false" customHeight="false" outlineLevel="0" collapsed="false">
      <c r="A80" s="2" t="s">
        <v>605</v>
      </c>
      <c r="B80" s="25" t="n">
        <v>4.01953418482341</v>
      </c>
      <c r="C80" s="2" t="s">
        <v>606</v>
      </c>
    </row>
    <row r="81" customFormat="false" ht="15" hidden="false" customHeight="false" outlineLevel="0" collapsed="false">
      <c r="A81" s="2" t="s">
        <v>607</v>
      </c>
      <c r="B81" s="25" t="n">
        <v>24.3801652892562</v>
      </c>
      <c r="C81" s="2" t="s">
        <v>608</v>
      </c>
    </row>
    <row r="82" customFormat="false" ht="15" hidden="false" customHeight="false" outlineLevel="0" collapsed="false">
      <c r="A82" s="2" t="s">
        <v>609</v>
      </c>
      <c r="B82" s="25" t="n">
        <v>992</v>
      </c>
      <c r="C82" s="2" t="s">
        <v>610</v>
      </c>
    </row>
    <row r="83" customFormat="false" ht="15" hidden="false" customHeight="false" outlineLevel="0" collapsed="false">
      <c r="A83" s="2" t="s">
        <v>611</v>
      </c>
      <c r="B83" s="25" t="n">
        <v>740</v>
      </c>
      <c r="C83" s="2" t="s">
        <v>612</v>
      </c>
    </row>
    <row r="84" customFormat="false" ht="15" hidden="false" customHeight="false" outlineLevel="0" collapsed="false">
      <c r="A84" s="2" t="s">
        <v>613</v>
      </c>
      <c r="B84" s="25" t="n">
        <v>453</v>
      </c>
      <c r="C84" s="2" t="s">
        <v>614</v>
      </c>
    </row>
    <row r="85" customFormat="false" ht="15" hidden="false" customHeight="false" outlineLevel="0" collapsed="false">
      <c r="A85" s="2" t="s">
        <v>615</v>
      </c>
      <c r="B85" s="25" t="n">
        <v>287</v>
      </c>
      <c r="C85" s="2" t="s">
        <v>616</v>
      </c>
    </row>
    <row r="86" customFormat="false" ht="15" hidden="false" customHeight="false" outlineLevel="0" collapsed="false">
      <c r="A86" s="2" t="s">
        <v>617</v>
      </c>
      <c r="B86" s="25" t="n">
        <v>1</v>
      </c>
      <c r="C86" s="2" t="s">
        <v>618</v>
      </c>
    </row>
    <row r="87" customFormat="false" ht="15" hidden="false" customHeight="false" outlineLevel="0" collapsed="false">
      <c r="A87" s="2" t="s">
        <v>619</v>
      </c>
      <c r="B87" s="25" t="n">
        <v>1</v>
      </c>
      <c r="C87" s="2" t="s">
        <v>620</v>
      </c>
    </row>
    <row r="88" customFormat="false" ht="15" hidden="false" customHeight="false" outlineLevel="0" collapsed="false">
      <c r="A88" s="2" t="s">
        <v>621</v>
      </c>
      <c r="B88" s="25" t="n">
        <v>49</v>
      </c>
      <c r="C88" s="2" t="s">
        <v>557</v>
      </c>
    </row>
    <row r="89" customFormat="false" ht="15" hidden="false" customHeight="false" outlineLevel="0" collapsed="false">
      <c r="A89" s="2" t="s">
        <v>622</v>
      </c>
      <c r="B89" s="25" t="n">
        <v>101</v>
      </c>
      <c r="C89" s="2"/>
    </row>
    <row r="90" customFormat="false" ht="15" hidden="false" customHeight="false" outlineLevel="0" collapsed="false">
      <c r="A90" s="2" t="s">
        <v>623</v>
      </c>
      <c r="B90" s="25" t="n">
        <v>149</v>
      </c>
      <c r="C90" s="2"/>
    </row>
    <row r="91" customFormat="false" ht="15" hidden="false" customHeight="false" outlineLevel="0" collapsed="false">
      <c r="A91" s="2" t="s">
        <v>624</v>
      </c>
      <c r="B91" s="25" t="n">
        <v>49</v>
      </c>
      <c r="C91" s="2" t="s">
        <v>557</v>
      </c>
    </row>
    <row r="92" customFormat="false" ht="15" hidden="false" customHeight="false" outlineLevel="0" collapsed="false">
      <c r="A92" s="2" t="s">
        <v>625</v>
      </c>
      <c r="B92" s="25" t="n">
        <v>101</v>
      </c>
      <c r="C92" s="2"/>
    </row>
    <row r="93" customFormat="false" ht="15" hidden="false" customHeight="false" outlineLevel="0" collapsed="false">
      <c r="A93" s="2" t="s">
        <v>626</v>
      </c>
      <c r="B93" s="25" t="n">
        <v>149</v>
      </c>
      <c r="C93" s="2"/>
    </row>
    <row r="94" customFormat="false" ht="15" hidden="false" customHeight="false" outlineLevel="0" collapsed="false">
      <c r="A94" s="2" t="s">
        <v>627</v>
      </c>
      <c r="B94" s="25" t="n">
        <v>63</v>
      </c>
      <c r="C94" s="2" t="s">
        <v>557</v>
      </c>
    </row>
    <row r="95" customFormat="false" ht="15" hidden="false" customHeight="false" outlineLevel="0" collapsed="false">
      <c r="A95" s="2" t="s">
        <v>628</v>
      </c>
      <c r="B95" s="25" t="n">
        <v>86</v>
      </c>
      <c r="C95" s="2"/>
    </row>
    <row r="96" customFormat="false" ht="15" hidden="false" customHeight="false" outlineLevel="0" collapsed="false">
      <c r="A96" s="2" t="s">
        <v>629</v>
      </c>
      <c r="B96" s="25" t="n">
        <v>149</v>
      </c>
      <c r="C96" s="2"/>
    </row>
    <row r="97" customFormat="false" ht="15" hidden="false" customHeight="false" outlineLevel="0" collapsed="false">
      <c r="A97" s="2" t="s">
        <v>630</v>
      </c>
      <c r="B97" s="25" t="n">
        <v>63</v>
      </c>
      <c r="C97" s="2" t="s">
        <v>557</v>
      </c>
    </row>
    <row r="98" customFormat="false" ht="15" hidden="false" customHeight="false" outlineLevel="0" collapsed="false">
      <c r="A98" s="2" t="s">
        <v>631</v>
      </c>
      <c r="B98" s="25" t="n">
        <v>86</v>
      </c>
      <c r="C98" s="2"/>
    </row>
    <row r="99" customFormat="false" ht="15" hidden="false" customHeight="false" outlineLevel="0" collapsed="false">
      <c r="A99" s="2" t="s">
        <v>632</v>
      </c>
      <c r="B99" s="25" t="n">
        <v>149</v>
      </c>
      <c r="C99" s="2"/>
    </row>
    <row r="100" customFormat="false" ht="15" hidden="false" customHeight="false" outlineLevel="0" collapsed="false">
      <c r="A100" s="2" t="s">
        <v>633</v>
      </c>
      <c r="B100" s="25" t="n">
        <v>63</v>
      </c>
      <c r="C100" s="2" t="s">
        <v>557</v>
      </c>
    </row>
    <row r="101" customFormat="false" ht="15" hidden="false" customHeight="false" outlineLevel="0" collapsed="false">
      <c r="A101" s="2" t="s">
        <v>634</v>
      </c>
      <c r="B101" s="25" t="n">
        <v>86</v>
      </c>
      <c r="C101" s="2"/>
    </row>
    <row r="102" customFormat="false" ht="15" hidden="false" customHeight="false" outlineLevel="0" collapsed="false">
      <c r="A102" s="2" t="s">
        <v>635</v>
      </c>
      <c r="B102" s="25" t="n">
        <v>149</v>
      </c>
      <c r="C102" s="2"/>
    </row>
    <row r="103" customFormat="false" ht="15" hidden="false" customHeight="false" outlineLevel="0" collapsed="false">
      <c r="A103" s="2" t="s">
        <v>636</v>
      </c>
      <c r="B103" s="25" t="n">
        <v>0</v>
      </c>
      <c r="C103" s="2"/>
    </row>
    <row r="104" customFormat="false" ht="15" hidden="false" customHeight="false" outlineLevel="0" collapsed="false">
      <c r="A104" s="2" t="s">
        <v>637</v>
      </c>
      <c r="B104" s="25" t="n">
        <v>86</v>
      </c>
      <c r="C104" s="2" t="s">
        <v>638</v>
      </c>
    </row>
    <row r="105" customFormat="false" ht="15" hidden="false" customHeight="false" outlineLevel="0" collapsed="false">
      <c r="A105" s="2" t="s">
        <v>639</v>
      </c>
      <c r="B105" s="25" t="n">
        <v>149</v>
      </c>
      <c r="C105" s="2" t="s">
        <v>640</v>
      </c>
    </row>
    <row r="106" customFormat="false" ht="15" hidden="false" customHeight="false" outlineLevel="0" collapsed="false">
      <c r="A106" s="2" t="s">
        <v>220</v>
      </c>
      <c r="B106" s="25" t="n">
        <v>384.173336396545</v>
      </c>
      <c r="C106" s="2" t="s">
        <v>641</v>
      </c>
    </row>
    <row r="107" customFormat="false" ht="15" hidden="false" customHeight="false" outlineLevel="0" collapsed="false">
      <c r="A107" s="2" t="s">
        <v>642</v>
      </c>
      <c r="B107" s="25" t="n">
        <v>22.058258225373</v>
      </c>
      <c r="C107" s="2" t="s">
        <v>643</v>
      </c>
    </row>
    <row r="108" customFormat="false" ht="15" hidden="false" customHeight="false" outlineLevel="0" collapsed="false">
      <c r="A108" s="2" t="s">
        <v>222</v>
      </c>
      <c r="B108" s="25" t="n">
        <v>137.8125</v>
      </c>
      <c r="C108" s="2" t="s">
        <v>641</v>
      </c>
    </row>
    <row r="109" customFormat="false" ht="15" hidden="false" customHeight="false" outlineLevel="0" collapsed="false">
      <c r="A109" s="2" t="s">
        <v>644</v>
      </c>
      <c r="B109" s="25" t="n">
        <v>70</v>
      </c>
      <c r="C109" s="2" t="s">
        <v>643</v>
      </c>
    </row>
    <row r="110" customFormat="false" ht="15" hidden="false" customHeight="false" outlineLevel="0" collapsed="false">
      <c r="A110" s="2" t="s">
        <v>645</v>
      </c>
      <c r="B110" s="25" t="n">
        <v>150</v>
      </c>
      <c r="C110" s="2" t="s">
        <v>641</v>
      </c>
    </row>
    <row r="111" customFormat="false" ht="15" hidden="false" customHeight="false" outlineLevel="0" collapsed="false">
      <c r="A111" s="2" t="s">
        <v>646</v>
      </c>
      <c r="B111" s="25" t="n">
        <v>0</v>
      </c>
      <c r="C111" s="2" t="s">
        <v>643</v>
      </c>
    </row>
    <row r="112" customFormat="false" ht="15" hidden="false" customHeight="false" outlineLevel="0" collapsed="false">
      <c r="A112" s="2" t="s">
        <v>647</v>
      </c>
      <c r="B112" s="25" t="n">
        <v>1</v>
      </c>
      <c r="C112" s="2" t="s">
        <v>648</v>
      </c>
    </row>
    <row r="113" customFormat="false" ht="15" hidden="false" customHeight="false" outlineLevel="0" collapsed="false">
      <c r="A113" s="2" t="s">
        <v>649</v>
      </c>
      <c r="B113" s="25" t="n">
        <v>92</v>
      </c>
      <c r="C113" s="2" t="s">
        <v>650</v>
      </c>
    </row>
    <row r="114" customFormat="false" ht="15" hidden="false" customHeight="false" outlineLevel="0" collapsed="false">
      <c r="A114" s="2" t="s">
        <v>651</v>
      </c>
      <c r="B114" s="25" t="n">
        <v>242.796087744086</v>
      </c>
      <c r="C114" s="2" t="s">
        <v>652</v>
      </c>
    </row>
    <row r="115" customFormat="false" ht="15" hidden="false" customHeight="false" outlineLevel="0" collapsed="false">
      <c r="A115" s="2" t="s">
        <v>653</v>
      </c>
      <c r="B115" s="25" t="n">
        <v>122.5</v>
      </c>
      <c r="C115" s="2" t="s">
        <v>654</v>
      </c>
    </row>
    <row r="116" customFormat="false" ht="15" hidden="false" customHeight="false" outlineLevel="0" collapsed="false">
      <c r="A116" s="2" t="s">
        <v>655</v>
      </c>
      <c r="B116" s="25" t="n">
        <v>8</v>
      </c>
      <c r="C116" s="2" t="s">
        <v>656</v>
      </c>
    </row>
    <row r="117" customFormat="false" ht="15" hidden="false" customHeight="false" outlineLevel="0" collapsed="false">
      <c r="A117" s="2" t="s">
        <v>657</v>
      </c>
      <c r="B117" s="25" t="n">
        <v>90</v>
      </c>
      <c r="C117" s="2" t="s">
        <v>656</v>
      </c>
    </row>
    <row r="118" customFormat="false" ht="15" hidden="false" customHeight="false" outlineLevel="0" collapsed="false">
      <c r="A118" s="2" t="s">
        <v>658</v>
      </c>
      <c r="B118" s="25" t="n">
        <v>0</v>
      </c>
      <c r="C118" s="2" t="s">
        <v>656</v>
      </c>
    </row>
    <row r="119" customFormat="false" ht="15" hidden="false" customHeight="false" outlineLevel="0" collapsed="false">
      <c r="A119" s="2" t="s">
        <v>659</v>
      </c>
      <c r="B119" s="25" t="n">
        <v>122.5</v>
      </c>
      <c r="C119" s="2" t="s">
        <v>656</v>
      </c>
    </row>
    <row r="120" customFormat="false" ht="15" hidden="false" customHeight="false" outlineLevel="0" collapsed="false">
      <c r="A120" s="2" t="s">
        <v>660</v>
      </c>
      <c r="B120" s="25" t="n">
        <v>122.5</v>
      </c>
      <c r="C120" s="2" t="s">
        <v>656</v>
      </c>
    </row>
    <row r="121" customFormat="false" ht="15" hidden="false" customHeight="false" outlineLevel="0" collapsed="false">
      <c r="A121" s="2" t="s">
        <v>661</v>
      </c>
      <c r="B121" s="25" t="n">
        <v>2.5</v>
      </c>
      <c r="C121" s="2" t="s">
        <v>656</v>
      </c>
    </row>
    <row r="122" customFormat="false" ht="15" hidden="false" customHeight="false" outlineLevel="0" collapsed="false">
      <c r="A122" s="2" t="s">
        <v>662</v>
      </c>
      <c r="B122" s="25" t="n">
        <v>0.390420772773318</v>
      </c>
      <c r="C122" s="2" t="s">
        <v>663</v>
      </c>
    </row>
    <row r="123" customFormat="false" ht="15" hidden="false" customHeight="false" outlineLevel="0" collapsed="false">
      <c r="A123" s="2" t="s">
        <v>664</v>
      </c>
      <c r="B123" s="25" t="n">
        <v>0.225806451612903</v>
      </c>
      <c r="C123" s="2" t="s">
        <v>663</v>
      </c>
    </row>
    <row r="124" customFormat="false" ht="15" hidden="false" customHeight="false" outlineLevel="0" collapsed="false">
      <c r="A124" s="2" t="s">
        <v>665</v>
      </c>
      <c r="B124" s="25" t="n">
        <v>0.386666666666667</v>
      </c>
      <c r="C124" s="2" t="s">
        <v>663</v>
      </c>
    </row>
    <row r="125" customFormat="false" ht="15" hidden="false" customHeight="false" outlineLevel="0" collapsed="false">
      <c r="A125" s="2" t="s">
        <v>666</v>
      </c>
      <c r="B125" s="25" t="n">
        <v>1</v>
      </c>
      <c r="C125" s="2" t="s">
        <v>667</v>
      </c>
    </row>
    <row r="126" customFormat="false" ht="15" hidden="false" customHeight="false" outlineLevel="0" collapsed="false">
      <c r="A126" s="2" t="s">
        <v>668</v>
      </c>
      <c r="B126" s="25" t="n">
        <v>934.276652059963</v>
      </c>
      <c r="C126" s="2" t="s">
        <v>669</v>
      </c>
    </row>
    <row r="127" customFormat="false" ht="15" hidden="false" customHeight="false" outlineLevel="0" collapsed="false">
      <c r="A127" s="2" t="s">
        <v>670</v>
      </c>
      <c r="B127" s="25" t="n">
        <v>1</v>
      </c>
      <c r="C127" s="2" t="s">
        <v>648</v>
      </c>
    </row>
    <row r="128" customFormat="false" ht="15" hidden="false" customHeight="false" outlineLevel="0" collapsed="false">
      <c r="A128" s="2" t="s">
        <v>671</v>
      </c>
      <c r="B128" s="25" t="n">
        <v>96</v>
      </c>
      <c r="C128" s="2" t="s">
        <v>672</v>
      </c>
    </row>
    <row r="129" customFormat="false" ht="15" hidden="false" customHeight="false" outlineLevel="0" collapsed="false">
      <c r="A129" s="2" t="s">
        <v>673</v>
      </c>
      <c r="B129" s="25" t="n">
        <v>296.900609123818</v>
      </c>
      <c r="C129" s="2" t="s">
        <v>674</v>
      </c>
    </row>
    <row r="130" customFormat="false" ht="15" hidden="false" customHeight="false" outlineLevel="0" collapsed="false">
      <c r="A130" s="2" t="s">
        <v>675</v>
      </c>
      <c r="B130" s="25" t="n">
        <v>105</v>
      </c>
      <c r="C130" s="2"/>
    </row>
    <row r="131" customFormat="false" ht="15" hidden="false" customHeight="false" outlineLevel="0" collapsed="false">
      <c r="A131" s="2" t="s">
        <v>676</v>
      </c>
      <c r="B131" s="25" t="n">
        <v>4</v>
      </c>
      <c r="C131" s="2" t="s">
        <v>677</v>
      </c>
    </row>
    <row r="132" customFormat="false" ht="15" hidden="false" customHeight="false" outlineLevel="0" collapsed="false">
      <c r="A132" s="2" t="s">
        <v>678</v>
      </c>
      <c r="B132" s="25" t="n">
        <v>105</v>
      </c>
      <c r="C132" s="2" t="s">
        <v>677</v>
      </c>
    </row>
    <row r="133" customFormat="false" ht="15" hidden="false" customHeight="false" outlineLevel="0" collapsed="false">
      <c r="A133" s="2" t="s">
        <v>679</v>
      </c>
      <c r="B133" s="25" t="n">
        <v>105</v>
      </c>
      <c r="C133" s="2" t="s">
        <v>677</v>
      </c>
    </row>
    <row r="134" customFormat="false" ht="15" hidden="false" customHeight="false" outlineLevel="0" collapsed="false">
      <c r="A134" s="2" t="s">
        <v>680</v>
      </c>
      <c r="B134" s="25" t="n">
        <v>105</v>
      </c>
      <c r="C134" s="2" t="s">
        <v>677</v>
      </c>
    </row>
    <row r="135" customFormat="false" ht="15" hidden="false" customHeight="false" outlineLevel="0" collapsed="false">
      <c r="A135" s="2" t="s">
        <v>681</v>
      </c>
      <c r="B135" s="25" t="n">
        <v>90</v>
      </c>
      <c r="C135" s="2" t="s">
        <v>677</v>
      </c>
    </row>
    <row r="136" customFormat="false" ht="15" hidden="false" customHeight="false" outlineLevel="0" collapsed="false">
      <c r="A136" s="2" t="s">
        <v>682</v>
      </c>
      <c r="B136" s="25" t="n">
        <v>0</v>
      </c>
      <c r="C136" s="2" t="s">
        <v>677</v>
      </c>
    </row>
    <row r="137" customFormat="false" ht="15" hidden="false" customHeight="false" outlineLevel="0" collapsed="false">
      <c r="A137" s="2" t="s">
        <v>683</v>
      </c>
      <c r="B137" s="25" t="n">
        <v>0.482016533050708</v>
      </c>
      <c r="C137" s="2" t="s">
        <v>684</v>
      </c>
    </row>
    <row r="138" customFormat="false" ht="15" hidden="false" customHeight="false" outlineLevel="0" collapsed="false">
      <c r="A138" s="2" t="s">
        <v>685</v>
      </c>
      <c r="B138" s="25" t="n">
        <v>0.483870967741936</v>
      </c>
      <c r="C138" s="2" t="s">
        <v>684</v>
      </c>
    </row>
    <row r="139" customFormat="false" ht="15" hidden="false" customHeight="false" outlineLevel="0" collapsed="false">
      <c r="A139" s="2" t="s">
        <v>686</v>
      </c>
      <c r="B139" s="25" t="n">
        <v>0.36</v>
      </c>
      <c r="C139" s="2" t="s">
        <v>684</v>
      </c>
    </row>
    <row r="140" customFormat="false" ht="15" hidden="false" customHeight="false" outlineLevel="0" collapsed="false">
      <c r="A140" s="2" t="s">
        <v>687</v>
      </c>
      <c r="B140" s="25" t="n">
        <v>1</v>
      </c>
      <c r="C140" s="2" t="s">
        <v>557</v>
      </c>
    </row>
    <row r="141" customFormat="false" ht="15" hidden="false" customHeight="false" outlineLevel="0" collapsed="false">
      <c r="A141" s="2" t="s">
        <v>688</v>
      </c>
      <c r="B141" s="25" t="n">
        <v>889.598235680284</v>
      </c>
      <c r="C141" s="2" t="s">
        <v>689</v>
      </c>
    </row>
    <row r="142" customFormat="false" ht="15" hidden="false" customHeight="false" outlineLevel="0" collapsed="false">
      <c r="A142" s="2" t="s">
        <v>690</v>
      </c>
      <c r="B142" s="25" t="n">
        <v>1</v>
      </c>
      <c r="C142" s="2" t="s">
        <v>691</v>
      </c>
    </row>
    <row r="143" customFormat="false" ht="15" hidden="false" customHeight="false" outlineLevel="0" collapsed="false">
      <c r="A143" s="2" t="s">
        <v>692</v>
      </c>
      <c r="B143" s="25" t="n">
        <v>1</v>
      </c>
      <c r="C143" s="2" t="s">
        <v>693</v>
      </c>
    </row>
    <row r="144" customFormat="false" ht="15" hidden="false" customHeight="false" outlineLevel="0" collapsed="false">
      <c r="A144" s="2" t="s">
        <v>694</v>
      </c>
      <c r="B144" s="25" t="n">
        <v>1</v>
      </c>
      <c r="C144" s="2"/>
    </row>
    <row r="145" customFormat="false" ht="15" hidden="false" customHeight="false" outlineLevel="0" collapsed="false">
      <c r="A145" s="2" t="s">
        <v>695</v>
      </c>
      <c r="B145" s="25" t="n">
        <v>1</v>
      </c>
      <c r="C145" s="2"/>
    </row>
    <row r="146" customFormat="false" ht="15" hidden="false" customHeight="false" outlineLevel="0" collapsed="false">
      <c r="A146" s="2" t="s">
        <v>696</v>
      </c>
      <c r="B146" s="25" t="n">
        <v>70</v>
      </c>
      <c r="C146" s="2" t="s">
        <v>697</v>
      </c>
    </row>
    <row r="147" customFormat="false" ht="15" hidden="false" customHeight="false" outlineLevel="0" collapsed="false">
      <c r="A147" s="2" t="s">
        <v>698</v>
      </c>
      <c r="B147" s="25" t="n">
        <v>70</v>
      </c>
      <c r="C147" s="2" t="s">
        <v>697</v>
      </c>
    </row>
    <row r="148" customFormat="false" ht="15" hidden="false" customHeight="false" outlineLevel="0" collapsed="false">
      <c r="A148" s="2" t="s">
        <v>699</v>
      </c>
      <c r="B148" s="25" t="n">
        <v>70</v>
      </c>
      <c r="C148" s="2" t="s">
        <v>697</v>
      </c>
    </row>
    <row r="149" customFormat="false" ht="15" hidden="false" customHeight="false" outlineLevel="0" collapsed="false">
      <c r="A149" s="2" t="s">
        <v>700</v>
      </c>
      <c r="B149" s="25" t="n">
        <v>70</v>
      </c>
      <c r="C149" s="2" t="s">
        <v>697</v>
      </c>
    </row>
    <row r="150" customFormat="false" ht="15" hidden="false" customHeight="false" outlineLevel="0" collapsed="false">
      <c r="A150" s="2" t="s">
        <v>701</v>
      </c>
      <c r="B150" s="25" t="n">
        <v>20</v>
      </c>
      <c r="C150" s="2" t="s">
        <v>697</v>
      </c>
    </row>
    <row r="151" customFormat="false" ht="15" hidden="false" customHeight="false" outlineLevel="0" collapsed="false">
      <c r="A151" s="2" t="s">
        <v>702</v>
      </c>
      <c r="B151" s="25" t="n">
        <v>0</v>
      </c>
      <c r="C151" s="2" t="s">
        <v>697</v>
      </c>
    </row>
    <row r="152" customFormat="false" ht="15" hidden="false" customHeight="false" outlineLevel="0" collapsed="false">
      <c r="A152" s="2" t="s">
        <v>703</v>
      </c>
      <c r="B152" s="25" t="n">
        <v>1021.93254988115</v>
      </c>
      <c r="C152" s="2" t="s">
        <v>704</v>
      </c>
    </row>
    <row r="153" customFormat="false" ht="15" hidden="false" customHeight="false" outlineLevel="0" collapsed="false">
      <c r="A153" s="2" t="s">
        <v>705</v>
      </c>
      <c r="B153" s="25" t="n">
        <v>1</v>
      </c>
      <c r="C153" s="2" t="s">
        <v>648</v>
      </c>
    </row>
    <row r="154" customFormat="false" ht="15" hidden="false" customHeight="false" outlineLevel="0" collapsed="false">
      <c r="A154" s="2" t="s">
        <v>706</v>
      </c>
      <c r="B154" s="25" t="n">
        <v>300</v>
      </c>
      <c r="C154" s="2" t="s">
        <v>707</v>
      </c>
    </row>
    <row r="155" customFormat="false" ht="15" hidden="false" customHeight="false" outlineLevel="0" collapsed="false">
      <c r="A155" s="2" t="s">
        <v>708</v>
      </c>
      <c r="B155" s="25" t="n">
        <v>300.051056666973</v>
      </c>
      <c r="C155" s="2" t="s">
        <v>709</v>
      </c>
    </row>
    <row r="156" customFormat="false" ht="15" hidden="false" customHeight="false" outlineLevel="0" collapsed="false">
      <c r="A156" s="2" t="s">
        <v>710</v>
      </c>
      <c r="B156" s="25" t="n">
        <v>1</v>
      </c>
      <c r="C156" s="2" t="s">
        <v>711</v>
      </c>
    </row>
    <row r="157" customFormat="false" ht="15" hidden="false" customHeight="false" outlineLevel="0" collapsed="false">
      <c r="A157" s="2" t="s">
        <v>712</v>
      </c>
      <c r="B157" s="25" t="n">
        <v>1</v>
      </c>
      <c r="C157" s="2"/>
    </row>
    <row r="158" customFormat="false" ht="15" hidden="false" customHeight="false" outlineLevel="0" collapsed="false">
      <c r="A158" s="2" t="s">
        <v>713</v>
      </c>
      <c r="B158" s="25" t="n">
        <v>307.724712838</v>
      </c>
      <c r="C158" s="2" t="s">
        <v>714</v>
      </c>
    </row>
    <row r="159" customFormat="false" ht="15" hidden="false" customHeight="false" outlineLevel="0" collapsed="false">
      <c r="A159" s="2" t="s">
        <v>715</v>
      </c>
      <c r="B159" s="25" t="n">
        <v>7.7247128379999</v>
      </c>
      <c r="C159" s="2" t="s">
        <v>716</v>
      </c>
    </row>
    <row r="160" customFormat="false" ht="15" hidden="false" customHeight="false" outlineLevel="0" collapsed="false">
      <c r="A160" s="2" t="s">
        <v>717</v>
      </c>
      <c r="B160" s="25" t="n">
        <v>0</v>
      </c>
      <c r="C160" s="2" t="s">
        <v>693</v>
      </c>
    </row>
    <row r="161" customFormat="false" ht="15" hidden="false" customHeight="false" outlineLevel="0" collapsed="false">
      <c r="A161" s="2" t="s">
        <v>718</v>
      </c>
      <c r="B161" s="25" t="n">
        <v>384.173336396545</v>
      </c>
      <c r="C161" s="2" t="s">
        <v>693</v>
      </c>
    </row>
    <row r="162" customFormat="false" ht="15" hidden="false" customHeight="false" outlineLevel="0" collapsed="false">
      <c r="A162" s="2" t="s">
        <v>719</v>
      </c>
      <c r="B162" s="25" t="n">
        <v>105</v>
      </c>
      <c r="C162" s="2" t="s">
        <v>693</v>
      </c>
    </row>
    <row r="163" customFormat="false" ht="15" hidden="false" customHeight="false" outlineLevel="0" collapsed="false">
      <c r="A163" s="2" t="s">
        <v>720</v>
      </c>
      <c r="B163" s="25" t="n">
        <v>976.870962953011</v>
      </c>
      <c r="C163" s="2" t="s">
        <v>693</v>
      </c>
    </row>
    <row r="164" customFormat="false" ht="15" hidden="false" customHeight="false" outlineLevel="0" collapsed="false">
      <c r="A164" s="2" t="s">
        <v>721</v>
      </c>
      <c r="B164" s="25" t="n">
        <v>0</v>
      </c>
      <c r="C164" s="2" t="s">
        <v>693</v>
      </c>
    </row>
    <row r="165" customFormat="false" ht="15" hidden="false" customHeight="false" outlineLevel="0" collapsed="false">
      <c r="A165" s="2" t="s">
        <v>722</v>
      </c>
      <c r="B165" s="25" t="n">
        <v>106.591503199721</v>
      </c>
      <c r="C165" s="2" t="s">
        <v>693</v>
      </c>
    </row>
    <row r="166" customFormat="false" ht="15" hidden="false" customHeight="false" outlineLevel="0" collapsed="false">
      <c r="A166" s="2" t="s">
        <v>723</v>
      </c>
      <c r="B166" s="25" t="n">
        <v>137.8125</v>
      </c>
      <c r="C166" s="2" t="s">
        <v>693</v>
      </c>
    </row>
    <row r="167" customFormat="false" ht="15" hidden="false" customHeight="false" outlineLevel="0" collapsed="false">
      <c r="A167" s="2" t="s">
        <v>724</v>
      </c>
      <c r="B167" s="25" t="n">
        <v>884.507138055082</v>
      </c>
      <c r="C167" s="2" t="s">
        <v>693</v>
      </c>
    </row>
    <row r="168" customFormat="false" ht="15" hidden="false" customHeight="false" outlineLevel="0" collapsed="false">
      <c r="A168" s="2" t="s">
        <v>725</v>
      </c>
      <c r="B168" s="25" t="n">
        <v>150</v>
      </c>
      <c r="C168" s="2" t="s">
        <v>693</v>
      </c>
    </row>
    <row r="169" customFormat="false" ht="15" hidden="false" customHeight="false" outlineLevel="0" collapsed="false">
      <c r="A169" s="2" t="s">
        <v>726</v>
      </c>
      <c r="B169" s="25" t="n">
        <v>234.309007705634</v>
      </c>
      <c r="C169" s="2" t="s">
        <v>693</v>
      </c>
    </row>
    <row r="170" customFormat="false" ht="15" hidden="false" customHeight="false" outlineLevel="0" collapsed="false">
      <c r="A170" s="2" t="s">
        <v>727</v>
      </c>
      <c r="B170" s="25" t="n">
        <v>70</v>
      </c>
      <c r="C170" s="2" t="s">
        <v>693</v>
      </c>
    </row>
    <row r="171" customFormat="false" ht="15" hidden="false" customHeight="false" outlineLevel="0" collapsed="false">
      <c r="A171" s="2" t="s">
        <v>728</v>
      </c>
      <c r="B171" s="25" t="n">
        <v>629.440758743278</v>
      </c>
      <c r="C171" s="2" t="s">
        <v>693</v>
      </c>
    </row>
    <row r="172" customFormat="false" ht="15" hidden="false" customHeight="false" outlineLevel="0" collapsed="false">
      <c r="A172" s="2" t="s">
        <v>729</v>
      </c>
      <c r="B172" s="25" t="n">
        <v>0</v>
      </c>
      <c r="C172" s="2" t="s">
        <v>693</v>
      </c>
    </row>
    <row r="173" customFormat="false" ht="15" hidden="false" customHeight="false" outlineLevel="0" collapsed="false">
      <c r="A173" s="2" t="s">
        <v>730</v>
      </c>
      <c r="B173" s="25" t="n">
        <v>330.451985565273</v>
      </c>
      <c r="C173" s="2" t="s">
        <v>693</v>
      </c>
    </row>
    <row r="174" customFormat="false" ht="15" hidden="false" customHeight="false" outlineLevel="0" collapsed="false">
      <c r="A174" s="2" t="s">
        <v>731</v>
      </c>
      <c r="B174" s="25" t="n">
        <v>122.5</v>
      </c>
      <c r="C174" s="2" t="s">
        <v>693</v>
      </c>
    </row>
    <row r="175" customFormat="false" ht="15" hidden="false" customHeight="false" outlineLevel="0" collapsed="false">
      <c r="A175" s="2" t="s">
        <v>732</v>
      </c>
      <c r="B175" s="25" t="n">
        <v>1021.93254988115</v>
      </c>
      <c r="C175" s="2" t="s">
        <v>693</v>
      </c>
    </row>
    <row r="176" customFormat="false" ht="15" hidden="false" customHeight="false" outlineLevel="0" collapsed="false">
      <c r="A176" s="2" t="s">
        <v>733</v>
      </c>
      <c r="B176" s="25" t="n">
        <v>92</v>
      </c>
      <c r="C176" s="2" t="s">
        <v>693</v>
      </c>
    </row>
    <row r="177" customFormat="false" ht="15" hidden="false" customHeight="false" outlineLevel="0" collapsed="false">
      <c r="A177" s="2" t="s">
        <v>734</v>
      </c>
      <c r="B177" s="25" t="n">
        <v>242.796087744086</v>
      </c>
      <c r="C177" s="2" t="s">
        <v>693</v>
      </c>
    </row>
    <row r="178" customFormat="false" ht="15" hidden="false" customHeight="false" outlineLevel="0" collapsed="false">
      <c r="A178" s="2" t="s">
        <v>735</v>
      </c>
      <c r="B178" s="25" t="n">
        <v>122.5</v>
      </c>
      <c r="C178" s="2" t="s">
        <v>693</v>
      </c>
    </row>
    <row r="179" customFormat="false" ht="15" hidden="false" customHeight="false" outlineLevel="0" collapsed="false">
      <c r="A179" s="2" t="s">
        <v>736</v>
      </c>
      <c r="B179" s="25" t="n">
        <v>934.276652059963</v>
      </c>
      <c r="C179" s="2" t="s">
        <v>693</v>
      </c>
    </row>
    <row r="180" customFormat="false" ht="15" hidden="false" customHeight="false" outlineLevel="0" collapsed="false">
      <c r="A180" s="2" t="s">
        <v>737</v>
      </c>
      <c r="B180" s="25" t="n">
        <v>96</v>
      </c>
      <c r="C180" s="2" t="s">
        <v>693</v>
      </c>
    </row>
    <row r="181" customFormat="false" ht="15" hidden="false" customHeight="false" outlineLevel="0" collapsed="false">
      <c r="A181" s="2" t="s">
        <v>738</v>
      </c>
      <c r="B181" s="25" t="n">
        <v>296.900609123818</v>
      </c>
      <c r="C181" s="2" t="s">
        <v>693</v>
      </c>
    </row>
    <row r="182" customFormat="false" ht="15" hidden="false" customHeight="false" outlineLevel="0" collapsed="false">
      <c r="A182" s="2" t="s">
        <v>739</v>
      </c>
      <c r="B182" s="25" t="n">
        <v>105</v>
      </c>
      <c r="C182" s="2" t="s">
        <v>693</v>
      </c>
    </row>
    <row r="183" customFormat="false" ht="15" hidden="false" customHeight="false" outlineLevel="0" collapsed="false">
      <c r="A183" s="2" t="s">
        <v>740</v>
      </c>
      <c r="B183" s="25" t="n">
        <v>889.598235680284</v>
      </c>
      <c r="C183" s="2" t="s">
        <v>693</v>
      </c>
    </row>
    <row r="184" customFormat="false" ht="15" hidden="false" customHeight="false" outlineLevel="0" collapsed="false">
      <c r="A184" s="2" t="s">
        <v>741</v>
      </c>
      <c r="B184" s="25" t="n">
        <v>25</v>
      </c>
      <c r="C184" s="2" t="s">
        <v>693</v>
      </c>
    </row>
    <row r="185" customFormat="false" ht="15" hidden="false" customHeight="false" outlineLevel="0" collapsed="false">
      <c r="A185" s="2" t="s">
        <v>742</v>
      </c>
      <c r="B185" s="25" t="n">
        <v>300</v>
      </c>
      <c r="C185" s="2" t="s">
        <v>693</v>
      </c>
    </row>
    <row r="186" customFormat="false" ht="15" hidden="false" customHeight="false" outlineLevel="0" collapsed="false">
      <c r="A186" s="2" t="s">
        <v>743</v>
      </c>
      <c r="B186" s="25" t="n">
        <v>122.5</v>
      </c>
      <c r="C186" s="2" t="s">
        <v>693</v>
      </c>
    </row>
    <row r="187" customFormat="false" ht="15" hidden="false" customHeight="false" outlineLevel="0" collapsed="false">
      <c r="A187" s="2" t="s">
        <v>744</v>
      </c>
      <c r="B187" s="25" t="n">
        <v>991.480564315877</v>
      </c>
      <c r="C187" s="2" t="s">
        <v>693</v>
      </c>
    </row>
    <row r="188" customFormat="false" ht="15" hidden="false" customHeight="false" outlineLevel="0" collapsed="false">
      <c r="A188" s="2" t="s">
        <v>745</v>
      </c>
      <c r="B188" s="25" t="n">
        <v>25</v>
      </c>
      <c r="C188" s="2" t="s">
        <v>693</v>
      </c>
    </row>
    <row r="189" customFormat="false" ht="15" hidden="false" customHeight="false" outlineLevel="0" collapsed="false">
      <c r="A189" s="2" t="s">
        <v>746</v>
      </c>
      <c r="B189" s="25" t="n">
        <v>307.724712838</v>
      </c>
      <c r="C189" s="2" t="s">
        <v>693</v>
      </c>
    </row>
    <row r="190" customFormat="false" ht="15" hidden="false" customHeight="false" outlineLevel="0" collapsed="false">
      <c r="A190" s="2" t="s">
        <v>747</v>
      </c>
      <c r="B190" s="25" t="n">
        <v>122.5</v>
      </c>
      <c r="C190" s="2" t="s">
        <v>693</v>
      </c>
    </row>
    <row r="191" customFormat="false" ht="15" hidden="false" customHeight="false" outlineLevel="0" collapsed="false">
      <c r="A191" s="2" t="s">
        <v>748</v>
      </c>
      <c r="B191" s="25" t="n">
        <v>999.205277153877</v>
      </c>
      <c r="C191" s="2" t="s">
        <v>693</v>
      </c>
    </row>
    <row r="192" customFormat="false" ht="15" hidden="false" customHeight="false" outlineLevel="0" collapsed="false">
      <c r="A192" s="2" t="s">
        <v>749</v>
      </c>
      <c r="B192" s="25" t="n">
        <v>629.440758743278</v>
      </c>
      <c r="C192" s="2" t="s">
        <v>750</v>
      </c>
    </row>
    <row r="193" customFormat="false" ht="15" hidden="false" customHeight="false" outlineLevel="0" collapsed="false">
      <c r="A193" s="2" t="s">
        <v>751</v>
      </c>
      <c r="B193" s="25" t="n">
        <v>1021.93254988115</v>
      </c>
      <c r="C193" s="2" t="s">
        <v>752</v>
      </c>
    </row>
    <row r="194" customFormat="false" ht="15" hidden="false" customHeight="false" outlineLevel="0" collapsed="false">
      <c r="A194" s="2" t="s">
        <v>753</v>
      </c>
      <c r="B194" s="25" t="n">
        <v>49454.3284760587</v>
      </c>
      <c r="C194" s="2" t="s">
        <v>754</v>
      </c>
    </row>
    <row r="195" customFormat="false" ht="15" hidden="false" customHeight="false" outlineLevel="0" collapsed="false">
      <c r="A195" s="2" t="s">
        <v>755</v>
      </c>
      <c r="B195" s="25" t="n">
        <v>40480.3682317459</v>
      </c>
      <c r="C195" s="2" t="s">
        <v>756</v>
      </c>
    </row>
    <row r="196" customFormat="false" ht="15" hidden="false" customHeight="false" outlineLevel="0" collapsed="false">
      <c r="A196" s="2" t="s">
        <v>757</v>
      </c>
      <c r="B196" s="25" t="n">
        <v>1</v>
      </c>
      <c r="C196" s="2" t="s">
        <v>758</v>
      </c>
    </row>
    <row r="197" customFormat="false" ht="15" hidden="false" customHeight="false" outlineLevel="0" collapsed="false">
      <c r="A197" s="2" t="s">
        <v>759</v>
      </c>
      <c r="B197" s="25" t="n">
        <v>47186.3153808985</v>
      </c>
      <c r="C197" s="2" t="s">
        <v>756</v>
      </c>
    </row>
    <row r="198" customFormat="false" ht="15" hidden="false" customHeight="false" outlineLevel="0" collapsed="false">
      <c r="A198" s="2" t="s">
        <v>760</v>
      </c>
      <c r="B198" s="25" t="n">
        <v>1</v>
      </c>
      <c r="C198" s="2" t="s">
        <v>758</v>
      </c>
    </row>
    <row r="199" customFormat="false" ht="15" hidden="false" customHeight="false" outlineLevel="0" collapsed="false">
      <c r="A199" s="2" t="s">
        <v>761</v>
      </c>
      <c r="B199" s="25" t="n">
        <v>48573.1434911076</v>
      </c>
      <c r="C199" s="2" t="s">
        <v>756</v>
      </c>
    </row>
    <row r="200" customFormat="false" ht="15" hidden="false" customHeight="false" outlineLevel="0" collapsed="false">
      <c r="A200" s="2" t="s">
        <v>762</v>
      </c>
      <c r="B200" s="25" t="n">
        <v>1</v>
      </c>
      <c r="C200" s="2" t="s">
        <v>758</v>
      </c>
    </row>
    <row r="201" customFormat="false" ht="15" hidden="false" customHeight="false" outlineLevel="0" collapsed="false">
      <c r="A201" s="2" t="s">
        <v>763</v>
      </c>
      <c r="B201" s="25" t="n">
        <v>1.91</v>
      </c>
      <c r="C201" s="2" t="s">
        <v>764</v>
      </c>
    </row>
    <row r="202" customFormat="false" ht="15" hidden="false" customHeight="false" outlineLevel="0" collapsed="false">
      <c r="A202" s="2" t="s">
        <v>765</v>
      </c>
      <c r="B202" s="25" t="n">
        <v>1.62</v>
      </c>
      <c r="C202" s="2" t="s">
        <v>766</v>
      </c>
    </row>
    <row r="203" customFormat="false" ht="15" hidden="false" customHeight="false" outlineLevel="0" collapsed="false">
      <c r="A203" s="2" t="s">
        <v>767</v>
      </c>
      <c r="B203" s="25" t="n">
        <v>1</v>
      </c>
      <c r="C203" s="2" t="s">
        <v>486</v>
      </c>
    </row>
    <row r="204" customFormat="false" ht="15" hidden="false" customHeight="false" outlineLevel="0" collapsed="false">
      <c r="A204" s="2" t="s">
        <v>768</v>
      </c>
      <c r="B204" s="25" t="n">
        <v>1</v>
      </c>
      <c r="C204" s="2" t="s">
        <v>769</v>
      </c>
    </row>
    <row r="205" customFormat="false" ht="15" hidden="false" customHeight="false" outlineLevel="0" collapsed="false">
      <c r="A205" s="2" t="s">
        <v>487</v>
      </c>
      <c r="B205" s="25" t="n">
        <v>13.56</v>
      </c>
      <c r="C205" s="2" t="s">
        <v>770</v>
      </c>
    </row>
    <row r="206" customFormat="false" ht="15" hidden="false" customHeight="false" outlineLevel="0" collapsed="false">
      <c r="A206" s="2" t="s">
        <v>771</v>
      </c>
      <c r="B206" s="25" t="n">
        <v>0.9</v>
      </c>
      <c r="C206" s="2" t="s">
        <v>772</v>
      </c>
    </row>
    <row r="207" customFormat="false" ht="15" hidden="false" customHeight="false" outlineLevel="0" collapsed="false">
      <c r="A207" s="2" t="s">
        <v>773</v>
      </c>
      <c r="B207" s="25" t="n">
        <v>0.55</v>
      </c>
      <c r="C207" s="2" t="s">
        <v>774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497</v>
      </c>
      <c r="B1" s="8" t="s">
        <v>775</v>
      </c>
      <c r="C1" s="8" t="s">
        <v>498</v>
      </c>
      <c r="D1" s="8" t="s">
        <v>776</v>
      </c>
      <c r="E1" s="8" t="s">
        <v>777</v>
      </c>
      <c r="F1" s="8" t="s">
        <v>778</v>
      </c>
    </row>
    <row r="2" customFormat="false" ht="15" hidden="false" customHeight="false" outlineLevel="0" collapsed="false">
      <c r="A2" s="2" t="s">
        <v>439</v>
      </c>
      <c r="B2" s="12" t="n">
        <f aca="false">Reserve!B19</f>
        <v>9664</v>
      </c>
      <c r="C2" s="20" t="n">
        <f aca="false">Reference_Values!B2</f>
        <v>9664</v>
      </c>
      <c r="D2" s="21" t="n">
        <f aca="false">ABS(B2-C2)</f>
        <v>0</v>
      </c>
      <c r="E2" s="36" t="n">
        <v>0</v>
      </c>
      <c r="F2" s="4" t="str">
        <f aca="false">IF(D2&lt;=E2,"PASS","FAIL")</f>
        <v>PASS</v>
      </c>
    </row>
    <row r="3" customFormat="false" ht="15" hidden="false" customHeight="false" outlineLevel="0" collapsed="false">
      <c r="A3" s="2" t="s">
        <v>500</v>
      </c>
      <c r="B3" s="12" t="n">
        <f aca="false">Reserve!B20</f>
        <v>7824</v>
      </c>
      <c r="C3" s="20" t="n">
        <f aca="false">Reference_Values!B3</f>
        <v>7824</v>
      </c>
      <c r="D3" s="21" t="n">
        <f aca="false">ABS(B3-C3)</f>
        <v>0</v>
      </c>
      <c r="E3" s="36" t="n">
        <v>0</v>
      </c>
      <c r="F3" s="4" t="str">
        <f aca="false">IF(D3&lt;=E3,"PASS","FAIL")</f>
        <v>PASS</v>
      </c>
    </row>
    <row r="4" customFormat="false" ht="15" hidden="false" customHeight="false" outlineLevel="0" collapsed="false">
      <c r="A4" s="2" t="s">
        <v>502</v>
      </c>
      <c r="B4" s="12" t="n">
        <f aca="false">IF(SUMPRODUCT(ABS(Sch_S6-(140-140/2^Sch_n)))&lt;0.000000001,1,0)</f>
        <v>1</v>
      </c>
      <c r="C4" s="20" t="n">
        <f aca="false">Reference_Values!B4</f>
        <v>1</v>
      </c>
      <c r="D4" s="21" t="n">
        <f aca="false">ABS(B4-C4)</f>
        <v>0</v>
      </c>
      <c r="E4" s="36" t="n">
        <v>0</v>
      </c>
      <c r="F4" s="4" t="str">
        <f aca="false">IF(D4&lt;=E4,"PASS","FAIL")</f>
        <v>PASS</v>
      </c>
    </row>
    <row r="5" customFormat="false" ht="15" hidden="false" customHeight="false" outlineLevel="0" collapsed="false">
      <c r="A5" s="2" t="s">
        <v>504</v>
      </c>
      <c r="B5" s="12" t="n">
        <f aca="false">W_board</f>
        <v>5.64473930053777</v>
      </c>
      <c r="C5" s="20" t="n">
        <f aca="false">Reference_Values!B5</f>
        <v>5.64473930053777</v>
      </c>
      <c r="D5" s="21" t="n">
        <f aca="false">ABS(B5-C5)</f>
        <v>0</v>
      </c>
      <c r="E5" s="36" t="n">
        <v>1E-012</v>
      </c>
      <c r="F5" s="4" t="str">
        <f aca="false">IF(D5&lt;=E5,"PASS","FAIL")</f>
        <v>PASS</v>
      </c>
    </row>
    <row r="6" customFormat="false" ht="15" hidden="false" customHeight="false" outlineLevel="0" collapsed="false">
      <c r="A6" s="2" t="s">
        <v>506</v>
      </c>
      <c r="B6" s="12" t="n">
        <f aca="false">Frontier!B4</f>
        <v>64</v>
      </c>
      <c r="C6" s="20" t="n">
        <f aca="false">Reference_Values!B6</f>
        <v>64</v>
      </c>
      <c r="D6" s="21" t="n">
        <f aca="false">ABS(B6-C6)</f>
        <v>0</v>
      </c>
      <c r="E6" s="36" t="n">
        <v>0</v>
      </c>
      <c r="F6" s="4" t="str">
        <f aca="false">IF(D6&lt;=E6,"PASS","FAIL")</f>
        <v>PASS</v>
      </c>
    </row>
    <row r="7" customFormat="false" ht="15" hidden="false" customHeight="false" outlineLevel="0" collapsed="false">
      <c r="A7" s="2" t="s">
        <v>508</v>
      </c>
      <c r="B7" s="12" t="n">
        <f aca="false">Frontier!B5</f>
        <v>59</v>
      </c>
      <c r="C7" s="20" t="n">
        <f aca="false">Reference_Values!B7</f>
        <v>59</v>
      </c>
      <c r="D7" s="21" t="n">
        <f aca="false">ABS(B7-C7)</f>
        <v>0</v>
      </c>
      <c r="E7" s="36" t="n">
        <v>0</v>
      </c>
      <c r="F7" s="4" t="str">
        <f aca="false">IF(D7&lt;=E7,"PASS","FAIL")</f>
        <v>PASS</v>
      </c>
    </row>
    <row r="8" customFormat="false" ht="15" hidden="false" customHeight="false" outlineLevel="0" collapsed="false">
      <c r="A8" s="2" t="s">
        <v>510</v>
      </c>
      <c r="B8" s="12" t="n">
        <f aca="false">Frontier!B6</f>
        <v>5</v>
      </c>
      <c r="C8" s="20" t="n">
        <f aca="false">Reference_Values!B8</f>
        <v>5</v>
      </c>
      <c r="D8" s="21" t="n">
        <f aca="false">ABS(B8-C8)</f>
        <v>0</v>
      </c>
      <c r="E8" s="36" t="n">
        <v>0</v>
      </c>
      <c r="F8" s="4" t="str">
        <f aca="false">IF(D8&lt;=E8,"PASS","FAIL")</f>
        <v>PASS</v>
      </c>
    </row>
    <row r="9" customFormat="false" ht="15" hidden="false" customHeight="false" outlineLevel="0" collapsed="false">
      <c r="A9" s="2" t="s">
        <v>512</v>
      </c>
      <c r="B9" s="12" t="n">
        <f aca="false">Frontier!H9</f>
        <v>150</v>
      </c>
      <c r="C9" s="20" t="n">
        <f aca="false">Reference_Values!B9</f>
        <v>150</v>
      </c>
      <c r="D9" s="21" t="n">
        <f aca="false">ABS(B9-C9)</f>
        <v>0</v>
      </c>
      <c r="E9" s="36" t="n">
        <v>1E-009</v>
      </c>
      <c r="F9" s="4" t="str">
        <f aca="false">IF(D9&lt;=E9,"PASS","FAIL")</f>
        <v>PASS</v>
      </c>
    </row>
    <row r="10" customFormat="false" ht="15" hidden="false" customHeight="false" outlineLevel="0" collapsed="false">
      <c r="A10" s="2" t="s">
        <v>514</v>
      </c>
      <c r="B10" s="12" t="n">
        <f aca="false">Frontier!B9</f>
        <v>136.363636363636</v>
      </c>
      <c r="C10" s="20" t="n">
        <f aca="false">Reference_Values!B10</f>
        <v>136.363636363636</v>
      </c>
      <c r="D10" s="21" t="n">
        <f aca="false">ABS(B10-C10)</f>
        <v>0</v>
      </c>
      <c r="E10" s="36" t="n">
        <v>1E-009</v>
      </c>
      <c r="F10" s="4" t="str">
        <f aca="false">IF(D10&lt;=E10,"PASS","FAIL")</f>
        <v>PASS</v>
      </c>
    </row>
    <row r="11" customFormat="false" ht="15" hidden="false" customHeight="false" outlineLevel="0" collapsed="false">
      <c r="A11" s="2" t="s">
        <v>515</v>
      </c>
      <c r="B11" s="12" t="n">
        <f aca="false">Frontier!B10</f>
        <v>370.67264406927</v>
      </c>
      <c r="C11" s="20" t="n">
        <f aca="false">Reference_Values!B11</f>
        <v>370.67264406927</v>
      </c>
      <c r="D11" s="21" t="n">
        <f aca="false">ABS(B11-C11)</f>
        <v>0</v>
      </c>
      <c r="E11" s="36" t="n">
        <v>1E-009</v>
      </c>
      <c r="F11" s="4" t="str">
        <f aca="false">IF(D11&lt;=E11,"PASS","FAIL")</f>
        <v>PASS</v>
      </c>
    </row>
    <row r="12" customFormat="false" ht="15" hidden="false" customHeight="false" outlineLevel="0" collapsed="false">
      <c r="A12" s="2" t="s">
        <v>516</v>
      </c>
      <c r="B12" s="12" t="n">
        <f aca="false">Frontier!E10</f>
        <v>70</v>
      </c>
      <c r="C12" s="20" t="n">
        <f aca="false">Reference_Values!B12</f>
        <v>70</v>
      </c>
      <c r="D12" s="21" t="n">
        <f aca="false">ABS(B12-C12)</f>
        <v>0</v>
      </c>
      <c r="E12" s="36" t="n">
        <v>1E-009</v>
      </c>
      <c r="F12" s="4" t="str">
        <f aca="false">IF(D12&lt;=E12,"PASS","FAIL")</f>
        <v>PASS</v>
      </c>
    </row>
    <row r="13" customFormat="false" ht="15" hidden="false" customHeight="false" outlineLevel="0" collapsed="false">
      <c r="A13" s="2" t="s">
        <v>518</v>
      </c>
      <c r="B13" s="12" t="n">
        <f aca="false">Frontier!B11</f>
        <v>384.173336396545</v>
      </c>
      <c r="C13" s="20" t="n">
        <f aca="false">Reference_Values!B13</f>
        <v>384.173336396545</v>
      </c>
      <c r="D13" s="21" t="n">
        <f aca="false">ABS(B13-C13)</f>
        <v>0</v>
      </c>
      <c r="E13" s="36" t="n">
        <v>1E-009</v>
      </c>
      <c r="F13" s="4" t="str">
        <f aca="false">IF(D13&lt;=E13,"PASS","FAIL")</f>
        <v>PASS</v>
      </c>
    </row>
    <row r="14" customFormat="false" ht="15" hidden="false" customHeight="false" outlineLevel="0" collapsed="false">
      <c r="A14" s="2" t="s">
        <v>519</v>
      </c>
      <c r="B14" s="12" t="n">
        <f aca="false">Frontier!E11</f>
        <v>105</v>
      </c>
      <c r="C14" s="20" t="n">
        <f aca="false">Reference_Values!B14</f>
        <v>105</v>
      </c>
      <c r="D14" s="21" t="n">
        <f aca="false">ABS(B14-C14)</f>
        <v>0</v>
      </c>
      <c r="E14" s="36" t="n">
        <v>1E-009</v>
      </c>
      <c r="F14" s="4" t="str">
        <f aca="false">IF(D14&lt;=E14,"PASS","FAIL")</f>
        <v>PASS</v>
      </c>
    </row>
    <row r="15" customFormat="false" ht="15" hidden="false" customHeight="false" outlineLevel="0" collapsed="false">
      <c r="A15" s="2" t="s">
        <v>520</v>
      </c>
      <c r="B15" s="12" t="n">
        <f aca="false">Frontier!B12</f>
        <v>330.451985565273</v>
      </c>
      <c r="C15" s="20" t="n">
        <f aca="false">Reference_Values!B15</f>
        <v>330.451985565273</v>
      </c>
      <c r="D15" s="21" t="n">
        <f aca="false">ABS(B15-C15)</f>
        <v>0</v>
      </c>
      <c r="E15" s="36" t="n">
        <v>1E-009</v>
      </c>
      <c r="F15" s="4" t="str">
        <f aca="false">IF(D15&lt;=E15,"PASS","FAIL")</f>
        <v>PASS</v>
      </c>
    </row>
    <row r="16" customFormat="false" ht="15" hidden="false" customHeight="false" outlineLevel="0" collapsed="false">
      <c r="A16" s="2" t="s">
        <v>521</v>
      </c>
      <c r="B16" s="12" t="n">
        <f aca="false">Frontier!E12</f>
        <v>122.5</v>
      </c>
      <c r="C16" s="20" t="n">
        <f aca="false">Reference_Values!B16</f>
        <v>122.5</v>
      </c>
      <c r="D16" s="21" t="n">
        <f aca="false">ABS(B16-C16)</f>
        <v>0</v>
      </c>
      <c r="E16" s="36" t="n">
        <v>1E-009</v>
      </c>
      <c r="F16" s="4" t="str">
        <f aca="false">IF(D16&lt;=E16,"PASS","FAIL")</f>
        <v>PASS</v>
      </c>
    </row>
    <row r="17" customFormat="false" ht="15" hidden="false" customHeight="false" outlineLevel="0" collapsed="false">
      <c r="A17" s="2" t="s">
        <v>522</v>
      </c>
      <c r="B17" s="12" t="n">
        <f aca="false">Frontier!B13</f>
        <v>260.880573686145</v>
      </c>
      <c r="C17" s="20" t="n">
        <f aca="false">Reference_Values!B17</f>
        <v>260.880573686145</v>
      </c>
      <c r="D17" s="21" t="n">
        <f aca="false">ABS(B17-C17)</f>
        <v>0</v>
      </c>
      <c r="E17" s="36" t="n">
        <v>1E-009</v>
      </c>
      <c r="F17" s="4" t="str">
        <f aca="false">IF(D17&lt;=E17,"PASS","FAIL")</f>
        <v>PASS</v>
      </c>
    </row>
    <row r="18" customFormat="false" ht="15" hidden="false" customHeight="false" outlineLevel="0" collapsed="false">
      <c r="A18" s="2" t="s">
        <v>523</v>
      </c>
      <c r="B18" s="12" t="n">
        <f aca="false">Frontier!E13</f>
        <v>131.25</v>
      </c>
      <c r="C18" s="20" t="n">
        <f aca="false">Reference_Values!B18</f>
        <v>131.25</v>
      </c>
      <c r="D18" s="21" t="n">
        <f aca="false">ABS(B18-C18)</f>
        <v>0</v>
      </c>
      <c r="E18" s="36" t="n">
        <v>1E-009</v>
      </c>
      <c r="F18" s="4" t="str">
        <f aca="false">IF(D18&lt;=E18,"PASS","FAIL")</f>
        <v>PASS</v>
      </c>
    </row>
    <row r="19" customFormat="false" ht="15" hidden="false" customHeight="false" outlineLevel="0" collapsed="false">
      <c r="A19" s="2" t="s">
        <v>524</v>
      </c>
      <c r="B19" s="12" t="n">
        <f aca="false">Frontier!B14</f>
        <v>186.821594063089</v>
      </c>
      <c r="C19" s="20" t="n">
        <f aca="false">Reference_Values!B19</f>
        <v>186.821594063089</v>
      </c>
      <c r="D19" s="21" t="n">
        <f aca="false">ABS(B19-C19)</f>
        <v>0</v>
      </c>
      <c r="E19" s="36" t="n">
        <v>1E-009</v>
      </c>
      <c r="F19" s="4" t="str">
        <f aca="false">IF(D19&lt;=E19,"PASS","FAIL")</f>
        <v>PASS</v>
      </c>
    </row>
    <row r="20" customFormat="false" ht="15" hidden="false" customHeight="false" outlineLevel="0" collapsed="false">
      <c r="A20" s="2" t="s">
        <v>525</v>
      </c>
      <c r="B20" s="12" t="n">
        <f aca="false">Frontier!E14</f>
        <v>135.625</v>
      </c>
      <c r="C20" s="20" t="n">
        <f aca="false">Reference_Values!B20</f>
        <v>135.625</v>
      </c>
      <c r="D20" s="21" t="n">
        <f aca="false">ABS(B20-C20)</f>
        <v>0</v>
      </c>
      <c r="E20" s="36" t="n">
        <v>1E-009</v>
      </c>
      <c r="F20" s="4" t="str">
        <f aca="false">IF(D20&lt;=E20,"PASS","FAIL")</f>
        <v>PASS</v>
      </c>
    </row>
    <row r="21" customFormat="false" ht="15" hidden="false" customHeight="false" outlineLevel="0" collapsed="false">
      <c r="A21" s="2" t="s">
        <v>526</v>
      </c>
      <c r="B21" s="12" t="n">
        <f aca="false">Frontier!B15</f>
        <v>106.59150319972</v>
      </c>
      <c r="C21" s="20" t="n">
        <f aca="false">Reference_Values!B21</f>
        <v>106.591503199721</v>
      </c>
      <c r="D21" s="21" t="n">
        <f aca="false">ABS(B21-C21)</f>
        <v>0</v>
      </c>
      <c r="E21" s="36" t="n">
        <v>1E-009</v>
      </c>
      <c r="F21" s="4" t="str">
        <f aca="false">IF(D21&lt;=E21,"PASS","FAIL")</f>
        <v>PASS</v>
      </c>
    </row>
    <row r="22" customFormat="false" ht="15" hidden="false" customHeight="false" outlineLevel="0" collapsed="false">
      <c r="A22" s="2" t="s">
        <v>527</v>
      </c>
      <c r="B22" s="12" t="n">
        <f aca="false">Frontier!E15</f>
        <v>137.8125</v>
      </c>
      <c r="C22" s="20" t="n">
        <f aca="false">Reference_Values!B22</f>
        <v>137.8125</v>
      </c>
      <c r="D22" s="21" t="n">
        <f aca="false">ABS(B22-C22)</f>
        <v>0</v>
      </c>
      <c r="E22" s="36" t="n">
        <v>1E-009</v>
      </c>
      <c r="F22" s="4" t="str">
        <f aca="false">IF(D22&lt;=E22,"PASS","FAIL")</f>
        <v>PASS</v>
      </c>
    </row>
    <row r="23" customFormat="false" ht="15" hidden="false" customHeight="false" outlineLevel="0" collapsed="false">
      <c r="A23" s="2" t="s">
        <v>528</v>
      </c>
      <c r="B23" s="12" t="n">
        <f aca="false">Frontier!H12</f>
        <v>85</v>
      </c>
      <c r="C23" s="20" t="n">
        <f aca="false">Reference_Values!B23</f>
        <v>85</v>
      </c>
      <c r="D23" s="21" t="n">
        <f aca="false">ABS(B23-C23)</f>
        <v>0</v>
      </c>
      <c r="E23" s="36" t="n">
        <v>1E-009</v>
      </c>
      <c r="F23" s="4" t="str">
        <f aca="false">IF(D23&lt;=E23,"PASS","FAIL")</f>
        <v>PASS</v>
      </c>
    </row>
    <row r="24" customFormat="false" ht="15" hidden="false" customHeight="false" outlineLevel="0" collapsed="false">
      <c r="A24" s="2" t="s">
        <v>530</v>
      </c>
      <c r="B24" s="12" t="n">
        <f aca="false">Frontier!I12</f>
        <v>0</v>
      </c>
      <c r="C24" s="20" t="n">
        <f aca="false">Reference_Values!B24</f>
        <v>0</v>
      </c>
      <c r="D24" s="21" t="n">
        <f aca="false">ABS(B24-C24)</f>
        <v>0</v>
      </c>
      <c r="E24" s="36" t="n">
        <v>1E-009</v>
      </c>
      <c r="F24" s="4" t="str">
        <f aca="false">IF(D24&lt;=E24,"PASS","FAIL")</f>
        <v>PASS</v>
      </c>
    </row>
    <row r="25" customFormat="false" ht="15" hidden="false" customHeight="false" outlineLevel="0" collapsed="false">
      <c r="A25" s="2" t="s">
        <v>531</v>
      </c>
      <c r="B25" s="12" t="n">
        <f aca="false">Frontier!J12</f>
        <v>122.5</v>
      </c>
      <c r="C25" s="20" t="n">
        <f aca="false">Reference_Values!B25</f>
        <v>122.5</v>
      </c>
      <c r="D25" s="21" t="n">
        <f aca="false">ABS(B25-C25)</f>
        <v>0</v>
      </c>
      <c r="E25" s="36" t="n">
        <v>1E-009</v>
      </c>
      <c r="F25" s="4" t="str">
        <f aca="false">IF(D25&lt;=E25,"PASS","FAIL")</f>
        <v>PASS</v>
      </c>
    </row>
    <row r="26" customFormat="false" ht="15" hidden="false" customHeight="false" outlineLevel="0" collapsed="false">
      <c r="A26" s="2" t="s">
        <v>532</v>
      </c>
      <c r="B26" s="12" t="n">
        <f aca="false">Frontier!K12</f>
        <v>122.5</v>
      </c>
      <c r="C26" s="20" t="n">
        <f aca="false">Reference_Values!B26</f>
        <v>122.5</v>
      </c>
      <c r="D26" s="21" t="n">
        <f aca="false">ABS(B26-C26)</f>
        <v>0</v>
      </c>
      <c r="E26" s="36" t="n">
        <v>1E-009</v>
      </c>
      <c r="F26" s="4" t="str">
        <f aca="false">IF(D26&lt;=E26,"PASS","FAIL")</f>
        <v>PASS</v>
      </c>
    </row>
    <row r="27" customFormat="false" ht="15" hidden="false" customHeight="false" outlineLevel="0" collapsed="false">
      <c r="A27" s="2" t="s">
        <v>533</v>
      </c>
      <c r="B27" s="12" t="n">
        <f aca="false">Frontier!L12</f>
        <v>122.5</v>
      </c>
      <c r="C27" s="20" t="n">
        <f aca="false">Reference_Values!B27</f>
        <v>122.5</v>
      </c>
      <c r="D27" s="21" t="n">
        <f aca="false">ABS(B27-C27)</f>
        <v>0</v>
      </c>
      <c r="E27" s="36" t="n">
        <v>1E-009</v>
      </c>
      <c r="F27" s="4" t="str">
        <f aca="false">IF(D27&lt;=E27,"PASS","FAIL")</f>
        <v>PASS</v>
      </c>
    </row>
    <row r="28" customFormat="false" ht="15" hidden="false" customHeight="false" outlineLevel="0" collapsed="false">
      <c r="A28" s="2" t="s">
        <v>534</v>
      </c>
      <c r="B28" s="12" t="n">
        <f aca="false">Frontier!M12</f>
        <v>2.5</v>
      </c>
      <c r="C28" s="20" t="n">
        <f aca="false">Reference_Values!B28</f>
        <v>2.5</v>
      </c>
      <c r="D28" s="21" t="n">
        <f aca="false">ABS(B28-C28)</f>
        <v>0</v>
      </c>
      <c r="E28" s="36" t="n">
        <v>1E-009</v>
      </c>
      <c r="F28" s="4" t="str">
        <f aca="false">IF(D28&lt;=E28,"PASS","FAIL")</f>
        <v>PASS</v>
      </c>
    </row>
    <row r="29" customFormat="false" ht="15" hidden="false" customHeight="false" outlineLevel="0" collapsed="false">
      <c r="A29" s="2" t="s">
        <v>535</v>
      </c>
      <c r="B29" s="12" t="n">
        <f aca="false">Frontier!H17</f>
        <v>485</v>
      </c>
      <c r="C29" s="20" t="n">
        <f aca="false">Reference_Values!B29</f>
        <v>485</v>
      </c>
      <c r="D29" s="21" t="n">
        <f aca="false">ABS(B29-C29)</f>
        <v>0</v>
      </c>
      <c r="E29" s="36" t="n">
        <v>1E-009</v>
      </c>
      <c r="F29" s="4" t="str">
        <f aca="false">IF(D29&lt;=E29,"PASS","FAIL")</f>
        <v>PASS</v>
      </c>
    </row>
    <row r="30" customFormat="false" ht="15" hidden="false" customHeight="false" outlineLevel="0" collapsed="false">
      <c r="A30" s="2" t="s">
        <v>537</v>
      </c>
      <c r="B30" s="12" t="n">
        <f aca="false">Frontier!I17</f>
        <v>470</v>
      </c>
      <c r="C30" s="20" t="n">
        <f aca="false">Reference_Values!B30</f>
        <v>470</v>
      </c>
      <c r="D30" s="21" t="n">
        <f aca="false">ABS(B30-C30)</f>
        <v>0</v>
      </c>
      <c r="E30" s="36" t="n">
        <v>1E-009</v>
      </c>
      <c r="F30" s="4" t="str">
        <f aca="false">IF(D30&lt;=E30,"PASS","FAIL")</f>
        <v>PASS</v>
      </c>
    </row>
    <row r="31" customFormat="false" ht="15" hidden="false" customHeight="false" outlineLevel="0" collapsed="false">
      <c r="A31" s="2" t="s">
        <v>538</v>
      </c>
      <c r="B31" s="12" t="n">
        <f aca="false">Frontier!J17</f>
        <v>350</v>
      </c>
      <c r="C31" s="20" t="n">
        <f aca="false">Reference_Values!B31</f>
        <v>350</v>
      </c>
      <c r="D31" s="21" t="n">
        <f aca="false">ABS(B31-C31)</f>
        <v>0</v>
      </c>
      <c r="E31" s="36" t="n">
        <v>1E-009</v>
      </c>
      <c r="F31" s="4" t="str">
        <f aca="false">IF(D31&lt;=E31,"PASS","FAIL")</f>
        <v>PASS</v>
      </c>
    </row>
    <row r="32" customFormat="false" ht="15" hidden="false" customHeight="false" outlineLevel="0" collapsed="false">
      <c r="A32" s="2" t="s">
        <v>539</v>
      </c>
      <c r="B32" s="12" t="n">
        <f aca="false">Frontier!K17</f>
        <v>350</v>
      </c>
      <c r="C32" s="20" t="n">
        <f aca="false">Reference_Values!B32</f>
        <v>350</v>
      </c>
      <c r="D32" s="21" t="n">
        <f aca="false">ABS(B32-C32)</f>
        <v>0</v>
      </c>
      <c r="E32" s="36" t="n">
        <v>1E-009</v>
      </c>
      <c r="F32" s="4" t="str">
        <f aca="false">IF(D32&lt;=E32,"PASS","FAIL")</f>
        <v>PASS</v>
      </c>
    </row>
    <row r="33" customFormat="false" ht="15" hidden="false" customHeight="false" outlineLevel="0" collapsed="false">
      <c r="A33" s="2" t="s">
        <v>540</v>
      </c>
      <c r="B33" s="12" t="n">
        <f aca="false">Frontier!L17</f>
        <v>350</v>
      </c>
      <c r="C33" s="20" t="n">
        <f aca="false">Reference_Values!B33</f>
        <v>350</v>
      </c>
      <c r="D33" s="21" t="n">
        <f aca="false">ABS(B33-C33)</f>
        <v>0</v>
      </c>
      <c r="E33" s="36" t="n">
        <v>1E-009</v>
      </c>
      <c r="F33" s="4" t="str">
        <f aca="false">IF(D33&lt;=E33,"PASS","FAIL")</f>
        <v>PASS</v>
      </c>
    </row>
    <row r="34" customFormat="false" ht="15" hidden="false" customHeight="false" outlineLevel="0" collapsed="false">
      <c r="A34" s="2" t="s">
        <v>541</v>
      </c>
      <c r="B34" s="12" t="n">
        <f aca="false">Frontier!M17</f>
        <v>470</v>
      </c>
      <c r="C34" s="20" t="n">
        <f aca="false">Reference_Values!B34</f>
        <v>470</v>
      </c>
      <c r="D34" s="21" t="n">
        <f aca="false">ABS(B34-C34)</f>
        <v>0</v>
      </c>
      <c r="E34" s="36" t="n">
        <v>1E-009</v>
      </c>
      <c r="F34" s="4" t="str">
        <f aca="false">IF(D34&lt;=E34,"PASS","FAIL")</f>
        <v>PASS</v>
      </c>
    </row>
    <row r="35" customFormat="false" ht="15" hidden="false" customHeight="false" outlineLevel="0" collapsed="false">
      <c r="A35" s="2" t="s">
        <v>542</v>
      </c>
      <c r="B35" s="12" t="n">
        <f aca="false">Frontier!B18</f>
        <v>455</v>
      </c>
      <c r="C35" s="20" t="n">
        <f aca="false">Reference_Values!B35</f>
        <v>455</v>
      </c>
      <c r="D35" s="21" t="n">
        <f aca="false">ABS(B35-C35)</f>
        <v>0</v>
      </c>
      <c r="E35" s="36" t="n">
        <v>1E-009</v>
      </c>
      <c r="F35" s="4" t="str">
        <f aca="false">IF(D35&lt;=E35,"PASS","FAIL")</f>
        <v>PASS</v>
      </c>
    </row>
    <row r="36" customFormat="false" ht="15" hidden="false" customHeight="false" outlineLevel="0" collapsed="false">
      <c r="A36" s="2" t="s">
        <v>544</v>
      </c>
      <c r="B36" s="12" t="n">
        <f aca="false">Frontier!B19</f>
        <v>1</v>
      </c>
      <c r="C36" s="20" t="n">
        <f aca="false">Reference_Values!B36</f>
        <v>1</v>
      </c>
      <c r="D36" s="21" t="n">
        <f aca="false">ABS(B36-C36)</f>
        <v>0</v>
      </c>
      <c r="E36" s="36" t="n">
        <v>0</v>
      </c>
      <c r="F36" s="4" t="str">
        <f aca="false">IF(D36&lt;=E36,"PASS","FAIL")</f>
        <v>PASS</v>
      </c>
    </row>
    <row r="37" customFormat="false" ht="15" hidden="false" customHeight="false" outlineLevel="0" collapsed="false">
      <c r="A37" s="2" t="s">
        <v>546</v>
      </c>
      <c r="B37" s="12" t="n">
        <f aca="false">Frontier!B47</f>
        <v>384.173336396545</v>
      </c>
      <c r="C37" s="20" t="n">
        <f aca="false">Reference_Values!B37</f>
        <v>384.173336396545</v>
      </c>
      <c r="D37" s="21" t="n">
        <f aca="false">ABS(B37-C37)</f>
        <v>0</v>
      </c>
      <c r="E37" s="36" t="n">
        <v>1E-009</v>
      </c>
      <c r="F37" s="4" t="str">
        <f aca="false">IF(D37&lt;=E37,"PASS","FAIL")</f>
        <v>PASS</v>
      </c>
    </row>
    <row r="38" customFormat="false" ht="15" hidden="false" customHeight="false" outlineLevel="0" collapsed="false">
      <c r="A38" s="2" t="s">
        <v>548</v>
      </c>
      <c r="B38" s="12" t="n">
        <f aca="false">Frontier!B48</f>
        <v>137.8125</v>
      </c>
      <c r="C38" s="20" t="n">
        <f aca="false">Reference_Values!B38</f>
        <v>137.8125</v>
      </c>
      <c r="D38" s="21" t="n">
        <f aca="false">ABS(B38-C38)</f>
        <v>0</v>
      </c>
      <c r="E38" s="36" t="n">
        <v>1E-009</v>
      </c>
      <c r="F38" s="4" t="str">
        <f aca="false">IF(D38&lt;=E38,"PASS","FAIL")</f>
        <v>PASS</v>
      </c>
    </row>
    <row r="39" customFormat="false" ht="15" hidden="false" customHeight="false" outlineLevel="0" collapsed="false">
      <c r="A39" s="2" t="s">
        <v>550</v>
      </c>
      <c r="B39" s="12" t="n">
        <f aca="false">1-Frontier!B49</f>
        <v>1</v>
      </c>
      <c r="C39" s="20" t="n">
        <f aca="false">Reference_Values!B39</f>
        <v>1</v>
      </c>
      <c r="D39" s="21" t="n">
        <f aca="false">ABS(B39-C39)</f>
        <v>0</v>
      </c>
      <c r="E39" s="36" t="n">
        <v>0</v>
      </c>
      <c r="F39" s="4" t="str">
        <f aca="false">IF(D39&lt;=E39,"PASS","FAIL")</f>
        <v>PASS</v>
      </c>
    </row>
    <row r="40" customFormat="false" ht="15" hidden="false" customHeight="false" outlineLevel="0" collapsed="false">
      <c r="A40" s="2" t="s">
        <v>552</v>
      </c>
      <c r="B40" s="12" t="n">
        <f aca="false">Frontier!B53</f>
        <v>330.451985565273</v>
      </c>
      <c r="C40" s="20" t="n">
        <f aca="false">Reference_Values!B40</f>
        <v>330.451985565273</v>
      </c>
      <c r="D40" s="21" t="n">
        <f aca="false">ABS(B40-C40)</f>
        <v>0</v>
      </c>
      <c r="E40" s="36" t="n">
        <v>1E-009</v>
      </c>
      <c r="F40" s="4" t="str">
        <f aca="false">IF(D40&lt;=E40,"PASS","FAIL")</f>
        <v>PASS</v>
      </c>
    </row>
    <row r="41" customFormat="false" ht="15" hidden="false" customHeight="false" outlineLevel="0" collapsed="false">
      <c r="A41" s="2" t="s">
        <v>554</v>
      </c>
      <c r="B41" s="12" t="n">
        <f aca="false">Frontier!B55</f>
        <v>284.997440110727</v>
      </c>
      <c r="C41" s="20" t="n">
        <f aca="false">Reference_Values!B41</f>
        <v>284.997440110727</v>
      </c>
      <c r="D41" s="21" t="n">
        <f aca="false">ABS(B41-C41)</f>
        <v>0</v>
      </c>
      <c r="E41" s="36" t="n">
        <v>1E-009</v>
      </c>
      <c r="F41" s="4" t="str">
        <f aca="false">IF(D41&lt;=E41,"PASS","FAIL")</f>
        <v>PASS</v>
      </c>
    </row>
    <row r="42" customFormat="false" ht="15" hidden="false" customHeight="false" outlineLevel="0" collapsed="false">
      <c r="A42" s="2" t="s">
        <v>556</v>
      </c>
      <c r="B42" s="12" t="n">
        <f aca="false">Frontier!C22</f>
        <v>53.7213508312725</v>
      </c>
      <c r="C42" s="20" t="n">
        <f aca="false">Reference_Values!B42</f>
        <v>53.7213508312725</v>
      </c>
      <c r="D42" s="21" t="n">
        <f aca="false">ABS(B42-C42)</f>
        <v>0</v>
      </c>
      <c r="E42" s="36" t="n">
        <v>1E-009</v>
      </c>
      <c r="F42" s="4" t="str">
        <f aca="false">IF(D42&lt;=E42,"PASS","FAIL")</f>
        <v>PASS</v>
      </c>
    </row>
    <row r="43" customFormat="false" ht="15" hidden="false" customHeight="false" outlineLevel="0" collapsed="false">
      <c r="A43" s="2" t="s">
        <v>558</v>
      </c>
      <c r="B43" s="12" t="n">
        <f aca="false">Frontier!D22</f>
        <v>17.5</v>
      </c>
      <c r="C43" s="20" t="n">
        <f aca="false">Reference_Values!B43</f>
        <v>17.5</v>
      </c>
      <c r="D43" s="21" t="n">
        <f aca="false">ABS(B43-C43)</f>
        <v>0</v>
      </c>
      <c r="E43" s="36" t="n">
        <v>1E-009</v>
      </c>
      <c r="F43" s="4" t="str">
        <f aca="false">IF(D43&lt;=E43,"PASS","FAIL")</f>
        <v>PASS</v>
      </c>
    </row>
    <row r="44" customFormat="false" ht="15" hidden="false" customHeight="false" outlineLevel="0" collapsed="false">
      <c r="A44" s="2" t="s">
        <v>559</v>
      </c>
      <c r="B44" s="12" t="n">
        <f aca="false">Frontier!E22</f>
        <v>3.06979147607271</v>
      </c>
      <c r="C44" s="20" t="n">
        <f aca="false">Reference_Values!B44</f>
        <v>3.06979147607271</v>
      </c>
      <c r="D44" s="21" t="n">
        <f aca="false">ABS(B44-C44)</f>
        <v>0</v>
      </c>
      <c r="E44" s="36" t="n">
        <v>1E-009</v>
      </c>
      <c r="F44" s="4" t="str">
        <f aca="false">IF(D44&lt;=E44,"PASS","FAIL")</f>
        <v>PASS</v>
      </c>
    </row>
    <row r="45" customFormat="false" ht="15" hidden="false" customHeight="false" outlineLevel="0" collapsed="false">
      <c r="A45" s="2" t="s">
        <v>561</v>
      </c>
      <c r="B45" s="12" t="n">
        <f aca="false">Frontier!C23</f>
        <v>69.5714118791281</v>
      </c>
      <c r="C45" s="20" t="n">
        <f aca="false">Reference_Values!B45</f>
        <v>69.5714118791281</v>
      </c>
      <c r="D45" s="21" t="n">
        <f aca="false">ABS(B45-C45)</f>
        <v>0</v>
      </c>
      <c r="E45" s="36" t="n">
        <v>1E-009</v>
      </c>
      <c r="F45" s="4" t="str">
        <f aca="false">IF(D45&lt;=E45,"PASS","FAIL")</f>
        <v>PASS</v>
      </c>
    </row>
    <row r="46" customFormat="false" ht="15" hidden="false" customHeight="false" outlineLevel="0" collapsed="false">
      <c r="A46" s="2" t="s">
        <v>562</v>
      </c>
      <c r="B46" s="12" t="n">
        <f aca="false">Frontier!D23</f>
        <v>8.75</v>
      </c>
      <c r="C46" s="20" t="n">
        <f aca="false">Reference_Values!B46</f>
        <v>8.75</v>
      </c>
      <c r="D46" s="21" t="n">
        <f aca="false">ABS(B46-C46)</f>
        <v>0</v>
      </c>
      <c r="E46" s="36" t="n">
        <v>1E-009</v>
      </c>
      <c r="F46" s="4" t="str">
        <f aca="false">IF(D46&lt;=E46,"PASS","FAIL")</f>
        <v>PASS</v>
      </c>
    </row>
    <row r="47" customFormat="false" ht="15" hidden="false" customHeight="false" outlineLevel="0" collapsed="false">
      <c r="A47" s="2" t="s">
        <v>563</v>
      </c>
      <c r="B47" s="12" t="n">
        <f aca="false">Frontier!E23</f>
        <v>7.95101850047178</v>
      </c>
      <c r="C47" s="20" t="n">
        <f aca="false">Reference_Values!B47</f>
        <v>7.95101850047178</v>
      </c>
      <c r="D47" s="21" t="n">
        <f aca="false">ABS(B47-C47)</f>
        <v>0</v>
      </c>
      <c r="E47" s="36" t="n">
        <v>1E-009</v>
      </c>
      <c r="F47" s="4" t="str">
        <f aca="false">IF(D47&lt;=E47,"PASS","FAIL")</f>
        <v>PASS</v>
      </c>
    </row>
    <row r="48" customFormat="false" ht="15" hidden="false" customHeight="false" outlineLevel="0" collapsed="false">
      <c r="A48" s="2" t="s">
        <v>564</v>
      </c>
      <c r="B48" s="12" t="n">
        <f aca="false">Frontier!C24</f>
        <v>74.0589796230556</v>
      </c>
      <c r="C48" s="20" t="n">
        <f aca="false">Reference_Values!B48</f>
        <v>74.0589796230556</v>
      </c>
      <c r="D48" s="21" t="n">
        <f aca="false">ABS(B48-C48)</f>
        <v>0</v>
      </c>
      <c r="E48" s="36" t="n">
        <v>1E-009</v>
      </c>
      <c r="F48" s="4" t="str">
        <f aca="false">IF(D48&lt;=E48,"PASS","FAIL")</f>
        <v>PASS</v>
      </c>
    </row>
    <row r="49" customFormat="false" ht="15" hidden="false" customHeight="false" outlineLevel="0" collapsed="false">
      <c r="A49" s="2" t="s">
        <v>565</v>
      </c>
      <c r="B49" s="12" t="n">
        <f aca="false">Frontier!D24</f>
        <v>4.375</v>
      </c>
      <c r="C49" s="20" t="n">
        <f aca="false">Reference_Values!B49</f>
        <v>4.375</v>
      </c>
      <c r="D49" s="21" t="n">
        <f aca="false">ABS(B49-C49)</f>
        <v>0</v>
      </c>
      <c r="E49" s="36" t="n">
        <v>1E-009</v>
      </c>
      <c r="F49" s="4" t="str">
        <f aca="false">IF(D49&lt;=E49,"PASS","FAIL")</f>
        <v>PASS</v>
      </c>
    </row>
    <row r="50" customFormat="false" ht="15" hidden="false" customHeight="false" outlineLevel="0" collapsed="false">
      <c r="A50" s="2" t="s">
        <v>566</v>
      </c>
      <c r="B50" s="12" t="n">
        <f aca="false">Frontier!E24</f>
        <v>16.9277667709841</v>
      </c>
      <c r="C50" s="20" t="n">
        <f aca="false">Reference_Values!B50</f>
        <v>16.9277667709841</v>
      </c>
      <c r="D50" s="21" t="n">
        <f aca="false">ABS(B50-C50)</f>
        <v>0</v>
      </c>
      <c r="E50" s="36" t="n">
        <v>1E-009</v>
      </c>
      <c r="F50" s="4" t="str">
        <f aca="false">IF(D50&lt;=E50,"PASS","FAIL")</f>
        <v>PASS</v>
      </c>
    </row>
    <row r="51" customFormat="false" ht="15" hidden="false" customHeight="false" outlineLevel="0" collapsed="false">
      <c r="A51" s="2" t="s">
        <v>567</v>
      </c>
      <c r="B51" s="12" t="n">
        <f aca="false">Frontier!C25</f>
        <v>80.2300908633685</v>
      </c>
      <c r="C51" s="20" t="n">
        <f aca="false">Reference_Values!B51</f>
        <v>80.2300908633685</v>
      </c>
      <c r="D51" s="21" t="n">
        <f aca="false">ABS(B51-C51)</f>
        <v>0</v>
      </c>
      <c r="E51" s="36" t="n">
        <v>1E-009</v>
      </c>
      <c r="F51" s="4" t="str">
        <f aca="false">IF(D51&lt;=E51,"PASS","FAIL")</f>
        <v>PASS</v>
      </c>
    </row>
    <row r="52" customFormat="false" ht="15" hidden="false" customHeight="false" outlineLevel="0" collapsed="false">
      <c r="A52" s="2" t="s">
        <v>568</v>
      </c>
      <c r="B52" s="12" t="n">
        <f aca="false">Frontier!D25</f>
        <v>2.1875</v>
      </c>
      <c r="C52" s="20" t="n">
        <f aca="false">Reference_Values!B52</f>
        <v>2.1875</v>
      </c>
      <c r="D52" s="21" t="n">
        <f aca="false">ABS(B52-C52)</f>
        <v>0</v>
      </c>
      <c r="E52" s="36" t="n">
        <v>1E-009</v>
      </c>
      <c r="F52" s="4" t="str">
        <f aca="false">IF(D52&lt;=E52,"PASS","FAIL")</f>
        <v>PASS</v>
      </c>
    </row>
    <row r="53" customFormat="false" ht="15" hidden="false" customHeight="false" outlineLevel="0" collapsed="false">
      <c r="A53" s="2" t="s">
        <v>569</v>
      </c>
      <c r="B53" s="12" t="n">
        <f aca="false">Frontier!E25</f>
        <v>36.6766129661113</v>
      </c>
      <c r="C53" s="20" t="n">
        <f aca="false">Reference_Values!B53</f>
        <v>36.6766129661113</v>
      </c>
      <c r="D53" s="21" t="n">
        <f aca="false">ABS(B53-C53)</f>
        <v>0</v>
      </c>
      <c r="E53" s="36" t="n">
        <v>1E-009</v>
      </c>
      <c r="F53" s="4" t="str">
        <f aca="false">IF(D53&lt;=E53,"PASS","FAIL")</f>
        <v>PASS</v>
      </c>
    </row>
    <row r="54" customFormat="false" ht="15" hidden="false" customHeight="false" outlineLevel="0" collapsed="false">
      <c r="A54" s="2" t="s">
        <v>570</v>
      </c>
      <c r="B54" s="12" t="n">
        <f aca="false">Frontier!B26</f>
        <v>1</v>
      </c>
      <c r="C54" s="20" t="n">
        <f aca="false">Reference_Values!B54</f>
        <v>1</v>
      </c>
      <c r="D54" s="21" t="n">
        <f aca="false">ABS(B54-C54)</f>
        <v>0</v>
      </c>
      <c r="E54" s="36" t="n">
        <v>0</v>
      </c>
      <c r="F54" s="4" t="str">
        <f aca="false">IF(D54&lt;=E54,"PASS","FAIL")</f>
        <v>PASS</v>
      </c>
    </row>
    <row r="55" customFormat="false" ht="15" hidden="false" customHeight="false" outlineLevel="0" collapsed="false">
      <c r="A55" s="2" t="s">
        <v>572</v>
      </c>
      <c r="B55" s="12" t="n">
        <f aca="false">Frontier!G11</f>
        <v>976.870962953011</v>
      </c>
      <c r="C55" s="20" t="n">
        <f aca="false">Reference_Values!B55</f>
        <v>976.870962953011</v>
      </c>
      <c r="D55" s="21" t="n">
        <f aca="false">ABS(B55-C55)</f>
        <v>0</v>
      </c>
      <c r="E55" s="36" t="n">
        <v>1E-009</v>
      </c>
      <c r="F55" s="4" t="str">
        <f aca="false">IF(D55&lt;=E55,"PASS","FAIL")</f>
        <v>PASS</v>
      </c>
    </row>
    <row r="56" customFormat="false" ht="15" hidden="false" customHeight="false" outlineLevel="0" collapsed="false">
      <c r="A56" s="2" t="s">
        <v>573</v>
      </c>
      <c r="B56" s="12" t="n">
        <f aca="false">Frontier!G12</f>
        <v>1021.93254988115</v>
      </c>
      <c r="C56" s="20" t="n">
        <f aca="false">Reference_Values!B56</f>
        <v>1021.93254988115</v>
      </c>
      <c r="D56" s="21" t="n">
        <f aca="false">ABS(B56-C56)</f>
        <v>0</v>
      </c>
      <c r="E56" s="36" t="n">
        <v>1E-009</v>
      </c>
      <c r="F56" s="4" t="str">
        <f aca="false">IF(D56&lt;=E56,"PASS","FAIL")</f>
        <v>PASS</v>
      </c>
    </row>
    <row r="57" customFormat="false" ht="15" hidden="false" customHeight="false" outlineLevel="0" collapsed="false">
      <c r="A57" s="2" t="s">
        <v>574</v>
      </c>
      <c r="B57" s="12" t="n">
        <f aca="false">Frontier!G13</f>
        <v>1001.75260688173</v>
      </c>
      <c r="C57" s="20" t="n">
        <f aca="false">Reference_Values!B57</f>
        <v>1001.75260688173</v>
      </c>
      <c r="D57" s="21" t="n">
        <f aca="false">ABS(B57-C57)</f>
        <v>0</v>
      </c>
      <c r="E57" s="36" t="n">
        <v>1E-009</v>
      </c>
      <c r="F57" s="4" t="str">
        <f aca="false">IF(D57&lt;=E57,"PASS","FAIL")</f>
        <v>PASS</v>
      </c>
    </row>
    <row r="58" customFormat="false" ht="15" hidden="false" customHeight="false" outlineLevel="0" collapsed="false">
      <c r="A58" s="2" t="s">
        <v>575</v>
      </c>
      <c r="B58" s="12" t="n">
        <f aca="false">Frontier!G14</f>
        <v>952.389361698525</v>
      </c>
      <c r="C58" s="20" t="n">
        <f aca="false">Reference_Values!B58</f>
        <v>952.389361698525</v>
      </c>
      <c r="D58" s="21" t="n">
        <f aca="false">ABS(B58-C58)</f>
        <v>0</v>
      </c>
      <c r="E58" s="36" t="n">
        <v>1E-009</v>
      </c>
      <c r="F58" s="4" t="str">
        <f aca="false">IF(D58&lt;=E58,"PASS","FAIL")</f>
        <v>PASS</v>
      </c>
    </row>
    <row r="59" customFormat="false" ht="15" hidden="false" customHeight="false" outlineLevel="0" collapsed="false">
      <c r="A59" s="2" t="s">
        <v>576</v>
      </c>
      <c r="B59" s="12" t="n">
        <f aca="false">Frontier!G15</f>
        <v>884.507138055082</v>
      </c>
      <c r="C59" s="20" t="n">
        <f aca="false">Reference_Values!B59</f>
        <v>884.507138055082</v>
      </c>
      <c r="D59" s="21" t="n">
        <f aca="false">ABS(B59-C59)</f>
        <v>0</v>
      </c>
      <c r="E59" s="36" t="n">
        <v>1E-009</v>
      </c>
      <c r="F59" s="4" t="str">
        <f aca="false">IF(D59&lt;=E59,"PASS","FAIL")</f>
        <v>PASS</v>
      </c>
    </row>
    <row r="60" customFormat="false" ht="15" hidden="false" customHeight="false" outlineLevel="0" collapsed="false">
      <c r="A60" s="2" t="s">
        <v>577</v>
      </c>
      <c r="B60" s="12" t="n">
        <f aca="false">Frontier!B39</f>
        <v>3</v>
      </c>
      <c r="C60" s="20" t="n">
        <f aca="false">Reference_Values!B60</f>
        <v>3</v>
      </c>
      <c r="D60" s="21" t="n">
        <f aca="false">ABS(B60-C60)</f>
        <v>0</v>
      </c>
      <c r="E60" s="36" t="n">
        <v>0</v>
      </c>
      <c r="F60" s="4" t="str">
        <f aca="false">IF(D60&lt;=E60,"PASS","FAIL")</f>
        <v>PASS</v>
      </c>
    </row>
    <row r="61" customFormat="false" ht="15" hidden="false" customHeight="false" outlineLevel="0" collapsed="false">
      <c r="A61" s="2" t="s">
        <v>579</v>
      </c>
      <c r="B61" s="12" t="n">
        <f aca="false">Reserve!B7</f>
        <v>0.909090909090908</v>
      </c>
      <c r="C61" s="20" t="n">
        <f aca="false">Reference_Values!B61</f>
        <v>0.909090909090909</v>
      </c>
      <c r="D61" s="21" t="n">
        <f aca="false">ABS(B61-C61)</f>
        <v>0</v>
      </c>
      <c r="E61" s="36" t="n">
        <v>1E-009</v>
      </c>
      <c r="F61" s="4" t="str">
        <f aca="false">IF(D61&lt;=E61,"PASS","FAIL")</f>
        <v>PASS</v>
      </c>
    </row>
    <row r="62" customFormat="false" ht="15" hidden="false" customHeight="false" outlineLevel="0" collapsed="false">
      <c r="A62" s="2" t="s">
        <v>581</v>
      </c>
      <c r="B62" s="12" t="n">
        <f aca="false">Reserve!B8</f>
        <v>0.90909090909091</v>
      </c>
      <c r="C62" s="20" t="n">
        <f aca="false">Reference_Values!B62</f>
        <v>0.909090909090909</v>
      </c>
      <c r="D62" s="21" t="n">
        <f aca="false">ABS(B62-C62)</f>
        <v>0</v>
      </c>
      <c r="E62" s="36" t="n">
        <v>1E-009</v>
      </c>
      <c r="F62" s="4" t="str">
        <f aca="false">IF(D62&lt;=E62,"PASS","FAIL")</f>
        <v>PASS</v>
      </c>
    </row>
    <row r="63" customFormat="false" ht="15" hidden="false" customHeight="false" outlineLevel="0" collapsed="false">
      <c r="A63" s="2" t="s">
        <v>236</v>
      </c>
      <c r="B63" s="12" t="n">
        <f aca="false">Reserve!B4</f>
        <v>0.909090909090909</v>
      </c>
      <c r="C63" s="20" t="n">
        <f aca="false">Reference_Values!B63</f>
        <v>0.909090909090909</v>
      </c>
      <c r="D63" s="21" t="n">
        <f aca="false">ABS(B63-C63)</f>
        <v>0</v>
      </c>
      <c r="E63" s="36" t="n">
        <v>1E-012</v>
      </c>
      <c r="F63" s="4" t="str">
        <f aca="false">IF(D63&lt;=E63,"PASS","FAIL")</f>
        <v>PASS</v>
      </c>
    </row>
    <row r="64" customFormat="false" ht="15" hidden="false" customHeight="false" outlineLevel="0" collapsed="false">
      <c r="A64" s="2" t="s">
        <v>251</v>
      </c>
      <c r="B64" s="12" t="n">
        <f aca="false">Reserve!B14</f>
        <v>570</v>
      </c>
      <c r="C64" s="20" t="n">
        <f aca="false">Reference_Values!B64</f>
        <v>570</v>
      </c>
      <c r="D64" s="21" t="n">
        <f aca="false">ABS(B64-C64)</f>
        <v>0</v>
      </c>
      <c r="E64" s="36" t="n">
        <v>1E-009</v>
      </c>
      <c r="F64" s="4" t="str">
        <f aca="false">IF(D64&lt;=E64,"PASS","FAIL")</f>
        <v>PASS</v>
      </c>
    </row>
    <row r="65" customFormat="false" ht="15" hidden="false" customHeight="false" outlineLevel="0" collapsed="false">
      <c r="A65" s="2" t="s">
        <v>585</v>
      </c>
      <c r="B65" s="12" t="n">
        <f aca="false">Reserve!B15</f>
        <v>100</v>
      </c>
      <c r="C65" s="20" t="n">
        <f aca="false">Reference_Values!B65</f>
        <v>100</v>
      </c>
      <c r="D65" s="21" t="n">
        <f aca="false">ABS(B65-C65)</f>
        <v>0</v>
      </c>
      <c r="E65" s="36" t="n">
        <v>1E-009</v>
      </c>
      <c r="F65" s="4" t="str">
        <f aca="false">IF(D65&lt;=E65,"PASS","FAIL")</f>
        <v>PASS</v>
      </c>
    </row>
    <row r="66" customFormat="false" ht="15" hidden="false" customHeight="false" outlineLevel="0" collapsed="false">
      <c r="A66" s="2" t="s">
        <v>255</v>
      </c>
      <c r="B66" s="12" t="n">
        <f aca="false">Reserve!B16</f>
        <v>555</v>
      </c>
      <c r="C66" s="20" t="n">
        <f aca="false">Reference_Values!B66</f>
        <v>555</v>
      </c>
      <c r="D66" s="21" t="n">
        <f aca="false">ABS(B66-C66)</f>
        <v>0</v>
      </c>
      <c r="E66" s="36" t="n">
        <v>1E-009</v>
      </c>
      <c r="F66" s="4" t="str">
        <f aca="false">IF(D66&lt;=E66,"PASS","FAIL")</f>
        <v>PASS</v>
      </c>
    </row>
    <row r="67" customFormat="false" ht="15" hidden="false" customHeight="false" outlineLevel="0" collapsed="false">
      <c r="A67" s="2" t="s">
        <v>588</v>
      </c>
      <c r="B67" s="12" t="n">
        <f aca="false">Reserve!B17</f>
        <v>85</v>
      </c>
      <c r="C67" s="20" t="n">
        <f aca="false">Reference_Values!B67</f>
        <v>85</v>
      </c>
      <c r="D67" s="21" t="n">
        <f aca="false">ABS(B67-C67)</f>
        <v>0</v>
      </c>
      <c r="E67" s="36" t="n">
        <v>1E-009</v>
      </c>
      <c r="F67" s="4" t="str">
        <f aca="false">IF(D67&lt;=E67,"PASS","FAIL")</f>
        <v>PASS</v>
      </c>
    </row>
    <row r="68" customFormat="false" ht="15" hidden="false" customHeight="false" outlineLevel="0" collapsed="false">
      <c r="A68" s="2" t="s">
        <v>590</v>
      </c>
      <c r="B68" s="12" t="n">
        <f aca="false">Reserve!B18</f>
        <v>150</v>
      </c>
      <c r="C68" s="20" t="n">
        <f aca="false">Reference_Values!B68</f>
        <v>150</v>
      </c>
      <c r="D68" s="21" t="n">
        <f aca="false">ABS(B68-C68)</f>
        <v>0</v>
      </c>
      <c r="E68" s="36" t="n">
        <v>1E-009</v>
      </c>
      <c r="F68" s="4" t="str">
        <f aca="false">IF(D68&lt;=E68,"PASS","FAIL")</f>
        <v>PASS</v>
      </c>
    </row>
    <row r="69" customFormat="false" ht="15" hidden="false" customHeight="false" outlineLevel="0" collapsed="false">
      <c r="A69" s="2" t="s">
        <v>592</v>
      </c>
      <c r="B69" s="12" t="n">
        <f aca="false">Reserve!J24</f>
        <v>86</v>
      </c>
      <c r="C69" s="20" t="n">
        <f aca="false">Reference_Values!B69</f>
        <v>86</v>
      </c>
      <c r="D69" s="21" t="n">
        <f aca="false">ABS(B69-C69)</f>
        <v>0</v>
      </c>
      <c r="E69" s="36" t="n">
        <v>0</v>
      </c>
      <c r="F69" s="4" t="str">
        <f aca="false">IF(D69&lt;=E69,"PASS","FAIL")</f>
        <v>PASS</v>
      </c>
    </row>
    <row r="70" customFormat="false" ht="15" hidden="false" customHeight="false" outlineLevel="0" collapsed="false">
      <c r="A70" s="2" t="s">
        <v>594</v>
      </c>
      <c r="B70" s="12" t="n">
        <f aca="false">Reserve!J25</f>
        <v>101</v>
      </c>
      <c r="C70" s="20" t="n">
        <f aca="false">Reference_Values!B70</f>
        <v>101</v>
      </c>
      <c r="D70" s="21" t="n">
        <f aca="false">ABS(B70-C70)</f>
        <v>0</v>
      </c>
      <c r="E70" s="36" t="n">
        <v>0</v>
      </c>
      <c r="F70" s="4" t="str">
        <f aca="false">IF(D70&lt;=E70,"PASS","FAIL")</f>
        <v>PASS</v>
      </c>
    </row>
    <row r="71" customFormat="false" ht="15" hidden="false" customHeight="false" outlineLevel="0" collapsed="false">
      <c r="A71" s="2" t="s">
        <v>596</v>
      </c>
      <c r="B71" s="12" t="n">
        <f aca="false">Reserve!J33</f>
        <v>307.724712838</v>
      </c>
      <c r="C71" s="20" t="n">
        <f aca="false">Reference_Values!B71</f>
        <v>307.724712838</v>
      </c>
      <c r="D71" s="21" t="n">
        <f aca="false">ABS(B71-C71)</f>
        <v>0</v>
      </c>
      <c r="E71" s="36" t="n">
        <v>1E-009</v>
      </c>
      <c r="F71" s="4" t="str">
        <f aca="false">IF(D71&lt;=E71,"PASS","FAIL")</f>
        <v>PASS</v>
      </c>
    </row>
    <row r="72" customFormat="false" ht="15" hidden="false" customHeight="false" outlineLevel="0" collapsed="false">
      <c r="A72" s="2" t="s">
        <v>597</v>
      </c>
      <c r="B72" s="12" t="n">
        <f aca="false">Reserve!J34</f>
        <v>284.997440110727</v>
      </c>
      <c r="C72" s="20" t="n">
        <f aca="false">Reference_Values!B72</f>
        <v>284.997440110727</v>
      </c>
      <c r="D72" s="21" t="n">
        <f aca="false">ABS(B72-C72)</f>
        <v>0</v>
      </c>
      <c r="E72" s="36" t="n">
        <v>1E-009</v>
      </c>
      <c r="F72" s="4" t="str">
        <f aca="false">IF(D72&lt;=E72,"PASS","FAIL")</f>
        <v>PASS</v>
      </c>
    </row>
    <row r="73" customFormat="false" ht="15" hidden="false" customHeight="false" outlineLevel="0" collapsed="false">
      <c r="A73" s="2" t="s">
        <v>598</v>
      </c>
      <c r="B73" s="12" t="n">
        <f aca="false">Reserve!J35</f>
        <v>253.179258292545</v>
      </c>
      <c r="C73" s="20" t="n">
        <f aca="false">Reference_Values!B73</f>
        <v>253.179258292545</v>
      </c>
      <c r="D73" s="21" t="n">
        <f aca="false">ABS(B73-C73)</f>
        <v>0</v>
      </c>
      <c r="E73" s="36" t="n">
        <v>1E-009</v>
      </c>
      <c r="F73" s="4" t="str">
        <f aca="false">IF(D73&lt;=E73,"PASS","FAIL")</f>
        <v>PASS</v>
      </c>
    </row>
    <row r="74" customFormat="false" ht="15" hidden="false" customHeight="false" outlineLevel="0" collapsed="false">
      <c r="A74" s="2" t="s">
        <v>599</v>
      </c>
      <c r="B74" s="12" t="n">
        <f aca="false">Reserve!J36</f>
        <v>248.250633198631</v>
      </c>
      <c r="C74" s="20" t="n">
        <f aca="false">Reference_Values!B74</f>
        <v>248.250633198631</v>
      </c>
      <c r="D74" s="21" t="n">
        <f aca="false">ABS(B74-C74)</f>
        <v>0</v>
      </c>
      <c r="E74" s="36" t="n">
        <v>1E-009</v>
      </c>
      <c r="F74" s="4" t="str">
        <f aca="false">IF(D74&lt;=E74,"PASS","FAIL")</f>
        <v>PASS</v>
      </c>
    </row>
    <row r="75" customFormat="false" ht="15" hidden="false" customHeight="false" outlineLevel="0" collapsed="false">
      <c r="A75" s="2" t="s">
        <v>600</v>
      </c>
      <c r="B75" s="12" t="n">
        <f aca="false">Reserve!J37</f>
        <v>244.614269562267</v>
      </c>
      <c r="C75" s="20" t="n">
        <f aca="false">Reference_Values!B75</f>
        <v>244.614269562267</v>
      </c>
      <c r="D75" s="21" t="n">
        <f aca="false">ABS(B75-C75)</f>
        <v>0</v>
      </c>
      <c r="E75" s="36" t="n">
        <v>1E-009</v>
      </c>
      <c r="F75" s="4" t="str">
        <f aca="false">IF(D75&lt;=E75,"PASS","FAIL")</f>
        <v>PASS</v>
      </c>
    </row>
    <row r="76" customFormat="false" ht="15" hidden="false" customHeight="false" outlineLevel="0" collapsed="false">
      <c r="A76" s="2" t="s">
        <v>601</v>
      </c>
      <c r="B76" s="12" t="n">
        <f aca="false">Reserve!J38</f>
        <v>235.523360471358</v>
      </c>
      <c r="C76" s="20" t="n">
        <f aca="false">Reference_Values!B76</f>
        <v>235.523360471358</v>
      </c>
      <c r="D76" s="21" t="n">
        <f aca="false">ABS(B76-C76)</f>
        <v>0</v>
      </c>
      <c r="E76" s="36" t="n">
        <v>1E-009</v>
      </c>
      <c r="F76" s="4" t="str">
        <f aca="false">IF(D76&lt;=E76,"PASS","FAIL")</f>
        <v>PASS</v>
      </c>
    </row>
    <row r="77" customFormat="false" ht="15" hidden="false" customHeight="false" outlineLevel="0" collapsed="false">
      <c r="A77" s="2" t="s">
        <v>602</v>
      </c>
      <c r="B77" s="12" t="n">
        <f aca="false">Reserve!J39</f>
        <v>210.234104273011</v>
      </c>
      <c r="C77" s="20" t="n">
        <f aca="false">Reference_Values!B77</f>
        <v>210.234104273011</v>
      </c>
      <c r="D77" s="21" t="n">
        <f aca="false">ABS(B77-C77)</f>
        <v>0</v>
      </c>
      <c r="E77" s="36" t="n">
        <v>1E-009</v>
      </c>
      <c r="F77" s="4" t="str">
        <f aca="false">IF(D77&lt;=E77,"PASS","FAIL")</f>
        <v>PASS</v>
      </c>
    </row>
    <row r="78" customFormat="false" ht="15" hidden="false" customHeight="false" outlineLevel="0" collapsed="false">
      <c r="A78" s="2" t="s">
        <v>603</v>
      </c>
      <c r="B78" s="12" t="n">
        <f aca="false">Reserve!J41</f>
        <v>192.961377000284</v>
      </c>
      <c r="C78" s="20" t="n">
        <f aca="false">Reference_Values!B78</f>
        <v>192.961377000284</v>
      </c>
      <c r="D78" s="21" t="n">
        <f aca="false">ABS(B78-C78)</f>
        <v>0</v>
      </c>
      <c r="E78" s="36" t="n">
        <v>1E-009</v>
      </c>
      <c r="F78" s="4" t="str">
        <f aca="false">IF(D78&lt;=E78,"PASS","FAIL")</f>
        <v>PASS</v>
      </c>
    </row>
    <row r="79" customFormat="false" ht="15" hidden="false" customHeight="false" outlineLevel="0" collapsed="false">
      <c r="A79" s="2" t="s">
        <v>604</v>
      </c>
      <c r="B79" s="12" t="n">
        <f aca="false">Reserve!J42</f>
        <v>165.688649727557</v>
      </c>
      <c r="C79" s="20" t="n">
        <f aca="false">Reference_Values!B79</f>
        <v>165.688649727557</v>
      </c>
      <c r="D79" s="21" t="n">
        <f aca="false">ABS(B79-C79)</f>
        <v>0</v>
      </c>
      <c r="E79" s="36" t="n">
        <v>1E-009</v>
      </c>
      <c r="F79" s="4" t="str">
        <f aca="false">IF(D79&lt;=E79,"PASS","FAIL")</f>
        <v>PASS</v>
      </c>
    </row>
    <row r="80" customFormat="false" ht="15" hidden="false" customHeight="false" outlineLevel="0" collapsed="false">
      <c r="A80" s="2" t="s">
        <v>605</v>
      </c>
      <c r="B80" s="12" t="n">
        <f aca="false">Reserve!J27</f>
        <v>4.01953418482347</v>
      </c>
      <c r="C80" s="20" t="n">
        <f aca="false">Reference_Values!B80</f>
        <v>4.01953418482341</v>
      </c>
      <c r="D80" s="21" t="n">
        <f aca="false">ABS(B80-C80)</f>
        <v>5.6843418860808E-014</v>
      </c>
      <c r="E80" s="36" t="n">
        <v>1E-009</v>
      </c>
      <c r="F80" s="4" t="str">
        <f aca="false">IF(D80&lt;=E80,"PASS","FAIL")</f>
        <v>PASS</v>
      </c>
    </row>
    <row r="81" customFormat="false" ht="15" hidden="false" customHeight="false" outlineLevel="0" collapsed="false">
      <c r="A81" s="2" t="s">
        <v>607</v>
      </c>
      <c r="B81" s="12" t="n">
        <f aca="false">Reserve!J28</f>
        <v>24.3801652892562</v>
      </c>
      <c r="C81" s="20" t="n">
        <f aca="false">Reference_Values!B81</f>
        <v>24.3801652892562</v>
      </c>
      <c r="D81" s="21" t="n">
        <f aca="false">ABS(B81-C81)</f>
        <v>0</v>
      </c>
      <c r="E81" s="36" t="n">
        <v>1E-009</v>
      </c>
      <c r="F81" s="4" t="str">
        <f aca="false">IF(D81&lt;=E81,"PASS","FAIL")</f>
        <v>PASS</v>
      </c>
    </row>
    <row r="82" customFormat="false" ht="15" hidden="false" customHeight="false" outlineLevel="0" collapsed="false">
      <c r="A82" s="2" t="s">
        <v>609</v>
      </c>
      <c r="B82" s="12" t="n">
        <f aca="false">Grid!B158</f>
        <v>992</v>
      </c>
      <c r="C82" s="20" t="n">
        <f aca="false">Reference_Values!B82</f>
        <v>992</v>
      </c>
      <c r="D82" s="21" t="n">
        <f aca="false">ABS(B82-C82)</f>
        <v>0</v>
      </c>
      <c r="E82" s="36" t="n">
        <v>0</v>
      </c>
      <c r="F82" s="4" t="str">
        <f aca="false">IF(D82&lt;=E82,"PASS","FAIL")</f>
        <v>PASS</v>
      </c>
    </row>
    <row r="83" customFormat="false" ht="15" hidden="false" customHeight="false" outlineLevel="0" collapsed="false">
      <c r="A83" s="2" t="s">
        <v>611</v>
      </c>
      <c r="B83" s="12" t="n">
        <f aca="false">Choose!B12</f>
        <v>740</v>
      </c>
      <c r="C83" s="20" t="n">
        <f aca="false">Reference_Values!B83</f>
        <v>740</v>
      </c>
      <c r="D83" s="21" t="n">
        <f aca="false">ABS(B83-C83)</f>
        <v>0</v>
      </c>
      <c r="E83" s="36" t="n">
        <v>0</v>
      </c>
      <c r="F83" s="4" t="str">
        <f aca="false">IF(D83&lt;=E83,"PASS","FAIL")</f>
        <v>PASS</v>
      </c>
    </row>
    <row r="84" customFormat="false" ht="15" hidden="false" customHeight="false" outlineLevel="0" collapsed="false">
      <c r="A84" s="2" t="s">
        <v>613</v>
      </c>
      <c r="B84" s="12" t="n">
        <f aca="false">Choose!B15</f>
        <v>453</v>
      </c>
      <c r="C84" s="20" t="n">
        <f aca="false">Reference_Values!B84</f>
        <v>453</v>
      </c>
      <c r="D84" s="21" t="n">
        <f aca="false">ABS(B84-C84)</f>
        <v>0</v>
      </c>
      <c r="E84" s="36" t="n">
        <v>0</v>
      </c>
      <c r="F84" s="4" t="str">
        <f aca="false">IF(D84&lt;=E84,"PASS","FAIL")</f>
        <v>PASS</v>
      </c>
    </row>
    <row r="85" customFormat="false" ht="15" hidden="false" customHeight="false" outlineLevel="0" collapsed="false">
      <c r="A85" s="2" t="s">
        <v>615</v>
      </c>
      <c r="B85" s="12" t="n">
        <f aca="false">Choose!B16</f>
        <v>287</v>
      </c>
      <c r="C85" s="20" t="n">
        <f aca="false">Reference_Values!B85</f>
        <v>287</v>
      </c>
      <c r="D85" s="21" t="n">
        <f aca="false">ABS(B85-C85)</f>
        <v>0</v>
      </c>
      <c r="E85" s="36" t="n">
        <v>0</v>
      </c>
      <c r="F85" s="4" t="str">
        <f aca="false">IF(D85&lt;=E85,"PASS","FAIL")</f>
        <v>PASS</v>
      </c>
    </row>
    <row r="86" customFormat="false" ht="15" hidden="false" customHeight="false" outlineLevel="0" collapsed="false">
      <c r="A86" s="2" t="s">
        <v>617</v>
      </c>
      <c r="B86" s="12" t="n">
        <f aca="false">IF(Choose!B15=Choose!B13,1,0)</f>
        <v>1</v>
      </c>
      <c r="C86" s="20" t="n">
        <f aca="false">Reference_Values!B86</f>
        <v>1</v>
      </c>
      <c r="D86" s="21" t="n">
        <f aca="false">ABS(B86-C86)</f>
        <v>0</v>
      </c>
      <c r="E86" s="36" t="n">
        <v>0</v>
      </c>
      <c r="F86" s="4" t="str">
        <f aca="false">IF(D86&lt;=E86,"PASS","FAIL")</f>
        <v>PASS</v>
      </c>
    </row>
    <row r="87" customFormat="false" ht="15" hidden="false" customHeight="false" outlineLevel="0" collapsed="false">
      <c r="A87" s="2" t="s">
        <v>619</v>
      </c>
      <c r="B87" s="12" t="n">
        <f aca="false">IF(Choose!B16=Choose!B14,1,0)</f>
        <v>1</v>
      </c>
      <c r="C87" s="20" t="n">
        <f aca="false">Reference_Values!B87</f>
        <v>1</v>
      </c>
      <c r="D87" s="21" t="n">
        <f aca="false">ABS(B87-C87)</f>
        <v>0</v>
      </c>
      <c r="E87" s="36" t="n">
        <v>0</v>
      </c>
      <c r="F87" s="4" t="str">
        <f aca="false">IF(D87&lt;=E87,"PASS","FAIL")</f>
        <v>PASS</v>
      </c>
    </row>
    <row r="88" customFormat="false" ht="15" hidden="false" customHeight="false" outlineLevel="0" collapsed="false">
      <c r="A88" s="2" t="s">
        <v>621</v>
      </c>
      <c r="B88" s="12" t="n">
        <f aca="false">Choose!D21</f>
        <v>49</v>
      </c>
      <c r="C88" s="20" t="n">
        <f aca="false">Reference_Values!B88</f>
        <v>49</v>
      </c>
      <c r="D88" s="21" t="n">
        <f aca="false">ABS(B88-C88)</f>
        <v>0</v>
      </c>
      <c r="E88" s="36" t="n">
        <v>0</v>
      </c>
      <c r="F88" s="4" t="str">
        <f aca="false">IF(D88&lt;=E88,"PASS","FAIL")</f>
        <v>PASS</v>
      </c>
    </row>
    <row r="89" customFormat="false" ht="15" hidden="false" customHeight="false" outlineLevel="0" collapsed="false">
      <c r="A89" s="2" t="s">
        <v>622</v>
      </c>
      <c r="B89" s="12" t="n">
        <f aca="false">Choose!E21</f>
        <v>101</v>
      </c>
      <c r="C89" s="20" t="n">
        <f aca="false">Reference_Values!B89</f>
        <v>101</v>
      </c>
      <c r="D89" s="21" t="n">
        <f aca="false">ABS(B89-C89)</f>
        <v>0</v>
      </c>
      <c r="E89" s="36" t="n">
        <v>0</v>
      </c>
      <c r="F89" s="4" t="str">
        <f aca="false">IF(D89&lt;=E89,"PASS","FAIL")</f>
        <v>PASS</v>
      </c>
    </row>
    <row r="90" customFormat="false" ht="15" hidden="false" customHeight="false" outlineLevel="0" collapsed="false">
      <c r="A90" s="2" t="s">
        <v>623</v>
      </c>
      <c r="B90" s="12" t="n">
        <f aca="false">Choose!F21</f>
        <v>149</v>
      </c>
      <c r="C90" s="20" t="n">
        <f aca="false">Reference_Values!B90</f>
        <v>149</v>
      </c>
      <c r="D90" s="21" t="n">
        <f aca="false">ABS(B90-C90)</f>
        <v>0</v>
      </c>
      <c r="E90" s="36" t="n">
        <v>0</v>
      </c>
      <c r="F90" s="4" t="str">
        <f aca="false">IF(D90&lt;=E90,"PASS","FAIL")</f>
        <v>PASS</v>
      </c>
    </row>
    <row r="91" customFormat="false" ht="15" hidden="false" customHeight="false" outlineLevel="0" collapsed="false">
      <c r="A91" s="2" t="s">
        <v>624</v>
      </c>
      <c r="B91" s="12" t="n">
        <f aca="false">Choose!D22</f>
        <v>49</v>
      </c>
      <c r="C91" s="20" t="n">
        <f aca="false">Reference_Values!B91</f>
        <v>49</v>
      </c>
      <c r="D91" s="21" t="n">
        <f aca="false">ABS(B91-C91)</f>
        <v>0</v>
      </c>
      <c r="E91" s="36" t="n">
        <v>0</v>
      </c>
      <c r="F91" s="4" t="str">
        <f aca="false">IF(D91&lt;=E91,"PASS","FAIL")</f>
        <v>PASS</v>
      </c>
    </row>
    <row r="92" customFormat="false" ht="15" hidden="false" customHeight="false" outlineLevel="0" collapsed="false">
      <c r="A92" s="2" t="s">
        <v>625</v>
      </c>
      <c r="B92" s="12" t="n">
        <f aca="false">Choose!E22</f>
        <v>101</v>
      </c>
      <c r="C92" s="20" t="n">
        <f aca="false">Reference_Values!B92</f>
        <v>101</v>
      </c>
      <c r="D92" s="21" t="n">
        <f aca="false">ABS(B92-C92)</f>
        <v>0</v>
      </c>
      <c r="E92" s="36" t="n">
        <v>0</v>
      </c>
      <c r="F92" s="4" t="str">
        <f aca="false">IF(D92&lt;=E92,"PASS","FAIL")</f>
        <v>PASS</v>
      </c>
    </row>
    <row r="93" customFormat="false" ht="15" hidden="false" customHeight="false" outlineLevel="0" collapsed="false">
      <c r="A93" s="2" t="s">
        <v>626</v>
      </c>
      <c r="B93" s="12" t="n">
        <f aca="false">Choose!F22</f>
        <v>149</v>
      </c>
      <c r="C93" s="20" t="n">
        <f aca="false">Reference_Values!B93</f>
        <v>149</v>
      </c>
      <c r="D93" s="21" t="n">
        <f aca="false">ABS(B93-C93)</f>
        <v>0</v>
      </c>
      <c r="E93" s="36" t="n">
        <v>0</v>
      </c>
      <c r="F93" s="4" t="str">
        <f aca="false">IF(D93&lt;=E93,"PASS","FAIL")</f>
        <v>PASS</v>
      </c>
    </row>
    <row r="94" customFormat="false" ht="15" hidden="false" customHeight="false" outlineLevel="0" collapsed="false">
      <c r="A94" s="2" t="s">
        <v>627</v>
      </c>
      <c r="B94" s="12" t="n">
        <f aca="false">Choose!D23</f>
        <v>63</v>
      </c>
      <c r="C94" s="20" t="n">
        <f aca="false">Reference_Values!B94</f>
        <v>63</v>
      </c>
      <c r="D94" s="21" t="n">
        <f aca="false">ABS(B94-C94)</f>
        <v>0</v>
      </c>
      <c r="E94" s="36" t="n">
        <v>0</v>
      </c>
      <c r="F94" s="4" t="str">
        <f aca="false">IF(D94&lt;=E94,"PASS","FAIL")</f>
        <v>PASS</v>
      </c>
    </row>
    <row r="95" customFormat="false" ht="15" hidden="false" customHeight="false" outlineLevel="0" collapsed="false">
      <c r="A95" s="2" t="s">
        <v>628</v>
      </c>
      <c r="B95" s="12" t="n">
        <f aca="false">Choose!E23</f>
        <v>86</v>
      </c>
      <c r="C95" s="20" t="n">
        <f aca="false">Reference_Values!B95</f>
        <v>86</v>
      </c>
      <c r="D95" s="21" t="n">
        <f aca="false">ABS(B95-C95)</f>
        <v>0</v>
      </c>
      <c r="E95" s="36" t="n">
        <v>0</v>
      </c>
      <c r="F95" s="4" t="str">
        <f aca="false">IF(D95&lt;=E95,"PASS","FAIL")</f>
        <v>PASS</v>
      </c>
    </row>
    <row r="96" customFormat="false" ht="15" hidden="false" customHeight="false" outlineLevel="0" collapsed="false">
      <c r="A96" s="2" t="s">
        <v>629</v>
      </c>
      <c r="B96" s="12" t="n">
        <f aca="false">Choose!F23</f>
        <v>149</v>
      </c>
      <c r="C96" s="20" t="n">
        <f aca="false">Reference_Values!B96</f>
        <v>149</v>
      </c>
      <c r="D96" s="21" t="n">
        <f aca="false">ABS(B96-C96)</f>
        <v>0</v>
      </c>
      <c r="E96" s="36" t="n">
        <v>0</v>
      </c>
      <c r="F96" s="4" t="str">
        <f aca="false">IF(D96&lt;=E96,"PASS","FAIL")</f>
        <v>PASS</v>
      </c>
    </row>
    <row r="97" customFormat="false" ht="15" hidden="false" customHeight="false" outlineLevel="0" collapsed="false">
      <c r="A97" s="2" t="s">
        <v>630</v>
      </c>
      <c r="B97" s="12" t="n">
        <f aca="false">Choose!D24</f>
        <v>63</v>
      </c>
      <c r="C97" s="20" t="n">
        <f aca="false">Reference_Values!B97</f>
        <v>63</v>
      </c>
      <c r="D97" s="21" t="n">
        <f aca="false">ABS(B97-C97)</f>
        <v>0</v>
      </c>
      <c r="E97" s="36" t="n">
        <v>0</v>
      </c>
      <c r="F97" s="4" t="str">
        <f aca="false">IF(D97&lt;=E97,"PASS","FAIL")</f>
        <v>PASS</v>
      </c>
    </row>
    <row r="98" customFormat="false" ht="15" hidden="false" customHeight="false" outlineLevel="0" collapsed="false">
      <c r="A98" s="2" t="s">
        <v>631</v>
      </c>
      <c r="B98" s="12" t="n">
        <f aca="false">Choose!E24</f>
        <v>86</v>
      </c>
      <c r="C98" s="20" t="n">
        <f aca="false">Reference_Values!B98</f>
        <v>86</v>
      </c>
      <c r="D98" s="21" t="n">
        <f aca="false">ABS(B98-C98)</f>
        <v>0</v>
      </c>
      <c r="E98" s="36" t="n">
        <v>0</v>
      </c>
      <c r="F98" s="4" t="str">
        <f aca="false">IF(D98&lt;=E98,"PASS","FAIL")</f>
        <v>PASS</v>
      </c>
    </row>
    <row r="99" customFormat="false" ht="15" hidden="false" customHeight="false" outlineLevel="0" collapsed="false">
      <c r="A99" s="2" t="s">
        <v>632</v>
      </c>
      <c r="B99" s="12" t="n">
        <f aca="false">Choose!F24</f>
        <v>149</v>
      </c>
      <c r="C99" s="20" t="n">
        <f aca="false">Reference_Values!B99</f>
        <v>149</v>
      </c>
      <c r="D99" s="21" t="n">
        <f aca="false">ABS(B99-C99)</f>
        <v>0</v>
      </c>
      <c r="E99" s="36" t="n">
        <v>0</v>
      </c>
      <c r="F99" s="4" t="str">
        <f aca="false">IF(D99&lt;=E99,"PASS","FAIL")</f>
        <v>PASS</v>
      </c>
    </row>
    <row r="100" customFormat="false" ht="15" hidden="false" customHeight="false" outlineLevel="0" collapsed="false">
      <c r="A100" s="2" t="s">
        <v>633</v>
      </c>
      <c r="B100" s="12" t="n">
        <f aca="false">Choose!D25</f>
        <v>63</v>
      </c>
      <c r="C100" s="20" t="n">
        <f aca="false">Reference_Values!B100</f>
        <v>63</v>
      </c>
      <c r="D100" s="21" t="n">
        <f aca="false">ABS(B100-C100)</f>
        <v>0</v>
      </c>
      <c r="E100" s="36" t="n">
        <v>0</v>
      </c>
      <c r="F100" s="4" t="str">
        <f aca="false">IF(D100&lt;=E100,"PASS","FAIL")</f>
        <v>PASS</v>
      </c>
    </row>
    <row r="101" customFormat="false" ht="15" hidden="false" customHeight="false" outlineLevel="0" collapsed="false">
      <c r="A101" s="2" t="s">
        <v>634</v>
      </c>
      <c r="B101" s="12" t="n">
        <f aca="false">Choose!E25</f>
        <v>86</v>
      </c>
      <c r="C101" s="20" t="n">
        <f aca="false">Reference_Values!B101</f>
        <v>86</v>
      </c>
      <c r="D101" s="21" t="n">
        <f aca="false">ABS(B101-C101)</f>
        <v>0</v>
      </c>
      <c r="E101" s="36" t="n">
        <v>0</v>
      </c>
      <c r="F101" s="4" t="str">
        <f aca="false">IF(D101&lt;=E101,"PASS","FAIL")</f>
        <v>PASS</v>
      </c>
    </row>
    <row r="102" customFormat="false" ht="15" hidden="false" customHeight="false" outlineLevel="0" collapsed="false">
      <c r="A102" s="2" t="s">
        <v>635</v>
      </c>
      <c r="B102" s="12" t="n">
        <f aca="false">Choose!F25</f>
        <v>149</v>
      </c>
      <c r="C102" s="20" t="n">
        <f aca="false">Reference_Values!B102</f>
        <v>149</v>
      </c>
      <c r="D102" s="21" t="n">
        <f aca="false">ABS(B102-C102)</f>
        <v>0</v>
      </c>
      <c r="E102" s="36" t="n">
        <v>0</v>
      </c>
      <c r="F102" s="4" t="str">
        <f aca="false">IF(D102&lt;=E102,"PASS","FAIL")</f>
        <v>PASS</v>
      </c>
    </row>
    <row r="103" customFormat="false" ht="15" hidden="false" customHeight="false" outlineLevel="0" collapsed="false">
      <c r="A103" s="2" t="s">
        <v>636</v>
      </c>
      <c r="B103" s="12" t="n">
        <f aca="false">Choose!D26</f>
        <v>0</v>
      </c>
      <c r="C103" s="20" t="n">
        <f aca="false">Reference_Values!B103</f>
        <v>0</v>
      </c>
      <c r="D103" s="21" t="n">
        <f aca="false">ABS(B103-C103)</f>
        <v>0</v>
      </c>
      <c r="E103" s="36" t="n">
        <v>0</v>
      </c>
      <c r="F103" s="4" t="str">
        <f aca="false">IF(D103&lt;=E103,"PASS","FAIL")</f>
        <v>PASS</v>
      </c>
    </row>
    <row r="104" customFormat="false" ht="15" hidden="false" customHeight="false" outlineLevel="0" collapsed="false">
      <c r="A104" s="2" t="s">
        <v>637</v>
      </c>
      <c r="B104" s="12" t="n">
        <f aca="false">Choose!B28</f>
        <v>86</v>
      </c>
      <c r="C104" s="20" t="n">
        <f aca="false">Reference_Values!B104</f>
        <v>86</v>
      </c>
      <c r="D104" s="21" t="n">
        <f aca="false">ABS(B104-C104)</f>
        <v>0</v>
      </c>
      <c r="E104" s="36" t="n">
        <v>0</v>
      </c>
      <c r="F104" s="4" t="str">
        <f aca="false">IF(D104&lt;=E104,"PASS","FAIL")</f>
        <v>PASS</v>
      </c>
    </row>
    <row r="105" customFormat="false" ht="15" hidden="false" customHeight="false" outlineLevel="0" collapsed="false">
      <c r="A105" s="2" t="s">
        <v>639</v>
      </c>
      <c r="B105" s="12" t="n">
        <f aca="false">Choose!B29</f>
        <v>149</v>
      </c>
      <c r="C105" s="20" t="n">
        <f aca="false">Reference_Values!B105</f>
        <v>149</v>
      </c>
      <c r="D105" s="21" t="n">
        <f aca="false">ABS(B105-C105)</f>
        <v>0</v>
      </c>
      <c r="E105" s="36" t="n">
        <v>0</v>
      </c>
      <c r="F105" s="4" t="str">
        <f aca="false">IF(D105&lt;=E105,"PASS","FAIL")</f>
        <v>PASS</v>
      </c>
    </row>
    <row r="106" customFormat="false" ht="15" hidden="false" customHeight="false" outlineLevel="0" collapsed="false">
      <c r="A106" s="2" t="s">
        <v>220</v>
      </c>
      <c r="B106" s="12" t="n">
        <f aca="false">Choose!B5</f>
        <v>384.173336396545</v>
      </c>
      <c r="C106" s="20" t="n">
        <f aca="false">Reference_Values!B106</f>
        <v>384.173336396545</v>
      </c>
      <c r="D106" s="21" t="n">
        <f aca="false">ABS(B106-C106)</f>
        <v>0</v>
      </c>
      <c r="E106" s="36" t="n">
        <v>1E-009</v>
      </c>
      <c r="F106" s="4" t="str">
        <f aca="false">IF(D106&lt;=E106,"PASS","FAIL")</f>
        <v>PASS</v>
      </c>
    </row>
    <row r="107" customFormat="false" ht="15" hidden="false" customHeight="false" outlineLevel="0" collapsed="false">
      <c r="A107" s="2" t="s">
        <v>642</v>
      </c>
      <c r="B107" s="12" t="n">
        <f aca="false">Choose!B6</f>
        <v>22.058258225373</v>
      </c>
      <c r="C107" s="20" t="n">
        <f aca="false">Reference_Values!B107</f>
        <v>22.058258225373</v>
      </c>
      <c r="D107" s="21" t="n">
        <f aca="false">ABS(B107-C107)</f>
        <v>0</v>
      </c>
      <c r="E107" s="36" t="n">
        <v>1E-009</v>
      </c>
      <c r="F107" s="4" t="str">
        <f aca="false">IF(D107&lt;=E107,"PASS","FAIL")</f>
        <v>PASS</v>
      </c>
    </row>
    <row r="108" customFormat="false" ht="15" hidden="false" customHeight="false" outlineLevel="0" collapsed="false">
      <c r="A108" s="2" t="s">
        <v>222</v>
      </c>
      <c r="B108" s="12" t="n">
        <f aca="false">Choose!C5</f>
        <v>137.8125</v>
      </c>
      <c r="C108" s="20" t="n">
        <f aca="false">Reference_Values!B108</f>
        <v>137.8125</v>
      </c>
      <c r="D108" s="21" t="n">
        <f aca="false">ABS(B108-C108)</f>
        <v>0</v>
      </c>
      <c r="E108" s="36" t="n">
        <v>1E-009</v>
      </c>
      <c r="F108" s="4" t="str">
        <f aca="false">IF(D108&lt;=E108,"PASS","FAIL")</f>
        <v>PASS</v>
      </c>
    </row>
    <row r="109" customFormat="false" ht="15" hidden="false" customHeight="false" outlineLevel="0" collapsed="false">
      <c r="A109" s="2" t="s">
        <v>644</v>
      </c>
      <c r="B109" s="12" t="n">
        <f aca="false">Choose!C6</f>
        <v>70</v>
      </c>
      <c r="C109" s="20" t="n">
        <f aca="false">Reference_Values!B109</f>
        <v>70</v>
      </c>
      <c r="D109" s="21" t="n">
        <f aca="false">ABS(B109-C109)</f>
        <v>0</v>
      </c>
      <c r="E109" s="36" t="n">
        <v>1E-009</v>
      </c>
      <c r="F109" s="4" t="str">
        <f aca="false">IF(D109&lt;=E109,"PASS","FAIL")</f>
        <v>PASS</v>
      </c>
    </row>
    <row r="110" customFormat="false" ht="15" hidden="false" customHeight="false" outlineLevel="0" collapsed="false">
      <c r="A110" s="2" t="s">
        <v>645</v>
      </c>
      <c r="B110" s="12" t="n">
        <f aca="false">Choose!D5</f>
        <v>150</v>
      </c>
      <c r="C110" s="20" t="n">
        <f aca="false">Reference_Values!B110</f>
        <v>150</v>
      </c>
      <c r="D110" s="21" t="n">
        <f aca="false">ABS(B110-C110)</f>
        <v>0</v>
      </c>
      <c r="E110" s="36" t="n">
        <v>1E-009</v>
      </c>
      <c r="F110" s="4" t="str">
        <f aca="false">IF(D110&lt;=E110,"PASS","FAIL")</f>
        <v>PASS</v>
      </c>
    </row>
    <row r="111" customFormat="false" ht="15" hidden="false" customHeight="false" outlineLevel="0" collapsed="false">
      <c r="A111" s="2" t="s">
        <v>646</v>
      </c>
      <c r="B111" s="12" t="n">
        <f aca="false">Choose!D6</f>
        <v>0</v>
      </c>
      <c r="C111" s="20" t="n">
        <f aca="false">Reference_Values!B111</f>
        <v>0</v>
      </c>
      <c r="D111" s="21" t="n">
        <f aca="false">ABS(B111-C111)</f>
        <v>0</v>
      </c>
      <c r="E111" s="36" t="n">
        <v>1E-009</v>
      </c>
      <c r="F111" s="4" t="str">
        <f aca="false">IF(D111&lt;=E111,"PASS","FAIL")</f>
        <v>PASS</v>
      </c>
    </row>
    <row r="112" customFormat="false" ht="15" hidden="false" customHeight="false" outlineLevel="0" collapsed="false">
      <c r="A112" s="2" t="s">
        <v>647</v>
      </c>
      <c r="B112" s="12" t="n">
        <f aca="false">IF(Choose!B40="1, 2, 4",1,0)</f>
        <v>1</v>
      </c>
      <c r="C112" s="20" t="n">
        <f aca="false">Reference_Values!B112</f>
        <v>1</v>
      </c>
      <c r="D112" s="21" t="n">
        <f aca="false">ABS(B112-C112)</f>
        <v>0</v>
      </c>
      <c r="E112" s="36" t="n">
        <v>0</v>
      </c>
      <c r="F112" s="4" t="str">
        <f aca="false">IF(D112&lt;=E112,"PASS","FAIL")</f>
        <v>PASS</v>
      </c>
    </row>
    <row r="113" customFormat="false" ht="15" hidden="false" customHeight="false" outlineLevel="0" collapsed="false">
      <c r="A113" s="2" t="s">
        <v>649</v>
      </c>
      <c r="B113" s="12" t="n">
        <f aca="false">Choose!B38</f>
        <v>92</v>
      </c>
      <c r="C113" s="20" t="n">
        <f aca="false">Reference_Values!B113</f>
        <v>92</v>
      </c>
      <c r="D113" s="21" t="n">
        <f aca="false">ABS(B113-C113)</f>
        <v>0</v>
      </c>
      <c r="E113" s="36" t="n">
        <v>0</v>
      </c>
      <c r="F113" s="4" t="str">
        <f aca="false">IF(D113&lt;=E113,"PASS","FAIL")</f>
        <v>PASS</v>
      </c>
    </row>
    <row r="114" customFormat="false" ht="15" hidden="false" customHeight="false" outlineLevel="0" collapsed="false">
      <c r="A114" s="2" t="s">
        <v>651</v>
      </c>
      <c r="B114" s="12" t="n">
        <f aca="false">Choose!B41</f>
        <v>242.796087744086</v>
      </c>
      <c r="C114" s="20" t="n">
        <f aca="false">Reference_Values!B114</f>
        <v>242.796087744086</v>
      </c>
      <c r="D114" s="21" t="n">
        <f aca="false">ABS(B114-C114)</f>
        <v>0</v>
      </c>
      <c r="E114" s="36" t="n">
        <v>1E-009</v>
      </c>
      <c r="F114" s="4" t="str">
        <f aca="false">IF(D114&lt;=E114,"PASS","FAIL")</f>
        <v>PASS</v>
      </c>
    </row>
    <row r="115" customFormat="false" ht="15" hidden="false" customHeight="false" outlineLevel="0" collapsed="false">
      <c r="A115" s="2" t="s">
        <v>653</v>
      </c>
      <c r="B115" s="12" t="n">
        <f aca="false">Choose!B42</f>
        <v>122.5</v>
      </c>
      <c r="C115" s="20" t="n">
        <f aca="false">Reference_Values!B115</f>
        <v>122.5</v>
      </c>
      <c r="D115" s="21" t="n">
        <f aca="false">ABS(B115-C115)</f>
        <v>0</v>
      </c>
      <c r="E115" s="36" t="n">
        <v>1E-009</v>
      </c>
      <c r="F115" s="4" t="str">
        <f aca="false">IF(D115&lt;=E115,"PASS","FAIL")</f>
        <v>PASS</v>
      </c>
    </row>
    <row r="116" customFormat="false" ht="15" hidden="false" customHeight="false" outlineLevel="0" collapsed="false">
      <c r="A116" s="2" t="s">
        <v>655</v>
      </c>
      <c r="B116" s="12" t="n">
        <f aca="false">Choose!B49</f>
        <v>8</v>
      </c>
      <c r="C116" s="20" t="n">
        <f aca="false">Reference_Values!B116</f>
        <v>8</v>
      </c>
      <c r="D116" s="21" t="n">
        <f aca="false">ABS(B116-C116)</f>
        <v>0</v>
      </c>
      <c r="E116" s="36" t="n">
        <v>1E-009</v>
      </c>
      <c r="F116" s="4" t="str">
        <f aca="false">IF(D116&lt;=E116,"PASS","FAIL")</f>
        <v>PASS</v>
      </c>
    </row>
    <row r="117" customFormat="false" ht="15" hidden="false" customHeight="false" outlineLevel="0" collapsed="false">
      <c r="A117" s="2" t="s">
        <v>657</v>
      </c>
      <c r="B117" s="12" t="n">
        <f aca="false">Choose!B50</f>
        <v>90</v>
      </c>
      <c r="C117" s="20" t="n">
        <f aca="false">Reference_Values!B117</f>
        <v>90</v>
      </c>
      <c r="D117" s="21" t="n">
        <f aca="false">ABS(B117-C117)</f>
        <v>0</v>
      </c>
      <c r="E117" s="36" t="n">
        <v>1E-009</v>
      </c>
      <c r="F117" s="4" t="str">
        <f aca="false">IF(D117&lt;=E117,"PASS","FAIL")</f>
        <v>PASS</v>
      </c>
    </row>
    <row r="118" customFormat="false" ht="15" hidden="false" customHeight="false" outlineLevel="0" collapsed="false">
      <c r="A118" s="2" t="s">
        <v>658</v>
      </c>
      <c r="B118" s="12" t="n">
        <f aca="false">Choose!B51</f>
        <v>0</v>
      </c>
      <c r="C118" s="20" t="n">
        <f aca="false">Reference_Values!B118</f>
        <v>0</v>
      </c>
      <c r="D118" s="21" t="n">
        <f aca="false">ABS(B118-C118)</f>
        <v>0</v>
      </c>
      <c r="E118" s="36" t="n">
        <v>1E-009</v>
      </c>
      <c r="F118" s="4" t="str">
        <f aca="false">IF(D118&lt;=E118,"PASS","FAIL")</f>
        <v>PASS</v>
      </c>
    </row>
    <row r="119" customFormat="false" ht="15" hidden="false" customHeight="false" outlineLevel="0" collapsed="false">
      <c r="A119" s="2" t="s">
        <v>659</v>
      </c>
      <c r="B119" s="12" t="n">
        <f aca="false">Choose!B52</f>
        <v>122.5</v>
      </c>
      <c r="C119" s="20" t="n">
        <f aca="false">Reference_Values!B119</f>
        <v>122.5</v>
      </c>
      <c r="D119" s="21" t="n">
        <f aca="false">ABS(B119-C119)</f>
        <v>0</v>
      </c>
      <c r="E119" s="36" t="n">
        <v>1E-009</v>
      </c>
      <c r="F119" s="4" t="str">
        <f aca="false">IF(D119&lt;=E119,"PASS","FAIL")</f>
        <v>PASS</v>
      </c>
    </row>
    <row r="120" customFormat="false" ht="15" hidden="false" customHeight="false" outlineLevel="0" collapsed="false">
      <c r="A120" s="2" t="s">
        <v>660</v>
      </c>
      <c r="B120" s="12" t="n">
        <f aca="false">Choose!B53</f>
        <v>122.5</v>
      </c>
      <c r="C120" s="20" t="n">
        <f aca="false">Reference_Values!B120</f>
        <v>122.5</v>
      </c>
      <c r="D120" s="21" t="n">
        <f aca="false">ABS(B120-C120)</f>
        <v>0</v>
      </c>
      <c r="E120" s="36" t="n">
        <v>1E-009</v>
      </c>
      <c r="F120" s="4" t="str">
        <f aca="false">IF(D120&lt;=E120,"PASS","FAIL")</f>
        <v>PASS</v>
      </c>
    </row>
    <row r="121" customFormat="false" ht="15" hidden="false" customHeight="false" outlineLevel="0" collapsed="false">
      <c r="A121" s="2" t="s">
        <v>661</v>
      </c>
      <c r="B121" s="12" t="n">
        <f aca="false">Choose!B54</f>
        <v>2.5</v>
      </c>
      <c r="C121" s="20" t="n">
        <f aca="false">Reference_Values!B121</f>
        <v>2.5</v>
      </c>
      <c r="D121" s="21" t="n">
        <f aca="false">ABS(B121-C121)</f>
        <v>0</v>
      </c>
      <c r="E121" s="36" t="n">
        <v>1E-009</v>
      </c>
      <c r="F121" s="4" t="str">
        <f aca="false">IF(D121&lt;=E121,"PASS","FAIL")</f>
        <v>PASS</v>
      </c>
    </row>
    <row r="122" customFormat="false" ht="15" hidden="false" customHeight="false" outlineLevel="0" collapsed="false">
      <c r="A122" s="2" t="s">
        <v>662</v>
      </c>
      <c r="B122" s="12" t="n">
        <f aca="false">Choose!B43</f>
        <v>0.390420772773318</v>
      </c>
      <c r="C122" s="20" t="n">
        <f aca="false">Reference_Values!B122</f>
        <v>0.390420772773318</v>
      </c>
      <c r="D122" s="21" t="n">
        <f aca="false">ABS(B122-C122)</f>
        <v>0</v>
      </c>
      <c r="E122" s="36" t="n">
        <v>1E-009</v>
      </c>
      <c r="F122" s="4" t="str">
        <f aca="false">IF(D122&lt;=E122,"PASS","FAIL")</f>
        <v>PASS</v>
      </c>
    </row>
    <row r="123" customFormat="false" ht="15" hidden="false" customHeight="false" outlineLevel="0" collapsed="false">
      <c r="A123" s="2" t="s">
        <v>664</v>
      </c>
      <c r="B123" s="12" t="n">
        <f aca="false">Choose!B44</f>
        <v>0.225806451612903</v>
      </c>
      <c r="C123" s="20" t="n">
        <f aca="false">Reference_Values!B123</f>
        <v>0.225806451612903</v>
      </c>
      <c r="D123" s="21" t="n">
        <f aca="false">ABS(B123-C123)</f>
        <v>0</v>
      </c>
      <c r="E123" s="36" t="n">
        <v>1E-009</v>
      </c>
      <c r="F123" s="4" t="str">
        <f aca="false">IF(D123&lt;=E123,"PASS","FAIL")</f>
        <v>PASS</v>
      </c>
    </row>
    <row r="124" customFormat="false" ht="15" hidden="false" customHeight="false" outlineLevel="0" collapsed="false">
      <c r="A124" s="2" t="s">
        <v>665</v>
      </c>
      <c r="B124" s="12" t="n">
        <f aca="false">Choose!B45</f>
        <v>0.386666666666667</v>
      </c>
      <c r="C124" s="20" t="n">
        <f aca="false">Reference_Values!B124</f>
        <v>0.386666666666667</v>
      </c>
      <c r="D124" s="21" t="n">
        <f aca="false">ABS(B124-C124)</f>
        <v>0</v>
      </c>
      <c r="E124" s="36" t="n">
        <v>1E-009</v>
      </c>
      <c r="F124" s="4" t="str">
        <f aca="false">IF(D124&lt;=E124,"PASS","FAIL")</f>
        <v>PASS</v>
      </c>
    </row>
    <row r="125" customFormat="false" ht="15" hidden="false" customHeight="false" outlineLevel="0" collapsed="false">
      <c r="A125" s="2" t="s">
        <v>666</v>
      </c>
      <c r="B125" s="12" t="n">
        <f aca="false">1-Choose!B46</f>
        <v>1</v>
      </c>
      <c r="C125" s="20" t="n">
        <f aca="false">Reference_Values!B125</f>
        <v>1</v>
      </c>
      <c r="D125" s="21" t="n">
        <f aca="false">ABS(B125-C125)</f>
        <v>0</v>
      </c>
      <c r="E125" s="36" t="n">
        <v>0</v>
      </c>
      <c r="F125" s="4" t="str">
        <f aca="false">IF(D125&lt;=E125,"PASS","FAIL")</f>
        <v>PASS</v>
      </c>
    </row>
    <row r="126" customFormat="false" ht="15" hidden="false" customHeight="false" outlineLevel="0" collapsed="false">
      <c r="A126" s="2" t="s">
        <v>668</v>
      </c>
      <c r="B126" s="12" t="n">
        <f aca="false">Choose!B48</f>
        <v>934.276652059963</v>
      </c>
      <c r="C126" s="20" t="n">
        <f aca="false">Reference_Values!B126</f>
        <v>934.276652059963</v>
      </c>
      <c r="D126" s="21" t="n">
        <f aca="false">ABS(B126-C126)</f>
        <v>0</v>
      </c>
      <c r="E126" s="36" t="n">
        <v>1E-009</v>
      </c>
      <c r="F126" s="4" t="str">
        <f aca="false">IF(D126&lt;=E126,"PASS","FAIL")</f>
        <v>PASS</v>
      </c>
    </row>
    <row r="127" customFormat="false" ht="15" hidden="false" customHeight="false" outlineLevel="0" collapsed="false">
      <c r="A127" s="2" t="s">
        <v>670</v>
      </c>
      <c r="B127" s="12" t="n">
        <f aca="false">IF(Choose!C40="1, 2",1,0)</f>
        <v>1</v>
      </c>
      <c r="C127" s="20" t="n">
        <f aca="false">Reference_Values!B127</f>
        <v>1</v>
      </c>
      <c r="D127" s="21" t="n">
        <f aca="false">ABS(B127-C127)</f>
        <v>0</v>
      </c>
      <c r="E127" s="36" t="n">
        <v>0</v>
      </c>
      <c r="F127" s="4" t="str">
        <f aca="false">IF(D127&lt;=E127,"PASS","FAIL")</f>
        <v>PASS</v>
      </c>
    </row>
    <row r="128" customFormat="false" ht="15" hidden="false" customHeight="false" outlineLevel="0" collapsed="false">
      <c r="A128" s="2" t="s">
        <v>671</v>
      </c>
      <c r="B128" s="12" t="n">
        <f aca="false">Choose!C38</f>
        <v>96</v>
      </c>
      <c r="C128" s="20" t="n">
        <f aca="false">Reference_Values!B128</f>
        <v>96</v>
      </c>
      <c r="D128" s="21" t="n">
        <f aca="false">ABS(B128-C128)</f>
        <v>0</v>
      </c>
      <c r="E128" s="36" t="n">
        <v>0</v>
      </c>
      <c r="F128" s="4" t="str">
        <f aca="false">IF(D128&lt;=E128,"PASS","FAIL")</f>
        <v>PASS</v>
      </c>
    </row>
    <row r="129" customFormat="false" ht="15" hidden="false" customHeight="false" outlineLevel="0" collapsed="false">
      <c r="A129" s="2" t="s">
        <v>673</v>
      </c>
      <c r="B129" s="12" t="n">
        <f aca="false">Choose!C41</f>
        <v>296.900609123818</v>
      </c>
      <c r="C129" s="20" t="n">
        <f aca="false">Reference_Values!B129</f>
        <v>296.900609123818</v>
      </c>
      <c r="D129" s="21" t="n">
        <f aca="false">ABS(B129-C129)</f>
        <v>0</v>
      </c>
      <c r="E129" s="36" t="n">
        <v>1E-009</v>
      </c>
      <c r="F129" s="4" t="str">
        <f aca="false">IF(D129&lt;=E129,"PASS","FAIL")</f>
        <v>PASS</v>
      </c>
    </row>
    <row r="130" customFormat="false" ht="15" hidden="false" customHeight="false" outlineLevel="0" collapsed="false">
      <c r="A130" s="2" t="s">
        <v>675</v>
      </c>
      <c r="B130" s="12" t="n">
        <f aca="false">Choose!C42</f>
        <v>105</v>
      </c>
      <c r="C130" s="20" t="n">
        <f aca="false">Reference_Values!B130</f>
        <v>105</v>
      </c>
      <c r="D130" s="21" t="n">
        <f aca="false">ABS(B130-C130)</f>
        <v>0</v>
      </c>
      <c r="E130" s="36" t="n">
        <v>1E-009</v>
      </c>
      <c r="F130" s="4" t="str">
        <f aca="false">IF(D130&lt;=E130,"PASS","FAIL")</f>
        <v>PASS</v>
      </c>
    </row>
    <row r="131" customFormat="false" ht="15" hidden="false" customHeight="false" outlineLevel="0" collapsed="false">
      <c r="A131" s="2" t="s">
        <v>676</v>
      </c>
      <c r="B131" s="12" t="n">
        <f aca="false">Choose!C49</f>
        <v>4</v>
      </c>
      <c r="C131" s="20" t="n">
        <f aca="false">Reference_Values!B131</f>
        <v>4</v>
      </c>
      <c r="D131" s="21" t="n">
        <f aca="false">ABS(B131-C131)</f>
        <v>0</v>
      </c>
      <c r="E131" s="36" t="n">
        <v>1E-009</v>
      </c>
      <c r="F131" s="4" t="str">
        <f aca="false">IF(D131&lt;=E131,"PASS","FAIL")</f>
        <v>PASS</v>
      </c>
    </row>
    <row r="132" customFormat="false" ht="15" hidden="false" customHeight="false" outlineLevel="0" collapsed="false">
      <c r="A132" s="2" t="s">
        <v>678</v>
      </c>
      <c r="B132" s="12" t="n">
        <f aca="false">Choose!C50</f>
        <v>105</v>
      </c>
      <c r="C132" s="20" t="n">
        <f aca="false">Reference_Values!B132</f>
        <v>105</v>
      </c>
      <c r="D132" s="21" t="n">
        <f aca="false">ABS(B132-C132)</f>
        <v>0</v>
      </c>
      <c r="E132" s="36" t="n">
        <v>1E-009</v>
      </c>
      <c r="F132" s="4" t="str">
        <f aca="false">IF(D132&lt;=E132,"PASS","FAIL")</f>
        <v>PASS</v>
      </c>
    </row>
    <row r="133" customFormat="false" ht="15" hidden="false" customHeight="false" outlineLevel="0" collapsed="false">
      <c r="A133" s="2" t="s">
        <v>679</v>
      </c>
      <c r="B133" s="12" t="n">
        <f aca="false">Choose!C51</f>
        <v>105</v>
      </c>
      <c r="C133" s="20" t="n">
        <f aca="false">Reference_Values!B133</f>
        <v>105</v>
      </c>
      <c r="D133" s="21" t="n">
        <f aca="false">ABS(B133-C133)</f>
        <v>0</v>
      </c>
      <c r="E133" s="36" t="n">
        <v>1E-009</v>
      </c>
      <c r="F133" s="4" t="str">
        <f aca="false">IF(D133&lt;=E133,"PASS","FAIL")</f>
        <v>PASS</v>
      </c>
    </row>
    <row r="134" customFormat="false" ht="15" hidden="false" customHeight="false" outlineLevel="0" collapsed="false">
      <c r="A134" s="2" t="s">
        <v>680</v>
      </c>
      <c r="B134" s="12" t="n">
        <f aca="false">Choose!C52</f>
        <v>105</v>
      </c>
      <c r="C134" s="20" t="n">
        <f aca="false">Reference_Values!B134</f>
        <v>105</v>
      </c>
      <c r="D134" s="21" t="n">
        <f aca="false">ABS(B134-C134)</f>
        <v>0</v>
      </c>
      <c r="E134" s="36" t="n">
        <v>1E-009</v>
      </c>
      <c r="F134" s="4" t="str">
        <f aca="false">IF(D134&lt;=E134,"PASS","FAIL")</f>
        <v>PASS</v>
      </c>
    </row>
    <row r="135" customFormat="false" ht="15" hidden="false" customHeight="false" outlineLevel="0" collapsed="false">
      <c r="A135" s="2" t="s">
        <v>681</v>
      </c>
      <c r="B135" s="12" t="n">
        <f aca="false">Choose!C53</f>
        <v>90</v>
      </c>
      <c r="C135" s="20" t="n">
        <f aca="false">Reference_Values!B135</f>
        <v>90</v>
      </c>
      <c r="D135" s="21" t="n">
        <f aca="false">ABS(B135-C135)</f>
        <v>0</v>
      </c>
      <c r="E135" s="36" t="n">
        <v>1E-009</v>
      </c>
      <c r="F135" s="4" t="str">
        <f aca="false">IF(D135&lt;=E135,"PASS","FAIL")</f>
        <v>PASS</v>
      </c>
    </row>
    <row r="136" customFormat="false" ht="15" hidden="false" customHeight="false" outlineLevel="0" collapsed="false">
      <c r="A136" s="2" t="s">
        <v>682</v>
      </c>
      <c r="B136" s="12" t="n">
        <f aca="false">Choose!C54</f>
        <v>0</v>
      </c>
      <c r="C136" s="20" t="n">
        <f aca="false">Reference_Values!B136</f>
        <v>0</v>
      </c>
      <c r="D136" s="21" t="n">
        <f aca="false">ABS(B136-C136)</f>
        <v>0</v>
      </c>
      <c r="E136" s="36" t="n">
        <v>1E-009</v>
      </c>
      <c r="F136" s="4" t="str">
        <f aca="false">IF(D136&lt;=E136,"PASS","FAIL")</f>
        <v>PASS</v>
      </c>
    </row>
    <row r="137" customFormat="false" ht="15" hidden="false" customHeight="false" outlineLevel="0" collapsed="false">
      <c r="A137" s="2" t="s">
        <v>683</v>
      </c>
      <c r="B137" s="12" t="n">
        <f aca="false">Choose!C43</f>
        <v>0.482016533050708</v>
      </c>
      <c r="C137" s="20" t="n">
        <f aca="false">Reference_Values!B137</f>
        <v>0.482016533050708</v>
      </c>
      <c r="D137" s="21" t="n">
        <f aca="false">ABS(B137-C137)</f>
        <v>0</v>
      </c>
      <c r="E137" s="36" t="n">
        <v>1E-009</v>
      </c>
      <c r="F137" s="4" t="str">
        <f aca="false">IF(D137&lt;=E137,"PASS","FAIL")</f>
        <v>PASS</v>
      </c>
    </row>
    <row r="138" customFormat="false" ht="15" hidden="false" customHeight="false" outlineLevel="0" collapsed="false">
      <c r="A138" s="2" t="s">
        <v>685</v>
      </c>
      <c r="B138" s="12" t="n">
        <f aca="false">Choose!C44</f>
        <v>0.483870967741936</v>
      </c>
      <c r="C138" s="20" t="n">
        <f aca="false">Reference_Values!B138</f>
        <v>0.483870967741936</v>
      </c>
      <c r="D138" s="21" t="n">
        <f aca="false">ABS(B138-C138)</f>
        <v>0</v>
      </c>
      <c r="E138" s="36" t="n">
        <v>1E-009</v>
      </c>
      <c r="F138" s="4" t="str">
        <f aca="false">IF(D138&lt;=E138,"PASS","FAIL")</f>
        <v>PASS</v>
      </c>
    </row>
    <row r="139" customFormat="false" ht="15" hidden="false" customHeight="false" outlineLevel="0" collapsed="false">
      <c r="A139" s="2" t="s">
        <v>686</v>
      </c>
      <c r="B139" s="12" t="n">
        <f aca="false">Choose!C45</f>
        <v>0.36</v>
      </c>
      <c r="C139" s="20" t="n">
        <f aca="false">Reference_Values!B139</f>
        <v>0.36</v>
      </c>
      <c r="D139" s="21" t="n">
        <f aca="false">ABS(B139-C139)</f>
        <v>0</v>
      </c>
      <c r="E139" s="36" t="n">
        <v>1E-009</v>
      </c>
      <c r="F139" s="4" t="str">
        <f aca="false">IF(D139&lt;=E139,"PASS","FAIL")</f>
        <v>PASS</v>
      </c>
    </row>
    <row r="140" customFormat="false" ht="15" hidden="false" customHeight="false" outlineLevel="0" collapsed="false">
      <c r="A140" s="2" t="s">
        <v>687</v>
      </c>
      <c r="B140" s="12" t="n">
        <f aca="false">Choose!C46</f>
        <v>1</v>
      </c>
      <c r="C140" s="20" t="n">
        <f aca="false">Reference_Values!B140</f>
        <v>1</v>
      </c>
      <c r="D140" s="21" t="n">
        <f aca="false">ABS(B140-C140)</f>
        <v>0</v>
      </c>
      <c r="E140" s="36" t="n">
        <v>0</v>
      </c>
      <c r="F140" s="4" t="str">
        <f aca="false">IF(D140&lt;=E140,"PASS","FAIL")</f>
        <v>PASS</v>
      </c>
    </row>
    <row r="141" customFormat="false" ht="15" hidden="false" customHeight="false" outlineLevel="0" collapsed="false">
      <c r="A141" s="2" t="s">
        <v>688</v>
      </c>
      <c r="B141" s="12" t="n">
        <f aca="false">Choose!C48</f>
        <v>889.598235680284</v>
      </c>
      <c r="C141" s="20" t="n">
        <f aca="false">Reference_Values!B141</f>
        <v>889.598235680284</v>
      </c>
      <c r="D141" s="21" t="n">
        <f aca="false">ABS(B141-C141)</f>
        <v>0</v>
      </c>
      <c r="E141" s="36" t="n">
        <v>1E-009</v>
      </c>
      <c r="F141" s="4" t="str">
        <f aca="false">IF(D141&lt;=E141,"PASS","FAIL")</f>
        <v>PASS</v>
      </c>
    </row>
    <row r="142" customFormat="false" ht="15" hidden="false" customHeight="false" outlineLevel="0" collapsed="false">
      <c r="A142" s="2" t="s">
        <v>690</v>
      </c>
      <c r="B142" s="12" t="n">
        <f aca="false">Choose!B72</f>
        <v>1</v>
      </c>
      <c r="C142" s="20" t="n">
        <f aca="false">Reference_Values!B142</f>
        <v>1</v>
      </c>
      <c r="D142" s="21" t="n">
        <f aca="false">ABS(B142-C142)</f>
        <v>0</v>
      </c>
      <c r="E142" s="36" t="n">
        <v>0</v>
      </c>
      <c r="F142" s="4" t="str">
        <f aca="false">IF(D142&lt;=E142,"PASS","FAIL")</f>
        <v>PASS</v>
      </c>
    </row>
    <row r="143" customFormat="false" ht="15" hidden="false" customHeight="false" outlineLevel="0" collapsed="false">
      <c r="A143" s="2" t="s">
        <v>692</v>
      </c>
      <c r="B143" s="12" t="n">
        <f aca="false">IF(Choose!B79="1, 2",1,0)</f>
        <v>1</v>
      </c>
      <c r="C143" s="20" t="n">
        <f aca="false">Reference_Values!B143</f>
        <v>1</v>
      </c>
      <c r="D143" s="21" t="n">
        <f aca="false">ABS(B143-C143)</f>
        <v>0</v>
      </c>
      <c r="E143" s="36" t="n">
        <v>0</v>
      </c>
      <c r="F143" s="4" t="str">
        <f aca="false">IF(D143&lt;=E143,"PASS","FAIL")</f>
        <v>PASS</v>
      </c>
    </row>
    <row r="144" customFormat="false" ht="15" hidden="false" customHeight="false" outlineLevel="0" collapsed="false">
      <c r="A144" s="2" t="s">
        <v>694</v>
      </c>
      <c r="B144" s="12" t="n">
        <f aca="false">IF(Choose!C79="1–6",1,0)</f>
        <v>1</v>
      </c>
      <c r="C144" s="20" t="n">
        <f aca="false">Reference_Values!B144</f>
        <v>1</v>
      </c>
      <c r="D144" s="21" t="n">
        <f aca="false">ABS(B144-C144)</f>
        <v>0</v>
      </c>
      <c r="E144" s="36" t="n">
        <v>0</v>
      </c>
      <c r="F144" s="4" t="str">
        <f aca="false">IF(D144&lt;=E144,"PASS","FAIL")</f>
        <v>PASS</v>
      </c>
    </row>
    <row r="145" customFormat="false" ht="15" hidden="false" customHeight="false" outlineLevel="0" collapsed="false">
      <c r="A145" s="2" t="s">
        <v>695</v>
      </c>
      <c r="B145" s="12" t="n">
        <f aca="false">IF(Choose!D79="1",1,0)</f>
        <v>1</v>
      </c>
      <c r="C145" s="20" t="n">
        <f aca="false">Reference_Values!B145</f>
        <v>1</v>
      </c>
      <c r="D145" s="21" t="n">
        <f aca="false">ABS(B145-C145)</f>
        <v>0</v>
      </c>
      <c r="E145" s="36" t="n">
        <v>0</v>
      </c>
      <c r="F145" s="4" t="str">
        <f aca="false">IF(D145&lt;=E145,"PASS","FAIL")</f>
        <v>PASS</v>
      </c>
    </row>
    <row r="146" customFormat="false" ht="15" hidden="false" customHeight="false" outlineLevel="0" collapsed="false">
      <c r="A146" s="2" t="s">
        <v>696</v>
      </c>
      <c r="B146" s="12" t="n">
        <f aca="false">Choose!D85</f>
        <v>70</v>
      </c>
      <c r="C146" s="20" t="n">
        <f aca="false">Reference_Values!B146</f>
        <v>70</v>
      </c>
      <c r="D146" s="21" t="n">
        <f aca="false">ABS(B146-C146)</f>
        <v>0</v>
      </c>
      <c r="E146" s="36" t="n">
        <v>1E-009</v>
      </c>
      <c r="F146" s="4" t="str">
        <f aca="false">IF(D146&lt;=E146,"PASS","FAIL")</f>
        <v>PASS</v>
      </c>
    </row>
    <row r="147" customFormat="false" ht="15" hidden="false" customHeight="false" outlineLevel="0" collapsed="false">
      <c r="A147" s="2" t="s">
        <v>698</v>
      </c>
      <c r="B147" s="12" t="n">
        <f aca="false">Choose!D86</f>
        <v>70</v>
      </c>
      <c r="C147" s="20" t="n">
        <f aca="false">Reference_Values!B147</f>
        <v>70</v>
      </c>
      <c r="D147" s="21" t="n">
        <f aca="false">ABS(B147-C147)</f>
        <v>0</v>
      </c>
      <c r="E147" s="36" t="n">
        <v>1E-009</v>
      </c>
      <c r="F147" s="4" t="str">
        <f aca="false">IF(D147&lt;=E147,"PASS","FAIL")</f>
        <v>PASS</v>
      </c>
    </row>
    <row r="148" customFormat="false" ht="15" hidden="false" customHeight="false" outlineLevel="0" collapsed="false">
      <c r="A148" s="2" t="s">
        <v>699</v>
      </c>
      <c r="B148" s="12" t="n">
        <f aca="false">Choose!D87</f>
        <v>70</v>
      </c>
      <c r="C148" s="20" t="n">
        <f aca="false">Reference_Values!B148</f>
        <v>70</v>
      </c>
      <c r="D148" s="21" t="n">
        <f aca="false">ABS(B148-C148)</f>
        <v>0</v>
      </c>
      <c r="E148" s="36" t="n">
        <v>1E-009</v>
      </c>
      <c r="F148" s="4" t="str">
        <f aca="false">IF(D148&lt;=E148,"PASS","FAIL")</f>
        <v>PASS</v>
      </c>
    </row>
    <row r="149" customFormat="false" ht="15" hidden="false" customHeight="false" outlineLevel="0" collapsed="false">
      <c r="A149" s="2" t="s">
        <v>700</v>
      </c>
      <c r="B149" s="12" t="n">
        <f aca="false">Choose!D88</f>
        <v>70</v>
      </c>
      <c r="C149" s="20" t="n">
        <f aca="false">Reference_Values!B149</f>
        <v>70</v>
      </c>
      <c r="D149" s="21" t="n">
        <f aca="false">ABS(B149-C149)</f>
        <v>0</v>
      </c>
      <c r="E149" s="36" t="n">
        <v>1E-009</v>
      </c>
      <c r="F149" s="4" t="str">
        <f aca="false">IF(D149&lt;=E149,"PASS","FAIL")</f>
        <v>PASS</v>
      </c>
    </row>
    <row r="150" customFormat="false" ht="15" hidden="false" customHeight="false" outlineLevel="0" collapsed="false">
      <c r="A150" s="2" t="s">
        <v>701</v>
      </c>
      <c r="B150" s="12" t="n">
        <f aca="false">Choose!D89</f>
        <v>20</v>
      </c>
      <c r="C150" s="20" t="n">
        <f aca="false">Reference_Values!B150</f>
        <v>20</v>
      </c>
      <c r="D150" s="21" t="n">
        <f aca="false">ABS(B150-C150)</f>
        <v>0</v>
      </c>
      <c r="E150" s="36" t="n">
        <v>1E-009</v>
      </c>
      <c r="F150" s="4" t="str">
        <f aca="false">IF(D150&lt;=E150,"PASS","FAIL")</f>
        <v>PASS</v>
      </c>
    </row>
    <row r="151" customFormat="false" ht="15" hidden="false" customHeight="false" outlineLevel="0" collapsed="false">
      <c r="A151" s="2" t="s">
        <v>702</v>
      </c>
      <c r="B151" s="12" t="n">
        <f aca="false">Choose!D90</f>
        <v>0</v>
      </c>
      <c r="C151" s="20" t="n">
        <f aca="false">Reference_Values!B151</f>
        <v>0</v>
      </c>
      <c r="D151" s="21" t="n">
        <f aca="false">ABS(B151-C151)</f>
        <v>0</v>
      </c>
      <c r="E151" s="36" t="n">
        <v>1E-009</v>
      </c>
      <c r="F151" s="4" t="str">
        <f aca="false">IF(D151&lt;=E151,"PASS","FAIL")</f>
        <v>PASS</v>
      </c>
    </row>
    <row r="152" customFormat="false" ht="15" hidden="false" customHeight="false" outlineLevel="0" collapsed="false">
      <c r="A152" s="2" t="s">
        <v>703</v>
      </c>
      <c r="B152" s="12" t="n">
        <f aca="false">Choose!B92</f>
        <v>1021.93254988115</v>
      </c>
      <c r="C152" s="20" t="n">
        <f aca="false">Reference_Values!B152</f>
        <v>1021.93254988115</v>
      </c>
      <c r="D152" s="21" t="n">
        <f aca="false">ABS(B152-C152)</f>
        <v>0</v>
      </c>
      <c r="E152" s="36" t="n">
        <v>1E-009</v>
      </c>
      <c r="F152" s="4" t="str">
        <f aca="false">IF(D152&lt;=E152,"PASS","FAIL")</f>
        <v>PASS</v>
      </c>
    </row>
    <row r="153" customFormat="false" ht="15" hidden="false" customHeight="false" outlineLevel="0" collapsed="false">
      <c r="A153" s="2" t="s">
        <v>705</v>
      </c>
      <c r="B153" s="12" t="n">
        <f aca="false">IF(Choose!B101="1, 2, 5",1,0)</f>
        <v>1</v>
      </c>
      <c r="C153" s="20" t="n">
        <f aca="false">Reference_Values!B153</f>
        <v>1</v>
      </c>
      <c r="D153" s="21" t="n">
        <f aca="false">ABS(B153-C153)</f>
        <v>0</v>
      </c>
      <c r="E153" s="36" t="n">
        <v>0</v>
      </c>
      <c r="F153" s="4" t="str">
        <f aca="false">IF(D153&lt;=E153,"PASS","FAIL")</f>
        <v>PASS</v>
      </c>
    </row>
    <row r="154" customFormat="false" ht="15" hidden="false" customHeight="false" outlineLevel="0" collapsed="false">
      <c r="A154" s="2" t="s">
        <v>706</v>
      </c>
      <c r="B154" s="12" t="n">
        <f aca="false">Choose!B103</f>
        <v>300</v>
      </c>
      <c r="C154" s="20" t="n">
        <f aca="false">Reference_Values!B154</f>
        <v>300</v>
      </c>
      <c r="D154" s="21" t="n">
        <f aca="false">ABS(B154-C154)</f>
        <v>0</v>
      </c>
      <c r="E154" s="36" t="n">
        <v>1E-009</v>
      </c>
      <c r="F154" s="4" t="str">
        <f aca="false">IF(D154&lt;=E154,"PASS","FAIL")</f>
        <v>PASS</v>
      </c>
    </row>
    <row r="155" customFormat="false" ht="15" hidden="false" customHeight="false" outlineLevel="0" collapsed="false">
      <c r="A155" s="2" t="s">
        <v>708</v>
      </c>
      <c r="B155" s="12" t="n">
        <f aca="false">Choose!B102</f>
        <v>300.051056666973</v>
      </c>
      <c r="C155" s="20" t="n">
        <f aca="false">Reference_Values!B155</f>
        <v>300.051056666973</v>
      </c>
      <c r="D155" s="21" t="n">
        <f aca="false">ABS(B155-C155)</f>
        <v>0</v>
      </c>
      <c r="E155" s="36" t="n">
        <v>1E-009</v>
      </c>
      <c r="F155" s="4" t="str">
        <f aca="false">IF(D155&lt;=E155,"PASS","FAIL")</f>
        <v>PASS</v>
      </c>
    </row>
    <row r="156" customFormat="false" ht="15" hidden="false" customHeight="false" outlineLevel="0" collapsed="false">
      <c r="A156" s="2" t="s">
        <v>710</v>
      </c>
      <c r="B156" s="12" t="n">
        <f aca="false">Choose!B113</f>
        <v>1</v>
      </c>
      <c r="C156" s="20" t="n">
        <f aca="false">Reference_Values!B156</f>
        <v>1</v>
      </c>
      <c r="D156" s="21" t="n">
        <f aca="false">ABS(B156-C156)</f>
        <v>0</v>
      </c>
      <c r="E156" s="36" t="n">
        <v>0</v>
      </c>
      <c r="F156" s="4" t="str">
        <f aca="false">IF(D156&lt;=E156,"PASS","FAIL")</f>
        <v>PASS</v>
      </c>
    </row>
    <row r="157" customFormat="false" ht="15" hidden="false" customHeight="false" outlineLevel="0" collapsed="false">
      <c r="A157" s="2" t="s">
        <v>712</v>
      </c>
      <c r="B157" s="12" t="n">
        <f aca="false">IF(Choose!B109="1–3",1,0)</f>
        <v>1</v>
      </c>
      <c r="C157" s="20" t="n">
        <f aca="false">Reference_Values!B157</f>
        <v>1</v>
      </c>
      <c r="D157" s="21" t="n">
        <f aca="false">ABS(B157-C157)</f>
        <v>0</v>
      </c>
      <c r="E157" s="36" t="n">
        <v>0</v>
      </c>
      <c r="F157" s="4" t="str">
        <f aca="false">IF(D157&lt;=E157,"PASS","FAIL")</f>
        <v>PASS</v>
      </c>
    </row>
    <row r="158" customFormat="false" ht="15" hidden="false" customHeight="false" outlineLevel="0" collapsed="false">
      <c r="A158" s="2" t="s">
        <v>713</v>
      </c>
      <c r="B158" s="12" t="n">
        <f aca="false">Choose!B107</f>
        <v>307.724712838</v>
      </c>
      <c r="C158" s="20" t="n">
        <f aca="false">Reference_Values!B158</f>
        <v>307.724712838</v>
      </c>
      <c r="D158" s="21" t="n">
        <f aca="false">ABS(B158-C158)</f>
        <v>0</v>
      </c>
      <c r="E158" s="36" t="n">
        <v>1E-009</v>
      </c>
      <c r="F158" s="4" t="str">
        <f aca="false">IF(D158&lt;=E158,"PASS","FAIL")</f>
        <v>PASS</v>
      </c>
    </row>
    <row r="159" customFormat="false" ht="15" hidden="false" customHeight="false" outlineLevel="0" collapsed="false">
      <c r="A159" s="2" t="s">
        <v>715</v>
      </c>
      <c r="B159" s="12" t="n">
        <f aca="false">Choose!B112</f>
        <v>7.7247128379999</v>
      </c>
      <c r="C159" s="20" t="n">
        <f aca="false">Reference_Values!B159</f>
        <v>7.7247128379999</v>
      </c>
      <c r="D159" s="21" t="n">
        <f aca="false">ABS(B159-C159)</f>
        <v>0</v>
      </c>
      <c r="E159" s="36" t="n">
        <v>1E-009</v>
      </c>
      <c r="F159" s="4" t="str">
        <f aca="false">IF(D159&lt;=E159,"PASS","FAIL")</f>
        <v>PASS</v>
      </c>
    </row>
    <row r="160" customFormat="false" ht="15" hidden="false" customHeight="false" outlineLevel="0" collapsed="false">
      <c r="A160" s="2" t="s">
        <v>717</v>
      </c>
      <c r="B160" s="12" t="n">
        <f aca="false">Table12_3!C5</f>
        <v>0</v>
      </c>
      <c r="C160" s="20" t="n">
        <f aca="false">Reference_Values!B160</f>
        <v>0</v>
      </c>
      <c r="D160" s="21" t="n">
        <f aca="false">ABS(B160-C160)</f>
        <v>0</v>
      </c>
      <c r="E160" s="36" t="n">
        <v>0</v>
      </c>
      <c r="F160" s="4" t="str">
        <f aca="false">IF(D160&lt;=E160,"PASS","FAIL")</f>
        <v>PASS</v>
      </c>
    </row>
    <row r="161" customFormat="false" ht="15" hidden="false" customHeight="false" outlineLevel="0" collapsed="false">
      <c r="A161" s="2" t="s">
        <v>718</v>
      </c>
      <c r="B161" s="12" t="n">
        <f aca="false">Table12_3!D5</f>
        <v>384.173336396545</v>
      </c>
      <c r="C161" s="20" t="n">
        <f aca="false">Reference_Values!B161</f>
        <v>384.173336396545</v>
      </c>
      <c r="D161" s="21" t="n">
        <f aca="false">ABS(B161-C161)</f>
        <v>0</v>
      </c>
      <c r="E161" s="36" t="n">
        <v>1E-009</v>
      </c>
      <c r="F161" s="4" t="str">
        <f aca="false">IF(D161&lt;=E161,"PASS","FAIL")</f>
        <v>PASS</v>
      </c>
    </row>
    <row r="162" customFormat="false" ht="15" hidden="false" customHeight="false" outlineLevel="0" collapsed="false">
      <c r="A162" s="2" t="s">
        <v>719</v>
      </c>
      <c r="B162" s="12" t="n">
        <f aca="false">Table12_3!E5</f>
        <v>105</v>
      </c>
      <c r="C162" s="20" t="n">
        <f aca="false">Reference_Values!B162</f>
        <v>105</v>
      </c>
      <c r="D162" s="21" t="n">
        <f aca="false">ABS(B162-C162)</f>
        <v>0</v>
      </c>
      <c r="E162" s="36" t="n">
        <v>1E-009</v>
      </c>
      <c r="F162" s="4" t="str">
        <f aca="false">IF(D162&lt;=E162,"PASS","FAIL")</f>
        <v>PASS</v>
      </c>
    </row>
    <row r="163" customFormat="false" ht="15" hidden="false" customHeight="false" outlineLevel="0" collapsed="false">
      <c r="A163" s="2" t="s">
        <v>720</v>
      </c>
      <c r="B163" s="12" t="n">
        <f aca="false">Table12_3!F5</f>
        <v>976.870962953011</v>
      </c>
      <c r="C163" s="20" t="n">
        <f aca="false">Reference_Values!B163</f>
        <v>976.870962953011</v>
      </c>
      <c r="D163" s="21" t="n">
        <f aca="false">ABS(B163-C163)</f>
        <v>0</v>
      </c>
      <c r="E163" s="36" t="n">
        <v>1E-009</v>
      </c>
      <c r="F163" s="4" t="str">
        <f aca="false">IF(D163&lt;=E163,"PASS","FAIL")</f>
        <v>PASS</v>
      </c>
    </row>
    <row r="164" customFormat="false" ht="15" hidden="false" customHeight="false" outlineLevel="0" collapsed="false">
      <c r="A164" s="2" t="s">
        <v>721</v>
      </c>
      <c r="B164" s="12" t="n">
        <f aca="false">Table12_3!C6</f>
        <v>0</v>
      </c>
      <c r="C164" s="20" t="n">
        <f aca="false">Reference_Values!B164</f>
        <v>0</v>
      </c>
      <c r="D164" s="21" t="n">
        <f aca="false">ABS(B164-C164)</f>
        <v>0</v>
      </c>
      <c r="E164" s="36" t="n">
        <v>0</v>
      </c>
      <c r="F164" s="4" t="str">
        <f aca="false">IF(D164&lt;=E164,"PASS","FAIL")</f>
        <v>PASS</v>
      </c>
    </row>
    <row r="165" customFormat="false" ht="15" hidden="false" customHeight="false" outlineLevel="0" collapsed="false">
      <c r="A165" s="2" t="s">
        <v>722</v>
      </c>
      <c r="B165" s="12" t="n">
        <f aca="false">Table12_3!D6</f>
        <v>106.59150319972</v>
      </c>
      <c r="C165" s="20" t="n">
        <f aca="false">Reference_Values!B165</f>
        <v>106.591503199721</v>
      </c>
      <c r="D165" s="21" t="n">
        <f aca="false">ABS(B165-C165)</f>
        <v>0</v>
      </c>
      <c r="E165" s="36" t="n">
        <v>1E-009</v>
      </c>
      <c r="F165" s="4" t="str">
        <f aca="false">IF(D165&lt;=E165,"PASS","FAIL")</f>
        <v>PASS</v>
      </c>
    </row>
    <row r="166" customFormat="false" ht="15" hidden="false" customHeight="false" outlineLevel="0" collapsed="false">
      <c r="A166" s="2" t="s">
        <v>723</v>
      </c>
      <c r="B166" s="12" t="n">
        <f aca="false">Table12_3!E6</f>
        <v>137.8125</v>
      </c>
      <c r="C166" s="20" t="n">
        <f aca="false">Reference_Values!B166</f>
        <v>137.8125</v>
      </c>
      <c r="D166" s="21" t="n">
        <f aca="false">ABS(B166-C166)</f>
        <v>0</v>
      </c>
      <c r="E166" s="36" t="n">
        <v>1E-009</v>
      </c>
      <c r="F166" s="4" t="str">
        <f aca="false">IF(D166&lt;=E166,"PASS","FAIL")</f>
        <v>PASS</v>
      </c>
    </row>
    <row r="167" customFormat="false" ht="15" hidden="false" customHeight="false" outlineLevel="0" collapsed="false">
      <c r="A167" s="2" t="s">
        <v>724</v>
      </c>
      <c r="B167" s="12" t="n">
        <f aca="false">Table12_3!F6</f>
        <v>884.507138055082</v>
      </c>
      <c r="C167" s="20" t="n">
        <f aca="false">Reference_Values!B167</f>
        <v>884.507138055082</v>
      </c>
      <c r="D167" s="21" t="n">
        <f aca="false">ABS(B167-C167)</f>
        <v>0</v>
      </c>
      <c r="E167" s="36" t="n">
        <v>1E-009</v>
      </c>
      <c r="F167" s="4" t="str">
        <f aca="false">IF(D167&lt;=E167,"PASS","FAIL")</f>
        <v>PASS</v>
      </c>
    </row>
    <row r="168" customFormat="false" ht="15" hidden="false" customHeight="false" outlineLevel="0" collapsed="false">
      <c r="A168" s="2" t="s">
        <v>725</v>
      </c>
      <c r="B168" s="12" t="n">
        <f aca="false">Table12_3!C7</f>
        <v>150</v>
      </c>
      <c r="C168" s="20" t="n">
        <f aca="false">Reference_Values!B168</f>
        <v>150</v>
      </c>
      <c r="D168" s="21" t="n">
        <f aca="false">ABS(B168-C168)</f>
        <v>0</v>
      </c>
      <c r="E168" s="36" t="n">
        <v>0</v>
      </c>
      <c r="F168" s="4" t="str">
        <f aca="false">IF(D168&lt;=E168,"PASS","FAIL")</f>
        <v>PASS</v>
      </c>
    </row>
    <row r="169" customFormat="false" ht="15" hidden="false" customHeight="false" outlineLevel="0" collapsed="false">
      <c r="A169" s="2" t="s">
        <v>726</v>
      </c>
      <c r="B169" s="12" t="n">
        <f aca="false">Table12_3!D7</f>
        <v>234.309007705634</v>
      </c>
      <c r="C169" s="20" t="n">
        <f aca="false">Reference_Values!B169</f>
        <v>234.309007705634</v>
      </c>
      <c r="D169" s="21" t="n">
        <f aca="false">ABS(B169-C169)</f>
        <v>0</v>
      </c>
      <c r="E169" s="36" t="n">
        <v>1E-009</v>
      </c>
      <c r="F169" s="4" t="str">
        <f aca="false">IF(D169&lt;=E169,"PASS","FAIL")</f>
        <v>PASS</v>
      </c>
    </row>
    <row r="170" customFormat="false" ht="15" hidden="false" customHeight="false" outlineLevel="0" collapsed="false">
      <c r="A170" s="2" t="s">
        <v>727</v>
      </c>
      <c r="B170" s="12" t="n">
        <f aca="false">Table12_3!E7</f>
        <v>70</v>
      </c>
      <c r="C170" s="20" t="n">
        <f aca="false">Reference_Values!B170</f>
        <v>70</v>
      </c>
      <c r="D170" s="21" t="n">
        <f aca="false">ABS(B170-C170)</f>
        <v>0</v>
      </c>
      <c r="E170" s="36" t="n">
        <v>1E-009</v>
      </c>
      <c r="F170" s="4" t="str">
        <f aca="false">IF(D170&lt;=E170,"PASS","FAIL")</f>
        <v>PASS</v>
      </c>
    </row>
    <row r="171" customFormat="false" ht="15" hidden="false" customHeight="false" outlineLevel="0" collapsed="false">
      <c r="A171" s="2" t="s">
        <v>728</v>
      </c>
      <c r="B171" s="12" t="n">
        <f aca="false">Table12_3!F7</f>
        <v>629.440758743278</v>
      </c>
      <c r="C171" s="20" t="n">
        <f aca="false">Reference_Values!B171</f>
        <v>629.440758743278</v>
      </c>
      <c r="D171" s="21" t="n">
        <f aca="false">ABS(B171-C171)</f>
        <v>0</v>
      </c>
      <c r="E171" s="36" t="n">
        <v>1E-009</v>
      </c>
      <c r="F171" s="4" t="str">
        <f aca="false">IF(D171&lt;=E171,"PASS","FAIL")</f>
        <v>PASS</v>
      </c>
    </row>
    <row r="172" customFormat="false" ht="15" hidden="false" customHeight="false" outlineLevel="0" collapsed="false">
      <c r="A172" s="2" t="s">
        <v>729</v>
      </c>
      <c r="B172" s="12" t="n">
        <f aca="false">Table12_3!C8</f>
        <v>0</v>
      </c>
      <c r="C172" s="20" t="n">
        <f aca="false">Reference_Values!B172</f>
        <v>0</v>
      </c>
      <c r="D172" s="21" t="n">
        <f aca="false">ABS(B172-C172)</f>
        <v>0</v>
      </c>
      <c r="E172" s="36" t="n">
        <v>0</v>
      </c>
      <c r="F172" s="4" t="str">
        <f aca="false">IF(D172&lt;=E172,"PASS","FAIL")</f>
        <v>PASS</v>
      </c>
    </row>
    <row r="173" customFormat="false" ht="15" hidden="false" customHeight="false" outlineLevel="0" collapsed="false">
      <c r="A173" s="2" t="s">
        <v>730</v>
      </c>
      <c r="B173" s="12" t="n">
        <f aca="false">Table12_3!D8</f>
        <v>330.451985565273</v>
      </c>
      <c r="C173" s="20" t="n">
        <f aca="false">Reference_Values!B173</f>
        <v>330.451985565273</v>
      </c>
      <c r="D173" s="21" t="n">
        <f aca="false">ABS(B173-C173)</f>
        <v>0</v>
      </c>
      <c r="E173" s="36" t="n">
        <v>1E-009</v>
      </c>
      <c r="F173" s="4" t="str">
        <f aca="false">IF(D173&lt;=E173,"PASS","FAIL")</f>
        <v>PASS</v>
      </c>
    </row>
    <row r="174" customFormat="false" ht="15" hidden="false" customHeight="false" outlineLevel="0" collapsed="false">
      <c r="A174" s="2" t="s">
        <v>731</v>
      </c>
      <c r="B174" s="12" t="n">
        <f aca="false">Table12_3!E8</f>
        <v>122.5</v>
      </c>
      <c r="C174" s="20" t="n">
        <f aca="false">Reference_Values!B174</f>
        <v>122.5</v>
      </c>
      <c r="D174" s="21" t="n">
        <f aca="false">ABS(B174-C174)</f>
        <v>0</v>
      </c>
      <c r="E174" s="36" t="n">
        <v>1E-009</v>
      </c>
      <c r="F174" s="4" t="str">
        <f aca="false">IF(D174&lt;=E174,"PASS","FAIL")</f>
        <v>PASS</v>
      </c>
    </row>
    <row r="175" customFormat="false" ht="15" hidden="false" customHeight="false" outlineLevel="0" collapsed="false">
      <c r="A175" s="2" t="s">
        <v>732</v>
      </c>
      <c r="B175" s="12" t="n">
        <f aca="false">Table12_3!F8</f>
        <v>1021.93254988115</v>
      </c>
      <c r="C175" s="20" t="n">
        <f aca="false">Reference_Values!B175</f>
        <v>1021.93254988115</v>
      </c>
      <c r="D175" s="21" t="n">
        <f aca="false">ABS(B175-C175)</f>
        <v>0</v>
      </c>
      <c r="E175" s="36" t="n">
        <v>1E-009</v>
      </c>
      <c r="F175" s="4" t="str">
        <f aca="false">IF(D175&lt;=E175,"PASS","FAIL")</f>
        <v>PASS</v>
      </c>
    </row>
    <row r="176" customFormat="false" ht="15" hidden="false" customHeight="false" outlineLevel="0" collapsed="false">
      <c r="A176" s="2" t="s">
        <v>733</v>
      </c>
      <c r="B176" s="12" t="n">
        <f aca="false">Table12_3!C9</f>
        <v>92</v>
      </c>
      <c r="C176" s="20" t="n">
        <f aca="false">Reference_Values!B176</f>
        <v>92</v>
      </c>
      <c r="D176" s="21" t="n">
        <f aca="false">ABS(B176-C176)</f>
        <v>0</v>
      </c>
      <c r="E176" s="36" t="n">
        <v>0</v>
      </c>
      <c r="F176" s="4" t="str">
        <f aca="false">IF(D176&lt;=E176,"PASS","FAIL")</f>
        <v>PASS</v>
      </c>
    </row>
    <row r="177" customFormat="false" ht="15" hidden="false" customHeight="false" outlineLevel="0" collapsed="false">
      <c r="A177" s="2" t="s">
        <v>734</v>
      </c>
      <c r="B177" s="12" t="n">
        <f aca="false">Table12_3!D9</f>
        <v>242.796087744086</v>
      </c>
      <c r="C177" s="20" t="n">
        <f aca="false">Reference_Values!B177</f>
        <v>242.796087744086</v>
      </c>
      <c r="D177" s="21" t="n">
        <f aca="false">ABS(B177-C177)</f>
        <v>0</v>
      </c>
      <c r="E177" s="36" t="n">
        <v>1E-009</v>
      </c>
      <c r="F177" s="4" t="str">
        <f aca="false">IF(D177&lt;=E177,"PASS","FAIL")</f>
        <v>PASS</v>
      </c>
    </row>
    <row r="178" customFormat="false" ht="15" hidden="false" customHeight="false" outlineLevel="0" collapsed="false">
      <c r="A178" s="2" t="s">
        <v>735</v>
      </c>
      <c r="B178" s="12" t="n">
        <f aca="false">Table12_3!E9</f>
        <v>122.5</v>
      </c>
      <c r="C178" s="20" t="n">
        <f aca="false">Reference_Values!B178</f>
        <v>122.5</v>
      </c>
      <c r="D178" s="21" t="n">
        <f aca="false">ABS(B178-C178)</f>
        <v>0</v>
      </c>
      <c r="E178" s="36" t="n">
        <v>1E-009</v>
      </c>
      <c r="F178" s="4" t="str">
        <f aca="false">IF(D178&lt;=E178,"PASS","FAIL")</f>
        <v>PASS</v>
      </c>
    </row>
    <row r="179" customFormat="false" ht="15" hidden="false" customHeight="false" outlineLevel="0" collapsed="false">
      <c r="A179" s="2" t="s">
        <v>736</v>
      </c>
      <c r="B179" s="12" t="n">
        <f aca="false">Table12_3!F9</f>
        <v>934.276652059963</v>
      </c>
      <c r="C179" s="20" t="n">
        <f aca="false">Reference_Values!B179</f>
        <v>934.276652059963</v>
      </c>
      <c r="D179" s="21" t="n">
        <f aca="false">ABS(B179-C179)</f>
        <v>0</v>
      </c>
      <c r="E179" s="36" t="n">
        <v>1E-009</v>
      </c>
      <c r="F179" s="4" t="str">
        <f aca="false">IF(D179&lt;=E179,"PASS","FAIL")</f>
        <v>PASS</v>
      </c>
    </row>
    <row r="180" customFormat="false" ht="15" hidden="false" customHeight="false" outlineLevel="0" collapsed="false">
      <c r="A180" s="2" t="s">
        <v>737</v>
      </c>
      <c r="B180" s="12" t="n">
        <f aca="false">Table12_3!C10</f>
        <v>96</v>
      </c>
      <c r="C180" s="20" t="n">
        <f aca="false">Reference_Values!B180</f>
        <v>96</v>
      </c>
      <c r="D180" s="21" t="n">
        <f aca="false">ABS(B180-C180)</f>
        <v>0</v>
      </c>
      <c r="E180" s="36" t="n">
        <v>0</v>
      </c>
      <c r="F180" s="4" t="str">
        <f aca="false">IF(D180&lt;=E180,"PASS","FAIL")</f>
        <v>PASS</v>
      </c>
    </row>
    <row r="181" customFormat="false" ht="15" hidden="false" customHeight="false" outlineLevel="0" collapsed="false">
      <c r="A181" s="2" t="s">
        <v>738</v>
      </c>
      <c r="B181" s="12" t="n">
        <f aca="false">Table12_3!D10</f>
        <v>296.900609123818</v>
      </c>
      <c r="C181" s="20" t="n">
        <f aca="false">Reference_Values!B181</f>
        <v>296.900609123818</v>
      </c>
      <c r="D181" s="21" t="n">
        <f aca="false">ABS(B181-C181)</f>
        <v>0</v>
      </c>
      <c r="E181" s="36" t="n">
        <v>1E-009</v>
      </c>
      <c r="F181" s="4" t="str">
        <f aca="false">IF(D181&lt;=E181,"PASS","FAIL")</f>
        <v>PASS</v>
      </c>
    </row>
    <row r="182" customFormat="false" ht="15" hidden="false" customHeight="false" outlineLevel="0" collapsed="false">
      <c r="A182" s="2" t="s">
        <v>739</v>
      </c>
      <c r="B182" s="12" t="n">
        <f aca="false">Table12_3!E10</f>
        <v>105</v>
      </c>
      <c r="C182" s="20" t="n">
        <f aca="false">Reference_Values!B182</f>
        <v>105</v>
      </c>
      <c r="D182" s="21" t="n">
        <f aca="false">ABS(B182-C182)</f>
        <v>0</v>
      </c>
      <c r="E182" s="36" t="n">
        <v>1E-009</v>
      </c>
      <c r="F182" s="4" t="str">
        <f aca="false">IF(D182&lt;=E182,"PASS","FAIL")</f>
        <v>PASS</v>
      </c>
    </row>
    <row r="183" customFormat="false" ht="15" hidden="false" customHeight="false" outlineLevel="0" collapsed="false">
      <c r="A183" s="2" t="s">
        <v>740</v>
      </c>
      <c r="B183" s="12" t="n">
        <f aca="false">Table12_3!F10</f>
        <v>889.598235680284</v>
      </c>
      <c r="C183" s="20" t="n">
        <f aca="false">Reference_Values!B183</f>
        <v>889.598235680284</v>
      </c>
      <c r="D183" s="21" t="n">
        <f aca="false">ABS(B183-C183)</f>
        <v>0</v>
      </c>
      <c r="E183" s="36" t="n">
        <v>1E-009</v>
      </c>
      <c r="F183" s="4" t="str">
        <f aca="false">IF(D183&lt;=E183,"PASS","FAIL")</f>
        <v>PASS</v>
      </c>
    </row>
    <row r="184" customFormat="false" ht="15" hidden="false" customHeight="false" outlineLevel="0" collapsed="false">
      <c r="A184" s="2" t="s">
        <v>741</v>
      </c>
      <c r="B184" s="12" t="n">
        <f aca="false">Table12_3!C11</f>
        <v>25</v>
      </c>
      <c r="C184" s="20" t="n">
        <f aca="false">Reference_Values!B184</f>
        <v>25</v>
      </c>
      <c r="D184" s="21" t="n">
        <f aca="false">ABS(B184-C184)</f>
        <v>0</v>
      </c>
      <c r="E184" s="36" t="n">
        <v>0</v>
      </c>
      <c r="F184" s="4" t="str">
        <f aca="false">IF(D184&lt;=E184,"PASS","FAIL")</f>
        <v>PASS</v>
      </c>
    </row>
    <row r="185" customFormat="false" ht="15" hidden="false" customHeight="false" outlineLevel="0" collapsed="false">
      <c r="A185" s="2" t="s">
        <v>742</v>
      </c>
      <c r="B185" s="12" t="n">
        <f aca="false">Table12_3!D11</f>
        <v>300</v>
      </c>
      <c r="C185" s="20" t="n">
        <f aca="false">Reference_Values!B185</f>
        <v>300</v>
      </c>
      <c r="D185" s="21" t="n">
        <f aca="false">ABS(B185-C185)</f>
        <v>0</v>
      </c>
      <c r="E185" s="36" t="n">
        <v>1E-009</v>
      </c>
      <c r="F185" s="4" t="str">
        <f aca="false">IF(D185&lt;=E185,"PASS","FAIL")</f>
        <v>PASS</v>
      </c>
    </row>
    <row r="186" customFormat="false" ht="15" hidden="false" customHeight="false" outlineLevel="0" collapsed="false">
      <c r="A186" s="2" t="s">
        <v>743</v>
      </c>
      <c r="B186" s="12" t="n">
        <f aca="false">Table12_3!E11</f>
        <v>122.5</v>
      </c>
      <c r="C186" s="20" t="n">
        <f aca="false">Reference_Values!B186</f>
        <v>122.5</v>
      </c>
      <c r="D186" s="21" t="n">
        <f aca="false">ABS(B186-C186)</f>
        <v>0</v>
      </c>
      <c r="E186" s="36" t="n">
        <v>1E-009</v>
      </c>
      <c r="F186" s="4" t="str">
        <f aca="false">IF(D186&lt;=E186,"PASS","FAIL")</f>
        <v>PASS</v>
      </c>
    </row>
    <row r="187" customFormat="false" ht="15" hidden="false" customHeight="false" outlineLevel="0" collapsed="false">
      <c r="A187" s="2" t="s">
        <v>744</v>
      </c>
      <c r="B187" s="12" t="n">
        <f aca="false">Table12_3!F11</f>
        <v>991.480564315877</v>
      </c>
      <c r="C187" s="20" t="n">
        <f aca="false">Reference_Values!B187</f>
        <v>991.480564315877</v>
      </c>
      <c r="D187" s="21" t="n">
        <f aca="false">ABS(B187-C187)</f>
        <v>0</v>
      </c>
      <c r="E187" s="36" t="n">
        <v>1E-009</v>
      </c>
      <c r="F187" s="4" t="str">
        <f aca="false">IF(D187&lt;=E187,"PASS","FAIL")</f>
        <v>PASS</v>
      </c>
    </row>
    <row r="188" customFormat="false" ht="15" hidden="false" customHeight="false" outlineLevel="0" collapsed="false">
      <c r="A188" s="2" t="s">
        <v>745</v>
      </c>
      <c r="B188" s="12" t="n">
        <f aca="false">Table12_3!C12</f>
        <v>25</v>
      </c>
      <c r="C188" s="20" t="n">
        <f aca="false">Reference_Values!B188</f>
        <v>25</v>
      </c>
      <c r="D188" s="21" t="n">
        <f aca="false">ABS(B188-C188)</f>
        <v>0</v>
      </c>
      <c r="E188" s="36" t="n">
        <v>0</v>
      </c>
      <c r="F188" s="4" t="str">
        <f aca="false">IF(D188&lt;=E188,"PASS","FAIL")</f>
        <v>PASS</v>
      </c>
    </row>
    <row r="189" customFormat="false" ht="15" hidden="false" customHeight="false" outlineLevel="0" collapsed="false">
      <c r="A189" s="2" t="s">
        <v>746</v>
      </c>
      <c r="B189" s="12" t="n">
        <f aca="false">Table12_3!D12</f>
        <v>307.724712838</v>
      </c>
      <c r="C189" s="20" t="n">
        <f aca="false">Reference_Values!B189</f>
        <v>307.724712838</v>
      </c>
      <c r="D189" s="21" t="n">
        <f aca="false">ABS(B189-C189)</f>
        <v>0</v>
      </c>
      <c r="E189" s="36" t="n">
        <v>1E-009</v>
      </c>
      <c r="F189" s="4" t="str">
        <f aca="false">IF(D189&lt;=E189,"PASS","FAIL")</f>
        <v>PASS</v>
      </c>
    </row>
    <row r="190" customFormat="false" ht="15" hidden="false" customHeight="false" outlineLevel="0" collapsed="false">
      <c r="A190" s="2" t="s">
        <v>747</v>
      </c>
      <c r="B190" s="12" t="n">
        <f aca="false">Table12_3!E12</f>
        <v>122.5</v>
      </c>
      <c r="C190" s="20" t="n">
        <f aca="false">Reference_Values!B190</f>
        <v>122.5</v>
      </c>
      <c r="D190" s="21" t="n">
        <f aca="false">ABS(B190-C190)</f>
        <v>0</v>
      </c>
      <c r="E190" s="36" t="n">
        <v>1E-009</v>
      </c>
      <c r="F190" s="4" t="str">
        <f aca="false">IF(D190&lt;=E190,"PASS","FAIL")</f>
        <v>PASS</v>
      </c>
    </row>
    <row r="191" customFormat="false" ht="15" hidden="false" customHeight="false" outlineLevel="0" collapsed="false">
      <c r="A191" s="2" t="s">
        <v>748</v>
      </c>
      <c r="B191" s="12" t="n">
        <f aca="false">Table12_3!F12</f>
        <v>999.205277153877</v>
      </c>
      <c r="C191" s="20" t="n">
        <f aca="false">Reference_Values!B191</f>
        <v>999.205277153877</v>
      </c>
      <c r="D191" s="21" t="n">
        <f aca="false">ABS(B191-C191)</f>
        <v>0</v>
      </c>
      <c r="E191" s="36" t="n">
        <v>1E-009</v>
      </c>
      <c r="F191" s="4" t="str">
        <f aca="false">IF(D191&lt;=E191,"PASS","FAIL")</f>
        <v>PASS</v>
      </c>
    </row>
    <row r="192" customFormat="false" ht="15" hidden="false" customHeight="false" outlineLevel="0" collapsed="false">
      <c r="A192" s="2" t="s">
        <v>749</v>
      </c>
      <c r="B192" s="12" t="n">
        <f aca="false">Table12_3!B14</f>
        <v>629.440758743278</v>
      </c>
      <c r="C192" s="20" t="n">
        <f aca="false">Reference_Values!B192</f>
        <v>629.440758743278</v>
      </c>
      <c r="D192" s="21" t="n">
        <f aca="false">ABS(B192-C192)</f>
        <v>0</v>
      </c>
      <c r="E192" s="36" t="n">
        <v>1E-009</v>
      </c>
      <c r="F192" s="4" t="str">
        <f aca="false">IF(D192&lt;=E192,"PASS","FAIL")</f>
        <v>PASS</v>
      </c>
    </row>
    <row r="193" customFormat="false" ht="15" hidden="false" customHeight="false" outlineLevel="0" collapsed="false">
      <c r="A193" s="2" t="s">
        <v>751</v>
      </c>
      <c r="B193" s="12" t="n">
        <f aca="false">Table12_3!B15</f>
        <v>1021.93254988115</v>
      </c>
      <c r="C193" s="20" t="n">
        <f aca="false">Reference_Values!B193</f>
        <v>1021.93254988115</v>
      </c>
      <c r="D193" s="21" t="n">
        <f aca="false">ABS(B193-C193)</f>
        <v>0</v>
      </c>
      <c r="E193" s="36" t="n">
        <v>1E-009</v>
      </c>
      <c r="F193" s="4" t="str">
        <f aca="false">IF(D193&lt;=E193,"PASS","FAIL")</f>
        <v>PASS</v>
      </c>
    </row>
    <row r="194" customFormat="false" ht="15" hidden="false" customHeight="false" outlineLevel="0" collapsed="false">
      <c r="A194" s="2" t="s">
        <v>753</v>
      </c>
      <c r="B194" s="12" t="n">
        <f aca="false">Computing!B15</f>
        <v>49454.3284760587</v>
      </c>
      <c r="C194" s="20" t="n">
        <f aca="false">Reference_Values!B194</f>
        <v>49454.3284760587</v>
      </c>
      <c r="D194" s="21" t="n">
        <f aca="false">ABS(B194-C194)</f>
        <v>0</v>
      </c>
      <c r="E194" s="36" t="n">
        <v>1E-006</v>
      </c>
      <c r="F194" s="4" t="str">
        <f aca="false">IF(D194&lt;=E194,"PASS","FAIL")</f>
        <v>PASS</v>
      </c>
    </row>
    <row r="195" customFormat="false" ht="15" hidden="false" customHeight="false" outlineLevel="0" collapsed="false">
      <c r="A195" s="2" t="s">
        <v>755</v>
      </c>
      <c r="B195" s="12" t="n">
        <f aca="false">Computing!E19</f>
        <v>40480.3682317459</v>
      </c>
      <c r="C195" s="20" t="n">
        <f aca="false">Reference_Values!B195</f>
        <v>40480.3682317459</v>
      </c>
      <c r="D195" s="21" t="n">
        <f aca="false">ABS(B195-C195)</f>
        <v>0</v>
      </c>
      <c r="E195" s="36" t="n">
        <v>1E-006</v>
      </c>
      <c r="F195" s="4" t="str">
        <f aca="false">IF(D195&lt;=E195,"PASS","FAIL")</f>
        <v>PASS</v>
      </c>
    </row>
    <row r="196" customFormat="false" ht="15" hidden="false" customHeight="false" outlineLevel="0" collapsed="false">
      <c r="A196" s="2" t="s">
        <v>757</v>
      </c>
      <c r="B196" s="12" t="n">
        <f aca="false">Computing!F19</f>
        <v>1</v>
      </c>
      <c r="C196" s="20" t="n">
        <f aca="false">Reference_Values!B196</f>
        <v>1</v>
      </c>
      <c r="D196" s="21" t="n">
        <f aca="false">ABS(B196-C196)</f>
        <v>0</v>
      </c>
      <c r="E196" s="36" t="n">
        <v>0</v>
      </c>
      <c r="F196" s="4" t="str">
        <f aca="false">IF(D196&lt;=E196,"PASS","FAIL")</f>
        <v>PASS</v>
      </c>
    </row>
    <row r="197" customFormat="false" ht="15" hidden="false" customHeight="false" outlineLevel="0" collapsed="false">
      <c r="A197" s="2" t="s">
        <v>759</v>
      </c>
      <c r="B197" s="12" t="n">
        <f aca="false">Computing!E20</f>
        <v>47186.3153808985</v>
      </c>
      <c r="C197" s="20" t="n">
        <f aca="false">Reference_Values!B197</f>
        <v>47186.3153808985</v>
      </c>
      <c r="D197" s="21" t="n">
        <f aca="false">ABS(B197-C197)</f>
        <v>0</v>
      </c>
      <c r="E197" s="36" t="n">
        <v>1E-006</v>
      </c>
      <c r="F197" s="4" t="str">
        <f aca="false">IF(D197&lt;=E197,"PASS","FAIL")</f>
        <v>PASS</v>
      </c>
    </row>
    <row r="198" customFormat="false" ht="15" hidden="false" customHeight="false" outlineLevel="0" collapsed="false">
      <c r="A198" s="2" t="s">
        <v>760</v>
      </c>
      <c r="B198" s="12" t="n">
        <f aca="false">Computing!F20</f>
        <v>1</v>
      </c>
      <c r="C198" s="20" t="n">
        <f aca="false">Reference_Values!B198</f>
        <v>1</v>
      </c>
      <c r="D198" s="21" t="n">
        <f aca="false">ABS(B198-C198)</f>
        <v>0</v>
      </c>
      <c r="E198" s="36" t="n">
        <v>0</v>
      </c>
      <c r="F198" s="4" t="str">
        <f aca="false">IF(D198&lt;=E198,"PASS","FAIL")</f>
        <v>PASS</v>
      </c>
    </row>
    <row r="199" customFormat="false" ht="15" hidden="false" customHeight="false" outlineLevel="0" collapsed="false">
      <c r="A199" s="2" t="s">
        <v>761</v>
      </c>
      <c r="B199" s="12" t="n">
        <f aca="false">Computing!E21</f>
        <v>48573.1434911076</v>
      </c>
      <c r="C199" s="20" t="n">
        <f aca="false">Reference_Values!B199</f>
        <v>48573.1434911076</v>
      </c>
      <c r="D199" s="21" t="n">
        <f aca="false">ABS(B199-C199)</f>
        <v>0</v>
      </c>
      <c r="E199" s="36" t="n">
        <v>1E-006</v>
      </c>
      <c r="F199" s="4" t="str">
        <f aca="false">IF(D199&lt;=E199,"PASS","FAIL")</f>
        <v>PASS</v>
      </c>
    </row>
    <row r="200" customFormat="false" ht="15" hidden="false" customHeight="false" outlineLevel="0" collapsed="false">
      <c r="A200" s="2" t="s">
        <v>762</v>
      </c>
      <c r="B200" s="12" t="n">
        <f aca="false">Computing!F21</f>
        <v>1</v>
      </c>
      <c r="C200" s="20" t="n">
        <f aca="false">Reference_Values!B200</f>
        <v>1</v>
      </c>
      <c r="D200" s="21" t="n">
        <f aca="false">ABS(B200-C200)</f>
        <v>0</v>
      </c>
      <c r="E200" s="36" t="n">
        <v>0</v>
      </c>
      <c r="F200" s="4" t="str">
        <f aca="false">IF(D200&lt;=E200,"PASS","FAIL")</f>
        <v>PASS</v>
      </c>
    </row>
    <row r="201" customFormat="false" ht="15" hidden="false" customHeight="false" outlineLevel="0" collapsed="false">
      <c r="A201" s="2" t="s">
        <v>763</v>
      </c>
      <c r="B201" s="12" t="n">
        <f aca="false">Uncertainty!B21</f>
        <v>1.91</v>
      </c>
      <c r="C201" s="20" t="n">
        <f aca="false">Reference_Values!B201</f>
        <v>1.91</v>
      </c>
      <c r="D201" s="21" t="n">
        <f aca="false">ABS(B201-C201)</f>
        <v>0</v>
      </c>
      <c r="E201" s="36" t="n">
        <v>1E-009</v>
      </c>
      <c r="F201" s="4" t="str">
        <f aca="false">IF(D201&lt;=E201,"PASS","FAIL")</f>
        <v>PASS</v>
      </c>
    </row>
    <row r="202" customFormat="false" ht="15" hidden="false" customHeight="false" outlineLevel="0" collapsed="false">
      <c r="A202" s="2" t="s">
        <v>765</v>
      </c>
      <c r="B202" s="12" t="n">
        <f aca="false">Uncertainty!B22</f>
        <v>1.62</v>
      </c>
      <c r="C202" s="20" t="n">
        <f aca="false">Reference_Values!B202</f>
        <v>1.62</v>
      </c>
      <c r="D202" s="21" t="n">
        <f aca="false">ABS(B202-C202)</f>
        <v>0</v>
      </c>
      <c r="E202" s="36" t="n">
        <v>1E-009</v>
      </c>
      <c r="F202" s="4" t="str">
        <f aca="false">IF(D202&lt;=E202,"PASS","FAIL")</f>
        <v>PASS</v>
      </c>
    </row>
    <row r="203" customFormat="false" ht="15" hidden="false" customHeight="false" outlineLevel="0" collapsed="false">
      <c r="A203" s="2" t="s">
        <v>767</v>
      </c>
      <c r="B203" s="12" t="n">
        <f aca="false">Uncertainty!B23</f>
        <v>1</v>
      </c>
      <c r="C203" s="20" t="n">
        <f aca="false">Reference_Values!B203</f>
        <v>1</v>
      </c>
      <c r="D203" s="21" t="n">
        <f aca="false">ABS(B203-C203)</f>
        <v>0</v>
      </c>
      <c r="E203" s="36" t="n">
        <v>0</v>
      </c>
      <c r="F203" s="4" t="str">
        <f aca="false">IF(D203&lt;=E203,"PASS","FAIL")</f>
        <v>PASS</v>
      </c>
    </row>
    <row r="204" customFormat="false" ht="15" hidden="false" customHeight="false" outlineLevel="0" collapsed="false">
      <c r="A204" s="2" t="s">
        <v>768</v>
      </c>
      <c r="B204" s="12" t="n">
        <f aca="false">Uncertainty!B20</f>
        <v>1</v>
      </c>
      <c r="C204" s="20" t="n">
        <f aca="false">Reference_Values!B204</f>
        <v>1</v>
      </c>
      <c r="D204" s="21" t="n">
        <f aca="false">ABS(B204-C204)</f>
        <v>0</v>
      </c>
      <c r="E204" s="36" t="n">
        <v>0</v>
      </c>
      <c r="F204" s="4" t="str">
        <f aca="false">IF(D204&lt;=E204,"PASS","FAIL")</f>
        <v>PASS</v>
      </c>
    </row>
    <row r="205" customFormat="false" ht="15" hidden="false" customHeight="false" outlineLevel="0" collapsed="false">
      <c r="A205" s="2" t="s">
        <v>487</v>
      </c>
      <c r="B205" s="12" t="n">
        <f aca="false">Uncertainty!B24</f>
        <v>13.56</v>
      </c>
      <c r="C205" s="20" t="n">
        <f aca="false">Reference_Values!B205</f>
        <v>13.56</v>
      </c>
      <c r="D205" s="21" t="n">
        <f aca="false">ABS(B205-C205)</f>
        <v>0</v>
      </c>
      <c r="E205" s="36" t="n">
        <v>1E-009</v>
      </c>
      <c r="F205" s="4" t="str">
        <f aca="false">IF(D205&lt;=E205,"PASS","FAIL")</f>
        <v>PASS</v>
      </c>
    </row>
    <row r="206" customFormat="false" ht="15" hidden="false" customHeight="false" outlineLevel="0" collapsed="false">
      <c r="A206" s="2" t="s">
        <v>771</v>
      </c>
      <c r="B206" s="12" t="n">
        <f aca="false">Uncertainty!B29</f>
        <v>0.9</v>
      </c>
      <c r="C206" s="20" t="n">
        <f aca="false">Reference_Values!B206</f>
        <v>0.9</v>
      </c>
      <c r="D206" s="21" t="n">
        <f aca="false">ABS(B206-C206)</f>
        <v>0</v>
      </c>
      <c r="E206" s="36" t="n">
        <v>1E-009</v>
      </c>
      <c r="F206" s="4" t="str">
        <f aca="false">IF(D206&lt;=E206,"PASS","FAIL")</f>
        <v>PASS</v>
      </c>
    </row>
    <row r="207" customFormat="false" ht="15" hidden="false" customHeight="false" outlineLevel="0" collapsed="false">
      <c r="A207" s="2" t="s">
        <v>773</v>
      </c>
      <c r="B207" s="12" t="n">
        <f aca="false">Uncertainty!B30</f>
        <v>0.55</v>
      </c>
      <c r="C207" s="20" t="n">
        <f aca="false">Reference_Values!B207</f>
        <v>0.55</v>
      </c>
      <c r="D207" s="21" t="n">
        <f aca="false">ABS(B207-C207)</f>
        <v>0</v>
      </c>
      <c r="E207" s="36" t="n">
        <v>1E-009</v>
      </c>
      <c r="F207" s="4" t="str">
        <f aca="false">IF(D207&lt;=E207,"PASS","FAIL")</f>
        <v>PASS</v>
      </c>
    </row>
    <row r="209" customFormat="false" ht="15" hidden="false" customHeight="false" outlineLevel="0" collapsed="false">
      <c r="A209" s="4" t="s">
        <v>779</v>
      </c>
      <c r="F209" s="4" t="str">
        <f aca="false">IF(COUNTIF(F2:F207,"PASS")=206,"ALL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2026-10-05T20:43:48Z</dcterms:created>
  <dc:creator>openpyxl</dc:creator>
  <dc:description/>
  <dc:language>en-US</dc:language>
  <cp:lastModifiedBy/>
  <dcterms:modified xsi:type="dcterms:W3CDTF">2026-10-05T20:43:48Z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