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Record" sheetId="3" state="visible" r:id="rId5"/>
    <sheet name="Law" sheetId="4" state="visible" r:id="rId6"/>
    <sheet name="Components" sheetId="5" state="visible" r:id="rId7"/>
    <sheet name="Model" sheetId="6" state="visible" r:id="rId8"/>
    <sheet name="Accuracy" sheetId="7" state="visible" r:id="rId9"/>
    <sheet name="Designs" sheetId="8" state="visible" r:id="rId10"/>
    <sheet name="Table13_3" sheetId="9" state="visible" r:id="rId11"/>
    <sheet name="Study200" sheetId="10" state="visible" r:id="rId12"/>
    <sheet name="Stages" sheetId="11" state="visible" r:id="rId13"/>
    <sheet name="Sweep" sheetId="12" state="visible" r:id="rId14"/>
    <sheet name="Examples" sheetId="13" state="visible" r:id="rId15"/>
    <sheet name="Reference_Values" sheetId="14" state="visible" r:id="rId16"/>
    <sheet name="Checks" sheetId="15" state="visible" r:id="rId17"/>
  </sheets>
  <definedNames>
    <definedName function="false" hidden="false" name="Alpha" vbProcedure="false">Declarations!$B$15</definedName>
    <definedName function="false" hidden="false" name="Conf" vbProcedure="false">Declarations!$B$22</definedName>
    <definedName function="false" hidden="false" name="CostV1" vbProcedure="false">Declarations!$B$18</definedName>
    <definedName function="false" hidden="false" name="Delta" vbProcedure="false">Law!$B$19</definedName>
    <definedName function="false" hidden="false" name="Depth0" vbProcedure="false">Declarations!$B$13</definedName>
    <definedName function="false" hidden="false" name="DPQ" vbProcedure="false">Declarations!$B$14</definedName>
    <definedName function="false" hidden="false" name="Fee" vbProcedure="false">Declarations!$B$11</definedName>
    <definedName function="false" hidden="false" name="Lam" vbProcedure="false">Declarations!$B$27:$F$27</definedName>
    <definedName function="false" hidden="false" name="NClose" vbProcedure="false">Declarations!$B$8</definedName>
    <definedName function="false" hidden="false" name="NCloseF" vbProcedure="false">Declarations!$B$10</definedName>
    <definedName function="false" hidden="false" name="NOpen" vbProcedure="false">Declarations!$B$9</definedName>
    <definedName function="false" hidden="false" name="NPaths" vbProcedure="false">Declarations!$B$4</definedName>
    <definedName function="false" hidden="false" name="NRec" vbProcedure="false">Declarations!$B$21</definedName>
    <definedName function="false" hidden="false" name="PClose" vbProcedure="false">Declarations!$B$7</definedName>
    <definedName function="false" hidden="false" name="Shift" vbProcedure="false">Declarations!$B$28:$F$28</definedName>
    <definedName function="false" hidden="false" name="VQ" vbProcedure="false">Declarations!$B$12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<sst xmlns="http://schemas.openxmlformats.org/spreadsheetml/2006/main" count="1120" uniqueCount="649">
  <si>
    <t xml:space="preserve">DCT Laboratory — Vol II, Ch 13: Machine Learning for Enterprise Transformation</t>
  </si>
  <si>
    <t xml:space="preserve">Seed 26213 · Companion to DCT_V2_Ch13_Lab.ipynb and AXIOM Lab 2.13 (module AXIOM-13). Money in $ million.</t>
  </si>
  <si>
    <t xml:space="preserve">Worked Example 13.1, Is the Market Desk's Warning Worth Paying For?, with the book's declarations: Chapter 9's law, levers and floor on its 100,000 book paths (seed 8) and 100,000 fresh paths (seed 26209); the market desk's five readings and its record of 1,000 windows (seed 1300); the book paths' readings (seed 1309) and the fresh paths' (seed 26213, the lab's); two packages, one for warning and one for all clear, with the 5 percent appetite counted over both; the audit committee's one-sided 95 percent confidence.</t>
  </si>
  <si>
    <t xml:space="preserve">Declarations: the levers and their prices, Volume I's package, the readings' loadings and shifts, the seeds.</t>
  </si>
  <si>
    <t xml:space="preserve">Record: the desk's record, its means and variances, and the subsets' shares of the variance (step 1).</t>
  </si>
  <si>
    <t xml:space="preserve">Law: the readings' covariance, the declared law's coefficients Sigma^-1 s, the separation and the AUC, the ceiling's split of programs and a threshold to try, the value against the AUC, and subsets (Step 1; Figure 13.1(b)).</t>
  </si>
  <si>
    <t xml:space="preserve">Components and Model: the record's principal components and what they keep, the fitted model's chance for any reading, and its attributions under two games (Step 5; Figure 13.3).</t>
  </si>
  <si>
    <t xml:space="preserve">Accuracy: confusion counts, accuracy and shares for every rule (Steps 2-4; Table 13.2).</t>
  </si>
  <si>
    <t xml:space="preserve">Designs and Table13_3: for every warning, the closure shares (point estimates or Clopper-Pearson bounds), the two packages and their costs, the value promised, the design's chance of a breach from the paths' breach counts, and the fresh check; Table 13.3 (Steps 1-4).</t>
  </si>
  <si>
    <t xml:space="preserve">Study200, Stages and Sweep: the 200 records' fresh checks, the boosting stage curve, and the logistic warning at every threshold (Figures 13.1(a) and 13.2).</t>
  </si>
  <si>
    <t xml:space="preserve">Examples: the appendices' small examples and calculators for the honest checks (Theorems 13.2-13.3, Proposition 13.2).</t>
  </si>
  <si>
    <t xml:space="preserve">Engine values (green) are what needs the simulated paths or a learner: the packages' lines and delays, breach counts, the learned coefficients and scores, the conditional attributions. Everything else is a formula.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</si>
  <si>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</si>
  <si>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</si>
  <si>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</si>
  <si>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</si>
  <si>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</si>
  <si>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</si>
  <si>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13.1, Step 1; Chapter 9's law and levers; the market desk's readings; Online Appendix Remark 13.B.1). Money in $ million.</t>
  </si>
  <si>
    <t xml:space="preserve">Quantity</t>
  </si>
  <si>
    <t xml:space="preserve">Value</t>
  </si>
  <si>
    <t xml:space="preserve">Source</t>
  </si>
  <si>
    <t xml:space="preserve">Paths: the book's (seed 8) and the fresh (seed 26209), each</t>
  </si>
  <si>
    <t xml:space="preserve">Chapter 9's law: 12 quarters, the $350 million floor</t>
  </si>
  <si>
    <t xml:space="preserve">Funding-window closures a year</t>
  </si>
  <si>
    <t xml:space="preserve">Chapter 9's law</t>
  </si>
  <si>
    <t xml:space="preserve">Years in the program</t>
  </si>
  <si>
    <t xml:space="preserve">Twelve quarters</t>
  </si>
  <si>
    <t xml:space="preserve">A closure ahead under the law, 1 - e^(-0.10 x 3)</t>
  </si>
  <si>
    <t xml:space="preserve">25.92 percent (Remark 13.B.1)</t>
  </si>
  <si>
    <t xml:space="preserve">The book's paths with a closure ahead, n1</t>
  </si>
  <si>
    <t xml:space="preserve">25.91 percent of 100,000</t>
  </si>
  <si>
    <t xml:space="preserve">The book's paths without, n0</t>
  </si>
  <si>
    <t xml:space="preserve">The fresh paths with a closure ahead</t>
  </si>
  <si>
    <t xml:space="preserve">25.96 percent of 100,000</t>
  </si>
  <si>
    <t xml:space="preserve">Line fees over the program, per $ of line</t>
  </si>
  <si>
    <t xml:space="preserve">The treasury</t>
  </si>
  <si>
    <t xml:space="preserve">A quarter of committed delay ($ million)</t>
  </si>
  <si>
    <t xml:space="preserve">The transformation office</t>
  </si>
  <si>
    <t xml:space="preserve">The draw's depth (index points)</t>
  </si>
  <si>
    <t xml:space="preserve">A path survives when its critical depth is at least 28 - 4 x delay</t>
  </si>
  <si>
    <t xml:space="preserve">Points a quarter of delay takes off the depth</t>
  </si>
  <si>
    <t xml:space="preserve">The appetite: chance of a breach in some quarter, at most</t>
  </si>
  <si>
    <t xml:space="preserve">Counted over both packages</t>
  </si>
  <si>
    <t xml:space="preserve">Volume I's package: line</t>
  </si>
  <si>
    <t xml:space="preserve">Volume I, Worked Example 15.1</t>
  </si>
  <si>
    <t xml:space="preserve">Volume I's package: delay (quarters)</t>
  </si>
  <si>
    <t xml:space="preserve">The least delay keeping 5 percent on the book's paths: 0.668</t>
  </si>
  <si>
    <t xml:space="preserve">Volume I's package: cost</t>
  </si>
  <si>
    <t xml:space="preserve">$10.44 million: the value of a warning is measured from it</t>
  </si>
  <si>
    <t xml:space="preserve">The all-clear group's chance of a breach: grid step</t>
  </si>
  <si>
    <t xml:space="preserve">A quarter of a point ...</t>
  </si>
  <si>
    <t xml:space="preserve">  up to</t>
  </si>
  <si>
    <t xml:space="preserve">... to 10 percent; the warned group's fills the appetite</t>
  </si>
  <si>
    <t xml:space="preserve">The desk's record: windows</t>
  </si>
  <si>
    <t xml:space="preserve">Three-year windows of comparable issuers</t>
  </si>
  <si>
    <t xml:space="preserve">The audit committee's confidence, one-sided</t>
  </si>
  <si>
    <t xml:space="preserve">Clopper-Pearson upper bounds</t>
  </si>
  <si>
    <t xml:space="preserve">The market desk's five readings (standard units; Worked Example 13.1, Step 1)</t>
  </si>
  <si>
    <t xml:space="preserve">Reading</t>
  </si>
  <si>
    <t xml:space="preserve">bond</t>
  </si>
  <si>
    <t xml:space="preserve">high yield</t>
  </si>
  <si>
    <t xml:space="preserve">volatility</t>
  </si>
  <si>
    <t xml:space="preserve">lending</t>
  </si>
  <si>
    <t xml:space="preserve">funding</t>
  </si>
  <si>
    <t xml:space="preserve">Indicator</t>
  </si>
  <si>
    <t xml:space="preserve">Meridian's bond spread</t>
  </si>
  <si>
    <t xml:space="preserve">High-yield spread</t>
  </si>
  <si>
    <t xml:space="preserve">Equity volatility</t>
  </si>
  <si>
    <t xml:space="preserve">Banks' lending standards</t>
  </si>
  <si>
    <t xml:space="preserve">Bank-funding spread</t>
  </si>
  <si>
    <t xml:space="preserve">Loading on the common financial-conditions factor, lambda</t>
  </si>
  <si>
    <t xml:space="preserve">How much higher programs with a closure ahead start, s</t>
  </si>
  <si>
    <t xml:space="preserve">Own noise, standard deviation sqrt(1 - lambda^2)</t>
  </si>
  <si>
    <t xml:space="preserve">Each program's readings: F lambda + e sqrt(1 - lambda^2) + Y s, with F and e independent standard normal and Y = 1 for a closure ahead; given Y, the readings say nothing more about the path.</t>
  </si>
  <si>
    <t xml:space="preserve">Seeds (Online Appendix Remark 13.B.1)</t>
  </si>
  <si>
    <t xml:space="preserve">Chapter 9's book paths</t>
  </si>
  <si>
    <t xml:space="preserve">Volume I, Chapter 8's stream</t>
  </si>
  <si>
    <t xml:space="preserve">Chapter 9's fresh paths</t>
  </si>
  <si>
    <t xml:space="preserve">Chapter 9's lab seed</t>
  </si>
  <si>
    <t xml:space="preserve">The desk's record (also the folds' shuffle and the boosting's random state)</t>
  </si>
  <si>
    <t xml:space="preserve">The book paths' readings</t>
  </si>
  <si>
    <t xml:space="preserve">The fresh paths' readings: the lab's seed</t>
  </si>
  <si>
    <t xml:space="preserve">The study's 200 records: from</t>
  </si>
  <si>
    <t xml:space="preserve">913000-913199</t>
  </si>
  <si>
    <t xml:space="preserve">The 20,000 fresh programs of the boosting stage curve</t>
  </si>
  <si>
    <t xml:space="preserve">Read the record: the desk's 1,000 windows (AXIOM Lab 2.13, step 1; Online Appendix Example 13.B.2)</t>
  </si>
  <si>
    <t xml:space="preserve">The record is drawn with seed 1300 (engine values); the shares of the variance are formulas.</t>
  </si>
  <si>
    <t xml:space="preserve">Mean reading, windows with a closure (engine)</t>
  </si>
  <si>
    <t xml:space="preserve">Mean reading, windows without (engine)</t>
  </si>
  <si>
    <t xml:space="preserve">Mean reading, all windows (engine)</t>
  </si>
  <si>
    <t xml:space="preserve">Variance of each reading (engine; sample, n - 1)</t>
  </si>
  <si>
    <t xml:space="preserve">Share of the total variance</t>
  </si>
  <si>
    <t xml:space="preserve">Windows (engine)</t>
  </si>
  <si>
    <t xml:space="preserve">  with a closure (engine)</t>
  </si>
  <si>
    <t xml:space="preserve">268</t>
  </si>
  <si>
    <t xml:space="preserve">  share</t>
  </si>
  <si>
    <t xml:space="preserve">Against 25.92 percent under the law</t>
  </si>
  <si>
    <t xml:space="preserve">The three market readings' share of the variance</t>
  </si>
  <si>
    <t xml:space="preserve">51.1 percent</t>
  </si>
  <si>
    <t xml:space="preserve">Lending standards and the funding spread</t>
  </si>
  <si>
    <t xml:space="preserve">48.9 percent</t>
  </si>
  <si>
    <t xml:space="preserve">The funding spread alone</t>
  </si>
  <si>
    <t xml:space="preserve">30.1 percent</t>
  </si>
  <si>
    <t xml:space="preserve">All but the funding spread</t>
  </si>
  <si>
    <t xml:space="preserve">69.9 percent</t>
  </si>
  <si>
    <t xml:space="preserve">The declared law: what the five readings can tell (Theorem 13.2(iii); Online Appendix Remark 13.B.1; Worked Example 13.1, Step 1; Figure 13.1(b))</t>
  </si>
  <si>
    <t xml:space="preserve">Given closure or not the readings share the covariance Sigma, so the log-odds of a closure ahead is linear: beta = Sigma^-1 s; the log-likelihood ratio z = beta'x - Delta^2/2 is normal, mean +Delta^2/2 (closure ahead) or -Delta^2/2, variance Delta^2.</t>
  </si>
  <si>
    <t xml:space="preserve">Sigma = lambda lambda' + diag(1 - lambda^2)</t>
  </si>
  <si>
    <t xml:space="preserve">Sigma^-1 (MINVERSE)</t>
  </si>
  <si>
    <t xml:space="preserve">beta = Sigma^-1 s: the law's log-odds coefficients</t>
  </si>
  <si>
    <t xml:space="preserve">Separation Delta = (s' Sigma^-1 s)^(1/2)</t>
  </si>
  <si>
    <t xml:space="preserve">2.029</t>
  </si>
  <si>
    <t xml:space="preserve">AUC = Phi(Delta / sqrt 2)</t>
  </si>
  <si>
    <t xml:space="preserve">0.924: the readings rank a closure above a non-closure with this chance</t>
  </si>
  <si>
    <t xml:space="preserve">The ceiling: the best warning reads z, a threshold splits programs (engine: the threshold, the best of 241 candidates)</t>
  </si>
  <si>
    <t xml:space="preserve">Threshold on z, t (engine)</t>
  </si>
  <si>
    <t xml:space="preserve">-1.826</t>
  </si>
  <si>
    <t xml:space="preserve">  as a multiple of Delta</t>
  </si>
  <si>
    <t xml:space="preserve">Candidates from -6 Delta to 6 Delta, step 0.05</t>
  </si>
  <si>
    <t xml:space="preserve">Share of the book's paths with a closure ahead, pi</t>
  </si>
  <si>
    <t xml:space="preserve">P(warned | closure ahead) = 1 - Phi((t - Delta^2/2) / Delta)</t>
  </si>
  <si>
    <t xml:space="preserve">P(warned | no closure ahead) = 1 - Phi((t + Delta^2/2) / Delta)</t>
  </si>
  <si>
    <t xml:space="preserve">Share warned</t>
  </si>
  <si>
    <t xml:space="preserve">58.86 percent</t>
  </si>
  <si>
    <t xml:space="preserve">Closure share among the warned</t>
  </si>
  <si>
    <t xml:space="preserve">42.80 percent</t>
  </si>
  <si>
    <t xml:space="preserve">Closure share among the all clear</t>
  </si>
  <si>
    <t xml:space="preserve">1.75 percent</t>
  </si>
  <si>
    <t xml:space="preserve">Try a threshold of your own</t>
  </si>
  <si>
    <t xml:space="preserve">t (input)</t>
  </si>
  <si>
    <t xml:space="preserve">Programs with z at or above t are warned</t>
  </si>
  <si>
    <t xml:space="preserve">The most a warning is worth against its readings' AUC: all five shifts scaled (Figure 13.1(b))</t>
  </si>
  <si>
    <t xml:space="preserve">Shifts x</t>
  </si>
  <si>
    <t xml:space="preserve">Delta</t>
  </si>
  <si>
    <t xml:space="preserve">Most a warning is worth (engine)</t>
  </si>
  <si>
    <t xml:space="preserve">Subsets of the readings (Worked Example 13.1, Step 5; Figure 13.3(a)): the law's separation of the readings kept</t>
  </si>
  <si>
    <t xml:space="preserve">Subset</t>
  </si>
  <si>
    <t xml:space="preserve">AUC</t>
  </si>
  <si>
    <t xml:space="preserve">Share of the record's variance</t>
  </si>
  <si>
    <t xml:space="preserve">the three market readings</t>
  </si>
  <si>
    <t xml:space="preserve">lending and funding</t>
  </si>
  <si>
    <t xml:space="preserve">funding alone</t>
  </si>
  <si>
    <t xml:space="preserve">all but funding</t>
  </si>
  <si>
    <t xml:space="preserve">Compress: the record's principal components and what they keep (Proposition 13.3(i)-(ii); Worked Example 13.1, Step 5; Figure 13.3(a); AXIOM Lab 2.13, step 5)</t>
  </si>
  <si>
    <t xml:space="preserve">A warning on the top r components reads W'x (W: the first r eigenvectors); under the declared law its separation is Delta_r = (a' M^-1 a)^(1/2), a = W's, M = W' Sigma W. Eigenvalues and eigenvectors of the record's covariance are the engine's.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</si>
  <si>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</si>
  <si>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</si>
  <si>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</si>
  <si>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</si>
  <si>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</si>
  <si>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Eigenvalue (engine)</t>
  </si>
  <si>
    <t xml:space="preserve">Share of the variance kept by the top r</t>
  </si>
  <si>
    <t xml:space="preserve">Eigenvectors V, rows = readings (engine)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</si>
  <si>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</si>
  <si>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</si>
  <si>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</si>
  <si>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</si>
  <si>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</si>
  <si>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V' (formulas)</t>
  </si>
  <si>
    <t xml:space="preserve">Sigma V (MMULT)</t>
  </si>
  <si>
    <t xml:space="preserve">M = V' Sigma V (MMULT)</t>
  </si>
  <si>
    <t xml:space="preserve">a = V' s</t>
  </si>
  <si>
    <t xml:space="preserve">Top r components</t>
  </si>
  <si>
    <t xml:space="preserve">Delta_r</t>
  </si>
  <si>
    <t xml:space="preserve">Variance kept</t>
  </si>
  <si>
    <t xml:space="preserve">The first component is an equal-weighted financial-conditions index: it keeps 56 percent of the variance and allows at most $0.14 million; the funding spread alone keeps 30 percent and $1.21 million (Proposition 13.3(ii)).</t>
  </si>
  <si>
    <t xml:space="preserve">Explain: the fitted logistic model and two games of attribution (Proposition 13.3(iii)-(iv); Worked Example 13.1, Step 5; Figure 13.3(b); AXIOM Lab 2.13, step 5)</t>
  </si>
  <si>
    <t xml:space="preserve">The coefficients are the engine's (unpenalized maximum likelihood on the record). Under the interventional game a linear model's Shapley value is beta_j (x_j - mean_j); the conditional game's (32 coalitions, a Gaussian fit to the record) is the engine's.</t>
  </si>
  <si>
    <t xml:space="preserve">Fitted log-odds coefficients (engine)</t>
  </si>
  <si>
    <t xml:space="preserve">Intercept (engine)</t>
  </si>
  <si>
    <t xml:space="preserve">-3.435</t>
  </si>
  <si>
    <t xml:space="preserve">The reading x (input)</t>
  </si>
  <si>
    <t xml:space="preserve">The record's mean reading</t>
  </si>
  <si>
    <t xml:space="preserve">Log-odds of the reading</t>
  </si>
  <si>
    <t xml:space="preserve">-0.071</t>
  </si>
  <si>
    <t xml:space="preserve">Chance of a closure ahead</t>
  </si>
  <si>
    <t xml:space="preserve">48.2 percent</t>
  </si>
  <si>
    <t xml:space="preserve">The best threshold, a chance (engine)</t>
  </si>
  <si>
    <t xml:space="preserve">4.09 percent: where the packages are cheapest</t>
  </si>
  <si>
    <t xml:space="preserve">Warned at the best threshold? (1 = yes)</t>
  </si>
  <si>
    <t xml:space="preserve">Yes</t>
  </si>
  <si>
    <t xml:space="preserve">Warned at 0.5, accuracy's threshold? (1 = yes)</t>
  </si>
  <si>
    <t xml:space="preserve">No</t>
  </si>
  <si>
    <t xml:space="preserve">Interventional Shapley values, beta_j (x_j - mean_j)</t>
  </si>
  <si>
    <t xml:space="preserve">Conditional Shapley values (engine)</t>
  </si>
  <si>
    <t xml:space="preserve">Sum of the interventional values</t>
  </si>
  <si>
    <t xml:space="preserve">2.120</t>
  </si>
  <si>
    <t xml:space="preserve">Sum of the conditional values</t>
  </si>
  <si>
    <t xml:space="preserve">What both must sum to: f(x) - f(mean)</t>
  </si>
  <si>
    <t xml:space="preserve">Efficiency (Proposition 13.3(iii))</t>
  </si>
  <si>
    <t xml:space="preserve">The three market readings, interventional</t>
  </si>
  <si>
    <t xml:space="preserve">-0.83: they net out the common factor</t>
  </si>
  <si>
    <t xml:space="preserve">The three market readings, conditional</t>
  </si>
  <si>
    <t xml:space="preserve">Every reading gets positive credit</t>
  </si>
  <si>
    <t xml:space="preserve">Proposition 13.3(ii): variance is not relevance</t>
  </si>
  <si>
    <t xml:space="preserve">Variance of X1 (independent of Y)</t>
  </si>
  <si>
    <t xml:space="preserve">Variance of X2 (Y = X2)</t>
  </si>
  <si>
    <t xml:space="preserve">Share of the variance the first component (X1) keeps</t>
  </si>
  <si>
    <t xml:space="preserve">80 percent, and none of the information about Y</t>
  </si>
  <si>
    <t xml:space="preserve">Proposition 13.3(iv): f(x) = x1 and X2 = X1; the conditional game credits x2</t>
  </si>
  <si>
    <t xml:space="preserve">Mean of X1, mu (input)</t>
  </si>
  <si>
    <t xml:space="preserve">x1 (input)</t>
  </si>
  <si>
    <t xml:space="preserve">v(empty) = mu</t>
  </si>
  <si>
    <t xml:space="preserve">v({1}) = x1</t>
  </si>
  <si>
    <t xml:space="preserve">v({2}) = E[X1 | X2 = x2] = x1</t>
  </si>
  <si>
    <t xml:space="preserve">v({1, 2}) = x1</t>
  </si>
  <si>
    <t xml:space="preserve">Shapley value of x2: (v({2}) - v(empty))/2 + (v({1,2}) - v({1}))/2</t>
  </si>
  <si>
    <t xml:space="preserve">Positive although f ignores x2</t>
  </si>
  <si>
    <t xml:space="preserve">  equals (x1 - mu) / 2</t>
  </si>
  <si>
    <t xml:space="preserve">Accuracy is not value: confusion counts (Theorem 13.2(ii); Worked Example 13.1, Steps 2-4; Table 13.2)</t>
  </si>
  <si>
    <t xml:space="preserve">Counts are the engine's (the record's 1,000 windows, or the 100,000 fresh programs, each with its own readings); the rates are formulas. Accuracy counts a false alarm and a miss as equal; the packages do not.</t>
  </si>
  <si>
    <t xml:space="preserve">Rule</t>
  </si>
  <si>
    <t xml:space="preserve">Warned, closure ahead</t>
  </si>
  <si>
    <t xml:space="preserve">Warned, none</t>
  </si>
  <si>
    <t xml:space="preserve">All clear, closure ahead</t>
  </si>
  <si>
    <t xml:space="preserve">All clear, none</t>
  </si>
  <si>
    <t xml:space="preserve">Total</t>
  </si>
  <si>
    <t xml:space="preserve">Accuracy</t>
  </si>
  <si>
    <t xml:space="preserve">Closures among the warned</t>
  </si>
  <si>
    <t xml:space="preserve">Closures among the all clear</t>
  </si>
  <si>
    <t xml:space="preserve">Logistic at 0.5, the record</t>
  </si>
  <si>
    <t xml:space="preserve">Logistic at 0.5, fresh programs</t>
  </si>
  <si>
    <t xml:space="preserve">Logistic where cheapest (a 4.09% chance), fresh</t>
  </si>
  <si>
    <t xml:space="preserve">Logistic at the held-out design's threshold (3.48%), fresh</t>
  </si>
  <si>
    <t xml:space="preserve">Never warn, fresh</t>
  </si>
  <si>
    <t xml:space="preserve">Boosting at 0.5, the record</t>
  </si>
  <si>
    <t xml:space="preserve">Boosting at 0.5, fresh programs</t>
  </si>
  <si>
    <t xml:space="preserve">Boosting, trusted design's threshold, fresh</t>
  </si>
  <si>
    <t xml:space="preserve">Boosting, held-out design's threshold, fresh</t>
  </si>
  <si>
    <t xml:space="preserve">Where the packages are cheapest the warning is right 65.9 percent of the time, less than never warning (74.0 percent), and worth $1.44 million; at 0.5 it is right 87.3 percent and worth $0.53 million.</t>
  </si>
  <si>
    <t xml:space="preserve">The two-package arithmetic for every warning (Worked Example 13.1, Steps 1-4; Online Appendix Remark 13.B.1; Table 13.3; AXIOM Lab 2.13, steps 3-4)</t>
  </si>
  <si>
    <t xml:space="preserve">A group with closure share pi is designed on the book's paths weighted pi / n1 on the closure paths and (1 - pi) / n0 on the others; its chance of a breach is pi x (closure paths breaching) / n1 + (1 - pi) x (others breaching) / n0. Value = Volume I's $10.44 million less the expected cost.</t>
  </si>
  <si>
    <t xml:space="preserve">Design</t>
  </si>
  <si>
    <t xml:space="preserve">Shares from</t>
  </si>
  <si>
    <t xml:space="preserve">Warned</t>
  </si>
  <si>
    <t xml:space="preserve">All clear</t>
  </si>
  <si>
    <t xml:space="preserve">Closure share, warned</t>
  </si>
  <si>
    <t xml:space="preserve">Closure share, all clear</t>
  </si>
  <si>
    <t xml:space="preserve">All clear: line (engine)</t>
  </si>
  <si>
    <t xml:space="preserve">All clear: delay (engine)</t>
  </si>
  <si>
    <t xml:space="preserve">All clear: cost</t>
  </si>
  <si>
    <t xml:space="preserve">Warned: line (engine)</t>
  </si>
  <si>
    <t xml:space="preserve">Warned: delay (engine)</t>
  </si>
  <si>
    <t xml:space="preserve">Warned: cost</t>
  </si>
  <si>
    <t xml:space="preserve">Expected cost</t>
  </si>
  <si>
    <t xml:space="preserve">Value promised</t>
  </si>
  <si>
    <t xml:space="preserve">Book paths breaching the all-clear package: closure ahead (engine)</t>
  </si>
  <si>
    <t xml:space="preserve">  no closure ahead (engine)</t>
  </si>
  <si>
    <t xml:space="preserve">Book paths breaching the warned package: closure ahead (engine)</t>
  </si>
  <si>
    <t xml:space="preserve">The all-clear group's chance, as designed</t>
  </si>
  <si>
    <t xml:space="preserve">The warned group's chance, as designed</t>
  </si>
  <si>
    <t xml:space="preserve">The design's chance of a breach</t>
  </si>
  <si>
    <t xml:space="preserve">Fresh programs warned (engine)</t>
  </si>
  <si>
    <t xml:space="preserve">Share of fresh programs warned</t>
  </si>
  <si>
    <t xml:space="preserve">Fresh breaches, warned (engine)</t>
  </si>
  <si>
    <t xml:space="preserve">Fresh breaches, all clear (engine)</t>
  </si>
  <si>
    <t xml:space="preserve">Fresh chance of a breach</t>
  </si>
  <si>
    <t xml:space="preserve">Fresh expected cost</t>
  </si>
  <si>
    <t xml:space="preserve">Fresh value</t>
  </si>
  <si>
    <t xml:space="preserve">None (Volume I)</t>
  </si>
  <si>
    <t xml:space="preserve">one package for every program</t>
  </si>
  <si>
    <t xml:space="preserve">--</t>
  </si>
  <si>
    <t xml:space="preserve">Perfect warning (Chapter 9)</t>
  </si>
  <si>
    <t xml:space="preserve">the paths: closure ahead or not</t>
  </si>
  <si>
    <t xml:space="preserve">Declared law (ceiling)</t>
  </si>
  <si>
    <t xml:space="preserve">the law (sheet Law)</t>
  </si>
  <si>
    <t xml:space="preserve">law</t>
  </si>
  <si>
    <t xml:space="preserve">Logistic at 0.5, the law's shares</t>
  </si>
  <si>
    <t xml:space="preserve">the book's paths, their own readings</t>
  </si>
  <si>
    <t xml:space="preserve">Logistic where cheapest, the law's shares</t>
  </si>
  <si>
    <t xml:space="preserve">Logistic, held-out shares</t>
  </si>
  <si>
    <t xml:space="preserve">the record, out-of-fold scores</t>
  </si>
  <si>
    <t xml:space="preserve">Logistic, certified</t>
  </si>
  <si>
    <t xml:space="preserve">the record, out-of-fold: 95% upper bounds</t>
  </si>
  <si>
    <t xml:space="preserve">Logistic at 0.5, held-out shares</t>
  </si>
  <si>
    <t xml:space="preserve">Boosting, trusted</t>
  </si>
  <si>
    <t xml:space="preserve">the record, in-sample scores</t>
  </si>
  <si>
    <t xml:space="preserve">Boosting, held-out shares</t>
  </si>
  <si>
    <t xml:space="preserve">The design's chance of a breach is the appetite as the design believes it (at most 5 percent); the fresh chance is the truth on the 100,000 fresh programs. The trusted boosted design believes its all-clear group has no closures; on the fresh paths it breaches 7.68 percent.</t>
  </si>
  <si>
    <t xml:space="preserve">Table 13.3: warnings, their packages, and their checks on Chapter 9's fresh paths (Worked Example 13.1)</t>
  </si>
  <si>
    <t xml:space="preserve">Warned: share of the 100,000 fresh programs warned; packages: line ($ million), delay (quarters); promised value: Volume I's $10.44 million less the expected cost the design expects; fresh: the true chance of a breach and the value on the fresh paths. Every cell links to sheet Designs.</t>
  </si>
  <si>
    <t xml:space="preserve">Warning</t>
  </si>
  <si>
    <t xml:space="preserve">Warned (%)</t>
  </si>
  <si>
    <t xml:space="preserve">All clear: line</t>
  </si>
  <si>
    <t xml:space="preserve">All clear: delay</t>
  </si>
  <si>
    <t xml:space="preserve">Warned: line</t>
  </si>
  <si>
    <t xml:space="preserve">Warned: delay</t>
  </si>
  <si>
    <t xml:space="preserve">Promised value</t>
  </si>
  <si>
    <t xml:space="preserve">Fresh breach (%)</t>
  </si>
  <si>
    <t xml:space="preserve">Perfect (Chapter 9)</t>
  </si>
  <si>
    <t xml:space="preserve">Logistic, at 0.5 (law's shares)</t>
  </si>
  <si>
    <t xml:space="preserve">Logistic, cheapest (law's shares)</t>
  </si>
  <si>
    <t xml:space="preserve">Logistic, held-out</t>
  </si>
  <si>
    <t xml:space="preserve">Boosting, held-out</t>
  </si>
  <si>
    <t xml:space="preserve">The two logistic rows marked law's shares take each group's closure share from the law; the other logistic and boosting rows estimate it from the desk's record. A fresh value is shown only where the fresh breach is near the appetite.</t>
  </si>
  <si>
    <t xml:space="preserve">Repeat on 200 records of 1,000 windows (Theorem 13.3(i); Worked Example 13.1, Step 4; Figure 13.2(b); AXIOM Lab 2.13, step 4)</t>
  </si>
  <si>
    <t xml:space="preserve">For each record (seeds 913000-913199) the engine fits the logistic model, scores it out of fold, designs the held-out and the certified warnings and checks both on the fresh paths; the summaries are formulas.</t>
  </si>
  <si>
    <t xml:space="preserve">Record seed</t>
  </si>
  <si>
    <t xml:space="preserve">Held-out: fresh chance of a breach</t>
  </si>
  <si>
    <t xml:space="preserve">Held-out: fresh value</t>
  </si>
  <si>
    <t xml:space="preserve">Certified: fresh chance of a breach</t>
  </si>
  <si>
    <t xml:space="preserve">Certified: fresh value</t>
  </si>
  <si>
    <t xml:space="preserve">Summary</t>
  </si>
  <si>
    <t xml:space="preserve">Held-out shares</t>
  </si>
  <si>
    <t xml:space="preserve">Certified</t>
  </si>
  <si>
    <t xml:space="preserve">Records keeping 5 percent</t>
  </si>
  <si>
    <t xml:space="preserve">Mean true chance of a breach</t>
  </si>
  <si>
    <t xml:space="preserve">90th percentile</t>
  </si>
  <si>
    <t xml:space="preserve">Mean value on the fresh paths</t>
  </si>
  <si>
    <t xml:space="preserve">Held-out designs keep the appetite in 47.5 percent of records; certified designs in 98.0 percent, at an average value of $0.95 million.</t>
  </si>
  <si>
    <t xml:space="preserve">Boosting stage by stage: AUC on the record and on 20,000 fresh programs (Theorem 13.1(iii); Proposition 13.2(iv); Worked Example 13.1, Step 3; Figure 13.2(a); AXIOM Lab 2.13, step 2)</t>
  </si>
  <si>
    <t xml:space="preserve">Gradient boosting, depth-4 trees, learning rate 0.1, 500 stages (engine). The record's AUC rises to 1; the fresh AUC peaks early and falls: stopping early is a form of regularization.</t>
  </si>
  <si>
    <t xml:space="preserve">Stage</t>
  </si>
  <si>
    <t xml:space="preserve">AUC on the record (engine)</t>
  </si>
  <si>
    <t xml:space="preserve">AUC on fresh programs (engine)</t>
  </si>
  <si>
    <t xml:space="preserve">The fresh AUC's peak</t>
  </si>
  <si>
    <t xml:space="preserve">0.910</t>
  </si>
  <si>
    <t xml:space="preserve">  after stages</t>
  </si>
  <si>
    <t xml:space="preserve">24</t>
  </si>
  <si>
    <t xml:space="preserve">The fresh AUC after 500 stages</t>
  </si>
  <si>
    <t xml:space="preserve">0.888</t>
  </si>
  <si>
    <t xml:space="preserve">The record's AUC after 500 stages</t>
  </si>
  <si>
    <t xml:space="preserve">1.000</t>
  </si>
  <si>
    <t xml:space="preserve">The record's AUC at the fresh peak</t>
  </si>
  <si>
    <t xml:space="preserve">Price the warning: the logistic warning at every threshold, each group's closure share as the law gives it (Theorem 13.2(ii); Worked Example 13.1, Step 2; Figure 13.1(a); AXIOM Lab 2.13, step 3)</t>
  </si>
  <si>
    <t xml:space="preserve">51 thresholds: the scores' quantiles that warn 0, 2, ..., 100 percent of the book's paths (engine). Value is the packages' (Volume I's $10.44 million less their expected cost); accuracy is on the fresh paths.</t>
  </si>
  <si>
    <t xml:space="preserve">Accuracy, fresh (engine)</t>
  </si>
  <si>
    <t xml:space="preserve">Value of its packages (engine)</t>
  </si>
  <si>
    <t xml:space="preserve">Value on the fresh paths (engine)</t>
  </si>
  <si>
    <t xml:space="preserve">Fresh chance of a breach (engine)</t>
  </si>
  <si>
    <t xml:space="preserve">On this grid</t>
  </si>
  <si>
    <t xml:space="preserve">Most accurate</t>
  </si>
  <si>
    <t xml:space="preserve">  share warned there</t>
  </si>
  <si>
    <t xml:space="preserve">Most valuable packages</t>
  </si>
  <si>
    <t xml:space="preserve">  accuracy there</t>
  </si>
  <si>
    <t xml:space="preserve">Below never warning</t>
  </si>
  <si>
    <t xml:space="preserve">The appendices' small examples and the honest checks (Theorems 13.2-13.3; Proposition 13.2)</t>
  </si>
  <si>
    <t xml:space="preserve">Inputs in blue can be changed; the book's values are the defaults.</t>
  </si>
  <si>
    <t xml:space="preserve">Theorem 13.2(iv): a smaller squared error, a costlier decision</t>
  </si>
  <si>
    <t xml:space="preserve">Cost of each unit ordered above the outcome, c_o</t>
  </si>
  <si>
    <t xml:space="preserve">Cost of each unit short, c_u</t>
  </si>
  <si>
    <t xml:space="preserve">Outcome Y: low (chance 1/2)</t>
  </si>
  <si>
    <t xml:space="preserve">Outcome Y: high (chance 1/2)</t>
  </si>
  <si>
    <t xml:space="preserve">Prediction A</t>
  </si>
  <si>
    <t xml:space="preserve">The mean</t>
  </si>
  <si>
    <t xml:space="preserve">  squared error</t>
  </si>
  <si>
    <t xml:space="preserve">25</t>
  </si>
  <si>
    <t xml:space="preserve">  cost of its decision</t>
  </si>
  <si>
    <t xml:space="preserve">Prediction B</t>
  </si>
  <si>
    <t xml:space="preserve">50</t>
  </si>
  <si>
    <t xml:space="preserve">5: the cost is not affine in Y, so plugging in the mean need not be best</t>
  </si>
  <si>
    <t xml:space="preserve">Proposition 13.2(iii): three classifiers each right on 60 percent, a majority vote right on 40 percent</t>
  </si>
  <si>
    <t xml:space="preserve">Case</t>
  </si>
  <si>
    <t xml:space="preserve">Classifier 1 right</t>
  </si>
  <si>
    <t xml:space="preserve">Classifier 2 right</t>
  </si>
  <si>
    <t xml:space="preserve">Classifier 3 right</t>
  </si>
  <si>
    <t xml:space="preserve">Majority right</t>
  </si>
  <si>
    <t xml:space="preserve">Share of cases right</t>
  </si>
  <si>
    <t xml:space="preserve">Theorem 13.2(i): the plug-in decision's regret can reach twice L times the error</t>
  </si>
  <si>
    <t xml:space="preserve">L, the cost's sensitivity to the unknown</t>
  </si>
  <si>
    <t xml:space="preserve">J(a, c) = L c, J(b, c) = -L c</t>
  </si>
  <si>
    <t xml:space="preserve">The error e: the prediction is 0, the truth -e</t>
  </si>
  <si>
    <t xml:space="preserve">At 0 both cost 0; ties go to b</t>
  </si>
  <si>
    <t xml:space="preserve">Cost of the plug-in decision b at the truth</t>
  </si>
  <si>
    <t xml:space="preserve">Cost of the best decision a at the truth</t>
  </si>
  <si>
    <t xml:space="preserve">Regret</t>
  </si>
  <si>
    <t xml:space="preserve">Equals the bound 2 L e</t>
  </si>
  <si>
    <t xml:space="preserve">Proposition 13.2(ii): averaging B predictors with variance sigma^2 and correlation rho</t>
  </si>
  <si>
    <t xml:space="preserve">sigma^2</t>
  </si>
  <si>
    <t xml:space="preserve">rho</t>
  </si>
  <si>
    <t xml:space="preserve">Members B</t>
  </si>
  <si>
    <t xml:space="preserve">Variance of the average</t>
  </si>
  <si>
    <t xml:space="preserve">Correlation sets a floor, rho sigma^2, that more members cannot remove.</t>
  </si>
  <si>
    <t xml:space="preserve">Theorem 13.3: honest checks</t>
  </si>
  <si>
    <t xml:space="preserve">Clopper-Pearson: events k</t>
  </si>
  <si>
    <t xml:space="preserve">The record's closures among the 590 warned windows</t>
  </si>
  <si>
    <t xml:space="preserve">  cases m</t>
  </si>
  <si>
    <t xml:space="preserve">  one-sided upper bound at the confidence</t>
  </si>
  <si>
    <t xml:space="preserve">48.21 percent</t>
  </si>
  <si>
    <t xml:space="preserve">Fresh cases m for a loss in [0, 1]</t>
  </si>
  <si>
    <t xml:space="preserve">Theorem 13.3(i)</t>
  </si>
  <si>
    <t xml:space="preserve">  epsilon</t>
  </si>
  <si>
    <t xml:space="preserve">  chance the risk exceeds the fresh average by more, at most e^(-2 m eps^2)</t>
  </si>
  <si>
    <t xml:space="preserve">Candidates K fixed in advance</t>
  </si>
  <si>
    <t xml:space="preserve">Theorem 13.3(ii)</t>
  </si>
  <si>
    <t xml:space="preserve">  delta</t>
  </si>
  <si>
    <t xml:space="preserve">  every fresh estimate within sqrt(ln(2K / delta) / (2m))</t>
  </si>
  <si>
    <t xml:space="preserve">with chance 1 - delta</t>
  </si>
  <si>
    <t xml:space="preserve">Conformal: calibration cases n</t>
  </si>
  <si>
    <t xml:space="preserve">Theorem 13.3(iii)</t>
  </si>
  <si>
    <t xml:space="preserve">  alpha</t>
  </si>
  <si>
    <t xml:space="preserve">  coverage at least</t>
  </si>
  <si>
    <t xml:space="preserve">whatever the law, when cases are exchangeable</t>
  </si>
  <si>
    <t xml:space="preserve">  and at most</t>
  </si>
  <si>
    <t xml:space="preserve">Checkpoint</t>
  </si>
  <si>
    <t xml:space="preserve">Engine value</t>
  </si>
  <si>
    <t xml:space="preserve">Meaning (where in the book)</t>
  </si>
  <si>
    <t xml:space="preserve">A closure ahead under the law</t>
  </si>
  <si>
    <t xml:space="preserve">Remark 13.B.1: 25.92 percent</t>
  </si>
  <si>
    <t xml:space="preserve">$10.44 million</t>
  </si>
  <si>
    <t xml:space="preserve">No warning: chance of a breach on the book's paths</t>
  </si>
  <si>
    <t xml:space="preserve">5.00 percent</t>
  </si>
  <si>
    <t xml:space="preserve">No warning: chance on the fresh paths</t>
  </si>
  <si>
    <t xml:space="preserve">4.91 percent</t>
  </si>
  <si>
    <t xml:space="preserve">Perfect warning: all-clear cost</t>
  </si>
  <si>
    <t xml:space="preserve">$4.87 million</t>
  </si>
  <si>
    <t xml:space="preserve">Perfect warning: warned cost</t>
  </si>
  <si>
    <t xml:space="preserve">$10.49 million</t>
  </si>
  <si>
    <t xml:space="preserve">Perfect warning: all-clear chance</t>
  </si>
  <si>
    <t xml:space="preserve">4.75 percent</t>
  </si>
  <si>
    <t xml:space="preserve">Perfect warning: warned chance</t>
  </si>
  <si>
    <t xml:space="preserve">5.71 percent</t>
  </si>
  <si>
    <t xml:space="preserve">Perfect warning: expected cost</t>
  </si>
  <si>
    <t xml:space="preserve">$6.32 million</t>
  </si>
  <si>
    <t xml:space="preserve">Perfect warning: value</t>
  </si>
  <si>
    <t xml:space="preserve">$4.12 million</t>
  </si>
  <si>
    <t xml:space="preserve">Perfect warning: fresh cost</t>
  </si>
  <si>
    <t xml:space="preserve">$6.33 million</t>
  </si>
  <si>
    <t xml:space="preserve">The declared law: beta, bond</t>
  </si>
  <si>
    <t xml:space="preserve">Remark 13.B.1</t>
  </si>
  <si>
    <t xml:space="preserve">The declared law: beta, high yield</t>
  </si>
  <si>
    <t xml:space="preserve">The declared law: beta, volatility</t>
  </si>
  <si>
    <t xml:space="preserve">The declared law: beta, lending</t>
  </si>
  <si>
    <t xml:space="preserve">The declared law: beta, funding</t>
  </si>
  <si>
    <t xml:space="preserve">The declared law: separation Delta</t>
  </si>
  <si>
    <t xml:space="preserve">The declared law: AUC</t>
  </si>
  <si>
    <t xml:space="preserve">0.924</t>
  </si>
  <si>
    <t xml:space="preserve">Ceiling: share warned</t>
  </si>
  <si>
    <t xml:space="preserve">Ceiling: closure share, warned</t>
  </si>
  <si>
    <t xml:space="preserve">Ceiling: closure share, all clear</t>
  </si>
  <si>
    <t xml:space="preserve">Ceiling: all-clear cost</t>
  </si>
  <si>
    <t xml:space="preserve">$5.37m</t>
  </si>
  <si>
    <t xml:space="preserve">Ceiling: warned cost</t>
  </si>
  <si>
    <t xml:space="preserve">$11.55m</t>
  </si>
  <si>
    <t xml:space="preserve">Ceiling: expected cost</t>
  </si>
  <si>
    <t xml:space="preserve">$9.00 million (the law's shares in formulas)</t>
  </si>
  <si>
    <t xml:space="preserve">Ceiling: value</t>
  </si>
  <si>
    <t xml:space="preserve">$1.44 million</t>
  </si>
  <si>
    <t xml:space="preserve">Ceiling: the design's chance of a breach</t>
  </si>
  <si>
    <t xml:space="preserve">At most 5 percent</t>
  </si>
  <si>
    <t xml:space="preserve">Ceiling: fresh programs warned</t>
  </si>
  <si>
    <t xml:space="preserve">58.94 percent</t>
  </si>
  <si>
    <t xml:space="preserve">Ceiling: fresh chance of a breach</t>
  </si>
  <si>
    <t xml:space="preserve">4.90 percent</t>
  </si>
  <si>
    <t xml:space="preserve">Ceiling: fresh value</t>
  </si>
  <si>
    <t xml:space="preserve">$1.43m</t>
  </si>
  <si>
    <t xml:space="preserve">Value against AUC: AUC with the shifts x 0.25</t>
  </si>
  <si>
    <t xml:space="preserve">Figure 13.1(b)</t>
  </si>
  <si>
    <t xml:space="preserve">Value against AUC: AUC with the shifts x 0.5</t>
  </si>
  <si>
    <t xml:space="preserve">Value against AUC: AUC with the shifts x 0.75</t>
  </si>
  <si>
    <t xml:space="preserve">Value against AUC: AUC with the shifts x 1</t>
  </si>
  <si>
    <t xml:space="preserve">Value against AUC: AUC with the shifts x 1.25</t>
  </si>
  <si>
    <t xml:space="preserve">Value against AUC: AUC with the shifts x 1.5</t>
  </si>
  <si>
    <t xml:space="preserve">Value against AUC: AUC with the shifts x 2</t>
  </si>
  <si>
    <t xml:space="preserve">Value against AUC: AUC with the shifts x 2.5</t>
  </si>
  <si>
    <t xml:space="preserve">Value against AUC: AUC with the shifts x 3</t>
  </si>
  <si>
    <t xml:space="preserve">Value against AUC: AUC with the shifts x 4</t>
  </si>
  <si>
    <t xml:space="preserve">Step 1: the AUC at which a warning is worth $0.63m</t>
  </si>
  <si>
    <t xml:space="preserve">0.86</t>
  </si>
  <si>
    <t xml:space="preserve">Step 1: the AUC at which a warning is worth $2.24m</t>
  </si>
  <si>
    <t xml:space="preserve">0.96</t>
  </si>
  <si>
    <t xml:space="preserve">Logistic at 0.5: right on the record</t>
  </si>
  <si>
    <t xml:space="preserve">89.3 percent</t>
  </si>
  <si>
    <t xml:space="preserve">Logistic at 0.5: right on fresh programs</t>
  </si>
  <si>
    <t xml:space="preserve">87.3 percent</t>
  </si>
  <si>
    <t xml:space="preserve">Logistic where cheapest: right on fresh programs</t>
  </si>
  <si>
    <t xml:space="preserve">65.9 percent</t>
  </si>
  <si>
    <t xml:space="preserve">Logistic, held-out threshold: right on fresh programs</t>
  </si>
  <si>
    <t xml:space="preserve">63.9 percent</t>
  </si>
  <si>
    <t xml:space="preserve">Never warning: right on fresh programs</t>
  </si>
  <si>
    <t xml:space="preserve">74.0 percent</t>
  </si>
  <si>
    <t xml:space="preserve">Boosting at 0.5: right on the record</t>
  </si>
  <si>
    <t xml:space="preserve">100 percent</t>
  </si>
  <si>
    <t xml:space="preserve">Boosting at 0.5: right on fresh programs</t>
  </si>
  <si>
    <t xml:space="preserve">85.6 percent</t>
  </si>
  <si>
    <t xml:space="preserve">Boosting: the fresh AUC's peak</t>
  </si>
  <si>
    <t xml:space="preserve">Boosting: the peak's stage</t>
  </si>
  <si>
    <t xml:space="preserve">Boosting: the fresh AUC after 500 stages</t>
  </si>
  <si>
    <t xml:space="preserve">Boosting: the record's AUC after 500 stages</t>
  </si>
  <si>
    <t xml:space="preserve">Majority vote: each member right on</t>
  </si>
  <si>
    <t xml:space="preserve">60 percent</t>
  </si>
  <si>
    <t xml:space="preserve">Majority vote: the vote right on</t>
  </si>
  <si>
    <t xml:space="preserve">40 percent</t>
  </si>
  <si>
    <t xml:space="preserve">Theorem 13.2(iv): squared error of the prediction 5</t>
  </si>
  <si>
    <t xml:space="preserve">Theorem 13.2(iv): squared error of the prediction 10</t>
  </si>
  <si>
    <t xml:space="preserve">Theorem 13.2(iv): cost of the decision on 5</t>
  </si>
  <si>
    <t xml:space="preserve">Theorem 13.2(iv): cost of the decision on 10</t>
  </si>
  <si>
    <t xml:space="preserve">Logistic at 0.5 with the law's shares: right on fresh programs</t>
  </si>
  <si>
    <t xml:space="preserve">logistic at 0.5, law's shares: share warned</t>
  </si>
  <si>
    <t xml:space="preserve">Example 13.B.2</t>
  </si>
  <si>
    <t xml:space="preserve">logistic at 0.5, law's shares: closure share, warned</t>
  </si>
  <si>
    <t xml:space="preserve">logistic at 0.5, law's shares: closure share, all clear</t>
  </si>
  <si>
    <t xml:space="preserve">logistic at 0.5, law's shares: all-clear cost</t>
  </si>
  <si>
    <t xml:space="preserve">logistic at 0.5, law's shares: warned cost</t>
  </si>
  <si>
    <t xml:space="preserve">logistic at 0.5, law's shares: expected cost</t>
  </si>
  <si>
    <t xml:space="preserve">The packages, weighted</t>
  </si>
  <si>
    <t xml:space="preserve">logistic at 0.5, law's shares: value promised</t>
  </si>
  <si>
    <t xml:space="preserve">logistic at 0.5, law's shares: the design's chance of a breach</t>
  </si>
  <si>
    <t xml:space="preserve">At most 5 percent, as designed</t>
  </si>
  <si>
    <t xml:space="preserve">logistic at 0.5, law's shares: fresh programs warned</t>
  </si>
  <si>
    <t xml:space="preserve">Table 13.3</t>
  </si>
  <si>
    <t xml:space="preserve">logistic at 0.5, law's shares: fresh chance of a breach</t>
  </si>
  <si>
    <t xml:space="preserve">logistic at 0.5, law's shares: fresh value</t>
  </si>
  <si>
    <t xml:space="preserve">logistic, cheapest, law's shares: share warned</t>
  </si>
  <si>
    <t xml:space="preserve">logistic, cheapest, law's shares: closure share, warned</t>
  </si>
  <si>
    <t xml:space="preserve">logistic, cheapest, law's shares: closure share, all clear</t>
  </si>
  <si>
    <t xml:space="preserve">logistic, cheapest, law's shares: all-clear cost</t>
  </si>
  <si>
    <t xml:space="preserve">logistic, cheapest, law's shares: warned cost</t>
  </si>
  <si>
    <t xml:space="preserve">logistic, cheapest, law's shares: expected cost</t>
  </si>
  <si>
    <t xml:space="preserve">logistic, cheapest, law's shares: value promised</t>
  </si>
  <si>
    <t xml:space="preserve">logistic, cheapest, law's shares: the design's chance of a breach</t>
  </si>
  <si>
    <t xml:space="preserve">logistic, cheapest, law's shares: fresh programs warned</t>
  </si>
  <si>
    <t xml:space="preserve">logistic, cheapest, law's shares: fresh chance of a breach</t>
  </si>
  <si>
    <t xml:space="preserve">logistic, cheapest, law's shares: fresh value</t>
  </si>
  <si>
    <t xml:space="preserve">boosting, trusted: share warned</t>
  </si>
  <si>
    <t xml:space="preserve">boosting, trusted: closure share, warned</t>
  </si>
  <si>
    <t xml:space="preserve">boosting, trusted: closure share, all clear</t>
  </si>
  <si>
    <t xml:space="preserve">boosting, trusted: all-clear cost</t>
  </si>
  <si>
    <t xml:space="preserve">boosting, trusted: warned cost</t>
  </si>
  <si>
    <t xml:space="preserve">boosting, trusted: expected cost</t>
  </si>
  <si>
    <t xml:space="preserve">boosting, trusted: value promised</t>
  </si>
  <si>
    <t xml:space="preserve">boosting, trusted: the design's chance of a breach</t>
  </si>
  <si>
    <t xml:space="preserve">boosting, trusted: fresh programs warned</t>
  </si>
  <si>
    <t xml:space="preserve">boosting, trusted: fresh chance of a breach</t>
  </si>
  <si>
    <t xml:space="preserve">boosting, held-out: share warned</t>
  </si>
  <si>
    <t xml:space="preserve">boosting, held-out: closure share, warned</t>
  </si>
  <si>
    <t xml:space="preserve">boosting, held-out: closure share, all clear</t>
  </si>
  <si>
    <t xml:space="preserve">boosting, held-out: all-clear cost</t>
  </si>
  <si>
    <t xml:space="preserve">boosting, held-out: warned cost</t>
  </si>
  <si>
    <t xml:space="preserve">boosting, held-out: expected cost</t>
  </si>
  <si>
    <t xml:space="preserve">boosting, held-out: value promised</t>
  </si>
  <si>
    <t xml:space="preserve">boosting, held-out: the design's chance of a breach</t>
  </si>
  <si>
    <t xml:space="preserve">boosting, held-out: fresh programs warned</t>
  </si>
  <si>
    <t xml:space="preserve">boosting, held-out: fresh chance of a breach</t>
  </si>
  <si>
    <t xml:space="preserve">boosting, held-out: fresh value</t>
  </si>
  <si>
    <t xml:space="preserve">logistic, held-out: share warned</t>
  </si>
  <si>
    <t xml:space="preserve">logistic, held-out: closure share, warned</t>
  </si>
  <si>
    <t xml:space="preserve">logistic, held-out: closure share, all clear</t>
  </si>
  <si>
    <t xml:space="preserve">logistic, held-out: all-clear cost</t>
  </si>
  <si>
    <t xml:space="preserve">logistic, held-out: warned cost</t>
  </si>
  <si>
    <t xml:space="preserve">logistic, held-out: expected cost</t>
  </si>
  <si>
    <t xml:space="preserve">logistic, held-out: value promised</t>
  </si>
  <si>
    <t xml:space="preserve">logistic, held-out: the design's chance of a breach</t>
  </si>
  <si>
    <t xml:space="preserve">logistic, held-out: fresh programs warned</t>
  </si>
  <si>
    <t xml:space="preserve">logistic, held-out: fresh chance of a breach</t>
  </si>
  <si>
    <t xml:space="preserve">logistic, held-out: fresh value</t>
  </si>
  <si>
    <t xml:space="preserve">logistic, certified: closure share, warned</t>
  </si>
  <si>
    <t xml:space="preserve">logistic, certified: closure share, all clear</t>
  </si>
  <si>
    <t xml:space="preserve">logistic, certified: all-clear cost</t>
  </si>
  <si>
    <t xml:space="preserve">logistic, certified: warned cost</t>
  </si>
  <si>
    <t xml:space="preserve">logistic, certified: expected cost</t>
  </si>
  <si>
    <t xml:space="preserve">logistic, certified: value promised</t>
  </si>
  <si>
    <t xml:space="preserve">logistic, certified: the design's chance of a breach</t>
  </si>
  <si>
    <t xml:space="preserve">logistic, certified: fresh chance of a breach</t>
  </si>
  <si>
    <t xml:space="preserve">logistic, certified: fresh value</t>
  </si>
  <si>
    <t xml:space="preserve">logistic at 0.5, held-out shares: share warned</t>
  </si>
  <si>
    <t xml:space="preserve">logistic at 0.5, held-out shares: closure share, warned</t>
  </si>
  <si>
    <t xml:space="preserve">logistic at 0.5, held-out shares: closure share, all clear</t>
  </si>
  <si>
    <t xml:space="preserve">logistic at 0.5, held-out shares: expected cost</t>
  </si>
  <si>
    <t xml:space="preserve">logistic at 0.5, held-out shares: value promised</t>
  </si>
  <si>
    <t xml:space="preserve">logistic at 0.5, held-out shares: the design's chance of a breach</t>
  </si>
  <si>
    <t xml:space="preserve">logistic at 0.5, held-out shares: fresh chance of a breach</t>
  </si>
  <si>
    <t xml:space="preserve">Clopper-Pearson calculator: 264 closures in 590 warned windows</t>
  </si>
  <si>
    <t xml:space="preserve">200 records, held-out: keep 5%</t>
  </si>
  <si>
    <t xml:space="preserve">Figure 13.2(b); Example 13.B.2</t>
  </si>
  <si>
    <t xml:space="preserve">200 records, certified: keep 5%</t>
  </si>
  <si>
    <t xml:space="preserve">200 records, held-out: mean true chance</t>
  </si>
  <si>
    <t xml:space="preserve">200 records, certified: mean true chance</t>
  </si>
  <si>
    <t xml:space="preserve">200 records, held-out: 90th percentile</t>
  </si>
  <si>
    <t xml:space="preserve">200 records, certified: 90th percentile</t>
  </si>
  <si>
    <t xml:space="preserve">200 records, held-out: mean value</t>
  </si>
  <si>
    <t xml:space="preserve">200 records, certified: mean value</t>
  </si>
  <si>
    <t xml:space="preserve">Variance kept by the top 1 components</t>
  </si>
  <si>
    <t xml:space="preserve">Variance kept by the top 2 components</t>
  </si>
  <si>
    <t xml:space="preserve">Variance kept by the top 3 components</t>
  </si>
  <si>
    <t xml:space="preserve">Variance kept by the top 4 components</t>
  </si>
  <si>
    <t xml:space="preserve">Variance kept by the top 5 components</t>
  </si>
  <si>
    <t xml:space="preserve">Top 1 components: AUC</t>
  </si>
  <si>
    <t xml:space="preserve">0.724, 0.919, 0.924</t>
  </si>
  <si>
    <t xml:space="preserve">Top 2 components: AUC</t>
  </si>
  <si>
    <t xml:space="preserve">Top 3 components: AUC</t>
  </si>
  <si>
    <t xml:space="preserve">Subset, the three market readings: AUC</t>
  </si>
  <si>
    <t xml:space="preserve">Subset, the three market readings: share of the variance</t>
  </si>
  <si>
    <t xml:space="preserve">Subset, lending and funding: AUC</t>
  </si>
  <si>
    <t xml:space="preserve">Subset, lending and funding: share of the variance</t>
  </si>
  <si>
    <t xml:space="preserve">Subset, funding alone: AUC</t>
  </si>
  <si>
    <t xml:space="preserve">Subset, funding alone: share of the variance</t>
  </si>
  <si>
    <t xml:space="preserve">Subset, all but funding: AUC</t>
  </si>
  <si>
    <t xml:space="preserve">Subset, all but funding: share of the variance</t>
  </si>
  <si>
    <t xml:space="preserve">The reading (1, 1, 1, 1, 1.5): log-odds</t>
  </si>
  <si>
    <t xml:space="preserve">The reading: chance of a closure ahead</t>
  </si>
  <si>
    <t xml:space="preserve">The reading: warned at the best threshold</t>
  </si>
  <si>
    <t xml:space="preserve">The reading: not warned at 0.5</t>
  </si>
  <si>
    <t xml:space="preserve">Not at 0.5</t>
  </si>
  <si>
    <t xml:space="preserve">Interventional attribution, bond</t>
  </si>
  <si>
    <t xml:space="preserve">Interventional attribution, high yield</t>
  </si>
  <si>
    <t xml:space="preserve">Interventional attribution, volatility</t>
  </si>
  <si>
    <t xml:space="preserve">Interventional attribution, lending</t>
  </si>
  <si>
    <t xml:space="preserve">Interventional attribution, funding</t>
  </si>
  <si>
    <t xml:space="preserve">Interventional attributions: sum</t>
  </si>
  <si>
    <t xml:space="preserve">Conditional attributions: sum</t>
  </si>
  <si>
    <t xml:space="preserve">The funding spread's interventional credit</t>
  </si>
  <si>
    <t xml:space="preserve">2.13</t>
  </si>
  <si>
    <t xml:space="preserve">The market readings' interventional credit</t>
  </si>
  <si>
    <t xml:space="preserve">-0.83</t>
  </si>
  <si>
    <t xml:space="preserve">Proposition 13.3(ii): the first component keeps</t>
  </si>
  <si>
    <t xml:space="preserve">80 percent</t>
  </si>
  <si>
    <t xml:space="preserve">Proposition 13.3(iv): the conditional credit of an ignored feature</t>
  </si>
  <si>
    <t xml:space="preserve">(x1 - mu) / 2</t>
  </si>
  <si>
    <t xml:space="preserve">Table 13.3, None: promised value</t>
  </si>
  <si>
    <t xml:space="preserve">Table 13.3, None: fresh breach (%)</t>
  </si>
  <si>
    <t xml:space="preserve">Table 13.3, None: fresh value</t>
  </si>
  <si>
    <t xml:space="preserve">Table 13.3, Perfect (Chapter 9): warned (%)</t>
  </si>
  <si>
    <t xml:space="preserve">Table 13.3, Perfect (Chapter 9): promised value</t>
  </si>
  <si>
    <t xml:space="preserve">Table 13.3, Perfect (Chapter 9): fresh breach (%)</t>
  </si>
  <si>
    <t xml:space="preserve">Table 13.3, Perfect (Chapter 9): fresh value</t>
  </si>
  <si>
    <t xml:space="preserve">Table 13.3, Declared law (ceiling): warned (%)</t>
  </si>
  <si>
    <t xml:space="preserve">Table 13.3, Declared law (ceiling): promised value</t>
  </si>
  <si>
    <t xml:space="preserve">Table 13.3, Declared law (ceiling): fresh breach (%)</t>
  </si>
  <si>
    <t xml:space="preserve">Table 13.3, Declared law (ceiling): fresh value</t>
  </si>
  <si>
    <t xml:space="preserve">Table 13.3, Logistic, at 0.5 (law): warned (%)</t>
  </si>
  <si>
    <t xml:space="preserve">Table 13.3, Logistic, at 0.5 (law): promised value</t>
  </si>
  <si>
    <t xml:space="preserve">Table 13.3, Logistic, at 0.5 (law): fresh breach (%)</t>
  </si>
  <si>
    <t xml:space="preserve">Table 13.3, Logistic, at 0.5 (law): fresh value</t>
  </si>
  <si>
    <t xml:space="preserve">Table 13.3, Logistic, cheapest (law): warned (%)</t>
  </si>
  <si>
    <t xml:space="preserve">Table 13.3, Logistic, cheapest (law): promised value</t>
  </si>
  <si>
    <t xml:space="preserve">Table 13.3, Logistic, cheapest (law): fresh breach (%)</t>
  </si>
  <si>
    <t xml:space="preserve">Table 13.3, Logistic, cheapest (law): fresh value</t>
  </si>
  <si>
    <t xml:space="preserve">Table 13.3, Logistic, held-out: warned (%)</t>
  </si>
  <si>
    <t xml:space="preserve">Table 13.3, Logistic, held-out: promised value</t>
  </si>
  <si>
    <t xml:space="preserve">Table 13.3, Logistic, held-out: fresh breach (%)</t>
  </si>
  <si>
    <t xml:space="preserve">Table 13.3, Logistic, held-out: fresh value</t>
  </si>
  <si>
    <t xml:space="preserve">Table 13.3, Logistic, certified: warned (%)</t>
  </si>
  <si>
    <t xml:space="preserve">Table 13.3, Logistic, certified: promised value</t>
  </si>
  <si>
    <t xml:space="preserve">Table 13.3, Logistic, certified: fresh breach (%)</t>
  </si>
  <si>
    <t xml:space="preserve">Table 13.3, Logistic, certified: fresh value</t>
  </si>
  <si>
    <t xml:space="preserve">Table 13.3, Boosting, trusted: warned (%)</t>
  </si>
  <si>
    <t xml:space="preserve">Table 13.3, Boosting, trusted: promised value</t>
  </si>
  <si>
    <t xml:space="preserve">Table 13.3, Boosting, trusted: fresh breach (%)</t>
  </si>
  <si>
    <t xml:space="preserve">Table 13.3, Boosting, held-out: warned (%)</t>
  </si>
  <si>
    <t xml:space="preserve">Table 13.3, Boosting, held-out: promised value</t>
  </si>
  <si>
    <t xml:space="preserve">Table 13.3, Boosting, held-out: fresh breach (%)</t>
  </si>
  <si>
    <t xml:space="preserve">Table 13.3, Boosting, held-out: fresh value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</si>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</sst>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"/>
    <numFmt numFmtId="167" formatCode="0"/>
    <numFmt numFmtId="168" formatCode="0.00%"/>
    <numFmt numFmtId="169" formatCode="0.0"/>
    <numFmt numFmtId="170" formatCode="0.0000"/>
    <numFmt numFmtId="171" formatCode="0.0%"/>
    <numFmt numFmtId="172" formatCode="0.000"/>
    <numFmt numFmtId="173" formatCode="0%"/>
    <numFmt numFmtId="174" formatCode="0.000000"/>
    <numFmt numFmtId="175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0"/>
  </cols>
  <sheetData>
    <row r="1" customFormat="false" ht="15" hidden="false" customHeight="fals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4" customFormat="false" ht="46.25" hidden="false" customHeight="false" outlineLevel="0" collapsed="false">
      <c r="B4" s="4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23.85" hidden="false" customHeight="false" outlineLevel="0" collapsed="false">
      <c r="B7" s="4" t="s">
        <v>5</v>
      </c>
    </row>
    <row r="8" customFormat="false" ht="23.8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0" customFormat="false" ht="23.85" hidden="false" customHeight="false" outlineLevel="0" collapsed="false">
      <c r="B10" s="4" t="s">
        <v>8</v>
      </c>
    </row>
    <row r="11" customFormat="false" ht="23.85" hidden="false" customHeight="false" outlineLevel="0" collapsed="false">
      <c r="B11" s="4" t="s">
        <v>9</v>
      </c>
    </row>
    <row r="12" customFormat="false" ht="15" hidden="false" customHeight="false" outlineLevel="0" collapsed="false">
      <c r="B12" s="4" t="s">
        <v>10</v>
      </c>
    </row>
    <row r="13" customFormat="false" ht="23.85" hidden="false" customHeight="false" outlineLevel="0" collapsed="false">
      <c r="B13" s="4" t="s">
        <v>11</v>
      </c>
    </row>
    <row r="14" customFormat="false" ht="15" hidden="false" customHeight="false" outlineLevel="0" collapsed="false">
      <c r="B14" s="4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3" t="s">
        <v>15</v>
      </c>
    </row>
    <row r="19" customFormat="false" ht="15" hidden="false" customHeight="false" outlineLevel="0" collapsed="false">
      <c r="B19" s="7" t="s">
        <v>16</v>
      </c>
    </row>
    <row r="20" customFormat="false" ht="15" hidden="false" customHeight="false" outlineLevel="0" collapsed="false">
      <c r="B20" s="8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4" min="2" style="1" width="16"/>
    <col collapsed="false" customWidth="true" hidden="false" outlineLevel="0" max="6" min="5" style="1" width="18"/>
  </cols>
  <sheetData>
    <row r="1" customFormat="false" ht="15" hidden="false" customHeight="false" outlineLevel="0" collapsed="false">
      <c r="A1" s="2" t="s">
        <v>18</v>
      </c>
    </row>
    <row r="3" customFormat="false" ht="15" hidden="false" customHeight="false" outlineLevel="0" collapsed="false">
      <c r="A3" s="9" t="s">
        <v>19</v>
      </c>
      <c r="B3" s="9" t="s">
        <v>20</v>
      </c>
      <c r="C3" s="9" t="s">
        <v>21</v>
      </c>
    </row>
    <row r="4" customFormat="false" ht="15" hidden="false" customHeight="false" outlineLevel="0" collapsed="false">
      <c r="A4" s="3" t="s">
        <v>22</v>
      </c>
      <c r="B4" s="10" t="n">
        <v>100000</v>
      </c>
      <c r="C4" s="11" t="s">
        <v>23</v>
      </c>
    </row>
    <row r="5" customFormat="false" ht="15" hidden="false" customHeight="false" outlineLevel="0" collapsed="false">
      <c r="A5" s="3" t="s">
        <v>24</v>
      </c>
      <c r="B5" s="12" t="n">
        <v>0.1</v>
      </c>
      <c r="C5" s="11" t="s">
        <v>25</v>
      </c>
    </row>
    <row r="6" customFormat="false" ht="15" hidden="false" customHeight="false" outlineLevel="0" collapsed="false">
      <c r="A6" s="3" t="s">
        <v>26</v>
      </c>
      <c r="B6" s="13" t="n">
        <v>3</v>
      </c>
      <c r="C6" s="11" t="s">
        <v>27</v>
      </c>
    </row>
    <row r="7" customFormat="false" ht="15" hidden="false" customHeight="false" outlineLevel="0" collapsed="false">
      <c r="A7" s="3" t="s">
        <v>28</v>
      </c>
      <c r="B7" s="14" t="n">
        <f aca="false">1-EXP(-B5*B6)</f>
        <v>0.259181779318282</v>
      </c>
      <c r="C7" s="11" t="s">
        <v>29</v>
      </c>
    </row>
    <row r="8" customFormat="false" ht="15" hidden="false" customHeight="false" outlineLevel="0" collapsed="false">
      <c r="A8" s="3" t="s">
        <v>30</v>
      </c>
      <c r="B8" s="15" t="n">
        <v>25912</v>
      </c>
      <c r="C8" s="11" t="s">
        <v>31</v>
      </c>
    </row>
    <row r="9" customFormat="false" ht="15" hidden="false" customHeight="false" outlineLevel="0" collapsed="false">
      <c r="A9" s="3" t="s">
        <v>32</v>
      </c>
      <c r="B9" s="16" t="n">
        <f aca="false">B4-B8</f>
        <v>74088</v>
      </c>
    </row>
    <row r="10" customFormat="false" ht="15" hidden="false" customHeight="false" outlineLevel="0" collapsed="false">
      <c r="A10" s="3" t="s">
        <v>33</v>
      </c>
      <c r="B10" s="15" t="n">
        <v>25960</v>
      </c>
      <c r="C10" s="11" t="s">
        <v>34</v>
      </c>
    </row>
    <row r="11" customFormat="false" ht="15" hidden="false" customHeight="false" outlineLevel="0" collapsed="false">
      <c r="A11" s="3" t="s">
        <v>35</v>
      </c>
      <c r="B11" s="12" t="n">
        <v>0.03</v>
      </c>
      <c r="C11" s="11" t="s">
        <v>36</v>
      </c>
    </row>
    <row r="12" customFormat="false" ht="15" hidden="false" customHeight="false" outlineLevel="0" collapsed="false">
      <c r="A12" s="3" t="s">
        <v>37</v>
      </c>
      <c r="B12" s="17" t="n">
        <v>8</v>
      </c>
      <c r="C12" s="11" t="s">
        <v>38</v>
      </c>
    </row>
    <row r="13" customFormat="false" ht="15" hidden="false" customHeight="false" outlineLevel="0" collapsed="false">
      <c r="A13" s="3" t="s">
        <v>39</v>
      </c>
      <c r="B13" s="13" t="n">
        <v>28</v>
      </c>
      <c r="C13" s="11" t="s">
        <v>40</v>
      </c>
    </row>
    <row r="14" customFormat="false" ht="15" hidden="false" customHeight="false" outlineLevel="0" collapsed="false">
      <c r="A14" s="3" t="s">
        <v>41</v>
      </c>
      <c r="B14" s="13" t="n">
        <v>4</v>
      </c>
    </row>
    <row r="15" customFormat="false" ht="15" hidden="false" customHeight="false" outlineLevel="0" collapsed="false">
      <c r="A15" s="3" t="s">
        <v>42</v>
      </c>
      <c r="B15" s="12" t="n">
        <v>0.05</v>
      </c>
      <c r="C15" s="11" t="s">
        <v>43</v>
      </c>
    </row>
    <row r="16" customFormat="false" ht="15" hidden="false" customHeight="false" outlineLevel="0" collapsed="false">
      <c r="A16" s="3" t="s">
        <v>44</v>
      </c>
      <c r="B16" s="13" t="n">
        <v>170</v>
      </c>
      <c r="C16" s="11" t="s">
        <v>45</v>
      </c>
    </row>
    <row r="17" customFormat="false" ht="15" hidden="false" customHeight="false" outlineLevel="0" collapsed="false">
      <c r="A17" s="3" t="s">
        <v>46</v>
      </c>
      <c r="B17" s="18" t="n">
        <v>0.667576361426625</v>
      </c>
      <c r="C17" s="11" t="s">
        <v>47</v>
      </c>
    </row>
    <row r="18" customFormat="false" ht="15" hidden="false" customHeight="false" outlineLevel="0" collapsed="false">
      <c r="A18" s="3" t="s">
        <v>48</v>
      </c>
      <c r="B18" s="19" t="n">
        <f aca="false">B11*B16+B12*B17</f>
        <v>10.440610891413</v>
      </c>
      <c r="C18" s="11" t="s">
        <v>49</v>
      </c>
    </row>
    <row r="19" customFormat="false" ht="15" hidden="false" customHeight="false" outlineLevel="0" collapsed="false">
      <c r="A19" s="3" t="s">
        <v>50</v>
      </c>
      <c r="B19" s="20" t="n">
        <v>0.0025</v>
      </c>
      <c r="C19" s="11" t="s">
        <v>51</v>
      </c>
    </row>
    <row r="20" customFormat="false" ht="15" hidden="false" customHeight="false" outlineLevel="0" collapsed="false">
      <c r="A20" s="3" t="s">
        <v>52</v>
      </c>
      <c r="B20" s="12" t="n">
        <v>0.1</v>
      </c>
      <c r="C20" s="11" t="s">
        <v>53</v>
      </c>
    </row>
    <row r="21" customFormat="false" ht="15" hidden="false" customHeight="false" outlineLevel="0" collapsed="false">
      <c r="A21" s="3" t="s">
        <v>54</v>
      </c>
      <c r="B21" s="10" t="n">
        <v>1000</v>
      </c>
      <c r="C21" s="11" t="s">
        <v>55</v>
      </c>
    </row>
    <row r="22" customFormat="false" ht="15" hidden="false" customHeight="false" outlineLevel="0" collapsed="false">
      <c r="A22" s="3" t="s">
        <v>56</v>
      </c>
      <c r="B22" s="12" t="n">
        <v>0.95</v>
      </c>
      <c r="C22" s="11" t="s">
        <v>57</v>
      </c>
    </row>
    <row r="24" customFormat="false" ht="15" hidden="false" customHeight="false" outlineLevel="0" collapsed="false">
      <c r="A24" s="5" t="s">
        <v>58</v>
      </c>
    </row>
    <row r="25" customFormat="false" ht="15" hidden="false" customHeight="false" outlineLevel="0" collapsed="false">
      <c r="A25" s="9" t="s">
        <v>59</v>
      </c>
      <c r="B25" s="9" t="s">
        <v>60</v>
      </c>
      <c r="C25" s="9" t="s">
        <v>61</v>
      </c>
      <c r="D25" s="9" t="s">
        <v>62</v>
      </c>
      <c r="E25" s="9" t="s">
        <v>63</v>
      </c>
      <c r="F25" s="9" t="s">
        <v>64</v>
      </c>
    </row>
    <row r="26" customFormat="false" ht="15" hidden="false" customHeight="false" outlineLevel="0" collapsed="false">
      <c r="A26" s="3" t="s">
        <v>65</v>
      </c>
      <c r="B26" s="11" t="s">
        <v>66</v>
      </c>
      <c r="C26" s="11" t="s">
        <v>67</v>
      </c>
      <c r="D26" s="11" t="s">
        <v>68</v>
      </c>
      <c r="E26" s="11" t="s">
        <v>69</v>
      </c>
      <c r="F26" s="11" t="s">
        <v>70</v>
      </c>
    </row>
    <row r="27" customFormat="false" ht="15" hidden="false" customHeight="false" outlineLevel="0" collapsed="false">
      <c r="A27" s="3" t="s">
        <v>71</v>
      </c>
      <c r="B27" s="12" t="n">
        <v>0.9</v>
      </c>
      <c r="C27" s="12" t="n">
        <v>0.85</v>
      </c>
      <c r="D27" s="12" t="n">
        <v>0.8</v>
      </c>
      <c r="E27" s="12" t="n">
        <v>0.6</v>
      </c>
      <c r="F27" s="12" t="n">
        <v>0.3</v>
      </c>
    </row>
    <row r="28" customFormat="false" ht="15" hidden="false" customHeight="false" outlineLevel="0" collapsed="false">
      <c r="A28" s="3" t="s">
        <v>72</v>
      </c>
      <c r="B28" s="12" t="n">
        <v>0.25</v>
      </c>
      <c r="C28" s="12" t="n">
        <v>0.25</v>
      </c>
      <c r="D28" s="12" t="n">
        <v>0.15</v>
      </c>
      <c r="E28" s="12" t="n">
        <v>0.7</v>
      </c>
      <c r="F28" s="12" t="n">
        <v>1.9</v>
      </c>
    </row>
    <row r="29" customFormat="false" ht="15" hidden="false" customHeight="false" outlineLevel="0" collapsed="false">
      <c r="A29" s="3" t="s">
        <v>73</v>
      </c>
      <c r="B29" s="19" t="n">
        <f aca="false">SQRT(1-B27^2)</f>
        <v>0.435889894354067</v>
      </c>
      <c r="C29" s="19" t="n">
        <f aca="false">SQRT(1-C27^2)</f>
        <v>0.526782687642637</v>
      </c>
      <c r="D29" s="19" t="n">
        <f aca="false">SQRT(1-D27^2)</f>
        <v>0.6</v>
      </c>
      <c r="E29" s="19" t="n">
        <f aca="false">SQRT(1-E27^2)</f>
        <v>0.8</v>
      </c>
      <c r="F29" s="19" t="n">
        <f aca="false">SQRT(1-F27^2)</f>
        <v>0.953939201416946</v>
      </c>
    </row>
    <row r="30" customFormat="false" ht="15" hidden="false" customHeight="false" outlineLevel="0" collapsed="false">
      <c r="A30" s="11" t="s">
        <v>74</v>
      </c>
    </row>
    <row r="32" customFormat="false" ht="15" hidden="false" customHeight="false" outlineLevel="0" collapsed="false">
      <c r="A32" s="5" t="s">
        <v>75</v>
      </c>
    </row>
    <row r="33" customFormat="false" ht="15" hidden="false" customHeight="false" outlineLevel="0" collapsed="false">
      <c r="A33" s="3" t="s">
        <v>76</v>
      </c>
      <c r="B33" s="13" t="n">
        <v>8</v>
      </c>
      <c r="C33" s="11" t="s">
        <v>77</v>
      </c>
    </row>
    <row r="34" customFormat="false" ht="15" hidden="false" customHeight="false" outlineLevel="0" collapsed="false">
      <c r="A34" s="3" t="s">
        <v>78</v>
      </c>
      <c r="B34" s="13" t="n">
        <v>26209</v>
      </c>
      <c r="C34" s="11" t="s">
        <v>79</v>
      </c>
    </row>
    <row r="35" customFormat="false" ht="15" hidden="false" customHeight="false" outlineLevel="0" collapsed="false">
      <c r="A35" s="3" t="s">
        <v>80</v>
      </c>
      <c r="B35" s="13" t="n">
        <v>1300</v>
      </c>
    </row>
    <row r="36" customFormat="false" ht="15" hidden="false" customHeight="false" outlineLevel="0" collapsed="false">
      <c r="A36" s="3" t="s">
        <v>81</v>
      </c>
      <c r="B36" s="13" t="n">
        <v>1309</v>
      </c>
    </row>
    <row r="37" customFormat="false" ht="15" hidden="false" customHeight="false" outlineLevel="0" collapsed="false">
      <c r="A37" s="3" t="s">
        <v>82</v>
      </c>
      <c r="B37" s="13" t="n">
        <v>26213</v>
      </c>
    </row>
    <row r="38" customFormat="false" ht="15" hidden="false" customHeight="false" outlineLevel="0" collapsed="false">
      <c r="A38" s="3" t="s">
        <v>83</v>
      </c>
      <c r="B38" s="13" t="n">
        <v>913000</v>
      </c>
      <c r="C38" s="11" t="s">
        <v>84</v>
      </c>
    </row>
    <row r="39" customFormat="false" ht="15" hidden="false" customHeight="false" outlineLevel="0" collapsed="false">
      <c r="A39" s="3" t="s">
        <v>85</v>
      </c>
      <c r="B39" s="13" t="n">
        <v>26214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4"/>
  </cols>
  <sheetData>
    <row r="1" customFormat="false" ht="15" hidden="false" customHeight="false" outlineLevel="0" collapsed="false">
      <c r="A1" s="2" t="s">
        <v>86</v>
      </c>
    </row>
    <row r="2" customFormat="false" ht="15" hidden="false" customHeight="false" outlineLevel="0" collapsed="false">
      <c r="A2" s="11" t="s">
        <v>87</v>
      </c>
    </row>
    <row r="3" customFormat="false" ht="15" hidden="false" customHeight="false" outlineLevel="0" collapsed="false">
      <c r="A3" s="9"/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</row>
    <row r="4" customFormat="false" ht="15" hidden="false" customHeight="false" outlineLevel="0" collapsed="false">
      <c r="A4" s="3" t="s">
        <v>88</v>
      </c>
      <c r="B4" s="21" t="n">
        <v>0.179009112076778</v>
      </c>
      <c r="C4" s="21" t="n">
        <v>0.292013760397622</v>
      </c>
      <c r="D4" s="21" t="n">
        <v>0.171732445724602</v>
      </c>
      <c r="E4" s="21" t="n">
        <v>0.734781202623262</v>
      </c>
      <c r="F4" s="21" t="n">
        <v>1.99534501799199</v>
      </c>
    </row>
    <row r="5" customFormat="false" ht="15" hidden="false" customHeight="false" outlineLevel="0" collapsed="false">
      <c r="A5" s="3" t="s">
        <v>89</v>
      </c>
      <c r="B5" s="21" t="n">
        <v>-0.0171154486425459</v>
      </c>
      <c r="C5" s="21" t="n">
        <v>0.00788753041805461</v>
      </c>
      <c r="D5" s="21" t="n">
        <v>-0.016251553359568</v>
      </c>
      <c r="E5" s="21" t="n">
        <v>-0.0604787614613557</v>
      </c>
      <c r="F5" s="21" t="n">
        <v>-0.016721810527036</v>
      </c>
    </row>
    <row r="6" customFormat="false" ht="15" hidden="false" customHeight="false" outlineLevel="0" collapsed="false">
      <c r="A6" s="3" t="s">
        <v>90</v>
      </c>
      <c r="B6" s="18" t="n">
        <v>0.0354459336302329</v>
      </c>
      <c r="C6" s="18" t="n">
        <v>0.0840333600525786</v>
      </c>
      <c r="D6" s="18" t="n">
        <v>0.0341281583949894</v>
      </c>
      <c r="E6" s="18" t="n">
        <v>0.152650908913322</v>
      </c>
      <c r="F6" s="18" t="n">
        <v>0.522512099516062</v>
      </c>
    </row>
    <row r="7" customFormat="false" ht="15" hidden="false" customHeight="false" outlineLevel="0" collapsed="false">
      <c r="A7" s="3" t="s">
        <v>91</v>
      </c>
      <c r="B7" s="18" t="n">
        <v>1.01457084410284</v>
      </c>
      <c r="C7" s="18" t="n">
        <v>0.995357606058282</v>
      </c>
      <c r="D7" s="18" t="n">
        <v>0.962286503111383</v>
      </c>
      <c r="E7" s="18" t="n">
        <v>1.09141909103045</v>
      </c>
      <c r="F7" s="18" t="n">
        <v>1.75325827655763</v>
      </c>
    </row>
    <row r="8" customFormat="false" ht="15" hidden="false" customHeight="false" outlineLevel="0" collapsed="false">
      <c r="A8" s="3" t="s">
        <v>92</v>
      </c>
      <c r="B8" s="22" t="n">
        <f aca="false">B7/SUM($B$7:$F$7)</f>
        <v>0.174418020506307</v>
      </c>
      <c r="C8" s="22" t="n">
        <f aca="false">C7/SUM($B$7:$F$7)</f>
        <v>0.171115013164112</v>
      </c>
      <c r="D8" s="22" t="n">
        <f aca="false">D7/SUM($B$7:$F$7)</f>
        <v>0.165429657286318</v>
      </c>
      <c r="E8" s="22" t="n">
        <f aca="false">E7/SUM($B$7:$F$7)</f>
        <v>0.187629240980857</v>
      </c>
      <c r="F8" s="22" t="n">
        <f aca="false">F7/SUM($B$7:$F$7)</f>
        <v>0.301408068062405</v>
      </c>
    </row>
    <row r="10" customFormat="false" ht="15" hidden="false" customHeight="false" outlineLevel="0" collapsed="false">
      <c r="A10" s="3" t="s">
        <v>93</v>
      </c>
      <c r="B10" s="15" t="n">
        <v>1000</v>
      </c>
    </row>
    <row r="11" customFormat="false" ht="15" hidden="false" customHeight="false" outlineLevel="0" collapsed="false">
      <c r="A11" s="3" t="s">
        <v>94</v>
      </c>
      <c r="B11" s="15" t="n">
        <v>268</v>
      </c>
      <c r="C11" s="11" t="s">
        <v>95</v>
      </c>
    </row>
    <row r="12" customFormat="false" ht="15" hidden="false" customHeight="false" outlineLevel="0" collapsed="false">
      <c r="A12" s="3" t="s">
        <v>96</v>
      </c>
      <c r="B12" s="22" t="n">
        <f aca="false">B11/B10</f>
        <v>0.268</v>
      </c>
      <c r="C12" s="11" t="s">
        <v>97</v>
      </c>
    </row>
    <row r="13" customFormat="false" ht="15" hidden="false" customHeight="false" outlineLevel="0" collapsed="false">
      <c r="A13" s="3" t="s">
        <v>98</v>
      </c>
      <c r="B13" s="22" t="n">
        <f aca="false">SUM(B7:D7)/SUM(B7:F7)</f>
        <v>0.510962690956737</v>
      </c>
      <c r="C13" s="11" t="s">
        <v>99</v>
      </c>
    </row>
    <row r="14" customFormat="false" ht="15" hidden="false" customHeight="false" outlineLevel="0" collapsed="false">
      <c r="A14" s="3" t="s">
        <v>100</v>
      </c>
      <c r="B14" s="22" t="n">
        <f aca="false">SUM(E7:F7)/SUM(B7:F7)</f>
        <v>0.489037309043263</v>
      </c>
      <c r="C14" s="11" t="s">
        <v>101</v>
      </c>
    </row>
    <row r="15" customFormat="false" ht="15" hidden="false" customHeight="false" outlineLevel="0" collapsed="false">
      <c r="A15" s="3" t="s">
        <v>102</v>
      </c>
      <c r="B15" s="22" t="n">
        <f aca="false">F7/SUM(B7:F7)</f>
        <v>0.301408068062405</v>
      </c>
      <c r="C15" s="11" t="s">
        <v>103</v>
      </c>
    </row>
    <row r="16" customFormat="false" ht="15" hidden="false" customHeight="false" outlineLevel="0" collapsed="false">
      <c r="A16" s="3" t="s">
        <v>104</v>
      </c>
      <c r="B16" s="22" t="n">
        <f aca="false">SUM(B7:E7)/SUM(B7:F7)</f>
        <v>0.698591931937595</v>
      </c>
      <c r="C16" s="1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14"/>
  </cols>
  <sheetData>
    <row r="1" customFormat="false" ht="15" hidden="false" customHeight="false" outlineLevel="0" collapsed="false">
      <c r="A1" s="2" t="s">
        <v>106</v>
      </c>
    </row>
    <row r="2" customFormat="false" ht="15" hidden="false" customHeight="false" outlineLevel="0" collapsed="false">
      <c r="A2" s="11" t="s">
        <v>107</v>
      </c>
    </row>
    <row r="4" customFormat="false" ht="15" hidden="false" customHeight="false" outlineLevel="0" collapsed="false">
      <c r="A4" s="9" t="s">
        <v>108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</row>
    <row r="5" customFormat="false" ht="15" hidden="false" customHeight="false" outlineLevel="0" collapsed="false">
      <c r="A5" s="3" t="s">
        <v>60</v>
      </c>
      <c r="B5" s="19" t="n">
        <f aca="false">Declarations!$B$27*Declarations!$B$27+(1-Declarations!$B$27^2)</f>
        <v>1</v>
      </c>
      <c r="C5" s="19" t="n">
        <f aca="false">Declarations!$B$27*Declarations!$C$27</f>
        <v>0.765</v>
      </c>
      <c r="D5" s="19" t="n">
        <f aca="false">Declarations!$B$27*Declarations!$D$27</f>
        <v>0.72</v>
      </c>
      <c r="E5" s="19" t="n">
        <f aca="false">Declarations!$B$27*Declarations!$E$27</f>
        <v>0.54</v>
      </c>
      <c r="F5" s="19" t="n">
        <f aca="false">Declarations!$B$27*Declarations!$F$27</f>
        <v>0.27</v>
      </c>
    </row>
    <row r="6" customFormat="false" ht="15" hidden="false" customHeight="false" outlineLevel="0" collapsed="false">
      <c r="A6" s="3" t="s">
        <v>61</v>
      </c>
      <c r="B6" s="19" t="n">
        <f aca="false">Declarations!$C$27*Declarations!$B$27</f>
        <v>0.765</v>
      </c>
      <c r="C6" s="19" t="n">
        <f aca="false">Declarations!$C$27*Declarations!$C$27+(1-Declarations!$C$27^2)</f>
        <v>1</v>
      </c>
      <c r="D6" s="19" t="n">
        <f aca="false">Declarations!$C$27*Declarations!$D$27</f>
        <v>0.68</v>
      </c>
      <c r="E6" s="19" t="n">
        <f aca="false">Declarations!$C$27*Declarations!$E$27</f>
        <v>0.51</v>
      </c>
      <c r="F6" s="19" t="n">
        <f aca="false">Declarations!$C$27*Declarations!$F$27</f>
        <v>0.255</v>
      </c>
    </row>
    <row r="7" customFormat="false" ht="15" hidden="false" customHeight="false" outlineLevel="0" collapsed="false">
      <c r="A7" s="3" t="s">
        <v>62</v>
      </c>
      <c r="B7" s="19" t="n">
        <f aca="false">Declarations!$D$27*Declarations!$B$27</f>
        <v>0.72</v>
      </c>
      <c r="C7" s="19" t="n">
        <f aca="false">Declarations!$D$27*Declarations!$C$27</f>
        <v>0.68</v>
      </c>
      <c r="D7" s="19" t="n">
        <f aca="false">Declarations!$D$27*Declarations!$D$27+(1-Declarations!$D$27^2)</f>
        <v>1</v>
      </c>
      <c r="E7" s="19" t="n">
        <f aca="false">Declarations!$D$27*Declarations!$E$27</f>
        <v>0.48</v>
      </c>
      <c r="F7" s="19" t="n">
        <f aca="false">Declarations!$D$27*Declarations!$F$27</f>
        <v>0.24</v>
      </c>
    </row>
    <row r="8" customFormat="false" ht="15" hidden="false" customHeight="false" outlineLevel="0" collapsed="false">
      <c r="A8" s="3" t="s">
        <v>63</v>
      </c>
      <c r="B8" s="19" t="n">
        <f aca="false">Declarations!$E$27*Declarations!$B$27</f>
        <v>0.54</v>
      </c>
      <c r="C8" s="19" t="n">
        <f aca="false">Declarations!$E$27*Declarations!$C$27</f>
        <v>0.51</v>
      </c>
      <c r="D8" s="19" t="n">
        <f aca="false">Declarations!$E$27*Declarations!$D$27</f>
        <v>0.48</v>
      </c>
      <c r="E8" s="19" t="n">
        <f aca="false">Declarations!$E$27*Declarations!$E$27+(1-Declarations!$E$27^2)</f>
        <v>1</v>
      </c>
      <c r="F8" s="19" t="n">
        <f aca="false">Declarations!$E$27*Declarations!$F$27</f>
        <v>0.18</v>
      </c>
    </row>
    <row r="9" customFormat="false" ht="15" hidden="false" customHeight="false" outlineLevel="0" collapsed="false">
      <c r="A9" s="3" t="s">
        <v>64</v>
      </c>
      <c r="B9" s="19" t="n">
        <f aca="false">Declarations!$F$27*Declarations!$B$27</f>
        <v>0.27</v>
      </c>
      <c r="C9" s="19" t="n">
        <f aca="false">Declarations!$F$27*Declarations!$C$27</f>
        <v>0.255</v>
      </c>
      <c r="D9" s="19" t="n">
        <f aca="false">Declarations!$F$27*Declarations!$D$27</f>
        <v>0.24</v>
      </c>
      <c r="E9" s="19" t="n">
        <f aca="false">Declarations!$F$27*Declarations!$E$27</f>
        <v>0.18</v>
      </c>
      <c r="F9" s="19" t="n">
        <f aca="false">Declarations!$F$27*Declarations!$F$27+(1-Declarations!$F$27^2)</f>
        <v>1</v>
      </c>
    </row>
    <row r="11" customFormat="false" ht="15" hidden="false" customHeight="false" outlineLevel="0" collapsed="false">
      <c r="A11" s="9" t="s">
        <v>109</v>
      </c>
      <c r="B11" s="9" t="s">
        <v>60</v>
      </c>
      <c r="C11" s="9" t="s">
        <v>61</v>
      </c>
      <c r="D11" s="9" t="s">
        <v>62</v>
      </c>
      <c r="E11" s="9" t="s">
        <v>63</v>
      </c>
      <c r="F11" s="9" t="s">
        <v>64</v>
      </c>
    </row>
    <row r="12" customFormat="false" ht="15" hidden="false" customHeight="false" outlineLevel="0" collapsed="false">
      <c r="A12" s="3" t="s">
        <v>60</v>
      </c>
      <c r="B12" s="19" t="n">
        <f aca="false">INDEX(MINVERSE($B$5:$F$9),1,1)</f>
        <v>3.08599867260697</v>
      </c>
      <c r="C12" s="19" t="n">
        <f aca="false">INDEX(MINVERSE($B$5:$F$9),1,2)</f>
        <v>-1.4078527102061</v>
      </c>
      <c r="D12" s="19" t="n">
        <f aca="false">INDEX(MINVERSE($B$5:$F$9),1,3)</f>
        <v>-1.02138333877698</v>
      </c>
      <c r="E12" s="19" t="n">
        <f aca="false">INDEX(MINVERSE($B$5:$F$9),1,4)</f>
        <v>-0.430896096046537</v>
      </c>
      <c r="F12" s="19" t="n">
        <f aca="false">INDEX(MINVERSE($B$5:$F$9),1,5)</f>
        <v>-0.151523901906475</v>
      </c>
    </row>
    <row r="13" customFormat="false" ht="15" hidden="false" customHeight="false" outlineLevel="0" collapsed="false">
      <c r="A13" s="3" t="s">
        <v>61</v>
      </c>
      <c r="B13" s="19" t="n">
        <f aca="false">INDEX(MINVERSE($B$5:$F$9),2,1)</f>
        <v>-1.4078527102061</v>
      </c>
      <c r="C13" s="19" t="n">
        <f aca="false">INDEX(MINVERSE($B$5:$F$9),2,2)</f>
        <v>2.69322036957643</v>
      </c>
      <c r="D13" s="19" t="n">
        <f aca="false">INDEX(MINVERSE($B$5:$F$9),2,3)</f>
        <v>-0.660474110960888</v>
      </c>
      <c r="E13" s="19" t="n">
        <f aca="false">INDEX(MINVERSE($B$5:$F$9),2,4)</f>
        <v>-0.278637515561625</v>
      </c>
      <c r="F13" s="19" t="n">
        <f aca="false">INDEX(MINVERSE($B$5:$F$9),2,5)</f>
        <v>-0.0979824230546372</v>
      </c>
    </row>
    <row r="14" customFormat="false" ht="15" hidden="false" customHeight="false" outlineLevel="0" collapsed="false">
      <c r="A14" s="3" t="s">
        <v>62</v>
      </c>
      <c r="B14" s="19" t="n">
        <f aca="false">INDEX(MINVERSE($B$5:$F$9),3,1)</f>
        <v>-1.02138333877698</v>
      </c>
      <c r="C14" s="19" t="n">
        <f aca="false">INDEX(MINVERSE($B$5:$F$9),3,2)</f>
        <v>-0.660474110960888</v>
      </c>
      <c r="D14" s="19" t="n">
        <f aca="false">INDEX(MINVERSE($B$5:$F$9),3,3)</f>
        <v>2.29861028551204</v>
      </c>
      <c r="E14" s="19" t="n">
        <f aca="false">INDEX(MINVERSE($B$5:$F$9),3,4)</f>
        <v>-0.20214878579961</v>
      </c>
      <c r="F14" s="19" t="n">
        <f aca="false">INDEX(MINVERSE($B$5:$F$9),3,5)</f>
        <v>-0.0710852873141484</v>
      </c>
    </row>
    <row r="15" customFormat="false" ht="15" hidden="false" customHeight="false" outlineLevel="0" collapsed="false">
      <c r="A15" s="3" t="s">
        <v>63</v>
      </c>
      <c r="B15" s="19" t="n">
        <f aca="false">INDEX(MINVERSE($B$5:$F$9),4,1)</f>
        <v>-0.430896096046537</v>
      </c>
      <c r="C15" s="19" t="n">
        <f aca="false">INDEX(MINVERSE($B$5:$F$9),4,2)</f>
        <v>-0.278637515561625</v>
      </c>
      <c r="D15" s="19" t="n">
        <f aca="false">INDEX(MINVERSE($B$5:$F$9),4,3)</f>
        <v>-0.20214878579961</v>
      </c>
      <c r="E15" s="19" t="n">
        <f aca="false">INDEX(MINVERSE($B$5:$F$9),4,4)</f>
        <v>1.47721848099079</v>
      </c>
      <c r="F15" s="19" t="n">
        <f aca="false">INDEX(MINVERSE($B$5:$F$9),4,5)</f>
        <v>-0.0299891055856564</v>
      </c>
    </row>
    <row r="16" customFormat="false" ht="15" hidden="false" customHeight="false" outlineLevel="0" collapsed="false">
      <c r="A16" s="3" t="s">
        <v>64</v>
      </c>
      <c r="B16" s="19" t="n">
        <f aca="false">INDEX(MINVERSE($B$5:$F$9),5,1)</f>
        <v>-0.151523901906475</v>
      </c>
      <c r="C16" s="19" t="n">
        <f aca="false">INDEX(MINVERSE($B$5:$F$9),5,2)</f>
        <v>-0.0979824230546372</v>
      </c>
      <c r="D16" s="19" t="n">
        <f aca="false">INDEX(MINVERSE($B$5:$F$9),5,3)</f>
        <v>-0.0710852873141485</v>
      </c>
      <c r="E16" s="19" t="n">
        <f aca="false">INDEX(MINVERSE($B$5:$F$9),5,4)</f>
        <v>-0.0299891055856564</v>
      </c>
      <c r="F16" s="19" t="n">
        <f aca="false">INDEX(MINVERSE($B$5:$F$9),5,5)</f>
        <v>1.08835547935449</v>
      </c>
    </row>
    <row r="18" customFormat="false" ht="15" hidden="false" customHeight="false" outlineLevel="0" collapsed="false">
      <c r="A18" s="3" t="s">
        <v>110</v>
      </c>
      <c r="B18" s="23" t="n">
        <f aca="false">SUMPRODUCT($B$12:$F$12,Shift)</f>
        <v>-0.323193691071207</v>
      </c>
      <c r="C18" s="23" t="n">
        <f aca="false">SUMPRODUCT($B$13:$F$13,Shift)</f>
        <v>-0.158942066498499</v>
      </c>
      <c r="D18" s="23" t="n">
        <f aca="false">SUMPRODUCT($B$14:$F$14,Shift)</f>
        <v>-0.35223901556427</v>
      </c>
      <c r="E18" s="23" t="n">
        <f aca="false">SUMPRODUCT($B$15:$F$15,Shift)</f>
        <v>0.769367915308824</v>
      </c>
      <c r="F18" s="23" t="n">
        <f aca="false">SUMPRODUCT($B$16:$F$16,Shift)</f>
        <v>1.97384366252618</v>
      </c>
    </row>
    <row r="19" customFormat="false" ht="15" hidden="false" customHeight="false" outlineLevel="0" collapsed="false">
      <c r="A19" s="3" t="s">
        <v>111</v>
      </c>
      <c r="B19" s="23" t="n">
        <f aca="false">SQRT(SUMPRODUCT(B18:F18,Shift))</f>
        <v>2.02866722450698</v>
      </c>
      <c r="C19" s="11" t="s">
        <v>112</v>
      </c>
    </row>
    <row r="20" customFormat="false" ht="15" hidden="false" customHeight="false" outlineLevel="0" collapsed="false">
      <c r="A20" s="3" t="s">
        <v>113</v>
      </c>
      <c r="B20" s="23" t="n">
        <f aca="false">NORMSDIST(B19/SQRT(2))</f>
        <v>0.924282954185725</v>
      </c>
      <c r="C20" s="11" t="s">
        <v>114</v>
      </c>
    </row>
    <row r="22" customFormat="false" ht="15" hidden="false" customHeight="false" outlineLevel="0" collapsed="false">
      <c r="A22" s="5" t="s">
        <v>115</v>
      </c>
    </row>
    <row r="23" customFormat="false" ht="15" hidden="false" customHeight="false" outlineLevel="0" collapsed="false">
      <c r="A23" s="3" t="s">
        <v>116</v>
      </c>
      <c r="B23" s="18" t="n">
        <v>-1.82580050205628</v>
      </c>
      <c r="C23" s="11" t="s">
        <v>117</v>
      </c>
    </row>
    <row r="24" customFormat="false" ht="15" hidden="false" customHeight="false" outlineLevel="0" collapsed="false">
      <c r="A24" s="3" t="s">
        <v>118</v>
      </c>
      <c r="B24" s="24" t="n">
        <f aca="false">B23/Delta</f>
        <v>-0.899999999999999</v>
      </c>
      <c r="C24" s="11" t="s">
        <v>119</v>
      </c>
    </row>
    <row r="25" customFormat="false" ht="15" hidden="false" customHeight="false" outlineLevel="0" collapsed="false">
      <c r="A25" s="3" t="s">
        <v>120</v>
      </c>
      <c r="B25" s="19" t="n">
        <f aca="false">NClose/NPaths</f>
        <v>0.25912</v>
      </c>
    </row>
    <row r="26" customFormat="false" ht="15" hidden="false" customHeight="false" outlineLevel="0" collapsed="false">
      <c r="A26" s="3" t="s">
        <v>121</v>
      </c>
      <c r="B26" s="19" t="n">
        <f aca="false">1-NORMSDIST((B23-Delta^2/2)/Delta)</f>
        <v>0.972211228867502</v>
      </c>
    </row>
    <row r="27" customFormat="false" ht="15" hidden="false" customHeight="false" outlineLevel="0" collapsed="false">
      <c r="A27" s="3" t="s">
        <v>122</v>
      </c>
      <c r="B27" s="19" t="n">
        <f aca="false">1-NORMSDIST((B23+Delta^2/2)/Delta)</f>
        <v>0.454486669234272</v>
      </c>
    </row>
    <row r="28" customFormat="false" ht="15" hidden="false" customHeight="false" outlineLevel="0" collapsed="false">
      <c r="A28" s="3" t="s">
        <v>123</v>
      </c>
      <c r="B28" s="14" t="n">
        <f aca="false">B25*B26+(1-B25)*B27</f>
        <v>0.588639457126435</v>
      </c>
      <c r="C28" s="11" t="s">
        <v>124</v>
      </c>
    </row>
    <row r="29" customFormat="false" ht="15" hidden="false" customHeight="false" outlineLevel="0" collapsed="false">
      <c r="A29" s="3" t="s">
        <v>125</v>
      </c>
      <c r="B29" s="14" t="n">
        <f aca="false">B25*B26/B28</f>
        <v>0.427968887532521</v>
      </c>
      <c r="C29" s="11" t="s">
        <v>126</v>
      </c>
    </row>
    <row r="30" customFormat="false" ht="15" hidden="false" customHeight="false" outlineLevel="0" collapsed="false">
      <c r="A30" s="3" t="s">
        <v>127</v>
      </c>
      <c r="B30" s="14" t="n">
        <f aca="false">B25*(1-B26)/(1-B28)</f>
        <v>0.0175044167472963</v>
      </c>
      <c r="C30" s="11" t="s">
        <v>128</v>
      </c>
    </row>
    <row r="32" customFormat="false" ht="15" hidden="false" customHeight="false" outlineLevel="0" collapsed="false">
      <c r="A32" s="5" t="s">
        <v>129</v>
      </c>
    </row>
    <row r="33" customFormat="false" ht="15" hidden="false" customHeight="false" outlineLevel="0" collapsed="false">
      <c r="A33" s="3" t="s">
        <v>130</v>
      </c>
      <c r="B33" s="12" t="n">
        <v>0</v>
      </c>
      <c r="C33" s="11" t="s">
        <v>131</v>
      </c>
    </row>
    <row r="34" customFormat="false" ht="15" hidden="false" customHeight="false" outlineLevel="0" collapsed="false">
      <c r="A34" s="3" t="s">
        <v>123</v>
      </c>
      <c r="B34" s="14" t="n">
        <f aca="false">B25*(1-NORMSDIST((B33-Delta^2/2)/Delta))+(1-B25)*(1-NORMSDIST((B33+Delta^2/2)/Delta))</f>
        <v>0.333894834493478</v>
      </c>
    </row>
    <row r="35" customFormat="false" ht="15" hidden="false" customHeight="false" outlineLevel="0" collapsed="false">
      <c r="A35" s="3" t="s">
        <v>125</v>
      </c>
      <c r="B35" s="14" t="n">
        <f aca="false">B25*(1-NORMSDIST((B33-Delta^2/2)/Delta))/B34</f>
        <v>0.655600198006816</v>
      </c>
    </row>
    <row r="36" customFormat="false" ht="15" hidden="false" customHeight="false" outlineLevel="0" collapsed="false">
      <c r="A36" s="3" t="s">
        <v>127</v>
      </c>
      <c r="B36" s="14" t="n">
        <f aca="false">B25*NORMSDIST((B33-Delta^2/2)/Delta)/(1-B34)</f>
        <v>0.0603785745484195</v>
      </c>
    </row>
    <row r="38" customFormat="false" ht="15" hidden="false" customHeight="false" outlineLevel="0" collapsed="false">
      <c r="A38" s="5" t="s">
        <v>132</v>
      </c>
    </row>
    <row r="39" customFormat="false" ht="35.05" hidden="false" customHeight="false" outlineLevel="0" collapsed="false">
      <c r="A39" s="9" t="s">
        <v>133</v>
      </c>
      <c r="B39" s="9" t="s">
        <v>134</v>
      </c>
      <c r="C39" s="9" t="s">
        <v>113</v>
      </c>
      <c r="D39" s="9" t="s">
        <v>135</v>
      </c>
    </row>
    <row r="40" customFormat="false" ht="15" hidden="false" customHeight="false" outlineLevel="0" collapsed="false">
      <c r="A40" s="12" t="n">
        <v>0.25</v>
      </c>
      <c r="B40" s="23" t="n">
        <f aca="false">A40*Delta</f>
        <v>0.507166806126745</v>
      </c>
      <c r="C40" s="23" t="n">
        <f aca="false">NORMSDIST(B40/SQRT(2))</f>
        <v>0.64006071549508</v>
      </c>
      <c r="D40" s="21" t="n">
        <v>0.0487006266463119</v>
      </c>
    </row>
    <row r="41" customFormat="false" ht="15" hidden="false" customHeight="false" outlineLevel="0" collapsed="false">
      <c r="A41" s="12" t="n">
        <v>0.5</v>
      </c>
      <c r="B41" s="23" t="n">
        <f aca="false">A41*Delta</f>
        <v>1.01433361225349</v>
      </c>
      <c r="C41" s="23" t="n">
        <f aca="false">NORMSDIST(B41/SQRT(2))</f>
        <v>0.763387660124555</v>
      </c>
      <c r="D41" s="21" t="n">
        <v>0.220696057592487</v>
      </c>
    </row>
    <row r="42" customFormat="false" ht="15" hidden="false" customHeight="false" outlineLevel="0" collapsed="false">
      <c r="A42" s="12" t="n">
        <v>0.75</v>
      </c>
      <c r="B42" s="23" t="n">
        <f aca="false">A42*Delta</f>
        <v>1.52150041838023</v>
      </c>
      <c r="C42" s="23" t="n">
        <f aca="false">NORMSDIST(B42/SQRT(2))</f>
        <v>0.859005793109302</v>
      </c>
      <c r="D42" s="21" t="n">
        <v>0.627712996530981</v>
      </c>
    </row>
    <row r="43" customFormat="false" ht="15" hidden="false" customHeight="false" outlineLevel="0" collapsed="false">
      <c r="A43" s="12" t="n">
        <v>1</v>
      </c>
      <c r="B43" s="23" t="n">
        <f aca="false">A43*Delta</f>
        <v>2.02866722450698</v>
      </c>
      <c r="C43" s="23" t="n">
        <f aca="false">NORMSDIST(B43/SQRT(2))</f>
        <v>0.924282954185725</v>
      </c>
      <c r="D43" s="21" t="n">
        <v>1.43688179317372</v>
      </c>
    </row>
    <row r="44" customFormat="false" ht="15" hidden="false" customHeight="false" outlineLevel="0" collapsed="false">
      <c r="A44" s="12" t="n">
        <v>1.25</v>
      </c>
      <c r="B44" s="23" t="n">
        <f aca="false">A44*Delta</f>
        <v>2.53583403063372</v>
      </c>
      <c r="C44" s="23" t="n">
        <f aca="false">NORMSDIST(B44/SQRT(2))</f>
        <v>0.963521966939538</v>
      </c>
      <c r="D44" s="21" t="n">
        <v>2.23741396200029</v>
      </c>
    </row>
    <row r="45" customFormat="false" ht="15" hidden="false" customHeight="false" outlineLevel="0" collapsed="false">
      <c r="A45" s="12" t="n">
        <v>1.5</v>
      </c>
      <c r="B45" s="23" t="n">
        <f aca="false">A45*Delta</f>
        <v>3.04300083676047</v>
      </c>
      <c r="C45" s="23" t="n">
        <f aca="false">NORMSDIST(B45/SQRT(2))</f>
        <v>0.984290550203063</v>
      </c>
      <c r="D45" s="21" t="n">
        <v>2.87956601186213</v>
      </c>
    </row>
    <row r="46" customFormat="false" ht="15" hidden="false" customHeight="false" outlineLevel="0" collapsed="false">
      <c r="A46" s="12" t="n">
        <v>2</v>
      </c>
      <c r="B46" s="23" t="n">
        <f aca="false">A46*Delta</f>
        <v>4.05733444901396</v>
      </c>
      <c r="C46" s="23" t="n">
        <f aca="false">NORMSDIST(B46/SQRT(2))</f>
        <v>0.997940937271478</v>
      </c>
      <c r="D46" s="21" t="n">
        <v>3.69346704470192</v>
      </c>
    </row>
    <row r="47" customFormat="false" ht="15" hidden="false" customHeight="false" outlineLevel="0" collapsed="false">
      <c r="A47" s="12" t="n">
        <v>2.5</v>
      </c>
      <c r="B47" s="23" t="n">
        <f aca="false">A47*Delta</f>
        <v>5.07166806126745</v>
      </c>
      <c r="C47" s="23" t="n">
        <f aca="false">NORMSDIST(B47/SQRT(2))</f>
        <v>0.999832241163737</v>
      </c>
      <c r="D47" s="21" t="n">
        <v>3.99870339585834</v>
      </c>
    </row>
    <row r="48" customFormat="false" ht="15" hidden="false" customHeight="false" outlineLevel="0" collapsed="false">
      <c r="A48" s="12" t="n">
        <v>3</v>
      </c>
      <c r="B48" s="23" t="n">
        <f aca="false">A48*Delta</f>
        <v>6.08600167352094</v>
      </c>
      <c r="C48" s="23" t="n">
        <f aca="false">NORMSDIST(B48/SQRT(2))</f>
        <v>0.999991592175364</v>
      </c>
      <c r="D48" s="21" t="n">
        <v>4.09303618294468</v>
      </c>
    </row>
    <row r="49" customFormat="false" ht="15" hidden="false" customHeight="false" outlineLevel="0" collapsed="false">
      <c r="A49" s="12" t="n">
        <v>4</v>
      </c>
      <c r="B49" s="23" t="n">
        <f aca="false">A49*Delta</f>
        <v>8.11466889802792</v>
      </c>
      <c r="C49" s="23" t="n">
        <f aca="false">NORMSDIST(B49/SQRT(2))</f>
        <v>0.999999995208174</v>
      </c>
      <c r="D49" s="21" t="n">
        <v>4.1177582830038</v>
      </c>
    </row>
    <row r="51" customFormat="false" ht="15" hidden="false" customHeight="false" outlineLevel="0" collapsed="false">
      <c r="A51" s="5" t="s">
        <v>136</v>
      </c>
    </row>
    <row r="52" customFormat="false" ht="23.85" hidden="false" customHeight="false" outlineLevel="0" collapsed="false">
      <c r="A52" s="9" t="s">
        <v>137</v>
      </c>
      <c r="B52" s="9" t="s">
        <v>134</v>
      </c>
      <c r="C52" s="9" t="s">
        <v>138</v>
      </c>
      <c r="D52" s="9" t="s">
        <v>135</v>
      </c>
      <c r="E52" s="9" t="s">
        <v>139</v>
      </c>
    </row>
    <row r="53" customFormat="false" ht="15" hidden="false" customHeight="false" outlineLevel="0" collapsed="false">
      <c r="A53" s="3" t="s">
        <v>140</v>
      </c>
      <c r="B53" s="23" t="n">
        <f aca="false">SQRT(SUMPRODUCT(MMULT(Declarations!$B$28:$D$28,MINVERSE($B$5:$D$7)),Declarations!$B$28:$D$28))</f>
        <v>0.275875583125315</v>
      </c>
      <c r="C53" s="23" t="n">
        <f aca="false">NORMSDIST(B53/SQRT(2))</f>
        <v>0.577332294292029</v>
      </c>
      <c r="D53" s="21" t="n">
        <v>0.0240125578787076</v>
      </c>
      <c r="E53" s="25" t="n">
        <f aca="false">Record!B13</f>
        <v>0.510962690956737</v>
      </c>
    </row>
    <row r="54" customFormat="false" ht="15" hidden="false" customHeight="false" outlineLevel="0" collapsed="false">
      <c r="A54" s="3" t="s">
        <v>141</v>
      </c>
      <c r="B54" s="23" t="n">
        <f aca="false">SQRT(SUMPRODUCT(MMULT(Declarations!$E$28:$F$28,MINVERSE($E$8:$F$9)),Declarations!$E$28:$F$28))</f>
        <v>1.93454272636942</v>
      </c>
      <c r="C54" s="23" t="n">
        <f aca="false">NORMSDIST(B54/SQRT(2))</f>
        <v>0.914332736717199</v>
      </c>
      <c r="D54" s="21" t="n">
        <v>1.27099831649446</v>
      </c>
      <c r="E54" s="25" t="n">
        <f aca="false">Record!B14</f>
        <v>0.489037309043263</v>
      </c>
    </row>
    <row r="55" customFormat="false" ht="15" hidden="false" customHeight="false" outlineLevel="0" collapsed="false">
      <c r="A55" s="3" t="s">
        <v>142</v>
      </c>
      <c r="B55" s="23" t="n">
        <f aca="false">Declarations!$F$28/SQRT($F$9)</f>
        <v>1.9</v>
      </c>
      <c r="C55" s="23" t="n">
        <f aca="false">NORMSDIST(B55/SQRT(2))</f>
        <v>0.910445403636639</v>
      </c>
      <c r="D55" s="21" t="n">
        <v>1.21453500817745</v>
      </c>
      <c r="E55" s="25" t="n">
        <f aca="false">Record!B15</f>
        <v>0.301408068062405</v>
      </c>
    </row>
    <row r="56" customFormat="false" ht="15" hidden="false" customHeight="false" outlineLevel="0" collapsed="false">
      <c r="A56" s="3" t="s">
        <v>143</v>
      </c>
      <c r="B56" s="23" t="n">
        <f aca="false">SQRT(SUMPRODUCT(MMULT(Declarations!$B$28:$E$28,MINVERSE($B$5:$E$8)),Declarations!$B$28:$E$28))</f>
        <v>0.731931632515499</v>
      </c>
      <c r="C56" s="23" t="n">
        <f aca="false">NORMSDIST(B56/SQRT(2))</f>
        <v>0.697615195729101</v>
      </c>
      <c r="D56" s="21" t="n">
        <v>0.0990921741863584</v>
      </c>
      <c r="E56" s="25" t="n">
        <f aca="false">Record!B16</f>
        <v>0.698591931937595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6" min="5" style="1" width="14"/>
  </cols>
  <sheetData>
    <row r="1" customFormat="false" ht="15" hidden="false" customHeight="false" outlineLevel="0" collapsed="false">
      <c r="A1" s="2" t="s">
        <v>144</v>
      </c>
    </row>
    <row r="2" customFormat="false" ht="15" hidden="false" customHeight="false" outlineLevel="0" collapsed="false">
      <c r="A2" s="11" t="s">
        <v>145</v>
      </c>
    </row>
    <row r="3" customFormat="false" ht="15" hidden="false" customHeight="false" outlineLevel="0" collapsed="false">
      <c r="A3" s="9"/>
      <c r="B3" s="9" t="s">
        <v>146</v>
      </c>
      <c r="C3" s="9" t="s">
        <v>147</v>
      </c>
      <c r="D3" s="9" t="s">
        <v>148</v>
      </c>
      <c r="E3" s="9" t="s">
        <v>149</v>
      </c>
      <c r="F3" s="9" t="s">
        <v>150</v>
      </c>
    </row>
    <row r="4" customFormat="false" ht="15" hidden="false" customHeight="false" outlineLevel="0" collapsed="false">
      <c r="A4" s="3" t="s">
        <v>151</v>
      </c>
      <c r="B4" s="26" t="n">
        <v>3.25466543013594</v>
      </c>
      <c r="C4" s="26" t="n">
        <v>1.42708531807202</v>
      </c>
      <c r="D4" s="26" t="n">
        <v>0.586525409198262</v>
      </c>
      <c r="E4" s="26" t="n">
        <v>0.320720762140645</v>
      </c>
      <c r="F4" s="26" t="n">
        <v>0.227895401313717</v>
      </c>
    </row>
    <row r="5" customFormat="false" ht="15" hidden="false" customHeight="false" outlineLevel="0" collapsed="false">
      <c r="A5" s="3" t="s">
        <v>152</v>
      </c>
      <c r="B5" s="22" t="n">
        <f aca="false">SUM($B$4:B4)/SUM($B$4:$F$4)</f>
        <v>0.559519628455908</v>
      </c>
      <c r="C5" s="22" t="n">
        <f aca="false">SUM($B$4:C4)/SUM($B$4:$F$4)</f>
        <v>0.804854291597977</v>
      </c>
      <c r="D5" s="22" t="n">
        <f aca="false">SUM($B$4:D4)/SUM($B$4:$F$4)</f>
        <v>0.905685693804764</v>
      </c>
      <c r="E5" s="22" t="n">
        <f aca="false">SUM($B$4:E4)/SUM($B$4:$F$4)</f>
        <v>0.960821794741423</v>
      </c>
      <c r="F5" s="22" t="n">
        <f aca="false">SUM($B$4:F4)/SUM($B$4:$F$4)</f>
        <v>1</v>
      </c>
    </row>
    <row r="7" customFormat="false" ht="15" hidden="false" customHeight="false" outlineLevel="0" collapsed="false">
      <c r="A7" s="9" t="s">
        <v>153</v>
      </c>
      <c r="B7" s="9" t="s">
        <v>154</v>
      </c>
      <c r="C7" s="9" t="s">
        <v>155</v>
      </c>
      <c r="D7" s="9" t="s">
        <v>156</v>
      </c>
      <c r="E7" s="9" t="s">
        <v>157</v>
      </c>
      <c r="F7" s="9" t="s">
        <v>158</v>
      </c>
    </row>
    <row r="8" customFormat="false" ht="15" hidden="false" customHeight="false" outlineLevel="0" collapsed="false">
      <c r="A8" s="3" t="s">
        <v>60</v>
      </c>
      <c r="B8" s="18" t="n">
        <v>0.473412576298525</v>
      </c>
      <c r="C8" s="18" t="n">
        <v>0.282394863258789</v>
      </c>
      <c r="D8" s="18" t="n">
        <v>-0.175979628953458</v>
      </c>
      <c r="E8" s="18" t="n">
        <v>-0.130439569150152</v>
      </c>
      <c r="F8" s="18" t="n">
        <v>-0.805077861328188</v>
      </c>
    </row>
    <row r="9" customFormat="false" ht="15" hidden="false" customHeight="false" outlineLevel="0" collapsed="false">
      <c r="A9" s="3" t="s">
        <v>61</v>
      </c>
      <c r="B9" s="18" t="n">
        <v>0.459912509405312</v>
      </c>
      <c r="C9" s="18" t="n">
        <v>0.228284167011678</v>
      </c>
      <c r="D9" s="18" t="n">
        <v>-0.280201068463272</v>
      </c>
      <c r="E9" s="18" t="n">
        <v>-0.627839331076414</v>
      </c>
      <c r="F9" s="18" t="n">
        <v>0.513489978840732</v>
      </c>
    </row>
    <row r="10" customFormat="false" ht="15" hidden="false" customHeight="false" outlineLevel="0" collapsed="false">
      <c r="A10" s="3" t="s">
        <v>62</v>
      </c>
      <c r="B10" s="18" t="n">
        <v>0.431140921156232</v>
      </c>
      <c r="C10" s="18" t="n">
        <v>0.277809272349201</v>
      </c>
      <c r="D10" s="18" t="n">
        <v>-0.262427825054798</v>
      </c>
      <c r="E10" s="18" t="n">
        <v>0.766368185775383</v>
      </c>
      <c r="F10" s="18" t="n">
        <v>0.284167124716635</v>
      </c>
    </row>
    <row r="11" customFormat="false" ht="15" hidden="false" customHeight="false" outlineLevel="0" collapsed="false">
      <c r="A11" s="3" t="s">
        <v>63</v>
      </c>
      <c r="B11" s="18" t="n">
        <v>0.434542516168227</v>
      </c>
      <c r="C11" s="18" t="n">
        <v>0.0640802717105646</v>
      </c>
      <c r="D11" s="18" t="n">
        <v>0.89466420913638</v>
      </c>
      <c r="E11" s="18" t="n">
        <v>0.0086165029609499</v>
      </c>
      <c r="F11" s="18" t="n">
        <v>0.0810446123242364</v>
      </c>
    </row>
    <row r="12" customFormat="false" ht="15" hidden="false" customHeight="false" outlineLevel="0" collapsed="false">
      <c r="A12" s="3" t="s">
        <v>64</v>
      </c>
      <c r="B12" s="18" t="n">
        <v>0.435489751936421</v>
      </c>
      <c r="C12" s="18" t="n">
        <v>-0.887048593523006</v>
      </c>
      <c r="D12" s="18" t="n">
        <v>-0.145691869892686</v>
      </c>
      <c r="E12" s="18" t="n">
        <v>0.0375346887760607</v>
      </c>
      <c r="F12" s="18" t="n">
        <v>-0.0293000831546551</v>
      </c>
    </row>
    <row r="14" customFormat="false" ht="15" hidden="false" customHeight="false" outlineLevel="0" collapsed="false">
      <c r="A14" s="9" t="s">
        <v>159</v>
      </c>
      <c r="B14" s="9" t="s">
        <v>60</v>
      </c>
      <c r="C14" s="9" t="s">
        <v>61</v>
      </c>
      <c r="D14" s="9" t="s">
        <v>62</v>
      </c>
      <c r="E14" s="9" t="s">
        <v>63</v>
      </c>
      <c r="F14" s="9" t="s">
        <v>64</v>
      </c>
    </row>
    <row r="15" customFormat="false" ht="15" hidden="false" customHeight="false" outlineLevel="0" collapsed="false">
      <c r="A15" s="3" t="s">
        <v>154</v>
      </c>
      <c r="B15" s="19" t="n">
        <f aca="false">INDEX($B$8:$F$12,1,1)</f>
        <v>0.473412576298525</v>
      </c>
      <c r="C15" s="19" t="n">
        <f aca="false">INDEX($B$8:$F$12,2,1)</f>
        <v>0.459912509405312</v>
      </c>
      <c r="D15" s="19" t="n">
        <f aca="false">INDEX($B$8:$F$12,3,1)</f>
        <v>0.431140921156232</v>
      </c>
      <c r="E15" s="19" t="n">
        <f aca="false">INDEX($B$8:$F$12,4,1)</f>
        <v>0.434542516168227</v>
      </c>
      <c r="F15" s="19" t="n">
        <f aca="false">INDEX($B$8:$F$12,5,1)</f>
        <v>0.435489751936421</v>
      </c>
    </row>
    <row r="16" customFormat="false" ht="15" hidden="false" customHeight="false" outlineLevel="0" collapsed="false">
      <c r="A16" s="3" t="s">
        <v>155</v>
      </c>
      <c r="B16" s="19" t="n">
        <f aca="false">INDEX($B$8:$F$12,1,2)</f>
        <v>0.282394863258789</v>
      </c>
      <c r="C16" s="19" t="n">
        <f aca="false">INDEX($B$8:$F$12,2,2)</f>
        <v>0.228284167011678</v>
      </c>
      <c r="D16" s="19" t="n">
        <f aca="false">INDEX($B$8:$F$12,3,2)</f>
        <v>0.277809272349201</v>
      </c>
      <c r="E16" s="19" t="n">
        <f aca="false">INDEX($B$8:$F$12,4,2)</f>
        <v>0.0640802717105646</v>
      </c>
      <c r="F16" s="19" t="n">
        <f aca="false">INDEX($B$8:$F$12,5,2)</f>
        <v>-0.887048593523006</v>
      </c>
    </row>
    <row r="17" customFormat="false" ht="15" hidden="false" customHeight="false" outlineLevel="0" collapsed="false">
      <c r="A17" s="3" t="s">
        <v>156</v>
      </c>
      <c r="B17" s="19" t="n">
        <f aca="false">INDEX($B$8:$F$12,1,3)</f>
        <v>-0.175979628953458</v>
      </c>
      <c r="C17" s="19" t="n">
        <f aca="false">INDEX($B$8:$F$12,2,3)</f>
        <v>-0.280201068463272</v>
      </c>
      <c r="D17" s="19" t="n">
        <f aca="false">INDEX($B$8:$F$12,3,3)</f>
        <v>-0.262427825054798</v>
      </c>
      <c r="E17" s="19" t="n">
        <f aca="false">INDEX($B$8:$F$12,4,3)</f>
        <v>0.89466420913638</v>
      </c>
      <c r="F17" s="19" t="n">
        <f aca="false">INDEX($B$8:$F$12,5,3)</f>
        <v>-0.145691869892686</v>
      </c>
    </row>
    <row r="18" customFormat="false" ht="15" hidden="false" customHeight="false" outlineLevel="0" collapsed="false">
      <c r="A18" s="3" t="s">
        <v>157</v>
      </c>
      <c r="B18" s="19" t="n">
        <f aca="false">INDEX($B$8:$F$12,1,4)</f>
        <v>-0.130439569150152</v>
      </c>
      <c r="C18" s="19" t="n">
        <f aca="false">INDEX($B$8:$F$12,2,4)</f>
        <v>-0.627839331076414</v>
      </c>
      <c r="D18" s="19" t="n">
        <f aca="false">INDEX($B$8:$F$12,3,4)</f>
        <v>0.766368185775383</v>
      </c>
      <c r="E18" s="19" t="n">
        <f aca="false">INDEX($B$8:$F$12,4,4)</f>
        <v>0.0086165029609499</v>
      </c>
      <c r="F18" s="19" t="n">
        <f aca="false">INDEX($B$8:$F$12,5,4)</f>
        <v>0.0375346887760607</v>
      </c>
    </row>
    <row r="19" customFormat="false" ht="15" hidden="false" customHeight="false" outlineLevel="0" collapsed="false">
      <c r="A19" s="3" t="s">
        <v>158</v>
      </c>
      <c r="B19" s="19" t="n">
        <f aca="false">INDEX($B$8:$F$12,1,5)</f>
        <v>-0.805077861328188</v>
      </c>
      <c r="C19" s="19" t="n">
        <f aca="false">INDEX($B$8:$F$12,2,5)</f>
        <v>0.513489978840732</v>
      </c>
      <c r="D19" s="19" t="n">
        <f aca="false">INDEX($B$8:$F$12,3,5)</f>
        <v>0.284167124716635</v>
      </c>
      <c r="E19" s="19" t="n">
        <f aca="false">INDEX($B$8:$F$12,4,5)</f>
        <v>0.0810446123242364</v>
      </c>
      <c r="F19" s="19" t="n">
        <f aca="false">INDEX($B$8:$F$12,5,5)</f>
        <v>-0.0293000831546551</v>
      </c>
    </row>
    <row r="21" customFormat="false" ht="15" hidden="false" customHeight="false" outlineLevel="0" collapsed="false">
      <c r="A21" s="9" t="s">
        <v>160</v>
      </c>
      <c r="B21" s="9" t="s">
        <v>154</v>
      </c>
      <c r="C21" s="9" t="s">
        <v>155</v>
      </c>
      <c r="D21" s="9" t="s">
        <v>156</v>
      </c>
      <c r="E21" s="9" t="s">
        <v>157</v>
      </c>
      <c r="F21" s="9" t="s">
        <v>158</v>
      </c>
    </row>
    <row r="22" customFormat="false" ht="15" hidden="false" customHeight="false" outlineLevel="0" collapsed="false">
      <c r="A22" s="3" t="s">
        <v>60</v>
      </c>
      <c r="B22" s="19" t="n">
        <f aca="false">INDEX(MMULT(Law!$B$5:$F$9,$B$8:$F$12),1,1)</f>
        <v>1.48790230097975</v>
      </c>
      <c r="C22" s="19" t="n">
        <f aca="false">INDEX(MMULT(Law!$B$5:$F$9,$B$8:$F$12),1,2)</f>
        <v>0.452155153586641</v>
      </c>
      <c r="D22" s="19" t="n">
        <f aca="false">INDEX(MMULT(Law!$B$5:$F$9,$B$8:$F$12),1,3)</f>
        <v>-0.135499612304696</v>
      </c>
      <c r="E22" s="19" t="n">
        <f aca="false">INDEX(MMULT(Law!$B$5:$F$9,$B$8:$F$12),1,4)</f>
        <v>-0.0441642860968835</v>
      </c>
      <c r="F22" s="19" t="n">
        <f aca="false">INDEX(MMULT(Law!$B$5:$F$9,$B$8:$F$12),1,5)</f>
        <v>-0.17180462951572</v>
      </c>
    </row>
    <row r="23" customFormat="false" ht="15" hidden="false" customHeight="false" outlineLevel="0" collapsed="false">
      <c r="A23" s="3" t="s">
        <v>61</v>
      </c>
      <c r="B23" s="19" t="n">
        <f aca="false">INDEX(MMULT(Law!$B$5:$F$9,$B$8:$F$12),2,1)</f>
        <v>1.4479155266495</v>
      </c>
      <c r="C23" s="19" t="n">
        <f aca="false">INDEX(MMULT(Law!$B$5:$F$9,$B$8:$F$12),2,2)</f>
        <v>0.43971008982613</v>
      </c>
      <c r="D23" s="19" t="n">
        <f aca="false">INDEX(MMULT(Law!$B$5:$F$9,$B$8:$F$12),2,3)</f>
        <v>-0.174149085813011</v>
      </c>
      <c r="E23" s="19" t="n">
        <f aca="false">INDEX(MMULT(Law!$B$5:$F$9,$B$8:$F$12),2,4)</f>
        <v>-0.19252947300104</v>
      </c>
      <c r="F23" s="19" t="n">
        <f aca="false">INDEX(MMULT(Law!$B$5:$F$9,$B$8:$F$12),2,5)</f>
        <v>0.124700290812904</v>
      </c>
    </row>
    <row r="24" customFormat="false" ht="15" hidden="false" customHeight="false" outlineLevel="0" collapsed="false">
      <c r="A24" s="3" t="s">
        <v>62</v>
      </c>
      <c r="B24" s="19" t="n">
        <f aca="false">INDEX(MMULT(Law!$B$5:$F$9,$B$8:$F$12),3,1)</f>
        <v>1.39783643071227</v>
      </c>
      <c r="C24" s="19" t="n">
        <f aca="false">INDEX(MMULT(Law!$B$5:$F$9,$B$8:$F$12),3,2)</f>
        <v>0.45423367543902</v>
      </c>
      <c r="D24" s="19" t="n">
        <f aca="false">INDEX(MMULT(Law!$B$5:$F$9,$B$8:$F$12),3,3)</f>
        <v>-0.185197112845095</v>
      </c>
      <c r="E24" s="19" t="n">
        <f aca="false">INDEX(MMULT(Law!$B$5:$F$9,$B$8:$F$12),3,4)</f>
        <v>0.258665197582823</v>
      </c>
      <c r="F24" s="19" t="n">
        <f aca="false">INDEX(MMULT(Law!$B$5:$F$9,$B$8:$F$12),3,5)</f>
        <v>0.0855536441305536</v>
      </c>
    </row>
    <row r="25" customFormat="false" ht="15" hidden="false" customHeight="false" outlineLevel="0" collapsed="false">
      <c r="A25" s="3" t="s">
        <v>63</v>
      </c>
      <c r="B25" s="19" t="n">
        <f aca="false">INDEX(MMULT(Law!$B$5:$F$9,$B$8:$F$12),4,1)</f>
        <v>1.21007648466969</v>
      </c>
      <c r="C25" s="19" t="n">
        <f aca="false">INDEX(MMULT(Law!$B$5:$F$9,$B$8:$F$12),4,2)</f>
        <v>0.306678126939742</v>
      </c>
      <c r="D25" s="19" t="n">
        <f aca="false">INDEX(MMULT(Law!$B$5:$F$9,$B$8:$F$12),4,3)</f>
        <v>0.504542771978258</v>
      </c>
      <c r="E25" s="19" t="n">
        <f aca="false">INDEX(MMULT(Law!$B$5:$F$9,$B$8:$F$12),4,4)</f>
        <v>-0.00740595007722858</v>
      </c>
      <c r="F25" s="19" t="n">
        <f aca="false">INDEX(MMULT(Law!$B$5:$F$9,$B$8:$F$12),4,5)</f>
        <v>0.039308661311935</v>
      </c>
    </row>
    <row r="26" customFormat="false" ht="15" hidden="false" customHeight="false" outlineLevel="0" collapsed="false">
      <c r="A26" s="3" t="s">
        <v>64</v>
      </c>
      <c r="B26" s="19" t="n">
        <f aca="false">INDEX(MMULT(Law!$B$5:$F$9,$B$8:$F$12),5,1)</f>
        <v>0.862280311423154</v>
      </c>
      <c r="C26" s="19" t="n">
        <f aca="false">INDEX(MMULT(Law!$B$5:$F$9,$B$8:$F$12),5,2)</f>
        <v>-0.674380843583445</v>
      </c>
      <c r="D26" s="19" t="n">
        <f aca="false">INDEX(MMULT(Law!$B$5:$F$9,$B$8:$F$12),5,3)</f>
        <v>-0.166600762536857</v>
      </c>
      <c r="E26" s="19" t="n">
        <f aca="false">INDEX(MMULT(Law!$B$5:$F$9,$B$8:$F$12),5,4)</f>
        <v>0.027696310800097</v>
      </c>
      <c r="F26" s="19" t="n">
        <f aca="false">INDEX(MMULT(Law!$B$5:$F$9,$B$8:$F$12),5,5)</f>
        <v>-0.0329430209585243</v>
      </c>
    </row>
    <row r="28" customFormat="false" ht="15" hidden="false" customHeight="false" outlineLevel="0" collapsed="false">
      <c r="A28" s="9" t="s">
        <v>161</v>
      </c>
      <c r="B28" s="9" t="s">
        <v>154</v>
      </c>
      <c r="C28" s="9" t="s">
        <v>155</v>
      </c>
      <c r="D28" s="9" t="s">
        <v>156</v>
      </c>
      <c r="E28" s="9" t="s">
        <v>157</v>
      </c>
      <c r="F28" s="9" t="s">
        <v>158</v>
      </c>
    </row>
    <row r="29" customFormat="false" ht="15" hidden="false" customHeight="false" outlineLevel="0" collapsed="false">
      <c r="A29" s="3" t="s">
        <v>154</v>
      </c>
      <c r="B29" s="19" t="n">
        <f aca="false">INDEX(MMULT($B$15:$F$19,$B$22:$F$26),1,1)</f>
        <v>2.87431453054434</v>
      </c>
      <c r="C29" s="19" t="n">
        <f aca="false">INDEX(MMULT($B$15:$F$19,$B$22:$F$26),1,2)</f>
        <v>0.451701570869163</v>
      </c>
      <c r="D29" s="19" t="n">
        <f aca="false">INDEX(MMULT($B$15:$F$19,$B$22:$F$26),1,3)</f>
        <v>-0.0773942565426996</v>
      </c>
      <c r="E29" s="19" t="n">
        <f aca="false">INDEX(MMULT($B$15:$F$19,$B$22:$F$26),1,4)</f>
        <v>0.0109097693717287</v>
      </c>
      <c r="F29" s="19" t="n">
        <f aca="false">INDEX(MMULT($B$15:$F$19,$B$22:$F$26),1,5)</f>
        <v>0.0156373648994322</v>
      </c>
    </row>
    <row r="30" customFormat="false" ht="15" hidden="false" customHeight="false" outlineLevel="0" collapsed="false">
      <c r="A30" s="3" t="s">
        <v>155</v>
      </c>
      <c r="B30" s="19" t="n">
        <f aca="false">INDEX(MMULT($B$15:$F$19,$B$22:$F$26),2,1)</f>
        <v>0.451701570869163</v>
      </c>
      <c r="C30" s="19" t="n">
        <f aca="false">INDEX(MMULT($B$15:$F$19,$B$22:$F$26),2,2)</f>
        <v>0.972116067703201</v>
      </c>
      <c r="D30" s="19" t="n">
        <f aca="false">INDEX(MMULT($B$15:$F$19,$B$22:$F$26),2,3)</f>
        <v>0.050644861366407</v>
      </c>
      <c r="E30" s="19" t="n">
        <f aca="false">INDEX(MMULT($B$15:$F$19,$B$22:$F$26),2,4)</f>
        <v>-0.0096061564141707</v>
      </c>
      <c r="F30" s="19" t="n">
        <f aca="false">INDEX(MMULT($B$15:$F$19,$B$22:$F$26),2,5)</f>
        <v>0.0354589228828559</v>
      </c>
    </row>
    <row r="31" customFormat="false" ht="15" hidden="false" customHeight="false" outlineLevel="0" collapsed="false">
      <c r="A31" s="3" t="s">
        <v>156</v>
      </c>
      <c r="B31" s="19" t="n">
        <f aca="false">INDEX(MMULT($B$15:$F$19,$B$22:$F$26),3,1)</f>
        <v>-0.0773942565426996</v>
      </c>
      <c r="C31" s="19" t="n">
        <f aca="false">INDEX(MMULT($B$15:$F$19,$B$22:$F$26),3,2)</f>
        <v>0.050644861366407</v>
      </c>
      <c r="D31" s="19" t="n">
        <f aca="false">INDEX(MMULT($B$15:$F$19,$B$22:$F$26),3,3)</f>
        <v>0.596911543630739</v>
      </c>
      <c r="E31" s="19" t="n">
        <f aca="false">INDEX(MMULT($B$15:$F$19,$B$22:$F$26),3,4)</f>
        <v>-0.0168229322714861</v>
      </c>
      <c r="F31" s="19" t="n">
        <f aca="false">INDEX(MMULT($B$15:$F$19,$B$22:$F$26),3,5)</f>
        <v>0.0128088861847266</v>
      </c>
    </row>
    <row r="32" customFormat="false" ht="15" hidden="false" customHeight="false" outlineLevel="0" collapsed="false">
      <c r="A32" s="3" t="s">
        <v>157</v>
      </c>
      <c r="B32" s="19" t="n">
        <f aca="false">INDEX(MMULT($B$15:$F$19,$B$22:$F$26),4,1)</f>
        <v>0.0109097693717286</v>
      </c>
      <c r="C32" s="19" t="n">
        <f aca="false">INDEX(MMULT($B$15:$F$19,$B$22:$F$26),4,2)</f>
        <v>-0.00960615641417073</v>
      </c>
      <c r="D32" s="19" t="n">
        <f aca="false">INDEX(MMULT($B$15:$F$19,$B$22:$F$26),4,3)</f>
        <v>-0.0168229322714861</v>
      </c>
      <c r="E32" s="19" t="n">
        <f aca="false">INDEX(MMULT($B$15:$F$19,$B$22:$F$26),4,4)</f>
        <v>0.325846883201905</v>
      </c>
      <c r="F32" s="19" t="n">
        <f aca="false">INDEX(MMULT($B$15:$F$19,$B$22:$F$26),4,5)</f>
        <v>0.00878616287939329</v>
      </c>
    </row>
    <row r="33" customFormat="false" ht="15" hidden="false" customHeight="false" outlineLevel="0" collapsed="false">
      <c r="A33" s="3" t="s">
        <v>158</v>
      </c>
      <c r="B33" s="19" t="n">
        <f aca="false">INDEX(MMULT($B$15:$F$19,$B$22:$F$26),5,1)</f>
        <v>0.015637364899432</v>
      </c>
      <c r="C33" s="19" t="n">
        <f aca="false">INDEX(MMULT($B$15:$F$19,$B$22:$F$26),5,2)</f>
        <v>0.0354589228828558</v>
      </c>
      <c r="D33" s="19" t="n">
        <f aca="false">INDEX(MMULT($B$15:$F$19,$B$22:$F$26),5,3)</f>
        <v>0.0128088861847266</v>
      </c>
      <c r="E33" s="19" t="n">
        <f aca="false">INDEX(MMULT($B$15:$F$19,$B$22:$F$26),5,4)</f>
        <v>0.00878616287939324</v>
      </c>
      <c r="F33" s="19" t="n">
        <f aca="false">INDEX(MMULT($B$15:$F$19,$B$22:$F$26),5,5)</f>
        <v>0.230810974919819</v>
      </c>
    </row>
    <row r="35" customFormat="false" ht="15" hidden="false" customHeight="false" outlineLevel="0" collapsed="false">
      <c r="A35" s="3" t="s">
        <v>162</v>
      </c>
      <c r="B35" s="19" t="n">
        <f aca="false">SUMPRODUCT($B$15:$F$15,Shift)</f>
        <v>1.42961269959635</v>
      </c>
      <c r="C35" s="19" t="n">
        <f aca="false">SUMPRODUCT($B$16:$F$16,Shift)</f>
        <v>-1.47119498907632</v>
      </c>
      <c r="D35" s="19" t="n">
        <f aca="false">SUMPRODUCT($B$17:$F$17,Shift)</f>
        <v>0.19604104548696</v>
      </c>
      <c r="E35" s="19" t="n">
        <f aca="false">SUMPRODUCT($B$18:$F$18,Shift)</f>
        <v>0.00273296355684621</v>
      </c>
      <c r="F35" s="19" t="n">
        <f aca="false">SUMPRODUCT($B$19:$F$19,Shift)</f>
        <v>-0.029210831281248</v>
      </c>
    </row>
    <row r="37" customFormat="false" ht="23.85" hidden="false" customHeight="false" outlineLevel="0" collapsed="false">
      <c r="A37" s="9" t="s">
        <v>163</v>
      </c>
      <c r="B37" s="9" t="s">
        <v>164</v>
      </c>
      <c r="C37" s="9" t="s">
        <v>138</v>
      </c>
      <c r="D37" s="9" t="s">
        <v>135</v>
      </c>
      <c r="E37" s="9" t="s">
        <v>165</v>
      </c>
    </row>
    <row r="38" customFormat="false" ht="15" hidden="false" customHeight="false" outlineLevel="0" collapsed="false">
      <c r="A38" s="27" t="n">
        <v>1</v>
      </c>
      <c r="B38" s="23" t="n">
        <f aca="false">SQRT(SUMPRODUCT(MMULT($B$35:B$35,MINVERSE($B$29:B29)),$B$35:B$35))</f>
        <v>0.843240102287951</v>
      </c>
      <c r="C38" s="23" t="n">
        <f aca="false">NORMSDIST(B38/SQRT(2))</f>
        <v>0.724499491133643</v>
      </c>
      <c r="D38" s="21" t="n">
        <v>0.140869457430357</v>
      </c>
      <c r="E38" s="22" t="n">
        <f aca="false">B5</f>
        <v>0.559519628455908</v>
      </c>
    </row>
    <row r="39" customFormat="false" ht="15" hidden="false" customHeight="false" outlineLevel="0" collapsed="false">
      <c r="A39" s="27" t="n">
        <v>2</v>
      </c>
      <c r="B39" s="23" t="n">
        <f aca="false">SQRT(SUMPRODUCT(MMULT($B$35:C$35,MINVERSE($B$29:C30)),$B$35:C$35))</f>
        <v>1.97548349139145</v>
      </c>
      <c r="C39" s="23" t="n">
        <f aca="false">NORMSDIST(B39/SQRT(2))</f>
        <v>0.918774835172871</v>
      </c>
      <c r="D39" s="21" t="n">
        <v>1.33901976398584</v>
      </c>
      <c r="E39" s="22" t="n">
        <f aca="false">C5</f>
        <v>0.804854291597977</v>
      </c>
    </row>
    <row r="40" customFormat="false" ht="15" hidden="false" customHeight="false" outlineLevel="0" collapsed="false">
      <c r="A40" s="27" t="n">
        <v>3</v>
      </c>
      <c r="B40" s="23" t="n">
        <f aca="false">SQRT(SUMPRODUCT(MMULT($B$35:D$35,MINVERSE($B$29:D31)),$B$35:D$35))</f>
        <v>2.02811679110779</v>
      </c>
      <c r="C40" s="23" t="n">
        <f aca="false">NORMSDIST(B40/SQRT(2))</f>
        <v>0.924227442124567</v>
      </c>
      <c r="D40" s="21" t="n">
        <v>1.43637712971855</v>
      </c>
      <c r="E40" s="22" t="n">
        <f aca="false">D5</f>
        <v>0.905685693804764</v>
      </c>
    </row>
    <row r="41" customFormat="false" ht="15" hidden="false" customHeight="false" outlineLevel="0" collapsed="false">
      <c r="A41" s="27" t="n">
        <v>4</v>
      </c>
      <c r="B41" s="23" t="n">
        <f aca="false">SQRT(SUMPRODUCT(MMULT($B$35:E$35,MINVERSE($B$29:E32)),$B$35:E$35))</f>
        <v>2.02827824313356</v>
      </c>
      <c r="C41" s="23" t="n">
        <f aca="false">NORMSDIST(B41/SQRT(2))</f>
        <v>0.924243728023373</v>
      </c>
      <c r="D41" s="21" t="n">
        <v>1.43651527300869</v>
      </c>
      <c r="E41" s="22" t="n">
        <f aca="false">E5</f>
        <v>0.960821794741423</v>
      </c>
    </row>
    <row r="42" customFormat="false" ht="15" hidden="false" customHeight="false" outlineLevel="0" collapsed="false">
      <c r="A42" s="27" t="n">
        <v>5</v>
      </c>
      <c r="B42" s="23" t="n">
        <f aca="false">SQRT(SUMPRODUCT(MMULT($B$35:F$35,MINVERSE($B$29:F33)),$B$35:F$35))</f>
        <v>2.02866722450698</v>
      </c>
      <c r="C42" s="23" t="n">
        <f aca="false">NORMSDIST(B42/SQRT(2))</f>
        <v>0.924282954185725</v>
      </c>
      <c r="D42" s="21" t="n">
        <v>1.43688179317372</v>
      </c>
      <c r="E42" s="22" t="n">
        <f aca="false">F5</f>
        <v>1</v>
      </c>
    </row>
    <row r="44" customFormat="false" ht="15" hidden="false" customHeight="false" outlineLevel="0" collapsed="false">
      <c r="A44" s="11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6" min="2" style="1" width="14"/>
  </cols>
  <sheetData>
    <row r="1" customFormat="false" ht="15" hidden="false" customHeight="false" outlineLevel="0" collapsed="false">
      <c r="A1" s="2" t="s">
        <v>167</v>
      </c>
    </row>
    <row r="2" customFormat="false" ht="15" hidden="false" customHeight="false" outlineLevel="0" collapsed="false">
      <c r="A2" s="11" t="s">
        <v>168</v>
      </c>
    </row>
    <row r="3" customFormat="false" ht="15" hidden="false" customHeight="false" outlineLevel="0" collapsed="false">
      <c r="A3" s="9"/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</row>
    <row r="4" customFormat="false" ht="15" hidden="false" customHeight="false" outlineLevel="0" collapsed="false">
      <c r="A4" s="3" t="s">
        <v>169</v>
      </c>
      <c r="B4" s="26" t="n">
        <v>-0.428006283558073</v>
      </c>
      <c r="C4" s="26" t="n">
        <v>-0.264088241646861</v>
      </c>
      <c r="D4" s="26" t="n">
        <v>-0.182532566701876</v>
      </c>
      <c r="E4" s="26" t="n">
        <v>0.967508580486319</v>
      </c>
      <c r="F4" s="26" t="n">
        <v>2.18036177171289</v>
      </c>
    </row>
    <row r="5" customFormat="false" ht="15" hidden="false" customHeight="false" outlineLevel="0" collapsed="false">
      <c r="A5" s="3" t="s">
        <v>170</v>
      </c>
      <c r="B5" s="26" t="n">
        <v>-3.43456957888628</v>
      </c>
      <c r="C5" s="11" t="s">
        <v>171</v>
      </c>
    </row>
    <row r="6" customFormat="false" ht="15" hidden="false" customHeight="false" outlineLevel="0" collapsed="false">
      <c r="A6" s="3" t="s">
        <v>172</v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1.5</v>
      </c>
    </row>
    <row r="7" customFormat="false" ht="15" hidden="false" customHeight="false" outlineLevel="0" collapsed="false">
      <c r="A7" s="3" t="s">
        <v>173</v>
      </c>
      <c r="B7" s="28" t="n">
        <f aca="false">Record!B6</f>
        <v>0.0354459336302329</v>
      </c>
      <c r="C7" s="28" t="n">
        <f aca="false">Record!C6</f>
        <v>0.0840333600525786</v>
      </c>
      <c r="D7" s="28" t="n">
        <f aca="false">Record!D6</f>
        <v>0.0341281583949894</v>
      </c>
      <c r="E7" s="28" t="n">
        <f aca="false">Record!E6</f>
        <v>0.152650908913322</v>
      </c>
      <c r="F7" s="28" t="n">
        <f aca="false">Record!F6</f>
        <v>0.522512099516062</v>
      </c>
    </row>
    <row r="9" customFormat="false" ht="15" hidden="false" customHeight="false" outlineLevel="0" collapsed="false">
      <c r="A9" s="3" t="s">
        <v>174</v>
      </c>
      <c r="B9" s="23" t="n">
        <f aca="false">B5+SUMPRODUCT(B4:F4,B6:F6)</f>
        <v>-0.0711454327374361</v>
      </c>
      <c r="C9" s="11" t="s">
        <v>175</v>
      </c>
    </row>
    <row r="10" customFormat="false" ht="15" hidden="false" customHeight="false" outlineLevel="0" collapsed="false">
      <c r="A10" s="3" t="s">
        <v>176</v>
      </c>
      <c r="B10" s="22" t="n">
        <f aca="false">1/(1+EXP(-B9))</f>
        <v>0.482221140413608</v>
      </c>
      <c r="C10" s="11" t="s">
        <v>177</v>
      </c>
    </row>
    <row r="11" customFormat="false" ht="15" hidden="false" customHeight="false" outlineLevel="0" collapsed="false">
      <c r="A11" s="3" t="s">
        <v>178</v>
      </c>
      <c r="B11" s="29" t="n">
        <v>0.0409346317082169</v>
      </c>
      <c r="C11" s="11" t="s">
        <v>179</v>
      </c>
    </row>
    <row r="12" customFormat="false" ht="15" hidden="false" customHeight="false" outlineLevel="0" collapsed="false">
      <c r="A12" s="3" t="s">
        <v>180</v>
      </c>
      <c r="B12" s="27" t="n">
        <f aca="false">IF(B10&gt;=B11,1,0)</f>
        <v>1</v>
      </c>
      <c r="C12" s="11" t="s">
        <v>181</v>
      </c>
    </row>
    <row r="13" customFormat="false" ht="15" hidden="false" customHeight="false" outlineLevel="0" collapsed="false">
      <c r="A13" s="3" t="s">
        <v>182</v>
      </c>
      <c r="B13" s="27" t="n">
        <f aca="false">IF(B10&gt;=0.5,1,0)</f>
        <v>0</v>
      </c>
      <c r="C13" s="11" t="s">
        <v>183</v>
      </c>
    </row>
    <row r="15" customFormat="false" ht="15" hidden="false" customHeight="false" outlineLevel="0" collapsed="false">
      <c r="A15" s="3" t="s">
        <v>184</v>
      </c>
      <c r="B15" s="23" t="n">
        <f aca="false">B4*(B6-B7)</f>
        <v>-0.412835201237751</v>
      </c>
      <c r="C15" s="23" t="n">
        <f aca="false">C4*(C6-C7)</f>
        <v>-0.241896019350898</v>
      </c>
      <c r="D15" s="23" t="n">
        <f aca="false">D4*(D6-D7)</f>
        <v>-0.17630306635323</v>
      </c>
      <c r="E15" s="23" t="n">
        <f aca="false">E4*(E6-E7)</f>
        <v>0.819817516293645</v>
      </c>
      <c r="F15" s="23" t="n">
        <f aca="false">F4*(F6-F7)</f>
        <v>2.13127725052707</v>
      </c>
    </row>
    <row r="16" customFormat="false" ht="15" hidden="false" customHeight="false" outlineLevel="0" collapsed="false">
      <c r="A16" s="3" t="s">
        <v>185</v>
      </c>
      <c r="B16" s="26" t="n">
        <v>0.0483565909718167</v>
      </c>
      <c r="C16" s="26" t="n">
        <v>0.097952731049281</v>
      </c>
      <c r="D16" s="26" t="n">
        <v>0.0434094049341031</v>
      </c>
      <c r="E16" s="26" t="n">
        <v>0.461540900544767</v>
      </c>
      <c r="F16" s="26" t="n">
        <v>1.46880085237887</v>
      </c>
    </row>
    <row r="18" customFormat="false" ht="15" hidden="false" customHeight="false" outlineLevel="0" collapsed="false">
      <c r="A18" s="3" t="s">
        <v>186</v>
      </c>
      <c r="B18" s="23" t="n">
        <f aca="false">SUM(B15:F15)</f>
        <v>2.12006047987884</v>
      </c>
      <c r="C18" s="11" t="s">
        <v>187</v>
      </c>
    </row>
    <row r="19" customFormat="false" ht="15" hidden="false" customHeight="false" outlineLevel="0" collapsed="false">
      <c r="A19" s="3" t="s">
        <v>188</v>
      </c>
      <c r="B19" s="23" t="n">
        <f aca="false">SUM(B16:F16)</f>
        <v>2.12006047987884</v>
      </c>
      <c r="C19" s="11" t="s">
        <v>187</v>
      </c>
    </row>
    <row r="20" customFormat="false" ht="15" hidden="false" customHeight="false" outlineLevel="0" collapsed="false">
      <c r="A20" s="3" t="s">
        <v>189</v>
      </c>
      <c r="B20" s="23" t="n">
        <f aca="false">SUMPRODUCT(B4:F4,B6:F6)-SUMPRODUCT(B4:F4,B7:F7)</f>
        <v>2.12006047987884</v>
      </c>
      <c r="C20" s="11" t="s">
        <v>190</v>
      </c>
    </row>
    <row r="21" customFormat="false" ht="15" hidden="false" customHeight="false" outlineLevel="0" collapsed="false">
      <c r="A21" s="3" t="s">
        <v>191</v>
      </c>
      <c r="B21" s="24" t="n">
        <f aca="false">SUM(B15:D15)</f>
        <v>-0.831034286941879</v>
      </c>
      <c r="C21" s="11" t="s">
        <v>192</v>
      </c>
    </row>
    <row r="22" customFormat="false" ht="15" hidden="false" customHeight="false" outlineLevel="0" collapsed="false">
      <c r="A22" s="3" t="s">
        <v>193</v>
      </c>
      <c r="B22" s="24" t="n">
        <f aca="false">SUM(B16:D16)</f>
        <v>0.189718726955201</v>
      </c>
      <c r="C22" s="11" t="s">
        <v>194</v>
      </c>
    </row>
    <row r="24" customFormat="false" ht="15" hidden="false" customHeight="false" outlineLevel="0" collapsed="false">
      <c r="A24" s="5" t="s">
        <v>195</v>
      </c>
    </row>
    <row r="25" customFormat="false" ht="15" hidden="false" customHeight="false" outlineLevel="0" collapsed="false">
      <c r="A25" s="3" t="s">
        <v>196</v>
      </c>
      <c r="B25" s="13" t="n">
        <v>4</v>
      </c>
    </row>
    <row r="26" customFormat="false" ht="15" hidden="false" customHeight="false" outlineLevel="0" collapsed="false">
      <c r="A26" s="3" t="s">
        <v>197</v>
      </c>
      <c r="B26" s="13" t="n">
        <v>1</v>
      </c>
    </row>
    <row r="27" customFormat="false" ht="15" hidden="false" customHeight="false" outlineLevel="0" collapsed="false">
      <c r="A27" s="3" t="s">
        <v>198</v>
      </c>
      <c r="B27" s="30" t="n">
        <f aca="false">B25/(B25+B26)</f>
        <v>0.8</v>
      </c>
      <c r="C27" s="11" t="s">
        <v>199</v>
      </c>
    </row>
    <row r="29" customFormat="false" ht="15" hidden="false" customHeight="false" outlineLevel="0" collapsed="false">
      <c r="A29" s="5" t="s">
        <v>200</v>
      </c>
    </row>
    <row r="30" customFormat="false" ht="15" hidden="false" customHeight="false" outlineLevel="0" collapsed="false">
      <c r="A30" s="3" t="s">
        <v>201</v>
      </c>
      <c r="B30" s="17" t="n">
        <v>0</v>
      </c>
    </row>
    <row r="31" customFormat="false" ht="15" hidden="false" customHeight="false" outlineLevel="0" collapsed="false">
      <c r="A31" s="3" t="s">
        <v>202</v>
      </c>
      <c r="B31" s="17" t="n">
        <v>2</v>
      </c>
    </row>
    <row r="32" customFormat="false" ht="15" hidden="false" customHeight="false" outlineLevel="0" collapsed="false">
      <c r="A32" s="3" t="s">
        <v>203</v>
      </c>
      <c r="B32" s="24" t="n">
        <f aca="false">B30</f>
        <v>0</v>
      </c>
    </row>
    <row r="33" customFormat="false" ht="15" hidden="false" customHeight="false" outlineLevel="0" collapsed="false">
      <c r="A33" s="3" t="s">
        <v>204</v>
      </c>
      <c r="B33" s="24" t="n">
        <f aca="false">B31</f>
        <v>2</v>
      </c>
    </row>
    <row r="34" customFormat="false" ht="15" hidden="false" customHeight="false" outlineLevel="0" collapsed="false">
      <c r="A34" s="3" t="s">
        <v>205</v>
      </c>
      <c r="B34" s="24" t="n">
        <f aca="false">B31</f>
        <v>2</v>
      </c>
    </row>
    <row r="35" customFormat="false" ht="15" hidden="false" customHeight="false" outlineLevel="0" collapsed="false">
      <c r="A35" s="3" t="s">
        <v>206</v>
      </c>
      <c r="B35" s="24" t="n">
        <f aca="false">B31</f>
        <v>2</v>
      </c>
    </row>
    <row r="36" customFormat="false" ht="15" hidden="false" customHeight="false" outlineLevel="0" collapsed="false">
      <c r="A36" s="3" t="s">
        <v>207</v>
      </c>
      <c r="B36" s="24" t="n">
        <f aca="false">0.5*(B34-B32)+0.5*(B35-B33)</f>
        <v>1</v>
      </c>
      <c r="C36" s="11" t="s">
        <v>208</v>
      </c>
    </row>
    <row r="37" customFormat="false" ht="15" hidden="false" customHeight="false" outlineLevel="0" collapsed="false">
      <c r="A37" s="3" t="s">
        <v>209</v>
      </c>
      <c r="B37" s="24" t="n">
        <f aca="false">(B31-B30)/2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8" min="6" style="1" width="11"/>
    <col collapsed="false" customWidth="true" hidden="false" outlineLevel="0" max="10" min="9" style="1" width="14"/>
  </cols>
  <sheetData>
    <row r="1" customFormat="false" ht="15" hidden="false" customHeight="false" outlineLevel="0" collapsed="false">
      <c r="A1" s="2" t="s">
        <v>210</v>
      </c>
    </row>
    <row r="2" customFormat="false" ht="15" hidden="false" customHeight="false" outlineLevel="0" collapsed="false">
      <c r="A2" s="11" t="s">
        <v>211</v>
      </c>
    </row>
    <row r="3" customFormat="false" ht="35.05" hidden="false" customHeight="false" outlineLevel="0" collapsed="false">
      <c r="A3" s="9" t="s">
        <v>212</v>
      </c>
      <c r="B3" s="9" t="s">
        <v>213</v>
      </c>
      <c r="C3" s="9" t="s">
        <v>214</v>
      </c>
      <c r="D3" s="9" t="s">
        <v>215</v>
      </c>
      <c r="E3" s="9" t="s">
        <v>216</v>
      </c>
      <c r="F3" s="9" t="s">
        <v>217</v>
      </c>
      <c r="G3" s="9" t="s">
        <v>218</v>
      </c>
      <c r="H3" s="9" t="s">
        <v>123</v>
      </c>
      <c r="I3" s="9" t="s">
        <v>219</v>
      </c>
      <c r="J3" s="9" t="s">
        <v>220</v>
      </c>
    </row>
    <row r="4" customFormat="false" ht="15" hidden="false" customHeight="false" outlineLevel="0" collapsed="false">
      <c r="A4" s="3" t="s">
        <v>221</v>
      </c>
      <c r="B4" s="15" t="n">
        <v>206</v>
      </c>
      <c r="C4" s="15" t="n">
        <v>45</v>
      </c>
      <c r="D4" s="15" t="n">
        <v>62</v>
      </c>
      <c r="E4" s="15" t="n">
        <v>687</v>
      </c>
      <c r="F4" s="16" t="n">
        <f aca="false">SUM(B4:E4)</f>
        <v>1000</v>
      </c>
      <c r="G4" s="22" t="n">
        <f aca="false">(B4+E4)/F4</f>
        <v>0.893</v>
      </c>
      <c r="H4" s="22" t="n">
        <f aca="false">(B4+C4)/F4</f>
        <v>0.251</v>
      </c>
      <c r="I4" s="22" t="n">
        <f aca="false">IF(B4+C4&gt;0,B4/(B4+C4),"")</f>
        <v>0.820717131474104</v>
      </c>
      <c r="J4" s="22" t="n">
        <f aca="false">D4/(D4+E4)</f>
        <v>0.0827770360480641</v>
      </c>
    </row>
    <row r="5" customFormat="false" ht="15" hidden="false" customHeight="false" outlineLevel="0" collapsed="false">
      <c r="A5" s="3" t="s">
        <v>222</v>
      </c>
      <c r="B5" s="15" t="n">
        <v>18104</v>
      </c>
      <c r="C5" s="15" t="n">
        <v>4820</v>
      </c>
      <c r="D5" s="15" t="n">
        <v>7856</v>
      </c>
      <c r="E5" s="15" t="n">
        <v>69220</v>
      </c>
      <c r="F5" s="16" t="n">
        <f aca="false">SUM(B5:E5)</f>
        <v>100000</v>
      </c>
      <c r="G5" s="22" t="n">
        <f aca="false">(B5+E5)/F5</f>
        <v>0.87324</v>
      </c>
      <c r="H5" s="22" t="n">
        <f aca="false">(B5+C5)/F5</f>
        <v>0.22924</v>
      </c>
      <c r="I5" s="22" t="n">
        <f aca="false">IF(B5+C5&gt;0,B5/(B5+C5),"")</f>
        <v>0.789740010469377</v>
      </c>
      <c r="J5" s="22" t="n">
        <f aca="false">D5/(D5+E5)</f>
        <v>0.101925372359749</v>
      </c>
    </row>
    <row r="6" customFormat="false" ht="15" hidden="false" customHeight="false" outlineLevel="0" collapsed="false">
      <c r="A6" s="3" t="s">
        <v>223</v>
      </c>
      <c r="B6" s="15" t="n">
        <v>25234</v>
      </c>
      <c r="C6" s="15" t="n">
        <v>33412</v>
      </c>
      <c r="D6" s="15" t="n">
        <v>726</v>
      </c>
      <c r="E6" s="15" t="n">
        <v>40628</v>
      </c>
      <c r="F6" s="16" t="n">
        <f aca="false">SUM(B6:E6)</f>
        <v>100000</v>
      </c>
      <c r="G6" s="22" t="n">
        <f aca="false">(B6+E6)/F6</f>
        <v>0.65862</v>
      </c>
      <c r="H6" s="22" t="n">
        <f aca="false">(B6+C6)/F6</f>
        <v>0.58646</v>
      </c>
      <c r="I6" s="22" t="n">
        <f aca="false">IF(B6+C6&gt;0,B6/(B6+C6),"")</f>
        <v>0.430276574702452</v>
      </c>
      <c r="J6" s="22" t="n">
        <f aca="false">D6/(D6+E6)</f>
        <v>0.0175557382599023</v>
      </c>
    </row>
    <row r="7" customFormat="false" ht="15" hidden="false" customHeight="false" outlineLevel="0" collapsed="false">
      <c r="A7" s="3" t="s">
        <v>224</v>
      </c>
      <c r="B7" s="15" t="n">
        <v>25354</v>
      </c>
      <c r="C7" s="15" t="n">
        <v>35537</v>
      </c>
      <c r="D7" s="15" t="n">
        <v>606</v>
      </c>
      <c r="E7" s="15" t="n">
        <v>38503</v>
      </c>
      <c r="F7" s="16" t="n">
        <f aca="false">SUM(B7:E7)</f>
        <v>100000</v>
      </c>
      <c r="G7" s="22" t="n">
        <f aca="false">(B7+E7)/F7</f>
        <v>0.63857</v>
      </c>
      <c r="H7" s="22" t="n">
        <f aca="false">(B7+C7)/F7</f>
        <v>0.60891</v>
      </c>
      <c r="I7" s="22" t="n">
        <f aca="false">IF(B7+C7&gt;0,B7/(B7+C7),"")</f>
        <v>0.416383373569165</v>
      </c>
      <c r="J7" s="22" t="n">
        <f aca="false">D7/(D7+E7)</f>
        <v>0.0154951545680023</v>
      </c>
    </row>
    <row r="8" customFormat="false" ht="15" hidden="false" customHeight="false" outlineLevel="0" collapsed="false">
      <c r="A8" s="3" t="s">
        <v>225</v>
      </c>
      <c r="B8" s="10" t="n">
        <v>0</v>
      </c>
      <c r="C8" s="10" t="n">
        <v>0</v>
      </c>
      <c r="D8" s="31" t="n">
        <f aca="false">NCloseF</f>
        <v>25960</v>
      </c>
      <c r="E8" s="16" t="n">
        <f aca="false">NPaths-NCloseF</f>
        <v>74040</v>
      </c>
      <c r="F8" s="16" t="n">
        <f aca="false">SUM(B8:E8)</f>
        <v>100000</v>
      </c>
      <c r="G8" s="22" t="n">
        <f aca="false">(B8+E8)/F8</f>
        <v>0.7404</v>
      </c>
      <c r="H8" s="22" t="n">
        <f aca="false">(B8+C8)/F8</f>
        <v>0</v>
      </c>
      <c r="I8" s="22" t="str">
        <f aca="false">IF(B8+C8&gt;0,B8/(B8+C8),"")</f>
        <v/>
      </c>
      <c r="J8" s="22" t="n">
        <f aca="false">D8/(D8+E8)</f>
        <v>0.2596</v>
      </c>
    </row>
    <row r="9" customFormat="false" ht="15" hidden="false" customHeight="false" outlineLevel="0" collapsed="false">
      <c r="A9" s="3" t="s">
        <v>226</v>
      </c>
      <c r="B9" s="15" t="n">
        <v>268</v>
      </c>
      <c r="C9" s="15" t="n">
        <v>0</v>
      </c>
      <c r="D9" s="15" t="n">
        <v>0</v>
      </c>
      <c r="E9" s="15" t="n">
        <v>732</v>
      </c>
      <c r="F9" s="16" t="n">
        <f aca="false">SUM(B9:E9)</f>
        <v>1000</v>
      </c>
      <c r="G9" s="22" t="n">
        <f aca="false">(B9+E9)/F9</f>
        <v>1</v>
      </c>
      <c r="H9" s="22" t="n">
        <f aca="false">(B9+C9)/F9</f>
        <v>0.268</v>
      </c>
      <c r="I9" s="22" t="n">
        <f aca="false">IF(B9+C9&gt;0,B9/(B9+C9),"")</f>
        <v>1</v>
      </c>
      <c r="J9" s="22" t="n">
        <f aca="false">D9/(D9+E9)</f>
        <v>0</v>
      </c>
    </row>
    <row r="10" customFormat="false" ht="15" hidden="false" customHeight="false" outlineLevel="0" collapsed="false">
      <c r="A10" s="3" t="s">
        <v>227</v>
      </c>
      <c r="B10" s="15" t="n">
        <v>17069</v>
      </c>
      <c r="C10" s="15" t="n">
        <v>5465</v>
      </c>
      <c r="D10" s="15" t="n">
        <v>8891</v>
      </c>
      <c r="E10" s="15" t="n">
        <v>68575</v>
      </c>
      <c r="F10" s="16" t="n">
        <f aca="false">SUM(B10:E10)</f>
        <v>100000</v>
      </c>
      <c r="G10" s="22" t="n">
        <f aca="false">(B10+E10)/F10</f>
        <v>0.85644</v>
      </c>
      <c r="H10" s="22" t="n">
        <f aca="false">(B10+C10)/F10</f>
        <v>0.22534</v>
      </c>
      <c r="I10" s="22" t="n">
        <f aca="false">IF(B10+C10&gt;0,B10/(B10+C10),"")</f>
        <v>0.757477589420431</v>
      </c>
      <c r="J10" s="22" t="n">
        <f aca="false">D10/(D10+E10)</f>
        <v>0.114772932641417</v>
      </c>
    </row>
    <row r="11" customFormat="false" ht="15" hidden="false" customHeight="false" outlineLevel="0" collapsed="false">
      <c r="A11" s="3" t="s">
        <v>228</v>
      </c>
      <c r="B11" s="15" t="n">
        <v>21327</v>
      </c>
      <c r="C11" s="15" t="n">
        <v>14393</v>
      </c>
      <c r="D11" s="15" t="n">
        <v>4633</v>
      </c>
      <c r="E11" s="15" t="n">
        <v>59647</v>
      </c>
      <c r="F11" s="16" t="n">
        <f aca="false">SUM(B11:E11)</f>
        <v>100000</v>
      </c>
      <c r="G11" s="22" t="n">
        <f aca="false">(B11+E11)/F11</f>
        <v>0.80974</v>
      </c>
      <c r="H11" s="22" t="n">
        <f aca="false">(B11+C11)/F11</f>
        <v>0.3572</v>
      </c>
      <c r="I11" s="22" t="n">
        <f aca="false">IF(B11+C11&gt;0,B11/(B11+C11),"")</f>
        <v>0.597060470324748</v>
      </c>
      <c r="J11" s="22" t="n">
        <f aca="false">D11/(D11+E11)</f>
        <v>0.0720752955818295</v>
      </c>
    </row>
    <row r="12" customFormat="false" ht="15" hidden="false" customHeight="false" outlineLevel="0" collapsed="false">
      <c r="A12" s="3" t="s">
        <v>229</v>
      </c>
      <c r="B12" s="15" t="n">
        <v>24868</v>
      </c>
      <c r="C12" s="15" t="n">
        <v>43441</v>
      </c>
      <c r="D12" s="15" t="n">
        <v>1092</v>
      </c>
      <c r="E12" s="15" t="n">
        <v>30599</v>
      </c>
      <c r="F12" s="16" t="n">
        <f aca="false">SUM(B12:E12)</f>
        <v>100000</v>
      </c>
      <c r="G12" s="22" t="n">
        <f aca="false">(B12+E12)/F12</f>
        <v>0.55467</v>
      </c>
      <c r="H12" s="22" t="n">
        <f aca="false">(B12+C12)/F12</f>
        <v>0.68309</v>
      </c>
      <c r="I12" s="22" t="n">
        <f aca="false">IF(B12+C12&gt;0,B12/(B12+C12),"")</f>
        <v>0.364051589102461</v>
      </c>
      <c r="J12" s="22" t="n">
        <f aca="false">D12/(D12+E12)</f>
        <v>0.0344577324792528</v>
      </c>
    </row>
    <row r="14" customFormat="false" ht="15" hidden="false" customHeight="false" outlineLevel="0" collapsed="false">
      <c r="A14" s="11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4"/>
    <col collapsed="false" customWidth="true" hidden="false" outlineLevel="0" max="31" min="3" style="1" width="12"/>
  </cols>
  <sheetData>
    <row r="1" customFormat="false" ht="15" hidden="false" customHeight="false" outlineLevel="0" collapsed="false">
      <c r="A1" s="2" t="s">
        <v>231</v>
      </c>
    </row>
    <row r="2" customFormat="false" ht="15" hidden="false" customHeight="false" outlineLevel="0" collapsed="false">
      <c r="A2" s="11" t="s">
        <v>232</v>
      </c>
    </row>
    <row r="4" customFormat="false" ht="66" hidden="false" customHeight="true" outlineLevel="0" collapsed="false">
      <c r="A4" s="9" t="s">
        <v>233</v>
      </c>
      <c r="B4" s="9" t="s">
        <v>234</v>
      </c>
      <c r="C4" s="9" t="s">
        <v>219</v>
      </c>
      <c r="D4" s="9" t="s">
        <v>235</v>
      </c>
      <c r="E4" s="9" t="s">
        <v>220</v>
      </c>
      <c r="F4" s="9" t="s">
        <v>236</v>
      </c>
      <c r="G4" s="9" t="s">
        <v>123</v>
      </c>
      <c r="H4" s="9" t="s">
        <v>237</v>
      </c>
      <c r="I4" s="9" t="s">
        <v>238</v>
      </c>
      <c r="J4" s="9" t="s">
        <v>239</v>
      </c>
      <c r="K4" s="9" t="s">
        <v>240</v>
      </c>
      <c r="L4" s="9" t="s">
        <v>241</v>
      </c>
      <c r="M4" s="9" t="s">
        <v>242</v>
      </c>
      <c r="N4" s="9" t="s">
        <v>243</v>
      </c>
      <c r="O4" s="9" t="s">
        <v>244</v>
      </c>
      <c r="P4" s="9" t="s">
        <v>245</v>
      </c>
      <c r="Q4" s="9" t="s">
        <v>246</v>
      </c>
      <c r="R4" s="9" t="s">
        <v>247</v>
      </c>
      <c r="S4" s="9" t="s">
        <v>248</v>
      </c>
      <c r="T4" s="9" t="s">
        <v>249</v>
      </c>
      <c r="U4" s="9" t="s">
        <v>248</v>
      </c>
      <c r="V4" s="9" t="s">
        <v>250</v>
      </c>
      <c r="W4" s="9" t="s">
        <v>251</v>
      </c>
      <c r="X4" s="9" t="s">
        <v>252</v>
      </c>
      <c r="Y4" s="9" t="s">
        <v>253</v>
      </c>
      <c r="Z4" s="9" t="s">
        <v>254</v>
      </c>
      <c r="AA4" s="9" t="s">
        <v>255</v>
      </c>
      <c r="AB4" s="9" t="s">
        <v>256</v>
      </c>
      <c r="AC4" s="9" t="s">
        <v>257</v>
      </c>
      <c r="AD4" s="9" t="s">
        <v>258</v>
      </c>
      <c r="AE4" s="9" t="s">
        <v>259</v>
      </c>
    </row>
    <row r="5" customFormat="false" ht="15" hidden="false" customHeight="false" outlineLevel="0" collapsed="false">
      <c r="A5" s="5" t="s">
        <v>260</v>
      </c>
      <c r="B5" s="3" t="s">
        <v>261</v>
      </c>
      <c r="C5" s="15" t="n">
        <v>0</v>
      </c>
      <c r="D5" s="15" t="n">
        <v>0</v>
      </c>
      <c r="E5" s="31" t="n">
        <f aca="false">NClose</f>
        <v>25912</v>
      </c>
      <c r="F5" s="31" t="n">
        <f aca="false">NPaths</f>
        <v>100000</v>
      </c>
      <c r="G5" s="14" t="n">
        <f aca="false">D5/(D5+F5)</f>
        <v>0</v>
      </c>
      <c r="H5" s="14" t="n">
        <f aca="false">IF(D5&gt;0,C5/D5,0)</f>
        <v>0</v>
      </c>
      <c r="I5" s="14" t="n">
        <f aca="false">IF(F5&gt;0,E5/F5,0)</f>
        <v>0.25912</v>
      </c>
      <c r="J5" s="32" t="n">
        <v>170</v>
      </c>
      <c r="K5" s="26" t="n">
        <v>0.667576361426625</v>
      </c>
      <c r="L5" s="24" t="n">
        <f aca="false">Fee*J5+VQ*K5</f>
        <v>10.440610891413</v>
      </c>
      <c r="M5" s="3" t="s">
        <v>262</v>
      </c>
      <c r="N5" s="3" t="s">
        <v>262</v>
      </c>
      <c r="O5" s="3" t="s">
        <v>262</v>
      </c>
      <c r="P5" s="24" t="n">
        <f aca="false">IF(G5&gt;0,G5*O5,0)+(1-G5)*L5</f>
        <v>10.440610891413</v>
      </c>
      <c r="Q5" s="24" t="n">
        <f aca="false">CostV1-P5</f>
        <v>0</v>
      </c>
      <c r="R5" s="15" t="n">
        <v>1675</v>
      </c>
      <c r="S5" s="15" t="n">
        <v>3325</v>
      </c>
      <c r="T5" s="3" t="s">
        <v>262</v>
      </c>
      <c r="U5" s="3" t="s">
        <v>262</v>
      </c>
      <c r="V5" s="14" t="n">
        <f aca="false">I5*R5/NClose+(1-I5)*S5/NOpen</f>
        <v>0.05</v>
      </c>
      <c r="W5" s="3" t="s">
        <v>262</v>
      </c>
      <c r="X5" s="14" t="n">
        <f aca="false">IF(G5&gt;0,G5*W5,0)+(1-G5)*V5</f>
        <v>0.05</v>
      </c>
      <c r="Y5" s="15" t="n">
        <v>0</v>
      </c>
      <c r="Z5" s="22" t="n">
        <f aca="false">Y5/NPaths</f>
        <v>0</v>
      </c>
      <c r="AA5" s="15" t="n">
        <v>0</v>
      </c>
      <c r="AB5" s="15" t="n">
        <v>4907</v>
      </c>
      <c r="AC5" s="14" t="n">
        <f aca="false">(AA5+AB5)/NPaths</f>
        <v>0.04907</v>
      </c>
      <c r="AD5" s="24" t="n">
        <f aca="false">IF(Z5&gt;0,Z5*O5,0)+(1-Z5)*L5</f>
        <v>10.440610891413</v>
      </c>
      <c r="AE5" s="24" t="n">
        <f aca="false">CostV1-AD5</f>
        <v>0</v>
      </c>
    </row>
    <row r="6" customFormat="false" ht="15" hidden="false" customHeight="false" outlineLevel="0" collapsed="false">
      <c r="A6" s="5" t="s">
        <v>263</v>
      </c>
      <c r="B6" s="3" t="s">
        <v>264</v>
      </c>
      <c r="C6" s="31" t="n">
        <f aca="false">NClose</f>
        <v>25912</v>
      </c>
      <c r="D6" s="31" t="n">
        <f aca="false">NClose</f>
        <v>25912</v>
      </c>
      <c r="E6" s="15" t="n">
        <v>0</v>
      </c>
      <c r="F6" s="31" t="n">
        <f aca="false">NOpen</f>
        <v>74088</v>
      </c>
      <c r="G6" s="14" t="n">
        <f aca="false">D6/(D6+F6)</f>
        <v>0.25912</v>
      </c>
      <c r="H6" s="14" t="n">
        <f aca="false">IF(D6&gt;0,C6/D6,0)</f>
        <v>1</v>
      </c>
      <c r="I6" s="14" t="n">
        <f aca="false">IF(F6&gt;0,E6/F6,0)</f>
        <v>0</v>
      </c>
      <c r="J6" s="32" t="n">
        <v>0</v>
      </c>
      <c r="K6" s="26" t="n">
        <v>0.608354275291685</v>
      </c>
      <c r="L6" s="24" t="n">
        <f aca="false">Fee*J6+VQ*K6</f>
        <v>4.86683420233348</v>
      </c>
      <c r="M6" s="32" t="n">
        <v>215</v>
      </c>
      <c r="N6" s="26" t="n">
        <v>0.504382608879544</v>
      </c>
      <c r="O6" s="24" t="n">
        <f aca="false">Fee*M6+VQ*N6</f>
        <v>10.4850608710364</v>
      </c>
      <c r="P6" s="24" t="n">
        <f aca="false">IF(G6&gt;0,G6*O6,0)+(1-G6)*L6</f>
        <v>6.32262909672777</v>
      </c>
      <c r="Q6" s="24" t="n">
        <f aca="false">CostV1-P6</f>
        <v>4.11798179468523</v>
      </c>
      <c r="R6" s="15" t="n">
        <v>16556</v>
      </c>
      <c r="S6" s="15" t="n">
        <v>3519</v>
      </c>
      <c r="T6" s="15" t="n">
        <v>1480</v>
      </c>
      <c r="U6" s="15" t="n">
        <v>3909</v>
      </c>
      <c r="V6" s="14" t="n">
        <f aca="false">I6*R6/NClose+(1-I6)*S6/NOpen</f>
        <v>0.0474975704567541</v>
      </c>
      <c r="W6" s="14" t="n">
        <f aca="false">H6*T6/NClose+(1-H6)*U6/NOpen</f>
        <v>0.0571163939487496</v>
      </c>
      <c r="X6" s="14" t="n">
        <f aca="false">IF(G6&gt;0,G6*W6,0)+(1-G6)*V6</f>
        <v>0.04999</v>
      </c>
      <c r="Y6" s="31" t="n">
        <f aca="false">NCloseF</f>
        <v>25960</v>
      </c>
      <c r="Z6" s="22" t="n">
        <f aca="false">Y6/NPaths</f>
        <v>0.2596</v>
      </c>
      <c r="AA6" s="15" t="n">
        <v>1530</v>
      </c>
      <c r="AB6" s="15" t="n">
        <v>3383</v>
      </c>
      <c r="AC6" s="14" t="n">
        <f aca="false">(AA6+AB6)/NPaths</f>
        <v>0.04913</v>
      </c>
      <c r="AD6" s="24" t="n">
        <f aca="false">IF(Z6&gt;0,Z6*O6,0)+(1-Z6)*L6</f>
        <v>6.32532584552875</v>
      </c>
      <c r="AE6" s="24" t="n">
        <f aca="false">CostV1-AD6</f>
        <v>4.11528504588426</v>
      </c>
    </row>
    <row r="7" customFormat="false" ht="15" hidden="false" customHeight="false" outlineLevel="0" collapsed="false">
      <c r="A7" s="5" t="s">
        <v>265</v>
      </c>
      <c r="B7" s="3" t="s">
        <v>266</v>
      </c>
      <c r="C7" s="3" t="s">
        <v>267</v>
      </c>
      <c r="D7" s="3" t="s">
        <v>267</v>
      </c>
      <c r="E7" s="3" t="s">
        <v>267</v>
      </c>
      <c r="F7" s="3" t="s">
        <v>267</v>
      </c>
      <c r="G7" s="33" t="n">
        <f aca="false">Law!B28</f>
        <v>0.588639457126435</v>
      </c>
      <c r="H7" s="33" t="n">
        <f aca="false">Law!B29</f>
        <v>0.427968887532521</v>
      </c>
      <c r="I7" s="33" t="n">
        <f aca="false">Law!B30</f>
        <v>0.0175044167472963</v>
      </c>
      <c r="J7" s="32" t="n">
        <v>0</v>
      </c>
      <c r="K7" s="26" t="n">
        <v>0.670760326112668</v>
      </c>
      <c r="L7" s="24" t="n">
        <f aca="false">Fee*J7+VQ*K7</f>
        <v>5.36608260890134</v>
      </c>
      <c r="M7" s="32" t="n">
        <v>190</v>
      </c>
      <c r="N7" s="26" t="n">
        <v>0.730729459233616</v>
      </c>
      <c r="O7" s="24" t="n">
        <f aca="false">Fee*M7+VQ*N7</f>
        <v>11.5458356738689</v>
      </c>
      <c r="P7" s="24" t="n">
        <f aca="false">IF(G7&gt;0,G7*O7,0)+(1-G7)*L7</f>
        <v>9.00372909823929</v>
      </c>
      <c r="Q7" s="24" t="n">
        <f aca="false">CostV1-P7</f>
        <v>1.43688179317371</v>
      </c>
      <c r="R7" s="15" t="n">
        <v>16360</v>
      </c>
      <c r="S7" s="15" t="n">
        <v>3314</v>
      </c>
      <c r="T7" s="15" t="n">
        <v>1353</v>
      </c>
      <c r="U7" s="15" t="n">
        <v>3127</v>
      </c>
      <c r="V7" s="14" t="n">
        <f aca="false">I7*R7/NClose+(1-I7)*S7/NOpen</f>
        <v>0.0549993311969319</v>
      </c>
      <c r="W7" s="14" t="n">
        <f aca="false">H7*T7/NClose+(1-H7)*U7/NOpen</f>
        <v>0.0464899451476204</v>
      </c>
      <c r="X7" s="14" t="n">
        <f aca="false">IF(G7&gt;0,G7*W7,0)+(1-G7)*V7</f>
        <v>0.0499903708123859</v>
      </c>
      <c r="Y7" s="15" t="n">
        <v>58940</v>
      </c>
      <c r="Z7" s="22" t="n">
        <f aca="false">Y7/NPaths</f>
        <v>0.5894</v>
      </c>
      <c r="AA7" s="15" t="n">
        <v>2664</v>
      </c>
      <c r="AB7" s="15" t="n">
        <v>2234</v>
      </c>
      <c r="AC7" s="14" t="n">
        <f aca="false">(AA7+AB7)/NPaths</f>
        <v>0.04898</v>
      </c>
      <c r="AD7" s="24" t="n">
        <f aca="false">IF(Z7&gt;0,Z7*O7,0)+(1-Z7)*L7</f>
        <v>9.00842906539324</v>
      </c>
      <c r="AE7" s="24" t="n">
        <f aca="false">CostV1-AD7</f>
        <v>1.43218182601976</v>
      </c>
    </row>
    <row r="8" customFormat="false" ht="15" hidden="false" customHeight="false" outlineLevel="0" collapsed="false">
      <c r="A8" s="5" t="s">
        <v>268</v>
      </c>
      <c r="B8" s="3" t="s">
        <v>269</v>
      </c>
      <c r="C8" s="15" t="n">
        <v>18034</v>
      </c>
      <c r="D8" s="15" t="n">
        <v>23012</v>
      </c>
      <c r="E8" s="15" t="n">
        <v>7878</v>
      </c>
      <c r="F8" s="15" t="n">
        <v>76988</v>
      </c>
      <c r="G8" s="14" t="n">
        <f aca="false">D8/(D8+F8)</f>
        <v>0.23012</v>
      </c>
      <c r="H8" s="14" t="n">
        <f aca="false">IF(D8&gt;0,C8/D8,0)</f>
        <v>0.783678081001217</v>
      </c>
      <c r="I8" s="14" t="n">
        <f aca="false">IF(F8&gt;0,E8/F8,0)</f>
        <v>0.102327635475659</v>
      </c>
      <c r="J8" s="32" t="n">
        <v>125</v>
      </c>
      <c r="K8" s="26" t="n">
        <v>0.712116288009097</v>
      </c>
      <c r="L8" s="24" t="n">
        <f aca="false">Fee*J8+VQ*K8</f>
        <v>9.44693030407278</v>
      </c>
      <c r="M8" s="32" t="n">
        <v>205</v>
      </c>
      <c r="N8" s="26" t="n">
        <v>0.665434349455107</v>
      </c>
      <c r="O8" s="24" t="n">
        <f aca="false">Fee*M8+VQ*N8</f>
        <v>11.4734747956409</v>
      </c>
      <c r="P8" s="24" t="n">
        <f aca="false">IF(G8&gt;0,G8*O8,0)+(1-G8)*L8</f>
        <v>9.91327872247242</v>
      </c>
      <c r="Q8" s="24" t="n">
        <f aca="false">CostV1-P8</f>
        <v>0.527332168940577</v>
      </c>
      <c r="R8" s="15" t="n">
        <v>2890</v>
      </c>
      <c r="S8" s="15" t="n">
        <v>3184</v>
      </c>
      <c r="T8" s="15" t="n">
        <v>1331</v>
      </c>
      <c r="U8" s="15" t="n">
        <v>3337</v>
      </c>
      <c r="V8" s="14" t="n">
        <f aca="false">I8*R8/NClose+(1-I8)*S8/NOpen</f>
        <v>0.0499910341765234</v>
      </c>
      <c r="W8" s="14" t="n">
        <f aca="false">H8*T8/NClose+(1-H8)*U8/NOpen</f>
        <v>0.0499978981125169</v>
      </c>
      <c r="X8" s="14" t="n">
        <f aca="false">IF(G8&gt;0,G8*W8,0)+(1-G8)*V8</f>
        <v>0.0499926137054743</v>
      </c>
      <c r="Y8" s="15" t="n">
        <v>22924</v>
      </c>
      <c r="Z8" s="22" t="n">
        <f aca="false">Y8/NPaths</f>
        <v>0.22924</v>
      </c>
      <c r="AA8" s="15" t="n">
        <v>1174</v>
      </c>
      <c r="AB8" s="15" t="n">
        <v>3724</v>
      </c>
      <c r="AC8" s="14" t="n">
        <f aca="false">(AA8+AB8)/NPaths</f>
        <v>0.04898</v>
      </c>
      <c r="AD8" s="24" t="n">
        <f aca="false">IF(Z8&gt;0,Z8*O8,0)+(1-Z8)*L8</f>
        <v>9.91149536331984</v>
      </c>
      <c r="AE8" s="24" t="n">
        <f aca="false">CostV1-AD8</f>
        <v>0.529115528093158</v>
      </c>
    </row>
    <row r="9" customFormat="false" ht="15" hidden="false" customHeight="false" outlineLevel="0" collapsed="false">
      <c r="A9" s="5" t="s">
        <v>270</v>
      </c>
      <c r="B9" s="3" t="s">
        <v>269</v>
      </c>
      <c r="C9" s="15" t="n">
        <v>25201</v>
      </c>
      <c r="D9" s="15" t="n">
        <v>59000</v>
      </c>
      <c r="E9" s="15" t="n">
        <v>711</v>
      </c>
      <c r="F9" s="15" t="n">
        <v>41000</v>
      </c>
      <c r="G9" s="14" t="n">
        <f aca="false">D9/(D9+F9)</f>
        <v>0.59</v>
      </c>
      <c r="H9" s="14" t="n">
        <f aca="false">IF(D9&gt;0,C9/D9,0)</f>
        <v>0.427135593220339</v>
      </c>
      <c r="I9" s="14" t="n">
        <f aca="false">IF(F9&gt;0,E9/F9,0)</f>
        <v>0.0173414634146341</v>
      </c>
      <c r="J9" s="32" t="n">
        <v>0</v>
      </c>
      <c r="K9" s="26" t="n">
        <v>0.668705029900003</v>
      </c>
      <c r="L9" s="24" t="n">
        <f aca="false">Fee*J9+VQ*K9</f>
        <v>5.34964023920002</v>
      </c>
      <c r="M9" s="32" t="n">
        <v>190</v>
      </c>
      <c r="N9" s="26" t="n">
        <v>0.730461382996053</v>
      </c>
      <c r="O9" s="24" t="n">
        <f aca="false">Fee*M9+VQ*N9</f>
        <v>11.5436910639684</v>
      </c>
      <c r="P9" s="24" t="n">
        <f aca="false">IF(G9&gt;0,G9*O9,0)+(1-G9)*L9</f>
        <v>9.00413022581338</v>
      </c>
      <c r="Q9" s="24" t="n">
        <f aca="false">CostV1-P9</f>
        <v>1.43648066559962</v>
      </c>
      <c r="R9" s="15" t="n">
        <v>16367</v>
      </c>
      <c r="S9" s="15" t="n">
        <v>3320</v>
      </c>
      <c r="T9" s="15" t="n">
        <v>1355</v>
      </c>
      <c r="U9" s="15" t="n">
        <v>3127</v>
      </c>
      <c r="V9" s="14" t="n">
        <f aca="false">I9*R9/NClose+(1-I9)*S9/NOpen</f>
        <v>0.0549880018157419</v>
      </c>
      <c r="W9" s="14" t="n">
        <f aca="false">H9*T9/NClose+(1-H9)*U9/NOpen</f>
        <v>0.0465145731862435</v>
      </c>
      <c r="X9" s="14" t="n">
        <f aca="false">IF(G9&gt;0,G9*W9,0)+(1-G9)*V9</f>
        <v>0.0499886789243378</v>
      </c>
      <c r="Y9" s="15" t="n">
        <v>58646</v>
      </c>
      <c r="Z9" s="22" t="n">
        <f aca="false">Y9/NPaths</f>
        <v>0.58646</v>
      </c>
      <c r="AA9" s="15" t="n">
        <v>2643</v>
      </c>
      <c r="AB9" s="15" t="n">
        <v>2285</v>
      </c>
      <c r="AC9" s="14" t="n">
        <f aca="false">(AA9+AB9)/NPaths</f>
        <v>0.04928</v>
      </c>
      <c r="AD9" s="24" t="n">
        <f aca="false">IF(Z9&gt;0,Z9*O9,0)+(1-Z9)*L9</f>
        <v>8.9822032858937</v>
      </c>
      <c r="AE9" s="24" t="n">
        <f aca="false">CostV1-AD9</f>
        <v>1.4584076055193</v>
      </c>
    </row>
    <row r="10" customFormat="false" ht="15" hidden="false" customHeight="false" outlineLevel="0" collapsed="false">
      <c r="A10" s="5" t="s">
        <v>271</v>
      </c>
      <c r="B10" s="3" t="s">
        <v>272</v>
      </c>
      <c r="C10" s="15" t="n">
        <v>264</v>
      </c>
      <c r="D10" s="15" t="n">
        <v>590</v>
      </c>
      <c r="E10" s="15" t="n">
        <v>4</v>
      </c>
      <c r="F10" s="15" t="n">
        <v>410</v>
      </c>
      <c r="G10" s="14" t="n">
        <f aca="false">D10/(D10+F10)</f>
        <v>0.59</v>
      </c>
      <c r="H10" s="14" t="n">
        <f aca="false">IF(D10&gt;0,C10/D10,0)</f>
        <v>0.447457627118644</v>
      </c>
      <c r="I10" s="14" t="n">
        <f aca="false">IF(F10&gt;0,E10/F10,0)</f>
        <v>0.00975609756097561</v>
      </c>
      <c r="J10" s="32" t="n">
        <v>0</v>
      </c>
      <c r="K10" s="26" t="n">
        <v>0.683035274672081</v>
      </c>
      <c r="L10" s="24" t="n">
        <f aca="false">Fee*J10+VQ*K10</f>
        <v>5.46428219737665</v>
      </c>
      <c r="M10" s="32" t="n">
        <v>185</v>
      </c>
      <c r="N10" s="26" t="n">
        <v>0.6767525290289</v>
      </c>
      <c r="O10" s="24" t="n">
        <f aca="false">Fee*M10+VQ*N10</f>
        <v>10.9640202322312</v>
      </c>
      <c r="P10" s="24" t="n">
        <f aca="false">IF(G10&gt;0,G10*O10,0)+(1-G10)*L10</f>
        <v>8.70912763794083</v>
      </c>
      <c r="Q10" s="24" t="n">
        <f aca="false">CostV1-P10</f>
        <v>1.73148325347217</v>
      </c>
      <c r="R10" s="15" t="n">
        <v>16321</v>
      </c>
      <c r="S10" s="15" t="n">
        <v>3281</v>
      </c>
      <c r="T10" s="15" t="n">
        <v>1471</v>
      </c>
      <c r="U10" s="15" t="n">
        <v>3297</v>
      </c>
      <c r="V10" s="14" t="n">
        <f aca="false">I10*R10/NClose+(1-I10)*S10/NOpen</f>
        <v>0.0499981249972644</v>
      </c>
      <c r="W10" s="14" t="n">
        <f aca="false">H10*T10/NClose+(1-H10)*U10/NOpen</f>
        <v>0.0499905129650844</v>
      </c>
      <c r="X10" s="14" t="n">
        <f aca="false">IF(G10&gt;0,G10*W10,0)+(1-G10)*V10</f>
        <v>0.0499936338982782</v>
      </c>
      <c r="Y10" s="15" t="n">
        <v>60891</v>
      </c>
      <c r="Z10" s="22" t="n">
        <f aca="false">Y10/NPaths</f>
        <v>0.60891</v>
      </c>
      <c r="AA10" s="15" t="n">
        <v>2916</v>
      </c>
      <c r="AB10" s="15" t="n">
        <v>2103</v>
      </c>
      <c r="AC10" s="14" t="n">
        <f aca="false">(AA10+AB10)/NPaths</f>
        <v>0.05019</v>
      </c>
      <c r="AD10" s="24" t="n">
        <f aca="false">IF(Z10&gt;0,Z10*O10,0)+(1-Z10)*L10</f>
        <v>8.81312768417993</v>
      </c>
      <c r="AE10" s="24" t="n">
        <f aca="false">CostV1-AD10</f>
        <v>1.62748320723307</v>
      </c>
    </row>
    <row r="11" customFormat="false" ht="15" hidden="false" customHeight="false" outlineLevel="0" collapsed="false">
      <c r="A11" s="5" t="s">
        <v>273</v>
      </c>
      <c r="B11" s="3" t="s">
        <v>274</v>
      </c>
      <c r="C11" s="15" t="n">
        <v>264</v>
      </c>
      <c r="D11" s="15" t="n">
        <v>590</v>
      </c>
      <c r="E11" s="15" t="n">
        <v>4</v>
      </c>
      <c r="F11" s="15" t="n">
        <v>410</v>
      </c>
      <c r="G11" s="14" t="n">
        <f aca="false">D11/(D11+F11)</f>
        <v>0.59</v>
      </c>
      <c r="H11" s="14" t="n">
        <f aca="false">_xlfn.BETA.INV(Conf,C11+1,D11-C11)</f>
        <v>0.482116784213065</v>
      </c>
      <c r="I11" s="14" t="n">
        <f aca="false">_xlfn.BETA.INV(Conf,E11+1,F11-E11)</f>
        <v>0.0221856332828053</v>
      </c>
      <c r="J11" s="32" t="n">
        <v>0</v>
      </c>
      <c r="K11" s="26" t="n">
        <v>0.733994017796062</v>
      </c>
      <c r="L11" s="24" t="n">
        <f aca="false">Fee*J11+VQ*K11</f>
        <v>5.8719521423685</v>
      </c>
      <c r="M11" s="32" t="n">
        <v>190</v>
      </c>
      <c r="N11" s="26" t="n">
        <v>0.741918936090126</v>
      </c>
      <c r="O11" s="24" t="n">
        <f aca="false">Fee*M11+VQ*N11</f>
        <v>11.635351488721</v>
      </c>
      <c r="P11" s="24" t="n">
        <f aca="false">IF(G11&gt;0,G11*O11,0)+(1-G11)*L11</f>
        <v>9.27235775671648</v>
      </c>
      <c r="Q11" s="24" t="n">
        <f aca="false">CostV1-P11</f>
        <v>1.16825313469652</v>
      </c>
      <c r="R11" s="15" t="n">
        <v>16151</v>
      </c>
      <c r="S11" s="15" t="n">
        <v>3119</v>
      </c>
      <c r="T11" s="15" t="n">
        <v>1338</v>
      </c>
      <c r="U11" s="15" t="n">
        <v>3094</v>
      </c>
      <c r="V11" s="14" t="n">
        <f aca="false">I11*R11/NClose+(1-I11)*S11/NOpen</f>
        <v>0.0549929500642828</v>
      </c>
      <c r="W11" s="14" t="n">
        <f aca="false">H11*T11/NClose+(1-H11)*U11/NOpen</f>
        <v>0.046522128611017</v>
      </c>
      <c r="X11" s="14" t="n">
        <f aca="false">IF(G11&gt;0,G11*W11,0)+(1-G11)*V11</f>
        <v>0.049995165406856</v>
      </c>
      <c r="Y11" s="15" t="n">
        <v>60891</v>
      </c>
      <c r="Z11" s="22" t="n">
        <f aca="false">Y11/NPaths</f>
        <v>0.60891</v>
      </c>
      <c r="AA11" s="15" t="n">
        <v>2708</v>
      </c>
      <c r="AB11" s="15" t="n">
        <v>2018</v>
      </c>
      <c r="AC11" s="14" t="n">
        <f aca="false">(AA11+AB11)/NPaths</f>
        <v>0.04726</v>
      </c>
      <c r="AD11" s="24" t="n">
        <f aca="false">IF(Z11&gt;0,Z11*O11,0)+(1-Z11)*L11</f>
        <v>9.381343638356</v>
      </c>
      <c r="AE11" s="24" t="n">
        <f aca="false">CostV1-AD11</f>
        <v>1.059267253057</v>
      </c>
    </row>
    <row r="12" customFormat="false" ht="15" hidden="false" customHeight="false" outlineLevel="0" collapsed="false">
      <c r="A12" s="5" t="s">
        <v>275</v>
      </c>
      <c r="B12" s="3" t="s">
        <v>272</v>
      </c>
      <c r="C12" s="15" t="n">
        <v>206</v>
      </c>
      <c r="D12" s="15" t="n">
        <v>252</v>
      </c>
      <c r="E12" s="15" t="n">
        <v>62</v>
      </c>
      <c r="F12" s="15" t="n">
        <v>748</v>
      </c>
      <c r="G12" s="14" t="n">
        <f aca="false">D12/(D12+F12)</f>
        <v>0.252</v>
      </c>
      <c r="H12" s="14" t="n">
        <f aca="false">IF(D12&gt;0,C12/D12,0)</f>
        <v>0.817460317460317</v>
      </c>
      <c r="I12" s="14" t="n">
        <f aca="false">IF(F12&gt;0,E12/F12,0)</f>
        <v>0.0828877005347594</v>
      </c>
      <c r="J12" s="32" t="n">
        <v>115</v>
      </c>
      <c r="K12" s="26" t="n">
        <v>0.717519059198636</v>
      </c>
      <c r="L12" s="24" t="n">
        <f aca="false">Fee*J12+VQ*K12</f>
        <v>9.19015247358909</v>
      </c>
      <c r="M12" s="32" t="n">
        <v>205</v>
      </c>
      <c r="N12" s="26" t="n">
        <v>0.669880621424682</v>
      </c>
      <c r="O12" s="24" t="n">
        <f aca="false">Fee*M12+VQ*N12</f>
        <v>11.5090449713975</v>
      </c>
      <c r="P12" s="24" t="n">
        <f aca="false">IF(G12&gt;0,G12*O12,0)+(1-G12)*L12</f>
        <v>9.7745133830368</v>
      </c>
      <c r="Q12" s="24" t="n">
        <f aca="false">CostV1-P12</f>
        <v>0.666097508376204</v>
      </c>
      <c r="R12" s="15" t="n">
        <v>3380</v>
      </c>
      <c r="S12" s="15" t="n">
        <v>3165</v>
      </c>
      <c r="T12" s="15" t="n">
        <v>1325</v>
      </c>
      <c r="U12" s="15" t="n">
        <v>3319</v>
      </c>
      <c r="V12" s="14" t="n">
        <f aca="false">I12*R12/NClose+(1-I12)*S12/NOpen</f>
        <v>0.0499905457238421</v>
      </c>
      <c r="W12" s="14" t="n">
        <f aca="false">H12*T12/NClose+(1-H12)*U12/NOpen</f>
        <v>0.0499779410015001</v>
      </c>
      <c r="X12" s="14" t="n">
        <f aca="false">IF(G12&gt;0,G12*W12,0)+(1-G12)*V12</f>
        <v>0.0499873693338119</v>
      </c>
      <c r="Y12" s="15" t="n">
        <v>22924</v>
      </c>
      <c r="Z12" s="22" t="n">
        <f aca="false">Y12/NPaths</f>
        <v>0.22924</v>
      </c>
      <c r="AA12" s="15" t="n">
        <v>1169</v>
      </c>
      <c r="AB12" s="15" t="n">
        <v>3864</v>
      </c>
      <c r="AC12" s="14" t="n">
        <f aca="false">(AA12+AB12)/NPaths</f>
        <v>0.05033</v>
      </c>
      <c r="AD12" s="24" t="n">
        <f aca="false">IF(Z12&gt;0,Z12*O12,0)+(1-Z12)*L12</f>
        <v>9.72173538978668</v>
      </c>
      <c r="AE12" s="24" t="n">
        <f aca="false">CostV1-AD12</f>
        <v>0.718875501626322</v>
      </c>
    </row>
    <row r="13" customFormat="false" ht="15" hidden="false" customHeight="false" outlineLevel="0" collapsed="false">
      <c r="A13" s="5" t="s">
        <v>276</v>
      </c>
      <c r="B13" s="3" t="s">
        <v>277</v>
      </c>
      <c r="C13" s="15" t="n">
        <v>268</v>
      </c>
      <c r="D13" s="15" t="n">
        <v>270</v>
      </c>
      <c r="E13" s="15" t="n">
        <v>0</v>
      </c>
      <c r="F13" s="15" t="n">
        <v>730</v>
      </c>
      <c r="G13" s="14" t="n">
        <f aca="false">D13/(D13+F13)</f>
        <v>0.27</v>
      </c>
      <c r="H13" s="14" t="n">
        <f aca="false">IF(D13&gt;0,C13/D13,0)</f>
        <v>0.992592592592593</v>
      </c>
      <c r="I13" s="14" t="n">
        <f aca="false">IF(F13&gt;0,E13/F13,0)</f>
        <v>0</v>
      </c>
      <c r="J13" s="32" t="n">
        <v>0</v>
      </c>
      <c r="K13" s="26" t="n">
        <v>0.608354275291685</v>
      </c>
      <c r="L13" s="24" t="n">
        <f aca="false">Fee*J13+VQ*K13</f>
        <v>4.86683420233348</v>
      </c>
      <c r="M13" s="32" t="n">
        <v>215</v>
      </c>
      <c r="N13" s="26" t="n">
        <v>0.513233019710492</v>
      </c>
      <c r="O13" s="24" t="n">
        <f aca="false">Fee*M13+VQ*N13</f>
        <v>10.5558641576839</v>
      </c>
      <c r="P13" s="24" t="n">
        <f aca="false">IF(G13&gt;0,G13*O13,0)+(1-G13)*L13</f>
        <v>6.4028722902781</v>
      </c>
      <c r="Q13" s="24" t="n">
        <f aca="false">CostV1-P13</f>
        <v>4.0377386011349</v>
      </c>
      <c r="R13" s="15" t="n">
        <v>16556</v>
      </c>
      <c r="S13" s="15" t="n">
        <v>3519</v>
      </c>
      <c r="T13" s="15" t="n">
        <v>1471</v>
      </c>
      <c r="U13" s="15" t="n">
        <v>3866</v>
      </c>
      <c r="V13" s="14" t="n">
        <f aca="false">I13*R13/NClose+(1-I13)*S13/NOpen</f>
        <v>0.0474975704567541</v>
      </c>
      <c r="W13" s="14" t="n">
        <f aca="false">H13*T13/NClose+(1-H13)*U13/NOpen</f>
        <v>0.0567350802698676</v>
      </c>
      <c r="X13" s="14" t="n">
        <f aca="false">IF(G13&gt;0,G13*W13,0)+(1-G13)*V13</f>
        <v>0.0499916981062948</v>
      </c>
      <c r="Y13" s="15" t="n">
        <v>35720</v>
      </c>
      <c r="Z13" s="22" t="n">
        <f aca="false">Y13/NPaths</f>
        <v>0.3572</v>
      </c>
      <c r="AA13" s="15" t="n">
        <v>1911</v>
      </c>
      <c r="AB13" s="15" t="n">
        <v>5765</v>
      </c>
      <c r="AC13" s="14" t="n">
        <f aca="false">(AA13+AB13)/NPaths</f>
        <v>0.07676</v>
      </c>
      <c r="AD13" s="24" t="n">
        <f aca="false">IF(Z13&gt;0,Z13*O13,0)+(1-Z13)*L13</f>
        <v>6.89895570238466</v>
      </c>
      <c r="AE13" s="24" t="n">
        <f aca="false">CostV1-AD13</f>
        <v>3.54165518902834</v>
      </c>
    </row>
    <row r="14" customFormat="false" ht="15" hidden="false" customHeight="false" outlineLevel="0" collapsed="false">
      <c r="A14" s="5" t="s">
        <v>278</v>
      </c>
      <c r="B14" s="3" t="s">
        <v>272</v>
      </c>
      <c r="C14" s="15" t="n">
        <v>258</v>
      </c>
      <c r="D14" s="15" t="n">
        <v>580</v>
      </c>
      <c r="E14" s="15" t="n">
        <v>10</v>
      </c>
      <c r="F14" s="15" t="n">
        <v>420</v>
      </c>
      <c r="G14" s="14" t="n">
        <f aca="false">D14/(D14+F14)</f>
        <v>0.58</v>
      </c>
      <c r="H14" s="14" t="n">
        <f aca="false">IF(D14&gt;0,C14/D14,0)</f>
        <v>0.444827586206897</v>
      </c>
      <c r="I14" s="14" t="n">
        <f aca="false">IF(F14&gt;0,E14/F14,0)</f>
        <v>0.0238095238095238</v>
      </c>
      <c r="J14" s="32" t="n">
        <v>0</v>
      </c>
      <c r="K14" s="26" t="n">
        <v>0.757429849953742</v>
      </c>
      <c r="L14" s="24" t="n">
        <f aca="false">Fee*J14+VQ*K14</f>
        <v>6.05943879962994</v>
      </c>
      <c r="M14" s="32" t="n">
        <v>190</v>
      </c>
      <c r="N14" s="26" t="n">
        <v>0.738531436317024</v>
      </c>
      <c r="O14" s="24" t="n">
        <f aca="false">Fee*M14+VQ*N14</f>
        <v>11.6082514905362</v>
      </c>
      <c r="P14" s="24" t="n">
        <f aca="false">IF(G14&gt;0,G14*O14,0)+(1-G14)*L14</f>
        <v>9.27775016035556</v>
      </c>
      <c r="Q14" s="24" t="n">
        <f aca="false">CostV1-P14</f>
        <v>1.16286073105744</v>
      </c>
      <c r="R14" s="15" t="n">
        <v>16075</v>
      </c>
      <c r="S14" s="15" t="n">
        <v>3053</v>
      </c>
      <c r="T14" s="15" t="n">
        <v>1345</v>
      </c>
      <c r="U14" s="15" t="n">
        <v>3107</v>
      </c>
      <c r="V14" s="14" t="n">
        <f aca="false">I14*R14/NClose+(1-I14)*S14/NOpen</f>
        <v>0.0549973050397977</v>
      </c>
      <c r="W14" s="14" t="n">
        <f aca="false">H14*T14/NClose+(1-H14)*U14/NOpen</f>
        <v>0.0463714743070638</v>
      </c>
      <c r="X14" s="14" t="n">
        <f aca="false">IF(G14&gt;0,G14*W14,0)+(1-G14)*V14</f>
        <v>0.049994323214812</v>
      </c>
      <c r="Y14" s="15" t="n">
        <v>68309</v>
      </c>
      <c r="Z14" s="22" t="n">
        <f aca="false">Y14/NPaths</f>
        <v>0.68309</v>
      </c>
      <c r="AA14" s="15" t="n">
        <v>3061</v>
      </c>
      <c r="AB14" s="15" t="n">
        <v>1899</v>
      </c>
      <c r="AC14" s="14" t="n">
        <f aca="false">(AA14+AB14)/NPaths</f>
        <v>0.0496</v>
      </c>
      <c r="AD14" s="24" t="n">
        <f aca="false">IF(Z14&gt;0,Z14*O14,0)+(1-Z14)*L14</f>
        <v>9.84977726066109</v>
      </c>
      <c r="AE14" s="24" t="n">
        <f aca="false">CostV1-AD14</f>
        <v>0.590833630751909</v>
      </c>
    </row>
    <row r="16" customFormat="false" ht="15" hidden="false" customHeight="false" outlineLevel="0" collapsed="false">
      <c r="A16" s="11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6" min="5" style="1" width="13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</cols>
  <sheetData>
    <row r="1" customFormat="false" ht="15" hidden="false" customHeight="false" outlineLevel="0" collapsed="false">
      <c r="A1" s="2" t="s">
        <v>280</v>
      </c>
    </row>
    <row r="2" customFormat="false" ht="15" hidden="false" customHeight="false" outlineLevel="0" collapsed="false">
      <c r="A2" s="11" t="s">
        <v>281</v>
      </c>
    </row>
    <row r="4" customFormat="false" ht="23.85" hidden="false" customHeight="false" outlineLevel="0" collapsed="false">
      <c r="A4" s="9" t="s">
        <v>282</v>
      </c>
      <c r="B4" s="9" t="s">
        <v>283</v>
      </c>
      <c r="C4" s="9" t="s">
        <v>284</v>
      </c>
      <c r="D4" s="9" t="s">
        <v>285</v>
      </c>
      <c r="E4" s="9" t="s">
        <v>286</v>
      </c>
      <c r="F4" s="9" t="s">
        <v>287</v>
      </c>
      <c r="G4" s="9" t="s">
        <v>288</v>
      </c>
      <c r="H4" s="9" t="s">
        <v>289</v>
      </c>
      <c r="I4" s="9" t="s">
        <v>259</v>
      </c>
    </row>
    <row r="5" customFormat="false" ht="15" hidden="false" customHeight="false" outlineLevel="0" collapsed="false">
      <c r="A5" s="5" t="s">
        <v>260</v>
      </c>
      <c r="B5" s="34" t="n">
        <f aca="false">100*Designs!Z5</f>
        <v>0</v>
      </c>
      <c r="C5" s="35" t="n">
        <f aca="false">Designs!J5</f>
        <v>170</v>
      </c>
      <c r="D5" s="28" t="n">
        <f aca="false">Designs!K5</f>
        <v>0.667576361426625</v>
      </c>
      <c r="E5" s="3" t="s">
        <v>262</v>
      </c>
      <c r="F5" s="3" t="s">
        <v>262</v>
      </c>
      <c r="G5" s="28" t="n">
        <f aca="false">Designs!Q5</f>
        <v>0</v>
      </c>
      <c r="H5" s="28" t="n">
        <f aca="false">100*Designs!AC5</f>
        <v>4.907</v>
      </c>
      <c r="I5" s="28" t="n">
        <f aca="false">Designs!AE5</f>
        <v>0</v>
      </c>
    </row>
    <row r="6" customFormat="false" ht="15" hidden="false" customHeight="false" outlineLevel="0" collapsed="false">
      <c r="A6" s="5" t="s">
        <v>290</v>
      </c>
      <c r="B6" s="34" t="n">
        <f aca="false">100*Designs!Z6</f>
        <v>25.96</v>
      </c>
      <c r="C6" s="35" t="n">
        <f aca="false">Designs!J6</f>
        <v>0</v>
      </c>
      <c r="D6" s="28" t="n">
        <f aca="false">Designs!K6</f>
        <v>0.608354275291685</v>
      </c>
      <c r="E6" s="35" t="n">
        <f aca="false">Designs!M6</f>
        <v>215</v>
      </c>
      <c r="F6" s="28" t="n">
        <f aca="false">Designs!N6</f>
        <v>0.504382608879544</v>
      </c>
      <c r="G6" s="28" t="n">
        <f aca="false">Designs!Q6</f>
        <v>4.11798179468523</v>
      </c>
      <c r="H6" s="28" t="n">
        <f aca="false">100*Designs!AC6</f>
        <v>4.913</v>
      </c>
      <c r="I6" s="28" t="n">
        <f aca="false">Designs!AE6</f>
        <v>4.11528504588426</v>
      </c>
    </row>
    <row r="7" customFormat="false" ht="15" hidden="false" customHeight="false" outlineLevel="0" collapsed="false">
      <c r="A7" s="5" t="s">
        <v>265</v>
      </c>
      <c r="B7" s="34" t="n">
        <f aca="false">100*Designs!Z7</f>
        <v>58.94</v>
      </c>
      <c r="C7" s="35" t="n">
        <f aca="false">Designs!J7</f>
        <v>0</v>
      </c>
      <c r="D7" s="28" t="n">
        <f aca="false">Designs!K7</f>
        <v>0.670760326112668</v>
      </c>
      <c r="E7" s="35" t="n">
        <f aca="false">Designs!M7</f>
        <v>190</v>
      </c>
      <c r="F7" s="28" t="n">
        <f aca="false">Designs!N7</f>
        <v>0.730729459233616</v>
      </c>
      <c r="G7" s="28" t="n">
        <f aca="false">Designs!Q7</f>
        <v>1.43688179317371</v>
      </c>
      <c r="H7" s="28" t="n">
        <f aca="false">100*Designs!AC7</f>
        <v>4.898</v>
      </c>
      <c r="I7" s="28" t="n">
        <f aca="false">Designs!AE7</f>
        <v>1.43218182601976</v>
      </c>
    </row>
    <row r="8" customFormat="false" ht="15" hidden="false" customHeight="false" outlineLevel="0" collapsed="false">
      <c r="A8" s="5" t="s">
        <v>291</v>
      </c>
      <c r="B8" s="34" t="n">
        <f aca="false">100*Designs!Z8</f>
        <v>22.924</v>
      </c>
      <c r="C8" s="35" t="n">
        <f aca="false">Designs!J8</f>
        <v>125</v>
      </c>
      <c r="D8" s="28" t="n">
        <f aca="false">Designs!K8</f>
        <v>0.712116288009097</v>
      </c>
      <c r="E8" s="35" t="n">
        <f aca="false">Designs!M8</f>
        <v>205</v>
      </c>
      <c r="F8" s="28" t="n">
        <f aca="false">Designs!N8</f>
        <v>0.665434349455107</v>
      </c>
      <c r="G8" s="28" t="n">
        <f aca="false">Designs!Q8</f>
        <v>0.527332168940577</v>
      </c>
      <c r="H8" s="28" t="n">
        <f aca="false">100*Designs!AC8</f>
        <v>4.898</v>
      </c>
      <c r="I8" s="28" t="n">
        <f aca="false">Designs!AE8</f>
        <v>0.529115528093158</v>
      </c>
    </row>
    <row r="9" customFormat="false" ht="15" hidden="false" customHeight="false" outlineLevel="0" collapsed="false">
      <c r="A9" s="5" t="s">
        <v>292</v>
      </c>
      <c r="B9" s="34" t="n">
        <f aca="false">100*Designs!Z9</f>
        <v>58.646</v>
      </c>
      <c r="C9" s="35" t="n">
        <f aca="false">Designs!J9</f>
        <v>0</v>
      </c>
      <c r="D9" s="28" t="n">
        <f aca="false">Designs!K9</f>
        <v>0.668705029900003</v>
      </c>
      <c r="E9" s="35" t="n">
        <f aca="false">Designs!M9</f>
        <v>190</v>
      </c>
      <c r="F9" s="28" t="n">
        <f aca="false">Designs!N9</f>
        <v>0.730461382996053</v>
      </c>
      <c r="G9" s="28" t="n">
        <f aca="false">Designs!Q9</f>
        <v>1.43648066559962</v>
      </c>
      <c r="H9" s="28" t="n">
        <f aca="false">100*Designs!AC9</f>
        <v>4.928</v>
      </c>
      <c r="I9" s="28" t="n">
        <f aca="false">Designs!AE9</f>
        <v>1.4584076055193</v>
      </c>
    </row>
    <row r="10" customFormat="false" ht="15" hidden="false" customHeight="false" outlineLevel="0" collapsed="false">
      <c r="A10" s="5" t="s">
        <v>293</v>
      </c>
      <c r="B10" s="34" t="n">
        <f aca="false">100*Designs!Z10</f>
        <v>60.891</v>
      </c>
      <c r="C10" s="35" t="n">
        <f aca="false">Designs!J10</f>
        <v>0</v>
      </c>
      <c r="D10" s="28" t="n">
        <f aca="false">Designs!K10</f>
        <v>0.683035274672081</v>
      </c>
      <c r="E10" s="35" t="n">
        <f aca="false">Designs!M10</f>
        <v>185</v>
      </c>
      <c r="F10" s="28" t="n">
        <f aca="false">Designs!N10</f>
        <v>0.6767525290289</v>
      </c>
      <c r="G10" s="28" t="n">
        <f aca="false">Designs!Q10</f>
        <v>1.73148325347217</v>
      </c>
      <c r="H10" s="28" t="n">
        <f aca="false">100*Designs!AC10</f>
        <v>5.019</v>
      </c>
      <c r="I10" s="28" t="n">
        <f aca="false">Designs!AE10</f>
        <v>1.62748320723307</v>
      </c>
    </row>
    <row r="11" customFormat="false" ht="15" hidden="false" customHeight="false" outlineLevel="0" collapsed="false">
      <c r="A11" s="5" t="s">
        <v>273</v>
      </c>
      <c r="B11" s="34" t="n">
        <f aca="false">100*Designs!Z11</f>
        <v>60.891</v>
      </c>
      <c r="C11" s="35" t="n">
        <f aca="false">Designs!J11</f>
        <v>0</v>
      </c>
      <c r="D11" s="28" t="n">
        <f aca="false">Designs!K11</f>
        <v>0.733994017796062</v>
      </c>
      <c r="E11" s="35" t="n">
        <f aca="false">Designs!M11</f>
        <v>190</v>
      </c>
      <c r="F11" s="28" t="n">
        <f aca="false">Designs!N11</f>
        <v>0.741918936090126</v>
      </c>
      <c r="G11" s="28" t="n">
        <f aca="false">Designs!Q11</f>
        <v>1.16825313469652</v>
      </c>
      <c r="H11" s="28" t="n">
        <f aca="false">100*Designs!AC11</f>
        <v>4.726</v>
      </c>
      <c r="I11" s="28" t="n">
        <f aca="false">Designs!AE11</f>
        <v>1.059267253057</v>
      </c>
    </row>
    <row r="12" customFormat="false" ht="15" hidden="false" customHeight="false" outlineLevel="0" collapsed="false">
      <c r="A12" s="5" t="s">
        <v>276</v>
      </c>
      <c r="B12" s="34" t="n">
        <f aca="false">100*Designs!Z13</f>
        <v>35.72</v>
      </c>
      <c r="C12" s="35" t="n">
        <f aca="false">Designs!J13</f>
        <v>0</v>
      </c>
      <c r="D12" s="28" t="n">
        <f aca="false">Designs!K13</f>
        <v>0.608354275291685</v>
      </c>
      <c r="E12" s="35" t="n">
        <f aca="false">Designs!M13</f>
        <v>215</v>
      </c>
      <c r="F12" s="28" t="n">
        <f aca="false">Designs!N13</f>
        <v>0.513233019710492</v>
      </c>
      <c r="G12" s="28" t="n">
        <f aca="false">Designs!Q13</f>
        <v>4.0377386011349</v>
      </c>
      <c r="H12" s="28" t="n">
        <f aca="false">100*Designs!AC13</f>
        <v>7.676</v>
      </c>
      <c r="I12" s="3" t="s">
        <v>262</v>
      </c>
    </row>
    <row r="13" customFormat="false" ht="15" hidden="false" customHeight="false" outlineLevel="0" collapsed="false">
      <c r="A13" s="5" t="s">
        <v>294</v>
      </c>
      <c r="B13" s="34" t="n">
        <f aca="false">100*Designs!Z14</f>
        <v>68.309</v>
      </c>
      <c r="C13" s="35" t="n">
        <f aca="false">Designs!J14</f>
        <v>0</v>
      </c>
      <c r="D13" s="28" t="n">
        <f aca="false">Designs!K14</f>
        <v>0.757429849953742</v>
      </c>
      <c r="E13" s="35" t="n">
        <f aca="false">Designs!M14</f>
        <v>190</v>
      </c>
      <c r="F13" s="28" t="n">
        <f aca="false">Designs!N14</f>
        <v>0.738531436317024</v>
      </c>
      <c r="G13" s="28" t="n">
        <f aca="false">Designs!Q14</f>
        <v>1.16286073105744</v>
      </c>
      <c r="H13" s="28" t="n">
        <f aca="false">100*Designs!AC14</f>
        <v>4.96</v>
      </c>
      <c r="I13" s="28" t="n">
        <f aca="false">Designs!AE14</f>
        <v>0.590833630751909</v>
      </c>
    </row>
    <row r="15" customFormat="false" ht="15" hidden="false" customHeight="false" outlineLevel="0" collapsed="false">
      <c r="A15" s="11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3"/>
    <col collapsed="false" customWidth="true" hidden="false" outlineLevel="0" max="7" min="7" style="1" width="32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15" hidden="false" customHeight="false" outlineLevel="0" collapsed="false">
      <c r="A1" s="2" t="s">
        <v>296</v>
      </c>
    </row>
    <row r="2" customFormat="false" ht="15" hidden="false" customHeight="false" outlineLevel="0" collapsed="false">
      <c r="A2" s="11" t="s">
        <v>297</v>
      </c>
    </row>
    <row r="4" customFormat="false" ht="23.85" hidden="false" customHeight="false" outlineLevel="0" collapsed="false">
      <c r="A4" s="9" t="s">
        <v>298</v>
      </c>
      <c r="B4" s="9" t="s">
        <v>299</v>
      </c>
      <c r="C4" s="9" t="s">
        <v>300</v>
      </c>
      <c r="D4" s="9" t="s">
        <v>301</v>
      </c>
      <c r="E4" s="9" t="s">
        <v>302</v>
      </c>
      <c r="G4" s="9" t="s">
        <v>303</v>
      </c>
      <c r="H4" s="9" t="s">
        <v>304</v>
      </c>
      <c r="I4" s="9" t="s">
        <v>305</v>
      </c>
    </row>
    <row r="5" customFormat="false" ht="15" hidden="false" customHeight="false" outlineLevel="0" collapsed="false">
      <c r="A5" s="32" t="n">
        <v>913000</v>
      </c>
      <c r="B5" s="29" t="n">
        <v>0.04967</v>
      </c>
      <c r="C5" s="21" t="n">
        <v>1.4933470299156</v>
      </c>
      <c r="D5" s="29" t="n">
        <v>0.0481</v>
      </c>
      <c r="E5" s="21" t="n">
        <v>0.919504527233544</v>
      </c>
      <c r="G5" s="3" t="s">
        <v>306</v>
      </c>
      <c r="H5" s="22" t="n">
        <f aca="false">COUNTIF(B5:B204,"&lt;="&amp;Alpha)/COUNT(B5:B204)</f>
        <v>0.475</v>
      </c>
      <c r="I5" s="22" t="n">
        <f aca="false">COUNTIF(D5:D204,"&lt;="&amp;Alpha)/COUNT(D5:D204)</f>
        <v>0.98</v>
      </c>
    </row>
    <row r="6" customFormat="false" ht="15" hidden="false" customHeight="false" outlineLevel="0" collapsed="false">
      <c r="A6" s="32" t="n">
        <v>913001</v>
      </c>
      <c r="B6" s="29" t="n">
        <v>0.05381</v>
      </c>
      <c r="C6" s="21" t="n">
        <v>1.6119612040353</v>
      </c>
      <c r="D6" s="29" t="n">
        <v>0.04919</v>
      </c>
      <c r="E6" s="21" t="n">
        <v>0.976666965258927</v>
      </c>
      <c r="G6" s="3" t="s">
        <v>307</v>
      </c>
      <c r="H6" s="14" t="n">
        <f aca="false">AVERAGE(B5:B204)</f>
        <v>0.05019745</v>
      </c>
      <c r="I6" s="14" t="n">
        <f aca="false">AVERAGE(D5:D204)</f>
        <v>0.04754545</v>
      </c>
    </row>
    <row r="7" customFormat="false" ht="15" hidden="false" customHeight="false" outlineLevel="0" collapsed="false">
      <c r="A7" s="32" t="n">
        <v>913002</v>
      </c>
      <c r="B7" s="29" t="n">
        <v>0.05079</v>
      </c>
      <c r="C7" s="21" t="n">
        <v>1.67621261015811</v>
      </c>
      <c r="D7" s="29" t="n">
        <v>0.04746</v>
      </c>
      <c r="E7" s="21" t="n">
        <v>1.08708528614332</v>
      </c>
      <c r="G7" s="3" t="s">
        <v>308</v>
      </c>
      <c r="H7" s="14" t="n">
        <f aca="false">PERCENTILE(B5:B204,0.9)</f>
        <v>0.052131</v>
      </c>
      <c r="I7" s="14" t="n">
        <f aca="false">PERCENTILE(D5:D204,0.9)</f>
        <v>0.048911</v>
      </c>
    </row>
    <row r="8" customFormat="false" ht="15" hidden="false" customHeight="false" outlineLevel="0" collapsed="false">
      <c r="A8" s="32" t="n">
        <v>913003</v>
      </c>
      <c r="B8" s="29" t="n">
        <v>0.04995</v>
      </c>
      <c r="C8" s="21" t="n">
        <v>1.44354690820393</v>
      </c>
      <c r="D8" s="29" t="n">
        <v>0.04681</v>
      </c>
      <c r="E8" s="21" t="n">
        <v>0.818791136173845</v>
      </c>
      <c r="G8" s="3" t="s">
        <v>309</v>
      </c>
      <c r="H8" s="24" t="n">
        <f aca="false">AVERAGE(C5:C204)</f>
        <v>1.53331250360096</v>
      </c>
      <c r="I8" s="24" t="n">
        <f aca="false">AVERAGE(E5:E204)</f>
        <v>0.950205983073889</v>
      </c>
    </row>
    <row r="9" customFormat="false" ht="15" hidden="false" customHeight="false" outlineLevel="0" collapsed="false">
      <c r="A9" s="32" t="n">
        <v>913004</v>
      </c>
      <c r="B9" s="29" t="n">
        <v>0.04798</v>
      </c>
      <c r="C9" s="21" t="n">
        <v>1.18725504041854</v>
      </c>
      <c r="D9" s="29" t="n">
        <v>0.04642</v>
      </c>
      <c r="E9" s="21" t="n">
        <v>0.685021922002012</v>
      </c>
    </row>
    <row r="10" customFormat="false" ht="15" hidden="false" customHeight="false" outlineLevel="0" collapsed="false">
      <c r="A10" s="32" t="n">
        <v>913005</v>
      </c>
      <c r="B10" s="29" t="n">
        <v>0.05049</v>
      </c>
      <c r="C10" s="21" t="n">
        <v>1.68178532514987</v>
      </c>
      <c r="D10" s="29" t="n">
        <v>0.04737</v>
      </c>
      <c r="E10" s="21" t="n">
        <v>1.1058872110821</v>
      </c>
      <c r="G10" s="11" t="s">
        <v>310</v>
      </c>
    </row>
    <row r="11" customFormat="false" ht="15" hidden="false" customHeight="false" outlineLevel="0" collapsed="false">
      <c r="A11" s="32" t="n">
        <v>913006</v>
      </c>
      <c r="B11" s="29" t="n">
        <v>0.05255</v>
      </c>
      <c r="C11" s="21" t="n">
        <v>2.05437092418729</v>
      </c>
      <c r="D11" s="29" t="n">
        <v>0.04975</v>
      </c>
      <c r="E11" s="21" t="n">
        <v>1.55543375419683</v>
      </c>
    </row>
    <row r="12" customFormat="false" ht="15" hidden="false" customHeight="false" outlineLevel="0" collapsed="false">
      <c r="A12" s="32" t="n">
        <v>913007</v>
      </c>
      <c r="B12" s="29" t="n">
        <v>0.05102</v>
      </c>
      <c r="C12" s="21" t="n">
        <v>1.59666607010271</v>
      </c>
      <c r="D12" s="29" t="n">
        <v>0.04581</v>
      </c>
      <c r="E12" s="21" t="n">
        <v>0.819777344189419</v>
      </c>
    </row>
    <row r="13" customFormat="false" ht="15" hidden="false" customHeight="false" outlineLevel="0" collapsed="false">
      <c r="A13" s="32" t="n">
        <v>913008</v>
      </c>
      <c r="B13" s="29" t="n">
        <v>0.05158</v>
      </c>
      <c r="C13" s="21" t="n">
        <v>1.90828942448173</v>
      </c>
      <c r="D13" s="29" t="n">
        <v>0.04879</v>
      </c>
      <c r="E13" s="21" t="n">
        <v>1.3791642922895</v>
      </c>
    </row>
    <row r="14" customFormat="false" ht="15" hidden="false" customHeight="false" outlineLevel="0" collapsed="false">
      <c r="A14" s="32" t="n">
        <v>913009</v>
      </c>
      <c r="B14" s="29" t="n">
        <v>0.05082</v>
      </c>
      <c r="C14" s="21" t="n">
        <v>1.7329515760608</v>
      </c>
      <c r="D14" s="29" t="n">
        <v>0.04852</v>
      </c>
      <c r="E14" s="21" t="n">
        <v>1.25121023272636</v>
      </c>
    </row>
    <row r="15" customFormat="false" ht="15" hidden="false" customHeight="false" outlineLevel="0" collapsed="false">
      <c r="A15" s="32" t="n">
        <v>913010</v>
      </c>
      <c r="B15" s="29" t="n">
        <v>0.05017</v>
      </c>
      <c r="C15" s="21" t="n">
        <v>1.62023251923704</v>
      </c>
      <c r="D15" s="29" t="n">
        <v>0.04678</v>
      </c>
      <c r="E15" s="21" t="n">
        <v>0.998870808619019</v>
      </c>
    </row>
    <row r="16" customFormat="false" ht="15" hidden="false" customHeight="false" outlineLevel="0" collapsed="false">
      <c r="A16" s="32" t="n">
        <v>913011</v>
      </c>
      <c r="B16" s="29" t="n">
        <v>0.04921</v>
      </c>
      <c r="C16" s="21" t="n">
        <v>1.31849992647902</v>
      </c>
      <c r="D16" s="29" t="n">
        <v>0.04607</v>
      </c>
      <c r="E16" s="21" t="n">
        <v>0.722281213323319</v>
      </c>
    </row>
    <row r="17" customFormat="false" ht="15" hidden="false" customHeight="false" outlineLevel="0" collapsed="false">
      <c r="A17" s="32" t="n">
        <v>913012</v>
      </c>
      <c r="B17" s="29" t="n">
        <v>0.05031</v>
      </c>
      <c r="C17" s="21" t="n">
        <v>1.62388065371837</v>
      </c>
      <c r="D17" s="29" t="n">
        <v>0.04746</v>
      </c>
      <c r="E17" s="21" t="n">
        <v>1.04949649625133</v>
      </c>
    </row>
    <row r="18" customFormat="false" ht="15" hidden="false" customHeight="false" outlineLevel="0" collapsed="false">
      <c r="A18" s="32" t="n">
        <v>913013</v>
      </c>
      <c r="B18" s="29" t="n">
        <v>0.04855</v>
      </c>
      <c r="C18" s="21" t="n">
        <v>1.22842039370386</v>
      </c>
      <c r="D18" s="29" t="n">
        <v>0.04774</v>
      </c>
      <c r="E18" s="21" t="n">
        <v>0.816381642532393</v>
      </c>
    </row>
    <row r="19" customFormat="false" ht="15" hidden="false" customHeight="false" outlineLevel="0" collapsed="false">
      <c r="A19" s="32" t="n">
        <v>913014</v>
      </c>
      <c r="B19" s="29" t="n">
        <v>0.0476</v>
      </c>
      <c r="C19" s="21" t="n">
        <v>1.02233719841395</v>
      </c>
      <c r="D19" s="29" t="n">
        <v>0.04706</v>
      </c>
      <c r="E19" s="21" t="n">
        <v>0.520547802193734</v>
      </c>
    </row>
    <row r="20" customFormat="false" ht="15" hidden="false" customHeight="false" outlineLevel="0" collapsed="false">
      <c r="A20" s="32" t="n">
        <v>913015</v>
      </c>
      <c r="B20" s="29" t="n">
        <v>0.05091</v>
      </c>
      <c r="C20" s="21" t="n">
        <v>1.72193562647511</v>
      </c>
      <c r="D20" s="29" t="n">
        <v>0.04761</v>
      </c>
      <c r="E20" s="21" t="n">
        <v>1.12871666255607</v>
      </c>
    </row>
    <row r="21" customFormat="false" ht="15" hidden="false" customHeight="false" outlineLevel="0" collapsed="false">
      <c r="A21" s="32" t="n">
        <v>913016</v>
      </c>
      <c r="B21" s="29" t="n">
        <v>0.05006</v>
      </c>
      <c r="C21" s="21" t="n">
        <v>1.61191714322547</v>
      </c>
      <c r="D21" s="29" t="n">
        <v>0.04776</v>
      </c>
      <c r="E21" s="21" t="n">
        <v>1.09410045495912</v>
      </c>
    </row>
    <row r="22" customFormat="false" ht="15" hidden="false" customHeight="false" outlineLevel="0" collapsed="false">
      <c r="A22" s="32" t="n">
        <v>913017</v>
      </c>
      <c r="B22" s="29" t="n">
        <v>0.05031</v>
      </c>
      <c r="C22" s="21" t="n">
        <v>1.53236784581775</v>
      </c>
      <c r="D22" s="29" t="n">
        <v>0.04838</v>
      </c>
      <c r="E22" s="21" t="n">
        <v>0.879396371840519</v>
      </c>
    </row>
    <row r="23" customFormat="false" ht="15" hidden="false" customHeight="false" outlineLevel="0" collapsed="false">
      <c r="A23" s="32" t="n">
        <v>913018</v>
      </c>
      <c r="B23" s="29" t="n">
        <v>0.04945</v>
      </c>
      <c r="C23" s="21" t="n">
        <v>1.4553046451458</v>
      </c>
      <c r="D23" s="29" t="n">
        <v>0.04724</v>
      </c>
      <c r="E23" s="21" t="n">
        <v>0.798738997340598</v>
      </c>
    </row>
    <row r="24" customFormat="false" ht="15" hidden="false" customHeight="false" outlineLevel="0" collapsed="false">
      <c r="A24" s="32" t="n">
        <v>913019</v>
      </c>
      <c r="B24" s="29" t="n">
        <v>0.04964</v>
      </c>
      <c r="C24" s="21" t="n">
        <v>1.52644731385948</v>
      </c>
      <c r="D24" s="29" t="n">
        <v>0.04682</v>
      </c>
      <c r="E24" s="21" t="n">
        <v>0.810093209307249</v>
      </c>
    </row>
    <row r="25" customFormat="false" ht="15" hidden="false" customHeight="false" outlineLevel="0" collapsed="false">
      <c r="A25" s="32" t="n">
        <v>913020</v>
      </c>
      <c r="B25" s="29" t="n">
        <v>0.04997</v>
      </c>
      <c r="C25" s="21" t="n">
        <v>1.53889801923995</v>
      </c>
      <c r="D25" s="29" t="n">
        <v>0.04706</v>
      </c>
      <c r="E25" s="21" t="n">
        <v>0.846057588202486</v>
      </c>
    </row>
    <row r="26" customFormat="false" ht="15" hidden="false" customHeight="false" outlineLevel="0" collapsed="false">
      <c r="A26" s="32" t="n">
        <v>913021</v>
      </c>
      <c r="B26" s="29" t="n">
        <v>0.05034</v>
      </c>
      <c r="C26" s="21" t="n">
        <v>1.6378602055245</v>
      </c>
      <c r="D26" s="29" t="n">
        <v>0.04675</v>
      </c>
      <c r="E26" s="21" t="n">
        <v>0.975473719294486</v>
      </c>
    </row>
    <row r="27" customFormat="false" ht="15" hidden="false" customHeight="false" outlineLevel="0" collapsed="false">
      <c r="A27" s="32" t="n">
        <v>913022</v>
      </c>
      <c r="B27" s="29" t="n">
        <v>0.05181</v>
      </c>
      <c r="C27" s="21" t="n">
        <v>1.83011909549961</v>
      </c>
      <c r="D27" s="29" t="n">
        <v>0.04804</v>
      </c>
      <c r="E27" s="21" t="n">
        <v>1.11739620745056</v>
      </c>
    </row>
    <row r="28" customFormat="false" ht="15" hidden="false" customHeight="false" outlineLevel="0" collapsed="false">
      <c r="A28" s="32" t="n">
        <v>913023</v>
      </c>
      <c r="B28" s="29" t="n">
        <v>0.04993</v>
      </c>
      <c r="C28" s="21" t="n">
        <v>1.49958741309151</v>
      </c>
      <c r="D28" s="29" t="n">
        <v>0.04903</v>
      </c>
      <c r="E28" s="21" t="n">
        <v>0.921963765409009</v>
      </c>
    </row>
    <row r="29" customFormat="false" ht="15" hidden="false" customHeight="false" outlineLevel="0" collapsed="false">
      <c r="A29" s="32" t="n">
        <v>913024</v>
      </c>
      <c r="B29" s="29" t="n">
        <v>0.04888</v>
      </c>
      <c r="C29" s="21" t="n">
        <v>1.39090677823409</v>
      </c>
      <c r="D29" s="29" t="n">
        <v>0.04671</v>
      </c>
      <c r="E29" s="21" t="n">
        <v>0.798987108872067</v>
      </c>
    </row>
    <row r="30" customFormat="false" ht="15" hidden="false" customHeight="false" outlineLevel="0" collapsed="false">
      <c r="A30" s="32" t="n">
        <v>913025</v>
      </c>
      <c r="B30" s="29" t="n">
        <v>0.05037</v>
      </c>
      <c r="C30" s="21" t="n">
        <v>1.28379527533643</v>
      </c>
      <c r="D30" s="29" t="n">
        <v>0.04775</v>
      </c>
      <c r="E30" s="21" t="n">
        <v>0.795545672675255</v>
      </c>
    </row>
    <row r="31" customFormat="false" ht="15" hidden="false" customHeight="false" outlineLevel="0" collapsed="false">
      <c r="A31" s="32" t="n">
        <v>913026</v>
      </c>
      <c r="B31" s="29" t="n">
        <v>0.04897</v>
      </c>
      <c r="C31" s="21" t="n">
        <v>1.3341048042426</v>
      </c>
      <c r="D31" s="29" t="n">
        <v>0.04724</v>
      </c>
      <c r="E31" s="21" t="n">
        <v>0.667284293731031</v>
      </c>
    </row>
    <row r="32" customFormat="false" ht="15" hidden="false" customHeight="false" outlineLevel="0" collapsed="false">
      <c r="A32" s="32" t="n">
        <v>913027</v>
      </c>
      <c r="B32" s="29" t="n">
        <v>0.05257</v>
      </c>
      <c r="C32" s="21" t="n">
        <v>1.746717835828</v>
      </c>
      <c r="D32" s="29" t="n">
        <v>0.04719</v>
      </c>
      <c r="E32" s="21" t="n">
        <v>0.959994194785873</v>
      </c>
    </row>
    <row r="33" customFormat="false" ht="15" hidden="false" customHeight="false" outlineLevel="0" collapsed="false">
      <c r="A33" s="32" t="n">
        <v>913028</v>
      </c>
      <c r="B33" s="29" t="n">
        <v>0.04806</v>
      </c>
      <c r="C33" s="21" t="n">
        <v>1.14584715398532</v>
      </c>
      <c r="D33" s="29" t="n">
        <v>0.04759</v>
      </c>
      <c r="E33" s="21" t="n">
        <v>0.673384966996103</v>
      </c>
    </row>
    <row r="34" customFormat="false" ht="15" hidden="false" customHeight="false" outlineLevel="0" collapsed="false">
      <c r="A34" s="32" t="n">
        <v>913029</v>
      </c>
      <c r="B34" s="29" t="n">
        <v>0.05268</v>
      </c>
      <c r="C34" s="21" t="n">
        <v>2.03409705857671</v>
      </c>
      <c r="D34" s="29" t="n">
        <v>0.04978</v>
      </c>
      <c r="E34" s="21" t="n">
        <v>1.53954304203384</v>
      </c>
    </row>
    <row r="35" customFormat="false" ht="15" hidden="false" customHeight="false" outlineLevel="0" collapsed="false">
      <c r="A35" s="32" t="n">
        <v>913030</v>
      </c>
      <c r="B35" s="29" t="n">
        <v>0.04965</v>
      </c>
      <c r="C35" s="21" t="n">
        <v>1.49731583603489</v>
      </c>
      <c r="D35" s="29" t="n">
        <v>0.04692</v>
      </c>
      <c r="E35" s="21" t="n">
        <v>0.916994080994082</v>
      </c>
    </row>
    <row r="36" customFormat="false" ht="15" hidden="false" customHeight="false" outlineLevel="0" collapsed="false">
      <c r="A36" s="32" t="n">
        <v>913031</v>
      </c>
      <c r="B36" s="29" t="n">
        <v>0.05101</v>
      </c>
      <c r="C36" s="21" t="n">
        <v>1.71580520421483</v>
      </c>
      <c r="D36" s="29" t="n">
        <v>0.04733</v>
      </c>
      <c r="E36" s="21" t="n">
        <v>1.02619560928804</v>
      </c>
    </row>
    <row r="37" customFormat="false" ht="15" hidden="false" customHeight="false" outlineLevel="0" collapsed="false">
      <c r="A37" s="32" t="n">
        <v>913032</v>
      </c>
      <c r="B37" s="29" t="n">
        <v>0.05223</v>
      </c>
      <c r="C37" s="21" t="n">
        <v>1.6434069462562</v>
      </c>
      <c r="D37" s="29" t="n">
        <v>0.04817</v>
      </c>
      <c r="E37" s="21" t="n">
        <v>1.12557997228864</v>
      </c>
    </row>
    <row r="38" customFormat="false" ht="15" hidden="false" customHeight="false" outlineLevel="0" collapsed="false">
      <c r="A38" s="32" t="n">
        <v>913033</v>
      </c>
      <c r="B38" s="29" t="n">
        <v>0.05082</v>
      </c>
      <c r="C38" s="21" t="n">
        <v>1.6636189809112</v>
      </c>
      <c r="D38" s="29" t="n">
        <v>0.04696</v>
      </c>
      <c r="E38" s="21" t="n">
        <v>0.95318748015748</v>
      </c>
    </row>
    <row r="39" customFormat="false" ht="15" hidden="false" customHeight="false" outlineLevel="0" collapsed="false">
      <c r="A39" s="32" t="n">
        <v>913034</v>
      </c>
      <c r="B39" s="29" t="n">
        <v>0.05036</v>
      </c>
      <c r="C39" s="21" t="n">
        <v>1.61630849000581</v>
      </c>
      <c r="D39" s="29" t="n">
        <v>0.04755</v>
      </c>
      <c r="E39" s="21" t="n">
        <v>1.0422354816087</v>
      </c>
    </row>
    <row r="40" customFormat="false" ht="15" hidden="false" customHeight="false" outlineLevel="0" collapsed="false">
      <c r="A40" s="32" t="n">
        <v>913035</v>
      </c>
      <c r="B40" s="29" t="n">
        <v>0.05079</v>
      </c>
      <c r="C40" s="21" t="n">
        <v>1.49447553781436</v>
      </c>
      <c r="D40" s="29" t="n">
        <v>0.04789</v>
      </c>
      <c r="E40" s="21" t="n">
        <v>0.854384395318737</v>
      </c>
    </row>
    <row r="41" customFormat="false" ht="15" hidden="false" customHeight="false" outlineLevel="0" collapsed="false">
      <c r="A41" s="32" t="n">
        <v>913036</v>
      </c>
      <c r="B41" s="29" t="n">
        <v>0.051</v>
      </c>
      <c r="C41" s="21" t="n">
        <v>1.7944247904352</v>
      </c>
      <c r="D41" s="29" t="n">
        <v>0.04821</v>
      </c>
      <c r="E41" s="21" t="n">
        <v>1.26301579612698</v>
      </c>
    </row>
    <row r="42" customFormat="false" ht="15" hidden="false" customHeight="false" outlineLevel="0" collapsed="false">
      <c r="A42" s="32" t="n">
        <v>913037</v>
      </c>
      <c r="B42" s="29" t="n">
        <v>0.05072</v>
      </c>
      <c r="C42" s="21" t="n">
        <v>1.71182640388288</v>
      </c>
      <c r="D42" s="29" t="n">
        <v>0.04829</v>
      </c>
      <c r="E42" s="21" t="n">
        <v>1.14984270117751</v>
      </c>
    </row>
    <row r="43" customFormat="false" ht="15" hidden="false" customHeight="false" outlineLevel="0" collapsed="false">
      <c r="A43" s="32" t="n">
        <v>913038</v>
      </c>
      <c r="B43" s="29" t="n">
        <v>0.04857</v>
      </c>
      <c r="C43" s="21" t="n">
        <v>1.35316367555924</v>
      </c>
      <c r="D43" s="29" t="n">
        <v>0.04773</v>
      </c>
      <c r="E43" s="21" t="n">
        <v>0.800651306691295</v>
      </c>
    </row>
    <row r="44" customFormat="false" ht="15" hidden="false" customHeight="false" outlineLevel="0" collapsed="false">
      <c r="A44" s="32" t="n">
        <v>913039</v>
      </c>
      <c r="B44" s="29" t="n">
        <v>0.05166</v>
      </c>
      <c r="C44" s="21" t="n">
        <v>1.9048676891893</v>
      </c>
      <c r="D44" s="29" t="n">
        <v>0.04934</v>
      </c>
      <c r="E44" s="21" t="n">
        <v>1.42197228551359</v>
      </c>
    </row>
    <row r="45" customFormat="false" ht="15" hidden="false" customHeight="false" outlineLevel="0" collapsed="false">
      <c r="A45" s="32" t="n">
        <v>913040</v>
      </c>
      <c r="B45" s="29" t="n">
        <v>0.05037</v>
      </c>
      <c r="C45" s="21" t="n">
        <v>1.61927043714009</v>
      </c>
      <c r="D45" s="29" t="n">
        <v>0.04679</v>
      </c>
      <c r="E45" s="21" t="n">
        <v>0.991794993340712</v>
      </c>
    </row>
    <row r="46" customFormat="false" ht="15" hidden="false" customHeight="false" outlineLevel="0" collapsed="false">
      <c r="A46" s="32" t="n">
        <v>913041</v>
      </c>
      <c r="B46" s="29" t="n">
        <v>0.05467</v>
      </c>
      <c r="C46" s="21" t="n">
        <v>2.00120092565235</v>
      </c>
      <c r="D46" s="29" t="n">
        <v>0.05062</v>
      </c>
      <c r="E46" s="21" t="n">
        <v>1.22757799703521</v>
      </c>
    </row>
    <row r="47" customFormat="false" ht="15" hidden="false" customHeight="false" outlineLevel="0" collapsed="false">
      <c r="A47" s="32" t="n">
        <v>913042</v>
      </c>
      <c r="B47" s="29" t="n">
        <v>0.04897</v>
      </c>
      <c r="C47" s="21" t="n">
        <v>1.35970087612951</v>
      </c>
      <c r="D47" s="29" t="n">
        <v>0.04747</v>
      </c>
      <c r="E47" s="21" t="n">
        <v>0.696974497788878</v>
      </c>
    </row>
    <row r="48" customFormat="false" ht="15" hidden="false" customHeight="false" outlineLevel="0" collapsed="false">
      <c r="A48" s="32" t="n">
        <v>913043</v>
      </c>
      <c r="B48" s="29" t="n">
        <v>0.05044</v>
      </c>
      <c r="C48" s="21" t="n">
        <v>1.66982034492357</v>
      </c>
      <c r="D48" s="29" t="n">
        <v>0.04753</v>
      </c>
      <c r="E48" s="21" t="n">
        <v>1.10185812290182</v>
      </c>
    </row>
    <row r="49" customFormat="false" ht="15" hidden="false" customHeight="false" outlineLevel="0" collapsed="false">
      <c r="A49" s="32" t="n">
        <v>913044</v>
      </c>
      <c r="B49" s="29" t="n">
        <v>0.05059</v>
      </c>
      <c r="C49" s="21" t="n">
        <v>1.48170039760419</v>
      </c>
      <c r="D49" s="29" t="n">
        <v>0.0474</v>
      </c>
      <c r="E49" s="21" t="n">
        <v>0.831183238210217</v>
      </c>
    </row>
    <row r="50" customFormat="false" ht="15" hidden="false" customHeight="false" outlineLevel="0" collapsed="false">
      <c r="A50" s="32" t="n">
        <v>913045</v>
      </c>
      <c r="B50" s="29" t="n">
        <v>0.05017</v>
      </c>
      <c r="C50" s="21" t="n">
        <v>1.54313516310162</v>
      </c>
      <c r="D50" s="29" t="n">
        <v>0.04604</v>
      </c>
      <c r="E50" s="21" t="n">
        <v>0.775198190358923</v>
      </c>
    </row>
    <row r="51" customFormat="false" ht="15" hidden="false" customHeight="false" outlineLevel="0" collapsed="false">
      <c r="A51" s="32" t="n">
        <v>913046</v>
      </c>
      <c r="B51" s="29" t="n">
        <v>0.04963</v>
      </c>
      <c r="C51" s="21" t="n">
        <v>1.50160568266286</v>
      </c>
      <c r="D51" s="29" t="n">
        <v>0.04647</v>
      </c>
      <c r="E51" s="21" t="n">
        <v>0.885588564222987</v>
      </c>
    </row>
    <row r="52" customFormat="false" ht="15" hidden="false" customHeight="false" outlineLevel="0" collapsed="false">
      <c r="A52" s="32" t="n">
        <v>913047</v>
      </c>
      <c r="B52" s="29" t="n">
        <v>0.05218</v>
      </c>
      <c r="C52" s="21" t="n">
        <v>1.58171426687037</v>
      </c>
      <c r="D52" s="29" t="n">
        <v>0.0466</v>
      </c>
      <c r="E52" s="21" t="n">
        <v>0.940029042022827</v>
      </c>
    </row>
    <row r="53" customFormat="false" ht="15" hidden="false" customHeight="false" outlineLevel="0" collapsed="false">
      <c r="A53" s="32" t="n">
        <v>913048</v>
      </c>
      <c r="B53" s="29" t="n">
        <v>0.05267</v>
      </c>
      <c r="C53" s="21" t="n">
        <v>1.81974813183547</v>
      </c>
      <c r="D53" s="29" t="n">
        <v>0.04861</v>
      </c>
      <c r="E53" s="21" t="n">
        <v>1.05433659282803</v>
      </c>
    </row>
    <row r="54" customFormat="false" ht="15" hidden="false" customHeight="false" outlineLevel="0" collapsed="false">
      <c r="A54" s="32" t="n">
        <v>913049</v>
      </c>
      <c r="B54" s="29" t="n">
        <v>0.04876</v>
      </c>
      <c r="C54" s="21" t="n">
        <v>1.36364233916381</v>
      </c>
      <c r="D54" s="29" t="n">
        <v>0.04594</v>
      </c>
      <c r="E54" s="21" t="n">
        <v>0.699050544433854</v>
      </c>
    </row>
    <row r="55" customFormat="false" ht="15" hidden="false" customHeight="false" outlineLevel="0" collapsed="false">
      <c r="A55" s="32" t="n">
        <v>913050</v>
      </c>
      <c r="B55" s="29" t="n">
        <v>0.04973</v>
      </c>
      <c r="C55" s="21" t="n">
        <v>1.52914554465682</v>
      </c>
      <c r="D55" s="29" t="n">
        <v>0.0466</v>
      </c>
      <c r="E55" s="21" t="n">
        <v>0.899107191928151</v>
      </c>
    </row>
    <row r="56" customFormat="false" ht="15" hidden="false" customHeight="false" outlineLevel="0" collapsed="false">
      <c r="A56" s="32" t="n">
        <v>913051</v>
      </c>
      <c r="B56" s="29" t="n">
        <v>0.04887</v>
      </c>
      <c r="C56" s="21" t="n">
        <v>1.32307021137698</v>
      </c>
      <c r="D56" s="29" t="n">
        <v>0.04735</v>
      </c>
      <c r="E56" s="21" t="n">
        <v>0.679771909147473</v>
      </c>
    </row>
    <row r="57" customFormat="false" ht="15" hidden="false" customHeight="false" outlineLevel="0" collapsed="false">
      <c r="A57" s="32" t="n">
        <v>913052</v>
      </c>
      <c r="B57" s="29" t="n">
        <v>0.0567</v>
      </c>
      <c r="C57" s="21" t="n">
        <v>1.98641400717691</v>
      </c>
      <c r="D57" s="29" t="n">
        <v>0.05119</v>
      </c>
      <c r="E57" s="21" t="n">
        <v>1.19635580884616</v>
      </c>
    </row>
    <row r="58" customFormat="false" ht="15" hidden="false" customHeight="false" outlineLevel="0" collapsed="false">
      <c r="A58" s="32" t="n">
        <v>913053</v>
      </c>
      <c r="B58" s="29" t="n">
        <v>0.04977</v>
      </c>
      <c r="C58" s="21" t="n">
        <v>1.51644049528792</v>
      </c>
      <c r="D58" s="29" t="n">
        <v>0.04661</v>
      </c>
      <c r="E58" s="21" t="n">
        <v>0.933434438483035</v>
      </c>
    </row>
    <row r="59" customFormat="false" ht="15" hidden="false" customHeight="false" outlineLevel="0" collapsed="false">
      <c r="A59" s="32" t="n">
        <v>913054</v>
      </c>
      <c r="B59" s="29" t="n">
        <v>0.04913</v>
      </c>
      <c r="C59" s="21" t="n">
        <v>1.38897961072683</v>
      </c>
      <c r="D59" s="29" t="n">
        <v>0.04576</v>
      </c>
      <c r="E59" s="21" t="n">
        <v>0.760729769335162</v>
      </c>
    </row>
    <row r="60" customFormat="false" ht="15" hidden="false" customHeight="false" outlineLevel="0" collapsed="false">
      <c r="A60" s="32" t="n">
        <v>913055</v>
      </c>
      <c r="B60" s="29" t="n">
        <v>0.05049</v>
      </c>
      <c r="C60" s="21" t="n">
        <v>1.67512605400612</v>
      </c>
      <c r="D60" s="29" t="n">
        <v>0.04737</v>
      </c>
      <c r="E60" s="21" t="n">
        <v>1.0989416671955</v>
      </c>
    </row>
    <row r="61" customFormat="false" ht="15" hidden="false" customHeight="false" outlineLevel="0" collapsed="false">
      <c r="A61" s="32" t="n">
        <v>913056</v>
      </c>
      <c r="B61" s="29" t="n">
        <v>0.04898</v>
      </c>
      <c r="C61" s="21" t="n">
        <v>1.36993716085753</v>
      </c>
      <c r="D61" s="29" t="n">
        <v>0.04804</v>
      </c>
      <c r="E61" s="21" t="n">
        <v>0.760020165752282</v>
      </c>
    </row>
    <row r="62" customFormat="false" ht="15" hidden="false" customHeight="false" outlineLevel="0" collapsed="false">
      <c r="A62" s="32" t="n">
        <v>913057</v>
      </c>
      <c r="B62" s="29" t="n">
        <v>0.04942</v>
      </c>
      <c r="C62" s="21" t="n">
        <v>1.32850215575216</v>
      </c>
      <c r="D62" s="29" t="n">
        <v>0.04735</v>
      </c>
      <c r="E62" s="21" t="n">
        <v>0.890969471420871</v>
      </c>
    </row>
    <row r="63" customFormat="false" ht="15" hidden="false" customHeight="false" outlineLevel="0" collapsed="false">
      <c r="A63" s="32" t="n">
        <v>913058</v>
      </c>
      <c r="B63" s="29" t="n">
        <v>0.04831</v>
      </c>
      <c r="C63" s="21" t="n">
        <v>1.17608534431987</v>
      </c>
      <c r="D63" s="29" t="n">
        <v>0.04708</v>
      </c>
      <c r="E63" s="21" t="n">
        <v>0.655756416256498</v>
      </c>
    </row>
    <row r="64" customFormat="false" ht="15" hidden="false" customHeight="false" outlineLevel="0" collapsed="false">
      <c r="A64" s="32" t="n">
        <v>913059</v>
      </c>
      <c r="B64" s="29" t="n">
        <v>0.05005</v>
      </c>
      <c r="C64" s="21" t="n">
        <v>1.54733418996656</v>
      </c>
      <c r="D64" s="29" t="n">
        <v>0.04717</v>
      </c>
      <c r="E64" s="21" t="n">
        <v>0.860539262813417</v>
      </c>
    </row>
    <row r="65" customFormat="false" ht="15" hidden="false" customHeight="false" outlineLevel="0" collapsed="false">
      <c r="A65" s="32" t="n">
        <v>913060</v>
      </c>
      <c r="B65" s="29" t="n">
        <v>0.0496</v>
      </c>
      <c r="C65" s="21" t="n">
        <v>1.42845786592216</v>
      </c>
      <c r="D65" s="29" t="n">
        <v>0.0475</v>
      </c>
      <c r="E65" s="21" t="n">
        <v>0.76777727659139</v>
      </c>
    </row>
    <row r="66" customFormat="false" ht="15" hidden="false" customHeight="false" outlineLevel="0" collapsed="false">
      <c r="A66" s="32" t="n">
        <v>913061</v>
      </c>
      <c r="B66" s="29" t="n">
        <v>0.04776</v>
      </c>
      <c r="C66" s="21" t="n">
        <v>1.15668931193479</v>
      </c>
      <c r="D66" s="29" t="n">
        <v>0.04779</v>
      </c>
      <c r="E66" s="21" t="n">
        <v>0.701906664504664</v>
      </c>
    </row>
    <row r="67" customFormat="false" ht="15" hidden="false" customHeight="false" outlineLevel="0" collapsed="false">
      <c r="A67" s="32" t="n">
        <v>913062</v>
      </c>
      <c r="B67" s="29" t="n">
        <v>0.05335</v>
      </c>
      <c r="C67" s="21" t="n">
        <v>1.93661962080683</v>
      </c>
      <c r="D67" s="29" t="n">
        <v>0.04944</v>
      </c>
      <c r="E67" s="21" t="n">
        <v>1.19012674812428</v>
      </c>
    </row>
    <row r="68" customFormat="false" ht="15" hidden="false" customHeight="false" outlineLevel="0" collapsed="false">
      <c r="A68" s="32" t="n">
        <v>913063</v>
      </c>
      <c r="B68" s="29" t="n">
        <v>0.05091</v>
      </c>
      <c r="C68" s="21" t="n">
        <v>1.71683088929818</v>
      </c>
      <c r="D68" s="29" t="n">
        <v>0.04837</v>
      </c>
      <c r="E68" s="21" t="n">
        <v>1.23641804198812</v>
      </c>
    </row>
    <row r="69" customFormat="false" ht="15" hidden="false" customHeight="false" outlineLevel="0" collapsed="false">
      <c r="A69" s="32" t="n">
        <v>913064</v>
      </c>
      <c r="B69" s="29" t="n">
        <v>0.04791</v>
      </c>
      <c r="C69" s="21" t="n">
        <v>1.17403128447637</v>
      </c>
      <c r="D69" s="29" t="n">
        <v>0.04733</v>
      </c>
      <c r="E69" s="21" t="n">
        <v>0.61111264865267</v>
      </c>
    </row>
    <row r="70" customFormat="false" ht="15" hidden="false" customHeight="false" outlineLevel="0" collapsed="false">
      <c r="A70" s="32" t="n">
        <v>913065</v>
      </c>
      <c r="B70" s="29" t="n">
        <v>0.0491</v>
      </c>
      <c r="C70" s="21" t="n">
        <v>1.43475939454538</v>
      </c>
      <c r="D70" s="29" t="n">
        <v>0.04757</v>
      </c>
      <c r="E70" s="21" t="n">
        <v>0.734441487290711</v>
      </c>
    </row>
    <row r="71" customFormat="false" ht="15" hidden="false" customHeight="false" outlineLevel="0" collapsed="false">
      <c r="A71" s="32" t="n">
        <v>913066</v>
      </c>
      <c r="B71" s="29" t="n">
        <v>0.04854</v>
      </c>
      <c r="C71" s="21" t="n">
        <v>1.26617957341154</v>
      </c>
      <c r="D71" s="29" t="n">
        <v>0.04733</v>
      </c>
      <c r="E71" s="21" t="n">
        <v>0.708403606761847</v>
      </c>
    </row>
    <row r="72" customFormat="false" ht="15" hidden="false" customHeight="false" outlineLevel="0" collapsed="false">
      <c r="A72" s="32" t="n">
        <v>913067</v>
      </c>
      <c r="B72" s="29" t="n">
        <v>0.04992</v>
      </c>
      <c r="C72" s="21" t="n">
        <v>1.54937503876748</v>
      </c>
      <c r="D72" s="29" t="n">
        <v>0.04711</v>
      </c>
      <c r="E72" s="21" t="n">
        <v>0.916719172827905</v>
      </c>
    </row>
    <row r="73" customFormat="false" ht="15" hidden="false" customHeight="false" outlineLevel="0" collapsed="false">
      <c r="A73" s="32" t="n">
        <v>913068</v>
      </c>
      <c r="B73" s="29" t="n">
        <v>0.0499</v>
      </c>
      <c r="C73" s="21" t="n">
        <v>1.5552001670466</v>
      </c>
      <c r="D73" s="29" t="n">
        <v>0.04692</v>
      </c>
      <c r="E73" s="21" t="n">
        <v>0.868078173541031</v>
      </c>
    </row>
    <row r="74" customFormat="false" ht="15" hidden="false" customHeight="false" outlineLevel="0" collapsed="false">
      <c r="A74" s="32" t="n">
        <v>913069</v>
      </c>
      <c r="B74" s="29" t="n">
        <v>0.05013</v>
      </c>
      <c r="C74" s="21" t="n">
        <v>1.50760031751595</v>
      </c>
      <c r="D74" s="29" t="n">
        <v>0.04759</v>
      </c>
      <c r="E74" s="21" t="n">
        <v>0.860015253547607</v>
      </c>
    </row>
    <row r="75" customFormat="false" ht="15" hidden="false" customHeight="false" outlineLevel="0" collapsed="false">
      <c r="A75" s="32" t="n">
        <v>913070</v>
      </c>
      <c r="B75" s="29" t="n">
        <v>0.04856</v>
      </c>
      <c r="C75" s="21" t="n">
        <v>1.33045167552303</v>
      </c>
      <c r="D75" s="29" t="n">
        <v>0.0456</v>
      </c>
      <c r="E75" s="21" t="n">
        <v>0.711912621242076</v>
      </c>
    </row>
    <row r="76" customFormat="false" ht="15" hidden="false" customHeight="false" outlineLevel="0" collapsed="false">
      <c r="A76" s="32" t="n">
        <v>913071</v>
      </c>
      <c r="B76" s="29" t="n">
        <v>0.04875</v>
      </c>
      <c r="C76" s="21" t="n">
        <v>1.35044213292416</v>
      </c>
      <c r="D76" s="29" t="n">
        <v>0.04638</v>
      </c>
      <c r="E76" s="21" t="n">
        <v>0.706321877191671</v>
      </c>
    </row>
    <row r="77" customFormat="false" ht="15" hidden="false" customHeight="false" outlineLevel="0" collapsed="false">
      <c r="A77" s="32" t="n">
        <v>913072</v>
      </c>
      <c r="B77" s="29" t="n">
        <v>0.04808</v>
      </c>
      <c r="C77" s="21" t="n">
        <v>1.24290891939494</v>
      </c>
      <c r="D77" s="29" t="n">
        <v>0.04709</v>
      </c>
      <c r="E77" s="21" t="n">
        <v>0.612762799608563</v>
      </c>
    </row>
    <row r="78" customFormat="false" ht="15" hidden="false" customHeight="false" outlineLevel="0" collapsed="false">
      <c r="A78" s="32" t="n">
        <v>913073</v>
      </c>
      <c r="B78" s="29" t="n">
        <v>0.05079</v>
      </c>
      <c r="C78" s="21" t="n">
        <v>1.68669951382424</v>
      </c>
      <c r="D78" s="29" t="n">
        <v>0.04786</v>
      </c>
      <c r="E78" s="21" t="n">
        <v>1.14505178789966</v>
      </c>
    </row>
    <row r="79" customFormat="false" ht="15" hidden="false" customHeight="false" outlineLevel="0" collapsed="false">
      <c r="A79" s="32" t="n">
        <v>913074</v>
      </c>
      <c r="B79" s="29" t="n">
        <v>0.0484</v>
      </c>
      <c r="C79" s="21" t="n">
        <v>1.24504699847728</v>
      </c>
      <c r="D79" s="29" t="n">
        <v>0.04741</v>
      </c>
      <c r="E79" s="21" t="n">
        <v>0.745197832457592</v>
      </c>
    </row>
    <row r="80" customFormat="false" ht="15" hidden="false" customHeight="false" outlineLevel="0" collapsed="false">
      <c r="A80" s="32" t="n">
        <v>913075</v>
      </c>
      <c r="B80" s="29" t="n">
        <v>0.05019</v>
      </c>
      <c r="C80" s="21" t="n">
        <v>1.36784439330961</v>
      </c>
      <c r="D80" s="29" t="n">
        <v>0.04778</v>
      </c>
      <c r="E80" s="21" t="n">
        <v>0.94558295035246</v>
      </c>
    </row>
    <row r="81" customFormat="false" ht="15" hidden="false" customHeight="false" outlineLevel="0" collapsed="false">
      <c r="A81" s="32" t="n">
        <v>913076</v>
      </c>
      <c r="B81" s="29" t="n">
        <v>0.05152</v>
      </c>
      <c r="C81" s="21" t="n">
        <v>1.66801064334264</v>
      </c>
      <c r="D81" s="29" t="n">
        <v>0.04819</v>
      </c>
      <c r="E81" s="21" t="n">
        <v>1.10460221367282</v>
      </c>
    </row>
    <row r="82" customFormat="false" ht="15" hidden="false" customHeight="false" outlineLevel="0" collapsed="false">
      <c r="A82" s="32" t="n">
        <v>913077</v>
      </c>
      <c r="B82" s="29" t="n">
        <v>0.04933</v>
      </c>
      <c r="C82" s="21" t="n">
        <v>1.27375307125157</v>
      </c>
      <c r="D82" s="29" t="n">
        <v>0.04694</v>
      </c>
      <c r="E82" s="21" t="n">
        <v>0.788898401949654</v>
      </c>
    </row>
    <row r="83" customFormat="false" ht="15" hidden="false" customHeight="false" outlineLevel="0" collapsed="false">
      <c r="A83" s="32" t="n">
        <v>913078</v>
      </c>
      <c r="B83" s="29" t="n">
        <v>0.04993</v>
      </c>
      <c r="C83" s="21" t="n">
        <v>1.52142501490866</v>
      </c>
      <c r="D83" s="29" t="n">
        <v>0.04665</v>
      </c>
      <c r="E83" s="21" t="n">
        <v>0.935310205195519</v>
      </c>
    </row>
    <row r="84" customFormat="false" ht="15" hidden="false" customHeight="false" outlineLevel="0" collapsed="false">
      <c r="A84" s="32" t="n">
        <v>913079</v>
      </c>
      <c r="B84" s="29" t="n">
        <v>0.05305</v>
      </c>
      <c r="C84" s="21" t="n">
        <v>1.70161204359674</v>
      </c>
      <c r="D84" s="29" t="n">
        <v>0.04682</v>
      </c>
      <c r="E84" s="21" t="n">
        <v>0.977157137747922</v>
      </c>
    </row>
    <row r="85" customFormat="false" ht="15" hidden="false" customHeight="false" outlineLevel="0" collapsed="false">
      <c r="A85" s="32" t="n">
        <v>913080</v>
      </c>
      <c r="B85" s="29" t="n">
        <v>0.0481</v>
      </c>
      <c r="C85" s="21" t="n">
        <v>1.19966128121355</v>
      </c>
      <c r="D85" s="29" t="n">
        <v>0.04724</v>
      </c>
      <c r="E85" s="21" t="n">
        <v>0.629799642042995</v>
      </c>
    </row>
    <row r="86" customFormat="false" ht="15" hidden="false" customHeight="false" outlineLevel="0" collapsed="false">
      <c r="A86" s="32" t="n">
        <v>913081</v>
      </c>
      <c r="B86" s="29" t="n">
        <v>0.05179</v>
      </c>
      <c r="C86" s="21" t="n">
        <v>1.87672638360804</v>
      </c>
      <c r="D86" s="29" t="n">
        <v>0.04837</v>
      </c>
      <c r="E86" s="21" t="n">
        <v>1.27624402257285</v>
      </c>
    </row>
    <row r="87" customFormat="false" ht="15" hidden="false" customHeight="false" outlineLevel="0" collapsed="false">
      <c r="A87" s="32" t="n">
        <v>913082</v>
      </c>
      <c r="B87" s="29" t="n">
        <v>0.04785</v>
      </c>
      <c r="C87" s="21" t="n">
        <v>0.94989075352647</v>
      </c>
      <c r="D87" s="29" t="n">
        <v>0.04743</v>
      </c>
      <c r="E87" s="21" t="n">
        <v>0.631077338000475</v>
      </c>
    </row>
    <row r="88" customFormat="false" ht="15" hidden="false" customHeight="false" outlineLevel="0" collapsed="false">
      <c r="A88" s="32" t="n">
        <v>913083</v>
      </c>
      <c r="B88" s="29" t="n">
        <v>0.04923</v>
      </c>
      <c r="C88" s="21" t="n">
        <v>1.2628262770765</v>
      </c>
      <c r="D88" s="29" t="n">
        <v>0.04745</v>
      </c>
      <c r="E88" s="21" t="n">
        <v>0.698418821552746</v>
      </c>
    </row>
    <row r="89" customFormat="false" ht="15" hidden="false" customHeight="false" outlineLevel="0" collapsed="false">
      <c r="A89" s="32" t="n">
        <v>913084</v>
      </c>
      <c r="B89" s="29" t="n">
        <v>0.05039</v>
      </c>
      <c r="C89" s="21" t="n">
        <v>1.62766389226226</v>
      </c>
      <c r="D89" s="29" t="n">
        <v>0.04681</v>
      </c>
      <c r="E89" s="21" t="n">
        <v>0.925603057995089</v>
      </c>
    </row>
    <row r="90" customFormat="false" ht="15" hidden="false" customHeight="false" outlineLevel="0" collapsed="false">
      <c r="A90" s="32" t="n">
        <v>913085</v>
      </c>
      <c r="B90" s="29" t="n">
        <v>0.04965</v>
      </c>
      <c r="C90" s="21" t="n">
        <v>1.51857450116128</v>
      </c>
      <c r="D90" s="29" t="n">
        <v>0.04662</v>
      </c>
      <c r="E90" s="21" t="n">
        <v>0.938230443557472</v>
      </c>
    </row>
    <row r="91" customFormat="false" ht="15" hidden="false" customHeight="false" outlineLevel="0" collapsed="false">
      <c r="A91" s="32" t="n">
        <v>913086</v>
      </c>
      <c r="B91" s="29" t="n">
        <v>0.04932</v>
      </c>
      <c r="C91" s="21" t="n">
        <v>1.4373364198407</v>
      </c>
      <c r="D91" s="29" t="n">
        <v>0.04665</v>
      </c>
      <c r="E91" s="21" t="n">
        <v>0.729611327465518</v>
      </c>
    </row>
    <row r="92" customFormat="false" ht="15" hidden="false" customHeight="false" outlineLevel="0" collapsed="false">
      <c r="A92" s="32" t="n">
        <v>913087</v>
      </c>
      <c r="B92" s="29" t="n">
        <v>0.0508</v>
      </c>
      <c r="C92" s="21" t="n">
        <v>1.72299838486955</v>
      </c>
      <c r="D92" s="29" t="n">
        <v>0.04773</v>
      </c>
      <c r="E92" s="21" t="n">
        <v>1.15358834311716</v>
      </c>
    </row>
    <row r="93" customFormat="false" ht="15" hidden="false" customHeight="false" outlineLevel="0" collapsed="false">
      <c r="A93" s="32" t="n">
        <v>913088</v>
      </c>
      <c r="B93" s="29" t="n">
        <v>0.05133</v>
      </c>
      <c r="C93" s="21" t="n">
        <v>1.72363326686454</v>
      </c>
      <c r="D93" s="29" t="n">
        <v>0.04677</v>
      </c>
      <c r="E93" s="21" t="n">
        <v>0.952677430359197</v>
      </c>
    </row>
    <row r="94" customFormat="false" ht="15" hidden="false" customHeight="false" outlineLevel="0" collapsed="false">
      <c r="A94" s="32" t="n">
        <v>913089</v>
      </c>
      <c r="B94" s="29" t="n">
        <v>0.0516</v>
      </c>
      <c r="C94" s="21" t="n">
        <v>1.77435942863606</v>
      </c>
      <c r="D94" s="29" t="n">
        <v>0.04766</v>
      </c>
      <c r="E94" s="21" t="n">
        <v>1.06854744985482</v>
      </c>
    </row>
    <row r="95" customFormat="false" ht="15" hidden="false" customHeight="false" outlineLevel="0" collapsed="false">
      <c r="A95" s="32" t="n">
        <v>913090</v>
      </c>
      <c r="B95" s="29" t="n">
        <v>0.05006</v>
      </c>
      <c r="C95" s="21" t="n">
        <v>1.5772518831479</v>
      </c>
      <c r="D95" s="29" t="n">
        <v>0.04715</v>
      </c>
      <c r="E95" s="21" t="n">
        <v>1.04410599172502</v>
      </c>
    </row>
    <row r="96" customFormat="false" ht="15" hidden="false" customHeight="false" outlineLevel="0" collapsed="false">
      <c r="A96" s="32" t="n">
        <v>913091</v>
      </c>
      <c r="B96" s="29" t="n">
        <v>0.04926</v>
      </c>
      <c r="C96" s="21" t="n">
        <v>1.41465030674114</v>
      </c>
      <c r="D96" s="29" t="n">
        <v>0.04605</v>
      </c>
      <c r="E96" s="21" t="n">
        <v>0.730732482610922</v>
      </c>
    </row>
    <row r="97" customFormat="false" ht="15" hidden="false" customHeight="false" outlineLevel="0" collapsed="false">
      <c r="A97" s="32" t="n">
        <v>913092</v>
      </c>
      <c r="B97" s="29" t="n">
        <v>0.05375</v>
      </c>
      <c r="C97" s="21" t="n">
        <v>2.00248570161664</v>
      </c>
      <c r="D97" s="29" t="n">
        <v>0.04944</v>
      </c>
      <c r="E97" s="21" t="n">
        <v>1.33005518105927</v>
      </c>
    </row>
    <row r="98" customFormat="false" ht="15" hidden="false" customHeight="false" outlineLevel="0" collapsed="false">
      <c r="A98" s="32" t="n">
        <v>913093</v>
      </c>
      <c r="B98" s="29" t="n">
        <v>0.05214</v>
      </c>
      <c r="C98" s="21" t="n">
        <v>1.58430597192968</v>
      </c>
      <c r="D98" s="29" t="n">
        <v>0.04846</v>
      </c>
      <c r="E98" s="21" t="n">
        <v>0.945668641427032</v>
      </c>
    </row>
    <row r="99" customFormat="false" ht="15" hidden="false" customHeight="false" outlineLevel="0" collapsed="false">
      <c r="A99" s="32" t="n">
        <v>913094</v>
      </c>
      <c r="B99" s="29" t="n">
        <v>0.05058</v>
      </c>
      <c r="C99" s="21" t="n">
        <v>1.65977907381389</v>
      </c>
      <c r="D99" s="29" t="n">
        <v>0.04801</v>
      </c>
      <c r="E99" s="21" t="n">
        <v>1.15717666299636</v>
      </c>
    </row>
    <row r="100" customFormat="false" ht="15" hidden="false" customHeight="false" outlineLevel="0" collapsed="false">
      <c r="A100" s="32" t="n">
        <v>913095</v>
      </c>
      <c r="B100" s="29" t="n">
        <v>0.05213</v>
      </c>
      <c r="C100" s="21" t="n">
        <v>1.97411977507679</v>
      </c>
      <c r="D100" s="29" t="n">
        <v>0.04937</v>
      </c>
      <c r="E100" s="21" t="n">
        <v>1.46694648246982</v>
      </c>
    </row>
    <row r="101" customFormat="false" ht="15" hidden="false" customHeight="false" outlineLevel="0" collapsed="false">
      <c r="A101" s="32" t="n">
        <v>913096</v>
      </c>
      <c r="B101" s="29" t="n">
        <v>0.05234</v>
      </c>
      <c r="C101" s="21" t="n">
        <v>1.67462417430979</v>
      </c>
      <c r="D101" s="29" t="n">
        <v>0.04824</v>
      </c>
      <c r="E101" s="21" t="n">
        <v>0.970318357886727</v>
      </c>
    </row>
    <row r="102" customFormat="false" ht="15" hidden="false" customHeight="false" outlineLevel="0" collapsed="false">
      <c r="A102" s="32" t="n">
        <v>913097</v>
      </c>
      <c r="B102" s="29" t="n">
        <v>0.05144</v>
      </c>
      <c r="C102" s="21" t="n">
        <v>1.79532570010164</v>
      </c>
      <c r="D102" s="29" t="n">
        <v>0.048</v>
      </c>
      <c r="E102" s="21" t="n">
        <v>1.20741243823046</v>
      </c>
    </row>
    <row r="103" customFormat="false" ht="15" hidden="false" customHeight="false" outlineLevel="0" collapsed="false">
      <c r="A103" s="32" t="n">
        <v>913098</v>
      </c>
      <c r="B103" s="29" t="n">
        <v>0.04865</v>
      </c>
      <c r="C103" s="21" t="n">
        <v>1.27009716255837</v>
      </c>
      <c r="D103" s="29" t="n">
        <v>0.04623</v>
      </c>
      <c r="E103" s="21" t="n">
        <v>0.681118662981316</v>
      </c>
    </row>
    <row r="104" customFormat="false" ht="15" hidden="false" customHeight="false" outlineLevel="0" collapsed="false">
      <c r="A104" s="32" t="n">
        <v>913099</v>
      </c>
      <c r="B104" s="29" t="n">
        <v>0.05429</v>
      </c>
      <c r="C104" s="21" t="n">
        <v>1.90481375073166</v>
      </c>
      <c r="D104" s="29" t="n">
        <v>0.04852</v>
      </c>
      <c r="E104" s="21" t="n">
        <v>1.31560787812789</v>
      </c>
    </row>
    <row r="105" customFormat="false" ht="15" hidden="false" customHeight="false" outlineLevel="0" collapsed="false">
      <c r="A105" s="32" t="n">
        <v>913100</v>
      </c>
      <c r="B105" s="29" t="n">
        <v>0.0485</v>
      </c>
      <c r="C105" s="21" t="n">
        <v>1.30361169078379</v>
      </c>
      <c r="D105" s="29" t="n">
        <v>0.04787</v>
      </c>
      <c r="E105" s="21" t="n">
        <v>0.725327087735888</v>
      </c>
    </row>
    <row r="106" customFormat="false" ht="15" hidden="false" customHeight="false" outlineLevel="0" collapsed="false">
      <c r="A106" s="32" t="n">
        <v>913101</v>
      </c>
      <c r="B106" s="29" t="n">
        <v>0.05188</v>
      </c>
      <c r="C106" s="21" t="n">
        <v>1.9320094049615</v>
      </c>
      <c r="D106" s="29" t="n">
        <v>0.04892</v>
      </c>
      <c r="E106" s="21" t="n">
        <v>1.35561654103488</v>
      </c>
    </row>
    <row r="107" customFormat="false" ht="15" hidden="false" customHeight="false" outlineLevel="0" collapsed="false">
      <c r="A107" s="32" t="n">
        <v>913102</v>
      </c>
      <c r="B107" s="29" t="n">
        <v>0.05099</v>
      </c>
      <c r="C107" s="21" t="n">
        <v>1.68853627122921</v>
      </c>
      <c r="D107" s="29" t="n">
        <v>0.04708</v>
      </c>
      <c r="E107" s="21" t="n">
        <v>1.02856059690446</v>
      </c>
    </row>
    <row r="108" customFormat="false" ht="15" hidden="false" customHeight="false" outlineLevel="0" collapsed="false">
      <c r="A108" s="32" t="n">
        <v>913103</v>
      </c>
      <c r="B108" s="29" t="n">
        <v>0.05202</v>
      </c>
      <c r="C108" s="21" t="n">
        <v>1.76376285485245</v>
      </c>
      <c r="D108" s="29" t="n">
        <v>0.04804</v>
      </c>
      <c r="E108" s="21" t="n">
        <v>1.08269689699959</v>
      </c>
    </row>
    <row r="109" customFormat="false" ht="15" hidden="false" customHeight="false" outlineLevel="0" collapsed="false">
      <c r="A109" s="32" t="n">
        <v>913104</v>
      </c>
      <c r="B109" s="29" t="n">
        <v>0.04892</v>
      </c>
      <c r="C109" s="21" t="n">
        <v>1.34983774340202</v>
      </c>
      <c r="D109" s="29" t="n">
        <v>0.04656</v>
      </c>
      <c r="E109" s="21" t="n">
        <v>0.693165338198266</v>
      </c>
    </row>
    <row r="110" customFormat="false" ht="15" hidden="false" customHeight="false" outlineLevel="0" collapsed="false">
      <c r="A110" s="32" t="n">
        <v>913105</v>
      </c>
      <c r="B110" s="29" t="n">
        <v>0.05163</v>
      </c>
      <c r="C110" s="21" t="n">
        <v>1.80320185203804</v>
      </c>
      <c r="D110" s="29" t="n">
        <v>0.0483</v>
      </c>
      <c r="E110" s="21" t="n">
        <v>1.19150315213173</v>
      </c>
    </row>
    <row r="111" customFormat="false" ht="15" hidden="false" customHeight="false" outlineLevel="0" collapsed="false">
      <c r="A111" s="32" t="n">
        <v>913106</v>
      </c>
      <c r="B111" s="29" t="n">
        <v>0.04881</v>
      </c>
      <c r="C111" s="21" t="n">
        <v>1.29084301150746</v>
      </c>
      <c r="D111" s="29" t="n">
        <v>0.046</v>
      </c>
      <c r="E111" s="21" t="n">
        <v>0.713713822256443</v>
      </c>
    </row>
    <row r="112" customFormat="false" ht="15" hidden="false" customHeight="false" outlineLevel="0" collapsed="false">
      <c r="A112" s="32" t="n">
        <v>913107</v>
      </c>
      <c r="B112" s="29" t="n">
        <v>0.05062</v>
      </c>
      <c r="C112" s="21" t="n">
        <v>1.69643358770499</v>
      </c>
      <c r="D112" s="29" t="n">
        <v>0.04728</v>
      </c>
      <c r="E112" s="21" t="n">
        <v>1.07726713057113</v>
      </c>
    </row>
    <row r="113" customFormat="false" ht="15" hidden="false" customHeight="false" outlineLevel="0" collapsed="false">
      <c r="A113" s="32" t="n">
        <v>913108</v>
      </c>
      <c r="B113" s="29" t="n">
        <v>0.05024</v>
      </c>
      <c r="C113" s="21" t="n">
        <v>1.53756674315077</v>
      </c>
      <c r="D113" s="29" t="n">
        <v>0.04873</v>
      </c>
      <c r="E113" s="21" t="n">
        <v>0.891538020694641</v>
      </c>
    </row>
    <row r="114" customFormat="false" ht="15" hidden="false" customHeight="false" outlineLevel="0" collapsed="false">
      <c r="A114" s="32" t="n">
        <v>913109</v>
      </c>
      <c r="B114" s="29" t="n">
        <v>0.05174</v>
      </c>
      <c r="C114" s="21" t="n">
        <v>1.81971319236528</v>
      </c>
      <c r="D114" s="29" t="n">
        <v>0.04782</v>
      </c>
      <c r="E114" s="21" t="n">
        <v>1.12555054872111</v>
      </c>
    </row>
    <row r="115" customFormat="false" ht="15" hidden="false" customHeight="false" outlineLevel="0" collapsed="false">
      <c r="A115" s="32" t="n">
        <v>913110</v>
      </c>
      <c r="B115" s="29" t="n">
        <v>0.05241</v>
      </c>
      <c r="C115" s="21" t="n">
        <v>1.95964619558</v>
      </c>
      <c r="D115" s="29" t="n">
        <v>0.04878</v>
      </c>
      <c r="E115" s="21" t="n">
        <v>1.33136147630945</v>
      </c>
    </row>
    <row r="116" customFormat="false" ht="15" hidden="false" customHeight="false" outlineLevel="0" collapsed="false">
      <c r="A116" s="32" t="n">
        <v>913111</v>
      </c>
      <c r="B116" s="29" t="n">
        <v>0.05164</v>
      </c>
      <c r="C116" s="21" t="n">
        <v>1.73698477027853</v>
      </c>
      <c r="D116" s="29" t="n">
        <v>0.04774</v>
      </c>
      <c r="E116" s="21" t="n">
        <v>0.993959874288258</v>
      </c>
    </row>
    <row r="117" customFormat="false" ht="15" hidden="false" customHeight="false" outlineLevel="0" collapsed="false">
      <c r="A117" s="32" t="n">
        <v>913112</v>
      </c>
      <c r="B117" s="29" t="n">
        <v>0.05098</v>
      </c>
      <c r="C117" s="21" t="n">
        <v>1.76474084903279</v>
      </c>
      <c r="D117" s="29" t="n">
        <v>0.04891</v>
      </c>
      <c r="E117" s="21" t="n">
        <v>1.35684958379142</v>
      </c>
    </row>
    <row r="118" customFormat="false" ht="15" hidden="false" customHeight="false" outlineLevel="0" collapsed="false">
      <c r="A118" s="32" t="n">
        <v>913113</v>
      </c>
      <c r="B118" s="29" t="n">
        <v>0.04963</v>
      </c>
      <c r="C118" s="21" t="n">
        <v>1.48976823704933</v>
      </c>
      <c r="D118" s="29" t="n">
        <v>0.04708</v>
      </c>
      <c r="E118" s="21" t="n">
        <v>0.939712494539405</v>
      </c>
    </row>
    <row r="119" customFormat="false" ht="15" hidden="false" customHeight="false" outlineLevel="0" collapsed="false">
      <c r="A119" s="32" t="n">
        <v>913114</v>
      </c>
      <c r="B119" s="29" t="n">
        <v>0.04947</v>
      </c>
      <c r="C119" s="21" t="n">
        <v>1.44620050606084</v>
      </c>
      <c r="D119" s="29" t="n">
        <v>0.0469</v>
      </c>
      <c r="E119" s="21" t="n">
        <v>0.778811072384945</v>
      </c>
    </row>
    <row r="120" customFormat="false" ht="15" hidden="false" customHeight="false" outlineLevel="0" collapsed="false">
      <c r="A120" s="32" t="n">
        <v>913115</v>
      </c>
      <c r="B120" s="29" t="n">
        <v>0.04979</v>
      </c>
      <c r="C120" s="21" t="n">
        <v>1.51847341305512</v>
      </c>
      <c r="D120" s="29" t="n">
        <v>0.04782</v>
      </c>
      <c r="E120" s="21" t="n">
        <v>0.977552692705867</v>
      </c>
    </row>
    <row r="121" customFormat="false" ht="15" hidden="false" customHeight="false" outlineLevel="0" collapsed="false">
      <c r="A121" s="32" t="n">
        <v>913116</v>
      </c>
      <c r="B121" s="29" t="n">
        <v>0.05256</v>
      </c>
      <c r="C121" s="21" t="n">
        <v>2.06156097934931</v>
      </c>
      <c r="D121" s="29" t="n">
        <v>0.05021</v>
      </c>
      <c r="E121" s="21" t="n">
        <v>1.6201260706269</v>
      </c>
    </row>
    <row r="122" customFormat="false" ht="15" hidden="false" customHeight="false" outlineLevel="0" collapsed="false">
      <c r="A122" s="32" t="n">
        <v>913117</v>
      </c>
      <c r="B122" s="29" t="n">
        <v>0.05148</v>
      </c>
      <c r="C122" s="21" t="n">
        <v>1.6735390397818</v>
      </c>
      <c r="D122" s="29" t="n">
        <v>0.0481</v>
      </c>
      <c r="E122" s="21" t="n">
        <v>1.1848296472876</v>
      </c>
    </row>
    <row r="123" customFormat="false" ht="15" hidden="false" customHeight="false" outlineLevel="0" collapsed="false">
      <c r="A123" s="32" t="n">
        <v>913118</v>
      </c>
      <c r="B123" s="29" t="n">
        <v>0.05152</v>
      </c>
      <c r="C123" s="21" t="n">
        <v>1.73813283777456</v>
      </c>
      <c r="D123" s="29" t="n">
        <v>0.04744</v>
      </c>
      <c r="E123" s="21" t="n">
        <v>1.03184005847658</v>
      </c>
    </row>
    <row r="124" customFormat="false" ht="15" hidden="false" customHeight="false" outlineLevel="0" collapsed="false">
      <c r="A124" s="32" t="n">
        <v>913119</v>
      </c>
      <c r="B124" s="29" t="n">
        <v>0.04962</v>
      </c>
      <c r="C124" s="21" t="n">
        <v>1.41598332214235</v>
      </c>
      <c r="D124" s="29" t="n">
        <v>0.04733</v>
      </c>
      <c r="E124" s="21" t="n">
        <v>0.92757932443357</v>
      </c>
    </row>
    <row r="125" customFormat="false" ht="15" hidden="false" customHeight="false" outlineLevel="0" collapsed="false">
      <c r="A125" s="32" t="n">
        <v>913120</v>
      </c>
      <c r="B125" s="29" t="n">
        <v>0.04994</v>
      </c>
      <c r="C125" s="21" t="n">
        <v>1.56837122776394</v>
      </c>
      <c r="D125" s="29" t="n">
        <v>0.047</v>
      </c>
      <c r="E125" s="21" t="n">
        <v>0.985436060780458</v>
      </c>
    </row>
    <row r="126" customFormat="false" ht="15" hidden="false" customHeight="false" outlineLevel="0" collapsed="false">
      <c r="A126" s="32" t="n">
        <v>913121</v>
      </c>
      <c r="B126" s="29" t="n">
        <v>0.05204</v>
      </c>
      <c r="C126" s="21" t="n">
        <v>1.81514753944343</v>
      </c>
      <c r="D126" s="29" t="n">
        <v>0.04942</v>
      </c>
      <c r="E126" s="21" t="n">
        <v>1.30052663968955</v>
      </c>
    </row>
    <row r="127" customFormat="false" ht="15" hidden="false" customHeight="false" outlineLevel="0" collapsed="false">
      <c r="A127" s="32" t="n">
        <v>913122</v>
      </c>
      <c r="B127" s="29" t="n">
        <v>0.0478</v>
      </c>
      <c r="C127" s="21" t="n">
        <v>1.18862672825373</v>
      </c>
      <c r="D127" s="29" t="n">
        <v>0.04691</v>
      </c>
      <c r="E127" s="21" t="n">
        <v>0.611013870532505</v>
      </c>
    </row>
    <row r="128" customFormat="false" ht="15" hidden="false" customHeight="false" outlineLevel="0" collapsed="false">
      <c r="A128" s="32" t="n">
        <v>913123</v>
      </c>
      <c r="B128" s="29" t="n">
        <v>0.0514</v>
      </c>
      <c r="C128" s="21" t="n">
        <v>1.7233528797137</v>
      </c>
      <c r="D128" s="29" t="n">
        <v>0.04722</v>
      </c>
      <c r="E128" s="21" t="n">
        <v>1.04014273239665</v>
      </c>
    </row>
    <row r="129" customFormat="false" ht="15" hidden="false" customHeight="false" outlineLevel="0" collapsed="false">
      <c r="A129" s="32" t="n">
        <v>913124</v>
      </c>
      <c r="B129" s="29" t="n">
        <v>0.05199</v>
      </c>
      <c r="C129" s="21" t="n">
        <v>1.59188602933259</v>
      </c>
      <c r="D129" s="29" t="n">
        <v>0.04663</v>
      </c>
      <c r="E129" s="21" t="n">
        <v>0.934882348821038</v>
      </c>
    </row>
    <row r="130" customFormat="false" ht="15" hidden="false" customHeight="false" outlineLevel="0" collapsed="false">
      <c r="A130" s="32" t="n">
        <v>913125</v>
      </c>
      <c r="B130" s="29" t="n">
        <v>0.05042</v>
      </c>
      <c r="C130" s="21" t="n">
        <v>1.61507068723603</v>
      </c>
      <c r="D130" s="29" t="n">
        <v>0.04657</v>
      </c>
      <c r="E130" s="21" t="n">
        <v>0.905497829717149</v>
      </c>
    </row>
    <row r="131" customFormat="false" ht="15" hidden="false" customHeight="false" outlineLevel="0" collapsed="false">
      <c r="A131" s="32" t="n">
        <v>913126</v>
      </c>
      <c r="B131" s="29" t="n">
        <v>0.04814</v>
      </c>
      <c r="C131" s="21" t="n">
        <v>1.19325101463311</v>
      </c>
      <c r="D131" s="29" t="n">
        <v>0.0468</v>
      </c>
      <c r="E131" s="21" t="n">
        <v>0.706121000807912</v>
      </c>
    </row>
    <row r="132" customFormat="false" ht="15" hidden="false" customHeight="false" outlineLevel="0" collapsed="false">
      <c r="A132" s="32" t="n">
        <v>913127</v>
      </c>
      <c r="B132" s="29" t="n">
        <v>0.04926</v>
      </c>
      <c r="C132" s="21" t="n">
        <v>1.39537733946556</v>
      </c>
      <c r="D132" s="29" t="n">
        <v>0.04611</v>
      </c>
      <c r="E132" s="21" t="n">
        <v>0.736650908072186</v>
      </c>
    </row>
    <row r="133" customFormat="false" ht="15" hidden="false" customHeight="false" outlineLevel="0" collapsed="false">
      <c r="A133" s="32" t="n">
        <v>913128</v>
      </c>
      <c r="B133" s="29" t="n">
        <v>0.05315</v>
      </c>
      <c r="C133" s="21" t="n">
        <v>2.00609802235169</v>
      </c>
      <c r="D133" s="29" t="n">
        <v>0.04925</v>
      </c>
      <c r="E133" s="21" t="n">
        <v>1.36990826220056</v>
      </c>
    </row>
    <row r="134" customFormat="false" ht="15" hidden="false" customHeight="false" outlineLevel="0" collapsed="false">
      <c r="A134" s="32" t="n">
        <v>913129</v>
      </c>
      <c r="B134" s="29" t="n">
        <v>0.05096</v>
      </c>
      <c r="C134" s="21" t="n">
        <v>1.74986672933021</v>
      </c>
      <c r="D134" s="29" t="n">
        <v>0.04908</v>
      </c>
      <c r="E134" s="21" t="n">
        <v>1.26225141293255</v>
      </c>
    </row>
    <row r="135" customFormat="false" ht="15" hidden="false" customHeight="false" outlineLevel="0" collapsed="false">
      <c r="A135" s="32" t="n">
        <v>913130</v>
      </c>
      <c r="B135" s="29" t="n">
        <v>0.04895</v>
      </c>
      <c r="C135" s="21" t="n">
        <v>1.31397549574746</v>
      </c>
      <c r="D135" s="29" t="n">
        <v>0.04794</v>
      </c>
      <c r="E135" s="21" t="n">
        <v>0.876312323287278</v>
      </c>
    </row>
    <row r="136" customFormat="false" ht="15" hidden="false" customHeight="false" outlineLevel="0" collapsed="false">
      <c r="A136" s="32" t="n">
        <v>913131</v>
      </c>
      <c r="B136" s="29" t="n">
        <v>0.04717</v>
      </c>
      <c r="C136" s="21" t="n">
        <v>0.962102455053133</v>
      </c>
      <c r="D136" s="29" t="n">
        <v>0.04717</v>
      </c>
      <c r="E136" s="21" t="n">
        <v>0.593484229225352</v>
      </c>
    </row>
    <row r="137" customFormat="false" ht="15" hidden="false" customHeight="false" outlineLevel="0" collapsed="false">
      <c r="A137" s="32" t="n">
        <v>913132</v>
      </c>
      <c r="B137" s="29" t="n">
        <v>0.05109</v>
      </c>
      <c r="C137" s="21" t="n">
        <v>1.76076277508356</v>
      </c>
      <c r="D137" s="29" t="n">
        <v>0.0484</v>
      </c>
      <c r="E137" s="21" t="n">
        <v>1.26230095810922</v>
      </c>
    </row>
    <row r="138" customFormat="false" ht="15" hidden="false" customHeight="false" outlineLevel="0" collapsed="false">
      <c r="A138" s="32" t="n">
        <v>913133</v>
      </c>
      <c r="B138" s="29" t="n">
        <v>0.04861</v>
      </c>
      <c r="C138" s="21" t="n">
        <v>1.30990664066582</v>
      </c>
      <c r="D138" s="29" t="n">
        <v>0.04802</v>
      </c>
      <c r="E138" s="21" t="n">
        <v>0.762358768322223</v>
      </c>
    </row>
    <row r="139" customFormat="false" ht="15" hidden="false" customHeight="false" outlineLevel="0" collapsed="false">
      <c r="A139" s="32" t="n">
        <v>913134</v>
      </c>
      <c r="B139" s="29" t="n">
        <v>0.0485</v>
      </c>
      <c r="C139" s="21" t="n">
        <v>1.26013516574166</v>
      </c>
      <c r="D139" s="29" t="n">
        <v>0.04726</v>
      </c>
      <c r="E139" s="21" t="n">
        <v>0.667916278491228</v>
      </c>
    </row>
    <row r="140" customFormat="false" ht="15" hidden="false" customHeight="false" outlineLevel="0" collapsed="false">
      <c r="A140" s="32" t="n">
        <v>913135</v>
      </c>
      <c r="B140" s="29" t="n">
        <v>0.04989</v>
      </c>
      <c r="C140" s="21" t="n">
        <v>1.55121710020469</v>
      </c>
      <c r="D140" s="29" t="n">
        <v>0.0466</v>
      </c>
      <c r="E140" s="21" t="n">
        <v>0.954833787815145</v>
      </c>
    </row>
    <row r="141" customFormat="false" ht="15" hidden="false" customHeight="false" outlineLevel="0" collapsed="false">
      <c r="A141" s="32" t="n">
        <v>913136</v>
      </c>
      <c r="B141" s="29" t="n">
        <v>0.05177</v>
      </c>
      <c r="C141" s="21" t="n">
        <v>1.59833380384112</v>
      </c>
      <c r="D141" s="29" t="n">
        <v>0.04724</v>
      </c>
      <c r="E141" s="21" t="n">
        <v>0.948762414122578</v>
      </c>
    </row>
    <row r="142" customFormat="false" ht="15" hidden="false" customHeight="false" outlineLevel="0" collapsed="false">
      <c r="A142" s="32" t="n">
        <v>913137</v>
      </c>
      <c r="B142" s="29" t="n">
        <v>0.04985</v>
      </c>
      <c r="C142" s="21" t="n">
        <v>1.52993616794262</v>
      </c>
      <c r="D142" s="29" t="n">
        <v>0.04699</v>
      </c>
      <c r="E142" s="21" t="n">
        <v>0.836876389067745</v>
      </c>
    </row>
    <row r="143" customFormat="false" ht="15" hidden="false" customHeight="false" outlineLevel="0" collapsed="false">
      <c r="A143" s="32" t="n">
        <v>913138</v>
      </c>
      <c r="B143" s="29" t="n">
        <v>0.04688</v>
      </c>
      <c r="C143" s="21" t="n">
        <v>1.01425988302271</v>
      </c>
      <c r="D143" s="29" t="n">
        <v>0.04706</v>
      </c>
      <c r="E143" s="21" t="n">
        <v>0.603434925455622</v>
      </c>
    </row>
    <row r="144" customFormat="false" ht="15" hidden="false" customHeight="false" outlineLevel="0" collapsed="false">
      <c r="A144" s="32" t="n">
        <v>913139</v>
      </c>
      <c r="B144" s="29" t="n">
        <v>0.0488</v>
      </c>
      <c r="C144" s="21" t="n">
        <v>1.34039397142489</v>
      </c>
      <c r="D144" s="29" t="n">
        <v>0.04632</v>
      </c>
      <c r="E144" s="21" t="n">
        <v>0.793759346004359</v>
      </c>
    </row>
    <row r="145" customFormat="false" ht="15" hidden="false" customHeight="false" outlineLevel="0" collapsed="false">
      <c r="A145" s="32" t="n">
        <v>913140</v>
      </c>
      <c r="B145" s="29" t="n">
        <v>0.05026</v>
      </c>
      <c r="C145" s="21" t="n">
        <v>1.53970675510447</v>
      </c>
      <c r="D145" s="29" t="n">
        <v>0.04757</v>
      </c>
      <c r="E145" s="21" t="n">
        <v>1.04892766173735</v>
      </c>
    </row>
    <row r="146" customFormat="false" ht="15" hidden="false" customHeight="false" outlineLevel="0" collapsed="false">
      <c r="A146" s="32" t="n">
        <v>913141</v>
      </c>
      <c r="B146" s="29" t="n">
        <v>0.04823</v>
      </c>
      <c r="C146" s="21" t="n">
        <v>1.22462605192405</v>
      </c>
      <c r="D146" s="29" t="n">
        <v>0.04719</v>
      </c>
      <c r="E146" s="21" t="n">
        <v>0.687577237795157</v>
      </c>
    </row>
    <row r="147" customFormat="false" ht="15" hidden="false" customHeight="false" outlineLevel="0" collapsed="false">
      <c r="A147" s="32" t="n">
        <v>913142</v>
      </c>
      <c r="B147" s="29" t="n">
        <v>0.05098</v>
      </c>
      <c r="C147" s="21" t="n">
        <v>1.6500962148134</v>
      </c>
      <c r="D147" s="29" t="n">
        <v>0.04735</v>
      </c>
      <c r="E147" s="21" t="n">
        <v>1.04238042687427</v>
      </c>
    </row>
    <row r="148" customFormat="false" ht="15" hidden="false" customHeight="false" outlineLevel="0" collapsed="false">
      <c r="A148" s="32" t="n">
        <v>913143</v>
      </c>
      <c r="B148" s="29" t="n">
        <v>0.05067</v>
      </c>
      <c r="C148" s="21" t="n">
        <v>1.61757967290246</v>
      </c>
      <c r="D148" s="29" t="n">
        <v>0.04697</v>
      </c>
      <c r="E148" s="21" t="n">
        <v>1.01997218182231</v>
      </c>
    </row>
    <row r="149" customFormat="false" ht="15" hidden="false" customHeight="false" outlineLevel="0" collapsed="false">
      <c r="A149" s="32" t="n">
        <v>913144</v>
      </c>
      <c r="B149" s="29" t="n">
        <v>0.04891</v>
      </c>
      <c r="C149" s="21" t="n">
        <v>1.0433786725001</v>
      </c>
      <c r="D149" s="29" t="n">
        <v>0.04754</v>
      </c>
      <c r="E149" s="21" t="n">
        <v>0.626417053682728</v>
      </c>
    </row>
    <row r="150" customFormat="false" ht="15" hidden="false" customHeight="false" outlineLevel="0" collapsed="false">
      <c r="A150" s="32" t="n">
        <v>913145</v>
      </c>
      <c r="B150" s="29" t="n">
        <v>0.0485</v>
      </c>
      <c r="C150" s="21" t="n">
        <v>1.25265451348517</v>
      </c>
      <c r="D150" s="29" t="n">
        <v>0.04787</v>
      </c>
      <c r="E150" s="21" t="n">
        <v>0.850620008144785</v>
      </c>
    </row>
    <row r="151" customFormat="false" ht="15" hidden="false" customHeight="false" outlineLevel="0" collapsed="false">
      <c r="A151" s="32" t="n">
        <v>913146</v>
      </c>
      <c r="B151" s="29" t="n">
        <v>0.05004</v>
      </c>
      <c r="C151" s="21" t="n">
        <v>1.58158359422154</v>
      </c>
      <c r="D151" s="29" t="n">
        <v>0.04669</v>
      </c>
      <c r="E151" s="21" t="n">
        <v>0.932290718851053</v>
      </c>
    </row>
    <row r="152" customFormat="false" ht="15" hidden="false" customHeight="false" outlineLevel="0" collapsed="false">
      <c r="A152" s="32" t="n">
        <v>913147</v>
      </c>
      <c r="B152" s="29" t="n">
        <v>0.05089</v>
      </c>
      <c r="C152" s="21" t="n">
        <v>1.70989680528865</v>
      </c>
      <c r="D152" s="29" t="n">
        <v>0.04881</v>
      </c>
      <c r="E152" s="21" t="n">
        <v>1.2831959977114</v>
      </c>
    </row>
    <row r="153" customFormat="false" ht="15" hidden="false" customHeight="false" outlineLevel="0" collapsed="false">
      <c r="A153" s="32" t="n">
        <v>913148</v>
      </c>
      <c r="B153" s="29" t="n">
        <v>0.05002</v>
      </c>
      <c r="C153" s="21" t="n">
        <v>1.5419871196561</v>
      </c>
      <c r="D153" s="29" t="n">
        <v>0.04714</v>
      </c>
      <c r="E153" s="21" t="n">
        <v>0.996286751437781</v>
      </c>
    </row>
    <row r="154" customFormat="false" ht="15" hidden="false" customHeight="false" outlineLevel="0" collapsed="false">
      <c r="A154" s="32" t="n">
        <v>913149</v>
      </c>
      <c r="B154" s="29" t="n">
        <v>0.05131</v>
      </c>
      <c r="C154" s="21" t="n">
        <v>1.82141631447332</v>
      </c>
      <c r="D154" s="29" t="n">
        <v>0.04943</v>
      </c>
      <c r="E154" s="21" t="n">
        <v>1.40296033878827</v>
      </c>
    </row>
    <row r="155" customFormat="false" ht="15" hidden="false" customHeight="false" outlineLevel="0" collapsed="false">
      <c r="A155" s="32" t="n">
        <v>913150</v>
      </c>
      <c r="B155" s="29" t="n">
        <v>0.0501</v>
      </c>
      <c r="C155" s="21" t="n">
        <v>1.5273385099351</v>
      </c>
      <c r="D155" s="29" t="n">
        <v>0.04737</v>
      </c>
      <c r="E155" s="21" t="n">
        <v>1.01920723899492</v>
      </c>
    </row>
    <row r="156" customFormat="false" ht="15" hidden="false" customHeight="false" outlineLevel="0" collapsed="false">
      <c r="A156" s="32" t="n">
        <v>913151</v>
      </c>
      <c r="B156" s="29" t="n">
        <v>0.05157</v>
      </c>
      <c r="C156" s="21" t="n">
        <v>1.85591845272472</v>
      </c>
      <c r="D156" s="29" t="n">
        <v>0.04879</v>
      </c>
      <c r="E156" s="21" t="n">
        <v>1.33072215259734</v>
      </c>
    </row>
    <row r="157" customFormat="false" ht="15" hidden="false" customHeight="false" outlineLevel="0" collapsed="false">
      <c r="A157" s="32" t="n">
        <v>913152</v>
      </c>
      <c r="B157" s="29" t="n">
        <v>0.04924</v>
      </c>
      <c r="C157" s="21" t="n">
        <v>1.43611920973134</v>
      </c>
      <c r="D157" s="29" t="n">
        <v>0.04616</v>
      </c>
      <c r="E157" s="21" t="n">
        <v>0.823835344447959</v>
      </c>
    </row>
    <row r="158" customFormat="false" ht="15" hidden="false" customHeight="false" outlineLevel="0" collapsed="false">
      <c r="A158" s="32" t="n">
        <v>913153</v>
      </c>
      <c r="B158" s="29" t="n">
        <v>0.05106</v>
      </c>
      <c r="C158" s="21" t="n">
        <v>1.74679050272352</v>
      </c>
      <c r="D158" s="29" t="n">
        <v>0.04703</v>
      </c>
      <c r="E158" s="21" t="n">
        <v>0.980567703749733</v>
      </c>
    </row>
    <row r="159" customFormat="false" ht="15" hidden="false" customHeight="false" outlineLevel="0" collapsed="false">
      <c r="A159" s="32" t="n">
        <v>913154</v>
      </c>
      <c r="B159" s="29" t="n">
        <v>0.04964</v>
      </c>
      <c r="C159" s="21" t="n">
        <v>1.4651015707687</v>
      </c>
      <c r="D159" s="29" t="n">
        <v>0.04682</v>
      </c>
      <c r="E159" s="21" t="n">
        <v>0.820196866436401</v>
      </c>
    </row>
    <row r="160" customFormat="false" ht="15" hidden="false" customHeight="false" outlineLevel="0" collapsed="false">
      <c r="A160" s="32" t="n">
        <v>913155</v>
      </c>
      <c r="B160" s="29" t="n">
        <v>0.05081</v>
      </c>
      <c r="C160" s="21" t="n">
        <v>1.69692973369857</v>
      </c>
      <c r="D160" s="29" t="n">
        <v>0.04795</v>
      </c>
      <c r="E160" s="21" t="n">
        <v>1.1719252022625</v>
      </c>
    </row>
    <row r="161" customFormat="false" ht="15" hidden="false" customHeight="false" outlineLevel="0" collapsed="false">
      <c r="A161" s="32" t="n">
        <v>913156</v>
      </c>
      <c r="B161" s="29" t="n">
        <v>0.05077</v>
      </c>
      <c r="C161" s="21" t="n">
        <v>1.61876567706063</v>
      </c>
      <c r="D161" s="29" t="n">
        <v>0.04749</v>
      </c>
      <c r="E161" s="21" t="n">
        <v>1.0446099041752</v>
      </c>
    </row>
    <row r="162" customFormat="false" ht="15" hidden="false" customHeight="false" outlineLevel="0" collapsed="false">
      <c r="A162" s="32" t="n">
        <v>913157</v>
      </c>
      <c r="B162" s="29" t="n">
        <v>0.0499</v>
      </c>
      <c r="C162" s="21" t="n">
        <v>1.53544584773499</v>
      </c>
      <c r="D162" s="29" t="n">
        <v>0.04831</v>
      </c>
      <c r="E162" s="21" t="n">
        <v>0.978717074940638</v>
      </c>
    </row>
    <row r="163" customFormat="false" ht="15" hidden="false" customHeight="false" outlineLevel="0" collapsed="false">
      <c r="A163" s="32" t="n">
        <v>913158</v>
      </c>
      <c r="B163" s="29" t="n">
        <v>0.05219</v>
      </c>
      <c r="C163" s="21" t="n">
        <v>2.01358707555113</v>
      </c>
      <c r="D163" s="29" t="n">
        <v>0.04948</v>
      </c>
      <c r="E163" s="21" t="n">
        <v>1.50496433258199</v>
      </c>
    </row>
    <row r="164" customFormat="false" ht="15" hidden="false" customHeight="false" outlineLevel="0" collapsed="false">
      <c r="A164" s="32" t="n">
        <v>913159</v>
      </c>
      <c r="B164" s="29" t="n">
        <v>0.04921</v>
      </c>
      <c r="C164" s="21" t="n">
        <v>1.45184234833742</v>
      </c>
      <c r="D164" s="29" t="n">
        <v>0.04623</v>
      </c>
      <c r="E164" s="21" t="n">
        <v>0.852101876323637</v>
      </c>
    </row>
    <row r="165" customFormat="false" ht="15" hidden="false" customHeight="false" outlineLevel="0" collapsed="false">
      <c r="A165" s="32" t="n">
        <v>913160</v>
      </c>
      <c r="B165" s="29" t="n">
        <v>0.05036</v>
      </c>
      <c r="C165" s="21" t="n">
        <v>1.65869099422478</v>
      </c>
      <c r="D165" s="29" t="n">
        <v>0.04674</v>
      </c>
      <c r="E165" s="21" t="n">
        <v>0.994578053638561</v>
      </c>
    </row>
    <row r="166" customFormat="false" ht="15" hidden="false" customHeight="false" outlineLevel="0" collapsed="false">
      <c r="A166" s="32" t="n">
        <v>913161</v>
      </c>
      <c r="B166" s="29" t="n">
        <v>0.05032</v>
      </c>
      <c r="C166" s="21" t="n">
        <v>1.54459399093784</v>
      </c>
      <c r="D166" s="29" t="n">
        <v>0.04742</v>
      </c>
      <c r="E166" s="21" t="n">
        <v>0.852708231533679</v>
      </c>
    </row>
    <row r="167" customFormat="false" ht="15" hidden="false" customHeight="false" outlineLevel="0" collapsed="false">
      <c r="A167" s="32" t="n">
        <v>913162</v>
      </c>
      <c r="B167" s="29" t="n">
        <v>0.05055</v>
      </c>
      <c r="C167" s="21" t="n">
        <v>1.63279804502414</v>
      </c>
      <c r="D167" s="29" t="n">
        <v>0.04838</v>
      </c>
      <c r="E167" s="21" t="n">
        <v>1.18880009221388</v>
      </c>
    </row>
    <row r="168" customFormat="false" ht="15" hidden="false" customHeight="false" outlineLevel="0" collapsed="false">
      <c r="A168" s="32" t="n">
        <v>913163</v>
      </c>
      <c r="B168" s="29" t="n">
        <v>0.04942</v>
      </c>
      <c r="C168" s="21" t="n">
        <v>1.30110478545792</v>
      </c>
      <c r="D168" s="29" t="n">
        <v>0.04639</v>
      </c>
      <c r="E168" s="21" t="n">
        <v>0.750037248025755</v>
      </c>
    </row>
    <row r="169" customFormat="false" ht="15" hidden="false" customHeight="false" outlineLevel="0" collapsed="false">
      <c r="A169" s="32" t="n">
        <v>913164</v>
      </c>
      <c r="B169" s="29" t="n">
        <v>0.04991</v>
      </c>
      <c r="C169" s="21" t="n">
        <v>1.5846328800103</v>
      </c>
      <c r="D169" s="29" t="n">
        <v>0.04708</v>
      </c>
      <c r="E169" s="21" t="n">
        <v>1.0483097207348</v>
      </c>
    </row>
    <row r="170" customFormat="false" ht="15" hidden="false" customHeight="false" outlineLevel="0" collapsed="false">
      <c r="A170" s="32" t="n">
        <v>913165</v>
      </c>
      <c r="B170" s="29" t="n">
        <v>0.04855</v>
      </c>
      <c r="C170" s="21" t="n">
        <v>1.32820709502594</v>
      </c>
      <c r="D170" s="29" t="n">
        <v>0.04802</v>
      </c>
      <c r="E170" s="21" t="n">
        <v>0.761487335613136</v>
      </c>
    </row>
    <row r="171" customFormat="false" ht="15" hidden="false" customHeight="false" outlineLevel="0" collapsed="false">
      <c r="A171" s="32" t="n">
        <v>913166</v>
      </c>
      <c r="B171" s="29" t="n">
        <v>0.04997</v>
      </c>
      <c r="C171" s="21" t="n">
        <v>1.53274295316613</v>
      </c>
      <c r="D171" s="29" t="n">
        <v>0.04773</v>
      </c>
      <c r="E171" s="21" t="n">
        <v>1.07652871335058</v>
      </c>
    </row>
    <row r="172" customFormat="false" ht="15" hidden="false" customHeight="false" outlineLevel="0" collapsed="false">
      <c r="A172" s="32" t="n">
        <v>913167</v>
      </c>
      <c r="B172" s="29" t="n">
        <v>0.04892</v>
      </c>
      <c r="C172" s="21" t="n">
        <v>1.33137859047033</v>
      </c>
      <c r="D172" s="29" t="n">
        <v>0.04823</v>
      </c>
      <c r="E172" s="21" t="n">
        <v>0.930851938951571</v>
      </c>
    </row>
    <row r="173" customFormat="false" ht="15" hidden="false" customHeight="false" outlineLevel="0" collapsed="false">
      <c r="A173" s="32" t="n">
        <v>913168</v>
      </c>
      <c r="B173" s="29" t="n">
        <v>0.04974</v>
      </c>
      <c r="C173" s="21" t="n">
        <v>1.46929992256745</v>
      </c>
      <c r="D173" s="29" t="n">
        <v>0.0471</v>
      </c>
      <c r="E173" s="21" t="n">
        <v>0.944670226292272</v>
      </c>
    </row>
    <row r="174" customFormat="false" ht="15" hidden="false" customHeight="false" outlineLevel="0" collapsed="false">
      <c r="A174" s="32" t="n">
        <v>913169</v>
      </c>
      <c r="B174" s="29" t="n">
        <v>0.04726</v>
      </c>
      <c r="C174" s="21" t="n">
        <v>0.645202420567779</v>
      </c>
      <c r="D174" s="29" t="n">
        <v>0.04649</v>
      </c>
      <c r="E174" s="21" t="n">
        <v>0.378710648305193</v>
      </c>
    </row>
    <row r="175" customFormat="false" ht="15" hidden="false" customHeight="false" outlineLevel="0" collapsed="false">
      <c r="A175" s="32" t="n">
        <v>913170</v>
      </c>
      <c r="B175" s="29" t="n">
        <v>0.04975</v>
      </c>
      <c r="C175" s="21" t="n">
        <v>1.15536361038933</v>
      </c>
      <c r="D175" s="29" t="n">
        <v>0.04819</v>
      </c>
      <c r="E175" s="21" t="n">
        <v>0.766087175135755</v>
      </c>
    </row>
    <row r="176" customFormat="false" ht="15" hidden="false" customHeight="false" outlineLevel="0" collapsed="false">
      <c r="A176" s="32" t="n">
        <v>913171</v>
      </c>
      <c r="B176" s="29" t="n">
        <v>0.04922</v>
      </c>
      <c r="C176" s="21" t="n">
        <v>1.41477350824647</v>
      </c>
      <c r="D176" s="29" t="n">
        <v>0.04745</v>
      </c>
      <c r="E176" s="21" t="n">
        <v>0.922734247184273</v>
      </c>
    </row>
    <row r="177" customFormat="false" ht="15" hidden="false" customHeight="false" outlineLevel="0" collapsed="false">
      <c r="A177" s="32" t="n">
        <v>913172</v>
      </c>
      <c r="B177" s="29" t="n">
        <v>0.05084</v>
      </c>
      <c r="C177" s="21" t="n">
        <v>1.70412239275233</v>
      </c>
      <c r="D177" s="29" t="n">
        <v>0.04739</v>
      </c>
      <c r="E177" s="21" t="n">
        <v>1.02498451276095</v>
      </c>
    </row>
    <row r="178" customFormat="false" ht="15" hidden="false" customHeight="false" outlineLevel="0" collapsed="false">
      <c r="A178" s="32" t="n">
        <v>913173</v>
      </c>
      <c r="B178" s="29" t="n">
        <v>0.04804</v>
      </c>
      <c r="C178" s="21" t="n">
        <v>1.22693252537956</v>
      </c>
      <c r="D178" s="29" t="n">
        <v>0.0467</v>
      </c>
      <c r="E178" s="21" t="n">
        <v>0.611411491289305</v>
      </c>
    </row>
    <row r="179" customFormat="false" ht="15" hidden="false" customHeight="false" outlineLevel="0" collapsed="false">
      <c r="A179" s="32" t="n">
        <v>913174</v>
      </c>
      <c r="B179" s="29" t="n">
        <v>0.05068</v>
      </c>
      <c r="C179" s="21" t="n">
        <v>1.66278878709785</v>
      </c>
      <c r="D179" s="29" t="n">
        <v>0.04906</v>
      </c>
      <c r="E179" s="21" t="n">
        <v>1.27096893870811</v>
      </c>
    </row>
    <row r="180" customFormat="false" ht="15" hidden="false" customHeight="false" outlineLevel="0" collapsed="false">
      <c r="A180" s="32" t="n">
        <v>913175</v>
      </c>
      <c r="B180" s="29" t="n">
        <v>0.05075</v>
      </c>
      <c r="C180" s="21" t="n">
        <v>1.67235596275753</v>
      </c>
      <c r="D180" s="29" t="n">
        <v>0.04796</v>
      </c>
      <c r="E180" s="21" t="n">
        <v>1.16652918901623</v>
      </c>
    </row>
    <row r="181" customFormat="false" ht="15" hidden="false" customHeight="false" outlineLevel="0" collapsed="false">
      <c r="A181" s="32" t="n">
        <v>913176</v>
      </c>
      <c r="B181" s="29" t="n">
        <v>0.04997</v>
      </c>
      <c r="C181" s="21" t="n">
        <v>1.55680023191272</v>
      </c>
      <c r="D181" s="29" t="n">
        <v>0.04611</v>
      </c>
      <c r="E181" s="21" t="n">
        <v>0.854852868154847</v>
      </c>
    </row>
    <row r="182" customFormat="false" ht="15" hidden="false" customHeight="false" outlineLevel="0" collapsed="false">
      <c r="A182" s="32" t="n">
        <v>913177</v>
      </c>
      <c r="B182" s="29" t="n">
        <v>0.04936</v>
      </c>
      <c r="C182" s="21" t="n">
        <v>1.41409657673119</v>
      </c>
      <c r="D182" s="29" t="n">
        <v>0.0464</v>
      </c>
      <c r="E182" s="21" t="n">
        <v>0.822147370451214</v>
      </c>
    </row>
    <row r="183" customFormat="false" ht="15" hidden="false" customHeight="false" outlineLevel="0" collapsed="false">
      <c r="A183" s="32" t="n">
        <v>913178</v>
      </c>
      <c r="B183" s="29" t="n">
        <v>0.04788</v>
      </c>
      <c r="C183" s="21" t="n">
        <v>1.17158804229097</v>
      </c>
      <c r="D183" s="29" t="n">
        <v>0.04737</v>
      </c>
      <c r="E183" s="21" t="n">
        <v>0.571453067410101</v>
      </c>
    </row>
    <row r="184" customFormat="false" ht="15" hidden="false" customHeight="false" outlineLevel="0" collapsed="false">
      <c r="A184" s="32" t="n">
        <v>913179</v>
      </c>
      <c r="B184" s="29" t="n">
        <v>0.05078</v>
      </c>
      <c r="C184" s="21" t="n">
        <v>1.70979778766281</v>
      </c>
      <c r="D184" s="29" t="n">
        <v>0.04767</v>
      </c>
      <c r="E184" s="21" t="n">
        <v>1.15864694152911</v>
      </c>
    </row>
    <row r="185" customFormat="false" ht="15" hidden="false" customHeight="false" outlineLevel="0" collapsed="false">
      <c r="A185" s="32" t="n">
        <v>913180</v>
      </c>
      <c r="B185" s="29" t="n">
        <v>0.04817</v>
      </c>
      <c r="C185" s="21" t="n">
        <v>1.20090375865197</v>
      </c>
      <c r="D185" s="29" t="n">
        <v>0.04793</v>
      </c>
      <c r="E185" s="21" t="n">
        <v>0.707186714643486</v>
      </c>
    </row>
    <row r="186" customFormat="false" ht="15" hidden="false" customHeight="false" outlineLevel="0" collapsed="false">
      <c r="A186" s="32" t="n">
        <v>913181</v>
      </c>
      <c r="B186" s="29" t="n">
        <v>0.05023</v>
      </c>
      <c r="C186" s="21" t="n">
        <v>1.50601788665954</v>
      </c>
      <c r="D186" s="29" t="n">
        <v>0.04855</v>
      </c>
      <c r="E186" s="21" t="n">
        <v>1.03540091133234</v>
      </c>
    </row>
    <row r="187" customFormat="false" ht="15" hidden="false" customHeight="false" outlineLevel="0" collapsed="false">
      <c r="A187" s="32" t="n">
        <v>913182</v>
      </c>
      <c r="B187" s="29" t="n">
        <v>0.0488</v>
      </c>
      <c r="C187" s="21" t="n">
        <v>1.17020165537482</v>
      </c>
      <c r="D187" s="29" t="n">
        <v>0.04714</v>
      </c>
      <c r="E187" s="21" t="n">
        <v>0.731710327306287</v>
      </c>
    </row>
    <row r="188" customFormat="false" ht="15" hidden="false" customHeight="false" outlineLevel="0" collapsed="false">
      <c r="A188" s="32" t="n">
        <v>913183</v>
      </c>
      <c r="B188" s="29" t="n">
        <v>0.04805</v>
      </c>
      <c r="C188" s="21" t="n">
        <v>1.1723358722624</v>
      </c>
      <c r="D188" s="29" t="n">
        <v>0.04775</v>
      </c>
      <c r="E188" s="21" t="n">
        <v>0.723140632387205</v>
      </c>
    </row>
    <row r="189" customFormat="false" ht="15" hidden="false" customHeight="false" outlineLevel="0" collapsed="false">
      <c r="A189" s="32" t="n">
        <v>913184</v>
      </c>
      <c r="B189" s="29" t="n">
        <v>0.0509</v>
      </c>
      <c r="C189" s="21" t="n">
        <v>1.75011193416593</v>
      </c>
      <c r="D189" s="29" t="n">
        <v>0.04756</v>
      </c>
      <c r="E189" s="21" t="n">
        <v>1.13709919517247</v>
      </c>
    </row>
    <row r="190" customFormat="false" ht="15" hidden="false" customHeight="false" outlineLevel="0" collapsed="false">
      <c r="A190" s="32" t="n">
        <v>913185</v>
      </c>
      <c r="B190" s="29" t="n">
        <v>0.04885</v>
      </c>
      <c r="C190" s="21" t="n">
        <v>1.34336474881468</v>
      </c>
      <c r="D190" s="29" t="n">
        <v>0.04742</v>
      </c>
      <c r="E190" s="21" t="n">
        <v>0.792652057292713</v>
      </c>
    </row>
    <row r="191" customFormat="false" ht="15" hidden="false" customHeight="false" outlineLevel="0" collapsed="false">
      <c r="A191" s="32" t="n">
        <v>913186</v>
      </c>
      <c r="B191" s="29" t="n">
        <v>0.04983</v>
      </c>
      <c r="C191" s="21" t="n">
        <v>1.54698402263955</v>
      </c>
      <c r="D191" s="29" t="n">
        <v>0.0463</v>
      </c>
      <c r="E191" s="21" t="n">
        <v>0.874195257521075</v>
      </c>
    </row>
    <row r="192" customFormat="false" ht="15" hidden="false" customHeight="false" outlineLevel="0" collapsed="false">
      <c r="A192" s="32" t="n">
        <v>913187</v>
      </c>
      <c r="B192" s="29" t="n">
        <v>0.0495</v>
      </c>
      <c r="C192" s="21" t="n">
        <v>1.46999668343215</v>
      </c>
      <c r="D192" s="29" t="n">
        <v>0.04598</v>
      </c>
      <c r="E192" s="21" t="n">
        <v>0.818930678120701</v>
      </c>
    </row>
    <row r="193" customFormat="false" ht="15" hidden="false" customHeight="false" outlineLevel="0" collapsed="false">
      <c r="A193" s="32" t="n">
        <v>913188</v>
      </c>
      <c r="B193" s="29" t="n">
        <v>0.05073</v>
      </c>
      <c r="C193" s="21" t="n">
        <v>1.71078932472614</v>
      </c>
      <c r="D193" s="29" t="n">
        <v>0.04792</v>
      </c>
      <c r="E193" s="21" t="n">
        <v>1.16078079507351</v>
      </c>
    </row>
    <row r="194" customFormat="false" ht="15" hidden="false" customHeight="false" outlineLevel="0" collapsed="false">
      <c r="A194" s="32" t="n">
        <v>913189</v>
      </c>
      <c r="B194" s="29" t="n">
        <v>0.05112</v>
      </c>
      <c r="C194" s="21" t="n">
        <v>1.53606195813664</v>
      </c>
      <c r="D194" s="29" t="n">
        <v>0.04781</v>
      </c>
      <c r="E194" s="21" t="n">
        <v>0.887848772510369</v>
      </c>
    </row>
    <row r="195" customFormat="false" ht="15" hidden="false" customHeight="false" outlineLevel="0" collapsed="false">
      <c r="A195" s="32" t="n">
        <v>913190</v>
      </c>
      <c r="B195" s="29" t="n">
        <v>0.05343</v>
      </c>
      <c r="C195" s="21" t="n">
        <v>2.11332132367716</v>
      </c>
      <c r="D195" s="29" t="n">
        <v>0.05021</v>
      </c>
      <c r="E195" s="21" t="n">
        <v>1.505729553169</v>
      </c>
    </row>
    <row r="196" customFormat="false" ht="15" hidden="false" customHeight="false" outlineLevel="0" collapsed="false">
      <c r="A196" s="32" t="n">
        <v>913191</v>
      </c>
      <c r="B196" s="29" t="n">
        <v>0.04778</v>
      </c>
      <c r="C196" s="21" t="n">
        <v>1.14006995939452</v>
      </c>
      <c r="D196" s="29" t="n">
        <v>0.04643</v>
      </c>
      <c r="E196" s="21" t="n">
        <v>0.536289643811132</v>
      </c>
    </row>
    <row r="197" customFormat="false" ht="15" hidden="false" customHeight="false" outlineLevel="0" collapsed="false">
      <c r="A197" s="32" t="n">
        <v>913192</v>
      </c>
      <c r="B197" s="29" t="n">
        <v>0.0489</v>
      </c>
      <c r="C197" s="21" t="n">
        <v>1.12058415986928</v>
      </c>
      <c r="D197" s="29" t="n">
        <v>0.04774</v>
      </c>
      <c r="E197" s="21" t="n">
        <v>0.688724901219976</v>
      </c>
    </row>
    <row r="198" customFormat="false" ht="15" hidden="false" customHeight="false" outlineLevel="0" collapsed="false">
      <c r="A198" s="32" t="n">
        <v>913193</v>
      </c>
      <c r="B198" s="29" t="n">
        <v>0.0499</v>
      </c>
      <c r="C198" s="21" t="n">
        <v>1.53506884878063</v>
      </c>
      <c r="D198" s="29" t="n">
        <v>0.04664</v>
      </c>
      <c r="E198" s="21" t="n">
        <v>0.935330876703317</v>
      </c>
    </row>
    <row r="199" customFormat="false" ht="15" hidden="false" customHeight="false" outlineLevel="0" collapsed="false">
      <c r="A199" s="32" t="n">
        <v>913194</v>
      </c>
      <c r="B199" s="29" t="n">
        <v>0.05023</v>
      </c>
      <c r="C199" s="21" t="n">
        <v>1.61122660689219</v>
      </c>
      <c r="D199" s="29" t="n">
        <v>0.04667</v>
      </c>
      <c r="E199" s="21" t="n">
        <v>0.968689954191627</v>
      </c>
    </row>
    <row r="200" customFormat="false" ht="15" hidden="false" customHeight="false" outlineLevel="0" collapsed="false">
      <c r="A200" s="32" t="n">
        <v>913195</v>
      </c>
      <c r="B200" s="29" t="n">
        <v>0.05096</v>
      </c>
      <c r="C200" s="21" t="n">
        <v>1.51806057145881</v>
      </c>
      <c r="D200" s="29" t="n">
        <v>0.04639</v>
      </c>
      <c r="E200" s="21" t="n">
        <v>0.836534329006085</v>
      </c>
    </row>
    <row r="201" customFormat="false" ht="15" hidden="false" customHeight="false" outlineLevel="0" collapsed="false">
      <c r="A201" s="32" t="n">
        <v>913196</v>
      </c>
      <c r="B201" s="29" t="n">
        <v>0.04913</v>
      </c>
      <c r="C201" s="21" t="n">
        <v>1.41659523157915</v>
      </c>
      <c r="D201" s="29" t="n">
        <v>0.04669</v>
      </c>
      <c r="E201" s="21" t="n">
        <v>0.744144250549942</v>
      </c>
    </row>
    <row r="202" customFormat="false" ht="15" hidden="false" customHeight="false" outlineLevel="0" collapsed="false">
      <c r="A202" s="32" t="n">
        <v>913197</v>
      </c>
      <c r="B202" s="29" t="n">
        <v>0.0511</v>
      </c>
      <c r="C202" s="21" t="n">
        <v>1.79751626986407</v>
      </c>
      <c r="D202" s="29" t="n">
        <v>0.04895</v>
      </c>
      <c r="E202" s="21" t="n">
        <v>1.35724601306916</v>
      </c>
    </row>
    <row r="203" customFormat="false" ht="15" hidden="false" customHeight="false" outlineLevel="0" collapsed="false">
      <c r="A203" s="32" t="n">
        <v>913198</v>
      </c>
      <c r="B203" s="29" t="n">
        <v>0.04718</v>
      </c>
      <c r="C203" s="21" t="n">
        <v>1.07528307593081</v>
      </c>
      <c r="D203" s="29" t="n">
        <v>0.0473</v>
      </c>
      <c r="E203" s="21" t="n">
        <v>0.618491821011379</v>
      </c>
    </row>
    <row r="204" customFormat="false" ht="15" hidden="false" customHeight="false" outlineLevel="0" collapsed="false">
      <c r="A204" s="32" t="n">
        <v>913199</v>
      </c>
      <c r="B204" s="29" t="n">
        <v>0.05149</v>
      </c>
      <c r="C204" s="21" t="n">
        <v>1.66884105299235</v>
      </c>
      <c r="D204" s="29" t="n">
        <v>0.04821</v>
      </c>
      <c r="E204" s="21" t="n">
        <v>0.960252490749472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3"/>
    <col collapsed="false" customWidth="true" hidden="false" outlineLevel="0" max="5" min="5" style="1" width="34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15" hidden="false" customHeight="false" outlineLevel="0" collapsed="false">
      <c r="A1" s="2" t="s">
        <v>311</v>
      </c>
    </row>
    <row r="2" customFormat="false" ht="15" hidden="false" customHeight="false" outlineLevel="0" collapsed="false">
      <c r="A2" s="11" t="s">
        <v>312</v>
      </c>
    </row>
    <row r="4" customFormat="false" ht="23.85" hidden="false" customHeight="false" outlineLevel="0" collapsed="false">
      <c r="A4" s="9" t="s">
        <v>313</v>
      </c>
      <c r="B4" s="9" t="s">
        <v>314</v>
      </c>
      <c r="C4" s="9" t="s">
        <v>315</v>
      </c>
      <c r="E4" s="9" t="s">
        <v>303</v>
      </c>
      <c r="F4" s="9" t="s">
        <v>20</v>
      </c>
    </row>
    <row r="5" customFormat="false" ht="15" hidden="false" customHeight="false" outlineLevel="0" collapsed="false">
      <c r="A5" s="27" t="n">
        <v>1</v>
      </c>
      <c r="B5" s="18" t="n">
        <v>0.945120707935731</v>
      </c>
      <c r="C5" s="18" t="n">
        <v>0.887939326251797</v>
      </c>
      <c r="E5" s="3" t="s">
        <v>316</v>
      </c>
      <c r="F5" s="23" t="n">
        <f aca="false">MAX(C5:C504)</f>
        <v>0.910299295687478</v>
      </c>
      <c r="G5" s="11" t="s">
        <v>317</v>
      </c>
    </row>
    <row r="6" customFormat="false" ht="15" hidden="false" customHeight="false" outlineLevel="0" collapsed="false">
      <c r="A6" s="27" t="n">
        <v>2</v>
      </c>
      <c r="B6" s="18" t="n">
        <v>0.955460912649865</v>
      </c>
      <c r="C6" s="18" t="n">
        <v>0.902970274943883</v>
      </c>
      <c r="E6" s="3" t="s">
        <v>318</v>
      </c>
      <c r="F6" s="27" t="n">
        <f aca="false">INDEX(A5:A504,MATCH(F5,C5:C504,0))</f>
        <v>24</v>
      </c>
      <c r="G6" s="11" t="s">
        <v>319</v>
      </c>
    </row>
    <row r="7" customFormat="false" ht="15" hidden="false" customHeight="false" outlineLevel="0" collapsed="false">
      <c r="A7" s="27" t="n">
        <v>3</v>
      </c>
      <c r="B7" s="18" t="n">
        <v>0.955318183671805</v>
      </c>
      <c r="C7" s="18" t="n">
        <v>0.904641191084896</v>
      </c>
      <c r="E7" s="3" t="s">
        <v>320</v>
      </c>
      <c r="F7" s="23" t="n">
        <f aca="false">C504</f>
        <v>0.88848331864376</v>
      </c>
      <c r="G7" s="11" t="s">
        <v>321</v>
      </c>
    </row>
    <row r="8" customFormat="false" ht="15" hidden="false" customHeight="false" outlineLevel="0" collapsed="false">
      <c r="A8" s="27" t="n">
        <v>4</v>
      </c>
      <c r="B8" s="18" t="n">
        <v>0.956656267841122</v>
      </c>
      <c r="C8" s="18" t="n">
        <v>0.906090910190134</v>
      </c>
      <c r="E8" s="3" t="s">
        <v>322</v>
      </c>
      <c r="F8" s="23" t="n">
        <f aca="false">B504</f>
        <v>1</v>
      </c>
      <c r="G8" s="11" t="s">
        <v>323</v>
      </c>
    </row>
    <row r="9" customFormat="false" ht="15" hidden="false" customHeight="false" outlineLevel="0" collapsed="false">
      <c r="A9" s="27" t="n">
        <v>5</v>
      </c>
      <c r="B9" s="18" t="n">
        <v>0.958374113041351</v>
      </c>
      <c r="C9" s="18" t="n">
        <v>0.906079554892123</v>
      </c>
      <c r="E9" s="3" t="s">
        <v>324</v>
      </c>
      <c r="F9" s="23" t="n">
        <f aca="false">INDEX(B5:B504,F6)</f>
        <v>0.975774304705978</v>
      </c>
    </row>
    <row r="10" customFormat="false" ht="15" hidden="false" customHeight="false" outlineLevel="0" collapsed="false">
      <c r="A10" s="27" t="n">
        <v>6</v>
      </c>
      <c r="B10" s="18" t="n">
        <v>0.959225389446212</v>
      </c>
      <c r="C10" s="18" t="n">
        <v>0.907502061673901</v>
      </c>
    </row>
    <row r="11" customFormat="false" ht="15" hidden="false" customHeight="false" outlineLevel="0" collapsed="false">
      <c r="A11" s="27" t="n">
        <v>7</v>
      </c>
      <c r="B11" s="18" t="n">
        <v>0.959401251937036</v>
      </c>
      <c r="C11" s="18" t="n">
        <v>0.907102085471165</v>
      </c>
    </row>
    <row r="12" customFormat="false" ht="15" hidden="false" customHeight="false" outlineLevel="0" collapsed="false">
      <c r="A12" s="27" t="n">
        <v>8</v>
      </c>
      <c r="B12" s="18" t="n">
        <v>0.961450432264905</v>
      </c>
      <c r="C12" s="18" t="n">
        <v>0.907807019505158</v>
      </c>
    </row>
    <row r="13" customFormat="false" ht="15" hidden="false" customHeight="false" outlineLevel="0" collapsed="false">
      <c r="A13" s="27" t="n">
        <v>9</v>
      </c>
      <c r="B13" s="18" t="n">
        <v>0.962997512437811</v>
      </c>
      <c r="C13" s="18" t="n">
        <v>0.907752002011354</v>
      </c>
    </row>
    <row r="14" customFormat="false" ht="15" hidden="false" customHeight="false" outlineLevel="0" collapsed="false">
      <c r="A14" s="27" t="n">
        <v>10</v>
      </c>
      <c r="B14" s="18" t="n">
        <v>0.963405309517984</v>
      </c>
      <c r="C14" s="18" t="n">
        <v>0.908614789671737</v>
      </c>
    </row>
    <row r="15" customFormat="false" ht="15" hidden="false" customHeight="false" outlineLevel="0" collapsed="false">
      <c r="A15" s="27" t="n">
        <v>11</v>
      </c>
      <c r="B15" s="18" t="n">
        <v>0.962898111899519</v>
      </c>
      <c r="C15" s="18" t="n">
        <v>0.908765138247463</v>
      </c>
    </row>
    <row r="16" customFormat="false" ht="15" hidden="false" customHeight="false" outlineLevel="0" collapsed="false">
      <c r="A16" s="27" t="n">
        <v>12</v>
      </c>
      <c r="B16" s="18" t="n">
        <v>0.963927799526955</v>
      </c>
      <c r="C16" s="18" t="n">
        <v>0.909257865670955</v>
      </c>
    </row>
    <row r="17" customFormat="false" ht="15" hidden="false" customHeight="false" outlineLevel="0" collapsed="false">
      <c r="A17" s="27" t="n">
        <v>13</v>
      </c>
      <c r="B17" s="18" t="n">
        <v>0.967317612755893</v>
      </c>
      <c r="C17" s="18" t="n">
        <v>0.907933953886363</v>
      </c>
    </row>
    <row r="18" customFormat="false" ht="15" hidden="false" customHeight="false" outlineLevel="0" collapsed="false">
      <c r="A18" s="27" t="n">
        <v>14</v>
      </c>
      <c r="B18" s="18" t="n">
        <v>0.967597973248512</v>
      </c>
      <c r="C18" s="18" t="n">
        <v>0.907814426833808</v>
      </c>
    </row>
    <row r="19" customFormat="false" ht="15" hidden="false" customHeight="false" outlineLevel="0" collapsed="false">
      <c r="A19" s="27" t="n">
        <v>15</v>
      </c>
      <c r="B19" s="18" t="n">
        <v>0.968247899845037</v>
      </c>
      <c r="C19" s="18" t="n">
        <v>0.908251420135394</v>
      </c>
    </row>
    <row r="20" customFormat="false" ht="15" hidden="false" customHeight="false" outlineLevel="0" collapsed="false">
      <c r="A20" s="27" t="n">
        <v>16</v>
      </c>
      <c r="B20" s="18" t="n">
        <v>0.969529911915831</v>
      </c>
      <c r="C20" s="18" t="n">
        <v>0.909355222855965</v>
      </c>
    </row>
    <row r="21" customFormat="false" ht="15" hidden="false" customHeight="false" outlineLevel="0" collapsed="false">
      <c r="A21" s="27" t="n">
        <v>17</v>
      </c>
      <c r="B21" s="18" t="n">
        <v>0.97148478916891</v>
      </c>
      <c r="C21" s="18" t="n">
        <v>0.909506639859043</v>
      </c>
    </row>
    <row r="22" customFormat="false" ht="15" hidden="false" customHeight="false" outlineLevel="0" collapsed="false">
      <c r="A22" s="27" t="n">
        <v>18</v>
      </c>
      <c r="B22" s="18" t="n">
        <v>0.971647908000979</v>
      </c>
      <c r="C22" s="18" t="n">
        <v>0.909555526925177</v>
      </c>
    </row>
    <row r="23" customFormat="false" ht="15" hidden="false" customHeight="false" outlineLevel="0" collapsed="false">
      <c r="A23" s="27" t="n">
        <v>19</v>
      </c>
      <c r="B23" s="18" t="n">
        <v>0.971918073566593</v>
      </c>
      <c r="C23" s="18" t="n">
        <v>0.909687178022251</v>
      </c>
    </row>
    <row r="24" customFormat="false" ht="15" hidden="false" customHeight="false" outlineLevel="0" collapsed="false">
      <c r="A24" s="27" t="n">
        <v>20</v>
      </c>
      <c r="B24" s="18" t="n">
        <v>0.972272347279993</v>
      </c>
      <c r="C24" s="18" t="n">
        <v>0.909738228002293</v>
      </c>
    </row>
    <row r="25" customFormat="false" ht="15" hidden="false" customHeight="false" outlineLevel="0" collapsed="false">
      <c r="A25" s="27" t="n">
        <v>21</v>
      </c>
      <c r="B25" s="18" t="n">
        <v>0.972896786559008</v>
      </c>
      <c r="C25" s="18" t="n">
        <v>0.910161742180767</v>
      </c>
    </row>
    <row r="26" customFormat="false" ht="15" hidden="false" customHeight="false" outlineLevel="0" collapsed="false">
      <c r="A26" s="27" t="n">
        <v>22</v>
      </c>
      <c r="B26" s="18" t="n">
        <v>0.97471658102928</v>
      </c>
      <c r="C26" s="18" t="n">
        <v>0.910168901946982</v>
      </c>
    </row>
    <row r="27" customFormat="false" ht="15" hidden="false" customHeight="false" outlineLevel="0" collapsed="false">
      <c r="A27" s="27" t="n">
        <v>23</v>
      </c>
      <c r="B27" s="18" t="n">
        <v>0.975009685180654</v>
      </c>
      <c r="C27" s="18" t="n">
        <v>0.910041316085685</v>
      </c>
    </row>
    <row r="28" customFormat="false" ht="15" hidden="false" customHeight="false" outlineLevel="0" collapsed="false">
      <c r="A28" s="27" t="n">
        <v>24</v>
      </c>
      <c r="B28" s="18" t="n">
        <v>0.975774304705978</v>
      </c>
      <c r="C28" s="18" t="n">
        <v>0.910299295687478</v>
      </c>
    </row>
    <row r="29" customFormat="false" ht="15" hidden="false" customHeight="false" outlineLevel="0" collapsed="false">
      <c r="A29" s="27" t="n">
        <v>25</v>
      </c>
      <c r="B29" s="18" t="n">
        <v>0.975899192561781</v>
      </c>
      <c r="C29" s="18" t="n">
        <v>0.910222232107347</v>
      </c>
    </row>
    <row r="30" customFormat="false" ht="15" hidden="false" customHeight="false" outlineLevel="0" collapsed="false">
      <c r="A30" s="27" t="n">
        <v>26</v>
      </c>
      <c r="B30" s="18" t="n">
        <v>0.977402944294919</v>
      </c>
      <c r="C30" s="18" t="n">
        <v>0.909855279430496</v>
      </c>
    </row>
    <row r="31" customFormat="false" ht="15" hidden="false" customHeight="false" outlineLevel="0" collapsed="false">
      <c r="A31" s="27" t="n">
        <v>27</v>
      </c>
      <c r="B31" s="18" t="n">
        <v>0.979161569203164</v>
      </c>
      <c r="C31" s="18" t="n">
        <v>0.90963485765603</v>
      </c>
    </row>
    <row r="32" customFormat="false" ht="15" hidden="false" customHeight="false" outlineLevel="0" collapsed="false">
      <c r="A32" s="27" t="n">
        <v>28</v>
      </c>
      <c r="B32" s="18" t="n">
        <v>0.979324688035234</v>
      </c>
      <c r="C32" s="18" t="n">
        <v>0.909492750303473</v>
      </c>
    </row>
    <row r="33" customFormat="false" ht="15" hidden="false" customHeight="false" outlineLevel="0" collapsed="false">
      <c r="A33" s="27" t="n">
        <v>29</v>
      </c>
      <c r="B33" s="18" t="n">
        <v>0.980953327624174</v>
      </c>
      <c r="C33" s="18" t="n">
        <v>0.909034056200008</v>
      </c>
    </row>
    <row r="34" customFormat="false" ht="15" hidden="false" customHeight="false" outlineLevel="0" collapsed="false">
      <c r="A34" s="27" t="n">
        <v>30</v>
      </c>
      <c r="B34" s="18" t="n">
        <v>0.982299057988745</v>
      </c>
      <c r="C34" s="18" t="n">
        <v>0.908084745468552</v>
      </c>
    </row>
    <row r="35" customFormat="false" ht="15" hidden="false" customHeight="false" outlineLevel="0" collapsed="false">
      <c r="A35" s="27" t="n">
        <v>31</v>
      </c>
      <c r="B35" s="18" t="n">
        <v>0.98247746921132</v>
      </c>
      <c r="C35" s="18" t="n">
        <v>0.908269948229223</v>
      </c>
    </row>
    <row r="36" customFormat="false" ht="15" hidden="false" customHeight="false" outlineLevel="0" collapsed="false">
      <c r="A36" s="27" t="n">
        <v>32</v>
      </c>
      <c r="B36" s="18" t="n">
        <v>0.982635490579887</v>
      </c>
      <c r="C36" s="18" t="n">
        <v>0.908500650359547</v>
      </c>
    </row>
    <row r="37" customFormat="false" ht="15" hidden="false" customHeight="false" outlineLevel="0" collapsed="false">
      <c r="A37" s="27" t="n">
        <v>33</v>
      </c>
      <c r="B37" s="18" t="n">
        <v>0.983700860451839</v>
      </c>
      <c r="C37" s="18" t="n">
        <v>0.908511419325474</v>
      </c>
    </row>
    <row r="38" customFormat="false" ht="15" hidden="false" customHeight="false" outlineLevel="0" collapsed="false">
      <c r="A38" s="27" t="n">
        <v>34</v>
      </c>
      <c r="B38" s="18" t="n">
        <v>0.983925148845934</v>
      </c>
      <c r="C38" s="18" t="n">
        <v>0.90860056786132</v>
      </c>
    </row>
    <row r="39" customFormat="false" ht="15" hidden="false" customHeight="false" outlineLevel="0" collapsed="false">
      <c r="A39" s="27" t="n">
        <v>35</v>
      </c>
      <c r="B39" s="18" t="n">
        <v>0.984429797732648</v>
      </c>
      <c r="C39" s="18" t="n">
        <v>0.907192973458857</v>
      </c>
    </row>
    <row r="40" customFormat="false" ht="15" hidden="false" customHeight="false" outlineLevel="0" collapsed="false">
      <c r="A40" s="27" t="n">
        <v>36</v>
      </c>
      <c r="B40" s="18" t="n">
        <v>0.984727999347525</v>
      </c>
      <c r="C40" s="18" t="n">
        <v>0.908288971447921</v>
      </c>
    </row>
    <row r="41" customFormat="false" ht="15" hidden="false" customHeight="false" outlineLevel="0" collapsed="false">
      <c r="A41" s="27" t="n">
        <v>37</v>
      </c>
      <c r="B41" s="18" t="n">
        <v>0.984977775059131</v>
      </c>
      <c r="C41" s="18" t="n">
        <v>0.908324965723027</v>
      </c>
    </row>
    <row r="42" customFormat="false" ht="15" hidden="false" customHeight="false" outlineLevel="0" collapsed="false">
      <c r="A42" s="27" t="n">
        <v>38</v>
      </c>
      <c r="B42" s="18" t="n">
        <v>0.987332803197129</v>
      </c>
      <c r="C42" s="18" t="n">
        <v>0.907739474049177</v>
      </c>
    </row>
    <row r="43" customFormat="false" ht="15" hidden="false" customHeight="false" outlineLevel="0" collapsed="false">
      <c r="A43" s="27" t="n">
        <v>39</v>
      </c>
      <c r="B43" s="18" t="n">
        <v>0.987597871299242</v>
      </c>
      <c r="C43" s="18" t="n">
        <v>0.907775631194305</v>
      </c>
    </row>
    <row r="44" customFormat="false" ht="15" hidden="false" customHeight="false" outlineLevel="0" collapsed="false">
      <c r="A44" s="27" t="n">
        <v>40</v>
      </c>
      <c r="B44" s="18" t="n">
        <v>0.988329357311802</v>
      </c>
      <c r="C44" s="18" t="n">
        <v>0.908042373203342</v>
      </c>
    </row>
    <row r="45" customFormat="false" ht="15" hidden="false" customHeight="false" outlineLevel="0" collapsed="false">
      <c r="A45" s="27" t="n">
        <v>41</v>
      </c>
      <c r="B45" s="18" t="n">
        <v>0.988823811271511</v>
      </c>
      <c r="C45" s="18" t="n">
        <v>0.907673348819797</v>
      </c>
    </row>
    <row r="46" customFormat="false" ht="15" hidden="false" customHeight="false" outlineLevel="0" collapsed="false">
      <c r="A46" s="27" t="n">
        <v>42</v>
      </c>
      <c r="B46" s="18" t="n">
        <v>0.98898693010358</v>
      </c>
      <c r="C46" s="18" t="n">
        <v>0.907680019975943</v>
      </c>
    </row>
    <row r="47" customFormat="false" ht="15" hidden="false" customHeight="false" outlineLevel="0" collapsed="false">
      <c r="A47" s="27" t="n">
        <v>43</v>
      </c>
      <c r="B47" s="18" t="n">
        <v>0.989560394747574</v>
      </c>
      <c r="C47" s="18" t="n">
        <v>0.9075817246596</v>
      </c>
    </row>
    <row r="48" customFormat="false" ht="15" hidden="false" customHeight="false" outlineLevel="0" collapsed="false">
      <c r="A48" s="27" t="n">
        <v>44</v>
      </c>
      <c r="B48" s="18" t="n">
        <v>0.989901924802218</v>
      </c>
      <c r="C48" s="18" t="n">
        <v>0.907641269940047</v>
      </c>
    </row>
    <row r="49" customFormat="false" ht="15" hidden="false" customHeight="false" outlineLevel="0" collapsed="false">
      <c r="A49" s="27" t="n">
        <v>45</v>
      </c>
      <c r="B49" s="18" t="n">
        <v>0.989924863387978</v>
      </c>
      <c r="C49" s="18" t="n">
        <v>0.907342064678006</v>
      </c>
    </row>
    <row r="50" customFormat="false" ht="15" hidden="false" customHeight="false" outlineLevel="0" collapsed="false">
      <c r="A50" s="27" t="n">
        <v>46</v>
      </c>
      <c r="B50" s="18" t="n">
        <v>0.990485584373216</v>
      </c>
      <c r="C50" s="18" t="n">
        <v>0.906784085008458</v>
      </c>
    </row>
    <row r="51" customFormat="false" ht="15" hidden="false" customHeight="false" outlineLevel="0" collapsed="false">
      <c r="A51" s="27" t="n">
        <v>47</v>
      </c>
      <c r="B51" s="18" t="n">
        <v>0.991051402821956</v>
      </c>
      <c r="C51" s="18" t="n">
        <v>0.9065369330058</v>
      </c>
    </row>
    <row r="52" customFormat="false" ht="15" hidden="false" customHeight="false" outlineLevel="0" collapsed="false">
      <c r="A52" s="27" t="n">
        <v>48</v>
      </c>
      <c r="B52" s="18" t="n">
        <v>0.991319019655819</v>
      </c>
      <c r="C52" s="18" t="n">
        <v>0.905848136133697</v>
      </c>
    </row>
    <row r="53" customFormat="false" ht="15" hidden="false" customHeight="false" outlineLevel="0" collapsed="false">
      <c r="A53" s="27" t="n">
        <v>49</v>
      </c>
      <c r="B53" s="18" t="n">
        <v>0.991517820732404</v>
      </c>
      <c r="C53" s="18" t="n">
        <v>0.906027241040702</v>
      </c>
    </row>
    <row r="54" customFormat="false" ht="15" hidden="false" customHeight="false" outlineLevel="0" collapsed="false">
      <c r="A54" s="27" t="n">
        <v>50</v>
      </c>
      <c r="B54" s="18" t="n">
        <v>0.992137162547916</v>
      </c>
      <c r="C54" s="18" t="n">
        <v>0.906564881501765</v>
      </c>
    </row>
    <row r="55" customFormat="false" ht="15" hidden="false" customHeight="false" outlineLevel="0" collapsed="false">
      <c r="A55" s="27" t="n">
        <v>51</v>
      </c>
      <c r="B55" s="18" t="n">
        <v>0.992601031726613</v>
      </c>
      <c r="C55" s="18" t="n">
        <v>0.906211381888822</v>
      </c>
    </row>
    <row r="56" customFormat="false" ht="15" hidden="false" customHeight="false" outlineLevel="0" collapsed="false">
      <c r="A56" s="27" t="n">
        <v>52</v>
      </c>
      <c r="B56" s="18" t="n">
        <v>0.992723370850665</v>
      </c>
      <c r="C56" s="18" t="n">
        <v>0.906210404668684</v>
      </c>
    </row>
    <row r="57" customFormat="false" ht="15" hidden="false" customHeight="false" outlineLevel="0" collapsed="false">
      <c r="A57" s="27" t="n">
        <v>53</v>
      </c>
      <c r="B57" s="18" t="n">
        <v>0.992988438952777</v>
      </c>
      <c r="C57" s="18" t="n">
        <v>0.905630606930841</v>
      </c>
    </row>
    <row r="58" customFormat="false" ht="15" hidden="false" customHeight="false" outlineLevel="0" collapsed="false">
      <c r="A58" s="27" t="n">
        <v>54</v>
      </c>
      <c r="B58" s="18" t="n">
        <v>0.993182142565859</v>
      </c>
      <c r="C58" s="18" t="n">
        <v>0.905851172030928</v>
      </c>
    </row>
    <row r="59" customFormat="false" ht="15" hidden="false" customHeight="false" outlineLevel="0" collapsed="false">
      <c r="A59" s="27" t="n">
        <v>55</v>
      </c>
      <c r="B59" s="18" t="n">
        <v>0.993482892912487</v>
      </c>
      <c r="C59" s="18" t="n">
        <v>0.90582263720288</v>
      </c>
    </row>
    <row r="60" customFormat="false" ht="15" hidden="false" customHeight="false" outlineLevel="0" collapsed="false">
      <c r="A60" s="27" t="n">
        <v>56</v>
      </c>
      <c r="B60" s="18" t="n">
        <v>0.993579744719028</v>
      </c>
      <c r="C60" s="18" t="n">
        <v>0.905766714151748</v>
      </c>
    </row>
    <row r="61" customFormat="false" ht="15" hidden="false" customHeight="false" outlineLevel="0" collapsed="false">
      <c r="A61" s="27" t="n">
        <v>57</v>
      </c>
      <c r="B61" s="18" t="n">
        <v>0.993691888916075</v>
      </c>
      <c r="C61" s="18" t="n">
        <v>0.905823868500255</v>
      </c>
    </row>
    <row r="62" customFormat="false" ht="15" hidden="false" customHeight="false" outlineLevel="0" collapsed="false">
      <c r="A62" s="27" t="n">
        <v>58</v>
      </c>
      <c r="B62" s="18" t="n">
        <v>0.994005382921458</v>
      </c>
      <c r="C62" s="18" t="n">
        <v>0.905883381206696</v>
      </c>
    </row>
    <row r="63" customFormat="false" ht="15" hidden="false" customHeight="false" outlineLevel="0" collapsed="false">
      <c r="A63" s="27" t="n">
        <v>59</v>
      </c>
      <c r="B63" s="18" t="n">
        <v>0.994242414974309</v>
      </c>
      <c r="C63" s="18" t="n">
        <v>0.905793665883171</v>
      </c>
    </row>
    <row r="64" customFormat="false" ht="15" hidden="false" customHeight="false" outlineLevel="0" collapsed="false">
      <c r="A64" s="27" t="n">
        <v>60</v>
      </c>
      <c r="B64" s="18" t="n">
        <v>0.994543165320936</v>
      </c>
      <c r="C64" s="18" t="n">
        <v>0.905899505338984</v>
      </c>
    </row>
    <row r="65" customFormat="false" ht="15" hidden="false" customHeight="false" outlineLevel="0" collapsed="false">
      <c r="A65" s="27" t="n">
        <v>61</v>
      </c>
      <c r="B65" s="18" t="n">
        <v>0.994604334882962</v>
      </c>
      <c r="C65" s="18" t="n">
        <v>0.905835764526742</v>
      </c>
    </row>
    <row r="66" customFormat="false" ht="15" hidden="false" customHeight="false" outlineLevel="0" collapsed="false">
      <c r="A66" s="27" t="n">
        <v>62</v>
      </c>
      <c r="B66" s="18" t="n">
        <v>0.994772551178534</v>
      </c>
      <c r="C66" s="18" t="n">
        <v>0.906300380584246</v>
      </c>
    </row>
    <row r="67" customFormat="false" ht="15" hidden="false" customHeight="false" outlineLevel="0" collapsed="false">
      <c r="A67" s="27" t="n">
        <v>63</v>
      </c>
      <c r="B67" s="18" t="n">
        <v>0.994864305521573</v>
      </c>
      <c r="C67" s="18" t="n">
        <v>0.906069066062635</v>
      </c>
    </row>
    <row r="68" customFormat="false" ht="15" hidden="false" customHeight="false" outlineLevel="0" collapsed="false">
      <c r="A68" s="27" t="n">
        <v>64</v>
      </c>
      <c r="B68" s="18" t="n">
        <v>0.995027424353642</v>
      </c>
      <c r="C68" s="18" t="n">
        <v>0.905937024077506</v>
      </c>
    </row>
    <row r="69" customFormat="false" ht="15" hidden="false" customHeight="false" outlineLevel="0" collapsed="false">
      <c r="A69" s="27" t="n">
        <v>65</v>
      </c>
      <c r="B69" s="18" t="n">
        <v>0.995335820895522</v>
      </c>
      <c r="C69" s="18" t="n">
        <v>0.905674451541061</v>
      </c>
    </row>
    <row r="70" customFormat="false" ht="15" hidden="false" customHeight="false" outlineLevel="0" collapsed="false">
      <c r="A70" s="27" t="n">
        <v>66</v>
      </c>
      <c r="B70" s="18" t="n">
        <v>0.995468354946579</v>
      </c>
      <c r="C70" s="18" t="n">
        <v>0.905340698289719</v>
      </c>
    </row>
    <row r="71" customFormat="false" ht="15" hidden="false" customHeight="false" outlineLevel="0" collapsed="false">
      <c r="A71" s="27" t="n">
        <v>67</v>
      </c>
      <c r="B71" s="18" t="n">
        <v>0.995575401680124</v>
      </c>
      <c r="C71" s="18" t="n">
        <v>0.905270429646952</v>
      </c>
    </row>
    <row r="72" customFormat="false" ht="15" hidden="false" customHeight="false" outlineLevel="0" collapsed="false">
      <c r="A72" s="27" t="n">
        <v>68</v>
      </c>
      <c r="B72" s="18" t="n">
        <v>0.995687545877172</v>
      </c>
      <c r="C72" s="18" t="n">
        <v>0.904789461439128</v>
      </c>
    </row>
    <row r="73" customFormat="false" ht="15" hidden="false" customHeight="false" outlineLevel="0" collapsed="false">
      <c r="A73" s="27" t="n">
        <v>69</v>
      </c>
      <c r="B73" s="18" t="n">
        <v>0.995769105293206</v>
      </c>
      <c r="C73" s="18" t="n">
        <v>0.904878219086918</v>
      </c>
    </row>
    <row r="74" customFormat="false" ht="15" hidden="false" customHeight="false" outlineLevel="0" collapsed="false">
      <c r="A74" s="27" t="n">
        <v>70</v>
      </c>
      <c r="B74" s="18" t="n">
        <v>0.995891444417258</v>
      </c>
      <c r="C74" s="18" t="n">
        <v>0.905156296849562</v>
      </c>
    </row>
    <row r="75" customFormat="false" ht="15" hidden="false" customHeight="false" outlineLevel="0" collapsed="false">
      <c r="A75" s="27" t="n">
        <v>71</v>
      </c>
      <c r="B75" s="18" t="n">
        <v>0.996289046570427</v>
      </c>
      <c r="C75" s="18" t="n">
        <v>0.905161404453487</v>
      </c>
    </row>
    <row r="76" customFormat="false" ht="15" hidden="false" customHeight="false" outlineLevel="0" collapsed="false">
      <c r="A76" s="27" t="n">
        <v>72</v>
      </c>
      <c r="B76" s="18" t="n">
        <v>0.996365508522959</v>
      </c>
      <c r="C76" s="18" t="n">
        <v>0.905136009759485</v>
      </c>
    </row>
    <row r="77" customFormat="false" ht="15" hidden="false" customHeight="false" outlineLevel="0" collapsed="false">
      <c r="A77" s="27" t="n">
        <v>73</v>
      </c>
      <c r="B77" s="18" t="n">
        <v>0.996528627355028</v>
      </c>
      <c r="C77" s="18" t="n">
        <v>0.905098367239745</v>
      </c>
    </row>
    <row r="78" customFormat="false" ht="15" hidden="false" customHeight="false" outlineLevel="0" collapsed="false">
      <c r="A78" s="27" t="n">
        <v>74</v>
      </c>
      <c r="B78" s="18" t="n">
        <v>0.996584699453552</v>
      </c>
      <c r="C78" s="18" t="n">
        <v>0.905111527137612</v>
      </c>
    </row>
    <row r="79" customFormat="false" ht="15" hidden="false" customHeight="false" outlineLevel="0" collapsed="false">
      <c r="A79" s="27" t="n">
        <v>75</v>
      </c>
      <c r="B79" s="18" t="n">
        <v>0.996834475165158</v>
      </c>
      <c r="C79" s="18" t="n">
        <v>0.904907548720678</v>
      </c>
    </row>
    <row r="80" customFormat="false" ht="15" hidden="false" customHeight="false" outlineLevel="0" collapsed="false">
      <c r="A80" s="27" t="n">
        <v>76</v>
      </c>
      <c r="B80" s="18" t="n">
        <v>0.99691093711769</v>
      </c>
      <c r="C80" s="18" t="n">
        <v>0.904650513765019</v>
      </c>
    </row>
    <row r="81" customFormat="false" ht="15" hidden="false" customHeight="false" outlineLevel="0" collapsed="false">
      <c r="A81" s="27" t="n">
        <v>77</v>
      </c>
      <c r="B81" s="18" t="n">
        <v>0.997058763559253</v>
      </c>
      <c r="C81" s="18" t="n">
        <v>0.904625627225489</v>
      </c>
    </row>
    <row r="82" customFormat="false" ht="15" hidden="false" customHeight="false" outlineLevel="0" collapsed="false">
      <c r="A82" s="27" t="n">
        <v>78</v>
      </c>
      <c r="B82" s="18" t="n">
        <v>0.997318734197863</v>
      </c>
      <c r="C82" s="18" t="n">
        <v>0.904346357254275</v>
      </c>
    </row>
    <row r="83" customFormat="false" ht="15" hidden="false" customHeight="false" outlineLevel="0" collapsed="false">
      <c r="A83" s="27" t="n">
        <v>79</v>
      </c>
      <c r="B83" s="18" t="n">
        <v>0.997451268248919</v>
      </c>
      <c r="C83" s="18" t="n">
        <v>0.904308890634161</v>
      </c>
    </row>
    <row r="84" customFormat="false" ht="15" hidden="false" customHeight="false" outlineLevel="0" collapsed="false">
      <c r="A84" s="27" t="n">
        <v>80</v>
      </c>
      <c r="B84" s="18" t="n">
        <v>0.99747675556643</v>
      </c>
      <c r="C84" s="18" t="n">
        <v>0.904131401397784</v>
      </c>
    </row>
    <row r="85" customFormat="false" ht="15" hidden="false" customHeight="false" outlineLevel="0" collapsed="false">
      <c r="A85" s="27" t="n">
        <v>81</v>
      </c>
      <c r="B85" s="18" t="n">
        <v>0.997527730201452</v>
      </c>
      <c r="C85" s="18" t="n">
        <v>0.903606471313325</v>
      </c>
    </row>
    <row r="86" customFormat="false" ht="15" hidden="false" customHeight="false" outlineLevel="0" collapsed="false">
      <c r="A86" s="27" t="n">
        <v>82</v>
      </c>
      <c r="B86" s="18" t="n">
        <v>0.997670459179512</v>
      </c>
      <c r="C86" s="18" t="n">
        <v>0.903638107186612</v>
      </c>
    </row>
    <row r="87" customFormat="false" ht="15" hidden="false" customHeight="false" outlineLevel="0" collapsed="false">
      <c r="A87" s="27" t="n">
        <v>83</v>
      </c>
      <c r="B87" s="18" t="n">
        <v>0.997859065329092</v>
      </c>
      <c r="C87" s="18" t="n">
        <v>0.903529824680453</v>
      </c>
    </row>
    <row r="88" customFormat="false" ht="15" hidden="false" customHeight="false" outlineLevel="0" collapsed="false">
      <c r="A88" s="27" t="n">
        <v>84</v>
      </c>
      <c r="B88" s="18" t="n">
        <v>0.99797120952614</v>
      </c>
      <c r="C88" s="18" t="n">
        <v>0.903389528442552</v>
      </c>
    </row>
    <row r="89" customFormat="false" ht="15" hidden="false" customHeight="false" outlineLevel="0" collapsed="false">
      <c r="A89" s="27" t="n">
        <v>85</v>
      </c>
      <c r="B89" s="18" t="n">
        <v>0.998027281624664</v>
      </c>
      <c r="C89" s="18" t="n">
        <v>0.903151086728731</v>
      </c>
    </row>
    <row r="90" customFormat="false" ht="15" hidden="false" customHeight="false" outlineLevel="0" collapsed="false">
      <c r="A90" s="27" t="n">
        <v>86</v>
      </c>
      <c r="B90" s="18" t="n">
        <v>0.998047671478672</v>
      </c>
      <c r="C90" s="18" t="n">
        <v>0.903264405176004</v>
      </c>
    </row>
    <row r="91" customFormat="false" ht="15" hidden="false" customHeight="false" outlineLevel="0" collapsed="false">
      <c r="A91" s="27" t="n">
        <v>87</v>
      </c>
      <c r="B91" s="18" t="n">
        <v>0.998149620748715</v>
      </c>
      <c r="C91" s="18" t="n">
        <v>0.903192331933381</v>
      </c>
    </row>
    <row r="92" customFormat="false" ht="15" hidden="false" customHeight="false" outlineLevel="0" collapsed="false">
      <c r="A92" s="27" t="n">
        <v>88</v>
      </c>
      <c r="B92" s="18" t="n">
        <v>0.998205692847239</v>
      </c>
      <c r="C92" s="18" t="n">
        <v>0.902873536664961</v>
      </c>
    </row>
    <row r="93" customFormat="false" ht="15" hidden="false" customHeight="false" outlineLevel="0" collapsed="false">
      <c r="A93" s="27" t="n">
        <v>89</v>
      </c>
      <c r="B93" s="18" t="n">
        <v>0.998394298996819</v>
      </c>
      <c r="C93" s="18" t="n">
        <v>0.902687662879795</v>
      </c>
    </row>
    <row r="94" customFormat="false" ht="15" hidden="false" customHeight="false" outlineLevel="0" collapsed="false">
      <c r="A94" s="27" t="n">
        <v>90</v>
      </c>
      <c r="B94" s="18" t="n">
        <v>0.998429981241334</v>
      </c>
      <c r="C94" s="18" t="n">
        <v>0.902731005850343</v>
      </c>
    </row>
    <row r="95" customFormat="false" ht="15" hidden="false" customHeight="false" outlineLevel="0" collapsed="false">
      <c r="A95" s="27" t="n">
        <v>91</v>
      </c>
      <c r="B95" s="18" t="n">
        <v>0.998593100073403</v>
      </c>
      <c r="C95" s="18" t="n">
        <v>0.90245060881857</v>
      </c>
    </row>
    <row r="96" customFormat="false" ht="15" hidden="false" customHeight="false" outlineLevel="0" collapsed="false">
      <c r="A96" s="27" t="n">
        <v>92</v>
      </c>
      <c r="B96" s="18" t="n">
        <v>0.99865426963543</v>
      </c>
      <c r="C96" s="18" t="n">
        <v>0.902442947412683</v>
      </c>
    </row>
    <row r="97" customFormat="false" ht="15" hidden="false" customHeight="false" outlineLevel="0" collapsed="false">
      <c r="A97" s="27" t="n">
        <v>93</v>
      </c>
      <c r="B97" s="18" t="n">
        <v>0.998684854416442</v>
      </c>
      <c r="C97" s="18" t="n">
        <v>0.902323296578911</v>
      </c>
    </row>
    <row r="98" customFormat="false" ht="15" hidden="false" customHeight="false" outlineLevel="0" collapsed="false">
      <c r="A98" s="27" t="n">
        <v>94</v>
      </c>
      <c r="B98" s="18" t="n">
        <v>0.998827583394503</v>
      </c>
      <c r="C98" s="18" t="n">
        <v>0.902004455706885</v>
      </c>
    </row>
    <row r="99" customFormat="false" ht="15" hidden="false" customHeight="false" outlineLevel="0" collapsed="false">
      <c r="A99" s="27" t="n">
        <v>95</v>
      </c>
      <c r="B99" s="18" t="n">
        <v>0.99891424027404</v>
      </c>
      <c r="C99" s="18" t="n">
        <v>0.901684605040715</v>
      </c>
    </row>
    <row r="100" customFormat="false" ht="15" hidden="false" customHeight="false" outlineLevel="0" collapsed="false">
      <c r="A100" s="27" t="n">
        <v>96</v>
      </c>
      <c r="B100" s="18" t="n">
        <v>0.998909142810537</v>
      </c>
      <c r="C100" s="18" t="n">
        <v>0.901584922071775</v>
      </c>
    </row>
    <row r="101" customFormat="false" ht="15" hidden="false" customHeight="false" outlineLevel="0" collapsed="false">
      <c r="A101" s="27" t="n">
        <v>97</v>
      </c>
      <c r="B101" s="18" t="n">
        <v>0.998919337737542</v>
      </c>
      <c r="C101" s="18" t="n">
        <v>0.901202868086383</v>
      </c>
    </row>
    <row r="102" customFormat="false" ht="15" hidden="false" customHeight="false" outlineLevel="0" collapsed="false">
      <c r="A102" s="27" t="n">
        <v>98</v>
      </c>
      <c r="B102" s="18" t="n">
        <v>0.998955019982057</v>
      </c>
      <c r="C102" s="18" t="n">
        <v>0.901758645753218</v>
      </c>
    </row>
    <row r="103" customFormat="false" ht="15" hidden="false" customHeight="false" outlineLevel="0" collapsed="false">
      <c r="A103" s="27" t="n">
        <v>99</v>
      </c>
      <c r="B103" s="18" t="n">
        <v>0.9992914525732</v>
      </c>
      <c r="C103" s="18" t="n">
        <v>0.901812581790068</v>
      </c>
    </row>
    <row r="104" customFormat="false" ht="15" hidden="false" customHeight="false" outlineLevel="0" collapsed="false">
      <c r="A104" s="27" t="n">
        <v>100</v>
      </c>
      <c r="B104" s="18" t="n">
        <v>0.999322037354213</v>
      </c>
      <c r="C104" s="18" t="n">
        <v>0.901709230988208</v>
      </c>
    </row>
    <row r="105" customFormat="false" ht="15" hidden="false" customHeight="false" outlineLevel="0" collapsed="false">
      <c r="A105" s="27" t="n">
        <v>101</v>
      </c>
      <c r="B105" s="18" t="n">
        <v>0.999337329744719</v>
      </c>
      <c r="C105" s="18" t="n">
        <v>0.901635757063386</v>
      </c>
    </row>
    <row r="106" customFormat="false" ht="15" hidden="false" customHeight="false" outlineLevel="0" collapsed="false">
      <c r="A106" s="27" t="n">
        <v>102</v>
      </c>
      <c r="B106" s="18" t="n">
        <v>0.999510643503793</v>
      </c>
      <c r="C106" s="18" t="n">
        <v>0.901476939246459</v>
      </c>
    </row>
    <row r="107" customFormat="false" ht="15" hidden="false" customHeight="false" outlineLevel="0" collapsed="false">
      <c r="A107" s="27" t="n">
        <v>103</v>
      </c>
      <c r="B107" s="18" t="n">
        <v>0.99950554604029</v>
      </c>
      <c r="C107" s="18" t="n">
        <v>0.901456626097177</v>
      </c>
    </row>
    <row r="108" customFormat="false" ht="15" hidden="false" customHeight="false" outlineLevel="0" collapsed="false">
      <c r="A108" s="27" t="n">
        <v>104</v>
      </c>
      <c r="B108" s="18" t="n">
        <v>0.999515740967295</v>
      </c>
      <c r="C108" s="18" t="n">
        <v>0.901500405559387</v>
      </c>
    </row>
    <row r="109" customFormat="false" ht="15" hidden="false" customHeight="false" outlineLevel="0" collapsed="false">
      <c r="A109" s="27" t="n">
        <v>105</v>
      </c>
      <c r="B109" s="18" t="n">
        <v>0.999541228284806</v>
      </c>
      <c r="C109" s="18" t="n">
        <v>0.901206066853636</v>
      </c>
    </row>
    <row r="110" customFormat="false" ht="15" hidden="false" customHeight="false" outlineLevel="0" collapsed="false">
      <c r="A110" s="27" t="n">
        <v>106</v>
      </c>
      <c r="B110" s="18" t="n">
        <v>0.999541228284805</v>
      </c>
      <c r="C110" s="18" t="n">
        <v>0.901055496774678</v>
      </c>
    </row>
    <row r="111" customFormat="false" ht="15" hidden="false" customHeight="false" outlineLevel="0" collapsed="false">
      <c r="A111" s="27" t="n">
        <v>107</v>
      </c>
      <c r="B111" s="18" t="n">
        <v>0.999541228284806</v>
      </c>
      <c r="C111" s="18" t="n">
        <v>0.901023346232118</v>
      </c>
    </row>
    <row r="112" customFormat="false" ht="15" hidden="false" customHeight="false" outlineLevel="0" collapsed="false">
      <c r="A112" s="27" t="n">
        <v>108</v>
      </c>
      <c r="B112" s="18" t="n">
        <v>0.999638080091347</v>
      </c>
      <c r="C112" s="18" t="n">
        <v>0.90121024935583</v>
      </c>
    </row>
    <row r="113" customFormat="false" ht="15" hidden="false" customHeight="false" outlineLevel="0" collapsed="false">
      <c r="A113" s="27" t="n">
        <v>109</v>
      </c>
      <c r="B113" s="18" t="n">
        <v>0.999653372481853</v>
      </c>
      <c r="C113" s="18" t="n">
        <v>0.901140475837933</v>
      </c>
    </row>
    <row r="114" customFormat="false" ht="15" hidden="false" customHeight="false" outlineLevel="0" collapsed="false">
      <c r="A114" s="27" t="n">
        <v>110</v>
      </c>
      <c r="B114" s="18" t="n">
        <v>0.999653372481853</v>
      </c>
      <c r="C114" s="18" t="n">
        <v>0.901015873755458</v>
      </c>
    </row>
    <row r="115" customFormat="false" ht="15" hidden="false" customHeight="false" outlineLevel="0" collapsed="false">
      <c r="A115" s="27" t="n">
        <v>111</v>
      </c>
      <c r="B115" s="18" t="n">
        <v>0.99969415218987</v>
      </c>
      <c r="C115" s="18" t="n">
        <v>0.900831140060454</v>
      </c>
    </row>
    <row r="116" customFormat="false" ht="15" hidden="false" customHeight="false" outlineLevel="0" collapsed="false">
      <c r="A116" s="27" t="n">
        <v>112</v>
      </c>
      <c r="B116" s="18" t="n">
        <v>0.999699249653372</v>
      </c>
      <c r="C116" s="18" t="n">
        <v>0.900338269311342</v>
      </c>
    </row>
    <row r="117" customFormat="false" ht="15" hidden="false" customHeight="false" outlineLevel="0" collapsed="false">
      <c r="A117" s="27" t="n">
        <v>113</v>
      </c>
      <c r="B117" s="18" t="n">
        <v>0.999699249653373</v>
      </c>
      <c r="C117" s="18" t="n">
        <v>0.900273759752592</v>
      </c>
    </row>
    <row r="118" customFormat="false" ht="15" hidden="false" customHeight="false" outlineLevel="0" collapsed="false">
      <c r="A118" s="27" t="n">
        <v>114</v>
      </c>
      <c r="B118" s="18" t="n">
        <v>0.999714542043879</v>
      </c>
      <c r="C118" s="18" t="n">
        <v>0.900291949076772</v>
      </c>
    </row>
    <row r="119" customFormat="false" ht="15" hidden="false" customHeight="false" outlineLevel="0" collapsed="false">
      <c r="A119" s="27" t="n">
        <v>115</v>
      </c>
      <c r="B119" s="18" t="n">
        <v>0.999719639507381</v>
      </c>
      <c r="C119" s="18" t="n">
        <v>0.900624920552003</v>
      </c>
    </row>
    <row r="120" customFormat="false" ht="15" hidden="false" customHeight="false" outlineLevel="0" collapsed="false">
      <c r="A120" s="27" t="n">
        <v>116</v>
      </c>
      <c r="B120" s="18" t="n">
        <v>0.999719639507381</v>
      </c>
      <c r="C120" s="18" t="n">
        <v>0.900648041580483</v>
      </c>
    </row>
    <row r="121" customFormat="false" ht="15" hidden="false" customHeight="false" outlineLevel="0" collapsed="false">
      <c r="A121" s="27" t="n">
        <v>117</v>
      </c>
      <c r="B121" s="18" t="n">
        <v>0.999724736970883</v>
      </c>
      <c r="C121" s="18" t="n">
        <v>0.900555791999397</v>
      </c>
    </row>
    <row r="122" customFormat="false" ht="15" hidden="false" customHeight="false" outlineLevel="0" collapsed="false">
      <c r="A122" s="27" t="n">
        <v>118</v>
      </c>
      <c r="B122" s="18" t="n">
        <v>0.999780809069407</v>
      </c>
      <c r="C122" s="18" t="n">
        <v>0.900511445749507</v>
      </c>
    </row>
    <row r="123" customFormat="false" ht="15" hidden="false" customHeight="false" outlineLevel="0" collapsed="false">
      <c r="A123" s="27" t="n">
        <v>119</v>
      </c>
      <c r="B123" s="18" t="n">
        <v>0.999831783704429</v>
      </c>
      <c r="C123" s="18" t="n">
        <v>0.900719105028963</v>
      </c>
    </row>
    <row r="124" customFormat="false" ht="15" hidden="false" customHeight="false" outlineLevel="0" collapsed="false">
      <c r="A124" s="27" t="n">
        <v>120</v>
      </c>
      <c r="B124" s="18" t="n">
        <v>0.999831783704429</v>
      </c>
      <c r="C124" s="18" t="n">
        <v>0.900508312130262</v>
      </c>
    </row>
    <row r="125" customFormat="false" ht="15" hidden="false" customHeight="false" outlineLevel="0" collapsed="false">
      <c r="A125" s="27" t="n">
        <v>121</v>
      </c>
      <c r="B125" s="18" t="n">
        <v>0.999831783704429</v>
      </c>
      <c r="C125" s="18" t="n">
        <v>0.900425196300073</v>
      </c>
    </row>
    <row r="126" customFormat="false" ht="15" hidden="false" customHeight="false" outlineLevel="0" collapsed="false">
      <c r="A126" s="27" t="n">
        <v>122</v>
      </c>
      <c r="B126" s="18" t="n">
        <v>0.999831783704429</v>
      </c>
      <c r="C126" s="18" t="n">
        <v>0.900448962293844</v>
      </c>
    </row>
    <row r="127" customFormat="false" ht="15" hidden="false" customHeight="false" outlineLevel="0" collapsed="false">
      <c r="A127" s="27" t="n">
        <v>123</v>
      </c>
      <c r="B127" s="18" t="n">
        <v>0.999836881167931</v>
      </c>
      <c r="C127" s="18" t="n">
        <v>0.900135092214922</v>
      </c>
    </row>
    <row r="128" customFormat="false" ht="15" hidden="false" customHeight="false" outlineLevel="0" collapsed="false">
      <c r="A128" s="27" t="n">
        <v>124</v>
      </c>
      <c r="B128" s="18" t="n">
        <v>0.999898050729957</v>
      </c>
      <c r="C128" s="18" t="n">
        <v>0.900006405352269</v>
      </c>
    </row>
    <row r="129" customFormat="false" ht="15" hidden="false" customHeight="false" outlineLevel="0" collapsed="false">
      <c r="A129" s="27" t="n">
        <v>125</v>
      </c>
      <c r="B129" s="18" t="n">
        <v>0.999892953266455</v>
      </c>
      <c r="C129" s="18" t="n">
        <v>0.899819639039377</v>
      </c>
    </row>
    <row r="130" customFormat="false" ht="15" hidden="false" customHeight="false" outlineLevel="0" collapsed="false">
      <c r="A130" s="27" t="n">
        <v>126</v>
      </c>
      <c r="B130" s="18" t="n">
        <v>0.999898050729957</v>
      </c>
      <c r="C130" s="18" t="n">
        <v>0.899597360546647</v>
      </c>
    </row>
    <row r="131" customFormat="false" ht="15" hidden="false" customHeight="false" outlineLevel="0" collapsed="false">
      <c r="A131" s="27" t="n">
        <v>127</v>
      </c>
      <c r="B131" s="18" t="n">
        <v>0.999908245656961</v>
      </c>
      <c r="C131" s="18" t="n">
        <v>0.899522023388761</v>
      </c>
    </row>
    <row r="132" customFormat="false" ht="15" hidden="false" customHeight="false" outlineLevel="0" collapsed="false">
      <c r="A132" s="27" t="n">
        <v>128</v>
      </c>
      <c r="B132" s="18" t="n">
        <v>0.999923538047468</v>
      </c>
      <c r="C132" s="18" t="n">
        <v>0.899432887882517</v>
      </c>
    </row>
    <row r="133" customFormat="false" ht="15" hidden="false" customHeight="false" outlineLevel="0" collapsed="false">
      <c r="A133" s="27" t="n">
        <v>129</v>
      </c>
      <c r="B133" s="18" t="n">
        <v>0.999923538047468</v>
      </c>
      <c r="C133" s="18" t="n">
        <v>0.899186250549133</v>
      </c>
    </row>
    <row r="134" customFormat="false" ht="15" hidden="false" customHeight="false" outlineLevel="0" collapsed="false">
      <c r="A134" s="27" t="n">
        <v>130</v>
      </c>
      <c r="B134" s="18" t="n">
        <v>0.999908245656961</v>
      </c>
      <c r="C134" s="18" t="n">
        <v>0.89914068603147</v>
      </c>
    </row>
    <row r="135" customFormat="false" ht="15" hidden="false" customHeight="false" outlineLevel="0" collapsed="false">
      <c r="A135" s="27" t="n">
        <v>131</v>
      </c>
      <c r="B135" s="18" t="n">
        <v>0.999923538047468</v>
      </c>
      <c r="C135" s="18" t="n">
        <v>0.89896789396656</v>
      </c>
    </row>
    <row r="136" customFormat="false" ht="15" hidden="false" customHeight="false" outlineLevel="0" collapsed="false">
      <c r="A136" s="27" t="n">
        <v>132</v>
      </c>
      <c r="B136" s="18" t="n">
        <v>0.999918440583965</v>
      </c>
      <c r="C136" s="18" t="n">
        <v>0.898984454590509</v>
      </c>
    </row>
    <row r="137" customFormat="false" ht="15" hidden="false" customHeight="false" outlineLevel="0" collapsed="false">
      <c r="A137" s="27" t="n">
        <v>133</v>
      </c>
      <c r="B137" s="18" t="n">
        <v>0.99992863551097</v>
      </c>
      <c r="C137" s="18" t="n">
        <v>0.899022931004766</v>
      </c>
    </row>
    <row r="138" customFormat="false" ht="15" hidden="false" customHeight="false" outlineLevel="0" collapsed="false">
      <c r="A138" s="27" t="n">
        <v>134</v>
      </c>
      <c r="B138" s="18" t="n">
        <v>0.999964317755485</v>
      </c>
      <c r="C138" s="18" t="n">
        <v>0.898849272471334</v>
      </c>
    </row>
    <row r="139" customFormat="false" ht="15" hidden="false" customHeight="false" outlineLevel="0" collapsed="false">
      <c r="A139" s="27" t="n">
        <v>135</v>
      </c>
      <c r="B139" s="18" t="n">
        <v>0.999964317755485</v>
      </c>
      <c r="C139" s="18" t="n">
        <v>0.898403516762505</v>
      </c>
    </row>
    <row r="140" customFormat="false" ht="15" hidden="false" customHeight="false" outlineLevel="0" collapsed="false">
      <c r="A140" s="27" t="n">
        <v>136</v>
      </c>
      <c r="B140" s="18" t="n">
        <v>0.999964317755485</v>
      </c>
      <c r="C140" s="18" t="n">
        <v>0.89855794360361</v>
      </c>
    </row>
    <row r="141" customFormat="false" ht="15" hidden="false" customHeight="false" outlineLevel="0" collapsed="false">
      <c r="A141" s="27" t="n">
        <v>137</v>
      </c>
      <c r="B141" s="18" t="n">
        <v>0.999969415218987</v>
      </c>
      <c r="C141" s="18" t="n">
        <v>0.898544256006868</v>
      </c>
    </row>
    <row r="142" customFormat="false" ht="15" hidden="false" customHeight="false" outlineLevel="0" collapsed="false">
      <c r="A142" s="27" t="n">
        <v>138</v>
      </c>
      <c r="B142" s="18" t="n">
        <v>0.999969415218987</v>
      </c>
      <c r="C142" s="18" t="n">
        <v>0.898556829572651</v>
      </c>
    </row>
    <row r="143" customFormat="false" ht="15" hidden="false" customHeight="false" outlineLevel="0" collapsed="false">
      <c r="A143" s="27" t="n">
        <v>139</v>
      </c>
      <c r="B143" s="18" t="n">
        <v>0.999969415218987</v>
      </c>
      <c r="C143" s="18" t="n">
        <v>0.898589892187341</v>
      </c>
    </row>
    <row r="144" customFormat="false" ht="15" hidden="false" customHeight="false" outlineLevel="0" collapsed="false">
      <c r="A144" s="27" t="n">
        <v>140</v>
      </c>
      <c r="B144" s="18" t="n">
        <v>0.999959220291983</v>
      </c>
      <c r="C144" s="18" t="n">
        <v>0.898316381300145</v>
      </c>
    </row>
    <row r="145" customFormat="false" ht="15" hidden="false" customHeight="false" outlineLevel="0" collapsed="false">
      <c r="A145" s="27" t="n">
        <v>141</v>
      </c>
      <c r="B145" s="18" t="n">
        <v>0.999969415218987</v>
      </c>
      <c r="C145" s="18" t="n">
        <v>0.898094356884651</v>
      </c>
    </row>
    <row r="146" customFormat="false" ht="15" hidden="false" customHeight="false" outlineLevel="0" collapsed="false">
      <c r="A146" s="27" t="n">
        <v>142</v>
      </c>
      <c r="B146" s="18" t="n">
        <v>0.999989805072996</v>
      </c>
      <c r="C146" s="18" t="n">
        <v>0.898069822144371</v>
      </c>
    </row>
    <row r="147" customFormat="false" ht="15" hidden="false" customHeight="false" outlineLevel="0" collapsed="false">
      <c r="A147" s="27" t="n">
        <v>143</v>
      </c>
      <c r="B147" s="18" t="n">
        <v>0.999989805072996</v>
      </c>
      <c r="C147" s="18" t="n">
        <v>0.898019436674024</v>
      </c>
    </row>
    <row r="148" customFormat="false" ht="15" hidden="false" customHeight="false" outlineLevel="0" collapsed="false">
      <c r="A148" s="27" t="n">
        <v>144</v>
      </c>
      <c r="B148" s="18" t="n">
        <v>0.999989805072996</v>
      </c>
      <c r="C148" s="18" t="n">
        <v>0.897991514237264</v>
      </c>
    </row>
    <row r="149" customFormat="false" ht="15" hidden="false" customHeight="false" outlineLevel="0" collapsed="false">
      <c r="A149" s="27" t="n">
        <v>145</v>
      </c>
      <c r="B149" s="18" t="n">
        <v>0.999989805072996</v>
      </c>
      <c r="C149" s="18" t="n">
        <v>0.897796408979189</v>
      </c>
    </row>
    <row r="150" customFormat="false" ht="15" hidden="false" customHeight="false" outlineLevel="0" collapsed="false">
      <c r="A150" s="27" t="n">
        <v>146</v>
      </c>
      <c r="B150" s="18" t="n">
        <v>0.999989805072996</v>
      </c>
      <c r="C150" s="18" t="n">
        <v>0.897614906625443</v>
      </c>
    </row>
    <row r="151" customFormat="false" ht="15" hidden="false" customHeight="false" outlineLevel="0" collapsed="false">
      <c r="A151" s="27" t="n">
        <v>147</v>
      </c>
      <c r="B151" s="18" t="n">
        <v>0.999994902536498</v>
      </c>
      <c r="C151" s="18" t="n">
        <v>0.897621317189552</v>
      </c>
    </row>
    <row r="152" customFormat="false" ht="15" hidden="false" customHeight="false" outlineLevel="0" collapsed="false">
      <c r="A152" s="27" t="n">
        <v>148</v>
      </c>
      <c r="B152" s="18" t="n">
        <v>0.999994902536498</v>
      </c>
      <c r="C152" s="18" t="n">
        <v>0.897617004391341</v>
      </c>
    </row>
    <row r="153" customFormat="false" ht="15" hidden="false" customHeight="false" outlineLevel="0" collapsed="false">
      <c r="A153" s="27" t="n">
        <v>149</v>
      </c>
      <c r="B153" s="18" t="n">
        <v>0.999994902536498</v>
      </c>
      <c r="C153" s="18" t="n">
        <v>0.897568175958414</v>
      </c>
    </row>
    <row r="154" customFormat="false" ht="15" hidden="false" customHeight="false" outlineLevel="0" collapsed="false">
      <c r="A154" s="27" t="n">
        <v>150</v>
      </c>
      <c r="B154" s="18" t="n">
        <v>0.999994902536498</v>
      </c>
      <c r="C154" s="18" t="n">
        <v>0.897555967221483</v>
      </c>
    </row>
    <row r="155" customFormat="false" ht="15" hidden="false" customHeight="false" outlineLevel="0" collapsed="false">
      <c r="A155" s="27" t="n">
        <v>151</v>
      </c>
      <c r="B155" s="18" t="n">
        <v>0.999994902536498</v>
      </c>
      <c r="C155" s="18" t="n">
        <v>0.898064753629252</v>
      </c>
    </row>
    <row r="156" customFormat="false" ht="15" hidden="false" customHeight="false" outlineLevel="0" collapsed="false">
      <c r="A156" s="27" t="n">
        <v>152</v>
      </c>
      <c r="B156" s="18" t="n">
        <v>0.999994902536498</v>
      </c>
      <c r="C156" s="18" t="n">
        <v>0.898075555169184</v>
      </c>
    </row>
    <row r="157" customFormat="false" ht="15" hidden="false" customHeight="false" outlineLevel="0" collapsed="false">
      <c r="A157" s="27" t="n">
        <v>153</v>
      </c>
      <c r="B157" s="18" t="n">
        <v>0.999994902536498</v>
      </c>
      <c r="C157" s="18" t="n">
        <v>0.897990563076329</v>
      </c>
    </row>
    <row r="158" customFormat="false" ht="15" hidden="false" customHeight="false" outlineLevel="0" collapsed="false">
      <c r="A158" s="27" t="n">
        <v>154</v>
      </c>
      <c r="B158" s="18" t="n">
        <v>0.999994902536498</v>
      </c>
      <c r="C158" s="18" t="n">
        <v>0.89816392844372</v>
      </c>
    </row>
    <row r="159" customFormat="false" ht="15" hidden="false" customHeight="false" outlineLevel="0" collapsed="false">
      <c r="A159" s="27" t="n">
        <v>155</v>
      </c>
      <c r="B159" s="18" t="n">
        <v>0.999989805072996</v>
      </c>
      <c r="C159" s="18" t="n">
        <v>0.897875472603203</v>
      </c>
    </row>
    <row r="160" customFormat="false" ht="15" hidden="false" customHeight="false" outlineLevel="0" collapsed="false">
      <c r="A160" s="27" t="n">
        <v>156</v>
      </c>
      <c r="B160" s="18" t="n">
        <v>0.999994902536498</v>
      </c>
      <c r="C160" s="18" t="n">
        <v>0.897786167712136</v>
      </c>
    </row>
    <row r="161" customFormat="false" ht="15" hidden="false" customHeight="false" outlineLevel="0" collapsed="false">
      <c r="A161" s="27" t="n">
        <v>157</v>
      </c>
      <c r="B161" s="18" t="n">
        <v>0.999994902536498</v>
      </c>
      <c r="C161" s="18" t="n">
        <v>0.897517575499637</v>
      </c>
    </row>
    <row r="162" customFormat="false" ht="15" hidden="false" customHeight="false" outlineLevel="0" collapsed="false">
      <c r="A162" s="27" t="n">
        <v>158</v>
      </c>
      <c r="B162" s="18" t="n">
        <v>0.999994902536498</v>
      </c>
      <c r="C162" s="18" t="n">
        <v>0.897680536729953</v>
      </c>
    </row>
    <row r="163" customFormat="false" ht="15" hidden="false" customHeight="false" outlineLevel="0" collapsed="false">
      <c r="A163" s="27" t="n">
        <v>159</v>
      </c>
      <c r="B163" s="18" t="n">
        <v>1</v>
      </c>
      <c r="C163" s="18" t="n">
        <v>0.897471626608719</v>
      </c>
    </row>
    <row r="164" customFormat="false" ht="15" hidden="false" customHeight="false" outlineLevel="0" collapsed="false">
      <c r="A164" s="27" t="n">
        <v>160</v>
      </c>
      <c r="B164" s="18" t="n">
        <v>1</v>
      </c>
      <c r="C164" s="18" t="n">
        <v>0.897312561229357</v>
      </c>
    </row>
    <row r="165" customFormat="false" ht="15" hidden="false" customHeight="false" outlineLevel="0" collapsed="false">
      <c r="A165" s="27" t="n">
        <v>161</v>
      </c>
      <c r="B165" s="18" t="n">
        <v>1</v>
      </c>
      <c r="C165" s="18" t="n">
        <v>0.897314111751976</v>
      </c>
    </row>
    <row r="166" customFormat="false" ht="15" hidden="false" customHeight="false" outlineLevel="0" collapsed="false">
      <c r="A166" s="27" t="n">
        <v>162</v>
      </c>
      <c r="B166" s="18" t="n">
        <v>1</v>
      </c>
      <c r="C166" s="18" t="n">
        <v>0.897207581727266</v>
      </c>
    </row>
    <row r="167" customFormat="false" ht="15" hidden="false" customHeight="false" outlineLevel="0" collapsed="false">
      <c r="A167" s="27" t="n">
        <v>163</v>
      </c>
      <c r="B167" s="18" t="n">
        <v>1</v>
      </c>
      <c r="C167" s="18" t="n">
        <v>0.897270130330938</v>
      </c>
    </row>
    <row r="168" customFormat="false" ht="15" hidden="false" customHeight="false" outlineLevel="0" collapsed="false">
      <c r="A168" s="27" t="n">
        <v>164</v>
      </c>
      <c r="B168" s="18" t="n">
        <v>1</v>
      </c>
      <c r="C168" s="18" t="n">
        <v>0.897283107814379</v>
      </c>
    </row>
    <row r="169" customFormat="false" ht="15" hidden="false" customHeight="false" outlineLevel="0" collapsed="false">
      <c r="A169" s="27" t="n">
        <v>165</v>
      </c>
      <c r="B169" s="18" t="n">
        <v>1</v>
      </c>
      <c r="C169" s="18" t="n">
        <v>0.897172538613095</v>
      </c>
    </row>
    <row r="170" customFormat="false" ht="15" hidden="false" customHeight="false" outlineLevel="0" collapsed="false">
      <c r="A170" s="27" t="n">
        <v>166</v>
      </c>
      <c r="B170" s="18" t="n">
        <v>1</v>
      </c>
      <c r="C170" s="18" t="n">
        <v>0.896656149432647</v>
      </c>
    </row>
    <row r="171" customFormat="false" ht="15" hidden="false" customHeight="false" outlineLevel="0" collapsed="false">
      <c r="A171" s="27" t="n">
        <v>167</v>
      </c>
      <c r="B171" s="18" t="n">
        <v>1</v>
      </c>
      <c r="C171" s="18" t="n">
        <v>0.896729453972645</v>
      </c>
    </row>
    <row r="172" customFormat="false" ht="15" hidden="false" customHeight="false" outlineLevel="0" collapsed="false">
      <c r="A172" s="27" t="n">
        <v>168</v>
      </c>
      <c r="B172" s="18" t="n">
        <v>1</v>
      </c>
      <c r="C172" s="18" t="n">
        <v>0.896757676090248</v>
      </c>
    </row>
    <row r="173" customFormat="false" ht="15" hidden="false" customHeight="false" outlineLevel="0" collapsed="false">
      <c r="A173" s="27" t="n">
        <v>169</v>
      </c>
      <c r="B173" s="18" t="n">
        <v>1</v>
      </c>
      <c r="C173" s="18" t="n">
        <v>0.896650351259824</v>
      </c>
    </row>
    <row r="174" customFormat="false" ht="15" hidden="false" customHeight="false" outlineLevel="0" collapsed="false">
      <c r="A174" s="27" t="n">
        <v>170</v>
      </c>
      <c r="B174" s="18" t="n">
        <v>1</v>
      </c>
      <c r="C174" s="18" t="n">
        <v>0.896552674849569</v>
      </c>
    </row>
    <row r="175" customFormat="false" ht="15" hidden="false" customHeight="false" outlineLevel="0" collapsed="false">
      <c r="A175" s="27" t="n">
        <v>171</v>
      </c>
      <c r="B175" s="18" t="n">
        <v>1</v>
      </c>
      <c r="C175" s="18" t="n">
        <v>0.896595972216511</v>
      </c>
    </row>
    <row r="176" customFormat="false" ht="15" hidden="false" customHeight="false" outlineLevel="0" collapsed="false">
      <c r="A176" s="27" t="n">
        <v>172</v>
      </c>
      <c r="B176" s="18" t="n">
        <v>1</v>
      </c>
      <c r="C176" s="18" t="n">
        <v>0.896583046851478</v>
      </c>
    </row>
    <row r="177" customFormat="false" ht="15" hidden="false" customHeight="false" outlineLevel="0" collapsed="false">
      <c r="A177" s="27" t="n">
        <v>173</v>
      </c>
      <c r="B177" s="18" t="n">
        <v>1</v>
      </c>
      <c r="C177" s="18" t="n">
        <v>0.896305242710472</v>
      </c>
    </row>
    <row r="178" customFormat="false" ht="15" hidden="false" customHeight="false" outlineLevel="0" collapsed="false">
      <c r="A178" s="27" t="n">
        <v>174</v>
      </c>
      <c r="B178" s="18" t="n">
        <v>1</v>
      </c>
      <c r="C178" s="18" t="n">
        <v>0.896338585461602</v>
      </c>
    </row>
    <row r="179" customFormat="false" ht="15" hidden="false" customHeight="false" outlineLevel="0" collapsed="false">
      <c r="A179" s="27" t="n">
        <v>175</v>
      </c>
      <c r="B179" s="18" t="n">
        <v>1</v>
      </c>
      <c r="C179" s="18" t="n">
        <v>0.896266219052937</v>
      </c>
    </row>
    <row r="180" customFormat="false" ht="15" hidden="false" customHeight="false" outlineLevel="0" collapsed="false">
      <c r="A180" s="27" t="n">
        <v>176</v>
      </c>
      <c r="B180" s="18" t="n">
        <v>1</v>
      </c>
      <c r="C180" s="18" t="n">
        <v>0.896129238848706</v>
      </c>
    </row>
    <row r="181" customFormat="false" ht="15" hidden="false" customHeight="false" outlineLevel="0" collapsed="false">
      <c r="A181" s="27" t="n">
        <v>177</v>
      </c>
      <c r="B181" s="18" t="n">
        <v>1</v>
      </c>
      <c r="C181" s="18" t="n">
        <v>0.895864907316012</v>
      </c>
    </row>
    <row r="182" customFormat="false" ht="15" hidden="false" customHeight="false" outlineLevel="0" collapsed="false">
      <c r="A182" s="27" t="n">
        <v>178</v>
      </c>
      <c r="B182" s="18" t="n">
        <v>1</v>
      </c>
      <c r="C182" s="18" t="n">
        <v>0.895738233526844</v>
      </c>
    </row>
    <row r="183" customFormat="false" ht="15" hidden="false" customHeight="false" outlineLevel="0" collapsed="false">
      <c r="A183" s="27" t="n">
        <v>179</v>
      </c>
      <c r="B183" s="18" t="n">
        <v>1</v>
      </c>
      <c r="C183" s="18" t="n">
        <v>0.895728552532671</v>
      </c>
    </row>
    <row r="184" customFormat="false" ht="15" hidden="false" customHeight="false" outlineLevel="0" collapsed="false">
      <c r="A184" s="27" t="n">
        <v>180</v>
      </c>
      <c r="B184" s="18" t="n">
        <v>1</v>
      </c>
      <c r="C184" s="18" t="n">
        <v>0.89573566669528</v>
      </c>
    </row>
    <row r="185" customFormat="false" ht="15" hidden="false" customHeight="false" outlineLevel="0" collapsed="false">
      <c r="A185" s="27" t="n">
        <v>181</v>
      </c>
      <c r="B185" s="18" t="n">
        <v>1</v>
      </c>
      <c r="C185" s="18" t="n">
        <v>0.89550372675278</v>
      </c>
    </row>
    <row r="186" customFormat="false" ht="15" hidden="false" customHeight="false" outlineLevel="0" collapsed="false">
      <c r="A186" s="27" t="n">
        <v>182</v>
      </c>
      <c r="B186" s="18" t="n">
        <v>1</v>
      </c>
      <c r="C186" s="18" t="n">
        <v>0.895439099927613</v>
      </c>
    </row>
    <row r="187" customFormat="false" ht="15" hidden="false" customHeight="false" outlineLevel="0" collapsed="false">
      <c r="A187" s="27" t="n">
        <v>183</v>
      </c>
      <c r="B187" s="18" t="n">
        <v>1</v>
      </c>
      <c r="C187" s="18" t="n">
        <v>0.895281239786421</v>
      </c>
    </row>
    <row r="188" customFormat="false" ht="15" hidden="false" customHeight="false" outlineLevel="0" collapsed="false">
      <c r="A188" s="27" t="n">
        <v>184</v>
      </c>
      <c r="B188" s="18" t="n">
        <v>1</v>
      </c>
      <c r="C188" s="18" t="n">
        <v>0.895001911181999</v>
      </c>
    </row>
    <row r="189" customFormat="false" ht="15" hidden="false" customHeight="false" outlineLevel="0" collapsed="false">
      <c r="A189" s="27" t="n">
        <v>185</v>
      </c>
      <c r="B189" s="18" t="n">
        <v>1</v>
      </c>
      <c r="C189" s="18" t="n">
        <v>0.894910951531497</v>
      </c>
    </row>
    <row r="190" customFormat="false" ht="15" hidden="false" customHeight="false" outlineLevel="0" collapsed="false">
      <c r="A190" s="27" t="n">
        <v>186</v>
      </c>
      <c r="B190" s="18" t="n">
        <v>1</v>
      </c>
      <c r="C190" s="18" t="n">
        <v>0.894763365231362</v>
      </c>
    </row>
    <row r="191" customFormat="false" ht="15" hidden="false" customHeight="false" outlineLevel="0" collapsed="false">
      <c r="A191" s="27" t="n">
        <v>187</v>
      </c>
      <c r="B191" s="18" t="n">
        <v>1</v>
      </c>
      <c r="C191" s="18" t="n">
        <v>0.895189837129456</v>
      </c>
    </row>
    <row r="192" customFormat="false" ht="15" hidden="false" customHeight="false" outlineLevel="0" collapsed="false">
      <c r="A192" s="27" t="n">
        <v>188</v>
      </c>
      <c r="B192" s="18" t="n">
        <v>1</v>
      </c>
      <c r="C192" s="18" t="n">
        <v>0.895135484145346</v>
      </c>
    </row>
    <row r="193" customFormat="false" ht="15" hidden="false" customHeight="false" outlineLevel="0" collapsed="false">
      <c r="A193" s="27" t="n">
        <v>189</v>
      </c>
      <c r="B193" s="18" t="n">
        <v>1</v>
      </c>
      <c r="C193" s="18" t="n">
        <v>0.895168755233665</v>
      </c>
    </row>
    <row r="194" customFormat="false" ht="15" hidden="false" customHeight="false" outlineLevel="0" collapsed="false">
      <c r="A194" s="27" t="n">
        <v>190</v>
      </c>
      <c r="B194" s="18" t="n">
        <v>1</v>
      </c>
      <c r="C194" s="18" t="n">
        <v>0.895345606019551</v>
      </c>
    </row>
    <row r="195" customFormat="false" ht="15" hidden="false" customHeight="false" outlineLevel="0" collapsed="false">
      <c r="A195" s="27" t="n">
        <v>191</v>
      </c>
      <c r="B195" s="18" t="n">
        <v>1</v>
      </c>
      <c r="C195" s="18" t="n">
        <v>0.895356498766696</v>
      </c>
    </row>
    <row r="196" customFormat="false" ht="15" hidden="false" customHeight="false" outlineLevel="0" collapsed="false">
      <c r="A196" s="27" t="n">
        <v>192</v>
      </c>
      <c r="B196" s="18" t="n">
        <v>1</v>
      </c>
      <c r="C196" s="18" t="n">
        <v>0.895228808668584</v>
      </c>
    </row>
    <row r="197" customFormat="false" ht="15" hidden="false" customHeight="false" outlineLevel="0" collapsed="false">
      <c r="A197" s="27" t="n">
        <v>193</v>
      </c>
      <c r="B197" s="18" t="n">
        <v>1</v>
      </c>
      <c r="C197" s="18" t="n">
        <v>0.895066772539999</v>
      </c>
    </row>
    <row r="198" customFormat="false" ht="15" hidden="false" customHeight="false" outlineLevel="0" collapsed="false">
      <c r="A198" s="27" t="n">
        <v>194</v>
      </c>
      <c r="B198" s="18" t="n">
        <v>1</v>
      </c>
      <c r="C198" s="18" t="n">
        <v>0.894995096700233</v>
      </c>
    </row>
    <row r="199" customFormat="false" ht="15" hidden="false" customHeight="false" outlineLevel="0" collapsed="false">
      <c r="A199" s="27" t="n">
        <v>195</v>
      </c>
      <c r="B199" s="18" t="n">
        <v>1</v>
      </c>
      <c r="C199" s="18" t="n">
        <v>0.895006197921007</v>
      </c>
    </row>
    <row r="200" customFormat="false" ht="15" hidden="false" customHeight="false" outlineLevel="0" collapsed="false">
      <c r="A200" s="27" t="n">
        <v>196</v>
      </c>
      <c r="B200" s="18" t="n">
        <v>1</v>
      </c>
      <c r="C200" s="18" t="n">
        <v>0.895237564561026</v>
      </c>
    </row>
    <row r="201" customFormat="false" ht="15" hidden="false" customHeight="false" outlineLevel="0" collapsed="false">
      <c r="A201" s="27" t="n">
        <v>197</v>
      </c>
      <c r="B201" s="18" t="n">
        <v>1</v>
      </c>
      <c r="C201" s="18" t="n">
        <v>0.895218202572679</v>
      </c>
    </row>
    <row r="202" customFormat="false" ht="15" hidden="false" customHeight="false" outlineLevel="0" collapsed="false">
      <c r="A202" s="27" t="n">
        <v>198</v>
      </c>
      <c r="B202" s="18" t="n">
        <v>1</v>
      </c>
      <c r="C202" s="18" t="n">
        <v>0.895125705429159</v>
      </c>
    </row>
    <row r="203" customFormat="false" ht="15" hidden="false" customHeight="false" outlineLevel="0" collapsed="false">
      <c r="A203" s="27" t="n">
        <v>199</v>
      </c>
      <c r="B203" s="18" t="n">
        <v>1</v>
      </c>
      <c r="C203" s="18" t="n">
        <v>0.895121496867762</v>
      </c>
    </row>
    <row r="204" customFormat="false" ht="15" hidden="false" customHeight="false" outlineLevel="0" collapsed="false">
      <c r="A204" s="27" t="n">
        <v>200</v>
      </c>
      <c r="B204" s="18" t="n">
        <v>1</v>
      </c>
      <c r="C204" s="18" t="n">
        <v>0.895144741677459</v>
      </c>
    </row>
    <row r="205" customFormat="false" ht="15" hidden="false" customHeight="false" outlineLevel="0" collapsed="false">
      <c r="A205" s="27" t="n">
        <v>201</v>
      </c>
      <c r="B205" s="18" t="n">
        <v>1</v>
      </c>
      <c r="C205" s="18" t="n">
        <v>0.895652472687479</v>
      </c>
    </row>
    <row r="206" customFormat="false" ht="15" hidden="false" customHeight="false" outlineLevel="0" collapsed="false">
      <c r="A206" s="27" t="n">
        <v>202</v>
      </c>
      <c r="B206" s="18" t="n">
        <v>1</v>
      </c>
      <c r="C206" s="18" t="n">
        <v>0.895564197134957</v>
      </c>
    </row>
    <row r="207" customFormat="false" ht="15" hidden="false" customHeight="false" outlineLevel="0" collapsed="false">
      <c r="A207" s="27" t="n">
        <v>203</v>
      </c>
      <c r="B207" s="18" t="n">
        <v>1</v>
      </c>
      <c r="C207" s="18" t="n">
        <v>0.895351606151202</v>
      </c>
    </row>
    <row r="208" customFormat="false" ht="15" hidden="false" customHeight="false" outlineLevel="0" collapsed="false">
      <c r="A208" s="27" t="n">
        <v>204</v>
      </c>
      <c r="B208" s="18" t="n">
        <v>1</v>
      </c>
      <c r="C208" s="18" t="n">
        <v>0.895204032880669</v>
      </c>
    </row>
    <row r="209" customFormat="false" ht="15" hidden="false" customHeight="false" outlineLevel="0" collapsed="false">
      <c r="A209" s="27" t="n">
        <v>205</v>
      </c>
      <c r="B209" s="18" t="n">
        <v>1</v>
      </c>
      <c r="C209" s="18" t="n">
        <v>0.894948444210815</v>
      </c>
    </row>
    <row r="210" customFormat="false" ht="15" hidden="false" customHeight="false" outlineLevel="0" collapsed="false">
      <c r="A210" s="27" t="n">
        <v>206</v>
      </c>
      <c r="B210" s="18" t="n">
        <v>1</v>
      </c>
      <c r="C210" s="18" t="n">
        <v>0.894973682549595</v>
      </c>
    </row>
    <row r="211" customFormat="false" ht="15" hidden="false" customHeight="false" outlineLevel="0" collapsed="false">
      <c r="A211" s="27" t="n">
        <v>207</v>
      </c>
      <c r="B211" s="18" t="n">
        <v>1</v>
      </c>
      <c r="C211" s="18" t="n">
        <v>0.895023716220692</v>
      </c>
    </row>
    <row r="212" customFormat="false" ht="15" hidden="false" customHeight="false" outlineLevel="0" collapsed="false">
      <c r="A212" s="27" t="n">
        <v>208</v>
      </c>
      <c r="B212" s="18" t="n">
        <v>1</v>
      </c>
      <c r="C212" s="18" t="n">
        <v>0.894819855070175</v>
      </c>
    </row>
    <row r="213" customFormat="false" ht="15" hidden="false" customHeight="false" outlineLevel="0" collapsed="false">
      <c r="A213" s="27" t="n">
        <v>209</v>
      </c>
      <c r="B213" s="18" t="n">
        <v>1</v>
      </c>
      <c r="C213" s="18" t="n">
        <v>0.894730836830348</v>
      </c>
    </row>
    <row r="214" customFormat="false" ht="15" hidden="false" customHeight="false" outlineLevel="0" collapsed="false">
      <c r="A214" s="27" t="n">
        <v>210</v>
      </c>
      <c r="B214" s="18" t="n">
        <v>1</v>
      </c>
      <c r="C214" s="18" t="n">
        <v>0.894410386802493</v>
      </c>
    </row>
    <row r="215" customFormat="false" ht="15" hidden="false" customHeight="false" outlineLevel="0" collapsed="false">
      <c r="A215" s="27" t="n">
        <v>211</v>
      </c>
      <c r="B215" s="18" t="n">
        <v>1</v>
      </c>
      <c r="C215" s="18" t="n">
        <v>0.894380522955057</v>
      </c>
    </row>
    <row r="216" customFormat="false" ht="15" hidden="false" customHeight="false" outlineLevel="0" collapsed="false">
      <c r="A216" s="27" t="n">
        <v>212</v>
      </c>
      <c r="B216" s="18" t="n">
        <v>1</v>
      </c>
      <c r="C216" s="18" t="n">
        <v>0.894401070637172</v>
      </c>
    </row>
    <row r="217" customFormat="false" ht="15" hidden="false" customHeight="false" outlineLevel="0" collapsed="false">
      <c r="A217" s="27" t="n">
        <v>213</v>
      </c>
      <c r="B217" s="18" t="n">
        <v>1</v>
      </c>
      <c r="C217" s="18" t="n">
        <v>0.894204427886079</v>
      </c>
    </row>
    <row r="218" customFormat="false" ht="15" hidden="false" customHeight="false" outlineLevel="0" collapsed="false">
      <c r="A218" s="27" t="n">
        <v>214</v>
      </c>
      <c r="B218" s="18" t="n">
        <v>1</v>
      </c>
      <c r="C218" s="18" t="n">
        <v>0.894113780946021</v>
      </c>
    </row>
    <row r="219" customFormat="false" ht="15" hidden="false" customHeight="false" outlineLevel="0" collapsed="false">
      <c r="A219" s="27" t="n">
        <v>215</v>
      </c>
      <c r="B219" s="18" t="n">
        <v>1</v>
      </c>
      <c r="C219" s="18" t="n">
        <v>0.894127357791147</v>
      </c>
    </row>
    <row r="220" customFormat="false" ht="15" hidden="false" customHeight="false" outlineLevel="0" collapsed="false">
      <c r="A220" s="27" t="n">
        <v>216</v>
      </c>
      <c r="B220" s="18" t="n">
        <v>1</v>
      </c>
      <c r="C220" s="18" t="n">
        <v>0.893889717397838</v>
      </c>
    </row>
    <row r="221" customFormat="false" ht="15" hidden="false" customHeight="false" outlineLevel="0" collapsed="false">
      <c r="A221" s="27" t="n">
        <v>217</v>
      </c>
      <c r="B221" s="18" t="n">
        <v>1</v>
      </c>
      <c r="C221" s="18" t="n">
        <v>0.893944871702462</v>
      </c>
    </row>
    <row r="222" customFormat="false" ht="15" hidden="false" customHeight="false" outlineLevel="0" collapsed="false">
      <c r="A222" s="27" t="n">
        <v>218</v>
      </c>
      <c r="B222" s="18" t="n">
        <v>1</v>
      </c>
      <c r="C222" s="18" t="n">
        <v>0.893954617844644</v>
      </c>
    </row>
    <row r="223" customFormat="false" ht="15" hidden="false" customHeight="false" outlineLevel="0" collapsed="false">
      <c r="A223" s="27" t="n">
        <v>219</v>
      </c>
      <c r="B223" s="18" t="n">
        <v>1</v>
      </c>
      <c r="C223" s="18" t="n">
        <v>0.893968429222603</v>
      </c>
    </row>
    <row r="224" customFormat="false" ht="15" hidden="false" customHeight="false" outlineLevel="0" collapsed="false">
      <c r="A224" s="27" t="n">
        <v>220</v>
      </c>
      <c r="B224" s="18" t="n">
        <v>1</v>
      </c>
      <c r="C224" s="18" t="n">
        <v>0.893954259530594</v>
      </c>
    </row>
    <row r="225" customFormat="false" ht="15" hidden="false" customHeight="false" outlineLevel="0" collapsed="false">
      <c r="A225" s="27" t="n">
        <v>221</v>
      </c>
      <c r="B225" s="18" t="n">
        <v>1</v>
      </c>
      <c r="C225" s="18" t="n">
        <v>0.893881358908253</v>
      </c>
    </row>
    <row r="226" customFormat="false" ht="15" hidden="false" customHeight="false" outlineLevel="0" collapsed="false">
      <c r="A226" s="27" t="n">
        <v>222</v>
      </c>
      <c r="B226" s="18" t="n">
        <v>1</v>
      </c>
      <c r="C226" s="18" t="n">
        <v>0.893911496377328</v>
      </c>
    </row>
    <row r="227" customFormat="false" ht="15" hidden="false" customHeight="false" outlineLevel="0" collapsed="false">
      <c r="A227" s="27" t="n">
        <v>223</v>
      </c>
      <c r="B227" s="18" t="n">
        <v>1</v>
      </c>
      <c r="C227" s="18" t="n">
        <v>0.893923626936648</v>
      </c>
    </row>
    <row r="228" customFormat="false" ht="15" hidden="false" customHeight="false" outlineLevel="0" collapsed="false">
      <c r="A228" s="27" t="n">
        <v>224</v>
      </c>
      <c r="B228" s="18" t="n">
        <v>1</v>
      </c>
      <c r="C228" s="18" t="n">
        <v>0.893821878775816</v>
      </c>
    </row>
    <row r="229" customFormat="false" ht="15" hidden="false" customHeight="false" outlineLevel="0" collapsed="false">
      <c r="A229" s="27" t="n">
        <v>225</v>
      </c>
      <c r="B229" s="18" t="n">
        <v>1</v>
      </c>
      <c r="C229" s="18" t="n">
        <v>0.893830361046619</v>
      </c>
    </row>
    <row r="230" customFormat="false" ht="15" hidden="false" customHeight="false" outlineLevel="0" collapsed="false">
      <c r="A230" s="27" t="n">
        <v>226</v>
      </c>
      <c r="B230" s="18" t="n">
        <v>1</v>
      </c>
      <c r="C230" s="18" t="n">
        <v>0.893821018822094</v>
      </c>
    </row>
    <row r="231" customFormat="false" ht="15" hidden="false" customHeight="false" outlineLevel="0" collapsed="false">
      <c r="A231" s="27" t="n">
        <v>227</v>
      </c>
      <c r="B231" s="18" t="n">
        <v>1</v>
      </c>
      <c r="C231" s="18" t="n">
        <v>0.893778086284004</v>
      </c>
    </row>
    <row r="232" customFormat="false" ht="15" hidden="false" customHeight="false" outlineLevel="0" collapsed="false">
      <c r="A232" s="27" t="n">
        <v>228</v>
      </c>
      <c r="B232" s="18" t="n">
        <v>1</v>
      </c>
      <c r="C232" s="18" t="n">
        <v>0.89381626953222</v>
      </c>
    </row>
    <row r="233" customFormat="false" ht="15" hidden="false" customHeight="false" outlineLevel="0" collapsed="false">
      <c r="A233" s="27" t="n">
        <v>229</v>
      </c>
      <c r="B233" s="18" t="n">
        <v>1</v>
      </c>
      <c r="C233" s="18" t="n">
        <v>0.893772659454834</v>
      </c>
    </row>
    <row r="234" customFormat="false" ht="15" hidden="false" customHeight="false" outlineLevel="0" collapsed="false">
      <c r="A234" s="27" t="n">
        <v>230</v>
      </c>
      <c r="B234" s="18" t="n">
        <v>1</v>
      </c>
      <c r="C234" s="18" t="n">
        <v>0.89369324403157</v>
      </c>
    </row>
    <row r="235" customFormat="false" ht="15" hidden="false" customHeight="false" outlineLevel="0" collapsed="false">
      <c r="A235" s="27" t="n">
        <v>231</v>
      </c>
      <c r="B235" s="18" t="n">
        <v>1</v>
      </c>
      <c r="C235" s="18" t="n">
        <v>0.893682546728452</v>
      </c>
    </row>
    <row r="236" customFormat="false" ht="15" hidden="false" customHeight="false" outlineLevel="0" collapsed="false">
      <c r="A236" s="27" t="n">
        <v>232</v>
      </c>
      <c r="B236" s="18" t="n">
        <v>1</v>
      </c>
      <c r="C236" s="18" t="n">
        <v>0.89360138533854</v>
      </c>
    </row>
    <row r="237" customFormat="false" ht="15" hidden="false" customHeight="false" outlineLevel="0" collapsed="false">
      <c r="A237" s="27" t="n">
        <v>233</v>
      </c>
      <c r="B237" s="18" t="n">
        <v>1</v>
      </c>
      <c r="C237" s="18" t="n">
        <v>0.893649503658165</v>
      </c>
    </row>
    <row r="238" customFormat="false" ht="15" hidden="false" customHeight="false" outlineLevel="0" collapsed="false">
      <c r="A238" s="27" t="n">
        <v>234</v>
      </c>
      <c r="B238" s="18" t="n">
        <v>1</v>
      </c>
      <c r="C238" s="18" t="n">
        <v>0.893638441526196</v>
      </c>
    </row>
    <row r="239" customFormat="false" ht="15" hidden="false" customHeight="false" outlineLevel="0" collapsed="false">
      <c r="A239" s="27" t="n">
        <v>235</v>
      </c>
      <c r="B239" s="18" t="n">
        <v>1</v>
      </c>
      <c r="C239" s="18" t="n">
        <v>0.893473056789937</v>
      </c>
    </row>
    <row r="240" customFormat="false" ht="15" hidden="false" customHeight="false" outlineLevel="0" collapsed="false">
      <c r="A240" s="27" t="n">
        <v>236</v>
      </c>
      <c r="B240" s="18" t="n">
        <v>1</v>
      </c>
      <c r="C240" s="18" t="n">
        <v>0.893191161353951</v>
      </c>
    </row>
    <row r="241" customFormat="false" ht="15" hidden="false" customHeight="false" outlineLevel="0" collapsed="false">
      <c r="A241" s="27" t="n">
        <v>237</v>
      </c>
      <c r="B241" s="18" t="n">
        <v>1</v>
      </c>
      <c r="C241" s="18" t="n">
        <v>0.893371367262312</v>
      </c>
    </row>
    <row r="242" customFormat="false" ht="15" hidden="false" customHeight="false" outlineLevel="0" collapsed="false">
      <c r="A242" s="27" t="n">
        <v>238</v>
      </c>
      <c r="B242" s="18" t="n">
        <v>1</v>
      </c>
      <c r="C242" s="18" t="n">
        <v>0.893479330543227</v>
      </c>
    </row>
    <row r="243" customFormat="false" ht="15" hidden="false" customHeight="false" outlineLevel="0" collapsed="false">
      <c r="A243" s="27" t="n">
        <v>239</v>
      </c>
      <c r="B243" s="18" t="n">
        <v>1</v>
      </c>
      <c r="C243" s="18" t="n">
        <v>0.89341054727507</v>
      </c>
    </row>
    <row r="244" customFormat="false" ht="15" hidden="false" customHeight="false" outlineLevel="0" collapsed="false">
      <c r="A244" s="27" t="n">
        <v>240</v>
      </c>
      <c r="B244" s="18" t="n">
        <v>1</v>
      </c>
      <c r="C244" s="18" t="n">
        <v>0.893242895388089</v>
      </c>
    </row>
    <row r="245" customFormat="false" ht="15" hidden="false" customHeight="false" outlineLevel="0" collapsed="false">
      <c r="A245" s="27" t="n">
        <v>241</v>
      </c>
      <c r="B245" s="18" t="n">
        <v>1</v>
      </c>
      <c r="C245" s="18" t="n">
        <v>0.893253964034859</v>
      </c>
    </row>
    <row r="246" customFormat="false" ht="15" hidden="false" customHeight="false" outlineLevel="0" collapsed="false">
      <c r="A246" s="27" t="n">
        <v>242</v>
      </c>
      <c r="B246" s="18" t="n">
        <v>1</v>
      </c>
      <c r="C246" s="18" t="n">
        <v>0.893213025025852</v>
      </c>
    </row>
    <row r="247" customFormat="false" ht="15" hidden="false" customHeight="false" outlineLevel="0" collapsed="false">
      <c r="A247" s="27" t="n">
        <v>243</v>
      </c>
      <c r="B247" s="18" t="n">
        <v>1</v>
      </c>
      <c r="C247" s="18" t="n">
        <v>0.893258016241034</v>
      </c>
    </row>
    <row r="248" customFormat="false" ht="15" hidden="false" customHeight="false" outlineLevel="0" collapsed="false">
      <c r="A248" s="27" t="n">
        <v>244</v>
      </c>
      <c r="B248" s="18" t="n">
        <v>1</v>
      </c>
      <c r="C248" s="18" t="n">
        <v>0.893085803993406</v>
      </c>
    </row>
    <row r="249" customFormat="false" ht="15" hidden="false" customHeight="false" outlineLevel="0" collapsed="false">
      <c r="A249" s="27" t="n">
        <v>245</v>
      </c>
      <c r="B249" s="18" t="n">
        <v>1</v>
      </c>
      <c r="C249" s="18" t="n">
        <v>0.892949449210065</v>
      </c>
    </row>
    <row r="250" customFormat="false" ht="15" hidden="false" customHeight="false" outlineLevel="0" collapsed="false">
      <c r="A250" s="27" t="n">
        <v>246</v>
      </c>
      <c r="B250" s="18" t="n">
        <v>1</v>
      </c>
      <c r="C250" s="18" t="n">
        <v>0.892762917430006</v>
      </c>
    </row>
    <row r="251" customFormat="false" ht="15" hidden="false" customHeight="false" outlineLevel="0" collapsed="false">
      <c r="A251" s="27" t="n">
        <v>247</v>
      </c>
      <c r="B251" s="18" t="n">
        <v>1</v>
      </c>
      <c r="C251" s="18" t="n">
        <v>0.892674146752614</v>
      </c>
    </row>
    <row r="252" customFormat="false" ht="15" hidden="false" customHeight="false" outlineLevel="0" collapsed="false">
      <c r="A252" s="27" t="n">
        <v>248</v>
      </c>
      <c r="B252" s="18" t="n">
        <v>1</v>
      </c>
      <c r="C252" s="18" t="n">
        <v>0.892668609171829</v>
      </c>
    </row>
    <row r="253" customFormat="false" ht="15" hidden="false" customHeight="false" outlineLevel="0" collapsed="false">
      <c r="A253" s="27" t="n">
        <v>249</v>
      </c>
      <c r="B253" s="18" t="n">
        <v>1</v>
      </c>
      <c r="C253" s="18" t="n">
        <v>0.89244908643989</v>
      </c>
    </row>
    <row r="254" customFormat="false" ht="15" hidden="false" customHeight="false" outlineLevel="0" collapsed="false">
      <c r="A254" s="27" t="n">
        <v>250</v>
      </c>
      <c r="B254" s="18" t="n">
        <v>1</v>
      </c>
      <c r="C254" s="18" t="n">
        <v>0.892465920685478</v>
      </c>
    </row>
    <row r="255" customFormat="false" ht="15" hidden="false" customHeight="false" outlineLevel="0" collapsed="false">
      <c r="A255" s="27" t="n">
        <v>251</v>
      </c>
      <c r="B255" s="18" t="n">
        <v>1</v>
      </c>
      <c r="C255" s="18" t="n">
        <v>0.892386687676639</v>
      </c>
    </row>
    <row r="256" customFormat="false" ht="15" hidden="false" customHeight="false" outlineLevel="0" collapsed="false">
      <c r="A256" s="27" t="n">
        <v>252</v>
      </c>
      <c r="B256" s="18" t="n">
        <v>1</v>
      </c>
      <c r="C256" s="18" t="n">
        <v>0.892547453419043</v>
      </c>
    </row>
    <row r="257" customFormat="false" ht="15" hidden="false" customHeight="false" outlineLevel="0" collapsed="false">
      <c r="A257" s="27" t="n">
        <v>253</v>
      </c>
      <c r="B257" s="18" t="n">
        <v>1</v>
      </c>
      <c r="C257" s="18" t="n">
        <v>0.892618894725977</v>
      </c>
    </row>
    <row r="258" customFormat="false" ht="15" hidden="false" customHeight="false" outlineLevel="0" collapsed="false">
      <c r="A258" s="27" t="n">
        <v>254</v>
      </c>
      <c r="B258" s="18" t="n">
        <v>1</v>
      </c>
      <c r="C258" s="18" t="n">
        <v>0.892586880994236</v>
      </c>
    </row>
    <row r="259" customFormat="false" ht="15" hidden="false" customHeight="false" outlineLevel="0" collapsed="false">
      <c r="A259" s="27" t="n">
        <v>255</v>
      </c>
      <c r="B259" s="18" t="n">
        <v>1</v>
      </c>
      <c r="C259" s="18" t="n">
        <v>0.892650647865681</v>
      </c>
    </row>
    <row r="260" customFormat="false" ht="15" hidden="false" customHeight="false" outlineLevel="0" collapsed="false">
      <c r="A260" s="27" t="n">
        <v>256</v>
      </c>
      <c r="B260" s="18" t="n">
        <v>1</v>
      </c>
      <c r="C260" s="18" t="n">
        <v>0.892618920785181</v>
      </c>
    </row>
    <row r="261" customFormat="false" ht="15" hidden="false" customHeight="false" outlineLevel="0" collapsed="false">
      <c r="A261" s="27" t="n">
        <v>257</v>
      </c>
      <c r="B261" s="18" t="n">
        <v>1</v>
      </c>
      <c r="C261" s="18" t="n">
        <v>0.89250823431748</v>
      </c>
    </row>
    <row r="262" customFormat="false" ht="15" hidden="false" customHeight="false" outlineLevel="0" collapsed="false">
      <c r="A262" s="27" t="n">
        <v>258</v>
      </c>
      <c r="B262" s="18" t="n">
        <v>1</v>
      </c>
      <c r="C262" s="18" t="n">
        <v>0.89241538537471</v>
      </c>
    </row>
    <row r="263" customFormat="false" ht="15" hidden="false" customHeight="false" outlineLevel="0" collapsed="false">
      <c r="A263" s="27" t="n">
        <v>259</v>
      </c>
      <c r="B263" s="18" t="n">
        <v>1</v>
      </c>
      <c r="C263" s="18" t="n">
        <v>0.892386589954625</v>
      </c>
    </row>
    <row r="264" customFormat="false" ht="15" hidden="false" customHeight="false" outlineLevel="0" collapsed="false">
      <c r="A264" s="27" t="n">
        <v>260</v>
      </c>
      <c r="B264" s="18" t="n">
        <v>1</v>
      </c>
      <c r="C264" s="18" t="n">
        <v>0.892244749708906</v>
      </c>
    </row>
    <row r="265" customFormat="false" ht="15" hidden="false" customHeight="false" outlineLevel="0" collapsed="false">
      <c r="A265" s="27" t="n">
        <v>261</v>
      </c>
      <c r="B265" s="18" t="n">
        <v>1</v>
      </c>
      <c r="C265" s="18" t="n">
        <v>0.892254469791884</v>
      </c>
    </row>
    <row r="266" customFormat="false" ht="15" hidden="false" customHeight="false" outlineLevel="0" collapsed="false">
      <c r="A266" s="27" t="n">
        <v>262</v>
      </c>
      <c r="B266" s="18" t="n">
        <v>1</v>
      </c>
      <c r="C266" s="18" t="n">
        <v>0.892161021487429</v>
      </c>
    </row>
    <row r="267" customFormat="false" ht="15" hidden="false" customHeight="false" outlineLevel="0" collapsed="false">
      <c r="A267" s="27" t="n">
        <v>263</v>
      </c>
      <c r="B267" s="18" t="n">
        <v>1</v>
      </c>
      <c r="C267" s="18" t="n">
        <v>0.892219315926098</v>
      </c>
    </row>
    <row r="268" customFormat="false" ht="15" hidden="false" customHeight="false" outlineLevel="0" collapsed="false">
      <c r="A268" s="27" t="n">
        <v>264</v>
      </c>
      <c r="B268" s="18" t="n">
        <v>1</v>
      </c>
      <c r="C268" s="18" t="n">
        <v>0.892298861645381</v>
      </c>
    </row>
    <row r="269" customFormat="false" ht="15" hidden="false" customHeight="false" outlineLevel="0" collapsed="false">
      <c r="A269" s="27" t="n">
        <v>265</v>
      </c>
      <c r="B269" s="18" t="n">
        <v>1</v>
      </c>
      <c r="C269" s="18" t="n">
        <v>0.892288229490273</v>
      </c>
    </row>
    <row r="270" customFormat="false" ht="15" hidden="false" customHeight="false" outlineLevel="0" collapsed="false">
      <c r="A270" s="27" t="n">
        <v>266</v>
      </c>
      <c r="B270" s="18" t="n">
        <v>1</v>
      </c>
      <c r="C270" s="18" t="n">
        <v>0.892702609917852</v>
      </c>
    </row>
    <row r="271" customFormat="false" ht="15" hidden="false" customHeight="false" outlineLevel="0" collapsed="false">
      <c r="A271" s="27" t="n">
        <v>267</v>
      </c>
      <c r="B271" s="18" t="n">
        <v>1</v>
      </c>
      <c r="C271" s="18" t="n">
        <v>0.892491009183837</v>
      </c>
    </row>
    <row r="272" customFormat="false" ht="15" hidden="false" customHeight="false" outlineLevel="0" collapsed="false">
      <c r="A272" s="27" t="n">
        <v>268</v>
      </c>
      <c r="B272" s="18" t="n">
        <v>1</v>
      </c>
      <c r="C272" s="18" t="n">
        <v>0.892486748504032</v>
      </c>
    </row>
    <row r="273" customFormat="false" ht="15" hidden="false" customHeight="false" outlineLevel="0" collapsed="false">
      <c r="A273" s="27" t="n">
        <v>269</v>
      </c>
      <c r="B273" s="18" t="n">
        <v>1</v>
      </c>
      <c r="C273" s="18" t="n">
        <v>0.892529407420483</v>
      </c>
    </row>
    <row r="274" customFormat="false" ht="15" hidden="false" customHeight="false" outlineLevel="0" collapsed="false">
      <c r="A274" s="27" t="n">
        <v>270</v>
      </c>
      <c r="B274" s="18" t="n">
        <v>1</v>
      </c>
      <c r="C274" s="18" t="n">
        <v>0.892505459012286</v>
      </c>
    </row>
    <row r="275" customFormat="false" ht="15" hidden="false" customHeight="false" outlineLevel="0" collapsed="false">
      <c r="A275" s="27" t="n">
        <v>271</v>
      </c>
      <c r="B275" s="18" t="n">
        <v>1</v>
      </c>
      <c r="C275" s="18" t="n">
        <v>0.89248948472042</v>
      </c>
    </row>
    <row r="276" customFormat="false" ht="15" hidden="false" customHeight="false" outlineLevel="0" collapsed="false">
      <c r="A276" s="27" t="n">
        <v>272</v>
      </c>
      <c r="B276" s="18" t="n">
        <v>1</v>
      </c>
      <c r="C276" s="18" t="n">
        <v>0.89251873617657</v>
      </c>
    </row>
    <row r="277" customFormat="false" ht="15" hidden="false" customHeight="false" outlineLevel="0" collapsed="false">
      <c r="A277" s="27" t="n">
        <v>273</v>
      </c>
      <c r="B277" s="18" t="n">
        <v>1</v>
      </c>
      <c r="C277" s="18" t="n">
        <v>0.892531153387131</v>
      </c>
    </row>
    <row r="278" customFormat="false" ht="15" hidden="false" customHeight="false" outlineLevel="0" collapsed="false">
      <c r="A278" s="27" t="n">
        <v>274</v>
      </c>
      <c r="B278" s="18" t="n">
        <v>1</v>
      </c>
      <c r="C278" s="18" t="n">
        <v>0.892928171870247</v>
      </c>
    </row>
    <row r="279" customFormat="false" ht="15" hidden="false" customHeight="false" outlineLevel="0" collapsed="false">
      <c r="A279" s="27" t="n">
        <v>275</v>
      </c>
      <c r="B279" s="18" t="n">
        <v>1</v>
      </c>
      <c r="C279" s="18" t="n">
        <v>0.892965175939496</v>
      </c>
    </row>
    <row r="280" customFormat="false" ht="15" hidden="false" customHeight="false" outlineLevel="0" collapsed="false">
      <c r="A280" s="27" t="n">
        <v>276</v>
      </c>
      <c r="B280" s="18" t="n">
        <v>1</v>
      </c>
      <c r="C280" s="18" t="n">
        <v>0.892893956135793</v>
      </c>
    </row>
    <row r="281" customFormat="false" ht="15" hidden="false" customHeight="false" outlineLevel="0" collapsed="false">
      <c r="A281" s="27" t="n">
        <v>277</v>
      </c>
      <c r="B281" s="18" t="n">
        <v>1</v>
      </c>
      <c r="C281" s="18" t="n">
        <v>0.892736115539004</v>
      </c>
    </row>
    <row r="282" customFormat="false" ht="15" hidden="false" customHeight="false" outlineLevel="0" collapsed="false">
      <c r="A282" s="27" t="n">
        <v>278</v>
      </c>
      <c r="B282" s="18" t="n">
        <v>1</v>
      </c>
      <c r="C282" s="18" t="n">
        <v>0.892641207919142</v>
      </c>
    </row>
    <row r="283" customFormat="false" ht="15" hidden="false" customHeight="false" outlineLevel="0" collapsed="false">
      <c r="A283" s="27" t="n">
        <v>279</v>
      </c>
      <c r="B283" s="18" t="n">
        <v>1</v>
      </c>
      <c r="C283" s="18" t="n">
        <v>0.892553440521092</v>
      </c>
    </row>
    <row r="284" customFormat="false" ht="15" hidden="false" customHeight="false" outlineLevel="0" collapsed="false">
      <c r="A284" s="27" t="n">
        <v>280</v>
      </c>
      <c r="B284" s="18" t="n">
        <v>1</v>
      </c>
      <c r="C284" s="18" t="n">
        <v>0.892664726350478</v>
      </c>
    </row>
    <row r="285" customFormat="false" ht="15" hidden="false" customHeight="false" outlineLevel="0" collapsed="false">
      <c r="A285" s="27" t="n">
        <v>281</v>
      </c>
      <c r="B285" s="18" t="n">
        <v>1</v>
      </c>
      <c r="C285" s="18" t="n">
        <v>0.892526117446017</v>
      </c>
    </row>
    <row r="286" customFormat="false" ht="15" hidden="false" customHeight="false" outlineLevel="0" collapsed="false">
      <c r="A286" s="27" t="n">
        <v>282</v>
      </c>
      <c r="B286" s="18" t="n">
        <v>1</v>
      </c>
      <c r="C286" s="18" t="n">
        <v>0.892256157125324</v>
      </c>
    </row>
    <row r="287" customFormat="false" ht="15" hidden="false" customHeight="false" outlineLevel="0" collapsed="false">
      <c r="A287" s="27" t="n">
        <v>283</v>
      </c>
      <c r="B287" s="18" t="n">
        <v>1</v>
      </c>
      <c r="C287" s="18" t="n">
        <v>0.892304431800171</v>
      </c>
    </row>
    <row r="288" customFormat="false" ht="15" hidden="false" customHeight="false" outlineLevel="0" collapsed="false">
      <c r="A288" s="27" t="n">
        <v>284</v>
      </c>
      <c r="B288" s="18" t="n">
        <v>1</v>
      </c>
      <c r="C288" s="18" t="n">
        <v>0.892231466029821</v>
      </c>
    </row>
    <row r="289" customFormat="false" ht="15" hidden="false" customHeight="false" outlineLevel="0" collapsed="false">
      <c r="A289" s="27" t="n">
        <v>285</v>
      </c>
      <c r="B289" s="18" t="n">
        <v>1</v>
      </c>
      <c r="C289" s="18" t="n">
        <v>0.892091032981102</v>
      </c>
    </row>
    <row r="290" customFormat="false" ht="15" hidden="false" customHeight="false" outlineLevel="0" collapsed="false">
      <c r="A290" s="27" t="n">
        <v>286</v>
      </c>
      <c r="B290" s="18" t="n">
        <v>1</v>
      </c>
      <c r="C290" s="18" t="n">
        <v>0.892066354915201</v>
      </c>
    </row>
    <row r="291" customFormat="false" ht="15" hidden="false" customHeight="false" outlineLevel="0" collapsed="false">
      <c r="A291" s="27" t="n">
        <v>287</v>
      </c>
      <c r="B291" s="18" t="n">
        <v>1</v>
      </c>
      <c r="C291" s="18" t="n">
        <v>0.89206804224864</v>
      </c>
    </row>
    <row r="292" customFormat="false" ht="15" hidden="false" customHeight="false" outlineLevel="0" collapsed="false">
      <c r="A292" s="27" t="n">
        <v>288</v>
      </c>
      <c r="B292" s="18" t="n">
        <v>1</v>
      </c>
      <c r="C292" s="18" t="n">
        <v>0.892144552070693</v>
      </c>
    </row>
    <row r="293" customFormat="false" ht="15" hidden="false" customHeight="false" outlineLevel="0" collapsed="false">
      <c r="A293" s="27" t="n">
        <v>289</v>
      </c>
      <c r="B293" s="18" t="n">
        <v>1</v>
      </c>
      <c r="C293" s="18" t="n">
        <v>0.891968053084057</v>
      </c>
    </row>
    <row r="294" customFormat="false" ht="15" hidden="false" customHeight="false" outlineLevel="0" collapsed="false">
      <c r="A294" s="27" t="n">
        <v>290</v>
      </c>
      <c r="B294" s="18" t="n">
        <v>1</v>
      </c>
      <c r="C294" s="18" t="n">
        <v>0.891874891430843</v>
      </c>
    </row>
    <row r="295" customFormat="false" ht="15" hidden="false" customHeight="false" outlineLevel="0" collapsed="false">
      <c r="A295" s="27" t="n">
        <v>291</v>
      </c>
      <c r="B295" s="18" t="n">
        <v>1</v>
      </c>
      <c r="C295" s="18" t="n">
        <v>0.891869405968464</v>
      </c>
    </row>
    <row r="296" customFormat="false" ht="15" hidden="false" customHeight="false" outlineLevel="0" collapsed="false">
      <c r="A296" s="27" t="n">
        <v>292</v>
      </c>
      <c r="B296" s="18" t="n">
        <v>1</v>
      </c>
      <c r="C296" s="18" t="n">
        <v>0.891792609495171</v>
      </c>
    </row>
    <row r="297" customFormat="false" ht="15" hidden="false" customHeight="false" outlineLevel="0" collapsed="false">
      <c r="A297" s="27" t="n">
        <v>293</v>
      </c>
      <c r="B297" s="18" t="n">
        <v>1</v>
      </c>
      <c r="C297" s="18" t="n">
        <v>0.891640319508769</v>
      </c>
    </row>
    <row r="298" customFormat="false" ht="15" hidden="false" customHeight="false" outlineLevel="0" collapsed="false">
      <c r="A298" s="27" t="n">
        <v>294</v>
      </c>
      <c r="B298" s="18" t="n">
        <v>1</v>
      </c>
      <c r="C298" s="18" t="n">
        <v>0.891532173813429</v>
      </c>
    </row>
    <row r="299" customFormat="false" ht="15" hidden="false" customHeight="false" outlineLevel="0" collapsed="false">
      <c r="A299" s="27" t="n">
        <v>295</v>
      </c>
      <c r="B299" s="18" t="n">
        <v>1</v>
      </c>
      <c r="C299" s="18" t="n">
        <v>0.891572318016724</v>
      </c>
    </row>
    <row r="300" customFormat="false" ht="15" hidden="false" customHeight="false" outlineLevel="0" collapsed="false">
      <c r="A300" s="27" t="n">
        <v>296</v>
      </c>
      <c r="B300" s="18" t="n">
        <v>1</v>
      </c>
      <c r="C300" s="18" t="n">
        <v>0.891460172233616</v>
      </c>
    </row>
    <row r="301" customFormat="false" ht="15" hidden="false" customHeight="false" outlineLevel="0" collapsed="false">
      <c r="A301" s="27" t="n">
        <v>297</v>
      </c>
      <c r="B301" s="18" t="n">
        <v>1</v>
      </c>
      <c r="C301" s="18" t="n">
        <v>0.891474973861316</v>
      </c>
    </row>
    <row r="302" customFormat="false" ht="15" hidden="false" customHeight="false" outlineLevel="0" collapsed="false">
      <c r="A302" s="27" t="n">
        <v>298</v>
      </c>
      <c r="B302" s="18" t="n">
        <v>1</v>
      </c>
      <c r="C302" s="18" t="n">
        <v>0.891466713093744</v>
      </c>
    </row>
    <row r="303" customFormat="false" ht="15" hidden="false" customHeight="false" outlineLevel="0" collapsed="false">
      <c r="A303" s="27" t="n">
        <v>299</v>
      </c>
      <c r="B303" s="18" t="n">
        <v>1</v>
      </c>
      <c r="C303" s="18" t="n">
        <v>0.89173183291735</v>
      </c>
    </row>
    <row r="304" customFormat="false" ht="15" hidden="false" customHeight="false" outlineLevel="0" collapsed="false">
      <c r="A304" s="27" t="n">
        <v>300</v>
      </c>
      <c r="B304" s="18" t="n">
        <v>1</v>
      </c>
      <c r="C304" s="18" t="n">
        <v>0.89149474628212</v>
      </c>
    </row>
    <row r="305" customFormat="false" ht="15" hidden="false" customHeight="false" outlineLevel="0" collapsed="false">
      <c r="A305" s="27" t="n">
        <v>301</v>
      </c>
      <c r="B305" s="18" t="n">
        <v>1</v>
      </c>
      <c r="C305" s="18" t="n">
        <v>0.891374496086663</v>
      </c>
    </row>
    <row r="306" customFormat="false" ht="15" hidden="false" customHeight="false" outlineLevel="0" collapsed="false">
      <c r="A306" s="27" t="n">
        <v>302</v>
      </c>
      <c r="B306" s="18" t="n">
        <v>1</v>
      </c>
      <c r="C306" s="18" t="n">
        <v>0.891275575349432</v>
      </c>
    </row>
    <row r="307" customFormat="false" ht="15" hidden="false" customHeight="false" outlineLevel="0" collapsed="false">
      <c r="A307" s="27" t="n">
        <v>303</v>
      </c>
      <c r="B307" s="18" t="n">
        <v>1</v>
      </c>
      <c r="C307" s="18" t="n">
        <v>0.89104023468085</v>
      </c>
    </row>
    <row r="308" customFormat="false" ht="15" hidden="false" customHeight="false" outlineLevel="0" collapsed="false">
      <c r="A308" s="27" t="n">
        <v>304</v>
      </c>
      <c r="B308" s="18" t="n">
        <v>1</v>
      </c>
      <c r="C308" s="18" t="n">
        <v>0.891089721108669</v>
      </c>
    </row>
    <row r="309" customFormat="false" ht="15" hidden="false" customHeight="false" outlineLevel="0" collapsed="false">
      <c r="A309" s="27" t="n">
        <v>305</v>
      </c>
      <c r="B309" s="18" t="n">
        <v>1</v>
      </c>
      <c r="C309" s="18" t="n">
        <v>0.891096274998399</v>
      </c>
    </row>
    <row r="310" customFormat="false" ht="15" hidden="false" customHeight="false" outlineLevel="0" collapsed="false">
      <c r="A310" s="27" t="n">
        <v>306</v>
      </c>
      <c r="B310" s="18" t="n">
        <v>1</v>
      </c>
      <c r="C310" s="18" t="n">
        <v>0.891043674495738</v>
      </c>
    </row>
    <row r="311" customFormat="false" ht="15" hidden="false" customHeight="false" outlineLevel="0" collapsed="false">
      <c r="A311" s="27" t="n">
        <v>307</v>
      </c>
      <c r="B311" s="18" t="n">
        <v>1</v>
      </c>
      <c r="C311" s="18" t="n">
        <v>0.891025524260363</v>
      </c>
    </row>
    <row r="312" customFormat="false" ht="15" hidden="false" customHeight="false" outlineLevel="0" collapsed="false">
      <c r="A312" s="27" t="n">
        <v>308</v>
      </c>
      <c r="B312" s="18" t="n">
        <v>1</v>
      </c>
      <c r="C312" s="18" t="n">
        <v>0.891114933388245</v>
      </c>
    </row>
    <row r="313" customFormat="false" ht="15" hidden="false" customHeight="false" outlineLevel="0" collapsed="false">
      <c r="A313" s="27" t="n">
        <v>309</v>
      </c>
      <c r="B313" s="18" t="n">
        <v>1</v>
      </c>
      <c r="C313" s="18" t="n">
        <v>0.8910384756846</v>
      </c>
    </row>
    <row r="314" customFormat="false" ht="15" hidden="false" customHeight="false" outlineLevel="0" collapsed="false">
      <c r="A314" s="27" t="n">
        <v>310</v>
      </c>
      <c r="B314" s="18" t="n">
        <v>1</v>
      </c>
      <c r="C314" s="18" t="n">
        <v>0.891161722688482</v>
      </c>
    </row>
    <row r="315" customFormat="false" ht="15" hidden="false" customHeight="false" outlineLevel="0" collapsed="false">
      <c r="A315" s="27" t="n">
        <v>311</v>
      </c>
      <c r="B315" s="18" t="n">
        <v>1</v>
      </c>
      <c r="C315" s="18" t="n">
        <v>0.891122073610058</v>
      </c>
    </row>
    <row r="316" customFormat="false" ht="15" hidden="false" customHeight="false" outlineLevel="0" collapsed="false">
      <c r="A316" s="27" t="n">
        <v>312</v>
      </c>
      <c r="B316" s="18" t="n">
        <v>1</v>
      </c>
      <c r="C316" s="18" t="n">
        <v>0.891086880655466</v>
      </c>
    </row>
    <row r="317" customFormat="false" ht="15" hidden="false" customHeight="false" outlineLevel="0" collapsed="false">
      <c r="A317" s="27" t="n">
        <v>313</v>
      </c>
      <c r="B317" s="18" t="n">
        <v>1</v>
      </c>
      <c r="C317" s="18" t="n">
        <v>0.890941900275701</v>
      </c>
    </row>
    <row r="318" customFormat="false" ht="15" hidden="false" customHeight="false" outlineLevel="0" collapsed="false">
      <c r="A318" s="27" t="n">
        <v>314</v>
      </c>
      <c r="B318" s="18" t="n">
        <v>1</v>
      </c>
      <c r="C318" s="18" t="n">
        <v>0.891048313033996</v>
      </c>
    </row>
    <row r="319" customFormat="false" ht="15" hidden="false" customHeight="false" outlineLevel="0" collapsed="false">
      <c r="A319" s="27" t="n">
        <v>315</v>
      </c>
      <c r="B319" s="18" t="n">
        <v>1</v>
      </c>
      <c r="C319" s="18" t="n">
        <v>0.891052560684198</v>
      </c>
    </row>
    <row r="320" customFormat="false" ht="15" hidden="false" customHeight="false" outlineLevel="0" collapsed="false">
      <c r="A320" s="27" t="n">
        <v>316</v>
      </c>
      <c r="B320" s="18" t="n">
        <v>1</v>
      </c>
      <c r="C320" s="18" t="n">
        <v>0.891023439524067</v>
      </c>
    </row>
    <row r="321" customFormat="false" ht="15" hidden="false" customHeight="false" outlineLevel="0" collapsed="false">
      <c r="A321" s="27" t="n">
        <v>317</v>
      </c>
      <c r="B321" s="18" t="n">
        <v>1</v>
      </c>
      <c r="C321" s="18" t="n">
        <v>0.890935163971546</v>
      </c>
    </row>
    <row r="322" customFormat="false" ht="15" hidden="false" customHeight="false" outlineLevel="0" collapsed="false">
      <c r="A322" s="27" t="n">
        <v>318</v>
      </c>
      <c r="B322" s="18" t="n">
        <v>1</v>
      </c>
      <c r="C322" s="18" t="n">
        <v>0.890789115164429</v>
      </c>
    </row>
    <row r="323" customFormat="false" ht="15" hidden="false" customHeight="false" outlineLevel="0" collapsed="false">
      <c r="A323" s="27" t="n">
        <v>319</v>
      </c>
      <c r="B323" s="18" t="n">
        <v>1</v>
      </c>
      <c r="C323" s="18" t="n">
        <v>0.890614479410858</v>
      </c>
    </row>
    <row r="324" customFormat="false" ht="15" hidden="false" customHeight="false" outlineLevel="0" collapsed="false">
      <c r="A324" s="27" t="n">
        <v>320</v>
      </c>
      <c r="B324" s="18" t="n">
        <v>1</v>
      </c>
      <c r="C324" s="18" t="n">
        <v>0.89055851727092</v>
      </c>
    </row>
    <row r="325" customFormat="false" ht="15" hidden="false" customHeight="false" outlineLevel="0" collapsed="false">
      <c r="A325" s="27" t="n">
        <v>321</v>
      </c>
      <c r="B325" s="18" t="n">
        <v>1</v>
      </c>
      <c r="C325" s="18" t="n">
        <v>0.890608368527591</v>
      </c>
    </row>
    <row r="326" customFormat="false" ht="15" hidden="false" customHeight="false" outlineLevel="0" collapsed="false">
      <c r="A326" s="27" t="n">
        <v>322</v>
      </c>
      <c r="B326" s="18" t="n">
        <v>1</v>
      </c>
      <c r="C326" s="18" t="n">
        <v>0.890619117949116</v>
      </c>
    </row>
    <row r="327" customFormat="false" ht="15" hidden="false" customHeight="false" outlineLevel="0" collapsed="false">
      <c r="A327" s="27" t="n">
        <v>323</v>
      </c>
      <c r="B327" s="18" t="n">
        <v>1</v>
      </c>
      <c r="C327" s="18" t="n">
        <v>0.890653020973125</v>
      </c>
    </row>
    <row r="328" customFormat="false" ht="15" hidden="false" customHeight="false" outlineLevel="0" collapsed="false">
      <c r="A328" s="27" t="n">
        <v>324</v>
      </c>
      <c r="B328" s="18" t="n">
        <v>1</v>
      </c>
      <c r="C328" s="18" t="n">
        <v>0.890619482777967</v>
      </c>
    </row>
    <row r="329" customFormat="false" ht="15" hidden="false" customHeight="false" outlineLevel="0" collapsed="false">
      <c r="A329" s="27" t="n">
        <v>325</v>
      </c>
      <c r="B329" s="18" t="n">
        <v>1</v>
      </c>
      <c r="C329" s="18" t="n">
        <v>0.891006911474123</v>
      </c>
    </row>
    <row r="330" customFormat="false" ht="15" hidden="false" customHeight="false" outlineLevel="0" collapsed="false">
      <c r="A330" s="27" t="n">
        <v>326</v>
      </c>
      <c r="B330" s="18" t="n">
        <v>1</v>
      </c>
      <c r="C330" s="18" t="n">
        <v>0.89108472425636</v>
      </c>
    </row>
    <row r="331" customFormat="false" ht="15" hidden="false" customHeight="false" outlineLevel="0" collapsed="false">
      <c r="A331" s="27" t="n">
        <v>327</v>
      </c>
      <c r="B331" s="18" t="n">
        <v>1</v>
      </c>
      <c r="C331" s="18" t="n">
        <v>0.89093209550031</v>
      </c>
    </row>
    <row r="332" customFormat="false" ht="15" hidden="false" customHeight="false" outlineLevel="0" collapsed="false">
      <c r="A332" s="27" t="n">
        <v>328</v>
      </c>
      <c r="B332" s="18" t="n">
        <v>1</v>
      </c>
      <c r="C332" s="18" t="n">
        <v>0.890861227495858</v>
      </c>
    </row>
    <row r="333" customFormat="false" ht="15" hidden="false" customHeight="false" outlineLevel="0" collapsed="false">
      <c r="A333" s="27" t="n">
        <v>329</v>
      </c>
      <c r="B333" s="18" t="n">
        <v>1</v>
      </c>
      <c r="C333" s="18" t="n">
        <v>0.890764117873283</v>
      </c>
    </row>
    <row r="334" customFormat="false" ht="15" hidden="false" customHeight="false" outlineLevel="0" collapsed="false">
      <c r="A334" s="27" t="n">
        <v>330</v>
      </c>
      <c r="B334" s="18" t="n">
        <v>1</v>
      </c>
      <c r="C334" s="18" t="n">
        <v>0.890571058262698</v>
      </c>
    </row>
    <row r="335" customFormat="false" ht="15" hidden="false" customHeight="false" outlineLevel="0" collapsed="false">
      <c r="A335" s="27" t="n">
        <v>331</v>
      </c>
      <c r="B335" s="18" t="n">
        <v>1</v>
      </c>
      <c r="C335" s="18" t="n">
        <v>0.890330766345414</v>
      </c>
    </row>
    <row r="336" customFormat="false" ht="15" hidden="false" customHeight="false" outlineLevel="0" collapsed="false">
      <c r="A336" s="27" t="n">
        <v>332</v>
      </c>
      <c r="B336" s="18" t="n">
        <v>1</v>
      </c>
      <c r="C336" s="18" t="n">
        <v>0.89037098872632</v>
      </c>
    </row>
    <row r="337" customFormat="false" ht="15" hidden="false" customHeight="false" outlineLevel="0" collapsed="false">
      <c r="A337" s="27" t="n">
        <v>333</v>
      </c>
      <c r="B337" s="18" t="n">
        <v>1</v>
      </c>
      <c r="C337" s="18" t="n">
        <v>0.89056803539507</v>
      </c>
    </row>
    <row r="338" customFormat="false" ht="15" hidden="false" customHeight="false" outlineLevel="0" collapsed="false">
      <c r="A338" s="27" t="n">
        <v>334</v>
      </c>
      <c r="B338" s="18" t="n">
        <v>1</v>
      </c>
      <c r="C338" s="18" t="n">
        <v>0.890573312383818</v>
      </c>
    </row>
    <row r="339" customFormat="false" ht="15" hidden="false" customHeight="false" outlineLevel="0" collapsed="false">
      <c r="A339" s="27" t="n">
        <v>335</v>
      </c>
      <c r="B339" s="18" t="n">
        <v>1</v>
      </c>
      <c r="C339" s="18" t="n">
        <v>0.890646590864613</v>
      </c>
    </row>
    <row r="340" customFormat="false" ht="15" hidden="false" customHeight="false" outlineLevel="0" collapsed="false">
      <c r="A340" s="27" t="n">
        <v>336</v>
      </c>
      <c r="B340" s="18" t="n">
        <v>1</v>
      </c>
      <c r="C340" s="18" t="n">
        <v>0.890386949988584</v>
      </c>
    </row>
    <row r="341" customFormat="false" ht="15" hidden="false" customHeight="false" outlineLevel="0" collapsed="false">
      <c r="A341" s="27" t="n">
        <v>337</v>
      </c>
      <c r="B341" s="18" t="n">
        <v>1</v>
      </c>
      <c r="C341" s="18" t="n">
        <v>0.890415797527075</v>
      </c>
    </row>
    <row r="342" customFormat="false" ht="15" hidden="false" customHeight="false" outlineLevel="0" collapsed="false">
      <c r="A342" s="27" t="n">
        <v>338</v>
      </c>
      <c r="B342" s="18" t="n">
        <v>1</v>
      </c>
      <c r="C342" s="18" t="n">
        <v>0.89036154226498</v>
      </c>
    </row>
    <row r="343" customFormat="false" ht="15" hidden="false" customHeight="false" outlineLevel="0" collapsed="false">
      <c r="A343" s="27" t="n">
        <v>339</v>
      </c>
      <c r="B343" s="18" t="n">
        <v>1</v>
      </c>
      <c r="C343" s="18" t="n">
        <v>0.89036358791247</v>
      </c>
    </row>
    <row r="344" customFormat="false" ht="15" hidden="false" customHeight="false" outlineLevel="0" collapsed="false">
      <c r="A344" s="27" t="n">
        <v>340</v>
      </c>
      <c r="B344" s="18" t="n">
        <v>1</v>
      </c>
      <c r="C344" s="18" t="n">
        <v>0.890322492548241</v>
      </c>
    </row>
    <row r="345" customFormat="false" ht="15" hidden="false" customHeight="false" outlineLevel="0" collapsed="false">
      <c r="A345" s="27" t="n">
        <v>341</v>
      </c>
      <c r="B345" s="18" t="n">
        <v>1</v>
      </c>
      <c r="C345" s="18" t="n">
        <v>0.890408136121189</v>
      </c>
    </row>
    <row r="346" customFormat="false" ht="15" hidden="false" customHeight="false" outlineLevel="0" collapsed="false">
      <c r="A346" s="27" t="n">
        <v>342</v>
      </c>
      <c r="B346" s="18" t="n">
        <v>1</v>
      </c>
      <c r="C346" s="18" t="n">
        <v>0.890414546685298</v>
      </c>
    </row>
    <row r="347" customFormat="false" ht="15" hidden="false" customHeight="false" outlineLevel="0" collapsed="false">
      <c r="A347" s="27" t="n">
        <v>343</v>
      </c>
      <c r="B347" s="18" t="n">
        <v>1</v>
      </c>
      <c r="C347" s="18" t="n">
        <v>0.890434312591302</v>
      </c>
    </row>
    <row r="348" customFormat="false" ht="15" hidden="false" customHeight="false" outlineLevel="0" collapsed="false">
      <c r="A348" s="27" t="n">
        <v>344</v>
      </c>
      <c r="B348" s="18" t="n">
        <v>1</v>
      </c>
      <c r="C348" s="18" t="n">
        <v>0.890455863552759</v>
      </c>
    </row>
    <row r="349" customFormat="false" ht="15" hidden="false" customHeight="false" outlineLevel="0" collapsed="false">
      <c r="A349" s="27" t="n">
        <v>345</v>
      </c>
      <c r="B349" s="18" t="n">
        <v>1</v>
      </c>
      <c r="C349" s="18" t="n">
        <v>0.890523070239092</v>
      </c>
    </row>
    <row r="350" customFormat="false" ht="15" hidden="false" customHeight="false" outlineLevel="0" collapsed="false">
      <c r="A350" s="27" t="n">
        <v>346</v>
      </c>
      <c r="B350" s="18" t="n">
        <v>1</v>
      </c>
      <c r="C350" s="18" t="n">
        <v>0.890496020785655</v>
      </c>
    </row>
    <row r="351" customFormat="false" ht="15" hidden="false" customHeight="false" outlineLevel="0" collapsed="false">
      <c r="A351" s="27" t="n">
        <v>347</v>
      </c>
      <c r="B351" s="18" t="n">
        <v>1</v>
      </c>
      <c r="C351" s="18" t="n">
        <v>0.890467538076015</v>
      </c>
    </row>
    <row r="352" customFormat="false" ht="15" hidden="false" customHeight="false" outlineLevel="0" collapsed="false">
      <c r="A352" s="27" t="n">
        <v>348</v>
      </c>
      <c r="B352" s="18" t="n">
        <v>1</v>
      </c>
      <c r="C352" s="18" t="n">
        <v>0.890836666696374</v>
      </c>
    </row>
    <row r="353" customFormat="false" ht="15" hidden="false" customHeight="false" outlineLevel="0" collapsed="false">
      <c r="A353" s="27" t="n">
        <v>349</v>
      </c>
      <c r="B353" s="18" t="n">
        <v>1</v>
      </c>
      <c r="C353" s="18" t="n">
        <v>0.890949033982713</v>
      </c>
    </row>
    <row r="354" customFormat="false" ht="15" hidden="false" customHeight="false" outlineLevel="0" collapsed="false">
      <c r="A354" s="27" t="n">
        <v>350</v>
      </c>
      <c r="B354" s="18" t="n">
        <v>1</v>
      </c>
      <c r="C354" s="18" t="n">
        <v>0.890975340748844</v>
      </c>
    </row>
    <row r="355" customFormat="false" ht="15" hidden="false" customHeight="false" outlineLevel="0" collapsed="false">
      <c r="A355" s="27" t="n">
        <v>351</v>
      </c>
      <c r="B355" s="18" t="n">
        <v>1</v>
      </c>
      <c r="C355" s="18" t="n">
        <v>0.890969633783235</v>
      </c>
    </row>
    <row r="356" customFormat="false" ht="15" hidden="false" customHeight="false" outlineLevel="0" collapsed="false">
      <c r="A356" s="27" t="n">
        <v>352</v>
      </c>
      <c r="B356" s="18" t="n">
        <v>1</v>
      </c>
      <c r="C356" s="18" t="n">
        <v>0.890830673079524</v>
      </c>
    </row>
    <row r="357" customFormat="false" ht="15" hidden="false" customHeight="false" outlineLevel="0" collapsed="false">
      <c r="A357" s="27" t="n">
        <v>353</v>
      </c>
      <c r="B357" s="18" t="n">
        <v>1</v>
      </c>
      <c r="C357" s="18" t="n">
        <v>0.890712677005187</v>
      </c>
    </row>
    <row r="358" customFormat="false" ht="15" hidden="false" customHeight="false" outlineLevel="0" collapsed="false">
      <c r="A358" s="27" t="n">
        <v>354</v>
      </c>
      <c r="B358" s="18" t="n">
        <v>1</v>
      </c>
      <c r="C358" s="18" t="n">
        <v>0.890806568316105</v>
      </c>
    </row>
    <row r="359" customFormat="false" ht="15" hidden="false" customHeight="false" outlineLevel="0" collapsed="false">
      <c r="A359" s="27" t="n">
        <v>355</v>
      </c>
      <c r="B359" s="18" t="n">
        <v>1</v>
      </c>
      <c r="C359" s="18" t="n">
        <v>0.890816985482782</v>
      </c>
    </row>
    <row r="360" customFormat="false" ht="15" hidden="false" customHeight="false" outlineLevel="0" collapsed="false">
      <c r="A360" s="27" t="n">
        <v>356</v>
      </c>
      <c r="B360" s="18" t="n">
        <v>1</v>
      </c>
      <c r="C360" s="18" t="n">
        <v>0.890775838000146</v>
      </c>
    </row>
    <row r="361" customFormat="false" ht="15" hidden="false" customHeight="false" outlineLevel="0" collapsed="false">
      <c r="A361" s="27" t="n">
        <v>357</v>
      </c>
      <c r="B361" s="18" t="n">
        <v>1</v>
      </c>
      <c r="C361" s="18" t="n">
        <v>0.890853259894328</v>
      </c>
    </row>
    <row r="362" customFormat="false" ht="15" hidden="false" customHeight="false" outlineLevel="0" collapsed="false">
      <c r="A362" s="27" t="n">
        <v>358</v>
      </c>
      <c r="B362" s="18" t="n">
        <v>1</v>
      </c>
      <c r="C362" s="18" t="n">
        <v>0.890843188012099</v>
      </c>
    </row>
    <row r="363" customFormat="false" ht="15" hidden="false" customHeight="false" outlineLevel="0" collapsed="false">
      <c r="A363" s="27" t="n">
        <v>359</v>
      </c>
      <c r="B363" s="18" t="n">
        <v>1</v>
      </c>
      <c r="C363" s="18" t="n">
        <v>0.890740039169068</v>
      </c>
    </row>
    <row r="364" customFormat="false" ht="15" hidden="false" customHeight="false" outlineLevel="0" collapsed="false">
      <c r="A364" s="27" t="n">
        <v>360</v>
      </c>
      <c r="B364" s="18" t="n">
        <v>1</v>
      </c>
      <c r="C364" s="18" t="n">
        <v>0.890686383268657</v>
      </c>
    </row>
    <row r="365" customFormat="false" ht="15" hidden="false" customHeight="false" outlineLevel="0" collapsed="false">
      <c r="A365" s="27" t="n">
        <v>361</v>
      </c>
      <c r="B365" s="18" t="n">
        <v>1</v>
      </c>
      <c r="C365" s="18" t="n">
        <v>0.890682239855269</v>
      </c>
    </row>
    <row r="366" customFormat="false" ht="15" hidden="false" customHeight="false" outlineLevel="0" collapsed="false">
      <c r="A366" s="27" t="n">
        <v>362</v>
      </c>
      <c r="B366" s="18" t="n">
        <v>1</v>
      </c>
      <c r="C366" s="18" t="n">
        <v>0.890570028924153</v>
      </c>
    </row>
    <row r="367" customFormat="false" ht="15" hidden="false" customHeight="false" outlineLevel="0" collapsed="false">
      <c r="A367" s="27" t="n">
        <v>363</v>
      </c>
      <c r="B367" s="18" t="n">
        <v>1</v>
      </c>
      <c r="C367" s="18" t="n">
        <v>0.890598550722598</v>
      </c>
    </row>
    <row r="368" customFormat="false" ht="15" hidden="false" customHeight="false" outlineLevel="0" collapsed="false">
      <c r="A368" s="27" t="n">
        <v>364</v>
      </c>
      <c r="B368" s="18" t="n">
        <v>1</v>
      </c>
      <c r="C368" s="18" t="n">
        <v>0.890491147714564</v>
      </c>
    </row>
    <row r="369" customFormat="false" ht="15" hidden="false" customHeight="false" outlineLevel="0" collapsed="false">
      <c r="A369" s="27" t="n">
        <v>365</v>
      </c>
      <c r="B369" s="18" t="n">
        <v>1</v>
      </c>
      <c r="C369" s="18" t="n">
        <v>0.890407341315476</v>
      </c>
    </row>
    <row r="370" customFormat="false" ht="15" hidden="false" customHeight="false" outlineLevel="0" collapsed="false">
      <c r="A370" s="27" t="n">
        <v>366</v>
      </c>
      <c r="B370" s="18" t="n">
        <v>1</v>
      </c>
      <c r="C370" s="18" t="n">
        <v>0.890237031389718</v>
      </c>
    </row>
    <row r="371" customFormat="false" ht="15" hidden="false" customHeight="false" outlineLevel="0" collapsed="false">
      <c r="A371" s="27" t="n">
        <v>367</v>
      </c>
      <c r="B371" s="18" t="n">
        <v>1</v>
      </c>
      <c r="C371" s="18" t="n">
        <v>0.89024973525152</v>
      </c>
    </row>
    <row r="372" customFormat="false" ht="15" hidden="false" customHeight="false" outlineLevel="0" collapsed="false">
      <c r="A372" s="27" t="n">
        <v>368</v>
      </c>
      <c r="B372" s="18" t="n">
        <v>1</v>
      </c>
      <c r="C372" s="18" t="n">
        <v>0.890244269333545</v>
      </c>
    </row>
    <row r="373" customFormat="false" ht="15" hidden="false" customHeight="false" outlineLevel="0" collapsed="false">
      <c r="A373" s="27" t="n">
        <v>369</v>
      </c>
      <c r="B373" s="18" t="n">
        <v>1</v>
      </c>
      <c r="C373" s="18" t="n">
        <v>0.890338707887741</v>
      </c>
    </row>
    <row r="374" customFormat="false" ht="15" hidden="false" customHeight="false" outlineLevel="0" collapsed="false">
      <c r="A374" s="27" t="n">
        <v>370</v>
      </c>
      <c r="B374" s="18" t="n">
        <v>1</v>
      </c>
      <c r="C374" s="18" t="n">
        <v>0.890318551093681</v>
      </c>
    </row>
    <row r="375" customFormat="false" ht="15" hidden="false" customHeight="false" outlineLevel="0" collapsed="false">
      <c r="A375" s="27" t="n">
        <v>371</v>
      </c>
      <c r="B375" s="18" t="n">
        <v>1</v>
      </c>
      <c r="C375" s="18" t="n">
        <v>0.890310590006952</v>
      </c>
    </row>
    <row r="376" customFormat="false" ht="15" hidden="false" customHeight="false" outlineLevel="0" collapsed="false">
      <c r="A376" s="27" t="n">
        <v>372</v>
      </c>
      <c r="B376" s="18" t="n">
        <v>1</v>
      </c>
      <c r="C376" s="18" t="n">
        <v>0.8902918925283</v>
      </c>
    </row>
    <row r="377" customFormat="false" ht="15" hidden="false" customHeight="false" outlineLevel="0" collapsed="false">
      <c r="A377" s="27" t="n">
        <v>373</v>
      </c>
      <c r="B377" s="18" t="n">
        <v>1</v>
      </c>
      <c r="C377" s="18" t="n">
        <v>0.890314420709895</v>
      </c>
    </row>
    <row r="378" customFormat="false" ht="15" hidden="false" customHeight="false" outlineLevel="0" collapsed="false">
      <c r="A378" s="27" t="n">
        <v>374</v>
      </c>
      <c r="B378" s="18" t="n">
        <v>1</v>
      </c>
      <c r="C378" s="18" t="n">
        <v>0.890352818946542</v>
      </c>
    </row>
    <row r="379" customFormat="false" ht="15" hidden="false" customHeight="false" outlineLevel="0" collapsed="false">
      <c r="A379" s="27" t="n">
        <v>375</v>
      </c>
      <c r="B379" s="18" t="n">
        <v>1</v>
      </c>
      <c r="C379" s="18" t="n">
        <v>0.890253455202848</v>
      </c>
    </row>
    <row r="380" customFormat="false" ht="15" hidden="false" customHeight="false" outlineLevel="0" collapsed="false">
      <c r="A380" s="27" t="n">
        <v>376</v>
      </c>
      <c r="B380" s="18" t="n">
        <v>1</v>
      </c>
      <c r="C380" s="18" t="n">
        <v>0.890201102262622</v>
      </c>
    </row>
    <row r="381" customFormat="false" ht="15" hidden="false" customHeight="false" outlineLevel="0" collapsed="false">
      <c r="A381" s="27" t="n">
        <v>377</v>
      </c>
      <c r="B381" s="18" t="n">
        <v>1</v>
      </c>
      <c r="C381" s="18" t="n">
        <v>0.890193062998281</v>
      </c>
    </row>
    <row r="382" customFormat="false" ht="15" hidden="false" customHeight="false" outlineLevel="0" collapsed="false">
      <c r="A382" s="27" t="n">
        <v>378</v>
      </c>
      <c r="B382" s="18" t="n">
        <v>1</v>
      </c>
      <c r="C382" s="18" t="n">
        <v>0.890222991993727</v>
      </c>
    </row>
    <row r="383" customFormat="false" ht="15" hidden="false" customHeight="false" outlineLevel="0" collapsed="false">
      <c r="A383" s="27" t="n">
        <v>379</v>
      </c>
      <c r="B383" s="18" t="n">
        <v>1</v>
      </c>
      <c r="C383" s="18" t="n">
        <v>0.890226197275781</v>
      </c>
    </row>
    <row r="384" customFormat="false" ht="15" hidden="false" customHeight="false" outlineLevel="0" collapsed="false">
      <c r="A384" s="27" t="n">
        <v>380</v>
      </c>
      <c r="B384" s="18" t="n">
        <v>1</v>
      </c>
      <c r="C384" s="18" t="n">
        <v>0.89014236481749</v>
      </c>
    </row>
    <row r="385" customFormat="false" ht="15" hidden="false" customHeight="false" outlineLevel="0" collapsed="false">
      <c r="A385" s="27" t="n">
        <v>381</v>
      </c>
      <c r="B385" s="18" t="n">
        <v>1</v>
      </c>
      <c r="C385" s="18" t="n">
        <v>0.890160137194411</v>
      </c>
    </row>
    <row r="386" customFormat="false" ht="15" hidden="false" customHeight="false" outlineLevel="0" collapsed="false">
      <c r="A386" s="27" t="n">
        <v>382</v>
      </c>
      <c r="B386" s="18" t="n">
        <v>1</v>
      </c>
      <c r="C386" s="18" t="n">
        <v>0.890178977998684</v>
      </c>
    </row>
    <row r="387" customFormat="false" ht="15" hidden="false" customHeight="false" outlineLevel="0" collapsed="false">
      <c r="A387" s="27" t="n">
        <v>383</v>
      </c>
      <c r="B387" s="18" t="n">
        <v>1</v>
      </c>
      <c r="C387" s="18" t="n">
        <v>0.890049216193877</v>
      </c>
    </row>
    <row r="388" customFormat="false" ht="15" hidden="false" customHeight="false" outlineLevel="0" collapsed="false">
      <c r="A388" s="27" t="n">
        <v>384</v>
      </c>
      <c r="B388" s="18" t="n">
        <v>1</v>
      </c>
      <c r="C388" s="18" t="n">
        <v>0.889939155147066</v>
      </c>
    </row>
    <row r="389" customFormat="false" ht="15" hidden="false" customHeight="false" outlineLevel="0" collapsed="false">
      <c r="A389" s="27" t="n">
        <v>385</v>
      </c>
      <c r="B389" s="18" t="n">
        <v>1</v>
      </c>
      <c r="C389" s="18" t="n">
        <v>0.889803119588969</v>
      </c>
    </row>
    <row r="390" customFormat="false" ht="15" hidden="false" customHeight="false" outlineLevel="0" collapsed="false">
      <c r="A390" s="27" t="n">
        <v>386</v>
      </c>
      <c r="B390" s="18" t="n">
        <v>1</v>
      </c>
      <c r="C390" s="18" t="n">
        <v>0.889793634038824</v>
      </c>
    </row>
    <row r="391" customFormat="false" ht="15" hidden="false" customHeight="false" outlineLevel="0" collapsed="false">
      <c r="A391" s="27" t="n">
        <v>387</v>
      </c>
      <c r="B391" s="18" t="n">
        <v>1</v>
      </c>
      <c r="C391" s="18" t="n">
        <v>0.889858286923195</v>
      </c>
    </row>
    <row r="392" customFormat="false" ht="15" hidden="false" customHeight="false" outlineLevel="0" collapsed="false">
      <c r="A392" s="27" t="n">
        <v>388</v>
      </c>
      <c r="B392" s="18" t="n">
        <v>1</v>
      </c>
      <c r="C392" s="18" t="n">
        <v>0.889876958342643</v>
      </c>
    </row>
    <row r="393" customFormat="false" ht="15" hidden="false" customHeight="false" outlineLevel="0" collapsed="false">
      <c r="A393" s="27" t="n">
        <v>389</v>
      </c>
      <c r="B393" s="18" t="n">
        <v>1</v>
      </c>
      <c r="C393" s="18" t="n">
        <v>0.889794363696527</v>
      </c>
    </row>
    <row r="394" customFormat="false" ht="15" hidden="false" customHeight="false" outlineLevel="0" collapsed="false">
      <c r="A394" s="27" t="n">
        <v>390</v>
      </c>
      <c r="B394" s="18" t="n">
        <v>1</v>
      </c>
      <c r="C394" s="18" t="n">
        <v>0.889733072449433</v>
      </c>
    </row>
    <row r="395" customFormat="false" ht="15" hidden="false" customHeight="false" outlineLevel="0" collapsed="false">
      <c r="A395" s="27" t="n">
        <v>391</v>
      </c>
      <c r="B395" s="18" t="n">
        <v>1</v>
      </c>
      <c r="C395" s="18" t="n">
        <v>0.889737854313312</v>
      </c>
    </row>
    <row r="396" customFormat="false" ht="15" hidden="false" customHeight="false" outlineLevel="0" collapsed="false">
      <c r="A396" s="27" t="n">
        <v>392</v>
      </c>
      <c r="B396" s="18" t="n">
        <v>1</v>
      </c>
      <c r="C396" s="18" t="n">
        <v>0.889749372481345</v>
      </c>
    </row>
    <row r="397" customFormat="false" ht="15" hidden="false" customHeight="false" outlineLevel="0" collapsed="false">
      <c r="A397" s="27" t="n">
        <v>393</v>
      </c>
      <c r="B397" s="18" t="n">
        <v>1</v>
      </c>
      <c r="C397" s="18" t="n">
        <v>0.88981525014829</v>
      </c>
    </row>
    <row r="398" customFormat="false" ht="15" hidden="false" customHeight="false" outlineLevel="0" collapsed="false">
      <c r="A398" s="27" t="n">
        <v>394</v>
      </c>
      <c r="B398" s="18" t="n">
        <v>1</v>
      </c>
      <c r="C398" s="18" t="n">
        <v>0.889864293569647</v>
      </c>
    </row>
    <row r="399" customFormat="false" ht="15" hidden="false" customHeight="false" outlineLevel="0" collapsed="false">
      <c r="A399" s="27" t="n">
        <v>395</v>
      </c>
      <c r="B399" s="18" t="n">
        <v>1</v>
      </c>
      <c r="C399" s="18" t="n">
        <v>0.890018420729909</v>
      </c>
    </row>
    <row r="400" customFormat="false" ht="15" hidden="false" customHeight="false" outlineLevel="0" collapsed="false">
      <c r="A400" s="27" t="n">
        <v>396</v>
      </c>
      <c r="B400" s="18" t="n">
        <v>1</v>
      </c>
      <c r="C400" s="18" t="n">
        <v>0.890061665978443</v>
      </c>
    </row>
    <row r="401" customFormat="false" ht="15" hidden="false" customHeight="false" outlineLevel="0" collapsed="false">
      <c r="A401" s="27" t="n">
        <v>397</v>
      </c>
      <c r="B401" s="18" t="n">
        <v>1</v>
      </c>
      <c r="C401" s="18" t="n">
        <v>0.89006728173684</v>
      </c>
    </row>
    <row r="402" customFormat="false" ht="15" hidden="false" customHeight="false" outlineLevel="0" collapsed="false">
      <c r="A402" s="27" t="n">
        <v>398</v>
      </c>
      <c r="B402" s="18" t="n">
        <v>1</v>
      </c>
      <c r="C402" s="18" t="n">
        <v>0.890035411330719</v>
      </c>
    </row>
    <row r="403" customFormat="false" ht="15" hidden="false" customHeight="false" outlineLevel="0" collapsed="false">
      <c r="A403" s="27" t="n">
        <v>399</v>
      </c>
      <c r="B403" s="18" t="n">
        <v>1</v>
      </c>
      <c r="C403" s="18" t="n">
        <v>0.8900973149691</v>
      </c>
    </row>
    <row r="404" customFormat="false" ht="15" hidden="false" customHeight="false" outlineLevel="0" collapsed="false">
      <c r="A404" s="27" t="n">
        <v>400</v>
      </c>
      <c r="B404" s="18" t="n">
        <v>1</v>
      </c>
      <c r="C404" s="18" t="n">
        <v>0.890112207804012</v>
      </c>
    </row>
    <row r="405" customFormat="false" ht="15" hidden="false" customHeight="false" outlineLevel="0" collapsed="false">
      <c r="A405" s="27" t="n">
        <v>401</v>
      </c>
      <c r="B405" s="18" t="n">
        <v>1</v>
      </c>
      <c r="C405" s="18" t="n">
        <v>0.890025769425351</v>
      </c>
    </row>
    <row r="406" customFormat="false" ht="15" hidden="false" customHeight="false" outlineLevel="0" collapsed="false">
      <c r="A406" s="27" t="n">
        <v>402</v>
      </c>
      <c r="B406" s="18" t="n">
        <v>1</v>
      </c>
      <c r="C406" s="18" t="n">
        <v>0.89007517767556</v>
      </c>
    </row>
    <row r="407" customFormat="false" ht="15" hidden="false" customHeight="false" outlineLevel="0" collapsed="false">
      <c r="A407" s="27" t="n">
        <v>403</v>
      </c>
      <c r="B407" s="18" t="n">
        <v>1</v>
      </c>
      <c r="C407" s="18" t="n">
        <v>0.89005988092299</v>
      </c>
    </row>
    <row r="408" customFormat="false" ht="15" hidden="false" customHeight="false" outlineLevel="0" collapsed="false">
      <c r="A408" s="27" t="n">
        <v>404</v>
      </c>
      <c r="B408" s="18" t="n">
        <v>1</v>
      </c>
      <c r="C408" s="18" t="n">
        <v>0.890069340413932</v>
      </c>
    </row>
    <row r="409" customFormat="false" ht="15" hidden="false" customHeight="false" outlineLevel="0" collapsed="false">
      <c r="A409" s="27" t="n">
        <v>405</v>
      </c>
      <c r="B409" s="18" t="n">
        <v>1</v>
      </c>
      <c r="C409" s="18" t="n">
        <v>0.890066773582368</v>
      </c>
    </row>
    <row r="410" customFormat="false" ht="15" hidden="false" customHeight="false" outlineLevel="0" collapsed="false">
      <c r="A410" s="27" t="n">
        <v>406</v>
      </c>
      <c r="B410" s="18" t="n">
        <v>1</v>
      </c>
      <c r="C410" s="18" t="n">
        <v>0.890201760257515</v>
      </c>
    </row>
    <row r="411" customFormat="false" ht="15" hidden="false" customHeight="false" outlineLevel="0" collapsed="false">
      <c r="A411" s="27" t="n">
        <v>407</v>
      </c>
      <c r="B411" s="18" t="n">
        <v>1</v>
      </c>
      <c r="C411" s="18" t="n">
        <v>0.890157681114463</v>
      </c>
    </row>
    <row r="412" customFormat="false" ht="15" hidden="false" customHeight="false" outlineLevel="0" collapsed="false">
      <c r="A412" s="27" t="n">
        <v>408</v>
      </c>
      <c r="B412" s="18" t="n">
        <v>1</v>
      </c>
      <c r="C412" s="18" t="n">
        <v>0.890149654879724</v>
      </c>
    </row>
    <row r="413" customFormat="false" ht="15" hidden="false" customHeight="false" outlineLevel="0" collapsed="false">
      <c r="A413" s="27" t="n">
        <v>409</v>
      </c>
      <c r="B413" s="18" t="n">
        <v>1</v>
      </c>
      <c r="C413" s="18" t="n">
        <v>0.890070200367654</v>
      </c>
    </row>
    <row r="414" customFormat="false" ht="15" hidden="false" customHeight="false" outlineLevel="0" collapsed="false">
      <c r="A414" s="27" t="n">
        <v>410</v>
      </c>
      <c r="B414" s="18" t="n">
        <v>1</v>
      </c>
      <c r="C414" s="18" t="n">
        <v>0.890149772146141</v>
      </c>
    </row>
    <row r="415" customFormat="false" ht="15" hidden="false" customHeight="false" outlineLevel="0" collapsed="false">
      <c r="A415" s="27" t="n">
        <v>411</v>
      </c>
      <c r="B415" s="18" t="n">
        <v>1</v>
      </c>
      <c r="C415" s="18" t="n">
        <v>0.890258751735999</v>
      </c>
    </row>
    <row r="416" customFormat="false" ht="15" hidden="false" customHeight="false" outlineLevel="0" collapsed="false">
      <c r="A416" s="27" t="n">
        <v>412</v>
      </c>
      <c r="B416" s="18" t="n">
        <v>1</v>
      </c>
      <c r="C416" s="18" t="n">
        <v>0.890179609934373</v>
      </c>
    </row>
    <row r="417" customFormat="false" ht="15" hidden="false" customHeight="false" outlineLevel="0" collapsed="false">
      <c r="A417" s="27" t="n">
        <v>413</v>
      </c>
      <c r="B417" s="18" t="n">
        <v>1</v>
      </c>
      <c r="C417" s="18" t="n">
        <v>0.890135582909728</v>
      </c>
    </row>
    <row r="418" customFormat="false" ht="15" hidden="false" customHeight="false" outlineLevel="0" collapsed="false">
      <c r="A418" s="27" t="n">
        <v>414</v>
      </c>
      <c r="B418" s="18" t="n">
        <v>1</v>
      </c>
      <c r="C418" s="18" t="n">
        <v>0.890330838008224</v>
      </c>
    </row>
    <row r="419" customFormat="false" ht="15" hidden="false" customHeight="false" outlineLevel="0" collapsed="false">
      <c r="A419" s="27" t="n">
        <v>415</v>
      </c>
      <c r="B419" s="18" t="n">
        <v>1</v>
      </c>
      <c r="C419" s="18" t="n">
        <v>0.890361666046197</v>
      </c>
    </row>
    <row r="420" customFormat="false" ht="15" hidden="false" customHeight="false" outlineLevel="0" collapsed="false">
      <c r="A420" s="27" t="n">
        <v>416</v>
      </c>
      <c r="B420" s="18" t="n">
        <v>1</v>
      </c>
      <c r="C420" s="18" t="n">
        <v>0.89037106038913</v>
      </c>
    </row>
    <row r="421" customFormat="false" ht="15" hidden="false" customHeight="false" outlineLevel="0" collapsed="false">
      <c r="A421" s="27" t="n">
        <v>417</v>
      </c>
      <c r="B421" s="18" t="n">
        <v>1</v>
      </c>
      <c r="C421" s="18" t="n">
        <v>0.890342851301128</v>
      </c>
    </row>
    <row r="422" customFormat="false" ht="15" hidden="false" customHeight="false" outlineLevel="0" collapsed="false">
      <c r="A422" s="27" t="n">
        <v>418</v>
      </c>
      <c r="B422" s="18" t="n">
        <v>1</v>
      </c>
      <c r="C422" s="18" t="n">
        <v>0.890215526031868</v>
      </c>
    </row>
    <row r="423" customFormat="false" ht="15" hidden="false" customHeight="false" outlineLevel="0" collapsed="false">
      <c r="A423" s="27" t="n">
        <v>419</v>
      </c>
      <c r="B423" s="18" t="n">
        <v>1</v>
      </c>
      <c r="C423" s="18" t="n">
        <v>0.890092057524754</v>
      </c>
    </row>
    <row r="424" customFormat="false" ht="15" hidden="false" customHeight="false" outlineLevel="0" collapsed="false">
      <c r="A424" s="27" t="n">
        <v>420</v>
      </c>
      <c r="B424" s="18" t="n">
        <v>1</v>
      </c>
      <c r="C424" s="18" t="n">
        <v>0.890105478014658</v>
      </c>
    </row>
    <row r="425" customFormat="false" ht="15" hidden="false" customHeight="false" outlineLevel="0" collapsed="false">
      <c r="A425" s="27" t="n">
        <v>421</v>
      </c>
      <c r="B425" s="18" t="n">
        <v>1</v>
      </c>
      <c r="C425" s="18" t="n">
        <v>0.890047365990415</v>
      </c>
    </row>
    <row r="426" customFormat="false" ht="15" hidden="false" customHeight="false" outlineLevel="0" collapsed="false">
      <c r="A426" s="27" t="n">
        <v>422</v>
      </c>
      <c r="B426" s="18" t="n">
        <v>1</v>
      </c>
      <c r="C426" s="18" t="n">
        <v>0.890083614342756</v>
      </c>
    </row>
    <row r="427" customFormat="false" ht="15" hidden="false" customHeight="false" outlineLevel="0" collapsed="false">
      <c r="A427" s="27" t="n">
        <v>423</v>
      </c>
      <c r="B427" s="18" t="n">
        <v>1</v>
      </c>
      <c r="C427" s="18" t="n">
        <v>0.889943507034083</v>
      </c>
    </row>
    <row r="428" customFormat="false" ht="15" hidden="false" customHeight="false" outlineLevel="0" collapsed="false">
      <c r="A428" s="27" t="n">
        <v>424</v>
      </c>
      <c r="B428" s="18" t="n">
        <v>1</v>
      </c>
      <c r="C428" s="18" t="n">
        <v>0.889893655777412</v>
      </c>
    </row>
    <row r="429" customFormat="false" ht="15" hidden="false" customHeight="false" outlineLevel="0" collapsed="false">
      <c r="A429" s="27" t="n">
        <v>425</v>
      </c>
      <c r="B429" s="18" t="n">
        <v>1</v>
      </c>
      <c r="C429" s="18" t="n">
        <v>0.889898137960447</v>
      </c>
    </row>
    <row r="430" customFormat="false" ht="15" hidden="false" customHeight="false" outlineLevel="0" collapsed="false">
      <c r="A430" s="27" t="n">
        <v>426</v>
      </c>
      <c r="B430" s="18" t="n">
        <v>1</v>
      </c>
      <c r="C430" s="18" t="n">
        <v>0.889885564394664</v>
      </c>
    </row>
    <row r="431" customFormat="false" ht="15" hidden="false" customHeight="false" outlineLevel="0" collapsed="false">
      <c r="A431" s="27" t="n">
        <v>427</v>
      </c>
      <c r="B431" s="18" t="n">
        <v>1</v>
      </c>
      <c r="C431" s="18" t="n">
        <v>0.889952458370553</v>
      </c>
    </row>
    <row r="432" customFormat="false" ht="15" hidden="false" customHeight="false" outlineLevel="0" collapsed="false">
      <c r="A432" s="27" t="n">
        <v>428</v>
      </c>
      <c r="B432" s="18" t="n">
        <v>1</v>
      </c>
      <c r="C432" s="18" t="n">
        <v>0.889940327811232</v>
      </c>
    </row>
    <row r="433" customFormat="false" ht="15" hidden="false" customHeight="false" outlineLevel="0" collapsed="false">
      <c r="A433" s="27" t="n">
        <v>429</v>
      </c>
      <c r="B433" s="18" t="n">
        <v>1</v>
      </c>
      <c r="C433" s="18" t="n">
        <v>0.889942972820407</v>
      </c>
    </row>
    <row r="434" customFormat="false" ht="15" hidden="false" customHeight="false" outlineLevel="0" collapsed="false">
      <c r="A434" s="27" t="n">
        <v>430</v>
      </c>
      <c r="B434" s="18" t="n">
        <v>1</v>
      </c>
      <c r="C434" s="18" t="n">
        <v>0.889844638415259</v>
      </c>
    </row>
    <row r="435" customFormat="false" ht="15" hidden="false" customHeight="false" outlineLevel="0" collapsed="false">
      <c r="A435" s="27" t="n">
        <v>431</v>
      </c>
      <c r="B435" s="18" t="n">
        <v>1</v>
      </c>
      <c r="C435" s="18" t="n">
        <v>0.889711775565212</v>
      </c>
    </row>
    <row r="436" customFormat="false" ht="15" hidden="false" customHeight="false" outlineLevel="0" collapsed="false">
      <c r="A436" s="27" t="n">
        <v>432</v>
      </c>
      <c r="B436" s="18" t="n">
        <v>1</v>
      </c>
      <c r="C436" s="18" t="n">
        <v>0.889693273530588</v>
      </c>
    </row>
    <row r="437" customFormat="false" ht="15" hidden="false" customHeight="false" outlineLevel="0" collapsed="false">
      <c r="A437" s="27" t="n">
        <v>433</v>
      </c>
      <c r="B437" s="18" t="n">
        <v>1</v>
      </c>
      <c r="C437" s="18" t="n">
        <v>0.889558742891505</v>
      </c>
    </row>
    <row r="438" customFormat="false" ht="15" hidden="false" customHeight="false" outlineLevel="0" collapsed="false">
      <c r="A438" s="27" t="n">
        <v>434</v>
      </c>
      <c r="B438" s="18" t="n">
        <v>1</v>
      </c>
      <c r="C438" s="18" t="n">
        <v>0.889516774543952</v>
      </c>
    </row>
    <row r="439" customFormat="false" ht="15" hidden="false" customHeight="false" outlineLevel="0" collapsed="false">
      <c r="A439" s="27" t="n">
        <v>435</v>
      </c>
      <c r="B439" s="18" t="n">
        <v>1</v>
      </c>
      <c r="C439" s="18" t="n">
        <v>0.889551211781637</v>
      </c>
    </row>
    <row r="440" customFormat="false" ht="15" hidden="false" customHeight="false" outlineLevel="0" collapsed="false">
      <c r="A440" s="27" t="n">
        <v>436</v>
      </c>
      <c r="B440" s="18" t="n">
        <v>1</v>
      </c>
      <c r="C440" s="18" t="n">
        <v>0.88939458293782</v>
      </c>
    </row>
    <row r="441" customFormat="false" ht="15" hidden="false" customHeight="false" outlineLevel="0" collapsed="false">
      <c r="A441" s="27" t="n">
        <v>437</v>
      </c>
      <c r="B441" s="18" t="n">
        <v>1</v>
      </c>
      <c r="C441" s="18" t="n">
        <v>0.889304027204975</v>
      </c>
    </row>
    <row r="442" customFormat="false" ht="15" hidden="false" customHeight="false" outlineLevel="0" collapsed="false">
      <c r="A442" s="27" t="n">
        <v>438</v>
      </c>
      <c r="B442" s="18" t="n">
        <v>1</v>
      </c>
      <c r="C442" s="18" t="n">
        <v>0.889425554301413</v>
      </c>
    </row>
    <row r="443" customFormat="false" ht="15" hidden="false" customHeight="false" outlineLevel="0" collapsed="false">
      <c r="A443" s="27" t="n">
        <v>439</v>
      </c>
      <c r="B443" s="18" t="n">
        <v>1</v>
      </c>
      <c r="C443" s="18" t="n">
        <v>0.889512565982555</v>
      </c>
    </row>
    <row r="444" customFormat="false" ht="15" hidden="false" customHeight="false" outlineLevel="0" collapsed="false">
      <c r="A444" s="27" t="n">
        <v>440</v>
      </c>
      <c r="B444" s="18" t="n">
        <v>1</v>
      </c>
      <c r="C444" s="18" t="n">
        <v>0.889501998975457</v>
      </c>
    </row>
    <row r="445" customFormat="false" ht="15" hidden="false" customHeight="false" outlineLevel="0" collapsed="false">
      <c r="A445" s="27" t="n">
        <v>441</v>
      </c>
      <c r="B445" s="18" t="n">
        <v>1</v>
      </c>
      <c r="C445" s="18" t="n">
        <v>0.889360275996153</v>
      </c>
    </row>
    <row r="446" customFormat="false" ht="15" hidden="false" customHeight="false" outlineLevel="0" collapsed="false">
      <c r="A446" s="27" t="n">
        <v>442</v>
      </c>
      <c r="B446" s="18" t="n">
        <v>1</v>
      </c>
      <c r="C446" s="18" t="n">
        <v>0.88940466784965</v>
      </c>
    </row>
    <row r="447" customFormat="false" ht="15" hidden="false" customHeight="false" outlineLevel="0" collapsed="false">
      <c r="A447" s="27" t="n">
        <v>443</v>
      </c>
      <c r="B447" s="18" t="n">
        <v>1</v>
      </c>
      <c r="C447" s="18" t="n">
        <v>0.889434648963503</v>
      </c>
    </row>
    <row r="448" customFormat="false" ht="15" hidden="false" customHeight="false" outlineLevel="0" collapsed="false">
      <c r="A448" s="27" t="n">
        <v>444</v>
      </c>
      <c r="B448" s="18" t="n">
        <v>1</v>
      </c>
      <c r="C448" s="18" t="n">
        <v>0.889397983663902</v>
      </c>
    </row>
    <row r="449" customFormat="false" ht="15" hidden="false" customHeight="false" outlineLevel="0" collapsed="false">
      <c r="A449" s="27" t="n">
        <v>445</v>
      </c>
      <c r="B449" s="18" t="n">
        <v>1</v>
      </c>
      <c r="C449" s="18" t="n">
        <v>0.889373618308446</v>
      </c>
    </row>
    <row r="450" customFormat="false" ht="15" hidden="false" customHeight="false" outlineLevel="0" collapsed="false">
      <c r="A450" s="27" t="n">
        <v>446</v>
      </c>
      <c r="B450" s="18" t="n">
        <v>1</v>
      </c>
      <c r="C450" s="18" t="n">
        <v>0.889717026494757</v>
      </c>
    </row>
    <row r="451" customFormat="false" ht="15" hidden="false" customHeight="false" outlineLevel="0" collapsed="false">
      <c r="A451" s="27" t="n">
        <v>447</v>
      </c>
      <c r="B451" s="18" t="n">
        <v>1</v>
      </c>
      <c r="C451" s="18" t="n">
        <v>0.889693234441782</v>
      </c>
    </row>
    <row r="452" customFormat="false" ht="15" hidden="false" customHeight="false" outlineLevel="0" collapsed="false">
      <c r="A452" s="27" t="n">
        <v>448</v>
      </c>
      <c r="B452" s="18" t="n">
        <v>1</v>
      </c>
      <c r="C452" s="18" t="n">
        <v>0.889671214414659</v>
      </c>
    </row>
    <row r="453" customFormat="false" ht="15" hidden="false" customHeight="false" outlineLevel="0" collapsed="false">
      <c r="A453" s="27" t="n">
        <v>449</v>
      </c>
      <c r="B453" s="18" t="n">
        <v>1</v>
      </c>
      <c r="C453" s="18" t="n">
        <v>0.88969208783682</v>
      </c>
    </row>
    <row r="454" customFormat="false" ht="15" hidden="false" customHeight="false" outlineLevel="0" collapsed="false">
      <c r="A454" s="27" t="n">
        <v>450</v>
      </c>
      <c r="B454" s="18" t="n">
        <v>1</v>
      </c>
      <c r="C454" s="18" t="n">
        <v>0.889622757325385</v>
      </c>
    </row>
    <row r="455" customFormat="false" ht="15" hidden="false" customHeight="false" outlineLevel="0" collapsed="false">
      <c r="A455" s="27" t="n">
        <v>451</v>
      </c>
      <c r="B455" s="18" t="n">
        <v>1</v>
      </c>
      <c r="C455" s="18" t="n">
        <v>0.889586222321803</v>
      </c>
    </row>
    <row r="456" customFormat="false" ht="15" hidden="false" customHeight="false" outlineLevel="0" collapsed="false">
      <c r="A456" s="27" t="n">
        <v>452</v>
      </c>
      <c r="B456" s="18" t="n">
        <v>1</v>
      </c>
      <c r="C456" s="18" t="n">
        <v>0.889436551285373</v>
      </c>
    </row>
    <row r="457" customFormat="false" ht="15" hidden="false" customHeight="false" outlineLevel="0" collapsed="false">
      <c r="A457" s="27" t="n">
        <v>453</v>
      </c>
      <c r="B457" s="18" t="n">
        <v>1</v>
      </c>
      <c r="C457" s="18" t="n">
        <v>0.889439339620168</v>
      </c>
    </row>
    <row r="458" customFormat="false" ht="15" hidden="false" customHeight="false" outlineLevel="0" collapsed="false">
      <c r="A458" s="27" t="n">
        <v>454</v>
      </c>
      <c r="B458" s="18" t="n">
        <v>1</v>
      </c>
      <c r="C458" s="18" t="n">
        <v>0.889503445261262</v>
      </c>
    </row>
    <row r="459" customFormat="false" ht="15" hidden="false" customHeight="false" outlineLevel="0" collapsed="false">
      <c r="A459" s="27" t="n">
        <v>455</v>
      </c>
      <c r="B459" s="18" t="n">
        <v>1</v>
      </c>
      <c r="C459" s="18" t="n">
        <v>0.889482584868703</v>
      </c>
    </row>
    <row r="460" customFormat="false" ht="15" hidden="false" customHeight="false" outlineLevel="0" collapsed="false">
      <c r="A460" s="27" t="n">
        <v>456</v>
      </c>
      <c r="B460" s="18" t="n">
        <v>1</v>
      </c>
      <c r="C460" s="18" t="n">
        <v>0.88946614151117</v>
      </c>
    </row>
    <row r="461" customFormat="false" ht="15" hidden="false" customHeight="false" outlineLevel="0" collapsed="false">
      <c r="A461" s="27" t="n">
        <v>457</v>
      </c>
      <c r="B461" s="18" t="n">
        <v>1</v>
      </c>
      <c r="C461" s="18" t="n">
        <v>0.889545739348861</v>
      </c>
    </row>
    <row r="462" customFormat="false" ht="15" hidden="false" customHeight="false" outlineLevel="0" collapsed="false">
      <c r="A462" s="27" t="n">
        <v>458</v>
      </c>
      <c r="B462" s="18" t="n">
        <v>1</v>
      </c>
      <c r="C462" s="18" t="n">
        <v>0.889489985682552</v>
      </c>
    </row>
    <row r="463" customFormat="false" ht="15" hidden="false" customHeight="false" outlineLevel="0" collapsed="false">
      <c r="A463" s="27" t="n">
        <v>459</v>
      </c>
      <c r="B463" s="18" t="n">
        <v>1</v>
      </c>
      <c r="C463" s="18" t="n">
        <v>0.889341813050334</v>
      </c>
    </row>
    <row r="464" customFormat="false" ht="15" hidden="false" customHeight="false" outlineLevel="0" collapsed="false">
      <c r="A464" s="27" t="n">
        <v>460</v>
      </c>
      <c r="B464" s="18" t="n">
        <v>1</v>
      </c>
      <c r="C464" s="18" t="n">
        <v>0.889321004776183</v>
      </c>
    </row>
    <row r="465" customFormat="false" ht="15" hidden="false" customHeight="false" outlineLevel="0" collapsed="false">
      <c r="A465" s="27" t="n">
        <v>461</v>
      </c>
      <c r="B465" s="18" t="n">
        <v>1</v>
      </c>
      <c r="C465" s="18" t="n">
        <v>0.889285095193489</v>
      </c>
    </row>
    <row r="466" customFormat="false" ht="15" hidden="false" customHeight="false" outlineLevel="0" collapsed="false">
      <c r="A466" s="27" t="n">
        <v>462</v>
      </c>
      <c r="B466" s="18" t="n">
        <v>1</v>
      </c>
      <c r="C466" s="18" t="n">
        <v>0.889220794108368</v>
      </c>
    </row>
    <row r="467" customFormat="false" ht="15" hidden="false" customHeight="false" outlineLevel="0" collapsed="false">
      <c r="A467" s="27" t="n">
        <v>463</v>
      </c>
      <c r="B467" s="18" t="n">
        <v>1</v>
      </c>
      <c r="C467" s="18" t="n">
        <v>0.8893147766265</v>
      </c>
    </row>
    <row r="468" customFormat="false" ht="15" hidden="false" customHeight="false" outlineLevel="0" collapsed="false">
      <c r="A468" s="27" t="n">
        <v>464</v>
      </c>
      <c r="B468" s="18" t="n">
        <v>1</v>
      </c>
      <c r="C468" s="18" t="n">
        <v>0.889282828042768</v>
      </c>
    </row>
    <row r="469" customFormat="false" ht="15" hidden="false" customHeight="false" outlineLevel="0" collapsed="false">
      <c r="A469" s="27" t="n">
        <v>465</v>
      </c>
      <c r="B469" s="18" t="n">
        <v>1</v>
      </c>
      <c r="C469" s="18" t="n">
        <v>0.889056425681053</v>
      </c>
    </row>
    <row r="470" customFormat="false" ht="15" hidden="false" customHeight="false" outlineLevel="0" collapsed="false">
      <c r="A470" s="27" t="n">
        <v>466</v>
      </c>
      <c r="B470" s="18" t="n">
        <v>1</v>
      </c>
      <c r="C470" s="18" t="n">
        <v>0.889051278988323</v>
      </c>
    </row>
    <row r="471" customFormat="false" ht="15" hidden="false" customHeight="false" outlineLevel="0" collapsed="false">
      <c r="A471" s="27" t="n">
        <v>467</v>
      </c>
      <c r="B471" s="18" t="n">
        <v>1</v>
      </c>
      <c r="C471" s="18" t="n">
        <v>0.889004919664947</v>
      </c>
    </row>
    <row r="472" customFormat="false" ht="15" hidden="false" customHeight="false" outlineLevel="0" collapsed="false">
      <c r="A472" s="27" t="n">
        <v>468</v>
      </c>
      <c r="B472" s="18" t="n">
        <v>1</v>
      </c>
      <c r="C472" s="18" t="n">
        <v>0.88898682154798</v>
      </c>
    </row>
    <row r="473" customFormat="false" ht="15" hidden="false" customHeight="false" outlineLevel="0" collapsed="false">
      <c r="A473" s="27" t="n">
        <v>469</v>
      </c>
      <c r="B473" s="18" t="n">
        <v>1</v>
      </c>
      <c r="C473" s="18" t="n">
        <v>0.888979498911742</v>
      </c>
    </row>
    <row r="474" customFormat="false" ht="15" hidden="false" customHeight="false" outlineLevel="0" collapsed="false">
      <c r="A474" s="27" t="n">
        <v>470</v>
      </c>
      <c r="B474" s="18" t="n">
        <v>1</v>
      </c>
      <c r="C474" s="18" t="n">
        <v>0.88882516327785</v>
      </c>
    </row>
    <row r="475" customFormat="false" ht="15" hidden="false" customHeight="false" outlineLevel="0" collapsed="false">
      <c r="A475" s="27" t="n">
        <v>471</v>
      </c>
      <c r="B475" s="18" t="n">
        <v>1</v>
      </c>
      <c r="C475" s="18" t="n">
        <v>0.889166174017421</v>
      </c>
    </row>
    <row r="476" customFormat="false" ht="15" hidden="false" customHeight="false" outlineLevel="0" collapsed="false">
      <c r="A476" s="27" t="n">
        <v>472</v>
      </c>
      <c r="B476" s="18" t="n">
        <v>1</v>
      </c>
      <c r="C476" s="18" t="n">
        <v>0.8891202055821</v>
      </c>
    </row>
    <row r="477" customFormat="false" ht="15" hidden="false" customHeight="false" outlineLevel="0" collapsed="false">
      <c r="A477" s="27" t="n">
        <v>473</v>
      </c>
      <c r="B477" s="18" t="n">
        <v>1</v>
      </c>
      <c r="C477" s="18" t="n">
        <v>0.889081794315852</v>
      </c>
    </row>
    <row r="478" customFormat="false" ht="15" hidden="false" customHeight="false" outlineLevel="0" collapsed="false">
      <c r="A478" s="27" t="n">
        <v>474</v>
      </c>
      <c r="B478" s="18" t="n">
        <v>1</v>
      </c>
      <c r="C478" s="18" t="n">
        <v>0.889117677839342</v>
      </c>
    </row>
    <row r="479" customFormat="false" ht="15" hidden="false" customHeight="false" outlineLevel="0" collapsed="false">
      <c r="A479" s="27" t="n">
        <v>475</v>
      </c>
      <c r="B479" s="18" t="n">
        <v>1</v>
      </c>
      <c r="C479" s="18" t="n">
        <v>0.889054862128832</v>
      </c>
    </row>
    <row r="480" customFormat="false" ht="15" hidden="false" customHeight="false" outlineLevel="0" collapsed="false">
      <c r="A480" s="27" t="n">
        <v>476</v>
      </c>
      <c r="B480" s="18" t="n">
        <v>1</v>
      </c>
      <c r="C480" s="18" t="n">
        <v>0.889014939428769</v>
      </c>
    </row>
    <row r="481" customFormat="false" ht="15" hidden="false" customHeight="false" outlineLevel="0" collapsed="false">
      <c r="A481" s="27" t="n">
        <v>477</v>
      </c>
      <c r="B481" s="18" t="n">
        <v>1</v>
      </c>
      <c r="C481" s="18" t="n">
        <v>0.889099592751977</v>
      </c>
    </row>
    <row r="482" customFormat="false" ht="15" hidden="false" customHeight="false" outlineLevel="0" collapsed="false">
      <c r="A482" s="27" t="n">
        <v>478</v>
      </c>
      <c r="B482" s="18" t="n">
        <v>1</v>
      </c>
      <c r="C482" s="18" t="n">
        <v>0.888991694619072</v>
      </c>
    </row>
    <row r="483" customFormat="false" ht="15" hidden="false" customHeight="false" outlineLevel="0" collapsed="false">
      <c r="A483" s="27" t="n">
        <v>479</v>
      </c>
      <c r="B483" s="18" t="n">
        <v>1</v>
      </c>
      <c r="C483" s="18" t="n">
        <v>0.888872095903707</v>
      </c>
    </row>
    <row r="484" customFormat="false" ht="15" hidden="false" customHeight="false" outlineLevel="0" collapsed="false">
      <c r="A484" s="27" t="n">
        <v>480</v>
      </c>
      <c r="B484" s="18" t="n">
        <v>1</v>
      </c>
      <c r="C484" s="18" t="n">
        <v>0.888834531561578</v>
      </c>
    </row>
    <row r="485" customFormat="false" ht="15" hidden="false" customHeight="false" outlineLevel="0" collapsed="false">
      <c r="A485" s="27" t="n">
        <v>481</v>
      </c>
      <c r="B485" s="18" t="n">
        <v>1</v>
      </c>
      <c r="C485" s="18" t="n">
        <v>0.888816576770232</v>
      </c>
    </row>
    <row r="486" customFormat="false" ht="15" hidden="false" customHeight="false" outlineLevel="0" collapsed="false">
      <c r="A486" s="27" t="n">
        <v>482</v>
      </c>
      <c r="B486" s="18" t="n">
        <v>1</v>
      </c>
      <c r="C486" s="18" t="n">
        <v>0.888831274161116</v>
      </c>
    </row>
    <row r="487" customFormat="false" ht="15" hidden="false" customHeight="false" outlineLevel="0" collapsed="false">
      <c r="A487" s="27" t="n">
        <v>483</v>
      </c>
      <c r="B487" s="18" t="n">
        <v>1</v>
      </c>
      <c r="C487" s="18" t="n">
        <v>0.88891356912639</v>
      </c>
    </row>
    <row r="488" customFormat="false" ht="15" hidden="false" customHeight="false" outlineLevel="0" collapsed="false">
      <c r="A488" s="27" t="n">
        <v>484</v>
      </c>
      <c r="B488" s="18" t="n">
        <v>1</v>
      </c>
      <c r="C488" s="18" t="n">
        <v>0.888920227252934</v>
      </c>
    </row>
    <row r="489" customFormat="false" ht="15" hidden="false" customHeight="false" outlineLevel="0" collapsed="false">
      <c r="A489" s="27" t="n">
        <v>485</v>
      </c>
      <c r="B489" s="18" t="n">
        <v>1</v>
      </c>
      <c r="C489" s="18" t="n">
        <v>0.888952827316758</v>
      </c>
    </row>
    <row r="490" customFormat="false" ht="15" hidden="false" customHeight="false" outlineLevel="0" collapsed="false">
      <c r="A490" s="27" t="n">
        <v>486</v>
      </c>
      <c r="B490" s="18" t="n">
        <v>1</v>
      </c>
      <c r="C490" s="18" t="n">
        <v>0.888917425888537</v>
      </c>
    </row>
    <row r="491" customFormat="false" ht="15" hidden="false" customHeight="false" outlineLevel="0" collapsed="false">
      <c r="A491" s="27" t="n">
        <v>487</v>
      </c>
      <c r="B491" s="18" t="n">
        <v>1</v>
      </c>
      <c r="C491" s="18" t="n">
        <v>0.888876356583511</v>
      </c>
    </row>
    <row r="492" customFormat="false" ht="15" hidden="false" customHeight="false" outlineLevel="0" collapsed="false">
      <c r="A492" s="27" t="n">
        <v>488</v>
      </c>
      <c r="B492" s="18" t="n">
        <v>1</v>
      </c>
      <c r="C492" s="18" t="n">
        <v>0.888828772477562</v>
      </c>
    </row>
    <row r="493" customFormat="false" ht="15" hidden="false" customHeight="false" outlineLevel="0" collapsed="false">
      <c r="A493" s="27" t="n">
        <v>489</v>
      </c>
      <c r="B493" s="18" t="n">
        <v>1</v>
      </c>
      <c r="C493" s="18" t="n">
        <v>0.888792680480442</v>
      </c>
    </row>
    <row r="494" customFormat="false" ht="15" hidden="false" customHeight="false" outlineLevel="0" collapsed="false">
      <c r="A494" s="27" t="n">
        <v>490</v>
      </c>
      <c r="B494" s="18" t="n">
        <v>1</v>
      </c>
      <c r="C494" s="18" t="n">
        <v>0.888790843306581</v>
      </c>
    </row>
    <row r="495" customFormat="false" ht="15" hidden="false" customHeight="false" outlineLevel="0" collapsed="false">
      <c r="A495" s="27" t="n">
        <v>491</v>
      </c>
      <c r="B495" s="18" t="n">
        <v>1</v>
      </c>
      <c r="C495" s="18" t="n">
        <v>0.888829893023321</v>
      </c>
    </row>
    <row r="496" customFormat="false" ht="15" hidden="false" customHeight="false" outlineLevel="0" collapsed="false">
      <c r="A496" s="27" t="n">
        <v>492</v>
      </c>
      <c r="B496" s="18" t="n">
        <v>1</v>
      </c>
      <c r="C496" s="18" t="n">
        <v>0.888860525617266</v>
      </c>
    </row>
    <row r="497" customFormat="false" ht="15" hidden="false" customHeight="false" outlineLevel="0" collapsed="false">
      <c r="A497" s="27" t="n">
        <v>493</v>
      </c>
      <c r="B497" s="18" t="n">
        <v>1</v>
      </c>
      <c r="C497" s="18" t="n">
        <v>0.888774061179401</v>
      </c>
    </row>
    <row r="498" customFormat="false" ht="15" hidden="false" customHeight="false" outlineLevel="0" collapsed="false">
      <c r="A498" s="27" t="n">
        <v>494</v>
      </c>
      <c r="B498" s="18" t="n">
        <v>1</v>
      </c>
      <c r="C498" s="18" t="n">
        <v>0.888785501169824</v>
      </c>
    </row>
    <row r="499" customFormat="false" ht="15" hidden="false" customHeight="false" outlineLevel="0" collapsed="false">
      <c r="A499" s="27" t="n">
        <v>495</v>
      </c>
      <c r="B499" s="18" t="n">
        <v>1</v>
      </c>
      <c r="C499" s="18" t="n">
        <v>0.888742412276512</v>
      </c>
    </row>
    <row r="500" customFormat="false" ht="15" hidden="false" customHeight="false" outlineLevel="0" collapsed="false">
      <c r="A500" s="27" t="n">
        <v>496</v>
      </c>
      <c r="B500" s="18" t="n">
        <v>1</v>
      </c>
      <c r="C500" s="18" t="n">
        <v>0.888793748907794</v>
      </c>
    </row>
    <row r="501" customFormat="false" ht="15" hidden="false" customHeight="false" outlineLevel="0" collapsed="false">
      <c r="A501" s="27" t="n">
        <v>497</v>
      </c>
      <c r="B501" s="18" t="n">
        <v>1</v>
      </c>
      <c r="C501" s="18" t="n">
        <v>0.888843378661233</v>
      </c>
    </row>
    <row r="502" customFormat="false" ht="15" hidden="false" customHeight="false" outlineLevel="0" collapsed="false">
      <c r="A502" s="27" t="n">
        <v>498</v>
      </c>
      <c r="B502" s="18" t="n">
        <v>1</v>
      </c>
      <c r="C502" s="18" t="n">
        <v>0.888693642476794</v>
      </c>
    </row>
    <row r="503" customFormat="false" ht="15" hidden="false" customHeight="false" outlineLevel="0" collapsed="false">
      <c r="A503" s="27" t="n">
        <v>499</v>
      </c>
      <c r="B503" s="18" t="n">
        <v>1</v>
      </c>
      <c r="C503" s="18" t="n">
        <v>0.888542994220225</v>
      </c>
    </row>
    <row r="504" customFormat="false" ht="15" hidden="false" customHeight="false" outlineLevel="0" collapsed="false">
      <c r="A504" s="27" t="n">
        <v>500</v>
      </c>
      <c r="B504" s="18" t="n">
        <v>1</v>
      </c>
      <c r="C504" s="18" t="n">
        <v>0.88848331864376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5" min="3" style="1" width="20"/>
    <col collapsed="false" customWidth="true" hidden="false" outlineLevel="0" max="6" min="6" style="1" width="3"/>
    <col collapsed="false" customWidth="true" hidden="false" outlineLevel="0" max="7" min="7" style="1" width="26"/>
    <col collapsed="false" customWidth="true" hidden="false" outlineLevel="0" max="8" min="8" style="1" width="12"/>
    <col collapsed="false" customWidth="true" hidden="false" outlineLevel="0" max="9" min="9" style="1" width="22"/>
  </cols>
  <sheetData>
    <row r="1" customFormat="false" ht="15" hidden="false" customHeight="false" outlineLevel="0" collapsed="false">
      <c r="A1" s="2" t="s">
        <v>325</v>
      </c>
    </row>
    <row r="2" customFormat="false" ht="15" hidden="false" customHeight="false" outlineLevel="0" collapsed="false">
      <c r="A2" s="11" t="s">
        <v>326</v>
      </c>
    </row>
    <row r="4" customFormat="false" ht="23.85" hidden="false" customHeight="false" outlineLevel="0" collapsed="false">
      <c r="A4" s="9" t="s">
        <v>123</v>
      </c>
      <c r="B4" s="9" t="s">
        <v>327</v>
      </c>
      <c r="C4" s="9" t="s">
        <v>328</v>
      </c>
      <c r="D4" s="9" t="s">
        <v>329</v>
      </c>
      <c r="E4" s="9" t="s">
        <v>330</v>
      </c>
      <c r="G4" s="9" t="s">
        <v>331</v>
      </c>
      <c r="H4" s="9" t="s">
        <v>20</v>
      </c>
    </row>
    <row r="5" customFormat="false" ht="15" hidden="false" customHeight="false" outlineLevel="0" collapsed="false">
      <c r="A5" s="36" t="n">
        <v>0</v>
      </c>
      <c r="B5" s="36" t="n">
        <v>0.7404</v>
      </c>
      <c r="C5" s="21" t="n">
        <v>0</v>
      </c>
      <c r="D5" s="21" t="n">
        <v>0</v>
      </c>
      <c r="E5" s="29" t="n">
        <v>0.04907</v>
      </c>
      <c r="G5" s="3" t="s">
        <v>332</v>
      </c>
      <c r="H5" s="22" t="n">
        <f aca="false">MAX(B5:B55)</f>
        <v>0.87313</v>
      </c>
    </row>
    <row r="6" customFormat="false" ht="15" hidden="false" customHeight="false" outlineLevel="0" collapsed="false">
      <c r="A6" s="36" t="n">
        <v>0.02</v>
      </c>
      <c r="B6" s="36" t="n">
        <v>0.76097</v>
      </c>
      <c r="C6" s="21" t="n">
        <v>0.0471690409011352</v>
      </c>
      <c r="D6" s="21" t="n">
        <v>0.045885702670633</v>
      </c>
      <c r="E6" s="29" t="n">
        <v>0.04912</v>
      </c>
      <c r="G6" s="3" t="s">
        <v>333</v>
      </c>
      <c r="H6" s="30" t="n">
        <f aca="false">INDEX(A5:A55,MATCH(H5,B5:B55,0))</f>
        <v>0.22</v>
      </c>
    </row>
    <row r="7" customFormat="false" ht="15" hidden="false" customHeight="false" outlineLevel="0" collapsed="false">
      <c r="A7" s="36" t="n">
        <v>0.04</v>
      </c>
      <c r="B7" s="36" t="n">
        <v>0.78018</v>
      </c>
      <c r="C7" s="21" t="n">
        <v>0.0795165916624239</v>
      </c>
      <c r="D7" s="21" t="n">
        <v>0.0772657825019163</v>
      </c>
      <c r="E7" s="29" t="n">
        <v>0.04921</v>
      </c>
      <c r="G7" s="3" t="s">
        <v>334</v>
      </c>
      <c r="H7" s="24" t="n">
        <f aca="false">MAX(C5:C55)</f>
        <v>1.43265238362071</v>
      </c>
    </row>
    <row r="8" customFormat="false" ht="15" hidden="false" customHeight="false" outlineLevel="0" collapsed="false">
      <c r="A8" s="36" t="n">
        <v>0.06</v>
      </c>
      <c r="B8" s="36" t="n">
        <v>0.79717</v>
      </c>
      <c r="C8" s="21" t="n">
        <v>0.109192418633239</v>
      </c>
      <c r="D8" s="21" t="n">
        <v>0.107682269215761</v>
      </c>
      <c r="E8" s="29" t="n">
        <v>0.04906</v>
      </c>
      <c r="G8" s="3" t="s">
        <v>333</v>
      </c>
      <c r="H8" s="30" t="n">
        <f aca="false">INDEX(A5:A55,MATCH(H7,C5:C55,0))</f>
        <v>0.6</v>
      </c>
    </row>
    <row r="9" customFormat="false" ht="15" hidden="false" customHeight="false" outlineLevel="0" collapsed="false">
      <c r="A9" s="36" t="n">
        <v>0.08</v>
      </c>
      <c r="B9" s="36" t="n">
        <v>0.81313</v>
      </c>
      <c r="C9" s="21" t="n">
        <v>0.158787028067712</v>
      </c>
      <c r="D9" s="21" t="n">
        <v>0.157589999903046</v>
      </c>
      <c r="E9" s="29" t="n">
        <v>0.04905</v>
      </c>
      <c r="G9" s="3" t="s">
        <v>335</v>
      </c>
      <c r="H9" s="22" t="n">
        <f aca="false">INDEX(B5:B55,MATCH(H7,C5:C55,0))</f>
        <v>0.64997</v>
      </c>
      <c r="I9" s="11" t="s">
        <v>336</v>
      </c>
    </row>
    <row r="10" customFormat="false" ht="15" hidden="false" customHeight="false" outlineLevel="0" collapsed="false">
      <c r="A10" s="36" t="n">
        <v>0.1</v>
      </c>
      <c r="B10" s="36" t="n">
        <v>0.82744</v>
      </c>
      <c r="C10" s="21" t="n">
        <v>0.186608267430652</v>
      </c>
      <c r="D10" s="21" t="n">
        <v>0.186638700145577</v>
      </c>
      <c r="E10" s="29" t="n">
        <v>0.04916</v>
      </c>
    </row>
    <row r="11" customFormat="false" ht="15" hidden="false" customHeight="false" outlineLevel="0" collapsed="false">
      <c r="A11" s="36" t="n">
        <v>0.12</v>
      </c>
      <c r="B11" s="36" t="n">
        <v>0.8401</v>
      </c>
      <c r="C11" s="21" t="n">
        <v>0.23677772131599</v>
      </c>
      <c r="D11" s="21" t="n">
        <v>0.236492369849986</v>
      </c>
      <c r="E11" s="29" t="n">
        <v>0.04903</v>
      </c>
    </row>
    <row r="12" customFormat="false" ht="15" hidden="false" customHeight="false" outlineLevel="0" collapsed="false">
      <c r="A12" s="36" t="n">
        <v>0.14</v>
      </c>
      <c r="B12" s="36" t="n">
        <v>0.85093</v>
      </c>
      <c r="C12" s="21" t="n">
        <v>0.274607577708634</v>
      </c>
      <c r="D12" s="21" t="n">
        <v>0.274557726966497</v>
      </c>
      <c r="E12" s="29" t="n">
        <v>0.04898</v>
      </c>
    </row>
    <row r="13" customFormat="false" ht="15" hidden="false" customHeight="false" outlineLevel="0" collapsed="false">
      <c r="A13" s="36" t="n">
        <v>0.16</v>
      </c>
      <c r="B13" s="36" t="n">
        <v>0.86003</v>
      </c>
      <c r="C13" s="21" t="n">
        <v>0.317884740872666</v>
      </c>
      <c r="D13" s="21" t="n">
        <v>0.317243051935565</v>
      </c>
      <c r="E13" s="29" t="n">
        <v>0.04902</v>
      </c>
    </row>
    <row r="14" customFormat="false" ht="15" hidden="false" customHeight="false" outlineLevel="0" collapsed="false">
      <c r="A14" s="36" t="n">
        <v>0.18</v>
      </c>
      <c r="B14" s="36" t="n">
        <v>0.86665</v>
      </c>
      <c r="C14" s="21" t="n">
        <v>0.37135107168112</v>
      </c>
      <c r="D14" s="21" t="n">
        <v>0.370762378715119</v>
      </c>
      <c r="E14" s="29" t="n">
        <v>0.04907</v>
      </c>
    </row>
    <row r="15" customFormat="false" ht="15" hidden="false" customHeight="false" outlineLevel="0" collapsed="false">
      <c r="A15" s="36" t="n">
        <v>0.2</v>
      </c>
      <c r="B15" s="36" t="n">
        <v>0.8713</v>
      </c>
      <c r="C15" s="21" t="n">
        <v>0.446519084763938</v>
      </c>
      <c r="D15" s="21" t="n">
        <v>0.445380078318472</v>
      </c>
      <c r="E15" s="29" t="n">
        <v>0.04925</v>
      </c>
    </row>
    <row r="16" customFormat="false" ht="15" hidden="false" customHeight="false" outlineLevel="0" collapsed="false">
      <c r="A16" s="36" t="n">
        <v>0.22</v>
      </c>
      <c r="B16" s="36" t="n">
        <v>0.87313</v>
      </c>
      <c r="C16" s="21" t="n">
        <v>0.49538230180732</v>
      </c>
      <c r="D16" s="21" t="n">
        <v>0.496472558923136</v>
      </c>
      <c r="E16" s="29" t="n">
        <v>0.04898</v>
      </c>
    </row>
    <row r="17" customFormat="false" ht="15" hidden="false" customHeight="false" outlineLevel="0" collapsed="false">
      <c r="A17" s="36" t="n">
        <v>0.24</v>
      </c>
      <c r="B17" s="36" t="n">
        <v>0.87245</v>
      </c>
      <c r="C17" s="21" t="n">
        <v>0.555981209358594</v>
      </c>
      <c r="D17" s="21" t="n">
        <v>0.557030906859653</v>
      </c>
      <c r="E17" s="29" t="n">
        <v>0.04912</v>
      </c>
    </row>
    <row r="18" customFormat="false" ht="15" hidden="false" customHeight="false" outlineLevel="0" collapsed="false">
      <c r="A18" s="36" t="n">
        <v>0.26</v>
      </c>
      <c r="B18" s="36" t="n">
        <v>0.86947</v>
      </c>
      <c r="C18" s="21" t="n">
        <v>0.601978049285256</v>
      </c>
      <c r="D18" s="21" t="n">
        <v>0.603248351976593</v>
      </c>
      <c r="E18" s="29" t="n">
        <v>0.04916</v>
      </c>
    </row>
    <row r="19" customFormat="false" ht="15" hidden="false" customHeight="false" outlineLevel="0" collapsed="false">
      <c r="A19" s="36" t="n">
        <v>0.28</v>
      </c>
      <c r="B19" s="36" t="n">
        <v>0.86509</v>
      </c>
      <c r="C19" s="21" t="n">
        <v>0.654121500483623</v>
      </c>
      <c r="D19" s="21" t="n">
        <v>0.654325603574415</v>
      </c>
      <c r="E19" s="29" t="n">
        <v>0.04929</v>
      </c>
    </row>
    <row r="20" customFormat="false" ht="15" hidden="false" customHeight="false" outlineLevel="0" collapsed="false">
      <c r="A20" s="36" t="n">
        <v>0.3</v>
      </c>
      <c r="B20" s="36" t="n">
        <v>0.85923</v>
      </c>
      <c r="C20" s="21" t="n">
        <v>0.708579630766645</v>
      </c>
      <c r="D20" s="21" t="n">
        <v>0.710234727800408</v>
      </c>
      <c r="E20" s="29" t="n">
        <v>0.04897</v>
      </c>
    </row>
    <row r="21" customFormat="false" ht="15" hidden="false" customHeight="false" outlineLevel="0" collapsed="false">
      <c r="A21" s="36" t="n">
        <v>0.32</v>
      </c>
      <c r="B21" s="36" t="n">
        <v>0.85213</v>
      </c>
      <c r="C21" s="21" t="n">
        <v>0.75367481003868</v>
      </c>
      <c r="D21" s="21" t="n">
        <v>0.757543654122456</v>
      </c>
      <c r="E21" s="29" t="n">
        <v>0.04905</v>
      </c>
    </row>
    <row r="22" customFormat="false" ht="15" hidden="false" customHeight="false" outlineLevel="0" collapsed="false">
      <c r="A22" s="36" t="n">
        <v>0.34</v>
      </c>
      <c r="B22" s="36" t="n">
        <v>0.8427</v>
      </c>
      <c r="C22" s="21" t="n">
        <v>0.816657922257821</v>
      </c>
      <c r="D22" s="21" t="n">
        <v>0.822951605432129</v>
      </c>
      <c r="E22" s="29" t="n">
        <v>0.04906</v>
      </c>
    </row>
    <row r="23" customFormat="false" ht="15" hidden="false" customHeight="false" outlineLevel="0" collapsed="false">
      <c r="A23" s="36" t="n">
        <v>0.36</v>
      </c>
      <c r="B23" s="36" t="n">
        <v>0.83337</v>
      </c>
      <c r="C23" s="21" t="n">
        <v>0.864275510093622</v>
      </c>
      <c r="D23" s="21" t="n">
        <v>0.873938708241282</v>
      </c>
      <c r="E23" s="29" t="n">
        <v>0.04914</v>
      </c>
    </row>
    <row r="24" customFormat="false" ht="15" hidden="false" customHeight="false" outlineLevel="0" collapsed="false">
      <c r="A24" s="36" t="n">
        <v>0.38</v>
      </c>
      <c r="B24" s="36" t="n">
        <v>0.82104</v>
      </c>
      <c r="C24" s="21" t="n">
        <v>0.909401090415498</v>
      </c>
      <c r="D24" s="21" t="n">
        <v>0.918014191281744</v>
      </c>
      <c r="E24" s="29" t="n">
        <v>0.04919</v>
      </c>
    </row>
    <row r="25" customFormat="false" ht="15" hidden="false" customHeight="false" outlineLevel="0" collapsed="false">
      <c r="A25" s="36" t="n">
        <v>0.4</v>
      </c>
      <c r="B25" s="36" t="n">
        <v>0.80824</v>
      </c>
      <c r="C25" s="21" t="n">
        <v>0.948605710950465</v>
      </c>
      <c r="D25" s="21" t="n">
        <v>0.957046095215882</v>
      </c>
      <c r="E25" s="29" t="n">
        <v>0.04925</v>
      </c>
    </row>
    <row r="26" customFormat="false" ht="15" hidden="false" customHeight="false" outlineLevel="0" collapsed="false">
      <c r="A26" s="36" t="n">
        <v>0.42</v>
      </c>
      <c r="B26" s="36" t="n">
        <v>0.79448</v>
      </c>
      <c r="C26" s="21" t="n">
        <v>0.995877635582856</v>
      </c>
      <c r="D26" s="21" t="n">
        <v>1.00417424720442</v>
      </c>
      <c r="E26" s="29" t="n">
        <v>0.04947</v>
      </c>
    </row>
    <row r="27" customFormat="false" ht="15" hidden="false" customHeight="false" outlineLevel="0" collapsed="false">
      <c r="A27" s="36" t="n">
        <v>0.44</v>
      </c>
      <c r="B27" s="36" t="n">
        <v>0.78044</v>
      </c>
      <c r="C27" s="21" t="n">
        <v>1.03476307530933</v>
      </c>
      <c r="D27" s="21" t="n">
        <v>1.04436863113843</v>
      </c>
      <c r="E27" s="29" t="n">
        <v>0.04936</v>
      </c>
    </row>
    <row r="28" customFormat="false" ht="15" hidden="false" customHeight="false" outlineLevel="0" collapsed="false">
      <c r="A28" s="36" t="n">
        <v>0.46</v>
      </c>
      <c r="B28" s="36" t="n">
        <v>0.76575</v>
      </c>
      <c r="C28" s="21" t="n">
        <v>1.08396258970667</v>
      </c>
      <c r="D28" s="21" t="n">
        <v>1.09572421768645</v>
      </c>
      <c r="E28" s="29" t="n">
        <v>0.04946</v>
      </c>
    </row>
    <row r="29" customFormat="false" ht="15" hidden="false" customHeight="false" outlineLevel="0" collapsed="false">
      <c r="A29" s="36" t="n">
        <v>0.48</v>
      </c>
      <c r="B29" s="36" t="n">
        <v>0.75005</v>
      </c>
      <c r="C29" s="21" t="n">
        <v>1.13005153481651</v>
      </c>
      <c r="D29" s="21" t="n">
        <v>1.1368863220174</v>
      </c>
      <c r="E29" s="29" t="n">
        <v>0.04904</v>
      </c>
    </row>
    <row r="30" customFormat="false" ht="15" hidden="false" customHeight="false" outlineLevel="0" collapsed="false">
      <c r="A30" s="36" t="n">
        <v>0.5</v>
      </c>
      <c r="B30" s="36" t="n">
        <v>0.73456</v>
      </c>
      <c r="C30" s="21" t="n">
        <v>1.21654840407852</v>
      </c>
      <c r="D30" s="21" t="n">
        <v>1.22787612021461</v>
      </c>
      <c r="E30" s="29" t="n">
        <v>0.04902</v>
      </c>
    </row>
    <row r="31" customFormat="false" ht="15" hidden="false" customHeight="false" outlineLevel="0" collapsed="false">
      <c r="A31" s="36" t="n">
        <v>0.52</v>
      </c>
      <c r="B31" s="36" t="n">
        <v>0.71844</v>
      </c>
      <c r="C31" s="21" t="n">
        <v>1.3078195905594</v>
      </c>
      <c r="D31" s="21" t="n">
        <v>1.32300540398453</v>
      </c>
      <c r="E31" s="29" t="n">
        <v>0.04912</v>
      </c>
    </row>
    <row r="32" customFormat="false" ht="15" hidden="false" customHeight="false" outlineLevel="0" collapsed="false">
      <c r="A32" s="36" t="n">
        <v>0.54</v>
      </c>
      <c r="B32" s="36" t="n">
        <v>0.70234</v>
      </c>
      <c r="C32" s="21" t="n">
        <v>1.38754524576106</v>
      </c>
      <c r="D32" s="21" t="n">
        <v>1.40780262752026</v>
      </c>
      <c r="E32" s="29" t="n">
        <v>0.0493</v>
      </c>
    </row>
    <row r="33" customFormat="false" ht="15" hidden="false" customHeight="false" outlineLevel="0" collapsed="false">
      <c r="A33" s="36" t="n">
        <v>0.56</v>
      </c>
      <c r="B33" s="36" t="n">
        <v>0.68509</v>
      </c>
      <c r="C33" s="21" t="n">
        <v>1.40869194528352</v>
      </c>
      <c r="D33" s="21" t="n">
        <v>1.42924228614673</v>
      </c>
      <c r="E33" s="29" t="n">
        <v>0.04946</v>
      </c>
    </row>
    <row r="34" customFormat="false" ht="15" hidden="false" customHeight="false" outlineLevel="0" collapsed="false">
      <c r="A34" s="36" t="n">
        <v>0.58</v>
      </c>
      <c r="B34" s="36" t="n">
        <v>0.66733</v>
      </c>
      <c r="C34" s="21" t="n">
        <v>1.42802494581846</v>
      </c>
      <c r="D34" s="21" t="n">
        <v>1.44790857919625</v>
      </c>
      <c r="E34" s="29" t="n">
        <v>0.04938</v>
      </c>
    </row>
    <row r="35" customFormat="false" ht="15" hidden="false" customHeight="false" outlineLevel="0" collapsed="false">
      <c r="A35" s="36" t="n">
        <v>0.6</v>
      </c>
      <c r="B35" s="36" t="n">
        <v>0.64997</v>
      </c>
      <c r="C35" s="21" t="n">
        <v>1.43265238362071</v>
      </c>
      <c r="D35" s="21" t="n">
        <v>1.45410416439036</v>
      </c>
      <c r="E35" s="29" t="n">
        <v>0.04932</v>
      </c>
    </row>
    <row r="36" customFormat="false" ht="15" hidden="false" customHeight="false" outlineLevel="0" collapsed="false">
      <c r="A36" s="36" t="n">
        <v>0.62</v>
      </c>
      <c r="B36" s="36" t="n">
        <v>0.63278</v>
      </c>
      <c r="C36" s="21" t="n">
        <v>1.42168100009007</v>
      </c>
      <c r="D36" s="21" t="n">
        <v>1.44348524916886</v>
      </c>
      <c r="E36" s="29" t="n">
        <v>0.04918</v>
      </c>
    </row>
    <row r="37" customFormat="false" ht="15" hidden="false" customHeight="false" outlineLevel="0" collapsed="false">
      <c r="A37" s="36" t="n">
        <v>0.64</v>
      </c>
      <c r="B37" s="36" t="n">
        <v>0.61442</v>
      </c>
      <c r="C37" s="21" t="n">
        <v>1.39830435112592</v>
      </c>
      <c r="D37" s="21" t="n">
        <v>1.4211585066808</v>
      </c>
      <c r="E37" s="29" t="n">
        <v>0.04923</v>
      </c>
    </row>
    <row r="38" customFormat="false" ht="15" hidden="false" customHeight="false" outlineLevel="0" collapsed="false">
      <c r="A38" s="36" t="n">
        <v>0.66</v>
      </c>
      <c r="B38" s="36" t="n">
        <v>0.59623</v>
      </c>
      <c r="C38" s="21" t="n">
        <v>1.35915317500174</v>
      </c>
      <c r="D38" s="21" t="n">
        <v>1.38484371437506</v>
      </c>
      <c r="E38" s="29" t="n">
        <v>0.0493</v>
      </c>
    </row>
    <row r="39" customFormat="false" ht="15" hidden="false" customHeight="false" outlineLevel="0" collapsed="false">
      <c r="A39" s="36" t="n">
        <v>0.68</v>
      </c>
      <c r="B39" s="36" t="n">
        <v>0.57705</v>
      </c>
      <c r="C39" s="21" t="n">
        <v>1.31952017619159</v>
      </c>
      <c r="D39" s="21" t="n">
        <v>1.34747124968705</v>
      </c>
      <c r="E39" s="29" t="n">
        <v>0.04932</v>
      </c>
    </row>
    <row r="40" customFormat="false" ht="15" hidden="false" customHeight="false" outlineLevel="0" collapsed="false">
      <c r="A40" s="36" t="n">
        <v>0.7</v>
      </c>
      <c r="B40" s="36" t="n">
        <v>0.55861</v>
      </c>
      <c r="C40" s="21" t="n">
        <v>1.26122086749002</v>
      </c>
      <c r="D40" s="21" t="n">
        <v>1.29206886552276</v>
      </c>
      <c r="E40" s="29" t="n">
        <v>0.04909</v>
      </c>
    </row>
    <row r="41" customFormat="false" ht="15" hidden="false" customHeight="false" outlineLevel="0" collapsed="false">
      <c r="A41" s="36" t="n">
        <v>0.72</v>
      </c>
      <c r="B41" s="36" t="n">
        <v>0.53982</v>
      </c>
      <c r="C41" s="21" t="n">
        <v>1.20128649856825</v>
      </c>
      <c r="D41" s="21" t="n">
        <v>1.23418289327015</v>
      </c>
      <c r="E41" s="29" t="n">
        <v>0.04921</v>
      </c>
    </row>
    <row r="42" customFormat="false" ht="15" hidden="false" customHeight="false" outlineLevel="0" collapsed="false">
      <c r="A42" s="36" t="n">
        <v>0.74</v>
      </c>
      <c r="B42" s="36" t="n">
        <v>0.52182</v>
      </c>
      <c r="C42" s="21" t="n">
        <v>1.1431739018737</v>
      </c>
      <c r="D42" s="21" t="n">
        <v>1.18386111229078</v>
      </c>
      <c r="E42" s="29" t="n">
        <v>0.04927</v>
      </c>
    </row>
    <row r="43" customFormat="false" ht="15" hidden="false" customHeight="false" outlineLevel="0" collapsed="false">
      <c r="A43" s="36" t="n">
        <v>0.76</v>
      </c>
      <c r="B43" s="36" t="n">
        <v>0.50244</v>
      </c>
      <c r="C43" s="21" t="n">
        <v>1.05844623145453</v>
      </c>
      <c r="D43" s="21" t="n">
        <v>1.09803179131527</v>
      </c>
      <c r="E43" s="29" t="n">
        <v>0.04921</v>
      </c>
    </row>
    <row r="44" customFormat="false" ht="15" hidden="false" customHeight="false" outlineLevel="0" collapsed="false">
      <c r="A44" s="36" t="n">
        <v>0.78</v>
      </c>
      <c r="B44" s="36" t="n">
        <v>0.48245</v>
      </c>
      <c r="C44" s="21" t="n">
        <v>0.985479712354541</v>
      </c>
      <c r="D44" s="21" t="n">
        <v>1.01753463474919</v>
      </c>
      <c r="E44" s="29" t="n">
        <v>0.04908</v>
      </c>
    </row>
    <row r="45" customFormat="false" ht="15" hidden="false" customHeight="false" outlineLevel="0" collapsed="false">
      <c r="A45" s="36" t="n">
        <v>0.8</v>
      </c>
      <c r="B45" s="36" t="n">
        <v>0.46273</v>
      </c>
      <c r="C45" s="21" t="n">
        <v>0.918795349223013</v>
      </c>
      <c r="D45" s="21" t="n">
        <v>0.943118659884222</v>
      </c>
      <c r="E45" s="29" t="n">
        <v>0.04916</v>
      </c>
    </row>
    <row r="46" customFormat="false" ht="15" hidden="false" customHeight="false" outlineLevel="0" collapsed="false">
      <c r="A46" s="36" t="n">
        <v>0.82</v>
      </c>
      <c r="B46" s="36" t="n">
        <v>0.44436</v>
      </c>
      <c r="C46" s="21" t="n">
        <v>0.842913570699396</v>
      </c>
      <c r="D46" s="21" t="n">
        <v>0.873287277856045</v>
      </c>
      <c r="E46" s="29" t="n">
        <v>0.04915</v>
      </c>
    </row>
    <row r="47" customFormat="false" ht="15" hidden="false" customHeight="false" outlineLevel="0" collapsed="false">
      <c r="A47" s="36" t="n">
        <v>0.84</v>
      </c>
      <c r="B47" s="36" t="n">
        <v>0.42479</v>
      </c>
      <c r="C47" s="21" t="n">
        <v>0.756316657905838</v>
      </c>
      <c r="D47" s="21" t="n">
        <v>0.787121862959221</v>
      </c>
      <c r="E47" s="29" t="n">
        <v>0.04909</v>
      </c>
    </row>
    <row r="48" customFormat="false" ht="15" hidden="false" customHeight="false" outlineLevel="0" collapsed="false">
      <c r="A48" s="36" t="n">
        <v>0.86</v>
      </c>
      <c r="B48" s="36" t="n">
        <v>0.4049</v>
      </c>
      <c r="C48" s="21" t="n">
        <v>0.669561915795132</v>
      </c>
      <c r="D48" s="21" t="n">
        <v>0.699823991332078</v>
      </c>
      <c r="E48" s="29" t="n">
        <v>0.0491</v>
      </c>
    </row>
    <row r="49" customFormat="false" ht="15" hidden="false" customHeight="false" outlineLevel="0" collapsed="false">
      <c r="A49" s="36" t="n">
        <v>0.88</v>
      </c>
      <c r="B49" s="36" t="n">
        <v>0.38434</v>
      </c>
      <c r="C49" s="21" t="n">
        <v>0.58161568418574</v>
      </c>
      <c r="D49" s="21" t="n">
        <v>0.608018551972164</v>
      </c>
      <c r="E49" s="29" t="n">
        <v>0.04906</v>
      </c>
    </row>
    <row r="50" customFormat="false" ht="15" hidden="false" customHeight="false" outlineLevel="0" collapsed="false">
      <c r="A50" s="36" t="n">
        <v>0.9</v>
      </c>
      <c r="B50" s="36" t="n">
        <v>0.36297</v>
      </c>
      <c r="C50" s="21" t="n">
        <v>0.489484648483385</v>
      </c>
      <c r="D50" s="21" t="n">
        <v>0.508360627353929</v>
      </c>
      <c r="E50" s="29" t="n">
        <v>0.04906</v>
      </c>
    </row>
    <row r="51" customFormat="false" ht="15" hidden="false" customHeight="false" outlineLevel="0" collapsed="false">
      <c r="A51" s="36" t="n">
        <v>0.92</v>
      </c>
      <c r="B51" s="36" t="n">
        <v>0.3433</v>
      </c>
      <c r="C51" s="21" t="n">
        <v>0.392451045361559</v>
      </c>
      <c r="D51" s="21" t="n">
        <v>0.412113623478904</v>
      </c>
      <c r="E51" s="29" t="n">
        <v>0.04903</v>
      </c>
    </row>
    <row r="52" customFormat="false" ht="15" hidden="false" customHeight="false" outlineLevel="0" collapsed="false">
      <c r="A52" s="36" t="n">
        <v>0.94</v>
      </c>
      <c r="B52" s="36" t="n">
        <v>0.32261</v>
      </c>
      <c r="C52" s="21" t="n">
        <v>0.302679032202203</v>
      </c>
      <c r="D52" s="21" t="n">
        <v>0.320436482259401</v>
      </c>
      <c r="E52" s="29" t="n">
        <v>0.04906</v>
      </c>
    </row>
    <row r="53" customFormat="false" ht="15" hidden="false" customHeight="false" outlineLevel="0" collapsed="false">
      <c r="A53" s="36" t="n">
        <v>0.96</v>
      </c>
      <c r="B53" s="36" t="n">
        <v>0.30127</v>
      </c>
      <c r="C53" s="21" t="n">
        <v>0.202867090785949</v>
      </c>
      <c r="D53" s="21" t="n">
        <v>0.212882661939906</v>
      </c>
      <c r="E53" s="29" t="n">
        <v>0.04908</v>
      </c>
    </row>
    <row r="54" customFormat="false" ht="15" hidden="false" customHeight="false" outlineLevel="0" collapsed="false">
      <c r="A54" s="36" t="n">
        <v>0.98</v>
      </c>
      <c r="B54" s="36" t="n">
        <v>0.28069</v>
      </c>
      <c r="C54" s="21" t="n">
        <v>0.104007560300236</v>
      </c>
      <c r="D54" s="21" t="n">
        <v>0.110940708992354</v>
      </c>
      <c r="E54" s="29" t="n">
        <v>0.04907</v>
      </c>
    </row>
    <row r="55" customFormat="false" ht="15" hidden="false" customHeight="false" outlineLevel="0" collapsed="false">
      <c r="A55" s="36" t="n">
        <v>1</v>
      </c>
      <c r="B55" s="36" t="n">
        <v>0.2596</v>
      </c>
      <c r="C55" s="21" t="n">
        <v>0</v>
      </c>
      <c r="D55" s="21" t="n">
        <v>0</v>
      </c>
      <c r="E55" s="29" t="n">
        <v>0.04907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15" hidden="false" customHeight="false" outlineLevel="0" collapsed="false">
      <c r="A1" s="2" t="s">
        <v>337</v>
      </c>
    </row>
    <row r="2" customFormat="false" ht="15" hidden="false" customHeight="false" outlineLevel="0" collapsed="false">
      <c r="A2" s="11" t="s">
        <v>338</v>
      </c>
    </row>
    <row r="3" customFormat="false" ht="15" hidden="false" customHeight="false" outlineLevel="0" collapsed="false">
      <c r="A3" s="5" t="s">
        <v>339</v>
      </c>
    </row>
    <row r="4" customFormat="false" ht="15" hidden="false" customHeight="false" outlineLevel="0" collapsed="false">
      <c r="A4" s="3" t="s">
        <v>340</v>
      </c>
      <c r="B4" s="13" t="n">
        <v>1</v>
      </c>
    </row>
    <row r="5" customFormat="false" ht="15" hidden="false" customHeight="false" outlineLevel="0" collapsed="false">
      <c r="A5" s="3" t="s">
        <v>341</v>
      </c>
      <c r="B5" s="13" t="n">
        <v>9</v>
      </c>
    </row>
    <row r="6" customFormat="false" ht="15" hidden="false" customHeight="false" outlineLevel="0" collapsed="false">
      <c r="A6" s="3" t="s">
        <v>342</v>
      </c>
      <c r="B6" s="13" t="n">
        <v>0</v>
      </c>
    </row>
    <row r="7" customFormat="false" ht="15" hidden="false" customHeight="false" outlineLevel="0" collapsed="false">
      <c r="A7" s="3" t="s">
        <v>343</v>
      </c>
      <c r="B7" s="13" t="n">
        <v>10</v>
      </c>
    </row>
    <row r="8" customFormat="false" ht="15" hidden="false" customHeight="false" outlineLevel="0" collapsed="false">
      <c r="A8" s="3" t="s">
        <v>344</v>
      </c>
      <c r="B8" s="13" t="n">
        <v>5</v>
      </c>
      <c r="C8" s="11" t="s">
        <v>345</v>
      </c>
    </row>
    <row r="9" customFormat="false" ht="15" hidden="false" customHeight="false" outlineLevel="0" collapsed="false">
      <c r="A9" s="3" t="s">
        <v>346</v>
      </c>
      <c r="B9" s="27" t="n">
        <f aca="false">0.5*(B8-B6)^2+0.5*(B8-B7)^2</f>
        <v>25</v>
      </c>
      <c r="C9" s="11" t="s">
        <v>347</v>
      </c>
    </row>
    <row r="10" customFormat="false" ht="15" hidden="false" customHeight="false" outlineLevel="0" collapsed="false">
      <c r="A10" s="3" t="s">
        <v>348</v>
      </c>
      <c r="B10" s="27" t="n">
        <f aca="false">0.5*(B4*MAX(B8-B6,0)+B5*MAX(B6-B8,0))+0.5*(B4*MAX(B8-B7,0)+B5*MAX(B7-B8,0))</f>
        <v>25</v>
      </c>
      <c r="C10" s="11" t="s">
        <v>347</v>
      </c>
    </row>
    <row r="11" customFormat="false" ht="15" hidden="false" customHeight="false" outlineLevel="0" collapsed="false">
      <c r="A11" s="3" t="s">
        <v>349</v>
      </c>
      <c r="B11" s="13" t="n">
        <v>10</v>
      </c>
    </row>
    <row r="12" customFormat="false" ht="15" hidden="false" customHeight="false" outlineLevel="0" collapsed="false">
      <c r="A12" s="3" t="s">
        <v>346</v>
      </c>
      <c r="B12" s="27" t="n">
        <f aca="false">0.5*(B11-B6)^2+0.5*(B11-B7)^2</f>
        <v>50</v>
      </c>
      <c r="C12" s="11" t="s">
        <v>350</v>
      </c>
    </row>
    <row r="13" customFormat="false" ht="15" hidden="false" customHeight="false" outlineLevel="0" collapsed="false">
      <c r="A13" s="3" t="s">
        <v>348</v>
      </c>
      <c r="B13" s="27" t="n">
        <f aca="false">0.5*(B4*MAX(B11-B6,0)+B5*MAX(B6-B11,0))+0.5*(B4*MAX(B11-B7,0)+B5*MAX(B7-B11,0))</f>
        <v>5</v>
      </c>
      <c r="C13" s="11" t="s">
        <v>351</v>
      </c>
    </row>
    <row r="15" customFormat="false" ht="15" hidden="false" customHeight="false" outlineLevel="0" collapsed="false">
      <c r="A15" s="5" t="s">
        <v>352</v>
      </c>
    </row>
    <row r="16" customFormat="false" ht="15" hidden="false" customHeight="false" outlineLevel="0" collapsed="false">
      <c r="A16" s="9" t="s">
        <v>353</v>
      </c>
      <c r="B16" s="9" t="s">
        <v>354</v>
      </c>
      <c r="C16" s="9" t="s">
        <v>355</v>
      </c>
      <c r="D16" s="9" t="s">
        <v>356</v>
      </c>
      <c r="E16" s="9" t="s">
        <v>357</v>
      </c>
    </row>
    <row r="17" customFormat="false" ht="15" hidden="false" customHeight="false" outlineLevel="0" collapsed="false">
      <c r="A17" s="27" t="n">
        <v>1</v>
      </c>
      <c r="B17" s="13" t="n">
        <v>1</v>
      </c>
      <c r="C17" s="13" t="n">
        <v>1</v>
      </c>
      <c r="D17" s="13" t="n">
        <v>1</v>
      </c>
      <c r="E17" s="27" t="n">
        <f aca="false">IF(SUM(B17:D17)&gt;=2,1,0)</f>
        <v>1</v>
      </c>
    </row>
    <row r="18" customFormat="false" ht="15" hidden="false" customHeight="false" outlineLevel="0" collapsed="false">
      <c r="A18" s="27" t="n">
        <v>2</v>
      </c>
      <c r="B18" s="13" t="n">
        <v>1</v>
      </c>
      <c r="C18" s="13" t="n">
        <v>1</v>
      </c>
      <c r="D18" s="13" t="n">
        <v>1</v>
      </c>
      <c r="E18" s="27" t="n">
        <f aca="false">IF(SUM(B18:D18)&gt;=2,1,0)</f>
        <v>1</v>
      </c>
    </row>
    <row r="19" customFormat="false" ht="15" hidden="false" customHeight="false" outlineLevel="0" collapsed="false">
      <c r="A19" s="27" t="n">
        <v>3</v>
      </c>
      <c r="B19" s="13" t="n">
        <v>1</v>
      </c>
      <c r="C19" s="13" t="n">
        <v>1</v>
      </c>
      <c r="D19" s="13" t="n">
        <v>1</v>
      </c>
      <c r="E19" s="27" t="n">
        <f aca="false">IF(SUM(B19:D19)&gt;=2,1,0)</f>
        <v>1</v>
      </c>
    </row>
    <row r="20" customFormat="false" ht="15" hidden="false" customHeight="false" outlineLevel="0" collapsed="false">
      <c r="A20" s="27" t="n">
        <v>4</v>
      </c>
      <c r="B20" s="13" t="n">
        <v>1</v>
      </c>
      <c r="C20" s="13" t="n">
        <v>1</v>
      </c>
      <c r="D20" s="13" t="n">
        <v>1</v>
      </c>
      <c r="E20" s="27" t="n">
        <f aca="false">IF(SUM(B20:D20)&gt;=2,1,0)</f>
        <v>1</v>
      </c>
    </row>
    <row r="21" customFormat="false" ht="15" hidden="false" customHeight="false" outlineLevel="0" collapsed="false">
      <c r="A21" s="27" t="n">
        <v>5</v>
      </c>
      <c r="B21" s="13" t="n">
        <v>1</v>
      </c>
      <c r="C21" s="13" t="n">
        <v>1</v>
      </c>
      <c r="D21" s="13" t="n">
        <v>1</v>
      </c>
      <c r="E21" s="27" t="n">
        <f aca="false">IF(SUM(B21:D21)&gt;=2,1,0)</f>
        <v>1</v>
      </c>
    </row>
    <row r="22" customFormat="false" ht="15" hidden="false" customHeight="false" outlineLevel="0" collapsed="false">
      <c r="A22" s="27" t="n">
        <v>6</v>
      </c>
      <c r="B22" s="13" t="n">
        <v>1</v>
      </c>
      <c r="C22" s="13" t="n">
        <v>1</v>
      </c>
      <c r="D22" s="13" t="n">
        <v>1</v>
      </c>
      <c r="E22" s="27" t="n">
        <f aca="false">IF(SUM(B22:D22)&gt;=2,1,0)</f>
        <v>1</v>
      </c>
    </row>
    <row r="23" customFormat="false" ht="15" hidden="false" customHeight="false" outlineLevel="0" collapsed="false">
      <c r="A23" s="27" t="n">
        <v>7</v>
      </c>
      <c r="B23" s="13" t="n">
        <v>1</v>
      </c>
      <c r="C23" s="13" t="n">
        <v>0</v>
      </c>
      <c r="D23" s="13" t="n">
        <v>0</v>
      </c>
      <c r="E23" s="27" t="n">
        <f aca="false">IF(SUM(B23:D23)&gt;=2,1,0)</f>
        <v>0</v>
      </c>
    </row>
    <row r="24" customFormat="false" ht="15" hidden="false" customHeight="false" outlineLevel="0" collapsed="false">
      <c r="A24" s="27" t="n">
        <v>8</v>
      </c>
      <c r="B24" s="13" t="n">
        <v>1</v>
      </c>
      <c r="C24" s="13" t="n">
        <v>0</v>
      </c>
      <c r="D24" s="13" t="n">
        <v>0</v>
      </c>
      <c r="E24" s="27" t="n">
        <f aca="false">IF(SUM(B24:D24)&gt;=2,1,0)</f>
        <v>0</v>
      </c>
    </row>
    <row r="25" customFormat="false" ht="15" hidden="false" customHeight="false" outlineLevel="0" collapsed="false">
      <c r="A25" s="27" t="n">
        <v>9</v>
      </c>
      <c r="B25" s="13" t="n">
        <v>1</v>
      </c>
      <c r="C25" s="13" t="n">
        <v>0</v>
      </c>
      <c r="D25" s="13" t="n">
        <v>0</v>
      </c>
      <c r="E25" s="27" t="n">
        <f aca="false">IF(SUM(B25:D25)&gt;=2,1,0)</f>
        <v>0</v>
      </c>
    </row>
    <row r="26" customFormat="false" ht="15" hidden="false" customHeight="false" outlineLevel="0" collapsed="false">
      <c r="A26" s="27" t="n">
        <v>10</v>
      </c>
      <c r="B26" s="13" t="n">
        <v>0</v>
      </c>
      <c r="C26" s="13" t="n">
        <v>1</v>
      </c>
      <c r="D26" s="13" t="n">
        <v>0</v>
      </c>
      <c r="E26" s="27" t="n">
        <f aca="false">IF(SUM(B26:D26)&gt;=2,1,0)</f>
        <v>0</v>
      </c>
    </row>
    <row r="27" customFormat="false" ht="15" hidden="false" customHeight="false" outlineLevel="0" collapsed="false">
      <c r="A27" s="27" t="n">
        <v>11</v>
      </c>
      <c r="B27" s="13" t="n">
        <v>0</v>
      </c>
      <c r="C27" s="13" t="n">
        <v>1</v>
      </c>
      <c r="D27" s="13" t="n">
        <v>0</v>
      </c>
      <c r="E27" s="27" t="n">
        <f aca="false">IF(SUM(B27:D27)&gt;=2,1,0)</f>
        <v>0</v>
      </c>
    </row>
    <row r="28" customFormat="false" ht="15" hidden="false" customHeight="false" outlineLevel="0" collapsed="false">
      <c r="A28" s="27" t="n">
        <v>12</v>
      </c>
      <c r="B28" s="13" t="n">
        <v>0</v>
      </c>
      <c r="C28" s="13" t="n">
        <v>1</v>
      </c>
      <c r="D28" s="13" t="n">
        <v>0</v>
      </c>
      <c r="E28" s="27" t="n">
        <f aca="false">IF(SUM(B28:D28)&gt;=2,1,0)</f>
        <v>0</v>
      </c>
    </row>
    <row r="29" customFormat="false" ht="15" hidden="false" customHeight="false" outlineLevel="0" collapsed="false">
      <c r="A29" s="27" t="n">
        <v>13</v>
      </c>
      <c r="B29" s="13" t="n">
        <v>0</v>
      </c>
      <c r="C29" s="13" t="n">
        <v>0</v>
      </c>
      <c r="D29" s="13" t="n">
        <v>1</v>
      </c>
      <c r="E29" s="27" t="n">
        <f aca="false">IF(SUM(B29:D29)&gt;=2,1,0)</f>
        <v>0</v>
      </c>
    </row>
    <row r="30" customFormat="false" ht="15" hidden="false" customHeight="false" outlineLevel="0" collapsed="false">
      <c r="A30" s="27" t="n">
        <v>14</v>
      </c>
      <c r="B30" s="13" t="n">
        <v>0</v>
      </c>
      <c r="C30" s="13" t="n">
        <v>0</v>
      </c>
      <c r="D30" s="13" t="n">
        <v>1</v>
      </c>
      <c r="E30" s="27" t="n">
        <f aca="false">IF(SUM(B30:D30)&gt;=2,1,0)</f>
        <v>0</v>
      </c>
    </row>
    <row r="31" customFormat="false" ht="15" hidden="false" customHeight="false" outlineLevel="0" collapsed="false">
      <c r="A31" s="27" t="n">
        <v>15</v>
      </c>
      <c r="B31" s="13" t="n">
        <v>0</v>
      </c>
      <c r="C31" s="13" t="n">
        <v>0</v>
      </c>
      <c r="D31" s="13" t="n">
        <v>1</v>
      </c>
      <c r="E31" s="27" t="n">
        <f aca="false">IF(SUM(B31:D31)&gt;=2,1,0)</f>
        <v>0</v>
      </c>
    </row>
    <row r="32" customFormat="false" ht="15" hidden="false" customHeight="false" outlineLevel="0" collapsed="false">
      <c r="A32" s="3" t="s">
        <v>358</v>
      </c>
      <c r="B32" s="30" t="n">
        <f aca="false">AVERAGE(B17:B31)</f>
        <v>0.6</v>
      </c>
      <c r="C32" s="30" t="n">
        <f aca="false">AVERAGE(C17:C31)</f>
        <v>0.6</v>
      </c>
      <c r="D32" s="30" t="n">
        <f aca="false">AVERAGE(D17:D31)</f>
        <v>0.6</v>
      </c>
      <c r="E32" s="30" t="n">
        <f aca="false">AVERAGE(E17:E31)</f>
        <v>0.4</v>
      </c>
    </row>
    <row r="34" customFormat="false" ht="15" hidden="false" customHeight="false" outlineLevel="0" collapsed="false">
      <c r="A34" s="5" t="s">
        <v>359</v>
      </c>
    </row>
    <row r="35" customFormat="false" ht="15" hidden="false" customHeight="false" outlineLevel="0" collapsed="false">
      <c r="A35" s="3" t="s">
        <v>360</v>
      </c>
      <c r="B35" s="12" t="n">
        <v>1</v>
      </c>
      <c r="C35" s="11" t="s">
        <v>361</v>
      </c>
    </row>
    <row r="36" customFormat="false" ht="15" hidden="false" customHeight="false" outlineLevel="0" collapsed="false">
      <c r="A36" s="3" t="s">
        <v>362</v>
      </c>
      <c r="B36" s="12" t="n">
        <v>0.5</v>
      </c>
      <c r="C36" s="11" t="s">
        <v>363</v>
      </c>
    </row>
    <row r="37" customFormat="false" ht="15" hidden="false" customHeight="false" outlineLevel="0" collapsed="false">
      <c r="A37" s="3" t="s">
        <v>364</v>
      </c>
      <c r="B37" s="24" t="n">
        <f aca="false">-B35*(-B36)</f>
        <v>0.5</v>
      </c>
    </row>
    <row r="38" customFormat="false" ht="15" hidden="false" customHeight="false" outlineLevel="0" collapsed="false">
      <c r="A38" s="3" t="s">
        <v>365</v>
      </c>
      <c r="B38" s="24" t="n">
        <f aca="false">B35*(-B36)</f>
        <v>-0.5</v>
      </c>
    </row>
    <row r="39" customFormat="false" ht="15" hidden="false" customHeight="false" outlineLevel="0" collapsed="false">
      <c r="A39" s="3" t="s">
        <v>366</v>
      </c>
      <c r="B39" s="24" t="n">
        <f aca="false">B37-B38</f>
        <v>1</v>
      </c>
      <c r="C39" s="11" t="s">
        <v>367</v>
      </c>
    </row>
    <row r="41" customFormat="false" ht="15" hidden="false" customHeight="false" outlineLevel="0" collapsed="false">
      <c r="A41" s="5" t="s">
        <v>368</v>
      </c>
    </row>
    <row r="42" customFormat="false" ht="15" hidden="false" customHeight="false" outlineLevel="0" collapsed="false">
      <c r="A42" s="3" t="s">
        <v>369</v>
      </c>
      <c r="B42" s="12" t="n">
        <v>1</v>
      </c>
    </row>
    <row r="43" customFormat="false" ht="15" hidden="false" customHeight="false" outlineLevel="0" collapsed="false">
      <c r="A43" s="3" t="s">
        <v>370</v>
      </c>
      <c r="B43" s="12" t="n">
        <v>0.3</v>
      </c>
    </row>
    <row r="44" customFormat="false" ht="23.85" hidden="false" customHeight="false" outlineLevel="0" collapsed="false">
      <c r="A44" s="9" t="s">
        <v>371</v>
      </c>
      <c r="B44" s="9" t="s">
        <v>372</v>
      </c>
    </row>
    <row r="45" customFormat="false" ht="15" hidden="false" customHeight="false" outlineLevel="0" collapsed="false">
      <c r="A45" s="13" t="n">
        <v>1</v>
      </c>
      <c r="B45" s="23" t="n">
        <f aca="false">$B$43*$B$42+(1-$B$43)*$B$42/A45</f>
        <v>1</v>
      </c>
    </row>
    <row r="46" customFormat="false" ht="15" hidden="false" customHeight="false" outlineLevel="0" collapsed="false">
      <c r="A46" s="13" t="n">
        <v>2</v>
      </c>
      <c r="B46" s="23" t="n">
        <f aca="false">$B$43*$B$42+(1-$B$43)*$B$42/A46</f>
        <v>0.65</v>
      </c>
    </row>
    <row r="47" customFormat="false" ht="15" hidden="false" customHeight="false" outlineLevel="0" collapsed="false">
      <c r="A47" s="13" t="n">
        <v>5</v>
      </c>
      <c r="B47" s="23" t="n">
        <f aca="false">$B$43*$B$42+(1-$B$43)*$B$42/A47</f>
        <v>0.44</v>
      </c>
    </row>
    <row r="48" customFormat="false" ht="15" hidden="false" customHeight="false" outlineLevel="0" collapsed="false">
      <c r="A48" s="13" t="n">
        <v>10</v>
      </c>
      <c r="B48" s="23" t="n">
        <f aca="false">$B$43*$B$42+(1-$B$43)*$B$42/A48</f>
        <v>0.37</v>
      </c>
    </row>
    <row r="49" customFormat="false" ht="15" hidden="false" customHeight="false" outlineLevel="0" collapsed="false">
      <c r="A49" s="13" t="n">
        <v>100</v>
      </c>
      <c r="B49" s="23" t="n">
        <f aca="false">$B$43*$B$42+(1-$B$43)*$B$42/A49</f>
        <v>0.307</v>
      </c>
    </row>
    <row r="50" customFormat="false" ht="15" hidden="false" customHeight="false" outlineLevel="0" collapsed="false">
      <c r="A50" s="13" t="n">
        <v>1000</v>
      </c>
      <c r="B50" s="23" t="n">
        <f aca="false">$B$43*$B$42+(1-$B$43)*$B$42/A50</f>
        <v>0.3007</v>
      </c>
    </row>
    <row r="51" customFormat="false" ht="15" hidden="false" customHeight="false" outlineLevel="0" collapsed="false">
      <c r="A51" s="11" t="s">
        <v>373</v>
      </c>
    </row>
    <row r="53" customFormat="false" ht="15" hidden="false" customHeight="false" outlineLevel="0" collapsed="false">
      <c r="A53" s="5" t="s">
        <v>374</v>
      </c>
    </row>
    <row r="54" customFormat="false" ht="15" hidden="false" customHeight="false" outlineLevel="0" collapsed="false">
      <c r="A54" s="3" t="s">
        <v>375</v>
      </c>
      <c r="B54" s="13" t="n">
        <v>264</v>
      </c>
      <c r="C54" s="11" t="s">
        <v>376</v>
      </c>
    </row>
    <row r="55" customFormat="false" ht="15" hidden="false" customHeight="false" outlineLevel="0" collapsed="false">
      <c r="A55" s="3" t="s">
        <v>377</v>
      </c>
      <c r="B55" s="13" t="n">
        <v>590</v>
      </c>
    </row>
    <row r="56" customFormat="false" ht="15" hidden="false" customHeight="false" outlineLevel="0" collapsed="false">
      <c r="A56" s="3" t="s">
        <v>378</v>
      </c>
      <c r="B56" s="14" t="n">
        <f aca="false">IF(B54&gt;=B55,1,_xlfn.BETA.INV(Conf,B54+1,B55-B54))</f>
        <v>0.482116784213065</v>
      </c>
      <c r="C56" s="11" t="s">
        <v>379</v>
      </c>
    </row>
    <row r="57" customFormat="false" ht="15" hidden="false" customHeight="false" outlineLevel="0" collapsed="false">
      <c r="A57" s="3" t="s">
        <v>380</v>
      </c>
      <c r="B57" s="10" t="n">
        <v>100000</v>
      </c>
      <c r="C57" s="11" t="s">
        <v>381</v>
      </c>
    </row>
    <row r="58" customFormat="false" ht="15" hidden="false" customHeight="false" outlineLevel="0" collapsed="false">
      <c r="A58" s="3" t="s">
        <v>382</v>
      </c>
      <c r="B58" s="37" t="n">
        <v>0.005</v>
      </c>
    </row>
    <row r="59" customFormat="false" ht="15" hidden="false" customHeight="false" outlineLevel="0" collapsed="false">
      <c r="A59" s="3" t="s">
        <v>383</v>
      </c>
      <c r="B59" s="19" t="n">
        <f aca="false">EXP(-2*B57*B58^2)</f>
        <v>0.00673794699908547</v>
      </c>
    </row>
    <row r="60" customFormat="false" ht="15" hidden="false" customHeight="false" outlineLevel="0" collapsed="false">
      <c r="A60" s="3" t="s">
        <v>384</v>
      </c>
      <c r="B60" s="13" t="n">
        <v>10</v>
      </c>
      <c r="C60" s="11" t="s">
        <v>385</v>
      </c>
    </row>
    <row r="61" customFormat="false" ht="15" hidden="false" customHeight="false" outlineLevel="0" collapsed="false">
      <c r="A61" s="3" t="s">
        <v>386</v>
      </c>
      <c r="B61" s="12" t="n">
        <v>0.05</v>
      </c>
    </row>
    <row r="62" customFormat="false" ht="15" hidden="false" customHeight="false" outlineLevel="0" collapsed="false">
      <c r="A62" s="3" t="s">
        <v>387</v>
      </c>
      <c r="B62" s="19" t="n">
        <f aca="false">SQRT(LN(2*B60/B61)/(2*B57))</f>
        <v>0.00547332830511197</v>
      </c>
      <c r="C62" s="11" t="s">
        <v>388</v>
      </c>
    </row>
    <row r="63" customFormat="false" ht="15" hidden="false" customHeight="false" outlineLevel="0" collapsed="false">
      <c r="A63" s="3" t="s">
        <v>389</v>
      </c>
      <c r="B63" s="10" t="n">
        <v>1000</v>
      </c>
      <c r="C63" s="11" t="s">
        <v>390</v>
      </c>
    </row>
    <row r="64" customFormat="false" ht="15" hidden="false" customHeight="false" outlineLevel="0" collapsed="false">
      <c r="A64" s="3" t="s">
        <v>391</v>
      </c>
      <c r="B64" s="12" t="n">
        <v>0.1</v>
      </c>
    </row>
    <row r="65" customFormat="false" ht="15" hidden="false" customHeight="false" outlineLevel="0" collapsed="false">
      <c r="A65" s="3" t="s">
        <v>392</v>
      </c>
      <c r="B65" s="19" t="n">
        <f aca="false">1-B64</f>
        <v>0.9</v>
      </c>
      <c r="C65" s="11" t="s">
        <v>393</v>
      </c>
    </row>
    <row r="66" customFormat="false" ht="15" hidden="false" customHeight="false" outlineLevel="0" collapsed="false">
      <c r="A66" s="3" t="s">
        <v>394</v>
      </c>
      <c r="B66" s="19" t="n">
        <f aca="false">1-B64+1/(B63+1)</f>
        <v>0.900999000999001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90"/>
  </cols>
  <sheetData>
    <row r="1" customFormat="false" ht="15" hidden="false" customHeight="false" outlineLevel="0" collapsed="false">
      <c r="A1" s="9" t="s">
        <v>395</v>
      </c>
      <c r="B1" s="9" t="s">
        <v>396</v>
      </c>
      <c r="C1" s="9" t="s">
        <v>397</v>
      </c>
    </row>
    <row r="2" customFormat="false" ht="15" hidden="false" customHeight="false" outlineLevel="0" collapsed="false">
      <c r="A2" s="3" t="s">
        <v>398</v>
      </c>
      <c r="B2" s="38" t="n">
        <v>0.259181779318282</v>
      </c>
      <c r="C2" s="3" t="s">
        <v>399</v>
      </c>
    </row>
    <row r="3" customFormat="false" ht="15" hidden="false" customHeight="false" outlineLevel="0" collapsed="false">
      <c r="A3" s="3" t="s">
        <v>48</v>
      </c>
      <c r="B3" s="38" t="n">
        <v>10.440610891413</v>
      </c>
      <c r="C3" s="3" t="s">
        <v>400</v>
      </c>
    </row>
    <row r="4" customFormat="false" ht="15" hidden="false" customHeight="false" outlineLevel="0" collapsed="false">
      <c r="A4" s="3" t="s">
        <v>401</v>
      </c>
      <c r="B4" s="38" t="n">
        <v>0.05</v>
      </c>
      <c r="C4" s="3" t="s">
        <v>402</v>
      </c>
    </row>
    <row r="5" customFormat="false" ht="15" hidden="false" customHeight="false" outlineLevel="0" collapsed="false">
      <c r="A5" s="3" t="s">
        <v>403</v>
      </c>
      <c r="B5" s="38" t="n">
        <v>0.04907</v>
      </c>
      <c r="C5" s="3" t="s">
        <v>404</v>
      </c>
    </row>
    <row r="6" customFormat="false" ht="15" hidden="false" customHeight="false" outlineLevel="0" collapsed="false">
      <c r="A6" s="3" t="s">
        <v>405</v>
      </c>
      <c r="B6" s="38" t="n">
        <v>4.86683420233348</v>
      </c>
      <c r="C6" s="3" t="s">
        <v>406</v>
      </c>
    </row>
    <row r="7" customFormat="false" ht="15" hidden="false" customHeight="false" outlineLevel="0" collapsed="false">
      <c r="A7" s="3" t="s">
        <v>407</v>
      </c>
      <c r="B7" s="38" t="n">
        <v>10.4850608710364</v>
      </c>
      <c r="C7" s="3" t="s">
        <v>408</v>
      </c>
    </row>
    <row r="8" customFormat="false" ht="15" hidden="false" customHeight="false" outlineLevel="0" collapsed="false">
      <c r="A8" s="3" t="s">
        <v>409</v>
      </c>
      <c r="B8" s="38" t="n">
        <v>0.0474975704567541</v>
      </c>
      <c r="C8" s="3" t="s">
        <v>410</v>
      </c>
    </row>
    <row r="9" customFormat="false" ht="15" hidden="false" customHeight="false" outlineLevel="0" collapsed="false">
      <c r="A9" s="3" t="s">
        <v>411</v>
      </c>
      <c r="B9" s="38" t="n">
        <v>0.0571163939487496</v>
      </c>
      <c r="C9" s="3" t="s">
        <v>412</v>
      </c>
    </row>
    <row r="10" customFormat="false" ht="15" hidden="false" customHeight="false" outlineLevel="0" collapsed="false">
      <c r="A10" s="3" t="s">
        <v>413</v>
      </c>
      <c r="B10" s="38" t="n">
        <v>6.32262909672777</v>
      </c>
      <c r="C10" s="3" t="s">
        <v>414</v>
      </c>
    </row>
    <row r="11" customFormat="false" ht="15" hidden="false" customHeight="false" outlineLevel="0" collapsed="false">
      <c r="A11" s="3" t="s">
        <v>415</v>
      </c>
      <c r="B11" s="38" t="n">
        <v>4.11798179468523</v>
      </c>
      <c r="C11" s="3" t="s">
        <v>416</v>
      </c>
    </row>
    <row r="12" customFormat="false" ht="15" hidden="false" customHeight="false" outlineLevel="0" collapsed="false">
      <c r="A12" s="3" t="s">
        <v>417</v>
      </c>
      <c r="B12" s="38" t="n">
        <v>6.32532584552874</v>
      </c>
      <c r="C12" s="3" t="s">
        <v>418</v>
      </c>
    </row>
    <row r="13" customFormat="false" ht="15" hidden="false" customHeight="false" outlineLevel="0" collapsed="false">
      <c r="A13" s="3" t="s">
        <v>419</v>
      </c>
      <c r="B13" s="38" t="n">
        <v>-0.323193691071208</v>
      </c>
      <c r="C13" s="3" t="s">
        <v>420</v>
      </c>
    </row>
    <row r="14" customFormat="false" ht="15" hidden="false" customHeight="false" outlineLevel="0" collapsed="false">
      <c r="A14" s="3" t="s">
        <v>421</v>
      </c>
      <c r="B14" s="38" t="n">
        <v>-0.158942066498499</v>
      </c>
      <c r="C14" s="3" t="s">
        <v>420</v>
      </c>
    </row>
    <row r="15" customFormat="false" ht="15" hidden="false" customHeight="false" outlineLevel="0" collapsed="false">
      <c r="A15" s="3" t="s">
        <v>422</v>
      </c>
      <c r="B15" s="38" t="n">
        <v>-0.35223901556427</v>
      </c>
      <c r="C15" s="3" t="s">
        <v>420</v>
      </c>
    </row>
    <row r="16" customFormat="false" ht="15" hidden="false" customHeight="false" outlineLevel="0" collapsed="false">
      <c r="A16" s="3" t="s">
        <v>423</v>
      </c>
      <c r="B16" s="38" t="n">
        <v>0.769367915308823</v>
      </c>
      <c r="C16" s="3" t="s">
        <v>420</v>
      </c>
    </row>
    <row r="17" customFormat="false" ht="15" hidden="false" customHeight="false" outlineLevel="0" collapsed="false">
      <c r="A17" s="3" t="s">
        <v>424</v>
      </c>
      <c r="B17" s="38" t="n">
        <v>1.97384366252618</v>
      </c>
      <c r="C17" s="3" t="s">
        <v>420</v>
      </c>
    </row>
    <row r="18" customFormat="false" ht="15" hidden="false" customHeight="false" outlineLevel="0" collapsed="false">
      <c r="A18" s="3" t="s">
        <v>425</v>
      </c>
      <c r="B18" s="38" t="n">
        <v>2.02866722450698</v>
      </c>
      <c r="C18" s="3" t="s">
        <v>112</v>
      </c>
    </row>
    <row r="19" customFormat="false" ht="15" hidden="false" customHeight="false" outlineLevel="0" collapsed="false">
      <c r="A19" s="3" t="s">
        <v>426</v>
      </c>
      <c r="B19" s="38" t="n">
        <v>0.924282954185725</v>
      </c>
      <c r="C19" s="3" t="s">
        <v>427</v>
      </c>
    </row>
    <row r="20" customFormat="false" ht="15" hidden="false" customHeight="false" outlineLevel="0" collapsed="false">
      <c r="A20" s="3" t="s">
        <v>428</v>
      </c>
      <c r="B20" s="38" t="n">
        <v>0.588639457126435</v>
      </c>
      <c r="C20" s="3" t="s">
        <v>124</v>
      </c>
    </row>
    <row r="21" customFormat="false" ht="15" hidden="false" customHeight="false" outlineLevel="0" collapsed="false">
      <c r="A21" s="3" t="s">
        <v>429</v>
      </c>
      <c r="B21" s="38" t="n">
        <v>0.42796888753252</v>
      </c>
      <c r="C21" s="3" t="s">
        <v>126</v>
      </c>
    </row>
    <row r="22" customFormat="false" ht="15" hidden="false" customHeight="false" outlineLevel="0" collapsed="false">
      <c r="A22" s="3" t="s">
        <v>430</v>
      </c>
      <c r="B22" s="38" t="n">
        <v>0.0175044167472963</v>
      </c>
      <c r="C22" s="3" t="s">
        <v>128</v>
      </c>
    </row>
    <row r="23" customFormat="false" ht="15" hidden="false" customHeight="false" outlineLevel="0" collapsed="false">
      <c r="A23" s="3" t="s">
        <v>431</v>
      </c>
      <c r="B23" s="38" t="n">
        <v>5.36608260890134</v>
      </c>
      <c r="C23" s="3" t="s">
        <v>432</v>
      </c>
    </row>
    <row r="24" customFormat="false" ht="15" hidden="false" customHeight="false" outlineLevel="0" collapsed="false">
      <c r="A24" s="3" t="s">
        <v>433</v>
      </c>
      <c r="B24" s="38" t="n">
        <v>11.5458356738689</v>
      </c>
      <c r="C24" s="3" t="s">
        <v>434</v>
      </c>
    </row>
    <row r="25" customFormat="false" ht="15" hidden="false" customHeight="false" outlineLevel="0" collapsed="false">
      <c r="A25" s="3" t="s">
        <v>435</v>
      </c>
      <c r="B25" s="38" t="n">
        <v>9.00372909823928</v>
      </c>
      <c r="C25" s="3" t="s">
        <v>436</v>
      </c>
    </row>
    <row r="26" customFormat="false" ht="15" hidden="false" customHeight="false" outlineLevel="0" collapsed="false">
      <c r="A26" s="3" t="s">
        <v>437</v>
      </c>
      <c r="B26" s="38" t="n">
        <v>1.43688179317372</v>
      </c>
      <c r="C26" s="3" t="s">
        <v>438</v>
      </c>
    </row>
    <row r="27" customFormat="false" ht="15" hidden="false" customHeight="false" outlineLevel="0" collapsed="false">
      <c r="A27" s="3" t="s">
        <v>439</v>
      </c>
      <c r="B27" s="38" t="n">
        <v>0.0499903708123859</v>
      </c>
      <c r="C27" s="3" t="s">
        <v>440</v>
      </c>
    </row>
    <row r="28" customFormat="false" ht="15" hidden="false" customHeight="false" outlineLevel="0" collapsed="false">
      <c r="A28" s="3" t="s">
        <v>441</v>
      </c>
      <c r="B28" s="38" t="n">
        <v>0.5894</v>
      </c>
      <c r="C28" s="3" t="s">
        <v>442</v>
      </c>
    </row>
    <row r="29" customFormat="false" ht="15" hidden="false" customHeight="false" outlineLevel="0" collapsed="false">
      <c r="A29" s="3" t="s">
        <v>443</v>
      </c>
      <c r="B29" s="38" t="n">
        <v>0.04898</v>
      </c>
      <c r="C29" s="3" t="s">
        <v>444</v>
      </c>
    </row>
    <row r="30" customFormat="false" ht="15" hidden="false" customHeight="false" outlineLevel="0" collapsed="false">
      <c r="A30" s="3" t="s">
        <v>445</v>
      </c>
      <c r="B30" s="38" t="n">
        <v>1.43218182601976</v>
      </c>
      <c r="C30" s="3" t="s">
        <v>446</v>
      </c>
    </row>
    <row r="31" customFormat="false" ht="15" hidden="false" customHeight="false" outlineLevel="0" collapsed="false">
      <c r="A31" s="3" t="s">
        <v>447</v>
      </c>
      <c r="B31" s="38" t="n">
        <v>0.64006071549508</v>
      </c>
      <c r="C31" s="3" t="s">
        <v>448</v>
      </c>
    </row>
    <row r="32" customFormat="false" ht="15" hidden="false" customHeight="false" outlineLevel="0" collapsed="false">
      <c r="A32" s="3" t="s">
        <v>449</v>
      </c>
      <c r="B32" s="38" t="n">
        <v>0.763387660124555</v>
      </c>
      <c r="C32" s="3" t="s">
        <v>448</v>
      </c>
    </row>
    <row r="33" customFormat="false" ht="15" hidden="false" customHeight="false" outlineLevel="0" collapsed="false">
      <c r="A33" s="3" t="s">
        <v>450</v>
      </c>
      <c r="B33" s="38" t="n">
        <v>0.859005793109302</v>
      </c>
      <c r="C33" s="3" t="s">
        <v>448</v>
      </c>
    </row>
    <row r="34" customFormat="false" ht="15" hidden="false" customHeight="false" outlineLevel="0" collapsed="false">
      <c r="A34" s="3" t="s">
        <v>451</v>
      </c>
      <c r="B34" s="38" t="n">
        <v>0.924282954185725</v>
      </c>
      <c r="C34" s="3" t="s">
        <v>448</v>
      </c>
    </row>
    <row r="35" customFormat="false" ht="15" hidden="false" customHeight="false" outlineLevel="0" collapsed="false">
      <c r="A35" s="3" t="s">
        <v>452</v>
      </c>
      <c r="B35" s="38" t="n">
        <v>0.963521966939538</v>
      </c>
      <c r="C35" s="3" t="s">
        <v>448</v>
      </c>
    </row>
    <row r="36" customFormat="false" ht="15" hidden="false" customHeight="false" outlineLevel="0" collapsed="false">
      <c r="A36" s="3" t="s">
        <v>453</v>
      </c>
      <c r="B36" s="38" t="n">
        <v>0.984290550203063</v>
      </c>
      <c r="C36" s="3" t="s">
        <v>448</v>
      </c>
    </row>
    <row r="37" customFormat="false" ht="15" hidden="false" customHeight="false" outlineLevel="0" collapsed="false">
      <c r="A37" s="3" t="s">
        <v>454</v>
      </c>
      <c r="B37" s="38" t="n">
        <v>0.997940937271478</v>
      </c>
      <c r="C37" s="3" t="s">
        <v>448</v>
      </c>
    </row>
    <row r="38" customFormat="false" ht="15" hidden="false" customHeight="false" outlineLevel="0" collapsed="false">
      <c r="A38" s="3" t="s">
        <v>455</v>
      </c>
      <c r="B38" s="38" t="n">
        <v>0.999832241163737</v>
      </c>
      <c r="C38" s="3" t="s">
        <v>448</v>
      </c>
    </row>
    <row r="39" customFormat="false" ht="15" hidden="false" customHeight="false" outlineLevel="0" collapsed="false">
      <c r="A39" s="3" t="s">
        <v>456</v>
      </c>
      <c r="B39" s="38" t="n">
        <v>0.999991592175364</v>
      </c>
      <c r="C39" s="3" t="s">
        <v>448</v>
      </c>
    </row>
    <row r="40" customFormat="false" ht="15" hidden="false" customHeight="false" outlineLevel="0" collapsed="false">
      <c r="A40" s="3" t="s">
        <v>457</v>
      </c>
      <c r="B40" s="38" t="n">
        <v>0.999999995208174</v>
      </c>
      <c r="C40" s="3" t="s">
        <v>448</v>
      </c>
    </row>
    <row r="41" customFormat="false" ht="15" hidden="false" customHeight="false" outlineLevel="0" collapsed="false">
      <c r="A41" s="3" t="s">
        <v>458</v>
      </c>
      <c r="B41" s="38" t="n">
        <v>0.859005793109302</v>
      </c>
      <c r="C41" s="3" t="s">
        <v>459</v>
      </c>
    </row>
    <row r="42" customFormat="false" ht="15" hidden="false" customHeight="false" outlineLevel="0" collapsed="false">
      <c r="A42" s="3" t="s">
        <v>460</v>
      </c>
      <c r="B42" s="38" t="n">
        <v>0.963521966939538</v>
      </c>
      <c r="C42" s="3" t="s">
        <v>461</v>
      </c>
    </row>
    <row r="43" customFormat="false" ht="15" hidden="false" customHeight="false" outlineLevel="0" collapsed="false">
      <c r="A43" s="3" t="s">
        <v>462</v>
      </c>
      <c r="B43" s="38" t="n">
        <v>0.893</v>
      </c>
      <c r="C43" s="3" t="s">
        <v>463</v>
      </c>
    </row>
    <row r="44" customFormat="false" ht="15" hidden="false" customHeight="false" outlineLevel="0" collapsed="false">
      <c r="A44" s="3" t="s">
        <v>464</v>
      </c>
      <c r="B44" s="38" t="n">
        <v>0.87324</v>
      </c>
      <c r="C44" s="3" t="s">
        <v>465</v>
      </c>
    </row>
    <row r="45" customFormat="false" ht="15" hidden="false" customHeight="false" outlineLevel="0" collapsed="false">
      <c r="A45" s="3" t="s">
        <v>466</v>
      </c>
      <c r="B45" s="38" t="n">
        <v>0.65862</v>
      </c>
      <c r="C45" s="3" t="s">
        <v>467</v>
      </c>
    </row>
    <row r="46" customFormat="false" ht="15" hidden="false" customHeight="false" outlineLevel="0" collapsed="false">
      <c r="A46" s="3" t="s">
        <v>468</v>
      </c>
      <c r="B46" s="38" t="n">
        <v>0.63857</v>
      </c>
      <c r="C46" s="3" t="s">
        <v>469</v>
      </c>
    </row>
    <row r="47" customFormat="false" ht="15" hidden="false" customHeight="false" outlineLevel="0" collapsed="false">
      <c r="A47" s="3" t="s">
        <v>470</v>
      </c>
      <c r="B47" s="38" t="n">
        <v>0.7404</v>
      </c>
      <c r="C47" s="3" t="s">
        <v>471</v>
      </c>
    </row>
    <row r="48" customFormat="false" ht="15" hidden="false" customHeight="false" outlineLevel="0" collapsed="false">
      <c r="A48" s="3" t="s">
        <v>472</v>
      </c>
      <c r="B48" s="38" t="n">
        <v>1</v>
      </c>
      <c r="C48" s="3" t="s">
        <v>473</v>
      </c>
    </row>
    <row r="49" customFormat="false" ht="15" hidden="false" customHeight="false" outlineLevel="0" collapsed="false">
      <c r="A49" s="3" t="s">
        <v>474</v>
      </c>
      <c r="B49" s="38" t="n">
        <v>0.85644</v>
      </c>
      <c r="C49" s="3" t="s">
        <v>475</v>
      </c>
    </row>
    <row r="50" customFormat="false" ht="15" hidden="false" customHeight="false" outlineLevel="0" collapsed="false">
      <c r="A50" s="3" t="s">
        <v>476</v>
      </c>
      <c r="B50" s="38" t="n">
        <v>0.910299295687478</v>
      </c>
      <c r="C50" s="3" t="s">
        <v>317</v>
      </c>
    </row>
    <row r="51" customFormat="false" ht="15" hidden="false" customHeight="false" outlineLevel="0" collapsed="false">
      <c r="A51" s="3" t="s">
        <v>477</v>
      </c>
      <c r="B51" s="38" t="n">
        <v>24</v>
      </c>
      <c r="C51" s="3" t="s">
        <v>319</v>
      </c>
    </row>
    <row r="52" customFormat="false" ht="15" hidden="false" customHeight="false" outlineLevel="0" collapsed="false">
      <c r="A52" s="3" t="s">
        <v>478</v>
      </c>
      <c r="B52" s="38" t="n">
        <v>0.88848331864376</v>
      </c>
      <c r="C52" s="3" t="s">
        <v>321</v>
      </c>
    </row>
    <row r="53" customFormat="false" ht="15" hidden="false" customHeight="false" outlineLevel="0" collapsed="false">
      <c r="A53" s="3" t="s">
        <v>479</v>
      </c>
      <c r="B53" s="38" t="n">
        <v>1</v>
      </c>
      <c r="C53" s="3" t="s">
        <v>323</v>
      </c>
    </row>
    <row r="54" customFormat="false" ht="15" hidden="false" customHeight="false" outlineLevel="0" collapsed="false">
      <c r="A54" s="3" t="s">
        <v>480</v>
      </c>
      <c r="B54" s="38" t="n">
        <v>0.6</v>
      </c>
      <c r="C54" s="3" t="s">
        <v>481</v>
      </c>
    </row>
    <row r="55" customFormat="false" ht="15" hidden="false" customHeight="false" outlineLevel="0" collapsed="false">
      <c r="A55" s="3" t="s">
        <v>482</v>
      </c>
      <c r="B55" s="38" t="n">
        <v>0.4</v>
      </c>
      <c r="C55" s="3" t="s">
        <v>483</v>
      </c>
    </row>
    <row r="56" customFormat="false" ht="15" hidden="false" customHeight="false" outlineLevel="0" collapsed="false">
      <c r="A56" s="3" t="s">
        <v>484</v>
      </c>
      <c r="B56" s="38" t="n">
        <v>25</v>
      </c>
      <c r="C56" s="3" t="s">
        <v>347</v>
      </c>
    </row>
    <row r="57" customFormat="false" ht="15" hidden="false" customHeight="false" outlineLevel="0" collapsed="false">
      <c r="A57" s="3" t="s">
        <v>485</v>
      </c>
      <c r="B57" s="38" t="n">
        <v>50</v>
      </c>
      <c r="C57" s="3" t="s">
        <v>350</v>
      </c>
    </row>
    <row r="58" customFormat="false" ht="15" hidden="false" customHeight="false" outlineLevel="0" collapsed="false">
      <c r="A58" s="3" t="s">
        <v>486</v>
      </c>
      <c r="B58" s="38" t="n">
        <v>25</v>
      </c>
      <c r="C58" s="3" t="s">
        <v>347</v>
      </c>
    </row>
    <row r="59" customFormat="false" ht="15" hidden="false" customHeight="false" outlineLevel="0" collapsed="false">
      <c r="A59" s="3" t="s">
        <v>487</v>
      </c>
      <c r="B59" s="38" t="n">
        <v>5</v>
      </c>
      <c r="C59" s="3" t="s">
        <v>150</v>
      </c>
    </row>
    <row r="60" customFormat="false" ht="15" hidden="false" customHeight="false" outlineLevel="0" collapsed="false">
      <c r="A60" s="3" t="s">
        <v>488</v>
      </c>
      <c r="B60" s="38" t="n">
        <v>0.87324</v>
      </c>
      <c r="C60" s="3" t="s">
        <v>465</v>
      </c>
    </row>
    <row r="61" customFormat="false" ht="15" hidden="false" customHeight="false" outlineLevel="0" collapsed="false">
      <c r="A61" s="3" t="s">
        <v>489</v>
      </c>
      <c r="B61" s="38" t="n">
        <v>0.23012</v>
      </c>
      <c r="C61" s="3" t="s">
        <v>490</v>
      </c>
    </row>
    <row r="62" customFormat="false" ht="15" hidden="false" customHeight="false" outlineLevel="0" collapsed="false">
      <c r="A62" s="3" t="s">
        <v>491</v>
      </c>
      <c r="B62" s="38" t="n">
        <v>0.783678081001217</v>
      </c>
      <c r="C62" s="3" t="s">
        <v>490</v>
      </c>
    </row>
    <row r="63" customFormat="false" ht="15" hidden="false" customHeight="false" outlineLevel="0" collapsed="false">
      <c r="A63" s="3" t="s">
        <v>492</v>
      </c>
      <c r="B63" s="38" t="n">
        <v>0.102327635475659</v>
      </c>
      <c r="C63" s="3" t="s">
        <v>490</v>
      </c>
    </row>
    <row r="64" customFormat="false" ht="15" hidden="false" customHeight="false" outlineLevel="0" collapsed="false">
      <c r="A64" s="3" t="s">
        <v>493</v>
      </c>
      <c r="B64" s="38" t="n">
        <v>9.44693030407277</v>
      </c>
      <c r="C64" s="3" t="s">
        <v>490</v>
      </c>
    </row>
    <row r="65" customFormat="false" ht="15" hidden="false" customHeight="false" outlineLevel="0" collapsed="false">
      <c r="A65" s="3" t="s">
        <v>494</v>
      </c>
      <c r="B65" s="38" t="n">
        <v>11.4734747956409</v>
      </c>
      <c r="C65" s="3" t="s">
        <v>490</v>
      </c>
    </row>
    <row r="66" customFormat="false" ht="15" hidden="false" customHeight="false" outlineLevel="0" collapsed="false">
      <c r="A66" s="3" t="s">
        <v>495</v>
      </c>
      <c r="B66" s="38" t="n">
        <v>9.91327872247242</v>
      </c>
      <c r="C66" s="3" t="s">
        <v>496</v>
      </c>
    </row>
    <row r="67" customFormat="false" ht="15" hidden="false" customHeight="false" outlineLevel="0" collapsed="false">
      <c r="A67" s="3" t="s">
        <v>497</v>
      </c>
      <c r="B67" s="38" t="n">
        <v>0.52733216894058</v>
      </c>
      <c r="C67" s="3" t="s">
        <v>490</v>
      </c>
    </row>
    <row r="68" customFormat="false" ht="15" hidden="false" customHeight="false" outlineLevel="0" collapsed="false">
      <c r="A68" s="3" t="s">
        <v>498</v>
      </c>
      <c r="B68" s="38" t="n">
        <v>0.0499926137054743</v>
      </c>
      <c r="C68" s="3" t="s">
        <v>499</v>
      </c>
    </row>
    <row r="69" customFormat="false" ht="15" hidden="false" customHeight="false" outlineLevel="0" collapsed="false">
      <c r="A69" s="3" t="s">
        <v>500</v>
      </c>
      <c r="B69" s="38" t="n">
        <v>0.22924</v>
      </c>
      <c r="C69" s="3" t="s">
        <v>501</v>
      </c>
    </row>
    <row r="70" customFormat="false" ht="15" hidden="false" customHeight="false" outlineLevel="0" collapsed="false">
      <c r="A70" s="3" t="s">
        <v>502</v>
      </c>
      <c r="B70" s="38" t="n">
        <v>0.04898</v>
      </c>
      <c r="C70" s="3" t="s">
        <v>501</v>
      </c>
    </row>
    <row r="71" customFormat="false" ht="15" hidden="false" customHeight="false" outlineLevel="0" collapsed="false">
      <c r="A71" s="3" t="s">
        <v>503</v>
      </c>
      <c r="B71" s="38" t="n">
        <v>0.529115528093161</v>
      </c>
      <c r="C71" s="3" t="s">
        <v>501</v>
      </c>
    </row>
    <row r="72" customFormat="false" ht="15" hidden="false" customHeight="false" outlineLevel="0" collapsed="false">
      <c r="A72" s="3" t="s">
        <v>504</v>
      </c>
      <c r="B72" s="38" t="n">
        <v>0.59</v>
      </c>
      <c r="C72" s="3" t="s">
        <v>490</v>
      </c>
    </row>
    <row r="73" customFormat="false" ht="15" hidden="false" customHeight="false" outlineLevel="0" collapsed="false">
      <c r="A73" s="3" t="s">
        <v>505</v>
      </c>
      <c r="B73" s="38" t="n">
        <v>0.427135593220339</v>
      </c>
      <c r="C73" s="3" t="s">
        <v>490</v>
      </c>
    </row>
    <row r="74" customFormat="false" ht="15" hidden="false" customHeight="false" outlineLevel="0" collapsed="false">
      <c r="A74" s="3" t="s">
        <v>506</v>
      </c>
      <c r="B74" s="38" t="n">
        <v>0.0173414634146342</v>
      </c>
      <c r="C74" s="3" t="s">
        <v>490</v>
      </c>
    </row>
    <row r="75" customFormat="false" ht="15" hidden="false" customHeight="false" outlineLevel="0" collapsed="false">
      <c r="A75" s="3" t="s">
        <v>507</v>
      </c>
      <c r="B75" s="38" t="n">
        <v>5.34964023920002</v>
      </c>
      <c r="C75" s="3" t="s">
        <v>490</v>
      </c>
    </row>
    <row r="76" customFormat="false" ht="15" hidden="false" customHeight="false" outlineLevel="0" collapsed="false">
      <c r="A76" s="3" t="s">
        <v>508</v>
      </c>
      <c r="B76" s="38" t="n">
        <v>11.5436910639684</v>
      </c>
      <c r="C76" s="3" t="s">
        <v>490</v>
      </c>
    </row>
    <row r="77" customFormat="false" ht="15" hidden="false" customHeight="false" outlineLevel="0" collapsed="false">
      <c r="A77" s="3" t="s">
        <v>509</v>
      </c>
      <c r="B77" s="38" t="n">
        <v>9.00413022581338</v>
      </c>
      <c r="C77" s="3" t="s">
        <v>496</v>
      </c>
    </row>
    <row r="78" customFormat="false" ht="15" hidden="false" customHeight="false" outlineLevel="0" collapsed="false">
      <c r="A78" s="3" t="s">
        <v>510</v>
      </c>
      <c r="B78" s="38" t="n">
        <v>1.43648066559962</v>
      </c>
      <c r="C78" s="3" t="s">
        <v>490</v>
      </c>
    </row>
    <row r="79" customFormat="false" ht="15" hidden="false" customHeight="false" outlineLevel="0" collapsed="false">
      <c r="A79" s="3" t="s">
        <v>511</v>
      </c>
      <c r="B79" s="38" t="n">
        <v>0.0499886789243378</v>
      </c>
      <c r="C79" s="3" t="s">
        <v>499</v>
      </c>
    </row>
    <row r="80" customFormat="false" ht="15" hidden="false" customHeight="false" outlineLevel="0" collapsed="false">
      <c r="A80" s="3" t="s">
        <v>512</v>
      </c>
      <c r="B80" s="38" t="n">
        <v>0.58646</v>
      </c>
      <c r="C80" s="3" t="s">
        <v>501</v>
      </c>
    </row>
    <row r="81" customFormat="false" ht="15" hidden="false" customHeight="false" outlineLevel="0" collapsed="false">
      <c r="A81" s="3" t="s">
        <v>513</v>
      </c>
      <c r="B81" s="38" t="n">
        <v>0.04928</v>
      </c>
      <c r="C81" s="3" t="s">
        <v>501</v>
      </c>
    </row>
    <row r="82" customFormat="false" ht="15" hidden="false" customHeight="false" outlineLevel="0" collapsed="false">
      <c r="A82" s="3" t="s">
        <v>514</v>
      </c>
      <c r="B82" s="38" t="n">
        <v>1.4584076055193</v>
      </c>
      <c r="C82" s="3" t="s">
        <v>501</v>
      </c>
    </row>
    <row r="83" customFormat="false" ht="15" hidden="false" customHeight="false" outlineLevel="0" collapsed="false">
      <c r="A83" s="3" t="s">
        <v>515</v>
      </c>
      <c r="B83" s="38" t="n">
        <v>0.27</v>
      </c>
      <c r="C83" s="3" t="s">
        <v>490</v>
      </c>
    </row>
    <row r="84" customFormat="false" ht="15" hidden="false" customHeight="false" outlineLevel="0" collapsed="false">
      <c r="A84" s="3" t="s">
        <v>516</v>
      </c>
      <c r="B84" s="38" t="n">
        <v>0.992592592592593</v>
      </c>
      <c r="C84" s="3" t="s">
        <v>490</v>
      </c>
    </row>
    <row r="85" customFormat="false" ht="15" hidden="false" customHeight="false" outlineLevel="0" collapsed="false">
      <c r="A85" s="3" t="s">
        <v>517</v>
      </c>
      <c r="B85" s="38" t="n">
        <v>0</v>
      </c>
      <c r="C85" s="3" t="s">
        <v>490</v>
      </c>
    </row>
    <row r="86" customFormat="false" ht="15" hidden="false" customHeight="false" outlineLevel="0" collapsed="false">
      <c r="A86" s="3" t="s">
        <v>518</v>
      </c>
      <c r="B86" s="38" t="n">
        <v>4.86683420233348</v>
      </c>
      <c r="C86" s="3" t="s">
        <v>490</v>
      </c>
    </row>
    <row r="87" customFormat="false" ht="15" hidden="false" customHeight="false" outlineLevel="0" collapsed="false">
      <c r="A87" s="3" t="s">
        <v>519</v>
      </c>
      <c r="B87" s="38" t="n">
        <v>10.5558641576839</v>
      </c>
      <c r="C87" s="3" t="s">
        <v>490</v>
      </c>
    </row>
    <row r="88" customFormat="false" ht="15" hidden="false" customHeight="false" outlineLevel="0" collapsed="false">
      <c r="A88" s="3" t="s">
        <v>520</v>
      </c>
      <c r="B88" s="38" t="n">
        <v>6.4028722902781</v>
      </c>
      <c r="C88" s="3" t="s">
        <v>496</v>
      </c>
    </row>
    <row r="89" customFormat="false" ht="15" hidden="false" customHeight="false" outlineLevel="0" collapsed="false">
      <c r="A89" s="3" t="s">
        <v>521</v>
      </c>
      <c r="B89" s="38" t="n">
        <v>4.0377386011349</v>
      </c>
      <c r="C89" s="3" t="s">
        <v>490</v>
      </c>
    </row>
    <row r="90" customFormat="false" ht="15" hidden="false" customHeight="false" outlineLevel="0" collapsed="false">
      <c r="A90" s="3" t="s">
        <v>522</v>
      </c>
      <c r="B90" s="38" t="n">
        <v>0.0499916981062948</v>
      </c>
      <c r="C90" s="3" t="s">
        <v>499</v>
      </c>
    </row>
    <row r="91" customFormat="false" ht="15" hidden="false" customHeight="false" outlineLevel="0" collapsed="false">
      <c r="A91" s="3" t="s">
        <v>523</v>
      </c>
      <c r="B91" s="38" t="n">
        <v>0.3572</v>
      </c>
      <c r="C91" s="3" t="s">
        <v>501</v>
      </c>
    </row>
    <row r="92" customFormat="false" ht="15" hidden="false" customHeight="false" outlineLevel="0" collapsed="false">
      <c r="A92" s="3" t="s">
        <v>524</v>
      </c>
      <c r="B92" s="38" t="n">
        <v>0.07676</v>
      </c>
      <c r="C92" s="3" t="s">
        <v>501</v>
      </c>
    </row>
    <row r="93" customFormat="false" ht="15" hidden="false" customHeight="false" outlineLevel="0" collapsed="false">
      <c r="A93" s="3" t="s">
        <v>525</v>
      </c>
      <c r="B93" s="38" t="n">
        <v>0.58</v>
      </c>
      <c r="C93" s="3" t="s">
        <v>490</v>
      </c>
    </row>
    <row r="94" customFormat="false" ht="15" hidden="false" customHeight="false" outlineLevel="0" collapsed="false">
      <c r="A94" s="3" t="s">
        <v>526</v>
      </c>
      <c r="B94" s="38" t="n">
        <v>0.444827586206897</v>
      </c>
      <c r="C94" s="3" t="s">
        <v>490</v>
      </c>
    </row>
    <row r="95" customFormat="false" ht="15" hidden="false" customHeight="false" outlineLevel="0" collapsed="false">
      <c r="A95" s="3" t="s">
        <v>527</v>
      </c>
      <c r="B95" s="38" t="n">
        <v>0.0238095238095238</v>
      </c>
      <c r="C95" s="3" t="s">
        <v>490</v>
      </c>
    </row>
    <row r="96" customFormat="false" ht="15" hidden="false" customHeight="false" outlineLevel="0" collapsed="false">
      <c r="A96" s="3" t="s">
        <v>528</v>
      </c>
      <c r="B96" s="38" t="n">
        <v>6.05943879962994</v>
      </c>
      <c r="C96" s="3" t="s">
        <v>490</v>
      </c>
    </row>
    <row r="97" customFormat="false" ht="15" hidden="false" customHeight="false" outlineLevel="0" collapsed="false">
      <c r="A97" s="3" t="s">
        <v>529</v>
      </c>
      <c r="B97" s="38" t="n">
        <v>11.6082514905362</v>
      </c>
      <c r="C97" s="3" t="s">
        <v>490</v>
      </c>
    </row>
    <row r="98" customFormat="false" ht="15" hidden="false" customHeight="false" outlineLevel="0" collapsed="false">
      <c r="A98" s="3" t="s">
        <v>530</v>
      </c>
      <c r="B98" s="38" t="n">
        <v>9.27775016035557</v>
      </c>
      <c r="C98" s="3" t="s">
        <v>496</v>
      </c>
    </row>
    <row r="99" customFormat="false" ht="15" hidden="false" customHeight="false" outlineLevel="0" collapsed="false">
      <c r="A99" s="3" t="s">
        <v>531</v>
      </c>
      <c r="B99" s="38" t="n">
        <v>1.16286073105743</v>
      </c>
      <c r="C99" s="3" t="s">
        <v>490</v>
      </c>
    </row>
    <row r="100" customFormat="false" ht="15" hidden="false" customHeight="false" outlineLevel="0" collapsed="false">
      <c r="A100" s="3" t="s">
        <v>532</v>
      </c>
      <c r="B100" s="38" t="n">
        <v>0.049994323214812</v>
      </c>
      <c r="C100" s="3" t="s">
        <v>499</v>
      </c>
    </row>
    <row r="101" customFormat="false" ht="15" hidden="false" customHeight="false" outlineLevel="0" collapsed="false">
      <c r="A101" s="3" t="s">
        <v>533</v>
      </c>
      <c r="B101" s="38" t="n">
        <v>0.68309</v>
      </c>
      <c r="C101" s="3" t="s">
        <v>501</v>
      </c>
    </row>
    <row r="102" customFormat="false" ht="15" hidden="false" customHeight="false" outlineLevel="0" collapsed="false">
      <c r="A102" s="3" t="s">
        <v>534</v>
      </c>
      <c r="B102" s="38" t="n">
        <v>0.0496</v>
      </c>
      <c r="C102" s="3" t="s">
        <v>501</v>
      </c>
    </row>
    <row r="103" customFormat="false" ht="15" hidden="false" customHeight="false" outlineLevel="0" collapsed="false">
      <c r="A103" s="3" t="s">
        <v>535</v>
      </c>
      <c r="B103" s="38" t="n">
        <v>0.590833630751908</v>
      </c>
      <c r="C103" s="3" t="s">
        <v>501</v>
      </c>
    </row>
    <row r="104" customFormat="false" ht="15" hidden="false" customHeight="false" outlineLevel="0" collapsed="false">
      <c r="A104" s="3" t="s">
        <v>536</v>
      </c>
      <c r="B104" s="38" t="n">
        <v>0.59</v>
      </c>
      <c r="C104" s="3" t="s">
        <v>490</v>
      </c>
    </row>
    <row r="105" customFormat="false" ht="15" hidden="false" customHeight="false" outlineLevel="0" collapsed="false">
      <c r="A105" s="3" t="s">
        <v>537</v>
      </c>
      <c r="B105" s="38" t="n">
        <v>0.447457627118644</v>
      </c>
      <c r="C105" s="3" t="s">
        <v>490</v>
      </c>
    </row>
    <row r="106" customFormat="false" ht="15" hidden="false" customHeight="false" outlineLevel="0" collapsed="false">
      <c r="A106" s="3" t="s">
        <v>538</v>
      </c>
      <c r="B106" s="38" t="n">
        <v>0.00975609756097561</v>
      </c>
      <c r="C106" s="3" t="s">
        <v>490</v>
      </c>
    </row>
    <row r="107" customFormat="false" ht="15" hidden="false" customHeight="false" outlineLevel="0" collapsed="false">
      <c r="A107" s="3" t="s">
        <v>539</v>
      </c>
      <c r="B107" s="38" t="n">
        <v>5.46428219737665</v>
      </c>
      <c r="C107" s="3" t="s">
        <v>490</v>
      </c>
    </row>
    <row r="108" customFormat="false" ht="15" hidden="false" customHeight="false" outlineLevel="0" collapsed="false">
      <c r="A108" s="3" t="s">
        <v>540</v>
      </c>
      <c r="B108" s="38" t="n">
        <v>10.9640202322312</v>
      </c>
      <c r="C108" s="3" t="s">
        <v>490</v>
      </c>
    </row>
    <row r="109" customFormat="false" ht="15" hidden="false" customHeight="false" outlineLevel="0" collapsed="false">
      <c r="A109" s="3" t="s">
        <v>541</v>
      </c>
      <c r="B109" s="38" t="n">
        <v>8.70912763794084</v>
      </c>
      <c r="C109" s="3" t="s">
        <v>496</v>
      </c>
    </row>
    <row r="110" customFormat="false" ht="15" hidden="false" customHeight="false" outlineLevel="0" collapsed="false">
      <c r="A110" s="3" t="s">
        <v>542</v>
      </c>
      <c r="B110" s="38" t="n">
        <v>1.73148325347217</v>
      </c>
      <c r="C110" s="3" t="s">
        <v>490</v>
      </c>
    </row>
    <row r="111" customFormat="false" ht="15" hidden="false" customHeight="false" outlineLevel="0" collapsed="false">
      <c r="A111" s="3" t="s">
        <v>543</v>
      </c>
      <c r="B111" s="38" t="n">
        <v>0.0499936338982782</v>
      </c>
      <c r="C111" s="3" t="s">
        <v>499</v>
      </c>
    </row>
    <row r="112" customFormat="false" ht="15" hidden="false" customHeight="false" outlineLevel="0" collapsed="false">
      <c r="A112" s="3" t="s">
        <v>544</v>
      </c>
      <c r="B112" s="38" t="n">
        <v>0.60891</v>
      </c>
      <c r="C112" s="3" t="s">
        <v>501</v>
      </c>
    </row>
    <row r="113" customFormat="false" ht="15" hidden="false" customHeight="false" outlineLevel="0" collapsed="false">
      <c r="A113" s="3" t="s">
        <v>545</v>
      </c>
      <c r="B113" s="38" t="n">
        <v>0.05019</v>
      </c>
      <c r="C113" s="3" t="s">
        <v>501</v>
      </c>
    </row>
    <row r="114" customFormat="false" ht="15" hidden="false" customHeight="false" outlineLevel="0" collapsed="false">
      <c r="A114" s="3" t="s">
        <v>546</v>
      </c>
      <c r="B114" s="38" t="n">
        <v>1.62748320723307</v>
      </c>
      <c r="C114" s="3" t="s">
        <v>501</v>
      </c>
    </row>
    <row r="115" customFormat="false" ht="15" hidden="false" customHeight="false" outlineLevel="0" collapsed="false">
      <c r="A115" s="3" t="s">
        <v>547</v>
      </c>
      <c r="B115" s="38" t="n">
        <v>0.482116784213065</v>
      </c>
      <c r="C115" s="3" t="s">
        <v>490</v>
      </c>
    </row>
    <row r="116" customFormat="false" ht="15" hidden="false" customHeight="false" outlineLevel="0" collapsed="false">
      <c r="A116" s="3" t="s">
        <v>548</v>
      </c>
      <c r="B116" s="38" t="n">
        <v>0.0221856332828053</v>
      </c>
      <c r="C116" s="3" t="s">
        <v>490</v>
      </c>
    </row>
    <row r="117" customFormat="false" ht="15" hidden="false" customHeight="false" outlineLevel="0" collapsed="false">
      <c r="A117" s="3" t="s">
        <v>549</v>
      </c>
      <c r="B117" s="38" t="n">
        <v>5.8719521423685</v>
      </c>
      <c r="C117" s="3" t="s">
        <v>490</v>
      </c>
    </row>
    <row r="118" customFormat="false" ht="15" hidden="false" customHeight="false" outlineLevel="0" collapsed="false">
      <c r="A118" s="3" t="s">
        <v>550</v>
      </c>
      <c r="B118" s="38" t="n">
        <v>11.635351488721</v>
      </c>
      <c r="C118" s="3" t="s">
        <v>490</v>
      </c>
    </row>
    <row r="119" customFormat="false" ht="15" hidden="false" customHeight="false" outlineLevel="0" collapsed="false">
      <c r="A119" s="3" t="s">
        <v>551</v>
      </c>
      <c r="B119" s="38" t="n">
        <v>9.27235775671648</v>
      </c>
      <c r="C119" s="3" t="s">
        <v>496</v>
      </c>
    </row>
    <row r="120" customFormat="false" ht="15" hidden="false" customHeight="false" outlineLevel="0" collapsed="false">
      <c r="A120" s="3" t="s">
        <v>552</v>
      </c>
      <c r="B120" s="38" t="n">
        <v>1.16825313469652</v>
      </c>
      <c r="C120" s="3" t="s">
        <v>490</v>
      </c>
    </row>
    <row r="121" customFormat="false" ht="15" hidden="false" customHeight="false" outlineLevel="0" collapsed="false">
      <c r="A121" s="3" t="s">
        <v>553</v>
      </c>
      <c r="B121" s="38" t="n">
        <v>0.049995165406856</v>
      </c>
      <c r="C121" s="3" t="s">
        <v>499</v>
      </c>
    </row>
    <row r="122" customFormat="false" ht="15" hidden="false" customHeight="false" outlineLevel="0" collapsed="false">
      <c r="A122" s="3" t="s">
        <v>554</v>
      </c>
      <c r="B122" s="38" t="n">
        <v>0.04726</v>
      </c>
      <c r="C122" s="3" t="s">
        <v>501</v>
      </c>
    </row>
    <row r="123" customFormat="false" ht="15" hidden="false" customHeight="false" outlineLevel="0" collapsed="false">
      <c r="A123" s="3" t="s">
        <v>555</v>
      </c>
      <c r="B123" s="38" t="n">
        <v>1.05926725305699</v>
      </c>
      <c r="C123" s="3" t="s">
        <v>501</v>
      </c>
    </row>
    <row r="124" customFormat="false" ht="15" hidden="false" customHeight="false" outlineLevel="0" collapsed="false">
      <c r="A124" s="3" t="s">
        <v>556</v>
      </c>
      <c r="B124" s="38" t="n">
        <v>0.252</v>
      </c>
      <c r="C124" s="3" t="s">
        <v>490</v>
      </c>
    </row>
    <row r="125" customFormat="false" ht="15" hidden="false" customHeight="false" outlineLevel="0" collapsed="false">
      <c r="A125" s="3" t="s">
        <v>557</v>
      </c>
      <c r="B125" s="38" t="n">
        <v>0.817460317460317</v>
      </c>
      <c r="C125" s="3" t="s">
        <v>490</v>
      </c>
    </row>
    <row r="126" customFormat="false" ht="15" hidden="false" customHeight="false" outlineLevel="0" collapsed="false">
      <c r="A126" s="3" t="s">
        <v>558</v>
      </c>
      <c r="B126" s="38" t="n">
        <v>0.0828877005347594</v>
      </c>
      <c r="C126" s="3" t="s">
        <v>490</v>
      </c>
    </row>
    <row r="127" customFormat="false" ht="15" hidden="false" customHeight="false" outlineLevel="0" collapsed="false">
      <c r="A127" s="3" t="s">
        <v>559</v>
      </c>
      <c r="B127" s="38" t="n">
        <v>9.77451338303679</v>
      </c>
      <c r="C127" s="3" t="s">
        <v>496</v>
      </c>
    </row>
    <row r="128" customFormat="false" ht="15" hidden="false" customHeight="false" outlineLevel="0" collapsed="false">
      <c r="A128" s="3" t="s">
        <v>560</v>
      </c>
      <c r="B128" s="38" t="n">
        <v>0.666097508376208</v>
      </c>
      <c r="C128" s="3" t="s">
        <v>490</v>
      </c>
    </row>
    <row r="129" customFormat="false" ht="15" hidden="false" customHeight="false" outlineLevel="0" collapsed="false">
      <c r="A129" s="3" t="s">
        <v>561</v>
      </c>
      <c r="B129" s="38" t="n">
        <v>0.0499873693338119</v>
      </c>
      <c r="C129" s="3" t="s">
        <v>499</v>
      </c>
    </row>
    <row r="130" customFormat="false" ht="15" hidden="false" customHeight="false" outlineLevel="0" collapsed="false">
      <c r="A130" s="3" t="s">
        <v>562</v>
      </c>
      <c r="B130" s="38" t="n">
        <v>0.05033</v>
      </c>
      <c r="C130" s="3" t="s">
        <v>501</v>
      </c>
    </row>
    <row r="131" customFormat="false" ht="15" hidden="false" customHeight="false" outlineLevel="0" collapsed="false">
      <c r="A131" s="3" t="s">
        <v>563</v>
      </c>
      <c r="B131" s="38" t="n">
        <v>0.482116784213065</v>
      </c>
      <c r="C131" s="3" t="s">
        <v>379</v>
      </c>
    </row>
    <row r="132" customFormat="false" ht="15" hidden="false" customHeight="false" outlineLevel="0" collapsed="false">
      <c r="A132" s="3" t="s">
        <v>564</v>
      </c>
      <c r="B132" s="38" t="n">
        <v>0.475</v>
      </c>
      <c r="C132" s="3" t="s">
        <v>565</v>
      </c>
    </row>
    <row r="133" customFormat="false" ht="15" hidden="false" customHeight="false" outlineLevel="0" collapsed="false">
      <c r="A133" s="3" t="s">
        <v>566</v>
      </c>
      <c r="B133" s="38" t="n">
        <v>0.98</v>
      </c>
      <c r="C133" s="3" t="s">
        <v>565</v>
      </c>
    </row>
    <row r="134" customFormat="false" ht="15" hidden="false" customHeight="false" outlineLevel="0" collapsed="false">
      <c r="A134" s="3" t="s">
        <v>567</v>
      </c>
      <c r="B134" s="38" t="n">
        <v>0.05019745</v>
      </c>
      <c r="C134" s="3" t="s">
        <v>565</v>
      </c>
    </row>
    <row r="135" customFormat="false" ht="15" hidden="false" customHeight="false" outlineLevel="0" collapsed="false">
      <c r="A135" s="3" t="s">
        <v>568</v>
      </c>
      <c r="B135" s="38" t="n">
        <v>0.04754545</v>
      </c>
      <c r="C135" s="3" t="s">
        <v>565</v>
      </c>
    </row>
    <row r="136" customFormat="false" ht="15" hidden="false" customHeight="false" outlineLevel="0" collapsed="false">
      <c r="A136" s="3" t="s">
        <v>569</v>
      </c>
      <c r="B136" s="38" t="n">
        <v>0.052131</v>
      </c>
      <c r="C136" s="3" t="s">
        <v>565</v>
      </c>
    </row>
    <row r="137" customFormat="false" ht="15" hidden="false" customHeight="false" outlineLevel="0" collapsed="false">
      <c r="A137" s="3" t="s">
        <v>570</v>
      </c>
      <c r="B137" s="38" t="n">
        <v>0.048911</v>
      </c>
      <c r="C137" s="3" t="s">
        <v>565</v>
      </c>
    </row>
    <row r="138" customFormat="false" ht="15" hidden="false" customHeight="false" outlineLevel="0" collapsed="false">
      <c r="A138" s="3" t="s">
        <v>571</v>
      </c>
      <c r="B138" s="38" t="n">
        <v>1.53331250360096</v>
      </c>
      <c r="C138" s="3" t="s">
        <v>565</v>
      </c>
    </row>
    <row r="139" customFormat="false" ht="15" hidden="false" customHeight="false" outlineLevel="0" collapsed="false">
      <c r="A139" s="3" t="s">
        <v>572</v>
      </c>
      <c r="B139" s="38" t="n">
        <v>0.950205983073888</v>
      </c>
      <c r="C139" s="3" t="s">
        <v>565</v>
      </c>
    </row>
    <row r="140" customFormat="false" ht="15" hidden="false" customHeight="false" outlineLevel="0" collapsed="false">
      <c r="A140" s="3" t="s">
        <v>573</v>
      </c>
      <c r="B140" s="38" t="n">
        <v>0.559519628455909</v>
      </c>
      <c r="C140" s="3" t="s">
        <v>490</v>
      </c>
    </row>
    <row r="141" customFormat="false" ht="15" hidden="false" customHeight="false" outlineLevel="0" collapsed="false">
      <c r="A141" s="3" t="s">
        <v>574</v>
      </c>
      <c r="B141" s="38" t="n">
        <v>0.804854291597977</v>
      </c>
      <c r="C141" s="3" t="s">
        <v>490</v>
      </c>
    </row>
    <row r="142" customFormat="false" ht="15" hidden="false" customHeight="false" outlineLevel="0" collapsed="false">
      <c r="A142" s="3" t="s">
        <v>575</v>
      </c>
      <c r="B142" s="38" t="n">
        <v>0.905685693804764</v>
      </c>
      <c r="C142" s="3" t="s">
        <v>490</v>
      </c>
    </row>
    <row r="143" customFormat="false" ht="15" hidden="false" customHeight="false" outlineLevel="0" collapsed="false">
      <c r="A143" s="3" t="s">
        <v>576</v>
      </c>
      <c r="B143" s="38" t="n">
        <v>0.960821794741423</v>
      </c>
      <c r="C143" s="3" t="s">
        <v>490</v>
      </c>
    </row>
    <row r="144" customFormat="false" ht="15" hidden="false" customHeight="false" outlineLevel="0" collapsed="false">
      <c r="A144" s="3" t="s">
        <v>577</v>
      </c>
      <c r="B144" s="38" t="n">
        <v>1</v>
      </c>
      <c r="C144" s="3" t="s">
        <v>490</v>
      </c>
    </row>
    <row r="145" customFormat="false" ht="15" hidden="false" customHeight="false" outlineLevel="0" collapsed="false">
      <c r="A145" s="3" t="s">
        <v>578</v>
      </c>
      <c r="B145" s="38" t="n">
        <v>0.724499491133643</v>
      </c>
      <c r="C145" s="3" t="s">
        <v>579</v>
      </c>
    </row>
    <row r="146" customFormat="false" ht="15" hidden="false" customHeight="false" outlineLevel="0" collapsed="false">
      <c r="A146" s="3" t="s">
        <v>580</v>
      </c>
      <c r="B146" s="38" t="n">
        <v>0.918774835172871</v>
      </c>
      <c r="C146" s="3" t="s">
        <v>579</v>
      </c>
    </row>
    <row r="147" customFormat="false" ht="15" hidden="false" customHeight="false" outlineLevel="0" collapsed="false">
      <c r="A147" s="3" t="s">
        <v>581</v>
      </c>
      <c r="B147" s="38" t="n">
        <v>0.924227442124567</v>
      </c>
      <c r="C147" s="3" t="s">
        <v>579</v>
      </c>
    </row>
    <row r="148" customFormat="false" ht="15" hidden="false" customHeight="false" outlineLevel="0" collapsed="false">
      <c r="A148" s="3" t="s">
        <v>582</v>
      </c>
      <c r="B148" s="38" t="n">
        <v>0.577332294292029</v>
      </c>
      <c r="C148" s="3" t="s">
        <v>490</v>
      </c>
    </row>
    <row r="149" customFormat="false" ht="15" hidden="false" customHeight="false" outlineLevel="0" collapsed="false">
      <c r="A149" s="3" t="s">
        <v>583</v>
      </c>
      <c r="B149" s="38" t="n">
        <v>0.510962690956737</v>
      </c>
      <c r="C149" s="3" t="s">
        <v>490</v>
      </c>
    </row>
    <row r="150" customFormat="false" ht="15" hidden="false" customHeight="false" outlineLevel="0" collapsed="false">
      <c r="A150" s="3" t="s">
        <v>584</v>
      </c>
      <c r="B150" s="38" t="n">
        <v>0.914332736717199</v>
      </c>
      <c r="C150" s="3" t="s">
        <v>490</v>
      </c>
    </row>
    <row r="151" customFormat="false" ht="15" hidden="false" customHeight="false" outlineLevel="0" collapsed="false">
      <c r="A151" s="3" t="s">
        <v>585</v>
      </c>
      <c r="B151" s="38" t="n">
        <v>0.489037309043263</v>
      </c>
      <c r="C151" s="3" t="s">
        <v>490</v>
      </c>
    </row>
    <row r="152" customFormat="false" ht="15" hidden="false" customHeight="false" outlineLevel="0" collapsed="false">
      <c r="A152" s="3" t="s">
        <v>586</v>
      </c>
      <c r="B152" s="38" t="n">
        <v>0.910445403636639</v>
      </c>
      <c r="C152" s="3" t="s">
        <v>490</v>
      </c>
    </row>
    <row r="153" customFormat="false" ht="15" hidden="false" customHeight="false" outlineLevel="0" collapsed="false">
      <c r="A153" s="3" t="s">
        <v>587</v>
      </c>
      <c r="B153" s="38" t="n">
        <v>0.301408068062405</v>
      </c>
      <c r="C153" s="3" t="s">
        <v>490</v>
      </c>
    </row>
    <row r="154" customFormat="false" ht="15" hidden="false" customHeight="false" outlineLevel="0" collapsed="false">
      <c r="A154" s="3" t="s">
        <v>588</v>
      </c>
      <c r="B154" s="38" t="n">
        <v>0.697615195729101</v>
      </c>
      <c r="C154" s="3" t="s">
        <v>490</v>
      </c>
    </row>
    <row r="155" customFormat="false" ht="15" hidden="false" customHeight="false" outlineLevel="0" collapsed="false">
      <c r="A155" s="3" t="s">
        <v>589</v>
      </c>
      <c r="B155" s="38" t="n">
        <v>0.698591931937595</v>
      </c>
      <c r="C155" s="3" t="s">
        <v>490</v>
      </c>
    </row>
    <row r="156" customFormat="false" ht="15" hidden="false" customHeight="false" outlineLevel="0" collapsed="false">
      <c r="A156" s="3" t="s">
        <v>590</v>
      </c>
      <c r="B156" s="38" t="n">
        <v>-0.0711454327374366</v>
      </c>
      <c r="C156" s="3" t="s">
        <v>175</v>
      </c>
    </row>
    <row r="157" customFormat="false" ht="15" hidden="false" customHeight="false" outlineLevel="0" collapsed="false">
      <c r="A157" s="3" t="s">
        <v>591</v>
      </c>
      <c r="B157" s="38" t="n">
        <v>0.482221140413608</v>
      </c>
      <c r="C157" s="3" t="s">
        <v>177</v>
      </c>
    </row>
    <row r="158" customFormat="false" ht="15" hidden="false" customHeight="false" outlineLevel="0" collapsed="false">
      <c r="A158" s="3" t="s">
        <v>592</v>
      </c>
      <c r="B158" s="38" t="n">
        <v>1</v>
      </c>
      <c r="C158" s="3" t="s">
        <v>181</v>
      </c>
    </row>
    <row r="159" customFormat="false" ht="15" hidden="false" customHeight="false" outlineLevel="0" collapsed="false">
      <c r="A159" s="3" t="s">
        <v>593</v>
      </c>
      <c r="B159" s="38" t="n">
        <v>1</v>
      </c>
      <c r="C159" s="3" t="s">
        <v>594</v>
      </c>
    </row>
    <row r="160" customFormat="false" ht="15" hidden="false" customHeight="false" outlineLevel="0" collapsed="false">
      <c r="A160" s="3" t="s">
        <v>595</v>
      </c>
      <c r="B160" s="38" t="n">
        <v>-0.412835201237751</v>
      </c>
      <c r="C160" s="3" t="s">
        <v>490</v>
      </c>
    </row>
    <row r="161" customFormat="false" ht="15" hidden="false" customHeight="false" outlineLevel="0" collapsed="false">
      <c r="A161" s="3" t="s">
        <v>596</v>
      </c>
      <c r="B161" s="38" t="n">
        <v>-0.241896019350898</v>
      </c>
      <c r="C161" s="3" t="s">
        <v>490</v>
      </c>
    </row>
    <row r="162" customFormat="false" ht="15" hidden="false" customHeight="false" outlineLevel="0" collapsed="false">
      <c r="A162" s="3" t="s">
        <v>597</v>
      </c>
      <c r="B162" s="38" t="n">
        <v>-0.17630306635323</v>
      </c>
      <c r="C162" s="3" t="s">
        <v>490</v>
      </c>
    </row>
    <row r="163" customFormat="false" ht="15" hidden="false" customHeight="false" outlineLevel="0" collapsed="false">
      <c r="A163" s="3" t="s">
        <v>598</v>
      </c>
      <c r="B163" s="38" t="n">
        <v>0.819817516293644</v>
      </c>
      <c r="C163" s="3" t="s">
        <v>490</v>
      </c>
    </row>
    <row r="164" customFormat="false" ht="15" hidden="false" customHeight="false" outlineLevel="0" collapsed="false">
      <c r="A164" s="3" t="s">
        <v>599</v>
      </c>
      <c r="B164" s="38" t="n">
        <v>2.13127725052707</v>
      </c>
      <c r="C164" s="3" t="s">
        <v>490</v>
      </c>
    </row>
    <row r="165" customFormat="false" ht="15" hidden="false" customHeight="false" outlineLevel="0" collapsed="false">
      <c r="A165" s="3" t="s">
        <v>600</v>
      </c>
      <c r="B165" s="38" t="n">
        <v>2.12006047987884</v>
      </c>
      <c r="C165" s="3" t="s">
        <v>187</v>
      </c>
    </row>
    <row r="166" customFormat="false" ht="15" hidden="false" customHeight="false" outlineLevel="0" collapsed="false">
      <c r="A166" s="3" t="s">
        <v>601</v>
      </c>
      <c r="B166" s="38" t="n">
        <v>2.12006047987884</v>
      </c>
      <c r="C166" s="3" t="s">
        <v>187</v>
      </c>
    </row>
    <row r="167" customFormat="false" ht="15" hidden="false" customHeight="false" outlineLevel="0" collapsed="false">
      <c r="A167" s="3" t="s">
        <v>602</v>
      </c>
      <c r="B167" s="38" t="n">
        <v>2.13127725052707</v>
      </c>
      <c r="C167" s="3" t="s">
        <v>603</v>
      </c>
    </row>
    <row r="168" customFormat="false" ht="15" hidden="false" customHeight="false" outlineLevel="0" collapsed="false">
      <c r="A168" s="3" t="s">
        <v>604</v>
      </c>
      <c r="B168" s="38" t="n">
        <v>-0.831034286941879</v>
      </c>
      <c r="C168" s="3" t="s">
        <v>605</v>
      </c>
    </row>
    <row r="169" customFormat="false" ht="15" hidden="false" customHeight="false" outlineLevel="0" collapsed="false">
      <c r="A169" s="3" t="s">
        <v>606</v>
      </c>
      <c r="B169" s="38" t="n">
        <v>0.8</v>
      </c>
      <c r="C169" s="3" t="s">
        <v>607</v>
      </c>
    </row>
    <row r="170" customFormat="false" ht="15" hidden="false" customHeight="false" outlineLevel="0" collapsed="false">
      <c r="A170" s="3" t="s">
        <v>608</v>
      </c>
      <c r="B170" s="38" t="n">
        <v>1</v>
      </c>
      <c r="C170" s="3" t="s">
        <v>609</v>
      </c>
    </row>
    <row r="171" customFormat="false" ht="15" hidden="false" customHeight="false" outlineLevel="0" collapsed="false">
      <c r="A171" s="3" t="s">
        <v>610</v>
      </c>
      <c r="B171" s="38" t="n">
        <v>0</v>
      </c>
      <c r="C171" s="3" t="s">
        <v>501</v>
      </c>
    </row>
    <row r="172" customFormat="false" ht="15" hidden="false" customHeight="false" outlineLevel="0" collapsed="false">
      <c r="A172" s="3" t="s">
        <v>611</v>
      </c>
      <c r="B172" s="38" t="n">
        <v>4.907</v>
      </c>
      <c r="C172" s="3" t="s">
        <v>501</v>
      </c>
    </row>
    <row r="173" customFormat="false" ht="15" hidden="false" customHeight="false" outlineLevel="0" collapsed="false">
      <c r="A173" s="3" t="s">
        <v>612</v>
      </c>
      <c r="B173" s="38" t="n">
        <v>0</v>
      </c>
      <c r="C173" s="3" t="s">
        <v>501</v>
      </c>
    </row>
    <row r="174" customFormat="false" ht="15" hidden="false" customHeight="false" outlineLevel="0" collapsed="false">
      <c r="A174" s="3" t="s">
        <v>613</v>
      </c>
      <c r="B174" s="38" t="n">
        <v>25.96</v>
      </c>
      <c r="C174" s="3" t="s">
        <v>501</v>
      </c>
    </row>
    <row r="175" customFormat="false" ht="15" hidden="false" customHeight="false" outlineLevel="0" collapsed="false">
      <c r="A175" s="3" t="s">
        <v>614</v>
      </c>
      <c r="B175" s="38" t="n">
        <v>4.11798179468523</v>
      </c>
      <c r="C175" s="3" t="s">
        <v>501</v>
      </c>
    </row>
    <row r="176" customFormat="false" ht="15" hidden="false" customHeight="false" outlineLevel="0" collapsed="false">
      <c r="A176" s="3" t="s">
        <v>615</v>
      </c>
      <c r="B176" s="38" t="n">
        <v>4.913</v>
      </c>
      <c r="C176" s="3" t="s">
        <v>501</v>
      </c>
    </row>
    <row r="177" customFormat="false" ht="15" hidden="false" customHeight="false" outlineLevel="0" collapsed="false">
      <c r="A177" s="3" t="s">
        <v>616</v>
      </c>
      <c r="B177" s="38" t="n">
        <v>4.11528504588426</v>
      </c>
      <c r="C177" s="3" t="s">
        <v>501</v>
      </c>
    </row>
    <row r="178" customFormat="false" ht="15" hidden="false" customHeight="false" outlineLevel="0" collapsed="false">
      <c r="A178" s="3" t="s">
        <v>617</v>
      </c>
      <c r="B178" s="38" t="n">
        <v>58.94</v>
      </c>
      <c r="C178" s="3" t="s">
        <v>501</v>
      </c>
    </row>
    <row r="179" customFormat="false" ht="15" hidden="false" customHeight="false" outlineLevel="0" collapsed="false">
      <c r="A179" s="3" t="s">
        <v>618</v>
      </c>
      <c r="B179" s="38" t="n">
        <v>1.43688179317372</v>
      </c>
      <c r="C179" s="3" t="s">
        <v>501</v>
      </c>
    </row>
    <row r="180" customFormat="false" ht="15" hidden="false" customHeight="false" outlineLevel="0" collapsed="false">
      <c r="A180" s="3" t="s">
        <v>619</v>
      </c>
      <c r="B180" s="38" t="n">
        <v>4.898</v>
      </c>
      <c r="C180" s="3" t="s">
        <v>501</v>
      </c>
    </row>
    <row r="181" customFormat="false" ht="15" hidden="false" customHeight="false" outlineLevel="0" collapsed="false">
      <c r="A181" s="3" t="s">
        <v>620</v>
      </c>
      <c r="B181" s="38" t="n">
        <v>1.43218182601976</v>
      </c>
      <c r="C181" s="3" t="s">
        <v>501</v>
      </c>
    </row>
    <row r="182" customFormat="false" ht="15" hidden="false" customHeight="false" outlineLevel="0" collapsed="false">
      <c r="A182" s="3" t="s">
        <v>621</v>
      </c>
      <c r="B182" s="38" t="n">
        <v>22.924</v>
      </c>
      <c r="C182" s="3" t="s">
        <v>501</v>
      </c>
    </row>
    <row r="183" customFormat="false" ht="15" hidden="false" customHeight="false" outlineLevel="0" collapsed="false">
      <c r="A183" s="3" t="s">
        <v>622</v>
      </c>
      <c r="B183" s="38" t="n">
        <v>0.52733216894058</v>
      </c>
      <c r="C183" s="3" t="s">
        <v>501</v>
      </c>
    </row>
    <row r="184" customFormat="false" ht="15" hidden="false" customHeight="false" outlineLevel="0" collapsed="false">
      <c r="A184" s="3" t="s">
        <v>623</v>
      </c>
      <c r="B184" s="38" t="n">
        <v>4.898</v>
      </c>
      <c r="C184" s="3" t="s">
        <v>501</v>
      </c>
    </row>
    <row r="185" customFormat="false" ht="15" hidden="false" customHeight="false" outlineLevel="0" collapsed="false">
      <c r="A185" s="3" t="s">
        <v>624</v>
      </c>
      <c r="B185" s="38" t="n">
        <v>0.529115528093161</v>
      </c>
      <c r="C185" s="3" t="s">
        <v>501</v>
      </c>
    </row>
    <row r="186" customFormat="false" ht="15" hidden="false" customHeight="false" outlineLevel="0" collapsed="false">
      <c r="A186" s="3" t="s">
        <v>625</v>
      </c>
      <c r="B186" s="38" t="n">
        <v>58.646</v>
      </c>
      <c r="C186" s="3" t="s">
        <v>501</v>
      </c>
    </row>
    <row r="187" customFormat="false" ht="15" hidden="false" customHeight="false" outlineLevel="0" collapsed="false">
      <c r="A187" s="3" t="s">
        <v>626</v>
      </c>
      <c r="B187" s="38" t="n">
        <v>1.43648066559962</v>
      </c>
      <c r="C187" s="3" t="s">
        <v>501</v>
      </c>
    </row>
    <row r="188" customFormat="false" ht="15" hidden="false" customHeight="false" outlineLevel="0" collapsed="false">
      <c r="A188" s="3" t="s">
        <v>627</v>
      </c>
      <c r="B188" s="38" t="n">
        <v>4.928</v>
      </c>
      <c r="C188" s="3" t="s">
        <v>501</v>
      </c>
    </row>
    <row r="189" customFormat="false" ht="15" hidden="false" customHeight="false" outlineLevel="0" collapsed="false">
      <c r="A189" s="3" t="s">
        <v>628</v>
      </c>
      <c r="B189" s="38" t="n">
        <v>1.4584076055193</v>
      </c>
      <c r="C189" s="3" t="s">
        <v>501</v>
      </c>
    </row>
    <row r="190" customFormat="false" ht="15" hidden="false" customHeight="false" outlineLevel="0" collapsed="false">
      <c r="A190" s="3" t="s">
        <v>629</v>
      </c>
      <c r="B190" s="38" t="n">
        <v>60.891</v>
      </c>
      <c r="C190" s="3" t="s">
        <v>501</v>
      </c>
    </row>
    <row r="191" customFormat="false" ht="15" hidden="false" customHeight="false" outlineLevel="0" collapsed="false">
      <c r="A191" s="3" t="s">
        <v>630</v>
      </c>
      <c r="B191" s="38" t="n">
        <v>1.73148325347217</v>
      </c>
      <c r="C191" s="3" t="s">
        <v>501</v>
      </c>
    </row>
    <row r="192" customFormat="false" ht="15" hidden="false" customHeight="false" outlineLevel="0" collapsed="false">
      <c r="A192" s="3" t="s">
        <v>631</v>
      </c>
      <c r="B192" s="38" t="n">
        <v>5.019</v>
      </c>
      <c r="C192" s="3" t="s">
        <v>501</v>
      </c>
    </row>
    <row r="193" customFormat="false" ht="15" hidden="false" customHeight="false" outlineLevel="0" collapsed="false">
      <c r="A193" s="3" t="s">
        <v>632</v>
      </c>
      <c r="B193" s="38" t="n">
        <v>1.62748320723307</v>
      </c>
      <c r="C193" s="3" t="s">
        <v>501</v>
      </c>
    </row>
    <row r="194" customFormat="false" ht="15" hidden="false" customHeight="false" outlineLevel="0" collapsed="false">
      <c r="A194" s="3" t="s">
        <v>633</v>
      </c>
      <c r="B194" s="38" t="n">
        <v>60.891</v>
      </c>
      <c r="C194" s="3" t="s">
        <v>501</v>
      </c>
    </row>
    <row r="195" customFormat="false" ht="15" hidden="false" customHeight="false" outlineLevel="0" collapsed="false">
      <c r="A195" s="3" t="s">
        <v>634</v>
      </c>
      <c r="B195" s="38" t="n">
        <v>1.16825313469652</v>
      </c>
      <c r="C195" s="3" t="s">
        <v>501</v>
      </c>
    </row>
    <row r="196" customFormat="false" ht="15" hidden="false" customHeight="false" outlineLevel="0" collapsed="false">
      <c r="A196" s="3" t="s">
        <v>635</v>
      </c>
      <c r="B196" s="38" t="n">
        <v>4.726</v>
      </c>
      <c r="C196" s="3" t="s">
        <v>501</v>
      </c>
    </row>
    <row r="197" customFormat="false" ht="15" hidden="false" customHeight="false" outlineLevel="0" collapsed="false">
      <c r="A197" s="3" t="s">
        <v>636</v>
      </c>
      <c r="B197" s="38" t="n">
        <v>1.05926725305699</v>
      </c>
      <c r="C197" s="3" t="s">
        <v>501</v>
      </c>
    </row>
    <row r="198" customFormat="false" ht="15" hidden="false" customHeight="false" outlineLevel="0" collapsed="false">
      <c r="A198" s="3" t="s">
        <v>637</v>
      </c>
      <c r="B198" s="38" t="n">
        <v>35.72</v>
      </c>
      <c r="C198" s="3" t="s">
        <v>501</v>
      </c>
    </row>
    <row r="199" customFormat="false" ht="15" hidden="false" customHeight="false" outlineLevel="0" collapsed="false">
      <c r="A199" s="3" t="s">
        <v>638</v>
      </c>
      <c r="B199" s="38" t="n">
        <v>4.0377386011349</v>
      </c>
      <c r="C199" s="3" t="s">
        <v>501</v>
      </c>
    </row>
    <row r="200" customFormat="false" ht="15" hidden="false" customHeight="false" outlineLevel="0" collapsed="false">
      <c r="A200" s="3" t="s">
        <v>639</v>
      </c>
      <c r="B200" s="38" t="n">
        <v>7.676</v>
      </c>
      <c r="C200" s="3" t="s">
        <v>501</v>
      </c>
    </row>
    <row r="201" customFormat="false" ht="15" hidden="false" customHeight="false" outlineLevel="0" collapsed="false">
      <c r="A201" s="3" t="s">
        <v>640</v>
      </c>
      <c r="B201" s="38" t="n">
        <v>68.309</v>
      </c>
      <c r="C201" s="3" t="s">
        <v>501</v>
      </c>
    </row>
    <row r="202" customFormat="false" ht="15" hidden="false" customHeight="false" outlineLevel="0" collapsed="false">
      <c r="A202" s="3" t="s">
        <v>641</v>
      </c>
      <c r="B202" s="38" t="n">
        <v>1.16286073105743</v>
      </c>
      <c r="C202" s="3" t="s">
        <v>501</v>
      </c>
    </row>
    <row r="203" customFormat="false" ht="15" hidden="false" customHeight="false" outlineLevel="0" collapsed="false">
      <c r="A203" s="3" t="s">
        <v>642</v>
      </c>
      <c r="B203" s="38" t="n">
        <v>4.96</v>
      </c>
      <c r="C203" s="3" t="s">
        <v>501</v>
      </c>
    </row>
    <row r="204" customFormat="false" ht="15" hidden="false" customHeight="false" outlineLevel="0" collapsed="false">
      <c r="A204" s="3" t="s">
        <v>643</v>
      </c>
      <c r="B204" s="38" t="n">
        <v>0.590833630751908</v>
      </c>
      <c r="C204" s="3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11"/>
    <col collapsed="false" customWidth="true" hidden="false" outlineLevel="0" max="6" min="6" style="1" width="10"/>
  </cols>
  <sheetData>
    <row r="1" customFormat="false" ht="15" hidden="false" customHeight="false" outlineLevel="0" collapsed="false">
      <c r="A1" s="9" t="s">
        <v>395</v>
      </c>
      <c r="B1" s="9" t="s">
        <v>644</v>
      </c>
      <c r="C1" s="9" t="s">
        <v>396</v>
      </c>
      <c r="D1" s="9" t="s">
        <v>645</v>
      </c>
      <c r="E1" s="9" t="s">
        <v>646</v>
      </c>
      <c r="F1" s="9" t="s">
        <v>647</v>
      </c>
    </row>
    <row r="2" customFormat="false" ht="15" hidden="false" customHeight="false" outlineLevel="0" collapsed="false">
      <c r="A2" s="3" t="s">
        <v>398</v>
      </c>
      <c r="B2" s="39" t="n">
        <f aca="false">PClose</f>
        <v>0.259181779318282</v>
      </c>
      <c r="C2" s="40" t="n">
        <f aca="false">Reference_Values!B2</f>
        <v>0.259181779318282</v>
      </c>
      <c r="D2" s="41" t="n">
        <f aca="false">ABS(B2-C2)</f>
        <v>0</v>
      </c>
      <c r="E2" s="42" t="n">
        <v>1E-012</v>
      </c>
      <c r="F2" s="5" t="str">
        <f aca="false">IF(D2&lt;=E2,"PASS","FAIL")</f>
        <v>PASS</v>
      </c>
    </row>
    <row r="3" customFormat="false" ht="15" hidden="false" customHeight="false" outlineLevel="0" collapsed="false">
      <c r="A3" s="3" t="s">
        <v>48</v>
      </c>
      <c r="B3" s="39" t="n">
        <f aca="false">CostV1</f>
        <v>10.440610891413</v>
      </c>
      <c r="C3" s="40" t="n">
        <f aca="false">Reference_Values!B3</f>
        <v>10.440610891413</v>
      </c>
      <c r="D3" s="41" t="n">
        <f aca="false">ABS(B3-C3)</f>
        <v>0</v>
      </c>
      <c r="E3" s="42" t="n">
        <v>1E-009</v>
      </c>
      <c r="F3" s="5" t="str">
        <f aca="false">IF(D3&lt;=E3,"PASS","FAIL")</f>
        <v>PASS</v>
      </c>
    </row>
    <row r="4" customFormat="false" ht="15" hidden="false" customHeight="false" outlineLevel="0" collapsed="false">
      <c r="A4" s="3" t="s">
        <v>401</v>
      </c>
      <c r="B4" s="39" t="n">
        <f aca="false">Designs!X5</f>
        <v>0.05</v>
      </c>
      <c r="C4" s="40" t="n">
        <f aca="false">Reference_Values!B4</f>
        <v>0.05</v>
      </c>
      <c r="D4" s="41" t="n">
        <f aca="false">ABS(B4-C4)</f>
        <v>0</v>
      </c>
      <c r="E4" s="42" t="n">
        <v>1E-012</v>
      </c>
      <c r="F4" s="5" t="str">
        <f aca="false">IF(D4&lt;=E4,"PASS","FAIL")</f>
        <v>PASS</v>
      </c>
    </row>
    <row r="5" customFormat="false" ht="15" hidden="false" customHeight="false" outlineLevel="0" collapsed="false">
      <c r="A5" s="3" t="s">
        <v>403</v>
      </c>
      <c r="B5" s="39" t="n">
        <f aca="false">Designs!AC5</f>
        <v>0.04907</v>
      </c>
      <c r="C5" s="40" t="n">
        <f aca="false">Reference_Values!B5</f>
        <v>0.04907</v>
      </c>
      <c r="D5" s="41" t="n">
        <f aca="false">ABS(B5-C5)</f>
        <v>0</v>
      </c>
      <c r="E5" s="42" t="n">
        <v>1E-012</v>
      </c>
      <c r="F5" s="5" t="str">
        <f aca="false">IF(D5&lt;=E5,"PASS","FAIL")</f>
        <v>PASS</v>
      </c>
    </row>
    <row r="6" customFormat="false" ht="15" hidden="false" customHeight="false" outlineLevel="0" collapsed="false">
      <c r="A6" s="3" t="s">
        <v>405</v>
      </c>
      <c r="B6" s="39" t="n">
        <f aca="false">Designs!L6</f>
        <v>4.86683420233348</v>
      </c>
      <c r="C6" s="40" t="n">
        <f aca="false">Reference_Values!B6</f>
        <v>4.86683420233348</v>
      </c>
      <c r="D6" s="41" t="n">
        <f aca="false">ABS(B6-C6)</f>
        <v>0</v>
      </c>
      <c r="E6" s="42" t="n">
        <v>1E-009</v>
      </c>
      <c r="F6" s="5" t="str">
        <f aca="false">IF(D6&lt;=E6,"PASS","FAIL")</f>
        <v>PASS</v>
      </c>
    </row>
    <row r="7" customFormat="false" ht="15" hidden="false" customHeight="false" outlineLevel="0" collapsed="false">
      <c r="A7" s="3" t="s">
        <v>407</v>
      </c>
      <c r="B7" s="39" t="n">
        <f aca="false">Designs!O6</f>
        <v>10.4850608710364</v>
      </c>
      <c r="C7" s="40" t="n">
        <f aca="false">Reference_Values!B7</f>
        <v>10.4850608710364</v>
      </c>
      <c r="D7" s="41" t="n">
        <f aca="false">ABS(B7-C7)</f>
        <v>4.61852778244065E-014</v>
      </c>
      <c r="E7" s="42" t="n">
        <v>1E-009</v>
      </c>
      <c r="F7" s="5" t="str">
        <f aca="false">IF(D7&lt;=E7,"PASS","FAIL")</f>
        <v>PASS</v>
      </c>
    </row>
    <row r="8" customFormat="false" ht="15" hidden="false" customHeight="false" outlineLevel="0" collapsed="false">
      <c r="A8" s="3" t="s">
        <v>409</v>
      </c>
      <c r="B8" s="39" t="n">
        <f aca="false">Designs!V6</f>
        <v>0.0474975704567541</v>
      </c>
      <c r="C8" s="40" t="n">
        <f aca="false">Reference_Values!B8</f>
        <v>0.0474975704567541</v>
      </c>
      <c r="D8" s="41" t="n">
        <f aca="false">ABS(B8-C8)</f>
        <v>0</v>
      </c>
      <c r="E8" s="42" t="n">
        <v>1E-012</v>
      </c>
      <c r="F8" s="5" t="str">
        <f aca="false">IF(D8&lt;=E8,"PASS","FAIL")</f>
        <v>PASS</v>
      </c>
    </row>
    <row r="9" customFormat="false" ht="15" hidden="false" customHeight="false" outlineLevel="0" collapsed="false">
      <c r="A9" s="3" t="s">
        <v>411</v>
      </c>
      <c r="B9" s="39" t="n">
        <f aca="false">Designs!W6</f>
        <v>0.0571163939487496</v>
      </c>
      <c r="C9" s="40" t="n">
        <f aca="false">Reference_Values!B9</f>
        <v>0.0571163939487496</v>
      </c>
      <c r="D9" s="41" t="n">
        <f aca="false">ABS(B9-C9)</f>
        <v>0</v>
      </c>
      <c r="E9" s="42" t="n">
        <v>1E-012</v>
      </c>
      <c r="F9" s="5" t="str">
        <f aca="false">IF(D9&lt;=E9,"PASS","FAIL")</f>
        <v>PASS</v>
      </c>
    </row>
    <row r="10" customFormat="false" ht="15" hidden="false" customHeight="false" outlineLevel="0" collapsed="false">
      <c r="A10" s="3" t="s">
        <v>413</v>
      </c>
      <c r="B10" s="39" t="n">
        <f aca="false">Designs!P6</f>
        <v>6.32262909672777</v>
      </c>
      <c r="C10" s="40" t="n">
        <f aca="false">Reference_Values!B10</f>
        <v>6.32262909672777</v>
      </c>
      <c r="D10" s="41" t="n">
        <f aca="false">ABS(B10-C10)</f>
        <v>0</v>
      </c>
      <c r="E10" s="42" t="n">
        <v>1E-009</v>
      </c>
      <c r="F10" s="5" t="str">
        <f aca="false">IF(D10&lt;=E10,"PASS","FAIL")</f>
        <v>PASS</v>
      </c>
    </row>
    <row r="11" customFormat="false" ht="15" hidden="false" customHeight="false" outlineLevel="0" collapsed="false">
      <c r="A11" s="3" t="s">
        <v>415</v>
      </c>
      <c r="B11" s="39" t="n">
        <f aca="false">Designs!Q6</f>
        <v>4.11798179468523</v>
      </c>
      <c r="C11" s="40" t="n">
        <f aca="false">Reference_Values!B11</f>
        <v>4.11798179468523</v>
      </c>
      <c r="D11" s="41" t="n">
        <f aca="false">ABS(B11-C11)</f>
        <v>0</v>
      </c>
      <c r="E11" s="42" t="n">
        <v>1E-009</v>
      </c>
      <c r="F11" s="5" t="str">
        <f aca="false">IF(D11&lt;=E11,"PASS","FAIL")</f>
        <v>PASS</v>
      </c>
    </row>
    <row r="12" customFormat="false" ht="15" hidden="false" customHeight="false" outlineLevel="0" collapsed="false">
      <c r="A12" s="3" t="s">
        <v>417</v>
      </c>
      <c r="B12" s="39" t="n">
        <f aca="false">Designs!AD6</f>
        <v>6.32532584552875</v>
      </c>
      <c r="C12" s="40" t="n">
        <f aca="false">Reference_Values!B12</f>
        <v>6.32532584552874</v>
      </c>
      <c r="D12" s="41" t="n">
        <f aca="false">ABS(B12-C12)</f>
        <v>0</v>
      </c>
      <c r="E12" s="42" t="n">
        <v>1E-009</v>
      </c>
      <c r="F12" s="5" t="str">
        <f aca="false">IF(D12&lt;=E12,"PASS","FAIL")</f>
        <v>PASS</v>
      </c>
    </row>
    <row r="13" customFormat="false" ht="15" hidden="false" customHeight="false" outlineLevel="0" collapsed="false">
      <c r="A13" s="3" t="s">
        <v>419</v>
      </c>
      <c r="B13" s="39" t="n">
        <f aca="false">Law!B18</f>
        <v>-0.323193691071207</v>
      </c>
      <c r="C13" s="40" t="n">
        <f aca="false">Reference_Values!B13</f>
        <v>-0.323193691071208</v>
      </c>
      <c r="D13" s="41" t="n">
        <f aca="false">ABS(B13-C13)</f>
        <v>0</v>
      </c>
      <c r="E13" s="42" t="n">
        <v>1E-009</v>
      </c>
      <c r="F13" s="5" t="str">
        <f aca="false">IF(D13&lt;=E13,"PASS","FAIL")</f>
        <v>PASS</v>
      </c>
    </row>
    <row r="14" customFormat="false" ht="15" hidden="false" customHeight="false" outlineLevel="0" collapsed="false">
      <c r="A14" s="3" t="s">
        <v>421</v>
      </c>
      <c r="B14" s="39" t="n">
        <f aca="false">Law!C18</f>
        <v>-0.158942066498499</v>
      </c>
      <c r="C14" s="40" t="n">
        <f aca="false">Reference_Values!B14</f>
        <v>-0.158942066498499</v>
      </c>
      <c r="D14" s="41" t="n">
        <f aca="false">ABS(B14-C14)</f>
        <v>0</v>
      </c>
      <c r="E14" s="42" t="n">
        <v>1E-009</v>
      </c>
      <c r="F14" s="5" t="str">
        <f aca="false">IF(D14&lt;=E14,"PASS","FAIL")</f>
        <v>PASS</v>
      </c>
    </row>
    <row r="15" customFormat="false" ht="15" hidden="false" customHeight="false" outlineLevel="0" collapsed="false">
      <c r="A15" s="3" t="s">
        <v>422</v>
      </c>
      <c r="B15" s="39" t="n">
        <f aca="false">Law!D18</f>
        <v>-0.35223901556427</v>
      </c>
      <c r="C15" s="40" t="n">
        <f aca="false">Reference_Values!B15</f>
        <v>-0.35223901556427</v>
      </c>
      <c r="D15" s="41" t="n">
        <f aca="false">ABS(B15-C15)</f>
        <v>0</v>
      </c>
      <c r="E15" s="42" t="n">
        <v>1E-009</v>
      </c>
      <c r="F15" s="5" t="str">
        <f aca="false">IF(D15&lt;=E15,"PASS","FAIL")</f>
        <v>PASS</v>
      </c>
    </row>
    <row r="16" customFormat="false" ht="15" hidden="false" customHeight="false" outlineLevel="0" collapsed="false">
      <c r="A16" s="3" t="s">
        <v>423</v>
      </c>
      <c r="B16" s="39" t="n">
        <f aca="false">Law!E18</f>
        <v>0.769367915308824</v>
      </c>
      <c r="C16" s="40" t="n">
        <f aca="false">Reference_Values!B16</f>
        <v>0.769367915308823</v>
      </c>
      <c r="D16" s="41" t="n">
        <f aca="false">ABS(B16-C16)</f>
        <v>0</v>
      </c>
      <c r="E16" s="42" t="n">
        <v>1E-009</v>
      </c>
      <c r="F16" s="5" t="str">
        <f aca="false">IF(D16&lt;=E16,"PASS","FAIL")</f>
        <v>PASS</v>
      </c>
    </row>
    <row r="17" customFormat="false" ht="15" hidden="false" customHeight="false" outlineLevel="0" collapsed="false">
      <c r="A17" s="3" t="s">
        <v>424</v>
      </c>
      <c r="B17" s="39" t="n">
        <f aca="false">Law!F18</f>
        <v>1.97384366252618</v>
      </c>
      <c r="C17" s="40" t="n">
        <f aca="false">Reference_Values!B17</f>
        <v>1.97384366252618</v>
      </c>
      <c r="D17" s="41" t="n">
        <f aca="false">ABS(B17-C17)</f>
        <v>0</v>
      </c>
      <c r="E17" s="42" t="n">
        <v>1E-009</v>
      </c>
      <c r="F17" s="5" t="str">
        <f aca="false">IF(D17&lt;=E17,"PASS","FAIL")</f>
        <v>PASS</v>
      </c>
    </row>
    <row r="18" customFormat="false" ht="15" hidden="false" customHeight="false" outlineLevel="0" collapsed="false">
      <c r="A18" s="3" t="s">
        <v>425</v>
      </c>
      <c r="B18" s="39" t="n">
        <f aca="false">Law!B19</f>
        <v>2.02866722450698</v>
      </c>
      <c r="C18" s="40" t="n">
        <f aca="false">Reference_Values!B18</f>
        <v>2.02866722450698</v>
      </c>
      <c r="D18" s="41" t="n">
        <f aca="false">ABS(B18-C18)</f>
        <v>0</v>
      </c>
      <c r="E18" s="42" t="n">
        <v>1E-009</v>
      </c>
      <c r="F18" s="5" t="str">
        <f aca="false">IF(D18&lt;=E18,"PASS","FAIL")</f>
        <v>PASS</v>
      </c>
    </row>
    <row r="19" customFormat="false" ht="15" hidden="false" customHeight="false" outlineLevel="0" collapsed="false">
      <c r="A19" s="3" t="s">
        <v>426</v>
      </c>
      <c r="B19" s="39" t="n">
        <f aca="false">Law!B20</f>
        <v>0.924282954185725</v>
      </c>
      <c r="C19" s="40" t="n">
        <f aca="false">Reference_Values!B19</f>
        <v>0.924282954185725</v>
      </c>
      <c r="D19" s="41" t="n">
        <f aca="false">ABS(B19-C19)</f>
        <v>0</v>
      </c>
      <c r="E19" s="42" t="n">
        <v>1E-009</v>
      </c>
      <c r="F19" s="5" t="str">
        <f aca="false">IF(D19&lt;=E19,"PASS","FAIL")</f>
        <v>PASS</v>
      </c>
    </row>
    <row r="20" customFormat="false" ht="15" hidden="false" customHeight="false" outlineLevel="0" collapsed="false">
      <c r="A20" s="3" t="s">
        <v>428</v>
      </c>
      <c r="B20" s="39" t="n">
        <f aca="false">Law!B28</f>
        <v>0.588639457126435</v>
      </c>
      <c r="C20" s="40" t="n">
        <f aca="false">Reference_Values!B20</f>
        <v>0.588639457126435</v>
      </c>
      <c r="D20" s="41" t="n">
        <f aca="false">ABS(B20-C20)</f>
        <v>0</v>
      </c>
      <c r="E20" s="42" t="n">
        <v>1E-009</v>
      </c>
      <c r="F20" s="5" t="str">
        <f aca="false">IF(D20&lt;=E20,"PASS","FAIL")</f>
        <v>PASS</v>
      </c>
    </row>
    <row r="21" customFormat="false" ht="15" hidden="false" customHeight="false" outlineLevel="0" collapsed="false">
      <c r="A21" s="3" t="s">
        <v>429</v>
      </c>
      <c r="B21" s="39" t="n">
        <f aca="false">Law!B29</f>
        <v>0.427968887532521</v>
      </c>
      <c r="C21" s="40" t="n">
        <f aca="false">Reference_Values!B21</f>
        <v>0.42796888753252</v>
      </c>
      <c r="D21" s="41" t="n">
        <f aca="false">ABS(B21-C21)</f>
        <v>0</v>
      </c>
      <c r="E21" s="42" t="n">
        <v>1E-009</v>
      </c>
      <c r="F21" s="5" t="str">
        <f aca="false">IF(D21&lt;=E21,"PASS","FAIL")</f>
        <v>PASS</v>
      </c>
    </row>
    <row r="22" customFormat="false" ht="15" hidden="false" customHeight="false" outlineLevel="0" collapsed="false">
      <c r="A22" s="3" t="s">
        <v>430</v>
      </c>
      <c r="B22" s="39" t="n">
        <f aca="false">Law!B30</f>
        <v>0.0175044167472963</v>
      </c>
      <c r="C22" s="40" t="n">
        <f aca="false">Reference_Values!B22</f>
        <v>0.0175044167472963</v>
      </c>
      <c r="D22" s="41" t="n">
        <f aca="false">ABS(B22-C22)</f>
        <v>0</v>
      </c>
      <c r="E22" s="42" t="n">
        <v>1E-009</v>
      </c>
      <c r="F22" s="5" t="str">
        <f aca="false">IF(D22&lt;=E22,"PASS","FAIL")</f>
        <v>PASS</v>
      </c>
    </row>
    <row r="23" customFormat="false" ht="15" hidden="false" customHeight="false" outlineLevel="0" collapsed="false">
      <c r="A23" s="3" t="s">
        <v>431</v>
      </c>
      <c r="B23" s="39" t="n">
        <f aca="false">Designs!L7</f>
        <v>5.36608260890134</v>
      </c>
      <c r="C23" s="40" t="n">
        <f aca="false">Reference_Values!B23</f>
        <v>5.36608260890134</v>
      </c>
      <c r="D23" s="41" t="n">
        <f aca="false">ABS(B23-C23)</f>
        <v>0</v>
      </c>
      <c r="E23" s="42" t="n">
        <v>1E-009</v>
      </c>
      <c r="F23" s="5" t="str">
        <f aca="false">IF(D23&lt;=E23,"PASS","FAIL")</f>
        <v>PASS</v>
      </c>
    </row>
    <row r="24" customFormat="false" ht="15" hidden="false" customHeight="false" outlineLevel="0" collapsed="false">
      <c r="A24" s="3" t="s">
        <v>433</v>
      </c>
      <c r="B24" s="39" t="n">
        <f aca="false">Designs!O7</f>
        <v>11.5458356738689</v>
      </c>
      <c r="C24" s="40" t="n">
        <f aca="false">Reference_Values!B24</f>
        <v>11.5458356738689</v>
      </c>
      <c r="D24" s="41" t="n">
        <f aca="false">ABS(B24-C24)</f>
        <v>0</v>
      </c>
      <c r="E24" s="42" t="n">
        <v>1E-009</v>
      </c>
      <c r="F24" s="5" t="str">
        <f aca="false">IF(D24&lt;=E24,"PASS","FAIL")</f>
        <v>PASS</v>
      </c>
    </row>
    <row r="25" customFormat="false" ht="15" hidden="false" customHeight="false" outlineLevel="0" collapsed="false">
      <c r="A25" s="3" t="s">
        <v>435</v>
      </c>
      <c r="B25" s="39" t="n">
        <f aca="false">Designs!P7</f>
        <v>9.00372909823929</v>
      </c>
      <c r="C25" s="40" t="n">
        <f aca="false">Reference_Values!B25</f>
        <v>9.00372909823928</v>
      </c>
      <c r="D25" s="41" t="n">
        <f aca="false">ABS(B25-C25)</f>
        <v>0</v>
      </c>
      <c r="E25" s="42" t="n">
        <v>1E-007</v>
      </c>
      <c r="F25" s="5" t="str">
        <f aca="false">IF(D25&lt;=E25,"PASS","FAIL")</f>
        <v>PASS</v>
      </c>
    </row>
    <row r="26" customFormat="false" ht="15" hidden="false" customHeight="false" outlineLevel="0" collapsed="false">
      <c r="A26" s="3" t="s">
        <v>437</v>
      </c>
      <c r="B26" s="39" t="n">
        <f aca="false">Designs!Q7</f>
        <v>1.43688179317371</v>
      </c>
      <c r="C26" s="40" t="n">
        <f aca="false">Reference_Values!B26</f>
        <v>1.43688179317372</v>
      </c>
      <c r="D26" s="41" t="n">
        <f aca="false">ABS(B26-C26)</f>
        <v>5.10702591327572E-015</v>
      </c>
      <c r="E26" s="42" t="n">
        <v>1E-007</v>
      </c>
      <c r="F26" s="5" t="str">
        <f aca="false">IF(D26&lt;=E26,"PASS","FAIL")</f>
        <v>PASS</v>
      </c>
    </row>
    <row r="27" customFormat="false" ht="15" hidden="false" customHeight="false" outlineLevel="0" collapsed="false">
      <c r="A27" s="3" t="s">
        <v>439</v>
      </c>
      <c r="B27" s="39" t="n">
        <f aca="false">Designs!X7</f>
        <v>0.0499903708123859</v>
      </c>
      <c r="C27" s="40" t="n">
        <f aca="false">Reference_Values!B27</f>
        <v>0.0499903708123859</v>
      </c>
      <c r="D27" s="41" t="n">
        <f aca="false">ABS(B27-C27)</f>
        <v>0</v>
      </c>
      <c r="E27" s="42" t="n">
        <v>1E-009</v>
      </c>
      <c r="F27" s="5" t="str">
        <f aca="false">IF(D27&lt;=E27,"PASS","FAIL")</f>
        <v>PASS</v>
      </c>
    </row>
    <row r="28" customFormat="false" ht="15" hidden="false" customHeight="false" outlineLevel="0" collapsed="false">
      <c r="A28" s="3" t="s">
        <v>441</v>
      </c>
      <c r="B28" s="39" t="n">
        <f aca="false">Designs!Z7</f>
        <v>0.5894</v>
      </c>
      <c r="C28" s="40" t="n">
        <f aca="false">Reference_Values!B28</f>
        <v>0.5894</v>
      </c>
      <c r="D28" s="41" t="n">
        <f aca="false">ABS(B28-C28)</f>
        <v>0</v>
      </c>
      <c r="E28" s="42" t="n">
        <v>1E-012</v>
      </c>
      <c r="F28" s="5" t="str">
        <f aca="false">IF(D28&lt;=E28,"PASS","FAIL")</f>
        <v>PASS</v>
      </c>
    </row>
    <row r="29" customFormat="false" ht="15" hidden="false" customHeight="false" outlineLevel="0" collapsed="false">
      <c r="A29" s="3" t="s">
        <v>443</v>
      </c>
      <c r="B29" s="39" t="n">
        <f aca="false">Designs!AC7</f>
        <v>0.04898</v>
      </c>
      <c r="C29" s="40" t="n">
        <f aca="false">Reference_Values!B29</f>
        <v>0.04898</v>
      </c>
      <c r="D29" s="41" t="n">
        <f aca="false">ABS(B29-C29)</f>
        <v>0</v>
      </c>
      <c r="E29" s="42" t="n">
        <v>1E-012</v>
      </c>
      <c r="F29" s="5" t="str">
        <f aca="false">IF(D29&lt;=E29,"PASS","FAIL")</f>
        <v>PASS</v>
      </c>
    </row>
    <row r="30" customFormat="false" ht="15" hidden="false" customHeight="false" outlineLevel="0" collapsed="false">
      <c r="A30" s="3" t="s">
        <v>445</v>
      </c>
      <c r="B30" s="39" t="n">
        <f aca="false">Designs!AE7</f>
        <v>1.43218182601976</v>
      </c>
      <c r="C30" s="40" t="n">
        <f aca="false">Reference_Values!B30</f>
        <v>1.43218182601976</v>
      </c>
      <c r="D30" s="41" t="n">
        <f aca="false">ABS(B30-C30)</f>
        <v>0</v>
      </c>
      <c r="E30" s="42" t="n">
        <v>1E-009</v>
      </c>
      <c r="F30" s="5" t="str">
        <f aca="false">IF(D30&lt;=E30,"PASS","FAIL")</f>
        <v>PASS</v>
      </c>
    </row>
    <row r="31" customFormat="false" ht="15" hidden="false" customHeight="false" outlineLevel="0" collapsed="false">
      <c r="A31" s="3" t="s">
        <v>447</v>
      </c>
      <c r="B31" s="39" t="n">
        <f aca="false">Law!C40</f>
        <v>0.64006071549508</v>
      </c>
      <c r="C31" s="40" t="n">
        <f aca="false">Reference_Values!B31</f>
        <v>0.64006071549508</v>
      </c>
      <c r="D31" s="41" t="n">
        <f aca="false">ABS(B31-C31)</f>
        <v>0</v>
      </c>
      <c r="E31" s="42" t="n">
        <v>1E-009</v>
      </c>
      <c r="F31" s="5" t="str">
        <f aca="false">IF(D31&lt;=E31,"PASS","FAIL")</f>
        <v>PASS</v>
      </c>
    </row>
    <row r="32" customFormat="false" ht="15" hidden="false" customHeight="false" outlineLevel="0" collapsed="false">
      <c r="A32" s="3" t="s">
        <v>449</v>
      </c>
      <c r="B32" s="39" t="n">
        <f aca="false">Law!C41</f>
        <v>0.763387660124555</v>
      </c>
      <c r="C32" s="40" t="n">
        <f aca="false">Reference_Values!B32</f>
        <v>0.763387660124555</v>
      </c>
      <c r="D32" s="41" t="n">
        <f aca="false">ABS(B32-C32)</f>
        <v>0</v>
      </c>
      <c r="E32" s="42" t="n">
        <v>1E-009</v>
      </c>
      <c r="F32" s="5" t="str">
        <f aca="false">IF(D32&lt;=E32,"PASS","FAIL")</f>
        <v>PASS</v>
      </c>
    </row>
    <row r="33" customFormat="false" ht="15" hidden="false" customHeight="false" outlineLevel="0" collapsed="false">
      <c r="A33" s="3" t="s">
        <v>450</v>
      </c>
      <c r="B33" s="39" t="n">
        <f aca="false">Law!C42</f>
        <v>0.859005793109302</v>
      </c>
      <c r="C33" s="40" t="n">
        <f aca="false">Reference_Values!B33</f>
        <v>0.859005793109302</v>
      </c>
      <c r="D33" s="41" t="n">
        <f aca="false">ABS(B33-C33)</f>
        <v>0</v>
      </c>
      <c r="E33" s="42" t="n">
        <v>1E-009</v>
      </c>
      <c r="F33" s="5" t="str">
        <f aca="false">IF(D33&lt;=E33,"PASS","FAIL")</f>
        <v>PASS</v>
      </c>
    </row>
    <row r="34" customFormat="false" ht="15" hidden="false" customHeight="false" outlineLevel="0" collapsed="false">
      <c r="A34" s="3" t="s">
        <v>451</v>
      </c>
      <c r="B34" s="39" t="n">
        <f aca="false">Law!C43</f>
        <v>0.924282954185725</v>
      </c>
      <c r="C34" s="40" t="n">
        <f aca="false">Reference_Values!B34</f>
        <v>0.924282954185725</v>
      </c>
      <c r="D34" s="41" t="n">
        <f aca="false">ABS(B34-C34)</f>
        <v>0</v>
      </c>
      <c r="E34" s="42" t="n">
        <v>1E-009</v>
      </c>
      <c r="F34" s="5" t="str">
        <f aca="false">IF(D34&lt;=E34,"PASS","FAIL")</f>
        <v>PASS</v>
      </c>
    </row>
    <row r="35" customFormat="false" ht="15" hidden="false" customHeight="false" outlineLevel="0" collapsed="false">
      <c r="A35" s="3" t="s">
        <v>452</v>
      </c>
      <c r="B35" s="39" t="n">
        <f aca="false">Law!C44</f>
        <v>0.963521966939538</v>
      </c>
      <c r="C35" s="40" t="n">
        <f aca="false">Reference_Values!B35</f>
        <v>0.963521966939538</v>
      </c>
      <c r="D35" s="41" t="n">
        <f aca="false">ABS(B35-C35)</f>
        <v>0</v>
      </c>
      <c r="E35" s="42" t="n">
        <v>1E-009</v>
      </c>
      <c r="F35" s="5" t="str">
        <f aca="false">IF(D35&lt;=E35,"PASS","FAIL")</f>
        <v>PASS</v>
      </c>
    </row>
    <row r="36" customFormat="false" ht="15" hidden="false" customHeight="false" outlineLevel="0" collapsed="false">
      <c r="A36" s="3" t="s">
        <v>453</v>
      </c>
      <c r="B36" s="39" t="n">
        <f aca="false">Law!C45</f>
        <v>0.984290550203063</v>
      </c>
      <c r="C36" s="40" t="n">
        <f aca="false">Reference_Values!B36</f>
        <v>0.984290550203063</v>
      </c>
      <c r="D36" s="41" t="n">
        <f aca="false">ABS(B36-C36)</f>
        <v>0</v>
      </c>
      <c r="E36" s="42" t="n">
        <v>1E-009</v>
      </c>
      <c r="F36" s="5" t="str">
        <f aca="false">IF(D36&lt;=E36,"PASS","FAIL")</f>
        <v>PASS</v>
      </c>
    </row>
    <row r="37" customFormat="false" ht="15" hidden="false" customHeight="false" outlineLevel="0" collapsed="false">
      <c r="A37" s="3" t="s">
        <v>454</v>
      </c>
      <c r="B37" s="39" t="n">
        <f aca="false">Law!C46</f>
        <v>0.997940937271478</v>
      </c>
      <c r="C37" s="40" t="n">
        <f aca="false">Reference_Values!B37</f>
        <v>0.997940937271478</v>
      </c>
      <c r="D37" s="41" t="n">
        <f aca="false">ABS(B37-C37)</f>
        <v>0</v>
      </c>
      <c r="E37" s="42" t="n">
        <v>1E-009</v>
      </c>
      <c r="F37" s="5" t="str">
        <f aca="false">IF(D37&lt;=E37,"PASS","FAIL")</f>
        <v>PASS</v>
      </c>
    </row>
    <row r="38" customFormat="false" ht="15" hidden="false" customHeight="false" outlineLevel="0" collapsed="false">
      <c r="A38" s="3" t="s">
        <v>455</v>
      </c>
      <c r="B38" s="39" t="n">
        <f aca="false">Law!C47</f>
        <v>0.999832241163737</v>
      </c>
      <c r="C38" s="40" t="n">
        <f aca="false">Reference_Values!B38</f>
        <v>0.999832241163737</v>
      </c>
      <c r="D38" s="41" t="n">
        <f aca="false">ABS(B38-C38)</f>
        <v>0</v>
      </c>
      <c r="E38" s="42" t="n">
        <v>1E-009</v>
      </c>
      <c r="F38" s="5" t="str">
        <f aca="false">IF(D38&lt;=E38,"PASS","FAIL")</f>
        <v>PASS</v>
      </c>
    </row>
    <row r="39" customFormat="false" ht="15" hidden="false" customHeight="false" outlineLevel="0" collapsed="false">
      <c r="A39" s="3" t="s">
        <v>456</v>
      </c>
      <c r="B39" s="39" t="n">
        <f aca="false">Law!C48</f>
        <v>0.999991592175364</v>
      </c>
      <c r="C39" s="40" t="n">
        <f aca="false">Reference_Values!B39</f>
        <v>0.999991592175364</v>
      </c>
      <c r="D39" s="41" t="n">
        <f aca="false">ABS(B39-C39)</f>
        <v>0</v>
      </c>
      <c r="E39" s="42" t="n">
        <v>1E-009</v>
      </c>
      <c r="F39" s="5" t="str">
        <f aca="false">IF(D39&lt;=E39,"PASS","FAIL")</f>
        <v>PASS</v>
      </c>
    </row>
    <row r="40" customFormat="false" ht="15" hidden="false" customHeight="false" outlineLevel="0" collapsed="false">
      <c r="A40" s="3" t="s">
        <v>457</v>
      </c>
      <c r="B40" s="39" t="n">
        <f aca="false">Law!C49</f>
        <v>0.999999995208174</v>
      </c>
      <c r="C40" s="40" t="n">
        <f aca="false">Reference_Values!B40</f>
        <v>0.999999995208174</v>
      </c>
      <c r="D40" s="41" t="n">
        <f aca="false">ABS(B40-C40)</f>
        <v>0</v>
      </c>
      <c r="E40" s="42" t="n">
        <v>1E-009</v>
      </c>
      <c r="F40" s="5" t="str">
        <f aca="false">IF(D40&lt;=E40,"PASS","FAIL")</f>
        <v>PASS</v>
      </c>
    </row>
    <row r="41" customFormat="false" ht="15" hidden="false" customHeight="false" outlineLevel="0" collapsed="false">
      <c r="A41" s="3" t="s">
        <v>458</v>
      </c>
      <c r="B41" s="39" t="n">
        <f aca="false">Law!C42</f>
        <v>0.859005793109302</v>
      </c>
      <c r="C41" s="40" t="n">
        <f aca="false">Reference_Values!B41</f>
        <v>0.859005793109302</v>
      </c>
      <c r="D41" s="41" t="n">
        <f aca="false">ABS(B41-C41)</f>
        <v>0</v>
      </c>
      <c r="E41" s="42" t="n">
        <v>1E-009</v>
      </c>
      <c r="F41" s="5" t="str">
        <f aca="false">IF(D41&lt;=E41,"PASS","FAIL")</f>
        <v>PASS</v>
      </c>
    </row>
    <row r="42" customFormat="false" ht="15" hidden="false" customHeight="false" outlineLevel="0" collapsed="false">
      <c r="A42" s="3" t="s">
        <v>460</v>
      </c>
      <c r="B42" s="39" t="n">
        <f aca="false">Law!C44</f>
        <v>0.963521966939538</v>
      </c>
      <c r="C42" s="40" t="n">
        <f aca="false">Reference_Values!B42</f>
        <v>0.963521966939538</v>
      </c>
      <c r="D42" s="41" t="n">
        <f aca="false">ABS(B42-C42)</f>
        <v>0</v>
      </c>
      <c r="E42" s="42" t="n">
        <v>1E-009</v>
      </c>
      <c r="F42" s="5" t="str">
        <f aca="false">IF(D42&lt;=E42,"PASS","FAIL")</f>
        <v>PASS</v>
      </c>
    </row>
    <row r="43" customFormat="false" ht="15" hidden="false" customHeight="false" outlineLevel="0" collapsed="false">
      <c r="A43" s="3" t="s">
        <v>462</v>
      </c>
      <c r="B43" s="39" t="n">
        <f aca="false">Accuracy!G4</f>
        <v>0.893</v>
      </c>
      <c r="C43" s="40" t="n">
        <f aca="false">Reference_Values!B43</f>
        <v>0.893</v>
      </c>
      <c r="D43" s="41" t="n">
        <f aca="false">ABS(B43-C43)</f>
        <v>0</v>
      </c>
      <c r="E43" s="42" t="n">
        <v>1E-012</v>
      </c>
      <c r="F43" s="5" t="str">
        <f aca="false">IF(D43&lt;=E43,"PASS","FAIL")</f>
        <v>PASS</v>
      </c>
    </row>
    <row r="44" customFormat="false" ht="15" hidden="false" customHeight="false" outlineLevel="0" collapsed="false">
      <c r="A44" s="3" t="s">
        <v>464</v>
      </c>
      <c r="B44" s="39" t="n">
        <f aca="false">Accuracy!G5</f>
        <v>0.87324</v>
      </c>
      <c r="C44" s="40" t="n">
        <f aca="false">Reference_Values!B44</f>
        <v>0.87324</v>
      </c>
      <c r="D44" s="41" t="n">
        <f aca="false">ABS(B44-C44)</f>
        <v>0</v>
      </c>
      <c r="E44" s="42" t="n">
        <v>1E-012</v>
      </c>
      <c r="F44" s="5" t="str">
        <f aca="false">IF(D44&lt;=E44,"PASS","FAIL")</f>
        <v>PASS</v>
      </c>
    </row>
    <row r="45" customFormat="false" ht="15" hidden="false" customHeight="false" outlineLevel="0" collapsed="false">
      <c r="A45" s="3" t="s">
        <v>466</v>
      </c>
      <c r="B45" s="39" t="n">
        <f aca="false">Accuracy!G6</f>
        <v>0.65862</v>
      </c>
      <c r="C45" s="40" t="n">
        <f aca="false">Reference_Values!B45</f>
        <v>0.65862</v>
      </c>
      <c r="D45" s="41" t="n">
        <f aca="false">ABS(B45-C45)</f>
        <v>0</v>
      </c>
      <c r="E45" s="42" t="n">
        <v>1E-012</v>
      </c>
      <c r="F45" s="5" t="str">
        <f aca="false">IF(D45&lt;=E45,"PASS","FAIL")</f>
        <v>PASS</v>
      </c>
    </row>
    <row r="46" customFormat="false" ht="15" hidden="false" customHeight="false" outlineLevel="0" collapsed="false">
      <c r="A46" s="3" t="s">
        <v>468</v>
      </c>
      <c r="B46" s="39" t="n">
        <f aca="false">Accuracy!G7</f>
        <v>0.63857</v>
      </c>
      <c r="C46" s="40" t="n">
        <f aca="false">Reference_Values!B46</f>
        <v>0.63857</v>
      </c>
      <c r="D46" s="41" t="n">
        <f aca="false">ABS(B46-C46)</f>
        <v>0</v>
      </c>
      <c r="E46" s="42" t="n">
        <v>1E-012</v>
      </c>
      <c r="F46" s="5" t="str">
        <f aca="false">IF(D46&lt;=E46,"PASS","FAIL")</f>
        <v>PASS</v>
      </c>
    </row>
    <row r="47" customFormat="false" ht="15" hidden="false" customHeight="false" outlineLevel="0" collapsed="false">
      <c r="A47" s="3" t="s">
        <v>470</v>
      </c>
      <c r="B47" s="39" t="n">
        <f aca="false">Accuracy!G8</f>
        <v>0.7404</v>
      </c>
      <c r="C47" s="40" t="n">
        <f aca="false">Reference_Values!B47</f>
        <v>0.7404</v>
      </c>
      <c r="D47" s="41" t="n">
        <f aca="false">ABS(B47-C47)</f>
        <v>0</v>
      </c>
      <c r="E47" s="42" t="n">
        <v>1E-012</v>
      </c>
      <c r="F47" s="5" t="str">
        <f aca="false">IF(D47&lt;=E47,"PASS","FAIL")</f>
        <v>PASS</v>
      </c>
    </row>
    <row r="48" customFormat="false" ht="15" hidden="false" customHeight="false" outlineLevel="0" collapsed="false">
      <c r="A48" s="3" t="s">
        <v>472</v>
      </c>
      <c r="B48" s="39" t="n">
        <f aca="false">Accuracy!G9</f>
        <v>1</v>
      </c>
      <c r="C48" s="40" t="n">
        <f aca="false">Reference_Values!B48</f>
        <v>1</v>
      </c>
      <c r="D48" s="41" t="n">
        <f aca="false">ABS(B48-C48)</f>
        <v>0</v>
      </c>
      <c r="E48" s="42" t="n">
        <v>1E-012</v>
      </c>
      <c r="F48" s="5" t="str">
        <f aca="false">IF(D48&lt;=E48,"PASS","FAIL")</f>
        <v>PASS</v>
      </c>
    </row>
    <row r="49" customFormat="false" ht="15" hidden="false" customHeight="false" outlineLevel="0" collapsed="false">
      <c r="A49" s="3" t="s">
        <v>474</v>
      </c>
      <c r="B49" s="39" t="n">
        <f aca="false">Accuracy!G10</f>
        <v>0.85644</v>
      </c>
      <c r="C49" s="40" t="n">
        <f aca="false">Reference_Values!B49</f>
        <v>0.85644</v>
      </c>
      <c r="D49" s="41" t="n">
        <f aca="false">ABS(B49-C49)</f>
        <v>0</v>
      </c>
      <c r="E49" s="42" t="n">
        <v>1E-012</v>
      </c>
      <c r="F49" s="5" t="str">
        <f aca="false">IF(D49&lt;=E49,"PASS","FAIL")</f>
        <v>PASS</v>
      </c>
    </row>
    <row r="50" customFormat="false" ht="15" hidden="false" customHeight="false" outlineLevel="0" collapsed="false">
      <c r="A50" s="3" t="s">
        <v>476</v>
      </c>
      <c r="B50" s="39" t="n">
        <f aca="false">Stages!F5</f>
        <v>0.910299295687478</v>
      </c>
      <c r="C50" s="40" t="n">
        <f aca="false">Reference_Values!B50</f>
        <v>0.910299295687478</v>
      </c>
      <c r="D50" s="41" t="n">
        <f aca="false">ABS(B50-C50)</f>
        <v>0</v>
      </c>
      <c r="E50" s="42" t="n">
        <v>1E-012</v>
      </c>
      <c r="F50" s="5" t="str">
        <f aca="false">IF(D50&lt;=E50,"PASS","FAIL")</f>
        <v>PASS</v>
      </c>
    </row>
    <row r="51" customFormat="false" ht="15" hidden="false" customHeight="false" outlineLevel="0" collapsed="false">
      <c r="A51" s="3" t="s">
        <v>477</v>
      </c>
      <c r="B51" s="39" t="n">
        <f aca="false">Stages!F6</f>
        <v>24</v>
      </c>
      <c r="C51" s="40" t="n">
        <f aca="false">Reference_Values!B51</f>
        <v>24</v>
      </c>
      <c r="D51" s="41" t="n">
        <f aca="false">ABS(B51-C51)</f>
        <v>0</v>
      </c>
      <c r="E51" s="42" t="n">
        <v>0</v>
      </c>
      <c r="F51" s="5" t="str">
        <f aca="false">IF(D51&lt;=E51,"PASS","FAIL")</f>
        <v>PASS</v>
      </c>
    </row>
    <row r="52" customFormat="false" ht="15" hidden="false" customHeight="false" outlineLevel="0" collapsed="false">
      <c r="A52" s="3" t="s">
        <v>478</v>
      </c>
      <c r="B52" s="39" t="n">
        <f aca="false">Stages!F7</f>
        <v>0.88848331864376</v>
      </c>
      <c r="C52" s="40" t="n">
        <f aca="false">Reference_Values!B52</f>
        <v>0.88848331864376</v>
      </c>
      <c r="D52" s="41" t="n">
        <f aca="false">ABS(B52-C52)</f>
        <v>0</v>
      </c>
      <c r="E52" s="42" t="n">
        <v>1E-012</v>
      </c>
      <c r="F52" s="5" t="str">
        <f aca="false">IF(D52&lt;=E52,"PASS","FAIL")</f>
        <v>PASS</v>
      </c>
    </row>
    <row r="53" customFormat="false" ht="15" hidden="false" customHeight="false" outlineLevel="0" collapsed="false">
      <c r="A53" s="3" t="s">
        <v>479</v>
      </c>
      <c r="B53" s="39" t="n">
        <f aca="false">Stages!F8</f>
        <v>1</v>
      </c>
      <c r="C53" s="40" t="n">
        <f aca="false">Reference_Values!B53</f>
        <v>1</v>
      </c>
      <c r="D53" s="41" t="n">
        <f aca="false">ABS(B53-C53)</f>
        <v>0</v>
      </c>
      <c r="E53" s="42" t="n">
        <v>1E-012</v>
      </c>
      <c r="F53" s="5" t="str">
        <f aca="false">IF(D53&lt;=E53,"PASS","FAIL")</f>
        <v>PASS</v>
      </c>
    </row>
    <row r="54" customFormat="false" ht="15" hidden="false" customHeight="false" outlineLevel="0" collapsed="false">
      <c r="A54" s="3" t="s">
        <v>480</v>
      </c>
      <c r="B54" s="39" t="n">
        <f aca="false">MIN(Examples!B32,Examples!C32,Examples!D32)</f>
        <v>0.6</v>
      </c>
      <c r="C54" s="40" t="n">
        <f aca="false">Reference_Values!B54</f>
        <v>0.6</v>
      </c>
      <c r="D54" s="41" t="n">
        <f aca="false">ABS(B54-C54)</f>
        <v>0</v>
      </c>
      <c r="E54" s="42" t="n">
        <v>1E-012</v>
      </c>
      <c r="F54" s="5" t="str">
        <f aca="false">IF(D54&lt;=E54,"PASS","FAIL")</f>
        <v>PASS</v>
      </c>
    </row>
    <row r="55" customFormat="false" ht="15" hidden="false" customHeight="false" outlineLevel="0" collapsed="false">
      <c r="A55" s="3" t="s">
        <v>482</v>
      </c>
      <c r="B55" s="39" t="n">
        <f aca="false">Examples!E32</f>
        <v>0.4</v>
      </c>
      <c r="C55" s="40" t="n">
        <f aca="false">Reference_Values!B55</f>
        <v>0.4</v>
      </c>
      <c r="D55" s="41" t="n">
        <f aca="false">ABS(B55-C55)</f>
        <v>0</v>
      </c>
      <c r="E55" s="42" t="n">
        <v>1E-012</v>
      </c>
      <c r="F55" s="5" t="str">
        <f aca="false">IF(D55&lt;=E55,"PASS","FAIL")</f>
        <v>PASS</v>
      </c>
    </row>
    <row r="56" customFormat="false" ht="15" hidden="false" customHeight="false" outlineLevel="0" collapsed="false">
      <c r="A56" s="3" t="s">
        <v>484</v>
      </c>
      <c r="B56" s="39" t="n">
        <f aca="false">Examples!B9</f>
        <v>25</v>
      </c>
      <c r="C56" s="40" t="n">
        <f aca="false">Reference_Values!B56</f>
        <v>25</v>
      </c>
      <c r="D56" s="41" t="n">
        <f aca="false">ABS(B56-C56)</f>
        <v>0</v>
      </c>
      <c r="E56" s="42" t="n">
        <v>1E-012</v>
      </c>
      <c r="F56" s="5" t="str">
        <f aca="false">IF(D56&lt;=E56,"PASS","FAIL")</f>
        <v>PASS</v>
      </c>
    </row>
    <row r="57" customFormat="false" ht="15" hidden="false" customHeight="false" outlineLevel="0" collapsed="false">
      <c r="A57" s="3" t="s">
        <v>485</v>
      </c>
      <c r="B57" s="39" t="n">
        <f aca="false">Examples!B12</f>
        <v>50</v>
      </c>
      <c r="C57" s="40" t="n">
        <f aca="false">Reference_Values!B57</f>
        <v>50</v>
      </c>
      <c r="D57" s="41" t="n">
        <f aca="false">ABS(B57-C57)</f>
        <v>0</v>
      </c>
      <c r="E57" s="42" t="n">
        <v>1E-012</v>
      </c>
      <c r="F57" s="5" t="str">
        <f aca="false">IF(D57&lt;=E57,"PASS","FAIL")</f>
        <v>PASS</v>
      </c>
    </row>
    <row r="58" customFormat="false" ht="15" hidden="false" customHeight="false" outlineLevel="0" collapsed="false">
      <c r="A58" s="3" t="s">
        <v>486</v>
      </c>
      <c r="B58" s="39" t="n">
        <f aca="false">Examples!B10</f>
        <v>25</v>
      </c>
      <c r="C58" s="40" t="n">
        <f aca="false">Reference_Values!B58</f>
        <v>25</v>
      </c>
      <c r="D58" s="41" t="n">
        <f aca="false">ABS(B58-C58)</f>
        <v>0</v>
      </c>
      <c r="E58" s="42" t="n">
        <v>1E-012</v>
      </c>
      <c r="F58" s="5" t="str">
        <f aca="false">IF(D58&lt;=E58,"PASS","FAIL")</f>
        <v>PASS</v>
      </c>
    </row>
    <row r="59" customFormat="false" ht="15" hidden="false" customHeight="false" outlineLevel="0" collapsed="false">
      <c r="A59" s="3" t="s">
        <v>487</v>
      </c>
      <c r="B59" s="39" t="n">
        <f aca="false">Examples!B13</f>
        <v>5</v>
      </c>
      <c r="C59" s="40" t="n">
        <f aca="false">Reference_Values!B59</f>
        <v>5</v>
      </c>
      <c r="D59" s="41" t="n">
        <f aca="false">ABS(B59-C59)</f>
        <v>0</v>
      </c>
      <c r="E59" s="42" t="n">
        <v>1E-012</v>
      </c>
      <c r="F59" s="5" t="str">
        <f aca="false">IF(D59&lt;=E59,"PASS","FAIL")</f>
        <v>PASS</v>
      </c>
    </row>
    <row r="60" customFormat="false" ht="15" hidden="false" customHeight="false" outlineLevel="0" collapsed="false">
      <c r="A60" s="3" t="s">
        <v>488</v>
      </c>
      <c r="B60" s="39" t="n">
        <f aca="false">Accuracy!G5</f>
        <v>0.87324</v>
      </c>
      <c r="C60" s="40" t="n">
        <f aca="false">Reference_Values!B60</f>
        <v>0.87324</v>
      </c>
      <c r="D60" s="41" t="n">
        <f aca="false">ABS(B60-C60)</f>
        <v>0</v>
      </c>
      <c r="E60" s="42" t="n">
        <v>1E-012</v>
      </c>
      <c r="F60" s="5" t="str">
        <f aca="false">IF(D60&lt;=E60,"PASS","FAIL")</f>
        <v>PASS</v>
      </c>
    </row>
    <row r="61" customFormat="false" ht="15" hidden="false" customHeight="false" outlineLevel="0" collapsed="false">
      <c r="A61" s="3" t="s">
        <v>489</v>
      </c>
      <c r="B61" s="39" t="n">
        <f aca="false">Designs!G8</f>
        <v>0.23012</v>
      </c>
      <c r="C61" s="40" t="n">
        <f aca="false">Reference_Values!B61</f>
        <v>0.23012</v>
      </c>
      <c r="D61" s="41" t="n">
        <f aca="false">ABS(B61-C61)</f>
        <v>0</v>
      </c>
      <c r="E61" s="42" t="n">
        <v>1E-012</v>
      </c>
      <c r="F61" s="5" t="str">
        <f aca="false">IF(D61&lt;=E61,"PASS","FAIL")</f>
        <v>PASS</v>
      </c>
    </row>
    <row r="62" customFormat="false" ht="15" hidden="false" customHeight="false" outlineLevel="0" collapsed="false">
      <c r="A62" s="3" t="s">
        <v>491</v>
      </c>
      <c r="B62" s="39" t="n">
        <f aca="false">Designs!H8</f>
        <v>0.783678081001217</v>
      </c>
      <c r="C62" s="40" t="n">
        <f aca="false">Reference_Values!B62</f>
        <v>0.783678081001217</v>
      </c>
      <c r="D62" s="41" t="n">
        <f aca="false">ABS(B62-C62)</f>
        <v>0</v>
      </c>
      <c r="E62" s="42" t="n">
        <v>1E-012</v>
      </c>
      <c r="F62" s="5" t="str">
        <f aca="false">IF(D62&lt;=E62,"PASS","FAIL")</f>
        <v>PASS</v>
      </c>
    </row>
    <row r="63" customFormat="false" ht="15" hidden="false" customHeight="false" outlineLevel="0" collapsed="false">
      <c r="A63" s="3" t="s">
        <v>492</v>
      </c>
      <c r="B63" s="39" t="n">
        <f aca="false">Designs!I8</f>
        <v>0.102327635475659</v>
      </c>
      <c r="C63" s="40" t="n">
        <f aca="false">Reference_Values!B63</f>
        <v>0.102327635475659</v>
      </c>
      <c r="D63" s="41" t="n">
        <f aca="false">ABS(B63-C63)</f>
        <v>4.57966997657877E-016</v>
      </c>
      <c r="E63" s="42" t="n">
        <v>1E-012</v>
      </c>
      <c r="F63" s="5" t="str">
        <f aca="false">IF(D63&lt;=E63,"PASS","FAIL")</f>
        <v>PASS</v>
      </c>
    </row>
    <row r="64" customFormat="false" ht="15" hidden="false" customHeight="false" outlineLevel="0" collapsed="false">
      <c r="A64" s="3" t="s">
        <v>493</v>
      </c>
      <c r="B64" s="39" t="n">
        <f aca="false">Designs!L8</f>
        <v>9.44693030407278</v>
      </c>
      <c r="C64" s="40" t="n">
        <f aca="false">Reference_Values!B64</f>
        <v>9.44693030407277</v>
      </c>
      <c r="D64" s="41" t="n">
        <f aca="false">ABS(B64-C64)</f>
        <v>0</v>
      </c>
      <c r="E64" s="42" t="n">
        <v>1E-009</v>
      </c>
      <c r="F64" s="5" t="str">
        <f aca="false">IF(D64&lt;=E64,"PASS","FAIL")</f>
        <v>PASS</v>
      </c>
    </row>
    <row r="65" customFormat="false" ht="15" hidden="false" customHeight="false" outlineLevel="0" collapsed="false">
      <c r="A65" s="3" t="s">
        <v>494</v>
      </c>
      <c r="B65" s="39" t="n">
        <f aca="false">Designs!O8</f>
        <v>11.4734747956409</v>
      </c>
      <c r="C65" s="40" t="n">
        <f aca="false">Reference_Values!B65</f>
        <v>11.4734747956409</v>
      </c>
      <c r="D65" s="41" t="n">
        <f aca="false">ABS(B65-C65)</f>
        <v>4.44089209850063E-014</v>
      </c>
      <c r="E65" s="42" t="n">
        <v>1E-009</v>
      </c>
      <c r="F65" s="5" t="str">
        <f aca="false">IF(D65&lt;=E65,"PASS","FAIL")</f>
        <v>PASS</v>
      </c>
    </row>
    <row r="66" customFormat="false" ht="15" hidden="false" customHeight="false" outlineLevel="0" collapsed="false">
      <c r="A66" s="3" t="s">
        <v>495</v>
      </c>
      <c r="B66" s="39" t="n">
        <f aca="false">Designs!P8</f>
        <v>9.91327872247242</v>
      </c>
      <c r="C66" s="40" t="n">
        <f aca="false">Reference_Values!B66</f>
        <v>9.91327872247242</v>
      </c>
      <c r="D66" s="41" t="n">
        <f aca="false">ABS(B66-C66)</f>
        <v>0</v>
      </c>
      <c r="E66" s="42" t="n">
        <v>1E-009</v>
      </c>
      <c r="F66" s="5" t="str">
        <f aca="false">IF(D66&lt;=E66,"PASS","FAIL")</f>
        <v>PASS</v>
      </c>
    </row>
    <row r="67" customFormat="false" ht="15" hidden="false" customHeight="false" outlineLevel="0" collapsed="false">
      <c r="A67" s="3" t="s">
        <v>497</v>
      </c>
      <c r="B67" s="39" t="n">
        <f aca="false">Designs!Q8</f>
        <v>0.527332168940577</v>
      </c>
      <c r="C67" s="40" t="n">
        <f aca="false">Reference_Values!B67</f>
        <v>0.52733216894058</v>
      </c>
      <c r="D67" s="41" t="n">
        <f aca="false">ABS(B67-C67)</f>
        <v>3.44169137633799E-015</v>
      </c>
      <c r="E67" s="42" t="n">
        <v>1E-009</v>
      </c>
      <c r="F67" s="5" t="str">
        <f aca="false">IF(D67&lt;=E67,"PASS","FAIL")</f>
        <v>PASS</v>
      </c>
    </row>
    <row r="68" customFormat="false" ht="15" hidden="false" customHeight="false" outlineLevel="0" collapsed="false">
      <c r="A68" s="3" t="s">
        <v>498</v>
      </c>
      <c r="B68" s="39" t="n">
        <f aca="false">Designs!X8</f>
        <v>0.0499926137054743</v>
      </c>
      <c r="C68" s="40" t="n">
        <f aca="false">Reference_Values!B68</f>
        <v>0.0499926137054743</v>
      </c>
      <c r="D68" s="41" t="n">
        <f aca="false">ABS(B68-C68)</f>
        <v>0</v>
      </c>
      <c r="E68" s="42" t="n">
        <v>1E-009</v>
      </c>
      <c r="F68" s="5" t="str">
        <f aca="false">IF(D68&lt;=E68,"PASS","FAIL")</f>
        <v>PASS</v>
      </c>
    </row>
    <row r="69" customFormat="false" ht="15" hidden="false" customHeight="false" outlineLevel="0" collapsed="false">
      <c r="A69" s="3" t="s">
        <v>500</v>
      </c>
      <c r="B69" s="39" t="n">
        <f aca="false">Designs!Z8</f>
        <v>0.22924</v>
      </c>
      <c r="C69" s="40" t="n">
        <f aca="false">Reference_Values!B69</f>
        <v>0.22924</v>
      </c>
      <c r="D69" s="41" t="n">
        <f aca="false">ABS(B69-C69)</f>
        <v>0</v>
      </c>
      <c r="E69" s="42" t="n">
        <v>1E-012</v>
      </c>
      <c r="F69" s="5" t="str">
        <f aca="false">IF(D69&lt;=E69,"PASS","FAIL")</f>
        <v>PASS</v>
      </c>
    </row>
    <row r="70" customFormat="false" ht="15" hidden="false" customHeight="false" outlineLevel="0" collapsed="false">
      <c r="A70" s="3" t="s">
        <v>502</v>
      </c>
      <c r="B70" s="39" t="n">
        <f aca="false">Designs!AC8</f>
        <v>0.04898</v>
      </c>
      <c r="C70" s="40" t="n">
        <f aca="false">Reference_Values!B70</f>
        <v>0.04898</v>
      </c>
      <c r="D70" s="41" t="n">
        <f aca="false">ABS(B70-C70)</f>
        <v>0</v>
      </c>
      <c r="E70" s="42" t="n">
        <v>1E-012</v>
      </c>
      <c r="F70" s="5" t="str">
        <f aca="false">IF(D70&lt;=E70,"PASS","FAIL")</f>
        <v>PASS</v>
      </c>
    </row>
    <row r="71" customFormat="false" ht="15" hidden="false" customHeight="false" outlineLevel="0" collapsed="false">
      <c r="A71" s="3" t="s">
        <v>503</v>
      </c>
      <c r="B71" s="39" t="n">
        <f aca="false">Designs!AE8</f>
        <v>0.529115528093158</v>
      </c>
      <c r="C71" s="40" t="n">
        <f aca="false">Reference_Values!B71</f>
        <v>0.529115528093161</v>
      </c>
      <c r="D71" s="41" t="n">
        <f aca="false">ABS(B71-C71)</f>
        <v>3.33066907387547E-015</v>
      </c>
      <c r="E71" s="42" t="n">
        <v>1E-009</v>
      </c>
      <c r="F71" s="5" t="str">
        <f aca="false">IF(D71&lt;=E71,"PASS","FAIL")</f>
        <v>PASS</v>
      </c>
    </row>
    <row r="72" customFormat="false" ht="15" hidden="false" customHeight="false" outlineLevel="0" collapsed="false">
      <c r="A72" s="3" t="s">
        <v>504</v>
      </c>
      <c r="B72" s="39" t="n">
        <f aca="false">Designs!G9</f>
        <v>0.59</v>
      </c>
      <c r="C72" s="40" t="n">
        <f aca="false">Reference_Values!B72</f>
        <v>0.59</v>
      </c>
      <c r="D72" s="41" t="n">
        <f aca="false">ABS(B72-C72)</f>
        <v>0</v>
      </c>
      <c r="E72" s="42" t="n">
        <v>1E-012</v>
      </c>
      <c r="F72" s="5" t="str">
        <f aca="false">IF(D72&lt;=E72,"PASS","FAIL")</f>
        <v>PASS</v>
      </c>
    </row>
    <row r="73" customFormat="false" ht="15" hidden="false" customHeight="false" outlineLevel="0" collapsed="false">
      <c r="A73" s="3" t="s">
        <v>505</v>
      </c>
      <c r="B73" s="39" t="n">
        <f aca="false">Designs!H9</f>
        <v>0.427135593220339</v>
      </c>
      <c r="C73" s="40" t="n">
        <f aca="false">Reference_Values!B73</f>
        <v>0.427135593220339</v>
      </c>
      <c r="D73" s="41" t="n">
        <f aca="false">ABS(B73-C73)</f>
        <v>0</v>
      </c>
      <c r="E73" s="42" t="n">
        <v>1E-012</v>
      </c>
      <c r="F73" s="5" t="str">
        <f aca="false">IF(D73&lt;=E73,"PASS","FAIL")</f>
        <v>PASS</v>
      </c>
    </row>
    <row r="74" customFormat="false" ht="15" hidden="false" customHeight="false" outlineLevel="0" collapsed="false">
      <c r="A74" s="3" t="s">
        <v>506</v>
      </c>
      <c r="B74" s="39" t="n">
        <f aca="false">Designs!I9</f>
        <v>0.0173414634146341</v>
      </c>
      <c r="C74" s="40" t="n">
        <f aca="false">Reference_Values!B74</f>
        <v>0.0173414634146342</v>
      </c>
      <c r="D74" s="41" t="n">
        <f aca="false">ABS(B74-C74)</f>
        <v>0</v>
      </c>
      <c r="E74" s="42" t="n">
        <v>1E-012</v>
      </c>
      <c r="F74" s="5" t="str">
        <f aca="false">IF(D74&lt;=E74,"PASS","FAIL")</f>
        <v>PASS</v>
      </c>
    </row>
    <row r="75" customFormat="false" ht="15" hidden="false" customHeight="false" outlineLevel="0" collapsed="false">
      <c r="A75" s="3" t="s">
        <v>507</v>
      </c>
      <c r="B75" s="39" t="n">
        <f aca="false">Designs!L9</f>
        <v>5.34964023920002</v>
      </c>
      <c r="C75" s="40" t="n">
        <f aca="false">Reference_Values!B75</f>
        <v>5.34964023920002</v>
      </c>
      <c r="D75" s="41" t="n">
        <f aca="false">ABS(B75-C75)</f>
        <v>0</v>
      </c>
      <c r="E75" s="42" t="n">
        <v>1E-009</v>
      </c>
      <c r="F75" s="5" t="str">
        <f aca="false">IF(D75&lt;=E75,"PASS","FAIL")</f>
        <v>PASS</v>
      </c>
    </row>
    <row r="76" customFormat="false" ht="15" hidden="false" customHeight="false" outlineLevel="0" collapsed="false">
      <c r="A76" s="3" t="s">
        <v>508</v>
      </c>
      <c r="B76" s="39" t="n">
        <f aca="false">Designs!O9</f>
        <v>11.5436910639684</v>
      </c>
      <c r="C76" s="40" t="n">
        <f aca="false">Reference_Values!B76</f>
        <v>11.5436910639684</v>
      </c>
      <c r="D76" s="41" t="n">
        <f aca="false">ABS(B76-C76)</f>
        <v>0</v>
      </c>
      <c r="E76" s="42" t="n">
        <v>1E-009</v>
      </c>
      <c r="F76" s="5" t="str">
        <f aca="false">IF(D76&lt;=E76,"PASS","FAIL")</f>
        <v>PASS</v>
      </c>
    </row>
    <row r="77" customFormat="false" ht="15" hidden="false" customHeight="false" outlineLevel="0" collapsed="false">
      <c r="A77" s="3" t="s">
        <v>509</v>
      </c>
      <c r="B77" s="39" t="n">
        <f aca="false">Designs!P9</f>
        <v>9.00413022581338</v>
      </c>
      <c r="C77" s="40" t="n">
        <f aca="false">Reference_Values!B77</f>
        <v>9.00413022581338</v>
      </c>
      <c r="D77" s="41" t="n">
        <f aca="false">ABS(B77-C77)</f>
        <v>0</v>
      </c>
      <c r="E77" s="42" t="n">
        <v>1E-009</v>
      </c>
      <c r="F77" s="5" t="str">
        <f aca="false">IF(D77&lt;=E77,"PASS","FAIL")</f>
        <v>PASS</v>
      </c>
    </row>
    <row r="78" customFormat="false" ht="15" hidden="false" customHeight="false" outlineLevel="0" collapsed="false">
      <c r="A78" s="3" t="s">
        <v>510</v>
      </c>
      <c r="B78" s="39" t="n">
        <f aca="false">Designs!Q9</f>
        <v>1.43648066559962</v>
      </c>
      <c r="C78" s="40" t="n">
        <f aca="false">Reference_Values!B78</f>
        <v>1.43648066559962</v>
      </c>
      <c r="D78" s="41" t="n">
        <f aca="false">ABS(B78-C78)</f>
        <v>0</v>
      </c>
      <c r="E78" s="42" t="n">
        <v>1E-009</v>
      </c>
      <c r="F78" s="5" t="str">
        <f aca="false">IF(D78&lt;=E78,"PASS","FAIL")</f>
        <v>PASS</v>
      </c>
    </row>
    <row r="79" customFormat="false" ht="15" hidden="false" customHeight="false" outlineLevel="0" collapsed="false">
      <c r="A79" s="3" t="s">
        <v>511</v>
      </c>
      <c r="B79" s="39" t="n">
        <f aca="false">Designs!X9</f>
        <v>0.0499886789243378</v>
      </c>
      <c r="C79" s="40" t="n">
        <f aca="false">Reference_Values!B79</f>
        <v>0.0499886789243378</v>
      </c>
      <c r="D79" s="41" t="n">
        <f aca="false">ABS(B79-C79)</f>
        <v>0</v>
      </c>
      <c r="E79" s="42" t="n">
        <v>1E-009</v>
      </c>
      <c r="F79" s="5" t="str">
        <f aca="false">IF(D79&lt;=E79,"PASS","FAIL")</f>
        <v>PASS</v>
      </c>
    </row>
    <row r="80" customFormat="false" ht="15" hidden="false" customHeight="false" outlineLevel="0" collapsed="false">
      <c r="A80" s="3" t="s">
        <v>512</v>
      </c>
      <c r="B80" s="39" t="n">
        <f aca="false">Designs!Z9</f>
        <v>0.58646</v>
      </c>
      <c r="C80" s="40" t="n">
        <f aca="false">Reference_Values!B80</f>
        <v>0.58646</v>
      </c>
      <c r="D80" s="41" t="n">
        <f aca="false">ABS(B80-C80)</f>
        <v>0</v>
      </c>
      <c r="E80" s="42" t="n">
        <v>1E-012</v>
      </c>
      <c r="F80" s="5" t="str">
        <f aca="false">IF(D80&lt;=E80,"PASS","FAIL")</f>
        <v>PASS</v>
      </c>
    </row>
    <row r="81" customFormat="false" ht="15" hidden="false" customHeight="false" outlineLevel="0" collapsed="false">
      <c r="A81" s="3" t="s">
        <v>513</v>
      </c>
      <c r="B81" s="39" t="n">
        <f aca="false">Designs!AC9</f>
        <v>0.04928</v>
      </c>
      <c r="C81" s="40" t="n">
        <f aca="false">Reference_Values!B81</f>
        <v>0.04928</v>
      </c>
      <c r="D81" s="41" t="n">
        <f aca="false">ABS(B81-C81)</f>
        <v>0</v>
      </c>
      <c r="E81" s="42" t="n">
        <v>1E-012</v>
      </c>
      <c r="F81" s="5" t="str">
        <f aca="false">IF(D81&lt;=E81,"PASS","FAIL")</f>
        <v>PASS</v>
      </c>
    </row>
    <row r="82" customFormat="false" ht="15" hidden="false" customHeight="false" outlineLevel="0" collapsed="false">
      <c r="A82" s="3" t="s">
        <v>514</v>
      </c>
      <c r="B82" s="39" t="n">
        <f aca="false">Designs!AE9</f>
        <v>1.4584076055193</v>
      </c>
      <c r="C82" s="40" t="n">
        <f aca="false">Reference_Values!B82</f>
        <v>1.4584076055193</v>
      </c>
      <c r="D82" s="41" t="n">
        <f aca="false">ABS(B82-C82)</f>
        <v>0</v>
      </c>
      <c r="E82" s="42" t="n">
        <v>1E-009</v>
      </c>
      <c r="F82" s="5" t="str">
        <f aca="false">IF(D82&lt;=E82,"PASS","FAIL")</f>
        <v>PASS</v>
      </c>
    </row>
    <row r="83" customFormat="false" ht="15" hidden="false" customHeight="false" outlineLevel="0" collapsed="false">
      <c r="A83" s="3" t="s">
        <v>515</v>
      </c>
      <c r="B83" s="39" t="n">
        <f aca="false">Designs!G13</f>
        <v>0.27</v>
      </c>
      <c r="C83" s="40" t="n">
        <f aca="false">Reference_Values!B83</f>
        <v>0.27</v>
      </c>
      <c r="D83" s="41" t="n">
        <f aca="false">ABS(B83-C83)</f>
        <v>0</v>
      </c>
      <c r="E83" s="42" t="n">
        <v>1E-012</v>
      </c>
      <c r="F83" s="5" t="str">
        <f aca="false">IF(D83&lt;=E83,"PASS","FAIL")</f>
        <v>PASS</v>
      </c>
    </row>
    <row r="84" customFormat="false" ht="15" hidden="false" customHeight="false" outlineLevel="0" collapsed="false">
      <c r="A84" s="3" t="s">
        <v>516</v>
      </c>
      <c r="B84" s="39" t="n">
        <f aca="false">Designs!H13</f>
        <v>0.992592592592593</v>
      </c>
      <c r="C84" s="40" t="n">
        <f aca="false">Reference_Values!B84</f>
        <v>0.992592592592593</v>
      </c>
      <c r="D84" s="41" t="n">
        <f aca="false">ABS(B84-C84)</f>
        <v>0</v>
      </c>
      <c r="E84" s="42" t="n">
        <v>1E-012</v>
      </c>
      <c r="F84" s="5" t="str">
        <f aca="false">IF(D84&lt;=E84,"PASS","FAIL")</f>
        <v>PASS</v>
      </c>
    </row>
    <row r="85" customFormat="false" ht="15" hidden="false" customHeight="false" outlineLevel="0" collapsed="false">
      <c r="A85" s="3" t="s">
        <v>517</v>
      </c>
      <c r="B85" s="39" t="n">
        <f aca="false">Designs!I13</f>
        <v>0</v>
      </c>
      <c r="C85" s="40" t="n">
        <f aca="false">Reference_Values!B85</f>
        <v>0</v>
      </c>
      <c r="D85" s="41" t="n">
        <f aca="false">ABS(B85-C85)</f>
        <v>0</v>
      </c>
      <c r="E85" s="42" t="n">
        <v>1E-012</v>
      </c>
      <c r="F85" s="5" t="str">
        <f aca="false">IF(D85&lt;=E85,"PASS","FAIL")</f>
        <v>PASS</v>
      </c>
    </row>
    <row r="86" customFormat="false" ht="15" hidden="false" customHeight="false" outlineLevel="0" collapsed="false">
      <c r="A86" s="3" t="s">
        <v>518</v>
      </c>
      <c r="B86" s="39" t="n">
        <f aca="false">Designs!L13</f>
        <v>4.86683420233348</v>
      </c>
      <c r="C86" s="40" t="n">
        <f aca="false">Reference_Values!B86</f>
        <v>4.86683420233348</v>
      </c>
      <c r="D86" s="41" t="n">
        <f aca="false">ABS(B86-C86)</f>
        <v>0</v>
      </c>
      <c r="E86" s="42" t="n">
        <v>1E-009</v>
      </c>
      <c r="F86" s="5" t="str">
        <f aca="false">IF(D86&lt;=E86,"PASS","FAIL")</f>
        <v>PASS</v>
      </c>
    </row>
    <row r="87" customFormat="false" ht="15" hidden="false" customHeight="false" outlineLevel="0" collapsed="false">
      <c r="A87" s="3" t="s">
        <v>519</v>
      </c>
      <c r="B87" s="39" t="n">
        <f aca="false">Designs!O13</f>
        <v>10.5558641576839</v>
      </c>
      <c r="C87" s="40" t="n">
        <f aca="false">Reference_Values!B87</f>
        <v>10.5558641576839</v>
      </c>
      <c r="D87" s="41" t="n">
        <f aca="false">ABS(B87-C87)</f>
        <v>0</v>
      </c>
      <c r="E87" s="42" t="n">
        <v>1E-009</v>
      </c>
      <c r="F87" s="5" t="str">
        <f aca="false">IF(D87&lt;=E87,"PASS","FAIL")</f>
        <v>PASS</v>
      </c>
    </row>
    <row r="88" customFormat="false" ht="15" hidden="false" customHeight="false" outlineLevel="0" collapsed="false">
      <c r="A88" s="3" t="s">
        <v>520</v>
      </c>
      <c r="B88" s="39" t="n">
        <f aca="false">Designs!P13</f>
        <v>6.4028722902781</v>
      </c>
      <c r="C88" s="40" t="n">
        <f aca="false">Reference_Values!B88</f>
        <v>6.4028722902781</v>
      </c>
      <c r="D88" s="41" t="n">
        <f aca="false">ABS(B88-C88)</f>
        <v>0</v>
      </c>
      <c r="E88" s="42" t="n">
        <v>1E-009</v>
      </c>
      <c r="F88" s="5" t="str">
        <f aca="false">IF(D88&lt;=E88,"PASS","FAIL")</f>
        <v>PASS</v>
      </c>
    </row>
    <row r="89" customFormat="false" ht="15" hidden="false" customHeight="false" outlineLevel="0" collapsed="false">
      <c r="A89" s="3" t="s">
        <v>521</v>
      </c>
      <c r="B89" s="39" t="n">
        <f aca="false">Designs!Q13</f>
        <v>4.0377386011349</v>
      </c>
      <c r="C89" s="40" t="n">
        <f aca="false">Reference_Values!B89</f>
        <v>4.0377386011349</v>
      </c>
      <c r="D89" s="41" t="n">
        <f aca="false">ABS(B89-C89)</f>
        <v>0</v>
      </c>
      <c r="E89" s="42" t="n">
        <v>1E-009</v>
      </c>
      <c r="F89" s="5" t="str">
        <f aca="false">IF(D89&lt;=E89,"PASS","FAIL")</f>
        <v>PASS</v>
      </c>
    </row>
    <row r="90" customFormat="false" ht="15" hidden="false" customHeight="false" outlineLevel="0" collapsed="false">
      <c r="A90" s="3" t="s">
        <v>522</v>
      </c>
      <c r="B90" s="39" t="n">
        <f aca="false">Designs!X13</f>
        <v>0.0499916981062948</v>
      </c>
      <c r="C90" s="40" t="n">
        <f aca="false">Reference_Values!B90</f>
        <v>0.0499916981062948</v>
      </c>
      <c r="D90" s="41" t="n">
        <f aca="false">ABS(B90-C90)</f>
        <v>0</v>
      </c>
      <c r="E90" s="42" t="n">
        <v>1E-009</v>
      </c>
      <c r="F90" s="5" t="str">
        <f aca="false">IF(D90&lt;=E90,"PASS","FAIL")</f>
        <v>PASS</v>
      </c>
    </row>
    <row r="91" customFormat="false" ht="15" hidden="false" customHeight="false" outlineLevel="0" collapsed="false">
      <c r="A91" s="3" t="s">
        <v>523</v>
      </c>
      <c r="B91" s="39" t="n">
        <f aca="false">Designs!Z13</f>
        <v>0.3572</v>
      </c>
      <c r="C91" s="40" t="n">
        <f aca="false">Reference_Values!B91</f>
        <v>0.3572</v>
      </c>
      <c r="D91" s="41" t="n">
        <f aca="false">ABS(B91-C91)</f>
        <v>0</v>
      </c>
      <c r="E91" s="42" t="n">
        <v>1E-012</v>
      </c>
      <c r="F91" s="5" t="str">
        <f aca="false">IF(D91&lt;=E91,"PASS","FAIL")</f>
        <v>PASS</v>
      </c>
    </row>
    <row r="92" customFormat="false" ht="15" hidden="false" customHeight="false" outlineLevel="0" collapsed="false">
      <c r="A92" s="3" t="s">
        <v>524</v>
      </c>
      <c r="B92" s="39" t="n">
        <f aca="false">Designs!AC13</f>
        <v>0.07676</v>
      </c>
      <c r="C92" s="40" t="n">
        <f aca="false">Reference_Values!B92</f>
        <v>0.07676</v>
      </c>
      <c r="D92" s="41" t="n">
        <f aca="false">ABS(B92-C92)</f>
        <v>0</v>
      </c>
      <c r="E92" s="42" t="n">
        <v>1E-012</v>
      </c>
      <c r="F92" s="5" t="str">
        <f aca="false">IF(D92&lt;=E92,"PASS","FAIL")</f>
        <v>PASS</v>
      </c>
    </row>
    <row r="93" customFormat="false" ht="15" hidden="false" customHeight="false" outlineLevel="0" collapsed="false">
      <c r="A93" s="3" t="s">
        <v>525</v>
      </c>
      <c r="B93" s="39" t="n">
        <f aca="false">Designs!G14</f>
        <v>0.58</v>
      </c>
      <c r="C93" s="40" t="n">
        <f aca="false">Reference_Values!B93</f>
        <v>0.58</v>
      </c>
      <c r="D93" s="41" t="n">
        <f aca="false">ABS(B93-C93)</f>
        <v>0</v>
      </c>
      <c r="E93" s="42" t="n">
        <v>1E-012</v>
      </c>
      <c r="F93" s="5" t="str">
        <f aca="false">IF(D93&lt;=E93,"PASS","FAIL")</f>
        <v>PASS</v>
      </c>
    </row>
    <row r="94" customFormat="false" ht="15" hidden="false" customHeight="false" outlineLevel="0" collapsed="false">
      <c r="A94" s="3" t="s">
        <v>526</v>
      </c>
      <c r="B94" s="39" t="n">
        <f aca="false">Designs!H14</f>
        <v>0.444827586206897</v>
      </c>
      <c r="C94" s="40" t="n">
        <f aca="false">Reference_Values!B94</f>
        <v>0.444827586206897</v>
      </c>
      <c r="D94" s="41" t="n">
        <f aca="false">ABS(B94-C94)</f>
        <v>0</v>
      </c>
      <c r="E94" s="42" t="n">
        <v>1E-012</v>
      </c>
      <c r="F94" s="5" t="str">
        <f aca="false">IF(D94&lt;=E94,"PASS","FAIL")</f>
        <v>PASS</v>
      </c>
    </row>
    <row r="95" customFormat="false" ht="15" hidden="false" customHeight="false" outlineLevel="0" collapsed="false">
      <c r="A95" s="3" t="s">
        <v>527</v>
      </c>
      <c r="B95" s="39" t="n">
        <f aca="false">Designs!I14</f>
        <v>0.0238095238095238</v>
      </c>
      <c r="C95" s="40" t="n">
        <f aca="false">Reference_Values!B95</f>
        <v>0.0238095238095238</v>
      </c>
      <c r="D95" s="41" t="n">
        <f aca="false">ABS(B95-C95)</f>
        <v>0</v>
      </c>
      <c r="E95" s="42" t="n">
        <v>1E-012</v>
      </c>
      <c r="F95" s="5" t="str">
        <f aca="false">IF(D95&lt;=E95,"PASS","FAIL")</f>
        <v>PASS</v>
      </c>
    </row>
    <row r="96" customFormat="false" ht="15" hidden="false" customHeight="false" outlineLevel="0" collapsed="false">
      <c r="A96" s="3" t="s">
        <v>528</v>
      </c>
      <c r="B96" s="39" t="n">
        <f aca="false">Designs!L14</f>
        <v>6.05943879962994</v>
      </c>
      <c r="C96" s="40" t="n">
        <f aca="false">Reference_Values!B96</f>
        <v>6.05943879962994</v>
      </c>
      <c r="D96" s="41" t="n">
        <f aca="false">ABS(B96-C96)</f>
        <v>0</v>
      </c>
      <c r="E96" s="42" t="n">
        <v>1E-009</v>
      </c>
      <c r="F96" s="5" t="str">
        <f aca="false">IF(D96&lt;=E96,"PASS","FAIL")</f>
        <v>PASS</v>
      </c>
    </row>
    <row r="97" customFormat="false" ht="15" hidden="false" customHeight="false" outlineLevel="0" collapsed="false">
      <c r="A97" s="3" t="s">
        <v>529</v>
      </c>
      <c r="B97" s="39" t="n">
        <f aca="false">Designs!O14</f>
        <v>11.6082514905362</v>
      </c>
      <c r="C97" s="40" t="n">
        <f aca="false">Reference_Values!B97</f>
        <v>11.6082514905362</v>
      </c>
      <c r="D97" s="41" t="n">
        <f aca="false">ABS(B97-C97)</f>
        <v>0</v>
      </c>
      <c r="E97" s="42" t="n">
        <v>1E-009</v>
      </c>
      <c r="F97" s="5" t="str">
        <f aca="false">IF(D97&lt;=E97,"PASS","FAIL")</f>
        <v>PASS</v>
      </c>
    </row>
    <row r="98" customFormat="false" ht="15" hidden="false" customHeight="false" outlineLevel="0" collapsed="false">
      <c r="A98" s="3" t="s">
        <v>530</v>
      </c>
      <c r="B98" s="39" t="n">
        <f aca="false">Designs!P14</f>
        <v>9.27775016035556</v>
      </c>
      <c r="C98" s="40" t="n">
        <f aca="false">Reference_Values!B98</f>
        <v>9.27775016035557</v>
      </c>
      <c r="D98" s="41" t="n">
        <f aca="false">ABS(B98-C98)</f>
        <v>0</v>
      </c>
      <c r="E98" s="42" t="n">
        <v>1E-009</v>
      </c>
      <c r="F98" s="5" t="str">
        <f aca="false">IF(D98&lt;=E98,"PASS","FAIL")</f>
        <v>PASS</v>
      </c>
    </row>
    <row r="99" customFormat="false" ht="15" hidden="false" customHeight="false" outlineLevel="0" collapsed="false">
      <c r="A99" s="3" t="s">
        <v>531</v>
      </c>
      <c r="B99" s="39" t="n">
        <f aca="false">Designs!Q14</f>
        <v>1.16286073105744</v>
      </c>
      <c r="C99" s="40" t="n">
        <f aca="false">Reference_Values!B99</f>
        <v>1.16286073105743</v>
      </c>
      <c r="D99" s="41" t="n">
        <f aca="false">ABS(B99-C99)</f>
        <v>7.105427357601E-015</v>
      </c>
      <c r="E99" s="42" t="n">
        <v>1E-009</v>
      </c>
      <c r="F99" s="5" t="str">
        <f aca="false">IF(D99&lt;=E99,"PASS","FAIL")</f>
        <v>PASS</v>
      </c>
    </row>
    <row r="100" customFormat="false" ht="15" hidden="false" customHeight="false" outlineLevel="0" collapsed="false">
      <c r="A100" s="3" t="s">
        <v>532</v>
      </c>
      <c r="B100" s="39" t="n">
        <f aca="false">Designs!X14</f>
        <v>0.049994323214812</v>
      </c>
      <c r="C100" s="40" t="n">
        <f aca="false">Reference_Values!B100</f>
        <v>0.049994323214812</v>
      </c>
      <c r="D100" s="41" t="n">
        <f aca="false">ABS(B100-C100)</f>
        <v>0</v>
      </c>
      <c r="E100" s="42" t="n">
        <v>1E-009</v>
      </c>
      <c r="F100" s="5" t="str">
        <f aca="false">IF(D100&lt;=E100,"PASS","FAIL")</f>
        <v>PASS</v>
      </c>
    </row>
    <row r="101" customFormat="false" ht="15" hidden="false" customHeight="false" outlineLevel="0" collapsed="false">
      <c r="A101" s="3" t="s">
        <v>533</v>
      </c>
      <c r="B101" s="39" t="n">
        <f aca="false">Designs!Z14</f>
        <v>0.68309</v>
      </c>
      <c r="C101" s="40" t="n">
        <f aca="false">Reference_Values!B101</f>
        <v>0.68309</v>
      </c>
      <c r="D101" s="41" t="n">
        <f aca="false">ABS(B101-C101)</f>
        <v>0</v>
      </c>
      <c r="E101" s="42" t="n">
        <v>1E-012</v>
      </c>
      <c r="F101" s="5" t="str">
        <f aca="false">IF(D101&lt;=E101,"PASS","FAIL")</f>
        <v>PASS</v>
      </c>
    </row>
    <row r="102" customFormat="false" ht="15" hidden="false" customHeight="false" outlineLevel="0" collapsed="false">
      <c r="A102" s="3" t="s">
        <v>534</v>
      </c>
      <c r="B102" s="39" t="n">
        <f aca="false">Designs!AC14</f>
        <v>0.0496</v>
      </c>
      <c r="C102" s="40" t="n">
        <f aca="false">Reference_Values!B102</f>
        <v>0.0496</v>
      </c>
      <c r="D102" s="41" t="n">
        <f aca="false">ABS(B102-C102)</f>
        <v>0</v>
      </c>
      <c r="E102" s="42" t="n">
        <v>1E-012</v>
      </c>
      <c r="F102" s="5" t="str">
        <f aca="false">IF(D102&lt;=E102,"PASS","FAIL")</f>
        <v>PASS</v>
      </c>
    </row>
    <row r="103" customFormat="false" ht="15" hidden="false" customHeight="false" outlineLevel="0" collapsed="false">
      <c r="A103" s="3" t="s">
        <v>535</v>
      </c>
      <c r="B103" s="39" t="n">
        <f aca="false">Designs!AE14</f>
        <v>0.590833630751909</v>
      </c>
      <c r="C103" s="40" t="n">
        <f aca="false">Reference_Values!B103</f>
        <v>0.590833630751908</v>
      </c>
      <c r="D103" s="41" t="n">
        <f aca="false">ABS(B103-C103)</f>
        <v>0</v>
      </c>
      <c r="E103" s="42" t="n">
        <v>1E-009</v>
      </c>
      <c r="F103" s="5" t="str">
        <f aca="false">IF(D103&lt;=E103,"PASS","FAIL")</f>
        <v>PASS</v>
      </c>
    </row>
    <row r="104" customFormat="false" ht="15" hidden="false" customHeight="false" outlineLevel="0" collapsed="false">
      <c r="A104" s="3" t="s">
        <v>536</v>
      </c>
      <c r="B104" s="39" t="n">
        <f aca="false">Designs!G10</f>
        <v>0.59</v>
      </c>
      <c r="C104" s="40" t="n">
        <f aca="false">Reference_Values!B104</f>
        <v>0.59</v>
      </c>
      <c r="D104" s="41" t="n">
        <f aca="false">ABS(B104-C104)</f>
        <v>0</v>
      </c>
      <c r="E104" s="42" t="n">
        <v>1E-012</v>
      </c>
      <c r="F104" s="5" t="str">
        <f aca="false">IF(D104&lt;=E104,"PASS","FAIL")</f>
        <v>PASS</v>
      </c>
    </row>
    <row r="105" customFormat="false" ht="15" hidden="false" customHeight="false" outlineLevel="0" collapsed="false">
      <c r="A105" s="3" t="s">
        <v>537</v>
      </c>
      <c r="B105" s="39" t="n">
        <f aca="false">Designs!H10</f>
        <v>0.447457627118644</v>
      </c>
      <c r="C105" s="40" t="n">
        <f aca="false">Reference_Values!B105</f>
        <v>0.447457627118644</v>
      </c>
      <c r="D105" s="41" t="n">
        <f aca="false">ABS(B105-C105)</f>
        <v>0</v>
      </c>
      <c r="E105" s="42" t="n">
        <v>1E-012</v>
      </c>
      <c r="F105" s="5" t="str">
        <f aca="false">IF(D105&lt;=E105,"PASS","FAIL")</f>
        <v>PASS</v>
      </c>
    </row>
    <row r="106" customFormat="false" ht="15" hidden="false" customHeight="false" outlineLevel="0" collapsed="false">
      <c r="A106" s="3" t="s">
        <v>538</v>
      </c>
      <c r="B106" s="39" t="n">
        <f aca="false">Designs!I10</f>
        <v>0.00975609756097561</v>
      </c>
      <c r="C106" s="40" t="n">
        <f aca="false">Reference_Values!B106</f>
        <v>0.00975609756097561</v>
      </c>
      <c r="D106" s="41" t="n">
        <f aca="false">ABS(B106-C106)</f>
        <v>0</v>
      </c>
      <c r="E106" s="42" t="n">
        <v>1E-012</v>
      </c>
      <c r="F106" s="5" t="str">
        <f aca="false">IF(D106&lt;=E106,"PASS","FAIL")</f>
        <v>PASS</v>
      </c>
    </row>
    <row r="107" customFormat="false" ht="15" hidden="false" customHeight="false" outlineLevel="0" collapsed="false">
      <c r="A107" s="3" t="s">
        <v>539</v>
      </c>
      <c r="B107" s="39" t="n">
        <f aca="false">Designs!L10</f>
        <v>5.46428219737665</v>
      </c>
      <c r="C107" s="40" t="n">
        <f aca="false">Reference_Values!B107</f>
        <v>5.46428219737665</v>
      </c>
      <c r="D107" s="41" t="n">
        <f aca="false">ABS(B107-C107)</f>
        <v>0</v>
      </c>
      <c r="E107" s="42" t="n">
        <v>1E-009</v>
      </c>
      <c r="F107" s="5" t="str">
        <f aca="false">IF(D107&lt;=E107,"PASS","FAIL")</f>
        <v>PASS</v>
      </c>
    </row>
    <row r="108" customFormat="false" ht="15" hidden="false" customHeight="false" outlineLevel="0" collapsed="false">
      <c r="A108" s="3" t="s">
        <v>540</v>
      </c>
      <c r="B108" s="39" t="n">
        <f aca="false">Designs!O10</f>
        <v>10.9640202322312</v>
      </c>
      <c r="C108" s="40" t="n">
        <f aca="false">Reference_Values!B108</f>
        <v>10.9640202322312</v>
      </c>
      <c r="D108" s="41" t="n">
        <f aca="false">ABS(B108-C108)</f>
        <v>0</v>
      </c>
      <c r="E108" s="42" t="n">
        <v>1E-009</v>
      </c>
      <c r="F108" s="5" t="str">
        <f aca="false">IF(D108&lt;=E108,"PASS","FAIL")</f>
        <v>PASS</v>
      </c>
    </row>
    <row r="109" customFormat="false" ht="15" hidden="false" customHeight="false" outlineLevel="0" collapsed="false">
      <c r="A109" s="3" t="s">
        <v>541</v>
      </c>
      <c r="B109" s="39" t="n">
        <f aca="false">Designs!P10</f>
        <v>8.70912763794083</v>
      </c>
      <c r="C109" s="40" t="n">
        <f aca="false">Reference_Values!B109</f>
        <v>8.70912763794084</v>
      </c>
      <c r="D109" s="41" t="n">
        <f aca="false">ABS(B109-C109)</f>
        <v>0</v>
      </c>
      <c r="E109" s="42" t="n">
        <v>1E-009</v>
      </c>
      <c r="F109" s="5" t="str">
        <f aca="false">IF(D109&lt;=E109,"PASS","FAIL")</f>
        <v>PASS</v>
      </c>
    </row>
    <row r="110" customFormat="false" ht="15" hidden="false" customHeight="false" outlineLevel="0" collapsed="false">
      <c r="A110" s="3" t="s">
        <v>542</v>
      </c>
      <c r="B110" s="39" t="n">
        <f aca="false">Designs!Q10</f>
        <v>1.73148325347217</v>
      </c>
      <c r="C110" s="40" t="n">
        <f aca="false">Reference_Values!B110</f>
        <v>1.73148325347217</v>
      </c>
      <c r="D110" s="41" t="n">
        <f aca="false">ABS(B110-C110)</f>
        <v>0</v>
      </c>
      <c r="E110" s="42" t="n">
        <v>1E-009</v>
      </c>
      <c r="F110" s="5" t="str">
        <f aca="false">IF(D110&lt;=E110,"PASS","FAIL")</f>
        <v>PASS</v>
      </c>
    </row>
    <row r="111" customFormat="false" ht="15" hidden="false" customHeight="false" outlineLevel="0" collapsed="false">
      <c r="A111" s="3" t="s">
        <v>543</v>
      </c>
      <c r="B111" s="39" t="n">
        <f aca="false">Designs!X10</f>
        <v>0.0499936338982782</v>
      </c>
      <c r="C111" s="40" t="n">
        <f aca="false">Reference_Values!B111</f>
        <v>0.0499936338982782</v>
      </c>
      <c r="D111" s="41" t="n">
        <f aca="false">ABS(B111-C111)</f>
        <v>0</v>
      </c>
      <c r="E111" s="42" t="n">
        <v>1E-009</v>
      </c>
      <c r="F111" s="5" t="str">
        <f aca="false">IF(D111&lt;=E111,"PASS","FAIL")</f>
        <v>PASS</v>
      </c>
    </row>
    <row r="112" customFormat="false" ht="15" hidden="false" customHeight="false" outlineLevel="0" collapsed="false">
      <c r="A112" s="3" t="s">
        <v>544</v>
      </c>
      <c r="B112" s="39" t="n">
        <f aca="false">Designs!Z10</f>
        <v>0.60891</v>
      </c>
      <c r="C112" s="40" t="n">
        <f aca="false">Reference_Values!B112</f>
        <v>0.60891</v>
      </c>
      <c r="D112" s="41" t="n">
        <f aca="false">ABS(B112-C112)</f>
        <v>0</v>
      </c>
      <c r="E112" s="42" t="n">
        <v>1E-012</v>
      </c>
      <c r="F112" s="5" t="str">
        <f aca="false">IF(D112&lt;=E112,"PASS","FAIL")</f>
        <v>PASS</v>
      </c>
    </row>
    <row r="113" customFormat="false" ht="15" hidden="false" customHeight="false" outlineLevel="0" collapsed="false">
      <c r="A113" s="3" t="s">
        <v>545</v>
      </c>
      <c r="B113" s="39" t="n">
        <f aca="false">Designs!AC10</f>
        <v>0.05019</v>
      </c>
      <c r="C113" s="40" t="n">
        <f aca="false">Reference_Values!B113</f>
        <v>0.05019</v>
      </c>
      <c r="D113" s="41" t="n">
        <f aca="false">ABS(B113-C113)</f>
        <v>0</v>
      </c>
      <c r="E113" s="42" t="n">
        <v>1E-012</v>
      </c>
      <c r="F113" s="5" t="str">
        <f aca="false">IF(D113&lt;=E113,"PASS","FAIL")</f>
        <v>PASS</v>
      </c>
    </row>
    <row r="114" customFormat="false" ht="15" hidden="false" customHeight="false" outlineLevel="0" collapsed="false">
      <c r="A114" s="3" t="s">
        <v>546</v>
      </c>
      <c r="B114" s="39" t="n">
        <f aca="false">Designs!AE10</f>
        <v>1.62748320723307</v>
      </c>
      <c r="C114" s="40" t="n">
        <f aca="false">Reference_Values!B114</f>
        <v>1.62748320723307</v>
      </c>
      <c r="D114" s="41" t="n">
        <f aca="false">ABS(B114-C114)</f>
        <v>0</v>
      </c>
      <c r="E114" s="42" t="n">
        <v>1E-009</v>
      </c>
      <c r="F114" s="5" t="str">
        <f aca="false">IF(D114&lt;=E114,"PASS","FAIL")</f>
        <v>PASS</v>
      </c>
    </row>
    <row r="115" customFormat="false" ht="15" hidden="false" customHeight="false" outlineLevel="0" collapsed="false">
      <c r="A115" s="3" t="s">
        <v>547</v>
      </c>
      <c r="B115" s="39" t="n">
        <f aca="false">Designs!H11</f>
        <v>0.482116784213065</v>
      </c>
      <c r="C115" s="40" t="n">
        <f aca="false">Reference_Values!B115</f>
        <v>0.482116784213065</v>
      </c>
      <c r="D115" s="41" t="n">
        <f aca="false">ABS(B115-C115)</f>
        <v>0</v>
      </c>
      <c r="E115" s="42" t="n">
        <v>1E-009</v>
      </c>
      <c r="F115" s="5" t="str">
        <f aca="false">IF(D115&lt;=E115,"PASS","FAIL")</f>
        <v>PASS</v>
      </c>
    </row>
    <row r="116" customFormat="false" ht="15" hidden="false" customHeight="false" outlineLevel="0" collapsed="false">
      <c r="A116" s="3" t="s">
        <v>548</v>
      </c>
      <c r="B116" s="39" t="n">
        <f aca="false">Designs!I11</f>
        <v>0.0221856332828053</v>
      </c>
      <c r="C116" s="40" t="n">
        <f aca="false">Reference_Values!B116</f>
        <v>0.0221856332828053</v>
      </c>
      <c r="D116" s="41" t="n">
        <f aca="false">ABS(B116-C116)</f>
        <v>0</v>
      </c>
      <c r="E116" s="42" t="n">
        <v>1E-009</v>
      </c>
      <c r="F116" s="5" t="str">
        <f aca="false">IF(D116&lt;=E116,"PASS","FAIL")</f>
        <v>PASS</v>
      </c>
    </row>
    <row r="117" customFormat="false" ht="15" hidden="false" customHeight="false" outlineLevel="0" collapsed="false">
      <c r="A117" s="3" t="s">
        <v>549</v>
      </c>
      <c r="B117" s="39" t="n">
        <f aca="false">Designs!L11</f>
        <v>5.8719521423685</v>
      </c>
      <c r="C117" s="40" t="n">
        <f aca="false">Reference_Values!B117</f>
        <v>5.8719521423685</v>
      </c>
      <c r="D117" s="41" t="n">
        <f aca="false">ABS(B117-C117)</f>
        <v>0</v>
      </c>
      <c r="E117" s="42" t="n">
        <v>1E-009</v>
      </c>
      <c r="F117" s="5" t="str">
        <f aca="false">IF(D117&lt;=E117,"PASS","FAIL")</f>
        <v>PASS</v>
      </c>
    </row>
    <row r="118" customFormat="false" ht="15" hidden="false" customHeight="false" outlineLevel="0" collapsed="false">
      <c r="A118" s="3" t="s">
        <v>550</v>
      </c>
      <c r="B118" s="39" t="n">
        <f aca="false">Designs!O11</f>
        <v>11.635351488721</v>
      </c>
      <c r="C118" s="40" t="n">
        <f aca="false">Reference_Values!B118</f>
        <v>11.635351488721</v>
      </c>
      <c r="D118" s="41" t="n">
        <f aca="false">ABS(B118-C118)</f>
        <v>0</v>
      </c>
      <c r="E118" s="42" t="n">
        <v>1E-009</v>
      </c>
      <c r="F118" s="5" t="str">
        <f aca="false">IF(D118&lt;=E118,"PASS","FAIL")</f>
        <v>PASS</v>
      </c>
    </row>
    <row r="119" customFormat="false" ht="15" hidden="false" customHeight="false" outlineLevel="0" collapsed="false">
      <c r="A119" s="3" t="s">
        <v>551</v>
      </c>
      <c r="B119" s="39" t="n">
        <f aca="false">Designs!P11</f>
        <v>9.27235775671648</v>
      </c>
      <c r="C119" s="40" t="n">
        <f aca="false">Reference_Values!B119</f>
        <v>9.27235775671648</v>
      </c>
      <c r="D119" s="41" t="n">
        <f aca="false">ABS(B119-C119)</f>
        <v>0</v>
      </c>
      <c r="E119" s="42" t="n">
        <v>1E-009</v>
      </c>
      <c r="F119" s="5" t="str">
        <f aca="false">IF(D119&lt;=E119,"PASS","FAIL")</f>
        <v>PASS</v>
      </c>
    </row>
    <row r="120" customFormat="false" ht="15" hidden="false" customHeight="false" outlineLevel="0" collapsed="false">
      <c r="A120" s="3" t="s">
        <v>552</v>
      </c>
      <c r="B120" s="39" t="n">
        <f aca="false">Designs!Q11</f>
        <v>1.16825313469652</v>
      </c>
      <c r="C120" s="40" t="n">
        <f aca="false">Reference_Values!B120</f>
        <v>1.16825313469652</v>
      </c>
      <c r="D120" s="41" t="n">
        <f aca="false">ABS(B120-C120)</f>
        <v>0</v>
      </c>
      <c r="E120" s="42" t="n">
        <v>1E-009</v>
      </c>
      <c r="F120" s="5" t="str">
        <f aca="false">IF(D120&lt;=E120,"PASS","FAIL")</f>
        <v>PASS</v>
      </c>
    </row>
    <row r="121" customFormat="false" ht="15" hidden="false" customHeight="false" outlineLevel="0" collapsed="false">
      <c r="A121" s="3" t="s">
        <v>553</v>
      </c>
      <c r="B121" s="39" t="n">
        <f aca="false">Designs!X11</f>
        <v>0.049995165406856</v>
      </c>
      <c r="C121" s="40" t="n">
        <f aca="false">Reference_Values!B121</f>
        <v>0.049995165406856</v>
      </c>
      <c r="D121" s="41" t="n">
        <f aca="false">ABS(B121-C121)</f>
        <v>0</v>
      </c>
      <c r="E121" s="42" t="n">
        <v>1E-009</v>
      </c>
      <c r="F121" s="5" t="str">
        <f aca="false">IF(D121&lt;=E121,"PASS","FAIL")</f>
        <v>PASS</v>
      </c>
    </row>
    <row r="122" customFormat="false" ht="15" hidden="false" customHeight="false" outlineLevel="0" collapsed="false">
      <c r="A122" s="3" t="s">
        <v>554</v>
      </c>
      <c r="B122" s="39" t="n">
        <f aca="false">Designs!AC11</f>
        <v>0.04726</v>
      </c>
      <c r="C122" s="40" t="n">
        <f aca="false">Reference_Values!B122</f>
        <v>0.04726</v>
      </c>
      <c r="D122" s="41" t="n">
        <f aca="false">ABS(B122-C122)</f>
        <v>0</v>
      </c>
      <c r="E122" s="42" t="n">
        <v>1E-012</v>
      </c>
      <c r="F122" s="5" t="str">
        <f aca="false">IF(D122&lt;=E122,"PASS","FAIL")</f>
        <v>PASS</v>
      </c>
    </row>
    <row r="123" customFormat="false" ht="15" hidden="false" customHeight="false" outlineLevel="0" collapsed="false">
      <c r="A123" s="3" t="s">
        <v>555</v>
      </c>
      <c r="B123" s="39" t="n">
        <f aca="false">Designs!AE11</f>
        <v>1.059267253057</v>
      </c>
      <c r="C123" s="40" t="n">
        <f aca="false">Reference_Values!B123</f>
        <v>1.05926725305699</v>
      </c>
      <c r="D123" s="41" t="n">
        <f aca="false">ABS(B123-C123)</f>
        <v>5.99520433297585E-015</v>
      </c>
      <c r="E123" s="42" t="n">
        <v>1E-009</v>
      </c>
      <c r="F123" s="5" t="str">
        <f aca="false">IF(D123&lt;=E123,"PASS","FAIL")</f>
        <v>PASS</v>
      </c>
    </row>
    <row r="124" customFormat="false" ht="15" hidden="false" customHeight="false" outlineLevel="0" collapsed="false">
      <c r="A124" s="3" t="s">
        <v>556</v>
      </c>
      <c r="B124" s="39" t="n">
        <f aca="false">Designs!G12</f>
        <v>0.252</v>
      </c>
      <c r="C124" s="40" t="n">
        <f aca="false">Reference_Values!B124</f>
        <v>0.252</v>
      </c>
      <c r="D124" s="41" t="n">
        <f aca="false">ABS(B124-C124)</f>
        <v>0</v>
      </c>
      <c r="E124" s="42" t="n">
        <v>1E-012</v>
      </c>
      <c r="F124" s="5" t="str">
        <f aca="false">IF(D124&lt;=E124,"PASS","FAIL")</f>
        <v>PASS</v>
      </c>
    </row>
    <row r="125" customFormat="false" ht="15" hidden="false" customHeight="false" outlineLevel="0" collapsed="false">
      <c r="A125" s="3" t="s">
        <v>557</v>
      </c>
      <c r="B125" s="39" t="n">
        <f aca="false">Designs!H12</f>
        <v>0.817460317460317</v>
      </c>
      <c r="C125" s="40" t="n">
        <f aca="false">Reference_Values!B125</f>
        <v>0.817460317460317</v>
      </c>
      <c r="D125" s="41" t="n">
        <f aca="false">ABS(B125-C125)</f>
        <v>0</v>
      </c>
      <c r="E125" s="42" t="n">
        <v>1E-012</v>
      </c>
      <c r="F125" s="5" t="str">
        <f aca="false">IF(D125&lt;=E125,"PASS","FAIL")</f>
        <v>PASS</v>
      </c>
    </row>
    <row r="126" customFormat="false" ht="15" hidden="false" customHeight="false" outlineLevel="0" collapsed="false">
      <c r="A126" s="3" t="s">
        <v>558</v>
      </c>
      <c r="B126" s="39" t="n">
        <f aca="false">Designs!I12</f>
        <v>0.0828877005347594</v>
      </c>
      <c r="C126" s="40" t="n">
        <f aca="false">Reference_Values!B126</f>
        <v>0.0828877005347594</v>
      </c>
      <c r="D126" s="41" t="n">
        <f aca="false">ABS(B126-C126)</f>
        <v>0</v>
      </c>
      <c r="E126" s="42" t="n">
        <v>1E-012</v>
      </c>
      <c r="F126" s="5" t="str">
        <f aca="false">IF(D126&lt;=E126,"PASS","FAIL")</f>
        <v>PASS</v>
      </c>
    </row>
    <row r="127" customFormat="false" ht="15" hidden="false" customHeight="false" outlineLevel="0" collapsed="false">
      <c r="A127" s="3" t="s">
        <v>559</v>
      </c>
      <c r="B127" s="39" t="n">
        <f aca="false">Designs!P12</f>
        <v>9.7745133830368</v>
      </c>
      <c r="C127" s="40" t="n">
        <f aca="false">Reference_Values!B127</f>
        <v>9.77451338303679</v>
      </c>
      <c r="D127" s="41" t="n">
        <f aca="false">ABS(B127-C127)</f>
        <v>0</v>
      </c>
      <c r="E127" s="42" t="n">
        <v>1E-009</v>
      </c>
      <c r="F127" s="5" t="str">
        <f aca="false">IF(D127&lt;=E127,"PASS","FAIL")</f>
        <v>PASS</v>
      </c>
    </row>
    <row r="128" customFormat="false" ht="15" hidden="false" customHeight="false" outlineLevel="0" collapsed="false">
      <c r="A128" s="3" t="s">
        <v>560</v>
      </c>
      <c r="B128" s="39" t="n">
        <f aca="false">Designs!Q12</f>
        <v>0.666097508376204</v>
      </c>
      <c r="C128" s="40" t="n">
        <f aca="false">Reference_Values!B128</f>
        <v>0.666097508376208</v>
      </c>
      <c r="D128" s="41" t="n">
        <f aca="false">ABS(B128-C128)</f>
        <v>3.99680288865056E-015</v>
      </c>
      <c r="E128" s="42" t="n">
        <v>1E-009</v>
      </c>
      <c r="F128" s="5" t="str">
        <f aca="false">IF(D128&lt;=E128,"PASS","FAIL")</f>
        <v>PASS</v>
      </c>
    </row>
    <row r="129" customFormat="false" ht="15" hidden="false" customHeight="false" outlineLevel="0" collapsed="false">
      <c r="A129" s="3" t="s">
        <v>561</v>
      </c>
      <c r="B129" s="39" t="n">
        <f aca="false">Designs!X12</f>
        <v>0.0499873693338119</v>
      </c>
      <c r="C129" s="40" t="n">
        <f aca="false">Reference_Values!B129</f>
        <v>0.0499873693338119</v>
      </c>
      <c r="D129" s="41" t="n">
        <f aca="false">ABS(B129-C129)</f>
        <v>0</v>
      </c>
      <c r="E129" s="42" t="n">
        <v>1E-009</v>
      </c>
      <c r="F129" s="5" t="str">
        <f aca="false">IF(D129&lt;=E129,"PASS","FAIL")</f>
        <v>PASS</v>
      </c>
    </row>
    <row r="130" customFormat="false" ht="15" hidden="false" customHeight="false" outlineLevel="0" collapsed="false">
      <c r="A130" s="3" t="s">
        <v>562</v>
      </c>
      <c r="B130" s="39" t="n">
        <f aca="false">Designs!AC12</f>
        <v>0.05033</v>
      </c>
      <c r="C130" s="40" t="n">
        <f aca="false">Reference_Values!B130</f>
        <v>0.05033</v>
      </c>
      <c r="D130" s="41" t="n">
        <f aca="false">ABS(B130-C130)</f>
        <v>0</v>
      </c>
      <c r="E130" s="42" t="n">
        <v>1E-012</v>
      </c>
      <c r="F130" s="5" t="str">
        <f aca="false">IF(D130&lt;=E130,"PASS","FAIL")</f>
        <v>PASS</v>
      </c>
    </row>
    <row r="131" customFormat="false" ht="15" hidden="false" customHeight="false" outlineLevel="0" collapsed="false">
      <c r="A131" s="3" t="s">
        <v>563</v>
      </c>
      <c r="B131" s="39" t="n">
        <f aca="false">Examples!B56</f>
        <v>0.482116784213065</v>
      </c>
      <c r="C131" s="40" t="n">
        <f aca="false">Reference_Values!B131</f>
        <v>0.482116784213065</v>
      </c>
      <c r="D131" s="41" t="n">
        <f aca="false">ABS(B131-C131)</f>
        <v>0</v>
      </c>
      <c r="E131" s="42" t="n">
        <v>1E-009</v>
      </c>
      <c r="F131" s="5" t="str">
        <f aca="false">IF(D131&lt;=E131,"PASS","FAIL")</f>
        <v>PASS</v>
      </c>
    </row>
    <row r="132" customFormat="false" ht="15" hidden="false" customHeight="false" outlineLevel="0" collapsed="false">
      <c r="A132" s="3" t="s">
        <v>564</v>
      </c>
      <c r="B132" s="39" t="n">
        <f aca="false">Study200!H5</f>
        <v>0.475</v>
      </c>
      <c r="C132" s="40" t="n">
        <f aca="false">Reference_Values!B132</f>
        <v>0.475</v>
      </c>
      <c r="D132" s="41" t="n">
        <f aca="false">ABS(B132-C132)</f>
        <v>0</v>
      </c>
      <c r="E132" s="42" t="n">
        <v>1E-012</v>
      </c>
      <c r="F132" s="5" t="str">
        <f aca="false">IF(D132&lt;=E132,"PASS","FAIL")</f>
        <v>PASS</v>
      </c>
    </row>
    <row r="133" customFormat="false" ht="15" hidden="false" customHeight="false" outlineLevel="0" collapsed="false">
      <c r="A133" s="3" t="s">
        <v>566</v>
      </c>
      <c r="B133" s="39" t="n">
        <f aca="false">Study200!I5</f>
        <v>0.98</v>
      </c>
      <c r="C133" s="40" t="n">
        <f aca="false">Reference_Values!B133</f>
        <v>0.98</v>
      </c>
      <c r="D133" s="41" t="n">
        <f aca="false">ABS(B133-C133)</f>
        <v>0</v>
      </c>
      <c r="E133" s="42" t="n">
        <v>1E-012</v>
      </c>
      <c r="F133" s="5" t="str">
        <f aca="false">IF(D133&lt;=E133,"PASS","FAIL")</f>
        <v>PASS</v>
      </c>
    </row>
    <row r="134" customFormat="false" ht="15" hidden="false" customHeight="false" outlineLevel="0" collapsed="false">
      <c r="A134" s="3" t="s">
        <v>567</v>
      </c>
      <c r="B134" s="39" t="n">
        <f aca="false">Study200!H6</f>
        <v>0.05019745</v>
      </c>
      <c r="C134" s="40" t="n">
        <f aca="false">Reference_Values!B134</f>
        <v>0.05019745</v>
      </c>
      <c r="D134" s="41" t="n">
        <f aca="false">ABS(B134-C134)</f>
        <v>0</v>
      </c>
      <c r="E134" s="42" t="n">
        <v>1E-012</v>
      </c>
      <c r="F134" s="5" t="str">
        <f aca="false">IF(D134&lt;=E134,"PASS","FAIL")</f>
        <v>PASS</v>
      </c>
    </row>
    <row r="135" customFormat="false" ht="15" hidden="false" customHeight="false" outlineLevel="0" collapsed="false">
      <c r="A135" s="3" t="s">
        <v>568</v>
      </c>
      <c r="B135" s="39" t="n">
        <f aca="false">Study200!I6</f>
        <v>0.04754545</v>
      </c>
      <c r="C135" s="40" t="n">
        <f aca="false">Reference_Values!B135</f>
        <v>0.04754545</v>
      </c>
      <c r="D135" s="41" t="n">
        <f aca="false">ABS(B135-C135)</f>
        <v>0</v>
      </c>
      <c r="E135" s="42" t="n">
        <v>1E-012</v>
      </c>
      <c r="F135" s="5" t="str">
        <f aca="false">IF(D135&lt;=E135,"PASS","FAIL")</f>
        <v>PASS</v>
      </c>
    </row>
    <row r="136" customFormat="false" ht="15" hidden="false" customHeight="false" outlineLevel="0" collapsed="false">
      <c r="A136" s="3" t="s">
        <v>569</v>
      </c>
      <c r="B136" s="39" t="n">
        <f aca="false">Study200!H7</f>
        <v>0.052131</v>
      </c>
      <c r="C136" s="40" t="n">
        <f aca="false">Reference_Values!B136</f>
        <v>0.052131</v>
      </c>
      <c r="D136" s="41" t="n">
        <f aca="false">ABS(B136-C136)</f>
        <v>0</v>
      </c>
      <c r="E136" s="42" t="n">
        <v>1E-012</v>
      </c>
      <c r="F136" s="5" t="str">
        <f aca="false">IF(D136&lt;=E136,"PASS","FAIL")</f>
        <v>PASS</v>
      </c>
    </row>
    <row r="137" customFormat="false" ht="15" hidden="false" customHeight="false" outlineLevel="0" collapsed="false">
      <c r="A137" s="3" t="s">
        <v>570</v>
      </c>
      <c r="B137" s="39" t="n">
        <f aca="false">Study200!I7</f>
        <v>0.048911</v>
      </c>
      <c r="C137" s="40" t="n">
        <f aca="false">Reference_Values!B137</f>
        <v>0.048911</v>
      </c>
      <c r="D137" s="41" t="n">
        <f aca="false">ABS(B137-C137)</f>
        <v>0</v>
      </c>
      <c r="E137" s="42" t="n">
        <v>1E-012</v>
      </c>
      <c r="F137" s="5" t="str">
        <f aca="false">IF(D137&lt;=E137,"PASS","FAIL")</f>
        <v>PASS</v>
      </c>
    </row>
    <row r="138" customFormat="false" ht="15" hidden="false" customHeight="false" outlineLevel="0" collapsed="false">
      <c r="A138" s="3" t="s">
        <v>571</v>
      </c>
      <c r="B138" s="39" t="n">
        <f aca="false">Study200!H8</f>
        <v>1.53331250360096</v>
      </c>
      <c r="C138" s="40" t="n">
        <f aca="false">Reference_Values!B138</f>
        <v>1.53331250360096</v>
      </c>
      <c r="D138" s="41" t="n">
        <f aca="false">ABS(B138-C138)</f>
        <v>0</v>
      </c>
      <c r="E138" s="42" t="n">
        <v>1E-012</v>
      </c>
      <c r="F138" s="5" t="str">
        <f aca="false">IF(D138&lt;=E138,"PASS","FAIL")</f>
        <v>PASS</v>
      </c>
    </row>
    <row r="139" customFormat="false" ht="15" hidden="false" customHeight="false" outlineLevel="0" collapsed="false">
      <c r="A139" s="3" t="s">
        <v>572</v>
      </c>
      <c r="B139" s="39" t="n">
        <f aca="false">Study200!I8</f>
        <v>0.950205983073889</v>
      </c>
      <c r="C139" s="40" t="n">
        <f aca="false">Reference_Values!B139</f>
        <v>0.950205983073888</v>
      </c>
      <c r="D139" s="41" t="n">
        <f aca="false">ABS(B139-C139)</f>
        <v>0</v>
      </c>
      <c r="E139" s="42" t="n">
        <v>1E-012</v>
      </c>
      <c r="F139" s="5" t="str">
        <f aca="false">IF(D139&lt;=E139,"PASS","FAIL")</f>
        <v>PASS</v>
      </c>
    </row>
    <row r="140" customFormat="false" ht="15" hidden="false" customHeight="false" outlineLevel="0" collapsed="false">
      <c r="A140" s="3" t="s">
        <v>573</v>
      </c>
      <c r="B140" s="39" t="n">
        <f aca="false">Components!B5</f>
        <v>0.559519628455908</v>
      </c>
      <c r="C140" s="40" t="n">
        <f aca="false">Reference_Values!B140</f>
        <v>0.559519628455909</v>
      </c>
      <c r="D140" s="41" t="n">
        <f aca="false">ABS(B140-C140)</f>
        <v>0</v>
      </c>
      <c r="E140" s="42" t="n">
        <v>1E-009</v>
      </c>
      <c r="F140" s="5" t="str">
        <f aca="false">IF(D140&lt;=E140,"PASS","FAIL")</f>
        <v>PASS</v>
      </c>
    </row>
    <row r="141" customFormat="false" ht="15" hidden="false" customHeight="false" outlineLevel="0" collapsed="false">
      <c r="A141" s="3" t="s">
        <v>574</v>
      </c>
      <c r="B141" s="39" t="n">
        <f aca="false">Components!C5</f>
        <v>0.804854291597977</v>
      </c>
      <c r="C141" s="40" t="n">
        <f aca="false">Reference_Values!B141</f>
        <v>0.804854291597977</v>
      </c>
      <c r="D141" s="41" t="n">
        <f aca="false">ABS(B141-C141)</f>
        <v>0</v>
      </c>
      <c r="E141" s="42" t="n">
        <v>1E-009</v>
      </c>
      <c r="F141" s="5" t="str">
        <f aca="false">IF(D141&lt;=E141,"PASS","FAIL")</f>
        <v>PASS</v>
      </c>
    </row>
    <row r="142" customFormat="false" ht="15" hidden="false" customHeight="false" outlineLevel="0" collapsed="false">
      <c r="A142" s="3" t="s">
        <v>575</v>
      </c>
      <c r="B142" s="39" t="n">
        <f aca="false">Components!D5</f>
        <v>0.905685693804764</v>
      </c>
      <c r="C142" s="40" t="n">
        <f aca="false">Reference_Values!B142</f>
        <v>0.905685693804764</v>
      </c>
      <c r="D142" s="41" t="n">
        <f aca="false">ABS(B142-C142)</f>
        <v>0</v>
      </c>
      <c r="E142" s="42" t="n">
        <v>1E-009</v>
      </c>
      <c r="F142" s="5" t="str">
        <f aca="false">IF(D142&lt;=E142,"PASS","FAIL")</f>
        <v>PASS</v>
      </c>
    </row>
    <row r="143" customFormat="false" ht="15" hidden="false" customHeight="false" outlineLevel="0" collapsed="false">
      <c r="A143" s="3" t="s">
        <v>576</v>
      </c>
      <c r="B143" s="39" t="n">
        <f aca="false">Components!E5</f>
        <v>0.960821794741423</v>
      </c>
      <c r="C143" s="40" t="n">
        <f aca="false">Reference_Values!B143</f>
        <v>0.960821794741423</v>
      </c>
      <c r="D143" s="41" t="n">
        <f aca="false">ABS(B143-C143)</f>
        <v>0</v>
      </c>
      <c r="E143" s="42" t="n">
        <v>1E-009</v>
      </c>
      <c r="F143" s="5" t="str">
        <f aca="false">IF(D143&lt;=E143,"PASS","FAIL")</f>
        <v>PASS</v>
      </c>
    </row>
    <row r="144" customFormat="false" ht="15" hidden="false" customHeight="false" outlineLevel="0" collapsed="false">
      <c r="A144" s="3" t="s">
        <v>577</v>
      </c>
      <c r="B144" s="39" t="n">
        <f aca="false">Components!F5</f>
        <v>1</v>
      </c>
      <c r="C144" s="40" t="n">
        <f aca="false">Reference_Values!B144</f>
        <v>1</v>
      </c>
      <c r="D144" s="41" t="n">
        <f aca="false">ABS(B144-C144)</f>
        <v>0</v>
      </c>
      <c r="E144" s="42" t="n">
        <v>1E-009</v>
      </c>
      <c r="F144" s="5" t="str">
        <f aca="false">IF(D144&lt;=E144,"PASS","FAIL")</f>
        <v>PASS</v>
      </c>
    </row>
    <row r="145" customFormat="false" ht="15" hidden="false" customHeight="false" outlineLevel="0" collapsed="false">
      <c r="A145" s="3" t="s">
        <v>578</v>
      </c>
      <c r="B145" s="39" t="n">
        <f aca="false">Components!C38</f>
        <v>0.724499491133643</v>
      </c>
      <c r="C145" s="40" t="n">
        <f aca="false">Reference_Values!B145</f>
        <v>0.724499491133643</v>
      </c>
      <c r="D145" s="41" t="n">
        <f aca="false">ABS(B145-C145)</f>
        <v>0</v>
      </c>
      <c r="E145" s="42" t="n">
        <v>1E-008</v>
      </c>
      <c r="F145" s="5" t="str">
        <f aca="false">IF(D145&lt;=E145,"PASS","FAIL")</f>
        <v>PASS</v>
      </c>
    </row>
    <row r="146" customFormat="false" ht="15" hidden="false" customHeight="false" outlineLevel="0" collapsed="false">
      <c r="A146" s="3" t="s">
        <v>580</v>
      </c>
      <c r="B146" s="39" t="n">
        <f aca="false">Components!C39</f>
        <v>0.918774835172871</v>
      </c>
      <c r="C146" s="40" t="n">
        <f aca="false">Reference_Values!B146</f>
        <v>0.918774835172871</v>
      </c>
      <c r="D146" s="41" t="n">
        <f aca="false">ABS(B146-C146)</f>
        <v>0</v>
      </c>
      <c r="E146" s="42" t="n">
        <v>1E-008</v>
      </c>
      <c r="F146" s="5" t="str">
        <f aca="false">IF(D146&lt;=E146,"PASS","FAIL")</f>
        <v>PASS</v>
      </c>
    </row>
    <row r="147" customFormat="false" ht="15" hidden="false" customHeight="false" outlineLevel="0" collapsed="false">
      <c r="A147" s="3" t="s">
        <v>581</v>
      </c>
      <c r="B147" s="39" t="n">
        <f aca="false">Components!C40</f>
        <v>0.924227442124567</v>
      </c>
      <c r="C147" s="40" t="n">
        <f aca="false">Reference_Values!B147</f>
        <v>0.924227442124567</v>
      </c>
      <c r="D147" s="41" t="n">
        <f aca="false">ABS(B147-C147)</f>
        <v>0</v>
      </c>
      <c r="E147" s="42" t="n">
        <v>1E-008</v>
      </c>
      <c r="F147" s="5" t="str">
        <f aca="false">IF(D147&lt;=E147,"PASS","FAIL")</f>
        <v>PASS</v>
      </c>
    </row>
    <row r="148" customFormat="false" ht="15" hidden="false" customHeight="false" outlineLevel="0" collapsed="false">
      <c r="A148" s="3" t="s">
        <v>582</v>
      </c>
      <c r="B148" s="39" t="n">
        <f aca="false">Law!C53</f>
        <v>0.577332294292029</v>
      </c>
      <c r="C148" s="40" t="n">
        <f aca="false">Reference_Values!B148</f>
        <v>0.577332294292029</v>
      </c>
      <c r="D148" s="41" t="n">
        <f aca="false">ABS(B148-C148)</f>
        <v>0</v>
      </c>
      <c r="E148" s="42" t="n">
        <v>1E-009</v>
      </c>
      <c r="F148" s="5" t="str">
        <f aca="false">IF(D148&lt;=E148,"PASS","FAIL")</f>
        <v>PASS</v>
      </c>
    </row>
    <row r="149" customFormat="false" ht="15" hidden="false" customHeight="false" outlineLevel="0" collapsed="false">
      <c r="A149" s="3" t="s">
        <v>583</v>
      </c>
      <c r="B149" s="39" t="n">
        <f aca="false">Law!E53</f>
        <v>0.510962690956737</v>
      </c>
      <c r="C149" s="40" t="n">
        <f aca="false">Reference_Values!B149</f>
        <v>0.510962690956737</v>
      </c>
      <c r="D149" s="41" t="n">
        <f aca="false">ABS(B149-C149)</f>
        <v>0</v>
      </c>
      <c r="E149" s="42" t="n">
        <v>1E-012</v>
      </c>
      <c r="F149" s="5" t="str">
        <f aca="false">IF(D149&lt;=E149,"PASS","FAIL")</f>
        <v>PASS</v>
      </c>
    </row>
    <row r="150" customFormat="false" ht="15" hidden="false" customHeight="false" outlineLevel="0" collapsed="false">
      <c r="A150" s="3" t="s">
        <v>584</v>
      </c>
      <c r="B150" s="39" t="n">
        <f aca="false">Law!C54</f>
        <v>0.914332736717199</v>
      </c>
      <c r="C150" s="40" t="n">
        <f aca="false">Reference_Values!B150</f>
        <v>0.914332736717199</v>
      </c>
      <c r="D150" s="41" t="n">
        <f aca="false">ABS(B150-C150)</f>
        <v>0</v>
      </c>
      <c r="E150" s="42" t="n">
        <v>1E-009</v>
      </c>
      <c r="F150" s="5" t="str">
        <f aca="false">IF(D150&lt;=E150,"PASS","FAIL")</f>
        <v>PASS</v>
      </c>
    </row>
    <row r="151" customFormat="false" ht="15" hidden="false" customHeight="false" outlineLevel="0" collapsed="false">
      <c r="A151" s="3" t="s">
        <v>585</v>
      </c>
      <c r="B151" s="39" t="n">
        <f aca="false">Law!E54</f>
        <v>0.489037309043263</v>
      </c>
      <c r="C151" s="40" t="n">
        <f aca="false">Reference_Values!B151</f>
        <v>0.489037309043263</v>
      </c>
      <c r="D151" s="41" t="n">
        <f aca="false">ABS(B151-C151)</f>
        <v>0</v>
      </c>
      <c r="E151" s="42" t="n">
        <v>1E-012</v>
      </c>
      <c r="F151" s="5" t="str">
        <f aca="false">IF(D151&lt;=E151,"PASS","FAIL")</f>
        <v>PASS</v>
      </c>
    </row>
    <row r="152" customFormat="false" ht="15" hidden="false" customHeight="false" outlineLevel="0" collapsed="false">
      <c r="A152" s="3" t="s">
        <v>586</v>
      </c>
      <c r="B152" s="39" t="n">
        <f aca="false">Law!C55</f>
        <v>0.910445403636639</v>
      </c>
      <c r="C152" s="40" t="n">
        <f aca="false">Reference_Values!B152</f>
        <v>0.910445403636639</v>
      </c>
      <c r="D152" s="41" t="n">
        <f aca="false">ABS(B152-C152)</f>
        <v>0</v>
      </c>
      <c r="E152" s="42" t="n">
        <v>1E-009</v>
      </c>
      <c r="F152" s="5" t="str">
        <f aca="false">IF(D152&lt;=E152,"PASS","FAIL")</f>
        <v>PASS</v>
      </c>
    </row>
    <row r="153" customFormat="false" ht="15" hidden="false" customHeight="false" outlineLevel="0" collapsed="false">
      <c r="A153" s="3" t="s">
        <v>587</v>
      </c>
      <c r="B153" s="39" t="n">
        <f aca="false">Law!E55</f>
        <v>0.301408068062405</v>
      </c>
      <c r="C153" s="40" t="n">
        <f aca="false">Reference_Values!B153</f>
        <v>0.301408068062405</v>
      </c>
      <c r="D153" s="41" t="n">
        <f aca="false">ABS(B153-C153)</f>
        <v>0</v>
      </c>
      <c r="E153" s="42" t="n">
        <v>1E-012</v>
      </c>
      <c r="F153" s="5" t="str">
        <f aca="false">IF(D153&lt;=E153,"PASS","FAIL")</f>
        <v>PASS</v>
      </c>
    </row>
    <row r="154" customFormat="false" ht="15" hidden="false" customHeight="false" outlineLevel="0" collapsed="false">
      <c r="A154" s="3" t="s">
        <v>588</v>
      </c>
      <c r="B154" s="39" t="n">
        <f aca="false">Law!C56</f>
        <v>0.697615195729101</v>
      </c>
      <c r="C154" s="40" t="n">
        <f aca="false">Reference_Values!B154</f>
        <v>0.697615195729101</v>
      </c>
      <c r="D154" s="41" t="n">
        <f aca="false">ABS(B154-C154)</f>
        <v>0</v>
      </c>
      <c r="E154" s="42" t="n">
        <v>1E-009</v>
      </c>
      <c r="F154" s="5" t="str">
        <f aca="false">IF(D154&lt;=E154,"PASS","FAIL")</f>
        <v>PASS</v>
      </c>
    </row>
    <row r="155" customFormat="false" ht="15" hidden="false" customHeight="false" outlineLevel="0" collapsed="false">
      <c r="A155" s="3" t="s">
        <v>589</v>
      </c>
      <c r="B155" s="39" t="n">
        <f aca="false">Law!E56</f>
        <v>0.698591931937595</v>
      </c>
      <c r="C155" s="40" t="n">
        <f aca="false">Reference_Values!B155</f>
        <v>0.698591931937595</v>
      </c>
      <c r="D155" s="41" t="n">
        <f aca="false">ABS(B155-C155)</f>
        <v>0</v>
      </c>
      <c r="E155" s="42" t="n">
        <v>1E-012</v>
      </c>
      <c r="F155" s="5" t="str">
        <f aca="false">IF(D155&lt;=E155,"PASS","FAIL")</f>
        <v>PASS</v>
      </c>
    </row>
    <row r="156" customFormat="false" ht="15" hidden="false" customHeight="false" outlineLevel="0" collapsed="false">
      <c r="A156" s="3" t="s">
        <v>590</v>
      </c>
      <c r="B156" s="39" t="n">
        <f aca="false">Model!B9</f>
        <v>-0.0711454327374361</v>
      </c>
      <c r="C156" s="40" t="n">
        <f aca="false">Reference_Values!B156</f>
        <v>-0.0711454327374366</v>
      </c>
      <c r="D156" s="41" t="n">
        <f aca="false">ABS(B156-C156)</f>
        <v>4.85722573273506E-016</v>
      </c>
      <c r="E156" s="42" t="n">
        <v>1E-009</v>
      </c>
      <c r="F156" s="5" t="str">
        <f aca="false">IF(D156&lt;=E156,"PASS","FAIL")</f>
        <v>PASS</v>
      </c>
    </row>
    <row r="157" customFormat="false" ht="15" hidden="false" customHeight="false" outlineLevel="0" collapsed="false">
      <c r="A157" s="3" t="s">
        <v>591</v>
      </c>
      <c r="B157" s="39" t="n">
        <f aca="false">Model!B10</f>
        <v>0.482221140413608</v>
      </c>
      <c r="C157" s="40" t="n">
        <f aca="false">Reference_Values!B157</f>
        <v>0.482221140413608</v>
      </c>
      <c r="D157" s="41" t="n">
        <f aca="false">ABS(B157-C157)</f>
        <v>0</v>
      </c>
      <c r="E157" s="42" t="n">
        <v>1E-009</v>
      </c>
      <c r="F157" s="5" t="str">
        <f aca="false">IF(D157&lt;=E157,"PASS","FAIL")</f>
        <v>PASS</v>
      </c>
    </row>
    <row r="158" customFormat="false" ht="15" hidden="false" customHeight="false" outlineLevel="0" collapsed="false">
      <c r="A158" s="3" t="s">
        <v>592</v>
      </c>
      <c r="B158" s="39" t="n">
        <f aca="false">Model!B12</f>
        <v>1</v>
      </c>
      <c r="C158" s="40" t="n">
        <f aca="false">Reference_Values!B158</f>
        <v>1</v>
      </c>
      <c r="D158" s="41" t="n">
        <f aca="false">ABS(B158-C158)</f>
        <v>0</v>
      </c>
      <c r="E158" s="42" t="n">
        <v>0</v>
      </c>
      <c r="F158" s="5" t="str">
        <f aca="false">IF(D158&lt;=E158,"PASS","FAIL")</f>
        <v>PASS</v>
      </c>
    </row>
    <row r="159" customFormat="false" ht="15" hidden="false" customHeight="false" outlineLevel="0" collapsed="false">
      <c r="A159" s="3" t="s">
        <v>593</v>
      </c>
      <c r="B159" s="39" t="n">
        <f aca="false">1-Model!B13</f>
        <v>1</v>
      </c>
      <c r="C159" s="40" t="n">
        <f aca="false">Reference_Values!B159</f>
        <v>1</v>
      </c>
      <c r="D159" s="41" t="n">
        <f aca="false">ABS(B159-C159)</f>
        <v>0</v>
      </c>
      <c r="E159" s="42" t="n">
        <v>0</v>
      </c>
      <c r="F159" s="5" t="str">
        <f aca="false">IF(D159&lt;=E159,"PASS","FAIL")</f>
        <v>PASS</v>
      </c>
    </row>
    <row r="160" customFormat="false" ht="15" hidden="false" customHeight="false" outlineLevel="0" collapsed="false">
      <c r="A160" s="3" t="s">
        <v>595</v>
      </c>
      <c r="B160" s="39" t="n">
        <f aca="false">Model!B15</f>
        <v>-0.412835201237751</v>
      </c>
      <c r="C160" s="40" t="n">
        <f aca="false">Reference_Values!B160</f>
        <v>-0.412835201237751</v>
      </c>
      <c r="D160" s="41" t="n">
        <f aca="false">ABS(B160-C160)</f>
        <v>0</v>
      </c>
      <c r="E160" s="42" t="n">
        <v>1E-009</v>
      </c>
      <c r="F160" s="5" t="str">
        <f aca="false">IF(D160&lt;=E160,"PASS","FAIL")</f>
        <v>PASS</v>
      </c>
    </row>
    <row r="161" customFormat="false" ht="15" hidden="false" customHeight="false" outlineLevel="0" collapsed="false">
      <c r="A161" s="3" t="s">
        <v>596</v>
      </c>
      <c r="B161" s="39" t="n">
        <f aca="false">Model!C15</f>
        <v>-0.241896019350898</v>
      </c>
      <c r="C161" s="40" t="n">
        <f aca="false">Reference_Values!B161</f>
        <v>-0.241896019350898</v>
      </c>
      <c r="D161" s="41" t="n">
        <f aca="false">ABS(B161-C161)</f>
        <v>0</v>
      </c>
      <c r="E161" s="42" t="n">
        <v>1E-009</v>
      </c>
      <c r="F161" s="5" t="str">
        <f aca="false">IF(D161&lt;=E161,"PASS","FAIL")</f>
        <v>PASS</v>
      </c>
    </row>
    <row r="162" customFormat="false" ht="15" hidden="false" customHeight="false" outlineLevel="0" collapsed="false">
      <c r="A162" s="3" t="s">
        <v>597</v>
      </c>
      <c r="B162" s="39" t="n">
        <f aca="false">Model!D15</f>
        <v>-0.17630306635323</v>
      </c>
      <c r="C162" s="40" t="n">
        <f aca="false">Reference_Values!B162</f>
        <v>-0.17630306635323</v>
      </c>
      <c r="D162" s="41" t="n">
        <f aca="false">ABS(B162-C162)</f>
        <v>0</v>
      </c>
      <c r="E162" s="42" t="n">
        <v>1E-009</v>
      </c>
      <c r="F162" s="5" t="str">
        <f aca="false">IF(D162&lt;=E162,"PASS","FAIL")</f>
        <v>PASS</v>
      </c>
    </row>
    <row r="163" customFormat="false" ht="15" hidden="false" customHeight="false" outlineLevel="0" collapsed="false">
      <c r="A163" s="3" t="s">
        <v>598</v>
      </c>
      <c r="B163" s="39" t="n">
        <f aca="false">Model!E15</f>
        <v>0.819817516293645</v>
      </c>
      <c r="C163" s="40" t="n">
        <f aca="false">Reference_Values!B163</f>
        <v>0.819817516293644</v>
      </c>
      <c r="D163" s="41" t="n">
        <f aca="false">ABS(B163-C163)</f>
        <v>0</v>
      </c>
      <c r="E163" s="42" t="n">
        <v>1E-009</v>
      </c>
      <c r="F163" s="5" t="str">
        <f aca="false">IF(D163&lt;=E163,"PASS","FAIL")</f>
        <v>PASS</v>
      </c>
    </row>
    <row r="164" customFormat="false" ht="15" hidden="false" customHeight="false" outlineLevel="0" collapsed="false">
      <c r="A164" s="3" t="s">
        <v>599</v>
      </c>
      <c r="B164" s="39" t="n">
        <f aca="false">Model!F15</f>
        <v>2.13127725052707</v>
      </c>
      <c r="C164" s="40" t="n">
        <f aca="false">Reference_Values!B164</f>
        <v>2.13127725052707</v>
      </c>
      <c r="D164" s="41" t="n">
        <f aca="false">ABS(B164-C164)</f>
        <v>0</v>
      </c>
      <c r="E164" s="42" t="n">
        <v>1E-009</v>
      </c>
      <c r="F164" s="5" t="str">
        <f aca="false">IF(D164&lt;=E164,"PASS","FAIL")</f>
        <v>PASS</v>
      </c>
    </row>
    <row r="165" customFormat="false" ht="15" hidden="false" customHeight="false" outlineLevel="0" collapsed="false">
      <c r="A165" s="3" t="s">
        <v>600</v>
      </c>
      <c r="B165" s="39" t="n">
        <f aca="false">Model!B18</f>
        <v>2.12006047987884</v>
      </c>
      <c r="C165" s="40" t="n">
        <f aca="false">Reference_Values!B165</f>
        <v>2.12006047987884</v>
      </c>
      <c r="D165" s="41" t="n">
        <f aca="false">ABS(B165-C165)</f>
        <v>0</v>
      </c>
      <c r="E165" s="42" t="n">
        <v>1E-009</v>
      </c>
      <c r="F165" s="5" t="str">
        <f aca="false">IF(D165&lt;=E165,"PASS","FAIL")</f>
        <v>PASS</v>
      </c>
    </row>
    <row r="166" customFormat="false" ht="15" hidden="false" customHeight="false" outlineLevel="0" collapsed="false">
      <c r="A166" s="3" t="s">
        <v>601</v>
      </c>
      <c r="B166" s="39" t="n">
        <f aca="false">Model!B19</f>
        <v>2.12006047987884</v>
      </c>
      <c r="C166" s="40" t="n">
        <f aca="false">Reference_Values!B166</f>
        <v>2.12006047987884</v>
      </c>
      <c r="D166" s="41" t="n">
        <f aca="false">ABS(B166-C166)</f>
        <v>0</v>
      </c>
      <c r="E166" s="42" t="n">
        <v>1E-009</v>
      </c>
      <c r="F166" s="5" t="str">
        <f aca="false">IF(D166&lt;=E166,"PASS","FAIL")</f>
        <v>PASS</v>
      </c>
    </row>
    <row r="167" customFormat="false" ht="15" hidden="false" customHeight="false" outlineLevel="0" collapsed="false">
      <c r="A167" s="3" t="s">
        <v>602</v>
      </c>
      <c r="B167" s="39" t="n">
        <f aca="false">Model!F15</f>
        <v>2.13127725052707</v>
      </c>
      <c r="C167" s="40" t="n">
        <f aca="false">Reference_Values!B167</f>
        <v>2.13127725052707</v>
      </c>
      <c r="D167" s="41" t="n">
        <f aca="false">ABS(B167-C167)</f>
        <v>0</v>
      </c>
      <c r="E167" s="42" t="n">
        <v>1E-009</v>
      </c>
      <c r="F167" s="5" t="str">
        <f aca="false">IF(D167&lt;=E167,"PASS","FAIL")</f>
        <v>PASS</v>
      </c>
    </row>
    <row r="168" customFormat="false" ht="15" hidden="false" customHeight="false" outlineLevel="0" collapsed="false">
      <c r="A168" s="3" t="s">
        <v>604</v>
      </c>
      <c r="B168" s="39" t="n">
        <f aca="false">Model!B21</f>
        <v>-0.831034286941879</v>
      </c>
      <c r="C168" s="40" t="n">
        <f aca="false">Reference_Values!B168</f>
        <v>-0.831034286941879</v>
      </c>
      <c r="D168" s="41" t="n">
        <f aca="false">ABS(B168-C168)</f>
        <v>0</v>
      </c>
      <c r="E168" s="42" t="n">
        <v>1E-009</v>
      </c>
      <c r="F168" s="5" t="str">
        <f aca="false">IF(D168&lt;=E168,"PASS","FAIL")</f>
        <v>PASS</v>
      </c>
    </row>
    <row r="169" customFormat="false" ht="15" hidden="false" customHeight="false" outlineLevel="0" collapsed="false">
      <c r="A169" s="3" t="s">
        <v>606</v>
      </c>
      <c r="B169" s="39" t="n">
        <f aca="false">Model!B27</f>
        <v>0.8</v>
      </c>
      <c r="C169" s="40" t="n">
        <f aca="false">Reference_Values!B169</f>
        <v>0.8</v>
      </c>
      <c r="D169" s="41" t="n">
        <f aca="false">ABS(B169-C169)</f>
        <v>0</v>
      </c>
      <c r="E169" s="42" t="n">
        <v>1E-012</v>
      </c>
      <c r="F169" s="5" t="str">
        <f aca="false">IF(D169&lt;=E169,"PASS","FAIL")</f>
        <v>PASS</v>
      </c>
    </row>
    <row r="170" customFormat="false" ht="15" hidden="false" customHeight="false" outlineLevel="0" collapsed="false">
      <c r="A170" s="3" t="s">
        <v>608</v>
      </c>
      <c r="B170" s="39" t="n">
        <f aca="false">Model!B36</f>
        <v>1</v>
      </c>
      <c r="C170" s="40" t="n">
        <f aca="false">Reference_Values!B170</f>
        <v>1</v>
      </c>
      <c r="D170" s="41" t="n">
        <f aca="false">ABS(B170-C170)</f>
        <v>0</v>
      </c>
      <c r="E170" s="42" t="n">
        <v>1E-012</v>
      </c>
      <c r="F170" s="5" t="str">
        <f aca="false">IF(D170&lt;=E170,"PASS","FAIL")</f>
        <v>PASS</v>
      </c>
    </row>
    <row r="171" customFormat="false" ht="15" hidden="false" customHeight="false" outlineLevel="0" collapsed="false">
      <c r="A171" s="3" t="s">
        <v>610</v>
      </c>
      <c r="B171" s="39" t="n">
        <f aca="false">Table13_3!G5</f>
        <v>0</v>
      </c>
      <c r="C171" s="40" t="n">
        <f aca="false">Reference_Values!B171</f>
        <v>0</v>
      </c>
      <c r="D171" s="41" t="n">
        <f aca="false">ABS(B171-C171)</f>
        <v>0</v>
      </c>
      <c r="E171" s="42" t="n">
        <v>1E-009</v>
      </c>
      <c r="F171" s="5" t="str">
        <f aca="false">IF(D171&lt;=E171,"PASS","FAIL")</f>
        <v>PASS</v>
      </c>
    </row>
    <row r="172" customFormat="false" ht="15" hidden="false" customHeight="false" outlineLevel="0" collapsed="false">
      <c r="A172" s="3" t="s">
        <v>611</v>
      </c>
      <c r="B172" s="39" t="n">
        <f aca="false">Table13_3!H5</f>
        <v>4.907</v>
      </c>
      <c r="C172" s="40" t="n">
        <f aca="false">Reference_Values!B172</f>
        <v>4.907</v>
      </c>
      <c r="D172" s="41" t="n">
        <f aca="false">ABS(B172-C172)</f>
        <v>0</v>
      </c>
      <c r="E172" s="42" t="n">
        <v>1E-009</v>
      </c>
      <c r="F172" s="5" t="str">
        <f aca="false">IF(D172&lt;=E172,"PASS","FAIL")</f>
        <v>PASS</v>
      </c>
    </row>
    <row r="173" customFormat="false" ht="15" hidden="false" customHeight="false" outlineLevel="0" collapsed="false">
      <c r="A173" s="3" t="s">
        <v>612</v>
      </c>
      <c r="B173" s="39" t="n">
        <f aca="false">Table13_3!I5</f>
        <v>0</v>
      </c>
      <c r="C173" s="40" t="n">
        <f aca="false">Reference_Values!B173</f>
        <v>0</v>
      </c>
      <c r="D173" s="41" t="n">
        <f aca="false">ABS(B173-C173)</f>
        <v>0</v>
      </c>
      <c r="E173" s="42" t="n">
        <v>1E-009</v>
      </c>
      <c r="F173" s="5" t="str">
        <f aca="false">IF(D173&lt;=E173,"PASS","FAIL")</f>
        <v>PASS</v>
      </c>
    </row>
    <row r="174" customFormat="false" ht="15" hidden="false" customHeight="false" outlineLevel="0" collapsed="false">
      <c r="A174" s="3" t="s">
        <v>613</v>
      </c>
      <c r="B174" s="39" t="n">
        <f aca="false">Table13_3!B6</f>
        <v>25.96</v>
      </c>
      <c r="C174" s="40" t="n">
        <f aca="false">Reference_Values!B174</f>
        <v>25.96</v>
      </c>
      <c r="D174" s="41" t="n">
        <f aca="false">ABS(B174-C174)</f>
        <v>0</v>
      </c>
      <c r="E174" s="42" t="n">
        <v>1E-009</v>
      </c>
      <c r="F174" s="5" t="str">
        <f aca="false">IF(D174&lt;=E174,"PASS","FAIL")</f>
        <v>PASS</v>
      </c>
    </row>
    <row r="175" customFormat="false" ht="15" hidden="false" customHeight="false" outlineLevel="0" collapsed="false">
      <c r="A175" s="3" t="s">
        <v>614</v>
      </c>
      <c r="B175" s="39" t="n">
        <f aca="false">Table13_3!G6</f>
        <v>4.11798179468523</v>
      </c>
      <c r="C175" s="40" t="n">
        <f aca="false">Reference_Values!B175</f>
        <v>4.11798179468523</v>
      </c>
      <c r="D175" s="41" t="n">
        <f aca="false">ABS(B175-C175)</f>
        <v>0</v>
      </c>
      <c r="E175" s="42" t="n">
        <v>1E-009</v>
      </c>
      <c r="F175" s="5" t="str">
        <f aca="false">IF(D175&lt;=E175,"PASS","FAIL")</f>
        <v>PASS</v>
      </c>
    </row>
    <row r="176" customFormat="false" ht="15" hidden="false" customHeight="false" outlineLevel="0" collapsed="false">
      <c r="A176" s="3" t="s">
        <v>615</v>
      </c>
      <c r="B176" s="39" t="n">
        <f aca="false">Table13_3!H6</f>
        <v>4.913</v>
      </c>
      <c r="C176" s="40" t="n">
        <f aca="false">Reference_Values!B176</f>
        <v>4.913</v>
      </c>
      <c r="D176" s="41" t="n">
        <f aca="false">ABS(B176-C176)</f>
        <v>0</v>
      </c>
      <c r="E176" s="42" t="n">
        <v>1E-009</v>
      </c>
      <c r="F176" s="5" t="str">
        <f aca="false">IF(D176&lt;=E176,"PASS","FAIL")</f>
        <v>PASS</v>
      </c>
    </row>
    <row r="177" customFormat="false" ht="15" hidden="false" customHeight="false" outlineLevel="0" collapsed="false">
      <c r="A177" s="3" t="s">
        <v>616</v>
      </c>
      <c r="B177" s="39" t="n">
        <f aca="false">Table13_3!I6</f>
        <v>4.11528504588426</v>
      </c>
      <c r="C177" s="40" t="n">
        <f aca="false">Reference_Values!B177</f>
        <v>4.11528504588426</v>
      </c>
      <c r="D177" s="41" t="n">
        <f aca="false">ABS(B177-C177)</f>
        <v>0</v>
      </c>
      <c r="E177" s="42" t="n">
        <v>1E-009</v>
      </c>
      <c r="F177" s="5" t="str">
        <f aca="false">IF(D177&lt;=E177,"PASS","FAIL")</f>
        <v>PASS</v>
      </c>
    </row>
    <row r="178" customFormat="false" ht="15" hidden="false" customHeight="false" outlineLevel="0" collapsed="false">
      <c r="A178" s="3" t="s">
        <v>617</v>
      </c>
      <c r="B178" s="39" t="n">
        <f aca="false">Table13_3!B7</f>
        <v>58.94</v>
      </c>
      <c r="C178" s="40" t="n">
        <f aca="false">Reference_Values!B178</f>
        <v>58.94</v>
      </c>
      <c r="D178" s="41" t="n">
        <f aca="false">ABS(B178-C178)</f>
        <v>0</v>
      </c>
      <c r="E178" s="42" t="n">
        <v>1E-009</v>
      </c>
      <c r="F178" s="5" t="str">
        <f aca="false">IF(D178&lt;=E178,"PASS","FAIL")</f>
        <v>PASS</v>
      </c>
    </row>
    <row r="179" customFormat="false" ht="15" hidden="false" customHeight="false" outlineLevel="0" collapsed="false">
      <c r="A179" s="3" t="s">
        <v>618</v>
      </c>
      <c r="B179" s="39" t="n">
        <f aca="false">Table13_3!G7</f>
        <v>1.43688179317371</v>
      </c>
      <c r="C179" s="40" t="n">
        <f aca="false">Reference_Values!B179</f>
        <v>1.43688179317372</v>
      </c>
      <c r="D179" s="41" t="n">
        <f aca="false">ABS(B179-C179)</f>
        <v>5.10702591327572E-015</v>
      </c>
      <c r="E179" s="42" t="n">
        <v>1E-009</v>
      </c>
      <c r="F179" s="5" t="str">
        <f aca="false">IF(D179&lt;=E179,"PASS","FAIL")</f>
        <v>PASS</v>
      </c>
    </row>
    <row r="180" customFormat="false" ht="15" hidden="false" customHeight="false" outlineLevel="0" collapsed="false">
      <c r="A180" s="3" t="s">
        <v>619</v>
      </c>
      <c r="B180" s="39" t="n">
        <f aca="false">Table13_3!H7</f>
        <v>4.898</v>
      </c>
      <c r="C180" s="40" t="n">
        <f aca="false">Reference_Values!B180</f>
        <v>4.898</v>
      </c>
      <c r="D180" s="41" t="n">
        <f aca="false">ABS(B180-C180)</f>
        <v>0</v>
      </c>
      <c r="E180" s="42" t="n">
        <v>1E-009</v>
      </c>
      <c r="F180" s="5" t="str">
        <f aca="false">IF(D180&lt;=E180,"PASS","FAIL")</f>
        <v>PASS</v>
      </c>
    </row>
    <row r="181" customFormat="false" ht="15" hidden="false" customHeight="false" outlineLevel="0" collapsed="false">
      <c r="A181" s="3" t="s">
        <v>620</v>
      </c>
      <c r="B181" s="39" t="n">
        <f aca="false">Table13_3!I7</f>
        <v>1.43218182601976</v>
      </c>
      <c r="C181" s="40" t="n">
        <f aca="false">Reference_Values!B181</f>
        <v>1.43218182601976</v>
      </c>
      <c r="D181" s="41" t="n">
        <f aca="false">ABS(B181-C181)</f>
        <v>0</v>
      </c>
      <c r="E181" s="42" t="n">
        <v>1E-009</v>
      </c>
      <c r="F181" s="5" t="str">
        <f aca="false">IF(D181&lt;=E181,"PASS","FAIL")</f>
        <v>PASS</v>
      </c>
    </row>
    <row r="182" customFormat="false" ht="15" hidden="false" customHeight="false" outlineLevel="0" collapsed="false">
      <c r="A182" s="3" t="s">
        <v>621</v>
      </c>
      <c r="B182" s="39" t="n">
        <f aca="false">Table13_3!B8</f>
        <v>22.924</v>
      </c>
      <c r="C182" s="40" t="n">
        <f aca="false">Reference_Values!B182</f>
        <v>22.924</v>
      </c>
      <c r="D182" s="41" t="n">
        <f aca="false">ABS(B182-C182)</f>
        <v>0</v>
      </c>
      <c r="E182" s="42" t="n">
        <v>1E-009</v>
      </c>
      <c r="F182" s="5" t="str">
        <f aca="false">IF(D182&lt;=E182,"PASS","FAIL")</f>
        <v>PASS</v>
      </c>
    </row>
    <row r="183" customFormat="false" ht="15" hidden="false" customHeight="false" outlineLevel="0" collapsed="false">
      <c r="A183" s="3" t="s">
        <v>622</v>
      </c>
      <c r="B183" s="39" t="n">
        <f aca="false">Table13_3!G8</f>
        <v>0.527332168940577</v>
      </c>
      <c r="C183" s="40" t="n">
        <f aca="false">Reference_Values!B183</f>
        <v>0.52733216894058</v>
      </c>
      <c r="D183" s="41" t="n">
        <f aca="false">ABS(B183-C183)</f>
        <v>3.44169137633799E-015</v>
      </c>
      <c r="E183" s="42" t="n">
        <v>1E-009</v>
      </c>
      <c r="F183" s="5" t="str">
        <f aca="false">IF(D183&lt;=E183,"PASS","FAIL")</f>
        <v>PASS</v>
      </c>
    </row>
    <row r="184" customFormat="false" ht="15" hidden="false" customHeight="false" outlineLevel="0" collapsed="false">
      <c r="A184" s="3" t="s">
        <v>623</v>
      </c>
      <c r="B184" s="39" t="n">
        <f aca="false">Table13_3!H8</f>
        <v>4.898</v>
      </c>
      <c r="C184" s="40" t="n">
        <f aca="false">Reference_Values!B184</f>
        <v>4.898</v>
      </c>
      <c r="D184" s="41" t="n">
        <f aca="false">ABS(B184-C184)</f>
        <v>0</v>
      </c>
      <c r="E184" s="42" t="n">
        <v>1E-009</v>
      </c>
      <c r="F184" s="5" t="str">
        <f aca="false">IF(D184&lt;=E184,"PASS","FAIL")</f>
        <v>PASS</v>
      </c>
    </row>
    <row r="185" customFormat="false" ht="15" hidden="false" customHeight="false" outlineLevel="0" collapsed="false">
      <c r="A185" s="3" t="s">
        <v>624</v>
      </c>
      <c r="B185" s="39" t="n">
        <f aca="false">Table13_3!I8</f>
        <v>0.529115528093158</v>
      </c>
      <c r="C185" s="40" t="n">
        <f aca="false">Reference_Values!B185</f>
        <v>0.529115528093161</v>
      </c>
      <c r="D185" s="41" t="n">
        <f aca="false">ABS(B185-C185)</f>
        <v>3.33066907387547E-015</v>
      </c>
      <c r="E185" s="42" t="n">
        <v>1E-009</v>
      </c>
      <c r="F185" s="5" t="str">
        <f aca="false">IF(D185&lt;=E185,"PASS","FAIL")</f>
        <v>PASS</v>
      </c>
    </row>
    <row r="186" customFormat="false" ht="15" hidden="false" customHeight="false" outlineLevel="0" collapsed="false">
      <c r="A186" s="3" t="s">
        <v>625</v>
      </c>
      <c r="B186" s="39" t="n">
        <f aca="false">Table13_3!B9</f>
        <v>58.646</v>
      </c>
      <c r="C186" s="40" t="n">
        <f aca="false">Reference_Values!B186</f>
        <v>58.646</v>
      </c>
      <c r="D186" s="41" t="n">
        <f aca="false">ABS(B186-C186)</f>
        <v>0</v>
      </c>
      <c r="E186" s="42" t="n">
        <v>1E-009</v>
      </c>
      <c r="F186" s="5" t="str">
        <f aca="false">IF(D186&lt;=E186,"PASS","FAIL")</f>
        <v>PASS</v>
      </c>
    </row>
    <row r="187" customFormat="false" ht="15" hidden="false" customHeight="false" outlineLevel="0" collapsed="false">
      <c r="A187" s="3" t="s">
        <v>626</v>
      </c>
      <c r="B187" s="39" t="n">
        <f aca="false">Table13_3!G9</f>
        <v>1.43648066559962</v>
      </c>
      <c r="C187" s="40" t="n">
        <f aca="false">Reference_Values!B187</f>
        <v>1.43648066559962</v>
      </c>
      <c r="D187" s="41" t="n">
        <f aca="false">ABS(B187-C187)</f>
        <v>0</v>
      </c>
      <c r="E187" s="42" t="n">
        <v>1E-009</v>
      </c>
      <c r="F187" s="5" t="str">
        <f aca="false">IF(D187&lt;=E187,"PASS","FAIL")</f>
        <v>PASS</v>
      </c>
    </row>
    <row r="188" customFormat="false" ht="15" hidden="false" customHeight="false" outlineLevel="0" collapsed="false">
      <c r="A188" s="3" t="s">
        <v>627</v>
      </c>
      <c r="B188" s="39" t="n">
        <f aca="false">Table13_3!H9</f>
        <v>4.928</v>
      </c>
      <c r="C188" s="40" t="n">
        <f aca="false">Reference_Values!B188</f>
        <v>4.928</v>
      </c>
      <c r="D188" s="41" t="n">
        <f aca="false">ABS(B188-C188)</f>
        <v>0</v>
      </c>
      <c r="E188" s="42" t="n">
        <v>1E-009</v>
      </c>
      <c r="F188" s="5" t="str">
        <f aca="false">IF(D188&lt;=E188,"PASS","FAIL")</f>
        <v>PASS</v>
      </c>
    </row>
    <row r="189" customFormat="false" ht="15" hidden="false" customHeight="false" outlineLevel="0" collapsed="false">
      <c r="A189" s="3" t="s">
        <v>628</v>
      </c>
      <c r="B189" s="39" t="n">
        <f aca="false">Table13_3!I9</f>
        <v>1.4584076055193</v>
      </c>
      <c r="C189" s="40" t="n">
        <f aca="false">Reference_Values!B189</f>
        <v>1.4584076055193</v>
      </c>
      <c r="D189" s="41" t="n">
        <f aca="false">ABS(B189-C189)</f>
        <v>0</v>
      </c>
      <c r="E189" s="42" t="n">
        <v>1E-009</v>
      </c>
      <c r="F189" s="5" t="str">
        <f aca="false">IF(D189&lt;=E189,"PASS","FAIL")</f>
        <v>PASS</v>
      </c>
    </row>
    <row r="190" customFormat="false" ht="15" hidden="false" customHeight="false" outlineLevel="0" collapsed="false">
      <c r="A190" s="3" t="s">
        <v>629</v>
      </c>
      <c r="B190" s="39" t="n">
        <f aca="false">Table13_3!B10</f>
        <v>60.891</v>
      </c>
      <c r="C190" s="40" t="n">
        <f aca="false">Reference_Values!B190</f>
        <v>60.891</v>
      </c>
      <c r="D190" s="41" t="n">
        <f aca="false">ABS(B190-C190)</f>
        <v>0</v>
      </c>
      <c r="E190" s="42" t="n">
        <v>1E-009</v>
      </c>
      <c r="F190" s="5" t="str">
        <f aca="false">IF(D190&lt;=E190,"PASS","FAIL")</f>
        <v>PASS</v>
      </c>
    </row>
    <row r="191" customFormat="false" ht="15" hidden="false" customHeight="false" outlineLevel="0" collapsed="false">
      <c r="A191" s="3" t="s">
        <v>630</v>
      </c>
      <c r="B191" s="39" t="n">
        <f aca="false">Table13_3!G10</f>
        <v>1.73148325347217</v>
      </c>
      <c r="C191" s="40" t="n">
        <f aca="false">Reference_Values!B191</f>
        <v>1.73148325347217</v>
      </c>
      <c r="D191" s="41" t="n">
        <f aca="false">ABS(B191-C191)</f>
        <v>0</v>
      </c>
      <c r="E191" s="42" t="n">
        <v>1E-009</v>
      </c>
      <c r="F191" s="5" t="str">
        <f aca="false">IF(D191&lt;=E191,"PASS","FAIL")</f>
        <v>PASS</v>
      </c>
    </row>
    <row r="192" customFormat="false" ht="15" hidden="false" customHeight="false" outlineLevel="0" collapsed="false">
      <c r="A192" s="3" t="s">
        <v>631</v>
      </c>
      <c r="B192" s="39" t="n">
        <f aca="false">Table13_3!H10</f>
        <v>5.019</v>
      </c>
      <c r="C192" s="40" t="n">
        <f aca="false">Reference_Values!B192</f>
        <v>5.019</v>
      </c>
      <c r="D192" s="41" t="n">
        <f aca="false">ABS(B192-C192)</f>
        <v>0</v>
      </c>
      <c r="E192" s="42" t="n">
        <v>1E-009</v>
      </c>
      <c r="F192" s="5" t="str">
        <f aca="false">IF(D192&lt;=E192,"PASS","FAIL")</f>
        <v>PASS</v>
      </c>
    </row>
    <row r="193" customFormat="false" ht="15" hidden="false" customHeight="false" outlineLevel="0" collapsed="false">
      <c r="A193" s="3" t="s">
        <v>632</v>
      </c>
      <c r="B193" s="39" t="n">
        <f aca="false">Table13_3!I10</f>
        <v>1.62748320723307</v>
      </c>
      <c r="C193" s="40" t="n">
        <f aca="false">Reference_Values!B193</f>
        <v>1.62748320723307</v>
      </c>
      <c r="D193" s="41" t="n">
        <f aca="false">ABS(B193-C193)</f>
        <v>0</v>
      </c>
      <c r="E193" s="42" t="n">
        <v>1E-009</v>
      </c>
      <c r="F193" s="5" t="str">
        <f aca="false">IF(D193&lt;=E193,"PASS","FAIL")</f>
        <v>PASS</v>
      </c>
    </row>
    <row r="194" customFormat="false" ht="15" hidden="false" customHeight="false" outlineLevel="0" collapsed="false">
      <c r="A194" s="3" t="s">
        <v>633</v>
      </c>
      <c r="B194" s="39" t="n">
        <f aca="false">Table13_3!B11</f>
        <v>60.891</v>
      </c>
      <c r="C194" s="40" t="n">
        <f aca="false">Reference_Values!B194</f>
        <v>60.891</v>
      </c>
      <c r="D194" s="41" t="n">
        <f aca="false">ABS(B194-C194)</f>
        <v>0</v>
      </c>
      <c r="E194" s="42" t="n">
        <v>1E-009</v>
      </c>
      <c r="F194" s="5" t="str">
        <f aca="false">IF(D194&lt;=E194,"PASS","FAIL")</f>
        <v>PASS</v>
      </c>
    </row>
    <row r="195" customFormat="false" ht="15" hidden="false" customHeight="false" outlineLevel="0" collapsed="false">
      <c r="A195" s="3" t="s">
        <v>634</v>
      </c>
      <c r="B195" s="39" t="n">
        <f aca="false">Table13_3!G11</f>
        <v>1.16825313469652</v>
      </c>
      <c r="C195" s="40" t="n">
        <f aca="false">Reference_Values!B195</f>
        <v>1.16825313469652</v>
      </c>
      <c r="D195" s="41" t="n">
        <f aca="false">ABS(B195-C195)</f>
        <v>0</v>
      </c>
      <c r="E195" s="42" t="n">
        <v>1E-009</v>
      </c>
      <c r="F195" s="5" t="str">
        <f aca="false">IF(D195&lt;=E195,"PASS","FAIL")</f>
        <v>PASS</v>
      </c>
    </row>
    <row r="196" customFormat="false" ht="15" hidden="false" customHeight="false" outlineLevel="0" collapsed="false">
      <c r="A196" s="3" t="s">
        <v>635</v>
      </c>
      <c r="B196" s="39" t="n">
        <f aca="false">Table13_3!H11</f>
        <v>4.726</v>
      </c>
      <c r="C196" s="40" t="n">
        <f aca="false">Reference_Values!B196</f>
        <v>4.726</v>
      </c>
      <c r="D196" s="41" t="n">
        <f aca="false">ABS(B196-C196)</f>
        <v>0</v>
      </c>
      <c r="E196" s="42" t="n">
        <v>1E-009</v>
      </c>
      <c r="F196" s="5" t="str">
        <f aca="false">IF(D196&lt;=E196,"PASS","FAIL")</f>
        <v>PASS</v>
      </c>
    </row>
    <row r="197" customFormat="false" ht="15" hidden="false" customHeight="false" outlineLevel="0" collapsed="false">
      <c r="A197" s="3" t="s">
        <v>636</v>
      </c>
      <c r="B197" s="39" t="n">
        <f aca="false">Table13_3!I11</f>
        <v>1.059267253057</v>
      </c>
      <c r="C197" s="40" t="n">
        <f aca="false">Reference_Values!B197</f>
        <v>1.05926725305699</v>
      </c>
      <c r="D197" s="41" t="n">
        <f aca="false">ABS(B197-C197)</f>
        <v>5.99520433297585E-015</v>
      </c>
      <c r="E197" s="42" t="n">
        <v>1E-009</v>
      </c>
      <c r="F197" s="5" t="str">
        <f aca="false">IF(D197&lt;=E197,"PASS","FAIL")</f>
        <v>PASS</v>
      </c>
    </row>
    <row r="198" customFormat="false" ht="15" hidden="false" customHeight="false" outlineLevel="0" collapsed="false">
      <c r="A198" s="3" t="s">
        <v>637</v>
      </c>
      <c r="B198" s="39" t="n">
        <f aca="false">Table13_3!B12</f>
        <v>35.72</v>
      </c>
      <c r="C198" s="40" t="n">
        <f aca="false">Reference_Values!B198</f>
        <v>35.72</v>
      </c>
      <c r="D198" s="41" t="n">
        <f aca="false">ABS(B198-C198)</f>
        <v>0</v>
      </c>
      <c r="E198" s="42" t="n">
        <v>1E-009</v>
      </c>
      <c r="F198" s="5" t="str">
        <f aca="false">IF(D198&lt;=E198,"PASS","FAIL")</f>
        <v>PASS</v>
      </c>
    </row>
    <row r="199" customFormat="false" ht="15" hidden="false" customHeight="false" outlineLevel="0" collapsed="false">
      <c r="A199" s="3" t="s">
        <v>638</v>
      </c>
      <c r="B199" s="39" t="n">
        <f aca="false">Table13_3!G12</f>
        <v>4.0377386011349</v>
      </c>
      <c r="C199" s="40" t="n">
        <f aca="false">Reference_Values!B199</f>
        <v>4.0377386011349</v>
      </c>
      <c r="D199" s="41" t="n">
        <f aca="false">ABS(B199-C199)</f>
        <v>0</v>
      </c>
      <c r="E199" s="42" t="n">
        <v>1E-009</v>
      </c>
      <c r="F199" s="5" t="str">
        <f aca="false">IF(D199&lt;=E199,"PASS","FAIL")</f>
        <v>PASS</v>
      </c>
    </row>
    <row r="200" customFormat="false" ht="15" hidden="false" customHeight="false" outlineLevel="0" collapsed="false">
      <c r="A200" s="3" t="s">
        <v>639</v>
      </c>
      <c r="B200" s="39" t="n">
        <f aca="false">Table13_3!H12</f>
        <v>7.676</v>
      </c>
      <c r="C200" s="40" t="n">
        <f aca="false">Reference_Values!B200</f>
        <v>7.676</v>
      </c>
      <c r="D200" s="41" t="n">
        <f aca="false">ABS(B200-C200)</f>
        <v>0</v>
      </c>
      <c r="E200" s="42" t="n">
        <v>1E-009</v>
      </c>
      <c r="F200" s="5" t="str">
        <f aca="false">IF(D200&lt;=E200,"PASS","FAIL")</f>
        <v>PASS</v>
      </c>
    </row>
    <row r="201" customFormat="false" ht="15" hidden="false" customHeight="false" outlineLevel="0" collapsed="false">
      <c r="A201" s="3" t="s">
        <v>640</v>
      </c>
      <c r="B201" s="39" t="n">
        <f aca="false">Table13_3!B13</f>
        <v>68.309</v>
      </c>
      <c r="C201" s="40" t="n">
        <f aca="false">Reference_Values!B201</f>
        <v>68.309</v>
      </c>
      <c r="D201" s="41" t="n">
        <f aca="false">ABS(B201-C201)</f>
        <v>0</v>
      </c>
      <c r="E201" s="42" t="n">
        <v>1E-009</v>
      </c>
      <c r="F201" s="5" t="str">
        <f aca="false">IF(D201&lt;=E201,"PASS","FAIL")</f>
        <v>PASS</v>
      </c>
    </row>
    <row r="202" customFormat="false" ht="15" hidden="false" customHeight="false" outlineLevel="0" collapsed="false">
      <c r="A202" s="3" t="s">
        <v>641</v>
      </c>
      <c r="B202" s="39" t="n">
        <f aca="false">Table13_3!G13</f>
        <v>1.16286073105744</v>
      </c>
      <c r="C202" s="40" t="n">
        <f aca="false">Reference_Values!B202</f>
        <v>1.16286073105743</v>
      </c>
      <c r="D202" s="41" t="n">
        <f aca="false">ABS(B202-C202)</f>
        <v>7.105427357601E-015</v>
      </c>
      <c r="E202" s="42" t="n">
        <v>1E-009</v>
      </c>
      <c r="F202" s="5" t="str">
        <f aca="false">IF(D202&lt;=E202,"PASS","FAIL")</f>
        <v>PASS</v>
      </c>
    </row>
    <row r="203" customFormat="false" ht="15" hidden="false" customHeight="false" outlineLevel="0" collapsed="false">
      <c r="A203" s="3" t="s">
        <v>642</v>
      </c>
      <c r="B203" s="39" t="n">
        <f aca="false">Table13_3!H13</f>
        <v>4.96</v>
      </c>
      <c r="C203" s="40" t="n">
        <f aca="false">Reference_Values!B203</f>
        <v>4.96</v>
      </c>
      <c r="D203" s="41" t="n">
        <f aca="false">ABS(B203-C203)</f>
        <v>0</v>
      </c>
      <c r="E203" s="42" t="n">
        <v>1E-009</v>
      </c>
      <c r="F203" s="5" t="str">
        <f aca="false">IF(D203&lt;=E203,"PASS","FAIL")</f>
        <v>PASS</v>
      </c>
    </row>
    <row r="204" customFormat="false" ht="15" hidden="false" customHeight="false" outlineLevel="0" collapsed="false">
      <c r="A204" s="3" t="s">
        <v>643</v>
      </c>
      <c r="B204" s="39" t="n">
        <f aca="false">Table13_3!I13</f>
        <v>0.590833630751909</v>
      </c>
      <c r="C204" s="40" t="n">
        <f aca="false">Reference_Values!B204</f>
        <v>0.590833630751908</v>
      </c>
      <c r="D204" s="41" t="n">
        <f aca="false">ABS(B204-C204)</f>
        <v>0</v>
      </c>
      <c r="E204" s="42" t="n">
        <v>1E-009</v>
      </c>
      <c r="F204" s="5" t="str">
        <f aca="false">IF(D204&lt;=E204,"PASS","FAIL")</f>
        <v>PASS</v>
      </c>
    </row>
    <row r="206" customFormat="false" ht="15" hidden="false" customHeight="false" outlineLevel="0" collapsed="false">
      <c r="A206" s="5" t="s">
        <v>648</v>
      </c>
      <c r="F206" s="5" t="str">
        <f aca="false">IF(COUNTIF(F2:F204,"PASS")=203,"ALL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2026-10-05T22:30:38Z</dcterms:created>
  <dc:creator>openpyxl</dc:creator>
  <dc:description/>
  <dc:language>en-US</dc:language>
  <cp:lastModifiedBy/>
  <dcterms:modified xsi:type="dcterms:W3CDTF">2026-10-05T22:30:38Z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